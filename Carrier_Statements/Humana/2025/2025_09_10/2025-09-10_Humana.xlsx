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9-10-25\"/>
    </mc:Choice>
  </mc:AlternateContent>
  <xr:revisionPtr revIDLastSave="0" documentId="13_ncr:1_{8D21C292-2EBF-40BE-8BAD-FE40EA33C64A}" xr6:coauthVersionLast="47" xr6:coauthVersionMax="47" xr10:uidLastSave="{00000000-0000-0000-0000-000000000000}"/>
  <bookViews>
    <workbookView xWindow="28680" yWindow="-120" windowWidth="29040" windowHeight="16440" activeTab="1" xr2:uid="{816E4FD8-9115-4D03-B800-07908B77AA5A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16" i="2" l="1"/>
  <c r="V55" i="2"/>
  <c r="V2" i="2"/>
  <c r="V26" i="2"/>
  <c r="V27" i="2"/>
  <c r="V58" i="2"/>
  <c r="V3" i="2"/>
  <c r="V215" i="2"/>
  <c r="V59" i="2"/>
  <c r="V132" i="2"/>
  <c r="V205" i="2"/>
  <c r="V217" i="2"/>
  <c r="V60" i="2"/>
  <c r="V218" i="2"/>
  <c r="V192" i="2"/>
  <c r="V167" i="2"/>
  <c r="V12" i="2"/>
  <c r="V224" i="2"/>
  <c r="V202" i="2"/>
  <c r="V4" i="2"/>
  <c r="V76" i="2"/>
  <c r="V51" i="2"/>
  <c r="V206" i="2"/>
  <c r="V133" i="2"/>
  <c r="V228" i="2"/>
  <c r="V174" i="2"/>
  <c r="V17" i="2"/>
  <c r="V44" i="2"/>
  <c r="V5" i="2"/>
  <c r="V46" i="2"/>
  <c r="V207" i="2"/>
  <c r="V168" i="2"/>
  <c r="V169" i="2"/>
  <c r="V18" i="2"/>
  <c r="V24" i="2"/>
  <c r="V82" i="2"/>
  <c r="V52" i="2"/>
  <c r="V83" i="2"/>
  <c r="V53" i="2"/>
  <c r="V57" i="2"/>
  <c r="V84" i="2"/>
  <c r="V66" i="2"/>
  <c r="V85" i="2"/>
  <c r="V138" i="2"/>
  <c r="V139" i="2"/>
  <c r="V86" i="2"/>
  <c r="V145" i="2"/>
  <c r="V140" i="2"/>
  <c r="V141" i="2"/>
  <c r="V87" i="2"/>
  <c r="V88" i="2"/>
  <c r="V89" i="2"/>
  <c r="V90" i="2"/>
  <c r="V91" i="2"/>
  <c r="V92" i="2"/>
  <c r="V93" i="2"/>
  <c r="V94" i="2"/>
  <c r="V95" i="2"/>
  <c r="V96" i="2"/>
  <c r="V170" i="2"/>
  <c r="V97" i="2"/>
  <c r="V98" i="2"/>
  <c r="V99" i="2"/>
  <c r="V67" i="2"/>
  <c r="V68" i="2"/>
  <c r="V117" i="2"/>
  <c r="V100" i="2"/>
  <c r="V101" i="2"/>
  <c r="V102" i="2"/>
  <c r="V103" i="2"/>
  <c r="V104" i="2"/>
  <c r="V105" i="2"/>
  <c r="V106" i="2"/>
  <c r="V142" i="2"/>
  <c r="V118" i="2"/>
  <c r="V69" i="2"/>
  <c r="V107" i="2"/>
  <c r="V70" i="2"/>
  <c r="V119" i="2"/>
  <c r="V143" i="2"/>
  <c r="V176" i="2"/>
  <c r="V146" i="2"/>
  <c r="V177" i="2"/>
  <c r="V147" i="2"/>
  <c r="V183" i="2"/>
  <c r="V108" i="2"/>
  <c r="V144" i="2"/>
  <c r="V120" i="2"/>
  <c r="V13" i="2"/>
  <c r="V148" i="2"/>
  <c r="V178" i="2"/>
  <c r="V149" i="2"/>
  <c r="V47" i="2"/>
  <c r="V179" i="2"/>
  <c r="V180" i="2"/>
  <c r="V184" i="2"/>
  <c r="V208" i="2"/>
  <c r="V209" i="2"/>
  <c r="V185" i="2"/>
  <c r="V181" i="2"/>
  <c r="V150" i="2"/>
  <c r="V210" i="2"/>
  <c r="V186" i="2"/>
  <c r="V201" i="2"/>
  <c r="V151" i="2"/>
  <c r="V152" i="2"/>
  <c r="V153" i="2"/>
  <c r="V154" i="2"/>
  <c r="V71" i="2"/>
  <c r="V155" i="2"/>
  <c r="V156" i="2"/>
  <c r="V157" i="2"/>
  <c r="V72" i="2"/>
  <c r="V129" i="2"/>
  <c r="V130" i="2"/>
  <c r="V109" i="2"/>
  <c r="V73" i="2"/>
  <c r="V74" i="2"/>
  <c r="V75" i="2"/>
  <c r="V187" i="2"/>
  <c r="V188" i="2"/>
  <c r="V189" i="2"/>
  <c r="V110" i="2"/>
  <c r="V190" i="2"/>
  <c r="V191" i="2"/>
  <c r="V158" i="2"/>
  <c r="V165" i="2"/>
  <c r="V159" i="2"/>
  <c r="V160" i="2"/>
  <c r="V121" i="2"/>
  <c r="V161" i="2"/>
  <c r="V122" i="2"/>
  <c r="V111" i="2"/>
  <c r="V162" i="2"/>
  <c r="V123" i="2"/>
  <c r="V163" i="2"/>
  <c r="V28" i="2"/>
  <c r="V29" i="2"/>
  <c r="V30" i="2"/>
  <c r="V31" i="2"/>
  <c r="V48" i="2"/>
  <c r="V32" i="2"/>
  <c r="V33" i="2"/>
  <c r="V164" i="2"/>
  <c r="V112" i="2"/>
  <c r="V124" i="2"/>
  <c r="V125" i="2"/>
  <c r="V34" i="2"/>
  <c r="V35" i="2"/>
  <c r="V36" i="2"/>
  <c r="V37" i="2"/>
  <c r="V38" i="2"/>
  <c r="V126" i="2"/>
  <c r="V166" i="2"/>
  <c r="V49" i="2"/>
  <c r="V39" i="2"/>
  <c r="V127" i="2"/>
  <c r="V40" i="2"/>
  <c r="V113" i="2"/>
  <c r="V77" i="2"/>
  <c r="V19" i="2"/>
  <c r="V61" i="2"/>
  <c r="V62" i="2"/>
  <c r="V134" i="2"/>
  <c r="V63" i="2"/>
  <c r="V20" i="2"/>
  <c r="V45" i="2"/>
  <c r="V21" i="2"/>
  <c r="V56" i="2"/>
  <c r="V41" i="2"/>
  <c r="V42" i="2"/>
  <c r="V6" i="2"/>
  <c r="V211" i="2"/>
  <c r="V64" i="2"/>
  <c r="V219" i="2"/>
  <c r="V193" i="2"/>
  <c r="V171" i="2"/>
  <c r="V225" i="2"/>
  <c r="V7" i="2"/>
  <c r="V78" i="2"/>
  <c r="V212" i="2"/>
  <c r="V135" i="2"/>
  <c r="V175" i="2"/>
  <c r="V50" i="2"/>
  <c r="V172" i="2"/>
  <c r="V173" i="2"/>
  <c r="V8" i="2"/>
  <c r="V216" i="2"/>
  <c r="V220" i="2"/>
  <c r="V14" i="2"/>
  <c r="V203" i="2"/>
  <c r="V22" i="2"/>
  <c r="V9" i="2"/>
  <c r="V213" i="2"/>
  <c r="V23" i="2"/>
  <c r="V54" i="2"/>
  <c r="V229" i="2"/>
  <c r="V25" i="2"/>
  <c r="V79" i="2"/>
  <c r="V194" i="2"/>
  <c r="V226" i="2"/>
  <c r="V230" i="2"/>
  <c r="V221" i="2"/>
  <c r="V80" i="2"/>
  <c r="V136" i="2"/>
  <c r="V222" i="2"/>
  <c r="V182" i="2"/>
  <c r="V10" i="2"/>
  <c r="V223" i="2"/>
  <c r="V204" i="2"/>
  <c r="V227" i="2"/>
  <c r="V11" i="2"/>
  <c r="V43" i="2"/>
  <c r="V65" i="2"/>
  <c r="V114" i="2"/>
  <c r="V115" i="2"/>
  <c r="V116" i="2"/>
  <c r="V195" i="2"/>
  <c r="V196" i="2"/>
  <c r="V197" i="2"/>
  <c r="V137" i="2"/>
  <c r="V81" i="2"/>
  <c r="V214" i="2"/>
  <c r="V15" i="2"/>
  <c r="V198" i="2"/>
  <c r="V199" i="2"/>
  <c r="V200" i="2"/>
  <c r="V128" i="2"/>
  <c r="V131" i="2"/>
  <c r="S200" i="2"/>
  <c r="S199" i="2"/>
  <c r="S198" i="2"/>
  <c r="S15" i="2"/>
  <c r="S214" i="2"/>
  <c r="S81" i="2"/>
  <c r="S137" i="2"/>
  <c r="S197" i="2"/>
  <c r="S196" i="2"/>
  <c r="S195" i="2"/>
  <c r="S113" i="2"/>
  <c r="S40" i="2"/>
  <c r="S127" i="2"/>
  <c r="S39" i="2"/>
  <c r="S49" i="2"/>
  <c r="S166" i="2"/>
  <c r="S126" i="2"/>
  <c r="S38" i="2"/>
  <c r="S37" i="2"/>
  <c r="S36" i="2"/>
  <c r="S35" i="2"/>
  <c r="S34" i="2"/>
  <c r="S125" i="2"/>
  <c r="S124" i="2"/>
  <c r="S112" i="2"/>
  <c r="S164" i="2"/>
  <c r="S33" i="2"/>
  <c r="S32" i="2"/>
  <c r="S48" i="2"/>
  <c r="S31" i="2"/>
  <c r="S30" i="2"/>
  <c r="S29" i="2"/>
  <c r="S28" i="2"/>
  <c r="S163" i="2"/>
  <c r="S123" i="2"/>
  <c r="S162" i="2"/>
  <c r="S111" i="2"/>
  <c r="S122" i="2"/>
  <c r="S161" i="2"/>
  <c r="S121" i="2"/>
  <c r="S160" i="2"/>
  <c r="S159" i="2"/>
  <c r="S165" i="2"/>
  <c r="S158" i="2"/>
  <c r="S128" i="2"/>
  <c r="S116" i="2"/>
  <c r="S115" i="2"/>
  <c r="S114" i="2"/>
  <c r="S191" i="2"/>
  <c r="S190" i="2"/>
  <c r="S110" i="2"/>
  <c r="S189" i="2"/>
  <c r="S188" i="2"/>
  <c r="S187" i="2"/>
  <c r="S75" i="2"/>
  <c r="S74" i="2"/>
  <c r="S73" i="2"/>
  <c r="S109" i="2"/>
  <c r="S130" i="2"/>
  <c r="S129" i="2"/>
  <c r="S72" i="2"/>
  <c r="S157" i="2"/>
  <c r="S156" i="2"/>
  <c r="S155" i="2"/>
  <c r="S71" i="2"/>
  <c r="S154" i="2"/>
  <c r="S153" i="2"/>
  <c r="S152" i="2"/>
  <c r="S151" i="2"/>
  <c r="S201" i="2"/>
  <c r="S186" i="2"/>
  <c r="S210" i="2"/>
  <c r="S150" i="2"/>
  <c r="S181" i="2"/>
  <c r="S185" i="2"/>
  <c r="S209" i="2"/>
  <c r="S208" i="2"/>
  <c r="S184" i="2"/>
  <c r="S180" i="2"/>
  <c r="S179" i="2"/>
  <c r="S47" i="2"/>
  <c r="S149" i="2"/>
  <c r="S178" i="2"/>
  <c r="S148" i="2"/>
  <c r="S13" i="2"/>
  <c r="S120" i="2"/>
  <c r="S144" i="2"/>
  <c r="S108" i="2"/>
  <c r="S183" i="2"/>
  <c r="S147" i="2"/>
  <c r="S177" i="2"/>
  <c r="S146" i="2"/>
  <c r="S176" i="2"/>
  <c r="S143" i="2"/>
  <c r="S119" i="2"/>
  <c r="S70" i="2"/>
  <c r="S107" i="2"/>
  <c r="S69" i="2"/>
  <c r="S118" i="2"/>
  <c r="S142" i="2"/>
  <c r="S106" i="2"/>
  <c r="S105" i="2"/>
  <c r="S104" i="2"/>
  <c r="S103" i="2"/>
  <c r="S102" i="2"/>
  <c r="S101" i="2"/>
  <c r="S100" i="2"/>
  <c r="S117" i="2"/>
  <c r="S68" i="2"/>
  <c r="S67" i="2"/>
  <c r="S99" i="2"/>
  <c r="S98" i="2"/>
  <c r="S97" i="2"/>
  <c r="S170" i="2"/>
  <c r="S96" i="2"/>
  <c r="S95" i="2"/>
  <c r="S94" i="2"/>
  <c r="S93" i="2"/>
  <c r="S92" i="2"/>
  <c r="S91" i="2"/>
  <c r="S90" i="2"/>
  <c r="S89" i="2"/>
  <c r="S88" i="2"/>
  <c r="S87" i="2"/>
  <c r="S141" i="2"/>
  <c r="S140" i="2"/>
  <c r="S145" i="2"/>
  <c r="S86" i="2"/>
  <c r="S139" i="2"/>
  <c r="S138" i="2"/>
  <c r="S85" i="2"/>
  <c r="S66" i="2"/>
  <c r="S84" i="2"/>
  <c r="S57" i="2"/>
  <c r="S65" i="2"/>
  <c r="S43" i="2"/>
  <c r="S11" i="2"/>
  <c r="S227" i="2"/>
  <c r="S204" i="2"/>
  <c r="S223" i="2"/>
  <c r="S10" i="2"/>
  <c r="S182" i="2"/>
  <c r="S222" i="2"/>
  <c r="S136" i="2"/>
  <c r="S80" i="2"/>
  <c r="S221" i="2"/>
  <c r="S230" i="2"/>
  <c r="S226" i="2"/>
  <c r="S194" i="2"/>
  <c r="S79" i="2"/>
  <c r="S25" i="2"/>
  <c r="S229" i="2"/>
  <c r="S54" i="2"/>
  <c r="S23" i="2"/>
  <c r="S213" i="2"/>
  <c r="S9" i="2"/>
  <c r="S22" i="2"/>
  <c r="S203" i="2"/>
  <c r="S14" i="2"/>
  <c r="S220" i="2"/>
  <c r="S216" i="2"/>
  <c r="S8" i="2"/>
  <c r="S173" i="2"/>
  <c r="S172" i="2"/>
  <c r="S50" i="2"/>
  <c r="S175" i="2"/>
  <c r="S135" i="2"/>
  <c r="S212" i="2"/>
  <c r="S78" i="2"/>
  <c r="S7" i="2"/>
  <c r="S225" i="2"/>
  <c r="S171" i="2"/>
  <c r="S193" i="2"/>
  <c r="S219" i="2"/>
  <c r="S64" i="2"/>
  <c r="S211" i="2"/>
  <c r="S6" i="2"/>
  <c r="S42" i="2"/>
  <c r="S41" i="2"/>
  <c r="S56" i="2"/>
  <c r="S21" i="2"/>
  <c r="S45" i="2"/>
  <c r="S20" i="2"/>
  <c r="S63" i="2"/>
  <c r="S134" i="2"/>
  <c r="S62" i="2"/>
  <c r="S61" i="2"/>
  <c r="S19" i="2"/>
  <c r="S77" i="2"/>
  <c r="S53" i="2"/>
  <c r="S83" i="2"/>
  <c r="S52" i="2"/>
  <c r="S82" i="2"/>
  <c r="S24" i="2"/>
  <c r="S18" i="2"/>
  <c r="S169" i="2"/>
  <c r="S168" i="2"/>
  <c r="S207" i="2"/>
  <c r="S46" i="2"/>
  <c r="S5" i="2"/>
  <c r="S44" i="2"/>
  <c r="S17" i="2"/>
  <c r="S174" i="2"/>
  <c r="S228" i="2"/>
  <c r="S133" i="2"/>
  <c r="S206" i="2"/>
  <c r="S51" i="2"/>
  <c r="S76" i="2"/>
  <c r="S4" i="2"/>
  <c r="S202" i="2"/>
  <c r="S224" i="2"/>
  <c r="S12" i="2"/>
  <c r="S167" i="2"/>
  <c r="S192" i="2"/>
  <c r="S218" i="2"/>
  <c r="S60" i="2"/>
  <c r="S217" i="2"/>
  <c r="S205" i="2"/>
  <c r="S132" i="2"/>
  <c r="S59" i="2"/>
  <c r="S215" i="2"/>
  <c r="S3" i="2"/>
  <c r="S58" i="2"/>
  <c r="S27" i="2"/>
  <c r="S26" i="2"/>
  <c r="S2" i="2"/>
  <c r="S55" i="2"/>
  <c r="S16" i="2"/>
  <c r="S131" i="2"/>
</calcChain>
</file>

<file path=xl/sharedStrings.xml><?xml version="1.0" encoding="utf-8"?>
<sst xmlns="http://schemas.openxmlformats.org/spreadsheetml/2006/main" count="8226" uniqueCount="948">
  <si>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</si>
  <si>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</si>
  <si>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</si>
  <si>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</si>
  <si>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</si>
  <si>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</si>
  <si>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</si>
  <si>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</si>
  <si>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</si>
  <si>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</si>
  <si>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</si>
  <si>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</si>
  <si>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</si>
  <si>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</si>
  <si>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</si>
  <si>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</si>
  <si>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</si>
  <si>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</si>
  <si>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</si>
  <si>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</si>
  <si>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</si>
  <si>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</si>
  <si>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</si>
  <si>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</si>
  <si>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</si>
  <si>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</si>
  <si>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</si>
  <si>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</si>
  <si>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</si>
  <si>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</si>
  <si>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</si>
  <si>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</si>
  <si>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</si>
  <si>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</si>
  <si>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</si>
  <si>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</si>
  <si>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</si>
  <si>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</si>
  <si>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</si>
  <si>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</si>
  <si>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</si>
  <si>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</si>
  <si>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</si>
  <si>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WOODS BARBARA J</t>
  </si>
  <si>
    <t>00018331316K</t>
  </si>
  <si>
    <t>3PT1YG0EY22</t>
  </si>
  <si>
    <t/>
  </si>
  <si>
    <t>MA</t>
  </si>
  <si>
    <t>LV</t>
  </si>
  <si>
    <t>SEP</t>
  </si>
  <si>
    <t>F</t>
  </si>
  <si>
    <t>MEDICARE</t>
  </si>
  <si>
    <t>PDP</t>
  </si>
  <si>
    <t>MEDICARE 2ND HALF FIRST YEAR COMM</t>
  </si>
  <si>
    <t>MED2</t>
  </si>
  <si>
    <t>S5884</t>
  </si>
  <si>
    <t>DAIDONE LAURA L</t>
  </si>
  <si>
    <t>00023271984K</t>
  </si>
  <si>
    <t>4MR3Q04AU97</t>
  </si>
  <si>
    <t>JUN</t>
  </si>
  <si>
    <t>MER</t>
  </si>
  <si>
    <t>H4461</t>
  </si>
  <si>
    <t>FIRST YEAR COMMISSIONS</t>
  </si>
  <si>
    <t>ARCF</t>
  </si>
  <si>
    <t>DHAMER MEG E</t>
  </si>
  <si>
    <t>00023521930K</t>
  </si>
  <si>
    <t>9KP3AJ7PJ87</t>
  </si>
  <si>
    <t>AUG</t>
  </si>
  <si>
    <t>MEP</t>
  </si>
  <si>
    <t>H5216</t>
  </si>
  <si>
    <t>NIKOLOVA SNEJANKA S</t>
  </si>
  <si>
    <t>00023545006K</t>
  </si>
  <si>
    <t>2KN0R09FP49</t>
  </si>
  <si>
    <t>ALAGHEBAND TAGHI</t>
  </si>
  <si>
    <t>00023610687K</t>
  </si>
  <si>
    <t>2P06EG7WK67</t>
  </si>
  <si>
    <t>NOV</t>
  </si>
  <si>
    <t>CHOI ANDREW J</t>
  </si>
  <si>
    <t>SCHULD RICHARD A</t>
  </si>
  <si>
    <t>00022970904K</t>
  </si>
  <si>
    <t>8D25C29CW88</t>
  </si>
  <si>
    <t>FEB</t>
  </si>
  <si>
    <t>BLASCO LAURA B</t>
  </si>
  <si>
    <t>00023568607K</t>
  </si>
  <si>
    <t>9VH6AP6YQ56</t>
  </si>
  <si>
    <t>VARJU RANDY A</t>
  </si>
  <si>
    <t>00023584777K</t>
  </si>
  <si>
    <t>7UP5XP9AV56</t>
  </si>
  <si>
    <t>OCT</t>
  </si>
  <si>
    <t>SASAKI DAVIS K</t>
  </si>
  <si>
    <t>00023589143K</t>
  </si>
  <si>
    <t>7H52UR8KW91</t>
  </si>
  <si>
    <t>DEATON PAMELA S</t>
  </si>
  <si>
    <t>BROWNING ALICE V</t>
  </si>
  <si>
    <t>00023560633K</t>
  </si>
  <si>
    <t>9V02A23KH95</t>
  </si>
  <si>
    <t>BROWN KATHERINE</t>
  </si>
  <si>
    <t>00023586114K</t>
  </si>
  <si>
    <t>1HG7RR0AT40</t>
  </si>
  <si>
    <t>KERNER JOSEPH S</t>
  </si>
  <si>
    <t>00023602340K</t>
  </si>
  <si>
    <t>6P68VX0WP26</t>
  </si>
  <si>
    <t>TEIPEL GREGORY K</t>
  </si>
  <si>
    <t>HEIN MICHAEL D</t>
  </si>
  <si>
    <t>00021503102K</t>
  </si>
  <si>
    <t>4XA1YJ3AQ91</t>
  </si>
  <si>
    <t>R</t>
  </si>
  <si>
    <t>RENEWAL COMMISSIONS</t>
  </si>
  <si>
    <t>ARCM</t>
  </si>
  <si>
    <t>HOWARD JR EDWARD T</t>
  </si>
  <si>
    <t>00023526983K</t>
  </si>
  <si>
    <t>9AC4W09CU04</t>
  </si>
  <si>
    <t>H0028</t>
  </si>
  <si>
    <t>FRANKLIN JR ALVIN A</t>
  </si>
  <si>
    <t>00023582058K</t>
  </si>
  <si>
    <t>7EG8TY8XE56</t>
  </si>
  <si>
    <t>BALDERAS RUSS MONICA L</t>
  </si>
  <si>
    <t>00023601462K</t>
  </si>
  <si>
    <t>6HQ4J72ET94</t>
  </si>
  <si>
    <t>DREIS DAYNA M</t>
  </si>
  <si>
    <t>00023607666K</t>
  </si>
  <si>
    <t>6EN2VW2YX87</t>
  </si>
  <si>
    <t>HUNSBERGER ANTHONY J</t>
  </si>
  <si>
    <t>ROSS TERRY L</t>
  </si>
  <si>
    <t>00022023339K</t>
  </si>
  <si>
    <t>7K03T78KG03</t>
  </si>
  <si>
    <t>H1468</t>
  </si>
  <si>
    <t>DUSZCZYK PAWEL</t>
  </si>
  <si>
    <t>00023268932K</t>
  </si>
  <si>
    <t>1WD0TF8AK38</t>
  </si>
  <si>
    <t>MAY</t>
  </si>
  <si>
    <t>KOMENDA BERNADETTE B</t>
  </si>
  <si>
    <t>00023576096K</t>
  </si>
  <si>
    <t>3F95F63CR71</t>
  </si>
  <si>
    <t>MENDEZ SAUL</t>
  </si>
  <si>
    <t>00023589322K</t>
  </si>
  <si>
    <t>5VT1RW7MF37</t>
  </si>
  <si>
    <t>WALENGA DALE J</t>
  </si>
  <si>
    <t>MOSSMAN EVA</t>
  </si>
  <si>
    <t>00023602915K</t>
  </si>
  <si>
    <t>5A35TR9YA82</t>
  </si>
  <si>
    <t>ROLLER JASON</t>
  </si>
  <si>
    <t>JENSEN KAREN A</t>
  </si>
  <si>
    <t>00023550119K</t>
  </si>
  <si>
    <t>7UX7KE4XV33</t>
  </si>
  <si>
    <t>FRANKS WANDA L</t>
  </si>
  <si>
    <t>00023608437K</t>
  </si>
  <si>
    <t>9T82Y17AW24</t>
  </si>
  <si>
    <t>DEC</t>
  </si>
  <si>
    <t>RICHTER ADAM J</t>
  </si>
  <si>
    <t>BERRY CINDY A</t>
  </si>
  <si>
    <t>00023615060K</t>
  </si>
  <si>
    <t>8W44RP9RN02</t>
  </si>
  <si>
    <t>DAUGHERTY MATTHEW</t>
  </si>
  <si>
    <t>YOUNG LISA L</t>
  </si>
  <si>
    <t>00023539684K</t>
  </si>
  <si>
    <t>9XM9QE6DN00</t>
  </si>
  <si>
    <t>MRO</t>
  </si>
  <si>
    <t>H1036</t>
  </si>
  <si>
    <t>DRAPAC STEPHANIE E</t>
  </si>
  <si>
    <t>STAUB JAMES R</t>
  </si>
  <si>
    <t>00023573496K</t>
  </si>
  <si>
    <t>4AC4NX2EV66</t>
  </si>
  <si>
    <t>HERRERA-LARSEN ESTHER M</t>
  </si>
  <si>
    <t>FERRER ELIA</t>
  </si>
  <si>
    <t>00010225769K</t>
  </si>
  <si>
    <t>6KY5G39EC89</t>
  </si>
  <si>
    <t>MAR</t>
  </si>
  <si>
    <t>COSSYLEON VALENZUELA ROSE</t>
  </si>
  <si>
    <t>00023529402K</t>
  </si>
  <si>
    <t>2FT2YE1UP94</t>
  </si>
  <si>
    <t>CALZONZI GILBERT</t>
  </si>
  <si>
    <t>00023529795K</t>
  </si>
  <si>
    <t>9QN0TN6DT33</t>
  </si>
  <si>
    <t>GARCIA FRANCISCO</t>
  </si>
  <si>
    <t>00023531495K</t>
  </si>
  <si>
    <t>8WH0JT6FX13</t>
  </si>
  <si>
    <t>ELIGIO VIANEY</t>
  </si>
  <si>
    <t>00023554373K</t>
  </si>
  <si>
    <t>8MG6DU8HY43</t>
  </si>
  <si>
    <t>FOLEY CAROL</t>
  </si>
  <si>
    <t>MIRKOVIC ZAGORKA</t>
  </si>
  <si>
    <t>00023543293K</t>
  </si>
  <si>
    <t>5VG2CY0FW81</t>
  </si>
  <si>
    <t>PHELAN BARBARA A</t>
  </si>
  <si>
    <t>00023566647K</t>
  </si>
  <si>
    <t>7EX3JD3VW93</t>
  </si>
  <si>
    <t>H5525</t>
  </si>
  <si>
    <t>INSKIPT DEBORAH L</t>
  </si>
  <si>
    <t>MENDENHALL JOYCE A</t>
  </si>
  <si>
    <t>00023592407K</t>
  </si>
  <si>
    <t>6DQ7KP0KF45</t>
  </si>
  <si>
    <t>PORTUGAL GARY</t>
  </si>
  <si>
    <t>TURF JEANNE M</t>
  </si>
  <si>
    <t>00023571210K</t>
  </si>
  <si>
    <t>9JH6P96ME70</t>
  </si>
  <si>
    <t>JOHNSON ROARK M</t>
  </si>
  <si>
    <t>00023575071K</t>
  </si>
  <si>
    <t>7F18DD4FE33</t>
  </si>
  <si>
    <t>TURF SCOTT M</t>
  </si>
  <si>
    <t>00023585917K</t>
  </si>
  <si>
    <t>6KV7E72YN74</t>
  </si>
  <si>
    <t>YALE JACOB D</t>
  </si>
  <si>
    <t>PHIPPS LAURA J</t>
  </si>
  <si>
    <t>00023542006K</t>
  </si>
  <si>
    <t>4WW6GH3EQ40</t>
  </si>
  <si>
    <t>GOODNER SCOTT</t>
  </si>
  <si>
    <t>00023614406K</t>
  </si>
  <si>
    <t>4J53MM2KF80</t>
  </si>
  <si>
    <t>BENDER CHAD</t>
  </si>
  <si>
    <t>KELLY KARYN D</t>
  </si>
  <si>
    <t>00023596422K</t>
  </si>
  <si>
    <t>5V45HK8TU80</t>
  </si>
  <si>
    <t>ABDUL SAADIA S</t>
  </si>
  <si>
    <t>CARDIN AMANDA V</t>
  </si>
  <si>
    <t>00023558545K</t>
  </si>
  <si>
    <t>2KA8JD9UQ41</t>
  </si>
  <si>
    <t>SULLIVAN MARIE T</t>
  </si>
  <si>
    <t>00023569747K</t>
  </si>
  <si>
    <t>9R34KE1VJ79</t>
  </si>
  <si>
    <t>BREHME NANCY</t>
  </si>
  <si>
    <t>00023573821K</t>
  </si>
  <si>
    <t>4Q60RD1QX03</t>
  </si>
  <si>
    <t>LUPOU DUMITRU M</t>
  </si>
  <si>
    <t>00023576258K</t>
  </si>
  <si>
    <t>7V81RE0QE39</t>
  </si>
  <si>
    <t>BUTT AFSHAN</t>
  </si>
  <si>
    <t>00023603758K</t>
  </si>
  <si>
    <t>2U27MA0DJ38</t>
  </si>
  <si>
    <t>REHMANI KHALID R</t>
  </si>
  <si>
    <t>00023603885K</t>
  </si>
  <si>
    <t>9RK5GQ0GC88</t>
  </si>
  <si>
    <t>THANADABOUTH PATSAMON</t>
  </si>
  <si>
    <t>KHOUSAKOUN SOMDETH</t>
  </si>
  <si>
    <t>00023591468K</t>
  </si>
  <si>
    <t>3JY2CG5QW15</t>
  </si>
  <si>
    <t>TAUGNER CHRISTIAN</t>
  </si>
  <si>
    <t>COOPER CORAL R</t>
  </si>
  <si>
    <t>00023584480K</t>
  </si>
  <si>
    <t>3WA4QX5WJ06</t>
  </si>
  <si>
    <t>DUNAVANT MICHAEL</t>
  </si>
  <si>
    <t>THOMPSON III ROY B</t>
  </si>
  <si>
    <t>00023584377K</t>
  </si>
  <si>
    <t>5JE2FX6VJ99</t>
  </si>
  <si>
    <t>BRANDT STEVEN K</t>
  </si>
  <si>
    <t>ALVIS JACQUELYN S</t>
  </si>
  <si>
    <t>00023562559K</t>
  </si>
  <si>
    <t>9G02UR6HK07</t>
  </si>
  <si>
    <t>PORTUGAL STACEY A</t>
  </si>
  <si>
    <t>RODRIGUEZ EDMUND R</t>
  </si>
  <si>
    <t>00023578181K</t>
  </si>
  <si>
    <t>2KF1TD4NQ95</t>
  </si>
  <si>
    <t>TORRES JOSE</t>
  </si>
  <si>
    <t>GALINDO TORRES J</t>
  </si>
  <si>
    <t>00023063791K</t>
  </si>
  <si>
    <t>ADJUSTMENT FIRST YEAR</t>
  </si>
  <si>
    <t>ISPF</t>
  </si>
  <si>
    <t>SHAPIRO ROBERT A</t>
  </si>
  <si>
    <t>TRETT MARY L</t>
  </si>
  <si>
    <t>00023531138K</t>
  </si>
  <si>
    <t>7V14WW8FC71</t>
  </si>
  <si>
    <t>ELDRENKAMP JAMES M</t>
  </si>
  <si>
    <t>00023552486K</t>
  </si>
  <si>
    <t>7KV7U11KK33</t>
  </si>
  <si>
    <t>MOORE LAURA A</t>
  </si>
  <si>
    <t>00023560690K</t>
  </si>
  <si>
    <t>1H88HT3TY46</t>
  </si>
  <si>
    <t>STROHMAN BRIAN C</t>
  </si>
  <si>
    <t>VOOGD HILL ANN L</t>
  </si>
  <si>
    <t>00023594897K</t>
  </si>
  <si>
    <t>3U22A47DV27</t>
  </si>
  <si>
    <t>FUENTES VICTOR</t>
  </si>
  <si>
    <t>BOWMAN MARIANNE</t>
  </si>
  <si>
    <t>00023584451K</t>
  </si>
  <si>
    <t>9N09A40XJ26</t>
  </si>
  <si>
    <t>SENTMAN SANDRA</t>
  </si>
  <si>
    <t>KOLLMAN THOMPSON PATRICIA</t>
  </si>
  <si>
    <t>00023576347K</t>
  </si>
  <si>
    <t>4E90HX7CN18</t>
  </si>
  <si>
    <t>ENNSMAN MICHELLE E</t>
  </si>
  <si>
    <t>00023611146K</t>
  </si>
  <si>
    <t>2M20A80CK38</t>
  </si>
  <si>
    <t>SANDEROCK MARSHA</t>
  </si>
  <si>
    <t>VORIS DANNY K</t>
  </si>
  <si>
    <t>00023545815K</t>
  </si>
  <si>
    <t>4DA4GH6KV04</t>
  </si>
  <si>
    <t>HARRIS MONTI S</t>
  </si>
  <si>
    <t>00023581570K</t>
  </si>
  <si>
    <t>8TU1UR9EF98</t>
  </si>
  <si>
    <t>RYSTED KATHLEEN M</t>
  </si>
  <si>
    <t>00023592603K</t>
  </si>
  <si>
    <t>2HM6C22QJ45</t>
  </si>
  <si>
    <t>TREADWAY JUSTIN T</t>
  </si>
  <si>
    <t>00023609251K</t>
  </si>
  <si>
    <t>1JJ8Y18XG21</t>
  </si>
  <si>
    <t>TREADWAY LINDA L</t>
  </si>
  <si>
    <t>00023610218K</t>
  </si>
  <si>
    <t>2CP5A92JX60</t>
  </si>
  <si>
    <t>HARRIS RHONDA J</t>
  </si>
  <si>
    <t>00023610811K</t>
  </si>
  <si>
    <t>4MA7YY6JG44</t>
  </si>
  <si>
    <t>LUSE ALISON L</t>
  </si>
  <si>
    <t>MILLER MARTIN C</t>
  </si>
  <si>
    <t>00000853696A</t>
  </si>
  <si>
    <t>MS</t>
  </si>
  <si>
    <t>MED SUPP RENEWAL ACHIEVE</t>
  </si>
  <si>
    <t>MSRA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</si>
  <si>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</si>
  <si>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</si>
  <si>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</si>
  <si>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</si>
  <si>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</si>
  <si>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</si>
  <si>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</si>
  <si>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</si>
  <si>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</si>
  <si>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</si>
  <si>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</si>
  <si>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</si>
  <si>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</si>
  <si>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</si>
  <si>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</si>
  <si>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</si>
  <si>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</si>
  <si>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</si>
  <si>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</si>
  <si>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</si>
  <si>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</si>
  <si>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</si>
  <si>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</si>
  <si>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</si>
  <si>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</si>
  <si>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</si>
  <si>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</si>
  <si>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</si>
  <si>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</si>
  <si>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</si>
  <si>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</si>
  <si>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</si>
  <si>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</si>
  <si>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HOFFMANN JASON R</t>
  </si>
  <si>
    <t>TRAINOR JACQUELINE M</t>
  </si>
  <si>
    <t>00000106089A</t>
  </si>
  <si>
    <t>VAGNONI BONNIE M</t>
  </si>
  <si>
    <t>00000770493A</t>
  </si>
  <si>
    <t>MOFFAT STEVE C</t>
  </si>
  <si>
    <t>00000779014A</t>
  </si>
  <si>
    <t>FATSIS CINDY L</t>
  </si>
  <si>
    <t>00000795448A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</si>
  <si>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</si>
  <si>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</si>
  <si>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</si>
  <si>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</si>
  <si>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</si>
  <si>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</si>
  <si>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</si>
  <si>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</si>
  <si>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</si>
  <si>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</si>
  <si>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</si>
  <si>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</si>
  <si>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DEANE CLARKE BRENDA A</t>
  </si>
  <si>
    <t>00001033410A</t>
  </si>
  <si>
    <t>11174777</t>
  </si>
  <si>
    <t>MED SUPP ANNUALIZED STD ADJ</t>
  </si>
  <si>
    <t>MSAP</t>
  </si>
  <si>
    <t>CLARKE JOHN E</t>
  </si>
  <si>
    <t>00001033564A</t>
  </si>
  <si>
    <t>11174779</t>
  </si>
  <si>
    <t>HITZ ROBERT A</t>
  </si>
  <si>
    <t>00001034709A</t>
  </si>
  <si>
    <t>11177256</t>
  </si>
  <si>
    <t>GENT CHARLES W</t>
  </si>
  <si>
    <t>00001034894A</t>
  </si>
  <si>
    <t>11176316</t>
  </si>
  <si>
    <t>WILLIAMS ROLAND E</t>
  </si>
  <si>
    <t>00001044517A</t>
  </si>
  <si>
    <t>MED SUPP ANNUALIZED STANDARD</t>
  </si>
  <si>
    <t>MSAS</t>
  </si>
  <si>
    <t>WILLIAMS KIM M</t>
  </si>
  <si>
    <t>00001044593A</t>
  </si>
  <si>
    <t>KUCAN THOMAS</t>
  </si>
  <si>
    <t>BECK DEBRA A</t>
  </si>
  <si>
    <t>00000776552A</t>
  </si>
  <si>
    <t>PARADIS ELIZABETH A</t>
  </si>
  <si>
    <t>00000782684A</t>
  </si>
  <si>
    <t>GESKE HEATHER M</t>
  </si>
  <si>
    <t>TISCHNER REBECKAH B</t>
  </si>
  <si>
    <t>00000863285A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</si>
  <si>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</si>
  <si>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</si>
  <si>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</si>
  <si>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</si>
  <si>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</si>
  <si>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</si>
  <si>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</si>
  <si>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</si>
  <si>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</si>
  <si>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</si>
  <si>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</si>
  <si>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</si>
  <si>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</si>
  <si>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</si>
  <si>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</si>
  <si>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</si>
  <si>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</si>
  <si>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</si>
  <si>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</si>
  <si>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</si>
  <si>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</si>
  <si>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</si>
  <si>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</si>
  <si>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</si>
  <si>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</si>
  <si>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</si>
  <si>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</si>
  <si>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</si>
  <si>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</si>
  <si>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</si>
  <si>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</si>
  <si>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</si>
  <si>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</si>
  <si>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</si>
  <si>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</si>
  <si>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</si>
  <si>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</si>
  <si>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</si>
  <si>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</si>
  <si>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</si>
  <si>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</si>
  <si>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</si>
  <si>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</si>
  <si>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</si>
  <si>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</si>
  <si>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</si>
  <si>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</si>
  <si>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</si>
  <si>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MINK PATRICIA S</t>
  </si>
  <si>
    <t>00000852234A</t>
  </si>
  <si>
    <t>BRAUN MARTIN J</t>
  </si>
  <si>
    <t>00000853856A</t>
  </si>
  <si>
    <t>LUTZ SUSAN M</t>
  </si>
  <si>
    <t>00000859842A</t>
  </si>
  <si>
    <t>HEALEY JOSEPH L</t>
  </si>
  <si>
    <t>00000866096A</t>
  </si>
  <si>
    <t>YARKOSKY RONALD G</t>
  </si>
  <si>
    <t>00001040612A</t>
  </si>
  <si>
    <t>11184020</t>
  </si>
  <si>
    <t>ANNUALIZED ACHIEVE STD ADJ</t>
  </si>
  <si>
    <t>ACAA</t>
  </si>
  <si>
    <t>MARGESON TAMMY A</t>
  </si>
  <si>
    <t>00001043925A</t>
  </si>
  <si>
    <t>MED SUPP ANNUALIZED ACHIEVE</t>
  </si>
  <si>
    <t>MSAA</t>
  </si>
  <si>
    <t>Madigan Kathleen</t>
  </si>
  <si>
    <t>9029971470</t>
  </si>
  <si>
    <t>Kirkpatrick Judy</t>
  </si>
  <si>
    <t>9031083750</t>
  </si>
  <si>
    <t>McAdoo John R</t>
  </si>
  <si>
    <t>9031100360</t>
  </si>
  <si>
    <t>HAYES REBECCA J</t>
  </si>
  <si>
    <t>00000858093A</t>
  </si>
  <si>
    <t>OLIVER BRITTANY</t>
  </si>
  <si>
    <t>Johnson Crystal</t>
  </si>
  <si>
    <t>9030503940</t>
  </si>
  <si>
    <t>Benassi Joseph</t>
  </si>
  <si>
    <t>9030504200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</si>
  <si>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</si>
  <si>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</si>
  <si>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</si>
  <si>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</si>
  <si>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</si>
  <si>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</si>
  <si>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</si>
  <si>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</si>
  <si>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</si>
  <si>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</si>
  <si>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</si>
  <si>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Daube Tyler</t>
  </si>
  <si>
    <t>9030982010</t>
  </si>
  <si>
    <t>Yates Hanna R</t>
  </si>
  <si>
    <t>9031089540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</si>
  <si>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</si>
  <si>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</si>
  <si>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</si>
  <si>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</si>
  <si>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</si>
  <si>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</si>
  <si>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</si>
  <si>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</si>
  <si>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</si>
  <si>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</si>
  <si>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</si>
  <si>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HALL VIVIAN A</t>
  </si>
  <si>
    <t>00001035932A</t>
  </si>
  <si>
    <t>11178917</t>
  </si>
  <si>
    <t>HALL JAMES S</t>
  </si>
  <si>
    <t>00001036691A</t>
  </si>
  <si>
    <t>11178919</t>
  </si>
  <si>
    <t>MAX RONALD J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</si>
  <si>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</si>
  <si>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</si>
  <si>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</si>
  <si>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</si>
  <si>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</si>
  <si>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</si>
  <si>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</si>
  <si>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</si>
  <si>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</si>
  <si>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</si>
  <si>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</si>
  <si>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</si>
  <si>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</si>
  <si>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</si>
  <si>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HALL LOUIS R</t>
  </si>
  <si>
    <t>00001033228A</t>
  </si>
  <si>
    <t>11174854</t>
  </si>
  <si>
    <t>ZAIKO KAREN L</t>
  </si>
  <si>
    <t>00001036245A</t>
  </si>
  <si>
    <t>11179038</t>
  </si>
  <si>
    <t>HALL MARLENE A</t>
  </si>
  <si>
    <t>00001037524A</t>
  </si>
  <si>
    <t>TROTT MICHAEL L</t>
  </si>
  <si>
    <t>00001039124A</t>
  </si>
  <si>
    <t>11179024</t>
  </si>
  <si>
    <t>HUNT SHARON</t>
  </si>
  <si>
    <t>00001042389A</t>
  </si>
  <si>
    <t>NOLAN MARIANNE P</t>
  </si>
  <si>
    <t>00001028894A</t>
  </si>
  <si>
    <t>SCHUMANN BARRY L</t>
  </si>
  <si>
    <t>PATTI TAMSEN T</t>
  </si>
  <si>
    <t>00001044822A</t>
  </si>
  <si>
    <t>GRESHAM MARK K</t>
  </si>
  <si>
    <t>00001026530A</t>
  </si>
  <si>
    <t>11166859</t>
  </si>
  <si>
    <t>Green Patti</t>
  </si>
  <si>
    <t>9029455080</t>
  </si>
  <si>
    <t>Smith Jeffrey</t>
  </si>
  <si>
    <t>9030268320</t>
  </si>
  <si>
    <t>KOZACHECK ANNE MARIE</t>
  </si>
  <si>
    <t>COSGROVE SEAN T</t>
  </si>
  <si>
    <t>00000836012A</t>
  </si>
  <si>
    <t>MEROW JODIEANN R</t>
  </si>
  <si>
    <t>00000859355A</t>
  </si>
  <si>
    <t>SAJED AMER A</t>
  </si>
  <si>
    <t>00001021403A</t>
  </si>
  <si>
    <t>11160315</t>
  </si>
  <si>
    <t>HIGNUTT GEORGE B</t>
  </si>
  <si>
    <t>00001036327A</t>
  </si>
  <si>
    <t>KAUFFMAN GLENN I</t>
  </si>
  <si>
    <t>00001039469A</t>
  </si>
  <si>
    <t>11182702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</si>
  <si>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</si>
  <si>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</si>
  <si>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</si>
  <si>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</si>
  <si>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</si>
  <si>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</si>
  <si>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</si>
  <si>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</si>
  <si>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</si>
  <si>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</si>
  <si>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</si>
  <si>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</si>
  <si>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Levy Suzanne</t>
  </si>
  <si>
    <t>9030902230</t>
  </si>
  <si>
    <t>WALKER SCOTT E</t>
  </si>
  <si>
    <t>00001030218A</t>
  </si>
  <si>
    <t>BENITEZ JOVITO N</t>
  </si>
  <si>
    <t>00001041229A</t>
  </si>
  <si>
    <t>11194412</t>
  </si>
  <si>
    <t>PEISKER MARGUERITE A</t>
  </si>
  <si>
    <t>00001043505A</t>
  </si>
  <si>
    <t>ROCCIA MARK</t>
  </si>
  <si>
    <t>FREIBERGER DIANE M</t>
  </si>
  <si>
    <t>00001031023A</t>
  </si>
  <si>
    <t>11171340</t>
  </si>
  <si>
    <t>FREIBERGER GARY L</t>
  </si>
  <si>
    <t>00001031421A</t>
  </si>
  <si>
    <t>11171312</t>
  </si>
  <si>
    <t>WARD AMY G</t>
  </si>
  <si>
    <t>00001033038A</t>
  </si>
  <si>
    <t>11173762</t>
  </si>
  <si>
    <t>STACKHOUSE HARRY R</t>
  </si>
  <si>
    <t>00001035217A</t>
  </si>
  <si>
    <t>11176816</t>
  </si>
  <si>
    <t>STACKHOUSE SHELIA B</t>
  </si>
  <si>
    <t>00001035527A</t>
  </si>
  <si>
    <t>11176812</t>
  </si>
  <si>
    <t>KHURI HULL LISA L</t>
  </si>
  <si>
    <t>00001041166A</t>
  </si>
  <si>
    <t>HULL DONALD M</t>
  </si>
  <si>
    <t>00001041675A</t>
  </si>
  <si>
    <t>11194374</t>
  </si>
  <si>
    <t>DEWOLF SUSAN B</t>
  </si>
  <si>
    <t>00001041987A</t>
  </si>
  <si>
    <t>DURANTE AUGUST P</t>
  </si>
  <si>
    <t>00001042182A</t>
  </si>
  <si>
    <t>Humana Dental &amp; Vision</t>
  </si>
  <si>
    <t>Humana PDP 2025!</t>
  </si>
  <si>
    <t>Humana AL, AZ, AR, GA, etc. Plan N OE &amp; UW</t>
  </si>
  <si>
    <t>Humana 65-80 AL, AZ, AR, GA, etc. All Except N OE &amp; UW</t>
  </si>
  <si>
    <t>Humana 81+ AL, AZ, AR, GA, etc. All Except N OE &amp; UW</t>
  </si>
  <si>
    <t>Humana MedSupp U65</t>
  </si>
  <si>
    <t>Humana Plan N OE &amp; UW Age 81+</t>
  </si>
  <si>
    <t>[%/$=313][prorate=9/12]</t>
  </si>
  <si>
    <t>[%/$=313][prorate=7/12]</t>
  </si>
  <si>
    <t>[%/$=313][prorate=5/12]</t>
  </si>
  <si>
    <t>[%/$=313][prorate=4/12]</t>
  </si>
  <si>
    <t>[%/$=313][prorate=3/12]</t>
  </si>
  <si>
    <t>[%/$=313][prorate=1/12]</t>
  </si>
  <si>
    <t>[%/$=313][prorate=2/12]</t>
  </si>
  <si>
    <t>Humana MAPD 2025*</t>
  </si>
  <si>
    <t>[%/$=626]</t>
  </si>
  <si>
    <t>Humana 2025 CT, PA, DC *</t>
  </si>
  <si>
    <t>[%/$=353][prorate=3/12]</t>
  </si>
  <si>
    <t>[%/$=705]</t>
  </si>
  <si>
    <t>[%/$=626][prorate=8/12]</t>
  </si>
  <si>
    <t>Humana 2025 CT, PA, DC</t>
  </si>
  <si>
    <t>Humana 2025</t>
  </si>
  <si>
    <t>DAIDONE</t>
  </si>
  <si>
    <t>LAURA</t>
  </si>
  <si>
    <t>BLASCO</t>
  </si>
  <si>
    <t>BOWMAN</t>
  </si>
  <si>
    <t>MARIANNE</t>
  </si>
  <si>
    <t>BREHME</t>
  </si>
  <si>
    <t>NANCY</t>
  </si>
  <si>
    <t>BROWN</t>
  </si>
  <si>
    <t>KATHERINE</t>
  </si>
  <si>
    <t>BROWNING</t>
  </si>
  <si>
    <t>ALICE</t>
  </si>
  <si>
    <t>CALZONZI</t>
  </si>
  <si>
    <t>GILBERT</t>
  </si>
  <si>
    <t>CARDIN</t>
  </si>
  <si>
    <t>AMANDA</t>
  </si>
  <si>
    <t>COOPER</t>
  </si>
  <si>
    <t>CORAL</t>
  </si>
  <si>
    <t>COSSYLEON</t>
  </si>
  <si>
    <t>ROSE</t>
  </si>
  <si>
    <t>DHAMER</t>
  </si>
  <si>
    <t>MEG</t>
  </si>
  <si>
    <t>ELDRENKAMP</t>
  </si>
  <si>
    <t>JAMES</t>
  </si>
  <si>
    <t>FRANKLIN</t>
  </si>
  <si>
    <t>ALVIN</t>
  </si>
  <si>
    <t>GARCIA</t>
  </si>
  <si>
    <t>FRANCISCO</t>
  </si>
  <si>
    <t>HOWARD</t>
  </si>
  <si>
    <t>EDWARD</t>
  </si>
  <si>
    <t>JENSEN</t>
  </si>
  <si>
    <t>KAREN</t>
  </si>
  <si>
    <t>JOHNSON</t>
  </si>
  <si>
    <t>ROARK</t>
  </si>
  <si>
    <t>KELLY</t>
  </si>
  <si>
    <t>KARYN</t>
  </si>
  <si>
    <t>KHOUSAKOUN</t>
  </si>
  <si>
    <t>SOMDETH</t>
  </si>
  <si>
    <t>KOLLMAN</t>
  </si>
  <si>
    <t>THOMPSON</t>
  </si>
  <si>
    <t>PATRICIA</t>
  </si>
  <si>
    <t>LUPOU</t>
  </si>
  <si>
    <t>DUMITRU</t>
  </si>
  <si>
    <t>MENDEZ</t>
  </si>
  <si>
    <t>SAUL</t>
  </si>
  <si>
    <t>MIRKOVIC</t>
  </si>
  <si>
    <t>ZAGORKA</t>
  </si>
  <si>
    <t>MOORE</t>
  </si>
  <si>
    <t>NIKOLOVA</t>
  </si>
  <si>
    <t>SNEJANKA</t>
  </si>
  <si>
    <t>PHIPPS</t>
  </si>
  <si>
    <t>RODRIGUEZ</t>
  </si>
  <si>
    <t>EDMUND</t>
  </si>
  <si>
    <t>SASAKI</t>
  </si>
  <si>
    <t>DAVIS</t>
  </si>
  <si>
    <t>STAUB</t>
  </si>
  <si>
    <t>SULLIVAN</t>
  </si>
  <si>
    <t>MARIE</t>
  </si>
  <si>
    <t>ROY</t>
  </si>
  <si>
    <t>TRETT</t>
  </si>
  <si>
    <t>MARY</t>
  </si>
  <si>
    <t>TURF</t>
  </si>
  <si>
    <t>JEANNE</t>
  </si>
  <si>
    <t>SCOTT</t>
  </si>
  <si>
    <t>VARJU</t>
  </si>
  <si>
    <t>RANDY</t>
  </si>
  <si>
    <t>YOUNG</t>
  </si>
  <si>
    <t>LISA</t>
  </si>
  <si>
    <t>MENDENHALL</t>
  </si>
  <si>
    <t>JOYCE</t>
  </si>
  <si>
    <t>PHELAN</t>
  </si>
  <si>
    <t>BARBARA</t>
  </si>
  <si>
    <t>TISCHNER</t>
  </si>
  <si>
    <t>REBECKAH</t>
  </si>
  <si>
    <t>STOUT</t>
  </si>
  <si>
    <t>PATTY</t>
  </si>
  <si>
    <t>AALBERTS</t>
  </si>
  <si>
    <t>WENDY</t>
  </si>
  <si>
    <t>CRAIG</t>
  </si>
  <si>
    <t>GREGORY</t>
  </si>
  <si>
    <t>ELAINE</t>
  </si>
  <si>
    <t>WILLIAMS</t>
  </si>
  <si>
    <t>MARJORIE</t>
  </si>
  <si>
    <t>BARNER</t>
  </si>
  <si>
    <t>MILLER</t>
  </si>
  <si>
    <t>MARTIN</t>
  </si>
  <si>
    <t>BRISTEL</t>
  </si>
  <si>
    <t>ROBERT</t>
  </si>
  <si>
    <t>NEWMAN</t>
  </si>
  <si>
    <t>LESLIE</t>
  </si>
  <si>
    <t>BALSINGER</t>
  </si>
  <si>
    <t>VIRGINIA</t>
  </si>
  <si>
    <t>DENISE</t>
  </si>
  <si>
    <t>GRESS</t>
  </si>
  <si>
    <t>HARPER</t>
  </si>
  <si>
    <t>LYNNE</t>
  </si>
  <si>
    <t>DARCY</t>
  </si>
  <si>
    <t>DEBRA</t>
  </si>
  <si>
    <t>MINK</t>
  </si>
  <si>
    <t>REPACK</t>
  </si>
  <si>
    <t>CAROL</t>
  </si>
  <si>
    <t>RICCI</t>
  </si>
  <si>
    <t>SHERRY</t>
  </si>
  <si>
    <t>HAYES</t>
  </si>
  <si>
    <t>REBECCA</t>
  </si>
  <si>
    <t>DONALD</t>
  </si>
  <si>
    <t>LYNN</t>
  </si>
  <si>
    <t>PAMELA</t>
  </si>
  <si>
    <t>REBMANN</t>
  </si>
  <si>
    <t>MAUREEN</t>
  </si>
  <si>
    <t>KUNKEL</t>
  </si>
  <si>
    <t>LINAHAN</t>
  </si>
  <si>
    <t>DIANE</t>
  </si>
  <si>
    <t>MEROW</t>
  </si>
  <si>
    <t>JODIEANN</t>
  </si>
  <si>
    <t>HEALEY</t>
  </si>
  <si>
    <t>JOSEPH</t>
  </si>
  <si>
    <t>HOLETS</t>
  </si>
  <si>
    <t>DAVID</t>
  </si>
  <si>
    <t>KIMMICH</t>
  </si>
  <si>
    <t>KARL</t>
  </si>
  <si>
    <t>MOMEYER</t>
  </si>
  <si>
    <t>WILLIAM</t>
  </si>
  <si>
    <t>GILDEN</t>
  </si>
  <si>
    <t>ROBIN</t>
  </si>
  <si>
    <t>SCISCIANI</t>
  </si>
  <si>
    <t>DENNIS</t>
  </si>
  <si>
    <t>COSGROVE</t>
  </si>
  <si>
    <t>SEAN</t>
  </si>
  <si>
    <t>FATSIS</t>
  </si>
  <si>
    <t>CINDY</t>
  </si>
  <si>
    <t>BRAUN</t>
  </si>
  <si>
    <t>VAGNONI</t>
  </si>
  <si>
    <t>BONNIE</t>
  </si>
  <si>
    <t>KAUFFMAN</t>
  </si>
  <si>
    <t>GLENN</t>
  </si>
  <si>
    <t>HALL</t>
  </si>
  <si>
    <t>VIVIAN</t>
  </si>
  <si>
    <t>DEANE</t>
  </si>
  <si>
    <t>CLARKE</t>
  </si>
  <si>
    <t>BRENDA</t>
  </si>
  <si>
    <t>MARLENE</t>
  </si>
  <si>
    <t>KIM</t>
  </si>
  <si>
    <t>ZAIKO</t>
  </si>
  <si>
    <t>WARD</t>
  </si>
  <si>
    <t>AMY</t>
  </si>
  <si>
    <t>YARKOSKY</t>
  </si>
  <si>
    <t>RONALD</t>
  </si>
  <si>
    <t>SAJED</t>
  </si>
  <si>
    <t>AMER</t>
  </si>
  <si>
    <t>NOLAN</t>
  </si>
  <si>
    <t>LOUIS</t>
  </si>
  <si>
    <t>HITZ</t>
  </si>
  <si>
    <t>HUNT</t>
  </si>
  <si>
    <t>SHARON</t>
  </si>
  <si>
    <t>GRESHAM</t>
  </si>
  <si>
    <t>MARK</t>
  </si>
  <si>
    <t>GENT</t>
  </si>
  <si>
    <t>CHARLES</t>
  </si>
  <si>
    <t>ROLAND</t>
  </si>
  <si>
    <t>FREIBERGER</t>
  </si>
  <si>
    <t>PEISKER</t>
  </si>
  <si>
    <t>MARGUERITE</t>
  </si>
  <si>
    <t>BENITEZ</t>
  </si>
  <si>
    <t>JOVITO</t>
  </si>
  <si>
    <t>DEWOLF</t>
  </si>
  <si>
    <t>SUSAN</t>
  </si>
  <si>
    <t>JOHN</t>
  </si>
  <si>
    <t>TROTT</t>
  </si>
  <si>
    <t>MICHAEL</t>
  </si>
  <si>
    <t>WALKER</t>
  </si>
  <si>
    <t>GARY</t>
  </si>
  <si>
    <t>PATTI</t>
  </si>
  <si>
    <t>TAMSEN</t>
  </si>
  <si>
    <t>KIRBY</t>
  </si>
  <si>
    <t>ANN</t>
  </si>
  <si>
    <t>COOK</t>
  </si>
  <si>
    <t>DORIANE</t>
  </si>
  <si>
    <t>JENKINS</t>
  </si>
  <si>
    <t>LINDA</t>
  </si>
  <si>
    <t>KIMBERLY</t>
  </si>
  <si>
    <t>SUN</t>
  </si>
  <si>
    <t>LIPING</t>
  </si>
  <si>
    <t>EDWARDS</t>
  </si>
  <si>
    <t>JEROME</t>
  </si>
  <si>
    <t>MEYERS</t>
  </si>
  <si>
    <t>STEPHEN</t>
  </si>
  <si>
    <t>KEVIN</t>
  </si>
  <si>
    <t>SHUZHONG</t>
  </si>
  <si>
    <t>BECK</t>
  </si>
  <si>
    <t>PARADIS</t>
  </si>
  <si>
    <t>ELIZABETH</t>
  </si>
  <si>
    <t>MATHIES</t>
  </si>
  <si>
    <t>DEAN</t>
  </si>
  <si>
    <t>HOWAT</t>
  </si>
  <si>
    <t>RANDOLPH</t>
  </si>
  <si>
    <t>TRAINOR</t>
  </si>
  <si>
    <t>JACQUELINE</t>
  </si>
  <si>
    <t>MOFFAT</t>
  </si>
  <si>
    <t>STEVE</t>
  </si>
  <si>
    <t>KHURI</t>
  </si>
  <si>
    <t>HULL</t>
  </si>
  <si>
    <t>STACKHOUSE</t>
  </si>
  <si>
    <t>SHELIA</t>
  </si>
  <si>
    <t>MARGESON</t>
  </si>
  <si>
    <t>TAMMY</t>
  </si>
  <si>
    <t>HARRY</t>
  </si>
  <si>
    <t>DURANTE</t>
  </si>
  <si>
    <t>AUGUST</t>
  </si>
  <si>
    <t>Yates</t>
  </si>
  <si>
    <t>Hanna</t>
  </si>
  <si>
    <t>Benassi</t>
  </si>
  <si>
    <t>Joseph</t>
  </si>
  <si>
    <t>Aiello</t>
  </si>
  <si>
    <t>Lisa</t>
  </si>
  <si>
    <t>Hudock</t>
  </si>
  <si>
    <t>Beth</t>
  </si>
  <si>
    <t>Johnson</t>
  </si>
  <si>
    <t>Eric</t>
  </si>
  <si>
    <t>Johnston</t>
  </si>
  <si>
    <t>Barbara</t>
  </si>
  <si>
    <t>Levy</t>
  </si>
  <si>
    <t>Suzanne</t>
  </si>
  <si>
    <t>Madigan</t>
  </si>
  <si>
    <t>Kathleen</t>
  </si>
  <si>
    <t>McCorkle</t>
  </si>
  <si>
    <t>Michelle</t>
  </si>
  <si>
    <t>Reardon-Bressi</t>
  </si>
  <si>
    <t>Shane</t>
  </si>
  <si>
    <t>Ricciuti</t>
  </si>
  <si>
    <t>Angela</t>
  </si>
  <si>
    <t>Baker</t>
  </si>
  <si>
    <t>Michael</t>
  </si>
  <si>
    <t>Breuer</t>
  </si>
  <si>
    <t>Sharon</t>
  </si>
  <si>
    <t>Davison</t>
  </si>
  <si>
    <t>Kimberly</t>
  </si>
  <si>
    <t>Dornbierer</t>
  </si>
  <si>
    <t>Christie</t>
  </si>
  <si>
    <t>Smith</t>
  </si>
  <si>
    <t>Jeffrey</t>
  </si>
  <si>
    <t>Taber</t>
  </si>
  <si>
    <t>Carrie</t>
  </si>
  <si>
    <t>Thompson</t>
  </si>
  <si>
    <t>Therese</t>
  </si>
  <si>
    <t>Daube</t>
  </si>
  <si>
    <t>Tyler</t>
  </si>
  <si>
    <t>Kirkpatrick</t>
  </si>
  <si>
    <t>Judy</t>
  </si>
  <si>
    <t>Breedy</t>
  </si>
  <si>
    <t>Patrick</t>
  </si>
  <si>
    <t>Sajed</t>
  </si>
  <si>
    <t>Amer</t>
  </si>
  <si>
    <t>Larimer</t>
  </si>
  <si>
    <t>Petrovic</t>
  </si>
  <si>
    <t>Janine</t>
  </si>
  <si>
    <t>Finlen</t>
  </si>
  <si>
    <t>Carla</t>
  </si>
  <si>
    <t>Schmidt</t>
  </si>
  <si>
    <t>Rebekah</t>
  </si>
  <si>
    <t>Young</t>
  </si>
  <si>
    <t>Joanna</t>
  </si>
  <si>
    <t>Ferrari</t>
  </si>
  <si>
    <t>Massimo</t>
  </si>
  <si>
    <t>Crystal</t>
  </si>
  <si>
    <t>Green</t>
  </si>
  <si>
    <t>Patti</t>
  </si>
  <si>
    <t>McClure</t>
  </si>
  <si>
    <t>Jessica</t>
  </si>
  <si>
    <t>Carr</t>
  </si>
  <si>
    <t>William</t>
  </si>
  <si>
    <t>McAdoo</t>
  </si>
  <si>
    <t>John</t>
  </si>
  <si>
    <t>DUSZCZYK</t>
  </si>
  <si>
    <t>PAWEL</t>
  </si>
  <si>
    <t>SCHULD</t>
  </si>
  <si>
    <t>RICHARD</t>
  </si>
  <si>
    <t>FERRER</t>
  </si>
  <si>
    <t>ELIA</t>
  </si>
  <si>
    <t>FRANKS</t>
  </si>
  <si>
    <t>WANDA</t>
  </si>
  <si>
    <t>GALINDO</t>
  </si>
  <si>
    <t>TORRES</t>
  </si>
  <si>
    <t>GOODNER</t>
  </si>
  <si>
    <t>HEIN</t>
  </si>
  <si>
    <t>ROSS</t>
  </si>
  <si>
    <t>TERRY</t>
  </si>
  <si>
    <t>ALAGHEBAND</t>
  </si>
  <si>
    <t>TAGHI</t>
  </si>
  <si>
    <t>BALDERAS</t>
  </si>
  <si>
    <t>MONICA</t>
  </si>
  <si>
    <t>BERRY</t>
  </si>
  <si>
    <t>BUTT</t>
  </si>
  <si>
    <t>AFSHAN</t>
  </si>
  <si>
    <t>DREIS</t>
  </si>
  <si>
    <t>DAYNA</t>
  </si>
  <si>
    <t>ENNSMAN</t>
  </si>
  <si>
    <t>MICHELLE</t>
  </si>
  <si>
    <t>MOSSMAN</t>
  </si>
  <si>
    <t>EVA</t>
  </si>
  <si>
    <t>REHMANI</t>
  </si>
  <si>
    <t>KHALID</t>
  </si>
  <si>
    <t>KERNER</t>
  </si>
  <si>
    <t>ELIGIO</t>
  </si>
  <si>
    <t>VIANEY</t>
  </si>
  <si>
    <t>COFFMAN</t>
  </si>
  <si>
    <t>BRIAN</t>
  </si>
  <si>
    <t>LUTZ</t>
  </si>
  <si>
    <t>SPROUSE</t>
  </si>
  <si>
    <t>HARRIS</t>
  </si>
  <si>
    <t>RHONDA</t>
  </si>
  <si>
    <t>TREADWAY</t>
  </si>
  <si>
    <t>JUSTIN</t>
  </si>
  <si>
    <t>WOODS</t>
  </si>
  <si>
    <t>KOMENDA</t>
  </si>
  <si>
    <t>BERNADETTE</t>
  </si>
  <si>
    <t>VOOGD</t>
  </si>
  <si>
    <t>ALVIS</t>
  </si>
  <si>
    <t>JACQUELYN</t>
  </si>
  <si>
    <t>MONTI</t>
  </si>
  <si>
    <t>RYSTED</t>
  </si>
  <si>
    <t>KATHLEEN</t>
  </si>
  <si>
    <t>VORIS</t>
  </si>
  <si>
    <t>DANNY</t>
  </si>
  <si>
    <t>HIGNUTT</t>
  </si>
  <si>
    <t>GEORGE</t>
  </si>
  <si>
    <t>17528908N</t>
  </si>
  <si>
    <t>9254978N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</si>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</sst>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 applyAlignment="1">
      <alignment horizontal="left"/>
    </xf>
    <xf numFmtId="0" fontId="0" fillId="33" borderId="0" xfId="0" applyFill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240D-48BC-4DF5-8228-870288D675A4}">
  <dimension ref="A1:AP194"/>
  <sheetViews>
    <sheetView topLeftCell="M1" workbookViewId="0">
      <selection activeCell="M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45910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22648400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45901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18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45901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45910</v>
      </c>
      <c r="C3" s="4" t="s">
        <v>42</v>
      </c>
      <c r="D3" s="2">
        <v>1427681</v>
      </c>
      <c r="E3" s="4" t="s">
        <v>56</v>
      </c>
      <c r="F3" s="4" t="s">
        <v>57</v>
      </c>
      <c r="G3" s="2">
        <v>712757040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45809</v>
      </c>
      <c r="M3" s="4" t="s">
        <v>59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</v>
      </c>
      <c r="W3" s="5">
        <v>0</v>
      </c>
      <c r="X3" s="5">
        <v>100</v>
      </c>
      <c r="Y3" s="5">
        <v>-339.08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45809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45910</v>
      </c>
      <c r="C4" s="4" t="s">
        <v>42</v>
      </c>
      <c r="D4" s="2">
        <v>1427681</v>
      </c>
      <c r="E4" s="4" t="s">
        <v>56</v>
      </c>
      <c r="F4" s="4" t="s">
        <v>57</v>
      </c>
      <c r="G4" s="2">
        <v>712757040</v>
      </c>
      <c r="H4" s="4" t="s">
        <v>58</v>
      </c>
      <c r="I4" s="4" t="s">
        <v>46</v>
      </c>
      <c r="J4" s="4" t="s">
        <v>47</v>
      </c>
      <c r="K4" s="4" t="s">
        <v>48</v>
      </c>
      <c r="L4" s="3">
        <v>45809</v>
      </c>
      <c r="M4" s="4" t="s">
        <v>59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60</v>
      </c>
      <c r="U4" s="4" t="s">
        <v>46</v>
      </c>
      <c r="V4" s="5">
        <v>-0.25</v>
      </c>
      <c r="W4" s="5">
        <v>0</v>
      </c>
      <c r="X4" s="5">
        <v>100</v>
      </c>
      <c r="Y4" s="5">
        <v>-78.25</v>
      </c>
      <c r="Z4" s="4" t="s">
        <v>46</v>
      </c>
      <c r="AA4" s="5" t="s">
        <v>46</v>
      </c>
      <c r="AB4" s="4" t="s">
        <v>62</v>
      </c>
      <c r="AC4" s="4" t="s">
        <v>46</v>
      </c>
      <c r="AD4" s="5">
        <v>0</v>
      </c>
      <c r="AE4" s="4" t="s">
        <v>63</v>
      </c>
      <c r="AF4" s="3">
        <v>45809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61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45910</v>
      </c>
      <c r="C5" s="4" t="s">
        <v>42</v>
      </c>
      <c r="D5" s="2">
        <v>1427681</v>
      </c>
      <c r="E5" s="4" t="s">
        <v>64</v>
      </c>
      <c r="F5" s="4" t="s">
        <v>65</v>
      </c>
      <c r="G5" s="2">
        <v>96265010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45870</v>
      </c>
      <c r="M5" s="4" t="s">
        <v>67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68</v>
      </c>
      <c r="U5" s="4" t="s">
        <v>46</v>
      </c>
      <c r="V5" s="5">
        <v>0</v>
      </c>
      <c r="W5" s="5">
        <v>0</v>
      </c>
      <c r="X5" s="5">
        <v>100</v>
      </c>
      <c r="Y5" s="5">
        <v>495.58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45870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69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45910</v>
      </c>
      <c r="C6" s="4" t="s">
        <v>42</v>
      </c>
      <c r="D6" s="2">
        <v>1427681</v>
      </c>
      <c r="E6" s="4" t="s">
        <v>70</v>
      </c>
      <c r="F6" s="4" t="s">
        <v>71</v>
      </c>
      <c r="G6" s="2">
        <v>899448394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45901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68</v>
      </c>
      <c r="U6" s="4" t="s">
        <v>46</v>
      </c>
      <c r="V6" s="5">
        <v>0</v>
      </c>
      <c r="W6" s="5">
        <v>0</v>
      </c>
      <c r="X6" s="5">
        <v>100</v>
      </c>
      <c r="Y6" s="5">
        <v>521.66999999999996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45901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69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45910</v>
      </c>
      <c r="C7" s="4" t="s">
        <v>42</v>
      </c>
      <c r="D7" s="2">
        <v>1427681</v>
      </c>
      <c r="E7" s="4" t="s">
        <v>73</v>
      </c>
      <c r="F7" s="4" t="s">
        <v>74</v>
      </c>
      <c r="G7" s="2">
        <v>722101053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45962</v>
      </c>
      <c r="M7" s="4" t="s">
        <v>76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68</v>
      </c>
      <c r="U7" s="4" t="s">
        <v>46</v>
      </c>
      <c r="V7" s="5">
        <v>0.17</v>
      </c>
      <c r="W7" s="5">
        <v>0</v>
      </c>
      <c r="X7" s="5">
        <v>100</v>
      </c>
      <c r="Y7" s="5">
        <v>52.17</v>
      </c>
      <c r="Z7" s="4" t="s">
        <v>46</v>
      </c>
      <c r="AA7" s="5" t="s">
        <v>46</v>
      </c>
      <c r="AB7" s="4" t="s">
        <v>62</v>
      </c>
      <c r="AC7" s="4" t="s">
        <v>46</v>
      </c>
      <c r="AD7" s="5">
        <v>0</v>
      </c>
      <c r="AE7" s="4" t="s">
        <v>63</v>
      </c>
      <c r="AF7" s="3">
        <v>45962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69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45910</v>
      </c>
      <c r="C8" s="4" t="s">
        <v>77</v>
      </c>
      <c r="D8" s="2">
        <v>1466196</v>
      </c>
      <c r="E8" s="4" t="s">
        <v>78</v>
      </c>
      <c r="F8" s="4" t="s">
        <v>79</v>
      </c>
      <c r="G8" s="2">
        <v>919003354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45689</v>
      </c>
      <c r="M8" s="4" t="s">
        <v>81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68</v>
      </c>
      <c r="U8" s="4" t="s">
        <v>46</v>
      </c>
      <c r="V8" s="5">
        <v>0</v>
      </c>
      <c r="W8" s="5">
        <v>0</v>
      </c>
      <c r="X8" s="5">
        <v>100</v>
      </c>
      <c r="Y8" s="5">
        <v>-182.58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45689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69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45910</v>
      </c>
      <c r="C9" s="4" t="s">
        <v>77</v>
      </c>
      <c r="D9" s="2">
        <v>1466196</v>
      </c>
      <c r="E9" s="4" t="s">
        <v>78</v>
      </c>
      <c r="F9" s="4" t="s">
        <v>79</v>
      </c>
      <c r="G9" s="2">
        <v>919003354</v>
      </c>
      <c r="H9" s="4" t="s">
        <v>80</v>
      </c>
      <c r="I9" s="4" t="s">
        <v>46</v>
      </c>
      <c r="J9" s="4" t="s">
        <v>47</v>
      </c>
      <c r="K9" s="4" t="s">
        <v>48</v>
      </c>
      <c r="L9" s="3">
        <v>45689</v>
      </c>
      <c r="M9" s="4" t="s">
        <v>81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68</v>
      </c>
      <c r="U9" s="4" t="s">
        <v>46</v>
      </c>
      <c r="V9" s="5">
        <v>-0.42</v>
      </c>
      <c r="W9" s="5">
        <v>0</v>
      </c>
      <c r="X9" s="5">
        <v>100</v>
      </c>
      <c r="Y9" s="5">
        <v>-130.41999999999999</v>
      </c>
      <c r="Z9" s="4" t="s">
        <v>46</v>
      </c>
      <c r="AA9" s="5" t="s">
        <v>46</v>
      </c>
      <c r="AB9" s="4" t="s">
        <v>62</v>
      </c>
      <c r="AC9" s="4" t="s">
        <v>46</v>
      </c>
      <c r="AD9" s="5">
        <v>0</v>
      </c>
      <c r="AE9" s="4" t="s">
        <v>63</v>
      </c>
      <c r="AF9" s="3">
        <v>45689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69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45910</v>
      </c>
      <c r="C10" s="4" t="s">
        <v>77</v>
      </c>
      <c r="D10" s="2">
        <v>1466196</v>
      </c>
      <c r="E10" s="4" t="s">
        <v>82</v>
      </c>
      <c r="F10" s="4" t="s">
        <v>83</v>
      </c>
      <c r="G10" s="2">
        <v>117970323</v>
      </c>
      <c r="H10" s="4" t="s">
        <v>84</v>
      </c>
      <c r="I10" s="4" t="s">
        <v>46</v>
      </c>
      <c r="J10" s="4" t="s">
        <v>47</v>
      </c>
      <c r="K10" s="4" t="s">
        <v>48</v>
      </c>
      <c r="L10" s="3">
        <v>45901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68</v>
      </c>
      <c r="U10" s="4" t="s">
        <v>46</v>
      </c>
      <c r="V10" s="5">
        <v>0</v>
      </c>
      <c r="W10" s="5">
        <v>0</v>
      </c>
      <c r="X10" s="5">
        <v>100</v>
      </c>
      <c r="Y10" s="5">
        <v>521.66999999999996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45901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69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45910</v>
      </c>
      <c r="C11" s="4" t="s">
        <v>77</v>
      </c>
      <c r="D11" s="2">
        <v>1466196</v>
      </c>
      <c r="E11" s="4" t="s">
        <v>85</v>
      </c>
      <c r="F11" s="4" t="s">
        <v>86</v>
      </c>
      <c r="G11" s="2">
        <v>32326703</v>
      </c>
      <c r="H11" s="4" t="s">
        <v>87</v>
      </c>
      <c r="I11" s="4" t="s">
        <v>46</v>
      </c>
      <c r="J11" s="4" t="s">
        <v>47</v>
      </c>
      <c r="K11" s="4" t="s">
        <v>48</v>
      </c>
      <c r="L11" s="3">
        <v>45931</v>
      </c>
      <c r="M11" s="4" t="s">
        <v>88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68</v>
      </c>
      <c r="U11" s="4" t="s">
        <v>46</v>
      </c>
      <c r="V11" s="5">
        <v>0</v>
      </c>
      <c r="W11" s="5">
        <v>0</v>
      </c>
      <c r="X11" s="5">
        <v>100</v>
      </c>
      <c r="Y11" s="5">
        <v>547.75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45931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69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45910</v>
      </c>
      <c r="C12" s="4" t="s">
        <v>77</v>
      </c>
      <c r="D12" s="2">
        <v>1466196</v>
      </c>
      <c r="E12" s="4" t="s">
        <v>89</v>
      </c>
      <c r="F12" s="4" t="s">
        <v>90</v>
      </c>
      <c r="G12" s="2">
        <v>412054353</v>
      </c>
      <c r="H12" s="4" t="s">
        <v>91</v>
      </c>
      <c r="I12" s="4" t="s">
        <v>46</v>
      </c>
      <c r="J12" s="4" t="s">
        <v>47</v>
      </c>
      <c r="K12" s="4" t="s">
        <v>48</v>
      </c>
      <c r="L12" s="3">
        <v>45931</v>
      </c>
      <c r="M12" s="4" t="s">
        <v>88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68</v>
      </c>
      <c r="U12" s="4" t="s">
        <v>46</v>
      </c>
      <c r="V12" s="5">
        <v>0</v>
      </c>
      <c r="W12" s="5">
        <v>0</v>
      </c>
      <c r="X12" s="5">
        <v>100</v>
      </c>
      <c r="Y12" s="5">
        <v>547.75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45931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69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45910</v>
      </c>
      <c r="C13" s="4" t="s">
        <v>92</v>
      </c>
      <c r="D13" s="2">
        <v>1509744</v>
      </c>
      <c r="E13" s="4" t="s">
        <v>93</v>
      </c>
      <c r="F13" s="4" t="s">
        <v>94</v>
      </c>
      <c r="G13" s="2">
        <v>943626213</v>
      </c>
      <c r="H13" s="4" t="s">
        <v>95</v>
      </c>
      <c r="I13" s="4" t="s">
        <v>46</v>
      </c>
      <c r="J13" s="4" t="s">
        <v>47</v>
      </c>
      <c r="K13" s="4" t="s">
        <v>48</v>
      </c>
      <c r="L13" s="3">
        <v>45901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68</v>
      </c>
      <c r="U13" s="4" t="s">
        <v>46</v>
      </c>
      <c r="V13" s="5">
        <v>0</v>
      </c>
      <c r="W13" s="5">
        <v>0</v>
      </c>
      <c r="X13" s="5">
        <v>100</v>
      </c>
      <c r="Y13" s="5">
        <v>521.66999999999996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45901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69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45910</v>
      </c>
      <c r="C14" s="4" t="s">
        <v>92</v>
      </c>
      <c r="D14" s="2">
        <v>1509744</v>
      </c>
      <c r="E14" s="4" t="s">
        <v>96</v>
      </c>
      <c r="F14" s="4" t="s">
        <v>97</v>
      </c>
      <c r="G14" s="2">
        <v>455995019</v>
      </c>
      <c r="H14" s="4" t="s">
        <v>98</v>
      </c>
      <c r="I14" s="4" t="s">
        <v>46</v>
      </c>
      <c r="J14" s="4" t="s">
        <v>47</v>
      </c>
      <c r="K14" s="4" t="s">
        <v>48</v>
      </c>
      <c r="L14" s="3">
        <v>45901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68</v>
      </c>
      <c r="U14" s="4" t="s">
        <v>46</v>
      </c>
      <c r="V14" s="5">
        <v>0</v>
      </c>
      <c r="W14" s="5">
        <v>0</v>
      </c>
      <c r="X14" s="5">
        <v>100</v>
      </c>
      <c r="Y14" s="5">
        <v>521.66999999999996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45901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69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45910</v>
      </c>
      <c r="C15" s="4" t="s">
        <v>92</v>
      </c>
      <c r="D15" s="2">
        <v>1509744</v>
      </c>
      <c r="E15" s="4" t="s">
        <v>99</v>
      </c>
      <c r="F15" s="4" t="s">
        <v>100</v>
      </c>
      <c r="G15" s="2">
        <v>552418281</v>
      </c>
      <c r="H15" s="4" t="s">
        <v>101</v>
      </c>
      <c r="I15" s="4" t="s">
        <v>46</v>
      </c>
      <c r="J15" s="4" t="s">
        <v>47</v>
      </c>
      <c r="K15" s="4" t="s">
        <v>48</v>
      </c>
      <c r="L15" s="3">
        <v>45901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68</v>
      </c>
      <c r="U15" s="4" t="s">
        <v>46</v>
      </c>
      <c r="V15" s="5">
        <v>0.33</v>
      </c>
      <c r="W15" s="5">
        <v>0</v>
      </c>
      <c r="X15" s="5">
        <v>100</v>
      </c>
      <c r="Y15" s="5">
        <v>104.33</v>
      </c>
      <c r="Z15" s="4" t="s">
        <v>46</v>
      </c>
      <c r="AA15" s="5" t="s">
        <v>46</v>
      </c>
      <c r="AB15" s="4" t="s">
        <v>62</v>
      </c>
      <c r="AC15" s="4" t="s">
        <v>46</v>
      </c>
      <c r="AD15" s="5">
        <v>0</v>
      </c>
      <c r="AE15" s="4" t="s">
        <v>63</v>
      </c>
      <c r="AF15" s="3">
        <v>45901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69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45910</v>
      </c>
      <c r="C16" s="4" t="s">
        <v>102</v>
      </c>
      <c r="D16" s="2">
        <v>1509770</v>
      </c>
      <c r="E16" s="4" t="s">
        <v>103</v>
      </c>
      <c r="F16" s="4" t="s">
        <v>104</v>
      </c>
      <c r="G16" s="2">
        <v>225067423</v>
      </c>
      <c r="H16" s="4" t="s">
        <v>105</v>
      </c>
      <c r="I16" s="4" t="s">
        <v>46</v>
      </c>
      <c r="J16" s="4" t="s">
        <v>47</v>
      </c>
      <c r="K16" s="4" t="s">
        <v>48</v>
      </c>
      <c r="L16" s="3">
        <v>45901</v>
      </c>
      <c r="M16" s="4" t="s">
        <v>49</v>
      </c>
      <c r="N16" s="4" t="s">
        <v>46</v>
      </c>
      <c r="O16" s="4" t="s">
        <v>106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68</v>
      </c>
      <c r="U16" s="4" t="s">
        <v>46</v>
      </c>
      <c r="V16" s="5">
        <v>1</v>
      </c>
      <c r="W16" s="5">
        <v>0</v>
      </c>
      <c r="X16" s="5">
        <v>100</v>
      </c>
      <c r="Y16" s="5">
        <v>26.08</v>
      </c>
      <c r="Z16" s="4" t="s">
        <v>46</v>
      </c>
      <c r="AA16" s="5" t="s">
        <v>46</v>
      </c>
      <c r="AB16" s="4" t="s">
        <v>107</v>
      </c>
      <c r="AC16" s="4" t="s">
        <v>46</v>
      </c>
      <c r="AD16" s="5">
        <v>0</v>
      </c>
      <c r="AE16" s="4" t="s">
        <v>108</v>
      </c>
      <c r="AF16" s="3">
        <v>45323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69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45910</v>
      </c>
      <c r="C17" s="4" t="s">
        <v>102</v>
      </c>
      <c r="D17" s="2">
        <v>1509770</v>
      </c>
      <c r="E17" s="4" t="s">
        <v>109</v>
      </c>
      <c r="F17" s="4" t="s">
        <v>110</v>
      </c>
      <c r="G17" s="2">
        <v>667313224</v>
      </c>
      <c r="H17" s="4" t="s">
        <v>111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88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60</v>
      </c>
      <c r="U17" s="4" t="s">
        <v>46</v>
      </c>
      <c r="V17" s="5">
        <v>0</v>
      </c>
      <c r="W17" s="5">
        <v>0</v>
      </c>
      <c r="X17" s="5">
        <v>100</v>
      </c>
      <c r="Y17" s="5">
        <v>547.75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112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45910</v>
      </c>
      <c r="C18" s="4" t="s">
        <v>102</v>
      </c>
      <c r="D18" s="2">
        <v>1509770</v>
      </c>
      <c r="E18" s="4" t="s">
        <v>113</v>
      </c>
      <c r="F18" s="4" t="s">
        <v>114</v>
      </c>
      <c r="G18" s="2">
        <v>512364274</v>
      </c>
      <c r="H18" s="4" t="s">
        <v>115</v>
      </c>
      <c r="I18" s="4" t="s">
        <v>46</v>
      </c>
      <c r="J18" s="4" t="s">
        <v>47</v>
      </c>
      <c r="K18" s="4" t="s">
        <v>48</v>
      </c>
      <c r="L18" s="3">
        <v>45901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60</v>
      </c>
      <c r="U18" s="4" t="s">
        <v>46</v>
      </c>
      <c r="V18" s="5">
        <v>0</v>
      </c>
      <c r="W18" s="5">
        <v>0</v>
      </c>
      <c r="X18" s="5">
        <v>100</v>
      </c>
      <c r="Y18" s="5">
        <v>521.66999999999996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45901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61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45910</v>
      </c>
      <c r="C19" s="4" t="s">
        <v>102</v>
      </c>
      <c r="D19" s="2">
        <v>1509770</v>
      </c>
      <c r="E19" s="4" t="s">
        <v>116</v>
      </c>
      <c r="F19" s="4" t="s">
        <v>117</v>
      </c>
      <c r="G19" s="2">
        <v>297409314</v>
      </c>
      <c r="H19" s="4" t="s">
        <v>118</v>
      </c>
      <c r="I19" s="4" t="s">
        <v>46</v>
      </c>
      <c r="J19" s="4" t="s">
        <v>47</v>
      </c>
      <c r="K19" s="4" t="s">
        <v>48</v>
      </c>
      <c r="L19" s="3">
        <v>45931</v>
      </c>
      <c r="M19" s="4" t="s">
        <v>88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60</v>
      </c>
      <c r="U19" s="4" t="s">
        <v>46</v>
      </c>
      <c r="V19" s="5">
        <v>0.25</v>
      </c>
      <c r="W19" s="5">
        <v>0</v>
      </c>
      <c r="X19" s="5">
        <v>100</v>
      </c>
      <c r="Y19" s="5">
        <v>78.25</v>
      </c>
      <c r="Z19" s="4" t="s">
        <v>46</v>
      </c>
      <c r="AA19" s="5" t="s">
        <v>46</v>
      </c>
      <c r="AB19" s="4" t="s">
        <v>62</v>
      </c>
      <c r="AC19" s="4" t="s">
        <v>46</v>
      </c>
      <c r="AD19" s="5">
        <v>0</v>
      </c>
      <c r="AE19" s="4" t="s">
        <v>63</v>
      </c>
      <c r="AF19" s="3">
        <v>45931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112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45910</v>
      </c>
      <c r="C20" s="4" t="s">
        <v>102</v>
      </c>
      <c r="D20" s="2">
        <v>1509770</v>
      </c>
      <c r="E20" s="4" t="s">
        <v>119</v>
      </c>
      <c r="F20" s="4" t="s">
        <v>120</v>
      </c>
      <c r="G20" s="2">
        <v>881339053</v>
      </c>
      <c r="H20" s="4" t="s">
        <v>121</v>
      </c>
      <c r="I20" s="4" t="s">
        <v>46</v>
      </c>
      <c r="J20" s="4" t="s">
        <v>47</v>
      </c>
      <c r="K20" s="4" t="s">
        <v>48</v>
      </c>
      <c r="L20" s="3">
        <v>45931</v>
      </c>
      <c r="M20" s="4" t="s">
        <v>88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68</v>
      </c>
      <c r="U20" s="4" t="s">
        <v>46</v>
      </c>
      <c r="V20" s="5">
        <v>0.25</v>
      </c>
      <c r="W20" s="5">
        <v>0</v>
      </c>
      <c r="X20" s="5">
        <v>100</v>
      </c>
      <c r="Y20" s="5">
        <v>78.25</v>
      </c>
      <c r="Z20" s="4" t="s">
        <v>46</v>
      </c>
      <c r="AA20" s="5" t="s">
        <v>46</v>
      </c>
      <c r="AB20" s="4" t="s">
        <v>62</v>
      </c>
      <c r="AC20" s="4" t="s">
        <v>46</v>
      </c>
      <c r="AD20" s="5">
        <v>0</v>
      </c>
      <c r="AE20" s="4" t="s">
        <v>63</v>
      </c>
      <c r="AF20" s="3">
        <v>45931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69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45910</v>
      </c>
      <c r="C21" s="4" t="s">
        <v>122</v>
      </c>
      <c r="D21" s="2">
        <v>1510420</v>
      </c>
      <c r="E21" s="4" t="s">
        <v>123</v>
      </c>
      <c r="F21" s="4" t="s">
        <v>124</v>
      </c>
      <c r="G21" s="2">
        <v>800983464</v>
      </c>
      <c r="H21" s="4" t="s">
        <v>125</v>
      </c>
      <c r="I21" s="4" t="s">
        <v>46</v>
      </c>
      <c r="J21" s="4" t="s">
        <v>47</v>
      </c>
      <c r="K21" s="4" t="s">
        <v>48</v>
      </c>
      <c r="L21" s="3">
        <v>45901</v>
      </c>
      <c r="M21" s="4" t="s">
        <v>49</v>
      </c>
      <c r="N21" s="4" t="s">
        <v>46</v>
      </c>
      <c r="O21" s="4" t="s">
        <v>106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60</v>
      </c>
      <c r="U21" s="4" t="s">
        <v>46</v>
      </c>
      <c r="V21" s="5">
        <v>1</v>
      </c>
      <c r="W21" s="5">
        <v>0</v>
      </c>
      <c r="X21" s="5">
        <v>100</v>
      </c>
      <c r="Y21" s="5">
        <v>26.08</v>
      </c>
      <c r="Z21" s="4" t="s">
        <v>46</v>
      </c>
      <c r="AA21" s="5" t="s">
        <v>46</v>
      </c>
      <c r="AB21" s="4" t="s">
        <v>107</v>
      </c>
      <c r="AC21" s="4" t="s">
        <v>46</v>
      </c>
      <c r="AD21" s="5">
        <v>0</v>
      </c>
      <c r="AE21" s="4" t="s">
        <v>108</v>
      </c>
      <c r="AF21" s="3">
        <v>45536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126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45910</v>
      </c>
      <c r="C22" s="4" t="s">
        <v>122</v>
      </c>
      <c r="D22" s="2">
        <v>1510420</v>
      </c>
      <c r="E22" s="4" t="s">
        <v>127</v>
      </c>
      <c r="F22" s="4" t="s">
        <v>128</v>
      </c>
      <c r="G22" s="2">
        <v>721687014</v>
      </c>
      <c r="H22" s="4" t="s">
        <v>129</v>
      </c>
      <c r="I22" s="4" t="s">
        <v>46</v>
      </c>
      <c r="J22" s="4" t="s">
        <v>47</v>
      </c>
      <c r="K22" s="4" t="s">
        <v>48</v>
      </c>
      <c r="L22" s="3">
        <v>45778</v>
      </c>
      <c r="M22" s="4" t="s">
        <v>130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68</v>
      </c>
      <c r="U22" s="4" t="s">
        <v>46</v>
      </c>
      <c r="V22" s="5">
        <v>0</v>
      </c>
      <c r="W22" s="5">
        <v>0</v>
      </c>
      <c r="X22" s="5">
        <v>100</v>
      </c>
      <c r="Y22" s="5">
        <v>-234.74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45778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69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45910</v>
      </c>
      <c r="C23" s="4" t="s">
        <v>122</v>
      </c>
      <c r="D23" s="2">
        <v>1510420</v>
      </c>
      <c r="E23" s="4" t="s">
        <v>127</v>
      </c>
      <c r="F23" s="4" t="s">
        <v>128</v>
      </c>
      <c r="G23" s="2">
        <v>721687014</v>
      </c>
      <c r="H23" s="4" t="s">
        <v>129</v>
      </c>
      <c r="I23" s="4" t="s">
        <v>46</v>
      </c>
      <c r="J23" s="4" t="s">
        <v>47</v>
      </c>
      <c r="K23" s="4" t="s">
        <v>48</v>
      </c>
      <c r="L23" s="3">
        <v>45778</v>
      </c>
      <c r="M23" s="4" t="s">
        <v>130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68</v>
      </c>
      <c r="U23" s="4" t="s">
        <v>46</v>
      </c>
      <c r="V23" s="5">
        <v>-0.08</v>
      </c>
      <c r="W23" s="5">
        <v>0</v>
      </c>
      <c r="X23" s="5">
        <v>100</v>
      </c>
      <c r="Y23" s="5">
        <v>-26.09</v>
      </c>
      <c r="Z23" s="4" t="s">
        <v>46</v>
      </c>
      <c r="AA23" s="5" t="s">
        <v>46</v>
      </c>
      <c r="AB23" s="4" t="s">
        <v>62</v>
      </c>
      <c r="AC23" s="4" t="s">
        <v>46</v>
      </c>
      <c r="AD23" s="5">
        <v>0</v>
      </c>
      <c r="AE23" s="4" t="s">
        <v>63</v>
      </c>
      <c r="AF23" s="3">
        <v>45778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69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45910</v>
      </c>
      <c r="C24" s="4" t="s">
        <v>122</v>
      </c>
      <c r="D24" s="2">
        <v>1510420</v>
      </c>
      <c r="E24" s="4" t="s">
        <v>131</v>
      </c>
      <c r="F24" s="4" t="s">
        <v>132</v>
      </c>
      <c r="G24" s="2">
        <v>286778554</v>
      </c>
      <c r="H24" s="4" t="s">
        <v>133</v>
      </c>
      <c r="I24" s="4" t="s">
        <v>46</v>
      </c>
      <c r="J24" s="4" t="s">
        <v>47</v>
      </c>
      <c r="K24" s="4" t="s">
        <v>48</v>
      </c>
      <c r="L24" s="3">
        <v>45901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90.67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45901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45910</v>
      </c>
      <c r="C25" s="4" t="s">
        <v>122</v>
      </c>
      <c r="D25" s="2">
        <v>1510420</v>
      </c>
      <c r="E25" s="4" t="s">
        <v>134</v>
      </c>
      <c r="F25" s="4" t="s">
        <v>135</v>
      </c>
      <c r="G25" s="2">
        <v>470563474</v>
      </c>
      <c r="H25" s="4" t="s">
        <v>136</v>
      </c>
      <c r="I25" s="4" t="s">
        <v>46</v>
      </c>
      <c r="J25" s="4" t="s">
        <v>47</v>
      </c>
      <c r="K25" s="4" t="s">
        <v>48</v>
      </c>
      <c r="L25" s="3">
        <v>45901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68</v>
      </c>
      <c r="U25" s="4" t="s">
        <v>46</v>
      </c>
      <c r="V25" s="5">
        <v>0</v>
      </c>
      <c r="W25" s="5">
        <v>0</v>
      </c>
      <c r="X25" s="5">
        <v>100</v>
      </c>
      <c r="Y25" s="5">
        <v>521.66999999999996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45901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69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45910</v>
      </c>
      <c r="C26" s="4" t="s">
        <v>137</v>
      </c>
      <c r="D26" s="2">
        <v>1535078</v>
      </c>
      <c r="E26" s="4" t="s">
        <v>138</v>
      </c>
      <c r="F26" s="4" t="s">
        <v>139</v>
      </c>
      <c r="G26" s="2">
        <v>762888723</v>
      </c>
      <c r="H26" s="4" t="s">
        <v>140</v>
      </c>
      <c r="I26" s="4" t="s">
        <v>46</v>
      </c>
      <c r="J26" s="4" t="s">
        <v>47</v>
      </c>
      <c r="K26" s="4" t="s">
        <v>48</v>
      </c>
      <c r="L26" s="3">
        <v>45931</v>
      </c>
      <c r="M26" s="4" t="s">
        <v>88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68</v>
      </c>
      <c r="U26" s="4" t="s">
        <v>46</v>
      </c>
      <c r="V26" s="5">
        <v>0.25</v>
      </c>
      <c r="W26" s="5">
        <v>0</v>
      </c>
      <c r="X26" s="5">
        <v>100</v>
      </c>
      <c r="Y26" s="5">
        <v>78.25</v>
      </c>
      <c r="Z26" s="4" t="s">
        <v>46</v>
      </c>
      <c r="AA26" s="5" t="s">
        <v>46</v>
      </c>
      <c r="AB26" s="4" t="s">
        <v>62</v>
      </c>
      <c r="AC26" s="4" t="s">
        <v>46</v>
      </c>
      <c r="AD26" s="5">
        <v>0</v>
      </c>
      <c r="AE26" s="4" t="s">
        <v>63</v>
      </c>
      <c r="AF26" s="3">
        <v>45931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69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45910</v>
      </c>
      <c r="C27" s="4" t="s">
        <v>141</v>
      </c>
      <c r="D27" s="2">
        <v>1545197</v>
      </c>
      <c r="E27" s="4" t="s">
        <v>142</v>
      </c>
      <c r="F27" s="4" t="s">
        <v>143</v>
      </c>
      <c r="G27" s="2">
        <v>654585363</v>
      </c>
      <c r="H27" s="4" t="s">
        <v>144</v>
      </c>
      <c r="I27" s="4" t="s">
        <v>46</v>
      </c>
      <c r="J27" s="4" t="s">
        <v>47</v>
      </c>
      <c r="K27" s="4" t="s">
        <v>48</v>
      </c>
      <c r="L27" s="3">
        <v>45901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60</v>
      </c>
      <c r="U27" s="4" t="s">
        <v>46</v>
      </c>
      <c r="V27" s="5">
        <v>0</v>
      </c>
      <c r="W27" s="5">
        <v>0</v>
      </c>
      <c r="X27" s="5">
        <v>100</v>
      </c>
      <c r="Y27" s="5">
        <v>521.66999999999996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45901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126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45910</v>
      </c>
      <c r="C28" s="4" t="s">
        <v>141</v>
      </c>
      <c r="D28" s="2">
        <v>1545197</v>
      </c>
      <c r="E28" s="4" t="s">
        <v>145</v>
      </c>
      <c r="F28" s="4" t="s">
        <v>146</v>
      </c>
      <c r="G28" s="2">
        <v>35310354</v>
      </c>
      <c r="H28" s="4" t="s">
        <v>147</v>
      </c>
      <c r="I28" s="4" t="s">
        <v>46</v>
      </c>
      <c r="J28" s="4" t="s">
        <v>47</v>
      </c>
      <c r="K28" s="4" t="s">
        <v>48</v>
      </c>
      <c r="L28" s="3">
        <v>45992</v>
      </c>
      <c r="M28" s="4" t="s">
        <v>148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68</v>
      </c>
      <c r="U28" s="4" t="s">
        <v>46</v>
      </c>
      <c r="V28" s="5">
        <v>0.08</v>
      </c>
      <c r="W28" s="5">
        <v>0</v>
      </c>
      <c r="X28" s="5">
        <v>100</v>
      </c>
      <c r="Y28" s="5">
        <v>26.08</v>
      </c>
      <c r="Z28" s="4" t="s">
        <v>46</v>
      </c>
      <c r="AA28" s="5" t="s">
        <v>46</v>
      </c>
      <c r="AB28" s="4" t="s">
        <v>62</v>
      </c>
      <c r="AC28" s="4" t="s">
        <v>46</v>
      </c>
      <c r="AD28" s="5">
        <v>0</v>
      </c>
      <c r="AE28" s="4" t="s">
        <v>63</v>
      </c>
      <c r="AF28" s="3">
        <v>45992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69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45910</v>
      </c>
      <c r="C29" s="4" t="s">
        <v>149</v>
      </c>
      <c r="D29" s="2">
        <v>1545980</v>
      </c>
      <c r="E29" s="4" t="s">
        <v>150</v>
      </c>
      <c r="F29" s="4" t="s">
        <v>151</v>
      </c>
      <c r="G29" s="2">
        <v>437217454</v>
      </c>
      <c r="H29" s="4" t="s">
        <v>152</v>
      </c>
      <c r="I29" s="4" t="s">
        <v>46</v>
      </c>
      <c r="J29" s="4" t="s">
        <v>47</v>
      </c>
      <c r="K29" s="4" t="s">
        <v>48</v>
      </c>
      <c r="L29" s="3">
        <v>45931</v>
      </c>
      <c r="M29" s="4" t="s">
        <v>88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68</v>
      </c>
      <c r="U29" s="4" t="s">
        <v>46</v>
      </c>
      <c r="V29" s="5">
        <v>0.25</v>
      </c>
      <c r="W29" s="5">
        <v>0</v>
      </c>
      <c r="X29" s="5">
        <v>100</v>
      </c>
      <c r="Y29" s="5">
        <v>78.25</v>
      </c>
      <c r="Z29" s="4" t="s">
        <v>46</v>
      </c>
      <c r="AA29" s="5" t="s">
        <v>46</v>
      </c>
      <c r="AB29" s="4" t="s">
        <v>62</v>
      </c>
      <c r="AC29" s="4" t="s">
        <v>46</v>
      </c>
      <c r="AD29" s="5">
        <v>0</v>
      </c>
      <c r="AE29" s="4" t="s">
        <v>63</v>
      </c>
      <c r="AF29" s="3">
        <v>45931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69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45910</v>
      </c>
      <c r="C30" s="4" t="s">
        <v>153</v>
      </c>
      <c r="D30" s="2">
        <v>1555496</v>
      </c>
      <c r="E30" s="4" t="s">
        <v>154</v>
      </c>
      <c r="F30" s="4" t="s">
        <v>155</v>
      </c>
      <c r="G30" s="2">
        <v>347546010</v>
      </c>
      <c r="H30" s="4" t="s">
        <v>156</v>
      </c>
      <c r="I30" s="4" t="s">
        <v>46</v>
      </c>
      <c r="J30" s="4" t="s">
        <v>47</v>
      </c>
      <c r="K30" s="4" t="s">
        <v>48</v>
      </c>
      <c r="L30" s="3">
        <v>45962</v>
      </c>
      <c r="M30" s="4" t="s">
        <v>76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157</v>
      </c>
      <c r="U30" s="4" t="s">
        <v>46</v>
      </c>
      <c r="V30" s="5">
        <v>0</v>
      </c>
      <c r="W30" s="5">
        <v>0</v>
      </c>
      <c r="X30" s="5">
        <v>100</v>
      </c>
      <c r="Y30" s="5">
        <v>573.83000000000004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45962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158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45910</v>
      </c>
      <c r="C31" s="4" t="s">
        <v>159</v>
      </c>
      <c r="D31" s="2">
        <v>1626475</v>
      </c>
      <c r="E31" s="4" t="s">
        <v>160</v>
      </c>
      <c r="F31" s="4" t="s">
        <v>161</v>
      </c>
      <c r="G31" s="2">
        <v>360077044</v>
      </c>
      <c r="H31" s="4" t="s">
        <v>162</v>
      </c>
      <c r="I31" s="4" t="s">
        <v>46</v>
      </c>
      <c r="J31" s="4" t="s">
        <v>47</v>
      </c>
      <c r="K31" s="4" t="s">
        <v>48</v>
      </c>
      <c r="L31" s="3">
        <v>45870</v>
      </c>
      <c r="M31" s="4" t="s">
        <v>67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60</v>
      </c>
      <c r="U31" s="4" t="s">
        <v>46</v>
      </c>
      <c r="V31" s="5">
        <v>0</v>
      </c>
      <c r="W31" s="5">
        <v>0</v>
      </c>
      <c r="X31" s="5">
        <v>100</v>
      </c>
      <c r="Y31" s="5">
        <v>495.58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45870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126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45910</v>
      </c>
      <c r="C32" s="4" t="s">
        <v>163</v>
      </c>
      <c r="D32" s="2">
        <v>1646082</v>
      </c>
      <c r="E32" s="4" t="s">
        <v>164</v>
      </c>
      <c r="F32" s="4" t="s">
        <v>165</v>
      </c>
      <c r="G32" s="2">
        <v>61441553</v>
      </c>
      <c r="H32" s="4" t="s">
        <v>166</v>
      </c>
      <c r="I32" s="4" t="s">
        <v>46</v>
      </c>
      <c r="J32" s="4" t="s">
        <v>47</v>
      </c>
      <c r="K32" s="4" t="s">
        <v>48</v>
      </c>
      <c r="L32" s="3">
        <v>45717</v>
      </c>
      <c r="M32" s="4" t="s">
        <v>167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60</v>
      </c>
      <c r="U32" s="4" t="s">
        <v>46</v>
      </c>
      <c r="V32" s="5">
        <v>-0.33</v>
      </c>
      <c r="W32" s="5">
        <v>0</v>
      </c>
      <c r="X32" s="5">
        <v>100</v>
      </c>
      <c r="Y32" s="5">
        <v>-104.33</v>
      </c>
      <c r="Z32" s="4" t="s">
        <v>46</v>
      </c>
      <c r="AA32" s="5" t="s">
        <v>46</v>
      </c>
      <c r="AB32" s="4" t="s">
        <v>62</v>
      </c>
      <c r="AC32" s="4" t="s">
        <v>46</v>
      </c>
      <c r="AD32" s="5">
        <v>0</v>
      </c>
      <c r="AE32" s="4" t="s">
        <v>63</v>
      </c>
      <c r="AF32" s="3">
        <v>45717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126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45910</v>
      </c>
      <c r="C33" s="4" t="s">
        <v>163</v>
      </c>
      <c r="D33" s="2">
        <v>1646082</v>
      </c>
      <c r="E33" s="4" t="s">
        <v>168</v>
      </c>
      <c r="F33" s="4" t="s">
        <v>169</v>
      </c>
      <c r="G33" s="2">
        <v>443596364</v>
      </c>
      <c r="H33" s="4" t="s">
        <v>170</v>
      </c>
      <c r="I33" s="4" t="s">
        <v>46</v>
      </c>
      <c r="J33" s="4" t="s">
        <v>47</v>
      </c>
      <c r="K33" s="4" t="s">
        <v>48</v>
      </c>
      <c r="L33" s="3">
        <v>45870</v>
      </c>
      <c r="M33" s="4" t="s">
        <v>67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68</v>
      </c>
      <c r="U33" s="4" t="s">
        <v>46</v>
      </c>
      <c r="V33" s="5">
        <v>0</v>
      </c>
      <c r="W33" s="5">
        <v>0</v>
      </c>
      <c r="X33" s="5">
        <v>100</v>
      </c>
      <c r="Y33" s="5">
        <v>495.58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45870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69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45910</v>
      </c>
      <c r="C34" s="4" t="s">
        <v>163</v>
      </c>
      <c r="D34" s="2">
        <v>1646082</v>
      </c>
      <c r="E34" s="4" t="s">
        <v>171</v>
      </c>
      <c r="F34" s="4" t="s">
        <v>172</v>
      </c>
      <c r="G34" s="2">
        <v>542688164</v>
      </c>
      <c r="H34" s="4" t="s">
        <v>173</v>
      </c>
      <c r="I34" s="4" t="s">
        <v>46</v>
      </c>
      <c r="J34" s="4" t="s">
        <v>47</v>
      </c>
      <c r="K34" s="4" t="s">
        <v>48</v>
      </c>
      <c r="L34" s="3">
        <v>45870</v>
      </c>
      <c r="M34" s="4" t="s">
        <v>67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60</v>
      </c>
      <c r="U34" s="4" t="s">
        <v>46</v>
      </c>
      <c r="V34" s="5">
        <v>0</v>
      </c>
      <c r="W34" s="5">
        <v>0</v>
      </c>
      <c r="X34" s="5">
        <v>100</v>
      </c>
      <c r="Y34" s="5">
        <v>495.58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45870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126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45910</v>
      </c>
      <c r="C35" s="4" t="s">
        <v>163</v>
      </c>
      <c r="D35" s="2">
        <v>1646082</v>
      </c>
      <c r="E35" s="4" t="s">
        <v>174</v>
      </c>
      <c r="F35" s="4" t="s">
        <v>175</v>
      </c>
      <c r="G35" s="2">
        <v>969468265</v>
      </c>
      <c r="H35" s="4" t="s">
        <v>176</v>
      </c>
      <c r="I35" s="4" t="s">
        <v>46</v>
      </c>
      <c r="J35" s="4" t="s">
        <v>47</v>
      </c>
      <c r="K35" s="4" t="s">
        <v>48</v>
      </c>
      <c r="L35" s="3">
        <v>45870</v>
      </c>
      <c r="M35" s="4" t="s">
        <v>67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68</v>
      </c>
      <c r="U35" s="4" t="s">
        <v>46</v>
      </c>
      <c r="V35" s="5">
        <v>0</v>
      </c>
      <c r="W35" s="5">
        <v>0</v>
      </c>
      <c r="X35" s="5">
        <v>100</v>
      </c>
      <c r="Y35" s="5">
        <v>495.58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45870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69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45910</v>
      </c>
      <c r="C36" s="4" t="s">
        <v>163</v>
      </c>
      <c r="D36" s="2">
        <v>1646082</v>
      </c>
      <c r="E36" s="4" t="s">
        <v>177</v>
      </c>
      <c r="F36" s="4" t="s">
        <v>178</v>
      </c>
      <c r="G36" s="2">
        <v>748697192</v>
      </c>
      <c r="H36" s="4" t="s">
        <v>179</v>
      </c>
      <c r="I36" s="4" t="s">
        <v>46</v>
      </c>
      <c r="J36" s="4" t="s">
        <v>47</v>
      </c>
      <c r="K36" s="4" t="s">
        <v>48</v>
      </c>
      <c r="L36" s="3">
        <v>45901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68</v>
      </c>
      <c r="U36" s="4" t="s">
        <v>46</v>
      </c>
      <c r="V36" s="5">
        <v>0</v>
      </c>
      <c r="W36" s="5">
        <v>0</v>
      </c>
      <c r="X36" s="5">
        <v>100</v>
      </c>
      <c r="Y36" s="5">
        <v>104.34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45901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69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45910</v>
      </c>
      <c r="C37" s="4" t="s">
        <v>180</v>
      </c>
      <c r="D37" s="2">
        <v>1673202</v>
      </c>
      <c r="E37" s="4" t="s">
        <v>181</v>
      </c>
      <c r="F37" s="4" t="s">
        <v>182</v>
      </c>
      <c r="G37" s="2">
        <v>304266453</v>
      </c>
      <c r="H37" s="4" t="s">
        <v>183</v>
      </c>
      <c r="I37" s="4" t="s">
        <v>46</v>
      </c>
      <c r="J37" s="4" t="s">
        <v>47</v>
      </c>
      <c r="K37" s="4" t="s">
        <v>48</v>
      </c>
      <c r="L37" s="3">
        <v>45962</v>
      </c>
      <c r="M37" s="4" t="s">
        <v>76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60</v>
      </c>
      <c r="U37" s="4" t="s">
        <v>46</v>
      </c>
      <c r="V37" s="5">
        <v>0</v>
      </c>
      <c r="W37" s="5">
        <v>0</v>
      </c>
      <c r="X37" s="5">
        <v>100</v>
      </c>
      <c r="Y37" s="5">
        <v>573.83000000000004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45962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158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45910</v>
      </c>
      <c r="C38" s="4" t="s">
        <v>180</v>
      </c>
      <c r="D38" s="2">
        <v>1673202</v>
      </c>
      <c r="E38" s="4" t="s">
        <v>184</v>
      </c>
      <c r="F38" s="4" t="s">
        <v>185</v>
      </c>
      <c r="G38" s="2">
        <v>137230383</v>
      </c>
      <c r="H38" s="4" t="s">
        <v>186</v>
      </c>
      <c r="I38" s="4" t="s">
        <v>46</v>
      </c>
      <c r="J38" s="4" t="s">
        <v>47</v>
      </c>
      <c r="K38" s="4" t="s">
        <v>48</v>
      </c>
      <c r="L38" s="3">
        <v>45931</v>
      </c>
      <c r="M38" s="4" t="s">
        <v>88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68</v>
      </c>
      <c r="U38" s="4" t="s">
        <v>46</v>
      </c>
      <c r="V38" s="5">
        <v>0</v>
      </c>
      <c r="W38" s="5">
        <v>0</v>
      </c>
      <c r="X38" s="5">
        <v>100</v>
      </c>
      <c r="Y38" s="5">
        <v>616.75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45931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187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45910</v>
      </c>
      <c r="C39" s="4" t="s">
        <v>188</v>
      </c>
      <c r="D39" s="2">
        <v>1673763</v>
      </c>
      <c r="E39" s="4" t="s">
        <v>189</v>
      </c>
      <c r="F39" s="4" t="s">
        <v>190</v>
      </c>
      <c r="G39" s="2">
        <v>366181093</v>
      </c>
      <c r="H39" s="4" t="s">
        <v>191</v>
      </c>
      <c r="I39" s="4" t="s">
        <v>46</v>
      </c>
      <c r="J39" s="4" t="s">
        <v>47</v>
      </c>
      <c r="K39" s="4" t="s">
        <v>48</v>
      </c>
      <c r="L39" s="3">
        <v>45931</v>
      </c>
      <c r="M39" s="4" t="s">
        <v>88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68</v>
      </c>
      <c r="U39" s="4" t="s">
        <v>46</v>
      </c>
      <c r="V39" s="5">
        <v>0</v>
      </c>
      <c r="W39" s="5">
        <v>0</v>
      </c>
      <c r="X39" s="5">
        <v>100</v>
      </c>
      <c r="Y39" s="5">
        <v>616.75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45931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187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45910</v>
      </c>
      <c r="C40" s="4" t="s">
        <v>192</v>
      </c>
      <c r="D40" s="2">
        <v>1703942</v>
      </c>
      <c r="E40" s="4" t="s">
        <v>193</v>
      </c>
      <c r="F40" s="4" t="s">
        <v>194</v>
      </c>
      <c r="G40" s="2">
        <v>432321053</v>
      </c>
      <c r="H40" s="4" t="s">
        <v>195</v>
      </c>
      <c r="I40" s="4" t="s">
        <v>46</v>
      </c>
      <c r="J40" s="4" t="s">
        <v>47</v>
      </c>
      <c r="K40" s="4" t="s">
        <v>48</v>
      </c>
      <c r="L40" s="3">
        <v>45901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60</v>
      </c>
      <c r="U40" s="4" t="s">
        <v>46</v>
      </c>
      <c r="V40" s="5">
        <v>0</v>
      </c>
      <c r="W40" s="5">
        <v>0</v>
      </c>
      <c r="X40" s="5">
        <v>100</v>
      </c>
      <c r="Y40" s="5">
        <v>521.66999999999996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45901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126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45910</v>
      </c>
      <c r="C41" s="4" t="s">
        <v>192</v>
      </c>
      <c r="D41" s="2">
        <v>1703942</v>
      </c>
      <c r="E41" s="4" t="s">
        <v>196</v>
      </c>
      <c r="F41" s="4" t="s">
        <v>197</v>
      </c>
      <c r="G41" s="2">
        <v>946969434</v>
      </c>
      <c r="H41" s="4" t="s">
        <v>198</v>
      </c>
      <c r="I41" s="4" t="s">
        <v>46</v>
      </c>
      <c r="J41" s="4" t="s">
        <v>47</v>
      </c>
      <c r="K41" s="4" t="s">
        <v>48</v>
      </c>
      <c r="L41" s="3">
        <v>45901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60</v>
      </c>
      <c r="U41" s="4" t="s">
        <v>46</v>
      </c>
      <c r="V41" s="5">
        <v>0</v>
      </c>
      <c r="W41" s="5">
        <v>0</v>
      </c>
      <c r="X41" s="5">
        <v>100</v>
      </c>
      <c r="Y41" s="5">
        <v>521.66999999999996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45901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126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45910</v>
      </c>
      <c r="C42" s="4" t="s">
        <v>192</v>
      </c>
      <c r="D42" s="2">
        <v>1703942</v>
      </c>
      <c r="E42" s="4" t="s">
        <v>199</v>
      </c>
      <c r="F42" s="4" t="s">
        <v>200</v>
      </c>
      <c r="G42" s="2">
        <v>395175364</v>
      </c>
      <c r="H42" s="4" t="s">
        <v>201</v>
      </c>
      <c r="I42" s="4" t="s">
        <v>46</v>
      </c>
      <c r="J42" s="4" t="s">
        <v>47</v>
      </c>
      <c r="K42" s="4" t="s">
        <v>48</v>
      </c>
      <c r="L42" s="3">
        <v>45901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60</v>
      </c>
      <c r="U42" s="4" t="s">
        <v>46</v>
      </c>
      <c r="V42" s="5">
        <v>0</v>
      </c>
      <c r="W42" s="5">
        <v>0</v>
      </c>
      <c r="X42" s="5">
        <v>100</v>
      </c>
      <c r="Y42" s="5">
        <v>521.66999999999996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45901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126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45910</v>
      </c>
      <c r="C43" s="4" t="s">
        <v>202</v>
      </c>
      <c r="D43" s="2">
        <v>1773696</v>
      </c>
      <c r="E43" s="4" t="s">
        <v>203</v>
      </c>
      <c r="F43" s="4" t="s">
        <v>204</v>
      </c>
      <c r="G43" s="2">
        <v>958416610</v>
      </c>
      <c r="H43" s="4" t="s">
        <v>205</v>
      </c>
      <c r="I43" s="4" t="s">
        <v>46</v>
      </c>
      <c r="J43" s="4" t="s">
        <v>47</v>
      </c>
      <c r="K43" s="4" t="s">
        <v>48</v>
      </c>
      <c r="L43" s="3">
        <v>45962</v>
      </c>
      <c r="M43" s="4" t="s">
        <v>76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60</v>
      </c>
      <c r="U43" s="4" t="s">
        <v>46</v>
      </c>
      <c r="V43" s="5">
        <v>0</v>
      </c>
      <c r="W43" s="5">
        <v>0</v>
      </c>
      <c r="X43" s="5">
        <v>100</v>
      </c>
      <c r="Y43" s="5">
        <v>573.83000000000004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45962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126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45910</v>
      </c>
      <c r="C44" s="4" t="s">
        <v>202</v>
      </c>
      <c r="D44" s="2">
        <v>1773696</v>
      </c>
      <c r="E44" s="4" t="s">
        <v>206</v>
      </c>
      <c r="F44" s="4" t="s">
        <v>207</v>
      </c>
      <c r="G44" s="2">
        <v>139061523</v>
      </c>
      <c r="H44" s="4" t="s">
        <v>208</v>
      </c>
      <c r="I44" s="4" t="s">
        <v>46</v>
      </c>
      <c r="J44" s="4" t="s">
        <v>47</v>
      </c>
      <c r="K44" s="4" t="s">
        <v>48</v>
      </c>
      <c r="L44" s="3">
        <v>45992</v>
      </c>
      <c r="M44" s="4" t="s">
        <v>148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68</v>
      </c>
      <c r="U44" s="4" t="s">
        <v>46</v>
      </c>
      <c r="V44" s="5">
        <v>0.08</v>
      </c>
      <c r="W44" s="5">
        <v>0</v>
      </c>
      <c r="X44" s="5">
        <v>100</v>
      </c>
      <c r="Y44" s="5">
        <v>26.08</v>
      </c>
      <c r="Z44" s="4" t="s">
        <v>46</v>
      </c>
      <c r="AA44" s="5" t="s">
        <v>46</v>
      </c>
      <c r="AB44" s="4" t="s">
        <v>62</v>
      </c>
      <c r="AC44" s="4" t="s">
        <v>46</v>
      </c>
      <c r="AD44" s="5">
        <v>0</v>
      </c>
      <c r="AE44" s="4" t="s">
        <v>63</v>
      </c>
      <c r="AF44" s="3">
        <v>45992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69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45910</v>
      </c>
      <c r="C45" s="4" t="s">
        <v>209</v>
      </c>
      <c r="D45" s="2">
        <v>1795772</v>
      </c>
      <c r="E45" s="4" t="s">
        <v>210</v>
      </c>
      <c r="F45" s="4" t="s">
        <v>211</v>
      </c>
      <c r="G45" s="2">
        <v>758406484</v>
      </c>
      <c r="H45" s="4" t="s">
        <v>212</v>
      </c>
      <c r="I45" s="4" t="s">
        <v>46</v>
      </c>
      <c r="J45" s="4" t="s">
        <v>47</v>
      </c>
      <c r="K45" s="4" t="s">
        <v>48</v>
      </c>
      <c r="L45" s="3">
        <v>45931</v>
      </c>
      <c r="M45" s="4" t="s">
        <v>88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68</v>
      </c>
      <c r="U45" s="4" t="s">
        <v>46</v>
      </c>
      <c r="V45" s="5">
        <v>0</v>
      </c>
      <c r="W45" s="5">
        <v>0</v>
      </c>
      <c r="X45" s="5">
        <v>100</v>
      </c>
      <c r="Y45" s="5">
        <v>547.75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45931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69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45910</v>
      </c>
      <c r="C46" s="4" t="s">
        <v>213</v>
      </c>
      <c r="D46" s="2">
        <v>1800759</v>
      </c>
      <c r="E46" s="4" t="s">
        <v>214</v>
      </c>
      <c r="F46" s="4" t="s">
        <v>215</v>
      </c>
      <c r="G46" s="2">
        <v>204288435</v>
      </c>
      <c r="H46" s="4" t="s">
        <v>216</v>
      </c>
      <c r="I46" s="4" t="s">
        <v>46</v>
      </c>
      <c r="J46" s="4" t="s">
        <v>47</v>
      </c>
      <c r="K46" s="4" t="s">
        <v>48</v>
      </c>
      <c r="L46" s="3">
        <v>45901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68</v>
      </c>
      <c r="U46" s="4" t="s">
        <v>46</v>
      </c>
      <c r="V46" s="5">
        <v>0</v>
      </c>
      <c r="W46" s="5">
        <v>0</v>
      </c>
      <c r="X46" s="5">
        <v>100</v>
      </c>
      <c r="Y46" s="5">
        <v>521.66999999999996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45901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69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45910</v>
      </c>
      <c r="C47" s="4" t="s">
        <v>213</v>
      </c>
      <c r="D47" s="2">
        <v>1800759</v>
      </c>
      <c r="E47" s="4" t="s">
        <v>217</v>
      </c>
      <c r="F47" s="4" t="s">
        <v>218</v>
      </c>
      <c r="G47" s="2">
        <v>917970323</v>
      </c>
      <c r="H47" s="4" t="s">
        <v>219</v>
      </c>
      <c r="I47" s="4" t="s">
        <v>46</v>
      </c>
      <c r="J47" s="4" t="s">
        <v>47</v>
      </c>
      <c r="K47" s="4" t="s">
        <v>48</v>
      </c>
      <c r="L47" s="3">
        <v>45931</v>
      </c>
      <c r="M47" s="4" t="s">
        <v>88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68</v>
      </c>
      <c r="U47" s="4" t="s">
        <v>46</v>
      </c>
      <c r="V47" s="5">
        <v>0</v>
      </c>
      <c r="W47" s="5">
        <v>0</v>
      </c>
      <c r="X47" s="5">
        <v>100</v>
      </c>
      <c r="Y47" s="5">
        <v>547.75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45931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69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45910</v>
      </c>
      <c r="C48" s="4" t="s">
        <v>213</v>
      </c>
      <c r="D48" s="2">
        <v>1800759</v>
      </c>
      <c r="E48" s="4" t="s">
        <v>220</v>
      </c>
      <c r="F48" s="4" t="s">
        <v>221</v>
      </c>
      <c r="G48" s="2">
        <v>476020323</v>
      </c>
      <c r="H48" s="4" t="s">
        <v>222</v>
      </c>
      <c r="I48" s="4" t="s">
        <v>46</v>
      </c>
      <c r="J48" s="4" t="s">
        <v>47</v>
      </c>
      <c r="K48" s="4" t="s">
        <v>48</v>
      </c>
      <c r="L48" s="3">
        <v>45931</v>
      </c>
      <c r="M48" s="4" t="s">
        <v>88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68</v>
      </c>
      <c r="U48" s="4" t="s">
        <v>46</v>
      </c>
      <c r="V48" s="5">
        <v>0</v>
      </c>
      <c r="W48" s="5">
        <v>0</v>
      </c>
      <c r="X48" s="5">
        <v>100</v>
      </c>
      <c r="Y48" s="5">
        <v>547.75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45931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69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45910</v>
      </c>
      <c r="C49" s="4" t="s">
        <v>213</v>
      </c>
      <c r="D49" s="2">
        <v>1800759</v>
      </c>
      <c r="E49" s="4" t="s">
        <v>223</v>
      </c>
      <c r="F49" s="4" t="s">
        <v>224</v>
      </c>
      <c r="G49" s="2">
        <v>351659293</v>
      </c>
      <c r="H49" s="4" t="s">
        <v>225</v>
      </c>
      <c r="I49" s="4" t="s">
        <v>46</v>
      </c>
      <c r="J49" s="4" t="s">
        <v>47</v>
      </c>
      <c r="K49" s="4" t="s">
        <v>48</v>
      </c>
      <c r="L49" s="3">
        <v>45901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60</v>
      </c>
      <c r="U49" s="4" t="s">
        <v>46</v>
      </c>
      <c r="V49" s="5">
        <v>0</v>
      </c>
      <c r="W49" s="5">
        <v>0</v>
      </c>
      <c r="X49" s="5">
        <v>100</v>
      </c>
      <c r="Y49" s="5">
        <v>521.66999999999996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45901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126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45910</v>
      </c>
      <c r="C50" s="4" t="s">
        <v>213</v>
      </c>
      <c r="D50" s="2">
        <v>1800759</v>
      </c>
      <c r="E50" s="4" t="s">
        <v>226</v>
      </c>
      <c r="F50" s="4" t="s">
        <v>227</v>
      </c>
      <c r="G50" s="2">
        <v>33630423</v>
      </c>
      <c r="H50" s="4" t="s">
        <v>228</v>
      </c>
      <c r="I50" s="4" t="s">
        <v>46</v>
      </c>
      <c r="J50" s="4" t="s">
        <v>47</v>
      </c>
      <c r="K50" s="4" t="s">
        <v>48</v>
      </c>
      <c r="L50" s="3">
        <v>45931</v>
      </c>
      <c r="M50" s="4" t="s">
        <v>88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68</v>
      </c>
      <c r="U50" s="4" t="s">
        <v>46</v>
      </c>
      <c r="V50" s="5">
        <v>0.25</v>
      </c>
      <c r="W50" s="5">
        <v>0</v>
      </c>
      <c r="X50" s="5">
        <v>100</v>
      </c>
      <c r="Y50" s="5">
        <v>78.25</v>
      </c>
      <c r="Z50" s="4" t="s">
        <v>46</v>
      </c>
      <c r="AA50" s="5" t="s">
        <v>46</v>
      </c>
      <c r="AB50" s="4" t="s">
        <v>62</v>
      </c>
      <c r="AC50" s="4" t="s">
        <v>46</v>
      </c>
      <c r="AD50" s="5">
        <v>0</v>
      </c>
      <c r="AE50" s="4" t="s">
        <v>63</v>
      </c>
      <c r="AF50" s="3">
        <v>45931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69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45910</v>
      </c>
      <c r="C51" s="4" t="s">
        <v>213</v>
      </c>
      <c r="D51" s="2">
        <v>1800759</v>
      </c>
      <c r="E51" s="4" t="s">
        <v>229</v>
      </c>
      <c r="F51" s="4" t="s">
        <v>230</v>
      </c>
      <c r="G51" s="2">
        <v>63148423</v>
      </c>
      <c r="H51" s="4" t="s">
        <v>231</v>
      </c>
      <c r="I51" s="4" t="s">
        <v>46</v>
      </c>
      <c r="J51" s="4" t="s">
        <v>47</v>
      </c>
      <c r="K51" s="4" t="s">
        <v>48</v>
      </c>
      <c r="L51" s="3">
        <v>45931</v>
      </c>
      <c r="M51" s="4" t="s">
        <v>88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68</v>
      </c>
      <c r="U51" s="4" t="s">
        <v>46</v>
      </c>
      <c r="V51" s="5">
        <v>0.25</v>
      </c>
      <c r="W51" s="5">
        <v>0</v>
      </c>
      <c r="X51" s="5">
        <v>100</v>
      </c>
      <c r="Y51" s="5">
        <v>78.25</v>
      </c>
      <c r="Z51" s="4" t="s">
        <v>46</v>
      </c>
      <c r="AA51" s="5" t="s">
        <v>46</v>
      </c>
      <c r="AB51" s="4" t="s">
        <v>62</v>
      </c>
      <c r="AC51" s="4" t="s">
        <v>46</v>
      </c>
      <c r="AD51" s="5">
        <v>0</v>
      </c>
      <c r="AE51" s="4" t="s">
        <v>63</v>
      </c>
      <c r="AF51" s="3">
        <v>45931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69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45910</v>
      </c>
      <c r="C52" s="4" t="s">
        <v>232</v>
      </c>
      <c r="D52" s="2">
        <v>1815448</v>
      </c>
      <c r="E52" s="4" t="s">
        <v>233</v>
      </c>
      <c r="F52" s="4" t="s">
        <v>234</v>
      </c>
      <c r="G52" s="2">
        <v>69138094</v>
      </c>
      <c r="H52" s="4" t="s">
        <v>235</v>
      </c>
      <c r="I52" s="4" t="s">
        <v>46</v>
      </c>
      <c r="J52" s="4" t="s">
        <v>47</v>
      </c>
      <c r="K52" s="4" t="s">
        <v>48</v>
      </c>
      <c r="L52" s="3">
        <v>45901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60</v>
      </c>
      <c r="U52" s="4" t="s">
        <v>46</v>
      </c>
      <c r="V52" s="5">
        <v>0</v>
      </c>
      <c r="W52" s="5">
        <v>0</v>
      </c>
      <c r="X52" s="5">
        <v>100</v>
      </c>
      <c r="Y52" s="5">
        <v>521.66999999999996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45901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126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45910</v>
      </c>
      <c r="C53" s="4" t="s">
        <v>236</v>
      </c>
      <c r="D53" s="2">
        <v>1831320</v>
      </c>
      <c r="E53" s="4" t="s">
        <v>237</v>
      </c>
      <c r="F53" s="4" t="s">
        <v>238</v>
      </c>
      <c r="G53" s="2">
        <v>958227014</v>
      </c>
      <c r="H53" s="4" t="s">
        <v>239</v>
      </c>
      <c r="I53" s="4" t="s">
        <v>46</v>
      </c>
      <c r="J53" s="4" t="s">
        <v>47</v>
      </c>
      <c r="K53" s="4" t="s">
        <v>48</v>
      </c>
      <c r="L53" s="3">
        <v>45931</v>
      </c>
      <c r="M53" s="4" t="s">
        <v>88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68</v>
      </c>
      <c r="U53" s="4" t="s">
        <v>46</v>
      </c>
      <c r="V53" s="5">
        <v>0</v>
      </c>
      <c r="W53" s="5">
        <v>0</v>
      </c>
      <c r="X53" s="5">
        <v>100</v>
      </c>
      <c r="Y53" s="5">
        <v>547.75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45931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69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45910</v>
      </c>
      <c r="C54" s="4" t="s">
        <v>240</v>
      </c>
      <c r="D54" s="2">
        <v>1831491</v>
      </c>
      <c r="E54" s="4" t="s">
        <v>241</v>
      </c>
      <c r="F54" s="4" t="s">
        <v>242</v>
      </c>
      <c r="G54" s="2">
        <v>872619254</v>
      </c>
      <c r="H54" s="4" t="s">
        <v>243</v>
      </c>
      <c r="I54" s="4" t="s">
        <v>46</v>
      </c>
      <c r="J54" s="4" t="s">
        <v>47</v>
      </c>
      <c r="K54" s="4" t="s">
        <v>48</v>
      </c>
      <c r="L54" s="3">
        <v>45901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68</v>
      </c>
      <c r="U54" s="4" t="s">
        <v>46</v>
      </c>
      <c r="V54" s="5">
        <v>0</v>
      </c>
      <c r="W54" s="5">
        <v>0</v>
      </c>
      <c r="X54" s="5">
        <v>100</v>
      </c>
      <c r="Y54" s="5">
        <v>521.66999999999996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45901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69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45910</v>
      </c>
      <c r="C55" s="4" t="s">
        <v>244</v>
      </c>
      <c r="D55" s="2">
        <v>1832195</v>
      </c>
      <c r="E55" s="4" t="s">
        <v>245</v>
      </c>
      <c r="F55" s="4" t="s">
        <v>246</v>
      </c>
      <c r="G55" s="2">
        <v>622775293</v>
      </c>
      <c r="H55" s="4" t="s">
        <v>247</v>
      </c>
      <c r="I55" s="4" t="s">
        <v>46</v>
      </c>
      <c r="J55" s="4" t="s">
        <v>47</v>
      </c>
      <c r="K55" s="4" t="s">
        <v>48</v>
      </c>
      <c r="L55" s="3">
        <v>45931</v>
      </c>
      <c r="M55" s="4" t="s">
        <v>88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</v>
      </c>
      <c r="W55" s="5">
        <v>0</v>
      </c>
      <c r="X55" s="5">
        <v>100</v>
      </c>
      <c r="Y55" s="5">
        <v>95.25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45931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45910</v>
      </c>
      <c r="C56" s="4" t="s">
        <v>248</v>
      </c>
      <c r="D56" s="2">
        <v>1855975</v>
      </c>
      <c r="E56" s="4" t="s">
        <v>249</v>
      </c>
      <c r="F56" s="4" t="s">
        <v>250</v>
      </c>
      <c r="G56" s="2">
        <v>969180065</v>
      </c>
      <c r="H56" s="4" t="s">
        <v>251</v>
      </c>
      <c r="I56" s="4" t="s">
        <v>46</v>
      </c>
      <c r="J56" s="4" t="s">
        <v>47</v>
      </c>
      <c r="K56" s="4" t="s">
        <v>48</v>
      </c>
      <c r="L56" s="3">
        <v>45901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68</v>
      </c>
      <c r="U56" s="4" t="s">
        <v>46</v>
      </c>
      <c r="V56" s="5">
        <v>0</v>
      </c>
      <c r="W56" s="5">
        <v>0</v>
      </c>
      <c r="X56" s="5">
        <v>100</v>
      </c>
      <c r="Y56" s="5">
        <v>521.66999999999996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45901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69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45910</v>
      </c>
      <c r="C57" s="4" t="s">
        <v>252</v>
      </c>
      <c r="D57" s="2">
        <v>1903197</v>
      </c>
      <c r="E57" s="4" t="s">
        <v>253</v>
      </c>
      <c r="F57" s="4" t="s">
        <v>254</v>
      </c>
      <c r="G57" s="2">
        <v>692329453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45689</v>
      </c>
      <c r="M57" s="4" t="s">
        <v>81</v>
      </c>
      <c r="N57" s="4" t="s">
        <v>46</v>
      </c>
      <c r="O57" s="4" t="s">
        <v>50</v>
      </c>
      <c r="P57" s="4" t="s">
        <v>106</v>
      </c>
      <c r="Q57" s="2">
        <v>0</v>
      </c>
      <c r="R57" s="2">
        <v>17</v>
      </c>
      <c r="S57" s="4" t="s">
        <v>51</v>
      </c>
      <c r="T57" s="4" t="s">
        <v>60</v>
      </c>
      <c r="U57" s="4" t="s">
        <v>46</v>
      </c>
      <c r="V57" s="5">
        <v>0.08</v>
      </c>
      <c r="W57" s="5">
        <v>0</v>
      </c>
      <c r="X57" s="5">
        <v>100</v>
      </c>
      <c r="Y57" s="5">
        <v>26.08</v>
      </c>
      <c r="Z57" s="4" t="s">
        <v>46</v>
      </c>
      <c r="AA57" s="5" t="s">
        <v>46</v>
      </c>
      <c r="AB57" s="4" t="s">
        <v>255</v>
      </c>
      <c r="AC57" s="4" t="s">
        <v>46</v>
      </c>
      <c r="AD57" s="5">
        <v>0</v>
      </c>
      <c r="AE57" s="4" t="s">
        <v>256</v>
      </c>
      <c r="AF57" s="3">
        <v>45689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45910</v>
      </c>
      <c r="C58" s="4" t="s">
        <v>257</v>
      </c>
      <c r="D58" s="2">
        <v>1913090</v>
      </c>
      <c r="E58" s="4" t="s">
        <v>258</v>
      </c>
      <c r="F58" s="4" t="s">
        <v>259</v>
      </c>
      <c r="G58" s="2">
        <v>881632064</v>
      </c>
      <c r="H58" s="4" t="s">
        <v>260</v>
      </c>
      <c r="I58" s="4" t="s">
        <v>46</v>
      </c>
      <c r="J58" s="4" t="s">
        <v>47</v>
      </c>
      <c r="K58" s="4" t="s">
        <v>48</v>
      </c>
      <c r="L58" s="3">
        <v>45931</v>
      </c>
      <c r="M58" s="4" t="s">
        <v>88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68</v>
      </c>
      <c r="U58" s="4" t="s">
        <v>46</v>
      </c>
      <c r="V58" s="5">
        <v>0</v>
      </c>
      <c r="W58" s="5">
        <v>0</v>
      </c>
      <c r="X58" s="5">
        <v>100</v>
      </c>
      <c r="Y58" s="5">
        <v>547.75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45931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69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45910</v>
      </c>
      <c r="C59" s="4" t="s">
        <v>257</v>
      </c>
      <c r="D59" s="2">
        <v>1913090</v>
      </c>
      <c r="E59" s="4" t="s">
        <v>261</v>
      </c>
      <c r="F59" s="4" t="s">
        <v>262</v>
      </c>
      <c r="G59" s="2">
        <v>706768313</v>
      </c>
      <c r="H59" s="4" t="s">
        <v>263</v>
      </c>
      <c r="I59" s="4" t="s">
        <v>46</v>
      </c>
      <c r="J59" s="4" t="s">
        <v>47</v>
      </c>
      <c r="K59" s="4" t="s">
        <v>48</v>
      </c>
      <c r="L59" s="3">
        <v>45901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68</v>
      </c>
      <c r="U59" s="4" t="s">
        <v>46</v>
      </c>
      <c r="V59" s="5">
        <v>0</v>
      </c>
      <c r="W59" s="5">
        <v>0</v>
      </c>
      <c r="X59" s="5">
        <v>100</v>
      </c>
      <c r="Y59" s="5">
        <v>521.66999999999996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45901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69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45910</v>
      </c>
      <c r="C60" s="4" t="s">
        <v>257</v>
      </c>
      <c r="D60" s="2">
        <v>1913090</v>
      </c>
      <c r="E60" s="4" t="s">
        <v>264</v>
      </c>
      <c r="F60" s="4" t="s">
        <v>265</v>
      </c>
      <c r="G60" s="2">
        <v>962187133</v>
      </c>
      <c r="H60" s="4" t="s">
        <v>266</v>
      </c>
      <c r="I60" s="4" t="s">
        <v>46</v>
      </c>
      <c r="J60" s="4" t="s">
        <v>47</v>
      </c>
      <c r="K60" s="4" t="s">
        <v>48</v>
      </c>
      <c r="L60" s="3">
        <v>45901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68</v>
      </c>
      <c r="U60" s="4" t="s">
        <v>46</v>
      </c>
      <c r="V60" s="5">
        <v>0</v>
      </c>
      <c r="W60" s="5">
        <v>0</v>
      </c>
      <c r="X60" s="5">
        <v>100</v>
      </c>
      <c r="Y60" s="5">
        <v>521.66999999999996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45901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69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45910</v>
      </c>
      <c r="C61" s="4" t="s">
        <v>267</v>
      </c>
      <c r="D61" s="2">
        <v>1953307</v>
      </c>
      <c r="E61" s="4" t="s">
        <v>268</v>
      </c>
      <c r="F61" s="4" t="s">
        <v>269</v>
      </c>
      <c r="G61" s="2">
        <v>217984164</v>
      </c>
      <c r="H61" s="4" t="s">
        <v>270</v>
      </c>
      <c r="I61" s="4" t="s">
        <v>46</v>
      </c>
      <c r="J61" s="4" t="s">
        <v>47</v>
      </c>
      <c r="K61" s="4" t="s">
        <v>48</v>
      </c>
      <c r="L61" s="3">
        <v>45901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90.67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45901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45910</v>
      </c>
      <c r="C62" s="4" t="s">
        <v>271</v>
      </c>
      <c r="D62" s="2">
        <v>1969216</v>
      </c>
      <c r="E62" s="4" t="s">
        <v>272</v>
      </c>
      <c r="F62" s="4" t="s">
        <v>273</v>
      </c>
      <c r="G62" s="2">
        <v>934737147</v>
      </c>
      <c r="H62" s="4" t="s">
        <v>274</v>
      </c>
      <c r="I62" s="4" t="s">
        <v>46</v>
      </c>
      <c r="J62" s="4" t="s">
        <v>47</v>
      </c>
      <c r="K62" s="4" t="s">
        <v>48</v>
      </c>
      <c r="L62" s="3">
        <v>45901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68</v>
      </c>
      <c r="U62" s="4" t="s">
        <v>46</v>
      </c>
      <c r="V62" s="5">
        <v>0</v>
      </c>
      <c r="W62" s="5">
        <v>0</v>
      </c>
      <c r="X62" s="5">
        <v>100</v>
      </c>
      <c r="Y62" s="5">
        <v>521.66999999999996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45901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69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45910</v>
      </c>
      <c r="C63" s="4" t="s">
        <v>275</v>
      </c>
      <c r="D63" s="2">
        <v>1975294</v>
      </c>
      <c r="E63" s="4" t="s">
        <v>276</v>
      </c>
      <c r="F63" s="4" t="s">
        <v>277</v>
      </c>
      <c r="G63" s="2">
        <v>383776355</v>
      </c>
      <c r="H63" s="4" t="s">
        <v>278</v>
      </c>
      <c r="I63" s="4" t="s">
        <v>46</v>
      </c>
      <c r="J63" s="4" t="s">
        <v>47</v>
      </c>
      <c r="K63" s="4" t="s">
        <v>48</v>
      </c>
      <c r="L63" s="3">
        <v>45931</v>
      </c>
      <c r="M63" s="4" t="s">
        <v>88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68</v>
      </c>
      <c r="U63" s="4" t="s">
        <v>46</v>
      </c>
      <c r="V63" s="5">
        <v>0</v>
      </c>
      <c r="W63" s="5">
        <v>0</v>
      </c>
      <c r="X63" s="5">
        <v>100</v>
      </c>
      <c r="Y63" s="5">
        <v>547.75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45931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69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45910</v>
      </c>
      <c r="C64" s="4" t="s">
        <v>275</v>
      </c>
      <c r="D64" s="2">
        <v>1975294</v>
      </c>
      <c r="E64" s="4" t="s">
        <v>279</v>
      </c>
      <c r="F64" s="4" t="s">
        <v>280</v>
      </c>
      <c r="G64" s="2">
        <v>856806572</v>
      </c>
      <c r="H64" s="4" t="s">
        <v>281</v>
      </c>
      <c r="I64" s="4" t="s">
        <v>46</v>
      </c>
      <c r="J64" s="4" t="s">
        <v>47</v>
      </c>
      <c r="K64" s="4" t="s">
        <v>48</v>
      </c>
      <c r="L64" s="3">
        <v>45931</v>
      </c>
      <c r="M64" s="4" t="s">
        <v>88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68</v>
      </c>
      <c r="U64" s="4" t="s">
        <v>46</v>
      </c>
      <c r="V64" s="5">
        <v>0.25</v>
      </c>
      <c r="W64" s="5">
        <v>0</v>
      </c>
      <c r="X64" s="5">
        <v>100</v>
      </c>
      <c r="Y64" s="5">
        <v>78.25</v>
      </c>
      <c r="Z64" s="4" t="s">
        <v>46</v>
      </c>
      <c r="AA64" s="5" t="s">
        <v>46</v>
      </c>
      <c r="AB64" s="4" t="s">
        <v>62</v>
      </c>
      <c r="AC64" s="4" t="s">
        <v>46</v>
      </c>
      <c r="AD64" s="5">
        <v>0</v>
      </c>
      <c r="AE64" s="4" t="s">
        <v>63</v>
      </c>
      <c r="AF64" s="3">
        <v>45931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69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45910</v>
      </c>
      <c r="C65" s="4" t="s">
        <v>282</v>
      </c>
      <c r="D65" s="2">
        <v>1982112</v>
      </c>
      <c r="E65" s="4" t="s">
        <v>283</v>
      </c>
      <c r="F65" s="4" t="s">
        <v>284</v>
      </c>
      <c r="G65" s="2">
        <v>115732104</v>
      </c>
      <c r="H65" s="4" t="s">
        <v>285</v>
      </c>
      <c r="I65" s="4" t="s">
        <v>46</v>
      </c>
      <c r="J65" s="4" t="s">
        <v>47</v>
      </c>
      <c r="K65" s="4" t="s">
        <v>48</v>
      </c>
      <c r="L65" s="3">
        <v>45962</v>
      </c>
      <c r="M65" s="4" t="s">
        <v>76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0</v>
      </c>
      <c r="W65" s="5">
        <v>0</v>
      </c>
      <c r="X65" s="5">
        <v>100</v>
      </c>
      <c r="Y65" s="5">
        <v>99.83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45962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55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45910</v>
      </c>
      <c r="C66" s="4" t="s">
        <v>282</v>
      </c>
      <c r="D66" s="2">
        <v>1982112</v>
      </c>
      <c r="E66" s="4" t="s">
        <v>286</v>
      </c>
      <c r="F66" s="4" t="s">
        <v>287</v>
      </c>
      <c r="G66" s="2">
        <v>257666210</v>
      </c>
      <c r="H66" s="4" t="s">
        <v>288</v>
      </c>
      <c r="I66" s="4" t="s">
        <v>46</v>
      </c>
      <c r="J66" s="4" t="s">
        <v>47</v>
      </c>
      <c r="K66" s="4" t="s">
        <v>48</v>
      </c>
      <c r="L66" s="3">
        <v>45931</v>
      </c>
      <c r="M66" s="4" t="s">
        <v>88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</v>
      </c>
      <c r="W66" s="5">
        <v>0</v>
      </c>
      <c r="X66" s="5">
        <v>100</v>
      </c>
      <c r="Y66" s="5">
        <v>95.25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45931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55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45910</v>
      </c>
      <c r="C67" s="4" t="s">
        <v>282</v>
      </c>
      <c r="D67" s="2">
        <v>1982112</v>
      </c>
      <c r="E67" s="4" t="s">
        <v>289</v>
      </c>
      <c r="F67" s="4" t="s">
        <v>290</v>
      </c>
      <c r="G67" s="2">
        <v>444811444</v>
      </c>
      <c r="H67" s="4" t="s">
        <v>291</v>
      </c>
      <c r="I67" s="4" t="s">
        <v>46</v>
      </c>
      <c r="J67" s="4" t="s">
        <v>47</v>
      </c>
      <c r="K67" s="4" t="s">
        <v>48</v>
      </c>
      <c r="L67" s="3">
        <v>45931</v>
      </c>
      <c r="M67" s="4" t="s">
        <v>88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0</v>
      </c>
      <c r="W67" s="5">
        <v>0</v>
      </c>
      <c r="X67" s="5">
        <v>100</v>
      </c>
      <c r="Y67" s="5">
        <v>95.25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45931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55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45910</v>
      </c>
      <c r="C68" s="4" t="s">
        <v>282</v>
      </c>
      <c r="D68" s="2">
        <v>1982112</v>
      </c>
      <c r="E68" s="4" t="s">
        <v>292</v>
      </c>
      <c r="F68" s="4" t="s">
        <v>293</v>
      </c>
      <c r="G68" s="2">
        <v>289228484</v>
      </c>
      <c r="H68" s="4" t="s">
        <v>294</v>
      </c>
      <c r="I68" s="4" t="s">
        <v>46</v>
      </c>
      <c r="J68" s="4" t="s">
        <v>47</v>
      </c>
      <c r="K68" s="4" t="s">
        <v>48</v>
      </c>
      <c r="L68" s="3">
        <v>45931</v>
      </c>
      <c r="M68" s="4" t="s">
        <v>88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0.25</v>
      </c>
      <c r="W68" s="5">
        <v>0</v>
      </c>
      <c r="X68" s="5">
        <v>100</v>
      </c>
      <c r="Y68" s="5">
        <v>13.75</v>
      </c>
      <c r="Z68" s="4" t="s">
        <v>46</v>
      </c>
      <c r="AA68" s="5" t="s">
        <v>46</v>
      </c>
      <c r="AB68" s="4" t="s">
        <v>62</v>
      </c>
      <c r="AC68" s="4" t="s">
        <v>46</v>
      </c>
      <c r="AD68" s="5">
        <v>0</v>
      </c>
      <c r="AE68" s="4" t="s">
        <v>63</v>
      </c>
      <c r="AF68" s="3">
        <v>45931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55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45910</v>
      </c>
      <c r="C69" s="4" t="s">
        <v>282</v>
      </c>
      <c r="D69" s="2">
        <v>1982112</v>
      </c>
      <c r="E69" s="4" t="s">
        <v>295</v>
      </c>
      <c r="F69" s="4" t="s">
        <v>296</v>
      </c>
      <c r="G69" s="2">
        <v>578567164</v>
      </c>
      <c r="H69" s="4" t="s">
        <v>297</v>
      </c>
      <c r="I69" s="4" t="s">
        <v>46</v>
      </c>
      <c r="J69" s="4" t="s">
        <v>47</v>
      </c>
      <c r="K69" s="4" t="s">
        <v>48</v>
      </c>
      <c r="L69" s="3">
        <v>45931</v>
      </c>
      <c r="M69" s="4" t="s">
        <v>88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0.25</v>
      </c>
      <c r="W69" s="5">
        <v>0</v>
      </c>
      <c r="X69" s="5">
        <v>100</v>
      </c>
      <c r="Y69" s="5">
        <v>13.75</v>
      </c>
      <c r="Z69" s="4" t="s">
        <v>46</v>
      </c>
      <c r="AA69" s="5" t="s">
        <v>46</v>
      </c>
      <c r="AB69" s="4" t="s">
        <v>62</v>
      </c>
      <c r="AC69" s="4" t="s">
        <v>46</v>
      </c>
      <c r="AD69" s="5">
        <v>0</v>
      </c>
      <c r="AE69" s="4" t="s">
        <v>63</v>
      </c>
      <c r="AF69" s="3">
        <v>45931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55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45910</v>
      </c>
      <c r="C70" s="4" t="s">
        <v>282</v>
      </c>
      <c r="D70" s="2">
        <v>1982112</v>
      </c>
      <c r="E70" s="4" t="s">
        <v>298</v>
      </c>
      <c r="F70" s="4" t="s">
        <v>299</v>
      </c>
      <c r="G70" s="2">
        <v>754916583</v>
      </c>
      <c r="H70" s="4" t="s">
        <v>300</v>
      </c>
      <c r="I70" s="4" t="s">
        <v>46</v>
      </c>
      <c r="J70" s="4" t="s">
        <v>47</v>
      </c>
      <c r="K70" s="4" t="s">
        <v>48</v>
      </c>
      <c r="L70" s="3">
        <v>45992</v>
      </c>
      <c r="M70" s="4" t="s">
        <v>148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52</v>
      </c>
      <c r="U70" s="4" t="s">
        <v>46</v>
      </c>
      <c r="V70" s="5">
        <v>0.08</v>
      </c>
      <c r="W70" s="5">
        <v>0</v>
      </c>
      <c r="X70" s="5">
        <v>100</v>
      </c>
      <c r="Y70" s="5">
        <v>4.58</v>
      </c>
      <c r="Z70" s="4" t="s">
        <v>46</v>
      </c>
      <c r="AA70" s="5" t="s">
        <v>46</v>
      </c>
      <c r="AB70" s="4" t="s">
        <v>62</v>
      </c>
      <c r="AC70" s="4" t="s">
        <v>46</v>
      </c>
      <c r="AD70" s="5">
        <v>0</v>
      </c>
      <c r="AE70" s="4" t="s">
        <v>63</v>
      </c>
      <c r="AF70" s="3">
        <v>45992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55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45910</v>
      </c>
      <c r="C71" s="4" t="s">
        <v>301</v>
      </c>
      <c r="D71" s="2">
        <v>1418187</v>
      </c>
      <c r="E71" s="4" t="s">
        <v>302</v>
      </c>
      <c r="F71" s="4" t="s">
        <v>303</v>
      </c>
      <c r="G71" s="4" t="s">
        <v>46</v>
      </c>
      <c r="H71" s="4" t="s">
        <v>46</v>
      </c>
      <c r="I71" s="4" t="s">
        <v>46</v>
      </c>
      <c r="J71" s="4" t="s">
        <v>304</v>
      </c>
      <c r="K71" s="4" t="s">
        <v>48</v>
      </c>
      <c r="L71" s="3">
        <v>45901</v>
      </c>
      <c r="M71" s="4" t="s">
        <v>49</v>
      </c>
      <c r="N71" s="4" t="s">
        <v>46</v>
      </c>
      <c r="O71" s="4" t="s">
        <v>106</v>
      </c>
      <c r="P71" s="4" t="s">
        <v>106</v>
      </c>
      <c r="Q71" s="2">
        <v>1</v>
      </c>
      <c r="R71" s="2">
        <v>17</v>
      </c>
      <c r="S71" s="4" t="s">
        <v>51</v>
      </c>
      <c r="T71" s="4" t="s">
        <v>46</v>
      </c>
      <c r="U71" s="4" t="s">
        <v>46</v>
      </c>
      <c r="V71" s="5">
        <v>22</v>
      </c>
      <c r="W71" s="5">
        <v>129.12</v>
      </c>
      <c r="X71" s="5">
        <v>100</v>
      </c>
      <c r="Y71" s="5">
        <v>28.41</v>
      </c>
      <c r="Z71" s="5">
        <v>0</v>
      </c>
      <c r="AA71" s="5">
        <v>0</v>
      </c>
      <c r="AB71" s="4" t="s">
        <v>305</v>
      </c>
      <c r="AC71" s="4" t="s">
        <v>46</v>
      </c>
      <c r="AD71" s="5">
        <v>0</v>
      </c>
      <c r="AE71" s="4" t="s">
        <v>306</v>
      </c>
      <c r="AF71" s="3">
        <v>45505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45910</v>
      </c>
      <c r="C72" s="4" t="s">
        <v>92</v>
      </c>
      <c r="D72" s="2">
        <v>1509744</v>
      </c>
      <c r="E72" s="4" t="s">
        <v>307</v>
      </c>
      <c r="F72" s="4" t="s">
        <v>308</v>
      </c>
      <c r="G72" s="4" t="s">
        <v>46</v>
      </c>
      <c r="H72" s="4" t="s">
        <v>46</v>
      </c>
      <c r="I72" s="4" t="s">
        <v>46</v>
      </c>
      <c r="J72" s="4" t="s">
        <v>309</v>
      </c>
      <c r="K72" s="4" t="s">
        <v>310</v>
      </c>
      <c r="L72" s="3">
        <v>45931</v>
      </c>
      <c r="M72" s="4" t="s">
        <v>88</v>
      </c>
      <c r="N72" s="4" t="s">
        <v>46</v>
      </c>
      <c r="O72" s="4" t="s">
        <v>106</v>
      </c>
      <c r="P72" s="4" t="s">
        <v>106</v>
      </c>
      <c r="Q72" s="2">
        <v>2</v>
      </c>
      <c r="R72" s="2">
        <v>60</v>
      </c>
      <c r="S72" s="4" t="s">
        <v>311</v>
      </c>
      <c r="T72" s="4" t="s">
        <v>46</v>
      </c>
      <c r="U72" s="4" t="s">
        <v>46</v>
      </c>
      <c r="V72" s="5">
        <v>10</v>
      </c>
      <c r="W72" s="5">
        <v>26.88</v>
      </c>
      <c r="X72" s="5">
        <v>100</v>
      </c>
      <c r="Y72" s="5">
        <v>2.69</v>
      </c>
      <c r="Z72" s="4" t="s">
        <v>46</v>
      </c>
      <c r="AA72" s="5" t="s">
        <v>46</v>
      </c>
      <c r="AB72" s="4" t="s">
        <v>312</v>
      </c>
      <c r="AC72" s="4" t="s">
        <v>46</v>
      </c>
      <c r="AD72" s="5">
        <v>0</v>
      </c>
      <c r="AE72" s="4" t="s">
        <v>313</v>
      </c>
      <c r="AF72" s="3">
        <v>45384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45910</v>
      </c>
      <c r="C73" s="4" t="s">
        <v>92</v>
      </c>
      <c r="D73" s="2">
        <v>1509744</v>
      </c>
      <c r="E73" s="4" t="s">
        <v>314</v>
      </c>
      <c r="F73" s="4" t="s">
        <v>315</v>
      </c>
      <c r="G73" s="4" t="s">
        <v>46</v>
      </c>
      <c r="H73" s="4" t="s">
        <v>46</v>
      </c>
      <c r="I73" s="4" t="s">
        <v>46</v>
      </c>
      <c r="J73" s="4" t="s">
        <v>309</v>
      </c>
      <c r="K73" s="4" t="s">
        <v>310</v>
      </c>
      <c r="L73" s="3">
        <v>45931</v>
      </c>
      <c r="M73" s="4" t="s">
        <v>88</v>
      </c>
      <c r="N73" s="4" t="s">
        <v>46</v>
      </c>
      <c r="O73" s="4" t="s">
        <v>106</v>
      </c>
      <c r="P73" s="4" t="s">
        <v>106</v>
      </c>
      <c r="Q73" s="2">
        <v>1</v>
      </c>
      <c r="R73" s="2">
        <v>3</v>
      </c>
      <c r="S73" s="4" t="s">
        <v>316</v>
      </c>
      <c r="T73" s="4" t="s">
        <v>46</v>
      </c>
      <c r="U73" s="4" t="s">
        <v>46</v>
      </c>
      <c r="V73" s="5">
        <v>10</v>
      </c>
      <c r="W73" s="5">
        <v>13.93</v>
      </c>
      <c r="X73" s="5">
        <v>100</v>
      </c>
      <c r="Y73" s="5">
        <v>1.39</v>
      </c>
      <c r="Z73" s="4" t="s">
        <v>46</v>
      </c>
      <c r="AA73" s="5" t="s">
        <v>46</v>
      </c>
      <c r="AB73" s="4" t="s">
        <v>312</v>
      </c>
      <c r="AC73" s="4" t="s">
        <v>46</v>
      </c>
      <c r="AD73" s="5">
        <v>0</v>
      </c>
      <c r="AE73" s="4" t="s">
        <v>313</v>
      </c>
      <c r="AF73" s="3">
        <v>44197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45910</v>
      </c>
      <c r="C74" s="4" t="s">
        <v>92</v>
      </c>
      <c r="D74" s="2">
        <v>1509744</v>
      </c>
      <c r="E74" s="4" t="s">
        <v>317</v>
      </c>
      <c r="F74" s="4" t="s">
        <v>318</v>
      </c>
      <c r="G74" s="4" t="s">
        <v>46</v>
      </c>
      <c r="H74" s="4" t="s">
        <v>46</v>
      </c>
      <c r="I74" s="4" t="s">
        <v>46</v>
      </c>
      <c r="J74" s="4" t="s">
        <v>309</v>
      </c>
      <c r="K74" s="4" t="s">
        <v>310</v>
      </c>
      <c r="L74" s="3">
        <v>45931</v>
      </c>
      <c r="M74" s="4" t="s">
        <v>88</v>
      </c>
      <c r="N74" s="4" t="s">
        <v>46</v>
      </c>
      <c r="O74" s="4" t="s">
        <v>106</v>
      </c>
      <c r="P74" s="4" t="s">
        <v>106</v>
      </c>
      <c r="Q74" s="2">
        <v>1</v>
      </c>
      <c r="R74" s="2">
        <v>60</v>
      </c>
      <c r="S74" s="4" t="s">
        <v>311</v>
      </c>
      <c r="T74" s="4" t="s">
        <v>46</v>
      </c>
      <c r="U74" s="4" t="s">
        <v>46</v>
      </c>
      <c r="V74" s="5">
        <v>10</v>
      </c>
      <c r="W74" s="5">
        <v>13.93</v>
      </c>
      <c r="X74" s="5">
        <v>100</v>
      </c>
      <c r="Y74" s="5">
        <v>1.39</v>
      </c>
      <c r="Z74" s="4" t="s">
        <v>46</v>
      </c>
      <c r="AA74" s="5" t="s">
        <v>46</v>
      </c>
      <c r="AB74" s="4" t="s">
        <v>312</v>
      </c>
      <c r="AC74" s="4" t="s">
        <v>46</v>
      </c>
      <c r="AD74" s="5">
        <v>0</v>
      </c>
      <c r="AE74" s="4" t="s">
        <v>313</v>
      </c>
      <c r="AF74" s="3">
        <v>45323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45910</v>
      </c>
      <c r="C75" s="4" t="s">
        <v>92</v>
      </c>
      <c r="D75" s="2">
        <v>1509744</v>
      </c>
      <c r="E75" s="4" t="s">
        <v>319</v>
      </c>
      <c r="F75" s="4" t="s">
        <v>320</v>
      </c>
      <c r="G75" s="4" t="s">
        <v>46</v>
      </c>
      <c r="H75" s="4" t="s">
        <v>46</v>
      </c>
      <c r="I75" s="4" t="s">
        <v>46</v>
      </c>
      <c r="J75" s="4" t="s">
        <v>309</v>
      </c>
      <c r="K75" s="4" t="s">
        <v>310</v>
      </c>
      <c r="L75" s="3">
        <v>45931</v>
      </c>
      <c r="M75" s="4" t="s">
        <v>88</v>
      </c>
      <c r="N75" s="4" t="s">
        <v>46</v>
      </c>
      <c r="O75" s="4" t="s">
        <v>106</v>
      </c>
      <c r="P75" s="4" t="s">
        <v>106</v>
      </c>
      <c r="Q75" s="2">
        <v>2</v>
      </c>
      <c r="R75" s="2">
        <v>60</v>
      </c>
      <c r="S75" s="4" t="s">
        <v>311</v>
      </c>
      <c r="T75" s="4" t="s">
        <v>46</v>
      </c>
      <c r="U75" s="4" t="s">
        <v>46</v>
      </c>
      <c r="V75" s="5">
        <v>10</v>
      </c>
      <c r="W75" s="5">
        <v>26.88</v>
      </c>
      <c r="X75" s="5">
        <v>100</v>
      </c>
      <c r="Y75" s="5">
        <v>2.69</v>
      </c>
      <c r="Z75" s="4" t="s">
        <v>46</v>
      </c>
      <c r="AA75" s="5" t="s">
        <v>46</v>
      </c>
      <c r="AB75" s="4" t="s">
        <v>312</v>
      </c>
      <c r="AC75" s="4" t="s">
        <v>46</v>
      </c>
      <c r="AD75" s="5">
        <v>0</v>
      </c>
      <c r="AE75" s="4" t="s">
        <v>313</v>
      </c>
      <c r="AF75" s="3">
        <v>45323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45910</v>
      </c>
      <c r="C76" s="4" t="s">
        <v>92</v>
      </c>
      <c r="D76" s="2">
        <v>1509744</v>
      </c>
      <c r="E76" s="4" t="s">
        <v>321</v>
      </c>
      <c r="F76" s="4" t="s">
        <v>322</v>
      </c>
      <c r="G76" s="4" t="s">
        <v>46</v>
      </c>
      <c r="H76" s="4" t="s">
        <v>46</v>
      </c>
      <c r="I76" s="4" t="s">
        <v>46</v>
      </c>
      <c r="J76" s="4" t="s">
        <v>309</v>
      </c>
      <c r="K76" s="4" t="s">
        <v>310</v>
      </c>
      <c r="L76" s="3">
        <v>45931</v>
      </c>
      <c r="M76" s="4" t="s">
        <v>88</v>
      </c>
      <c r="N76" s="4" t="s">
        <v>46</v>
      </c>
      <c r="O76" s="4" t="s">
        <v>106</v>
      </c>
      <c r="P76" s="4" t="s">
        <v>106</v>
      </c>
      <c r="Q76" s="2">
        <v>4</v>
      </c>
      <c r="R76" s="2">
        <v>60</v>
      </c>
      <c r="S76" s="4" t="s">
        <v>311</v>
      </c>
      <c r="T76" s="4" t="s">
        <v>46</v>
      </c>
      <c r="U76" s="4" t="s">
        <v>46</v>
      </c>
      <c r="V76" s="5">
        <v>10</v>
      </c>
      <c r="W76" s="5">
        <v>46.8</v>
      </c>
      <c r="X76" s="5">
        <v>100</v>
      </c>
      <c r="Y76" s="5">
        <v>4.68</v>
      </c>
      <c r="Z76" s="4" t="s">
        <v>46</v>
      </c>
      <c r="AA76" s="5" t="s">
        <v>46</v>
      </c>
      <c r="AB76" s="4" t="s">
        <v>312</v>
      </c>
      <c r="AC76" s="4" t="s">
        <v>46</v>
      </c>
      <c r="AD76" s="5">
        <v>0</v>
      </c>
      <c r="AE76" s="4" t="s">
        <v>313</v>
      </c>
      <c r="AF76" s="3">
        <v>45328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45910</v>
      </c>
      <c r="C77" s="4" t="s">
        <v>92</v>
      </c>
      <c r="D77" s="2">
        <v>1509744</v>
      </c>
      <c r="E77" s="4" t="s">
        <v>323</v>
      </c>
      <c r="F77" s="4" t="s">
        <v>324</v>
      </c>
      <c r="G77" s="4" t="s">
        <v>46</v>
      </c>
      <c r="H77" s="4" t="s">
        <v>46</v>
      </c>
      <c r="I77" s="4" t="s">
        <v>46</v>
      </c>
      <c r="J77" s="4" t="s">
        <v>309</v>
      </c>
      <c r="K77" s="4" t="s">
        <v>310</v>
      </c>
      <c r="L77" s="3">
        <v>45931</v>
      </c>
      <c r="M77" s="4" t="s">
        <v>88</v>
      </c>
      <c r="N77" s="4" t="s">
        <v>46</v>
      </c>
      <c r="O77" s="4" t="s">
        <v>50</v>
      </c>
      <c r="P77" s="4" t="s">
        <v>106</v>
      </c>
      <c r="Q77" s="2">
        <v>1</v>
      </c>
      <c r="R77" s="2">
        <v>60</v>
      </c>
      <c r="S77" s="4" t="s">
        <v>311</v>
      </c>
      <c r="T77" s="4" t="s">
        <v>46</v>
      </c>
      <c r="U77" s="4" t="s">
        <v>46</v>
      </c>
      <c r="V77" s="5">
        <v>10</v>
      </c>
      <c r="W77" s="5">
        <v>13.93</v>
      </c>
      <c r="X77" s="5">
        <v>100</v>
      </c>
      <c r="Y77" s="5">
        <v>1.39</v>
      </c>
      <c r="Z77" s="4" t="s">
        <v>46</v>
      </c>
      <c r="AA77" s="5" t="s">
        <v>46</v>
      </c>
      <c r="AB77" s="4" t="s">
        <v>325</v>
      </c>
      <c r="AC77" s="4" t="s">
        <v>46</v>
      </c>
      <c r="AD77" s="5">
        <v>0</v>
      </c>
      <c r="AE77" s="4" t="s">
        <v>326</v>
      </c>
      <c r="AF77" s="3">
        <v>45614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45910</v>
      </c>
      <c r="C78" s="4" t="s">
        <v>92</v>
      </c>
      <c r="D78" s="2">
        <v>1509744</v>
      </c>
      <c r="E78" s="4" t="s">
        <v>327</v>
      </c>
      <c r="F78" s="4" t="s">
        <v>328</v>
      </c>
      <c r="G78" s="4" t="s">
        <v>46</v>
      </c>
      <c r="H78" s="4" t="s">
        <v>46</v>
      </c>
      <c r="I78" s="4" t="s">
        <v>46</v>
      </c>
      <c r="J78" s="4" t="s">
        <v>309</v>
      </c>
      <c r="K78" s="4" t="s">
        <v>310</v>
      </c>
      <c r="L78" s="3">
        <v>45931</v>
      </c>
      <c r="M78" s="4" t="s">
        <v>88</v>
      </c>
      <c r="N78" s="4" t="s">
        <v>46</v>
      </c>
      <c r="O78" s="4" t="s">
        <v>50</v>
      </c>
      <c r="P78" s="4" t="s">
        <v>106</v>
      </c>
      <c r="Q78" s="2">
        <v>1</v>
      </c>
      <c r="R78" s="2">
        <v>60</v>
      </c>
      <c r="S78" s="4" t="s">
        <v>311</v>
      </c>
      <c r="T78" s="4" t="s">
        <v>46</v>
      </c>
      <c r="U78" s="4" t="s">
        <v>46</v>
      </c>
      <c r="V78" s="5">
        <v>10</v>
      </c>
      <c r="W78" s="5">
        <v>13.93</v>
      </c>
      <c r="X78" s="5">
        <v>100</v>
      </c>
      <c r="Y78" s="5">
        <v>1.39</v>
      </c>
      <c r="Z78" s="4" t="s">
        <v>46</v>
      </c>
      <c r="AA78" s="5" t="s">
        <v>46</v>
      </c>
      <c r="AB78" s="4" t="s">
        <v>325</v>
      </c>
      <c r="AC78" s="4" t="s">
        <v>46</v>
      </c>
      <c r="AD78" s="5">
        <v>0</v>
      </c>
      <c r="AE78" s="4" t="s">
        <v>326</v>
      </c>
      <c r="AF78" s="3">
        <v>45622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45910</v>
      </c>
      <c r="C79" s="4" t="s">
        <v>92</v>
      </c>
      <c r="D79" s="2">
        <v>1509744</v>
      </c>
      <c r="E79" s="4" t="s">
        <v>329</v>
      </c>
      <c r="F79" s="4" t="s">
        <v>330</v>
      </c>
      <c r="G79" s="4" t="s">
        <v>46</v>
      </c>
      <c r="H79" s="4" t="s">
        <v>46</v>
      </c>
      <c r="I79" s="4" t="s">
        <v>46</v>
      </c>
      <c r="J79" s="4" t="s">
        <v>309</v>
      </c>
      <c r="K79" s="4" t="s">
        <v>310</v>
      </c>
      <c r="L79" s="3">
        <v>45931</v>
      </c>
      <c r="M79" s="4" t="s">
        <v>88</v>
      </c>
      <c r="N79" s="4" t="s">
        <v>46</v>
      </c>
      <c r="O79" s="4" t="s">
        <v>50</v>
      </c>
      <c r="P79" s="4" t="s">
        <v>106</v>
      </c>
      <c r="Q79" s="2">
        <v>1</v>
      </c>
      <c r="R79" s="2">
        <v>3</v>
      </c>
      <c r="S79" s="4" t="s">
        <v>316</v>
      </c>
      <c r="T79" s="4" t="s">
        <v>46</v>
      </c>
      <c r="U79" s="4" t="s">
        <v>46</v>
      </c>
      <c r="V79" s="5">
        <v>10</v>
      </c>
      <c r="W79" s="5">
        <v>24.54</v>
      </c>
      <c r="X79" s="5">
        <v>100</v>
      </c>
      <c r="Y79" s="5">
        <v>2.4500000000000002</v>
      </c>
      <c r="Z79" s="4" t="s">
        <v>46</v>
      </c>
      <c r="AA79" s="5" t="s">
        <v>46</v>
      </c>
      <c r="AB79" s="4" t="s">
        <v>325</v>
      </c>
      <c r="AC79" s="4" t="s">
        <v>46</v>
      </c>
      <c r="AD79" s="5">
        <v>0</v>
      </c>
      <c r="AE79" s="4" t="s">
        <v>326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45910</v>
      </c>
      <c r="C80" s="4" t="s">
        <v>92</v>
      </c>
      <c r="D80" s="2">
        <v>1509744</v>
      </c>
      <c r="E80" s="4" t="s">
        <v>331</v>
      </c>
      <c r="F80" s="4" t="s">
        <v>332</v>
      </c>
      <c r="G80" s="4" t="s">
        <v>46</v>
      </c>
      <c r="H80" s="4" t="s">
        <v>46</v>
      </c>
      <c r="I80" s="4" t="s">
        <v>46</v>
      </c>
      <c r="J80" s="4" t="s">
        <v>309</v>
      </c>
      <c r="K80" s="4" t="s">
        <v>310</v>
      </c>
      <c r="L80" s="3">
        <v>45931</v>
      </c>
      <c r="M80" s="4" t="s">
        <v>88</v>
      </c>
      <c r="N80" s="4" t="s">
        <v>46</v>
      </c>
      <c r="O80" s="4" t="s">
        <v>50</v>
      </c>
      <c r="P80" s="4" t="s">
        <v>106</v>
      </c>
      <c r="Q80" s="2">
        <v>2</v>
      </c>
      <c r="R80" s="2">
        <v>3</v>
      </c>
      <c r="S80" s="4" t="s">
        <v>316</v>
      </c>
      <c r="T80" s="4" t="s">
        <v>46</v>
      </c>
      <c r="U80" s="4" t="s">
        <v>46</v>
      </c>
      <c r="V80" s="5">
        <v>10</v>
      </c>
      <c r="W80" s="5">
        <v>97.6</v>
      </c>
      <c r="X80" s="5">
        <v>100</v>
      </c>
      <c r="Y80" s="5">
        <v>9.76</v>
      </c>
      <c r="Z80" s="4" t="s">
        <v>46</v>
      </c>
      <c r="AA80" s="5" t="s">
        <v>46</v>
      </c>
      <c r="AB80" s="4" t="s">
        <v>325</v>
      </c>
      <c r="AC80" s="4" t="s">
        <v>46</v>
      </c>
      <c r="AD80" s="5">
        <v>0</v>
      </c>
      <c r="AE80" s="4" t="s">
        <v>326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45910</v>
      </c>
      <c r="C81" s="4" t="s">
        <v>92</v>
      </c>
      <c r="D81" s="2">
        <v>1509744</v>
      </c>
      <c r="E81" s="4" t="s">
        <v>331</v>
      </c>
      <c r="F81" s="4" t="s">
        <v>333</v>
      </c>
      <c r="G81" s="4" t="s">
        <v>46</v>
      </c>
      <c r="H81" s="4" t="s">
        <v>46</v>
      </c>
      <c r="I81" s="4" t="s">
        <v>46</v>
      </c>
      <c r="J81" s="4" t="s">
        <v>309</v>
      </c>
      <c r="K81" s="4" t="s">
        <v>310</v>
      </c>
      <c r="L81" s="3">
        <v>45931</v>
      </c>
      <c r="M81" s="4" t="s">
        <v>88</v>
      </c>
      <c r="N81" s="4" t="s">
        <v>46</v>
      </c>
      <c r="O81" s="4" t="s">
        <v>50</v>
      </c>
      <c r="P81" s="4" t="s">
        <v>106</v>
      </c>
      <c r="Q81" s="2">
        <v>2</v>
      </c>
      <c r="R81" s="2">
        <v>60</v>
      </c>
      <c r="S81" s="4" t="s">
        <v>311</v>
      </c>
      <c r="T81" s="4" t="s">
        <v>46</v>
      </c>
      <c r="U81" s="4" t="s">
        <v>46</v>
      </c>
      <c r="V81" s="5">
        <v>10</v>
      </c>
      <c r="W81" s="5">
        <v>26.88</v>
      </c>
      <c r="X81" s="5">
        <v>100</v>
      </c>
      <c r="Y81" s="5">
        <v>2.69</v>
      </c>
      <c r="Z81" s="4" t="s">
        <v>46</v>
      </c>
      <c r="AA81" s="5" t="s">
        <v>46</v>
      </c>
      <c r="AB81" s="4" t="s">
        <v>325</v>
      </c>
      <c r="AC81" s="4" t="s">
        <v>46</v>
      </c>
      <c r="AD81" s="5">
        <v>0</v>
      </c>
      <c r="AE81" s="4" t="s">
        <v>326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45910</v>
      </c>
      <c r="C82" s="4" t="s">
        <v>92</v>
      </c>
      <c r="D82" s="2">
        <v>1509744</v>
      </c>
      <c r="E82" s="4" t="s">
        <v>334</v>
      </c>
      <c r="F82" s="4" t="s">
        <v>335</v>
      </c>
      <c r="G82" s="4" t="s">
        <v>46</v>
      </c>
      <c r="H82" s="4" t="s">
        <v>46</v>
      </c>
      <c r="I82" s="4" t="s">
        <v>46</v>
      </c>
      <c r="J82" s="4" t="s">
        <v>309</v>
      </c>
      <c r="K82" s="4" t="s">
        <v>310</v>
      </c>
      <c r="L82" s="3">
        <v>45931</v>
      </c>
      <c r="M82" s="4" t="s">
        <v>88</v>
      </c>
      <c r="N82" s="4" t="s">
        <v>46</v>
      </c>
      <c r="O82" s="4" t="s">
        <v>50</v>
      </c>
      <c r="P82" s="4" t="s">
        <v>106</v>
      </c>
      <c r="Q82" s="2">
        <v>1</v>
      </c>
      <c r="R82" s="2">
        <v>3</v>
      </c>
      <c r="S82" s="4" t="s">
        <v>316</v>
      </c>
      <c r="T82" s="4" t="s">
        <v>46</v>
      </c>
      <c r="U82" s="4" t="s">
        <v>46</v>
      </c>
      <c r="V82" s="5">
        <v>10</v>
      </c>
      <c r="W82" s="5">
        <v>24.54</v>
      </c>
      <c r="X82" s="5">
        <v>100</v>
      </c>
      <c r="Y82" s="5">
        <v>2.4500000000000002</v>
      </c>
      <c r="Z82" s="4" t="s">
        <v>46</v>
      </c>
      <c r="AA82" s="5" t="s">
        <v>46</v>
      </c>
      <c r="AB82" s="4" t="s">
        <v>325</v>
      </c>
      <c r="AC82" s="4" t="s">
        <v>46</v>
      </c>
      <c r="AD82" s="5">
        <v>0</v>
      </c>
      <c r="AE82" s="4" t="s">
        <v>326</v>
      </c>
      <c r="AF82" s="3">
        <v>45646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45910</v>
      </c>
      <c r="C83" s="4" t="s">
        <v>92</v>
      </c>
      <c r="D83" s="2">
        <v>1509744</v>
      </c>
      <c r="E83" s="4" t="s">
        <v>336</v>
      </c>
      <c r="F83" s="4" t="s">
        <v>337</v>
      </c>
      <c r="G83" s="4" t="s">
        <v>46</v>
      </c>
      <c r="H83" s="4" t="s">
        <v>46</v>
      </c>
      <c r="I83" s="4" t="s">
        <v>46</v>
      </c>
      <c r="J83" s="4" t="s">
        <v>309</v>
      </c>
      <c r="K83" s="4" t="s">
        <v>310</v>
      </c>
      <c r="L83" s="3">
        <v>45931</v>
      </c>
      <c r="M83" s="4" t="s">
        <v>88</v>
      </c>
      <c r="N83" s="4" t="s">
        <v>46</v>
      </c>
      <c r="O83" s="4" t="s">
        <v>50</v>
      </c>
      <c r="P83" s="4" t="s">
        <v>106</v>
      </c>
      <c r="Q83" s="2">
        <v>1</v>
      </c>
      <c r="R83" s="2">
        <v>60</v>
      </c>
      <c r="S83" s="4" t="s">
        <v>311</v>
      </c>
      <c r="T83" s="4" t="s">
        <v>46</v>
      </c>
      <c r="U83" s="4" t="s">
        <v>46</v>
      </c>
      <c r="V83" s="5">
        <v>10</v>
      </c>
      <c r="W83" s="5">
        <v>13.93</v>
      </c>
      <c r="X83" s="5">
        <v>100</v>
      </c>
      <c r="Y83" s="5">
        <v>1.39</v>
      </c>
      <c r="Z83" s="4" t="s">
        <v>46</v>
      </c>
      <c r="AA83" s="5" t="s">
        <v>46</v>
      </c>
      <c r="AB83" s="4" t="s">
        <v>325</v>
      </c>
      <c r="AC83" s="4" t="s">
        <v>46</v>
      </c>
      <c r="AD83" s="5">
        <v>0</v>
      </c>
      <c r="AE83" s="4" t="s">
        <v>326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45910</v>
      </c>
      <c r="C84" s="4" t="s">
        <v>92</v>
      </c>
      <c r="D84" s="2">
        <v>1509744</v>
      </c>
      <c r="E84" s="4" t="s">
        <v>338</v>
      </c>
      <c r="F84" s="4" t="s">
        <v>339</v>
      </c>
      <c r="G84" s="4" t="s">
        <v>46</v>
      </c>
      <c r="H84" s="4" t="s">
        <v>46</v>
      </c>
      <c r="I84" s="4" t="s">
        <v>46</v>
      </c>
      <c r="J84" s="4" t="s">
        <v>309</v>
      </c>
      <c r="K84" s="4" t="s">
        <v>310</v>
      </c>
      <c r="L84" s="3">
        <v>45931</v>
      </c>
      <c r="M84" s="4" t="s">
        <v>88</v>
      </c>
      <c r="N84" s="4" t="s">
        <v>46</v>
      </c>
      <c r="O84" s="4" t="s">
        <v>50</v>
      </c>
      <c r="P84" s="4" t="s">
        <v>106</v>
      </c>
      <c r="Q84" s="2">
        <v>1</v>
      </c>
      <c r="R84" s="2">
        <v>60</v>
      </c>
      <c r="S84" s="4" t="s">
        <v>311</v>
      </c>
      <c r="T84" s="4" t="s">
        <v>46</v>
      </c>
      <c r="U84" s="4" t="s">
        <v>46</v>
      </c>
      <c r="V84" s="5">
        <v>10</v>
      </c>
      <c r="W84" s="5">
        <v>13.93</v>
      </c>
      <c r="X84" s="5">
        <v>100</v>
      </c>
      <c r="Y84" s="5">
        <v>1.39</v>
      </c>
      <c r="Z84" s="4" t="s">
        <v>46</v>
      </c>
      <c r="AA84" s="5" t="s">
        <v>46</v>
      </c>
      <c r="AB84" s="4" t="s">
        <v>325</v>
      </c>
      <c r="AC84" s="4" t="s">
        <v>46</v>
      </c>
      <c r="AD84" s="5">
        <v>0</v>
      </c>
      <c r="AE84" s="4" t="s">
        <v>326</v>
      </c>
      <c r="AF84" s="3">
        <v>45778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45910</v>
      </c>
      <c r="C85" s="4" t="s">
        <v>340</v>
      </c>
      <c r="D85" s="2">
        <v>1524629</v>
      </c>
      <c r="E85" s="4" t="s">
        <v>341</v>
      </c>
      <c r="F85" s="4" t="s">
        <v>342</v>
      </c>
      <c r="G85" s="4" t="s">
        <v>46</v>
      </c>
      <c r="H85" s="4" t="s">
        <v>46</v>
      </c>
      <c r="I85" s="4" t="s">
        <v>46</v>
      </c>
      <c r="J85" s="4" t="s">
        <v>304</v>
      </c>
      <c r="K85" s="4" t="s">
        <v>48</v>
      </c>
      <c r="L85" s="3">
        <v>45901</v>
      </c>
      <c r="M85" s="4" t="s">
        <v>49</v>
      </c>
      <c r="N85" s="4" t="s">
        <v>46</v>
      </c>
      <c r="O85" s="4" t="s">
        <v>106</v>
      </c>
      <c r="P85" s="4" t="s">
        <v>106</v>
      </c>
      <c r="Q85" s="2">
        <v>1</v>
      </c>
      <c r="R85" s="2">
        <v>17</v>
      </c>
      <c r="S85" s="4" t="s">
        <v>51</v>
      </c>
      <c r="T85" s="4" t="s">
        <v>46</v>
      </c>
      <c r="U85" s="4" t="s">
        <v>46</v>
      </c>
      <c r="V85" s="5">
        <v>26</v>
      </c>
      <c r="W85" s="5">
        <v>147.1</v>
      </c>
      <c r="X85" s="5">
        <v>100</v>
      </c>
      <c r="Y85" s="5">
        <v>38.25</v>
      </c>
      <c r="Z85" s="5">
        <v>0</v>
      </c>
      <c r="AA85" s="5">
        <v>0</v>
      </c>
      <c r="AB85" s="4" t="s">
        <v>305</v>
      </c>
      <c r="AC85" s="4" t="s">
        <v>46</v>
      </c>
      <c r="AD85" s="5">
        <v>0</v>
      </c>
      <c r="AE85" s="4" t="s">
        <v>306</v>
      </c>
      <c r="AF85" s="3">
        <v>45292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45910</v>
      </c>
      <c r="C86" s="4" t="s">
        <v>340</v>
      </c>
      <c r="D86" s="2">
        <v>1524629</v>
      </c>
      <c r="E86" s="4" t="s">
        <v>343</v>
      </c>
      <c r="F86" s="4" t="s">
        <v>344</v>
      </c>
      <c r="G86" s="4" t="s">
        <v>46</v>
      </c>
      <c r="H86" s="4" t="s">
        <v>46</v>
      </c>
      <c r="I86" s="4" t="s">
        <v>46</v>
      </c>
      <c r="J86" s="4" t="s">
        <v>304</v>
      </c>
      <c r="K86" s="4" t="s">
        <v>48</v>
      </c>
      <c r="L86" s="3">
        <v>45901</v>
      </c>
      <c r="M86" s="4" t="s">
        <v>49</v>
      </c>
      <c r="N86" s="4" t="s">
        <v>46</v>
      </c>
      <c r="O86" s="4" t="s">
        <v>106</v>
      </c>
      <c r="P86" s="4" t="s">
        <v>106</v>
      </c>
      <c r="Q86" s="2">
        <v>1</v>
      </c>
      <c r="R86" s="2">
        <v>17</v>
      </c>
      <c r="S86" s="4" t="s">
        <v>51</v>
      </c>
      <c r="T86" s="4" t="s">
        <v>46</v>
      </c>
      <c r="U86" s="4" t="s">
        <v>46</v>
      </c>
      <c r="V86" s="5">
        <v>22</v>
      </c>
      <c r="W86" s="5">
        <v>193.65</v>
      </c>
      <c r="X86" s="5">
        <v>100</v>
      </c>
      <c r="Y86" s="5">
        <v>42.6</v>
      </c>
      <c r="Z86" s="5">
        <v>0</v>
      </c>
      <c r="AA86" s="5">
        <v>0</v>
      </c>
      <c r="AB86" s="4" t="s">
        <v>305</v>
      </c>
      <c r="AC86" s="4" t="s">
        <v>46</v>
      </c>
      <c r="AD86" s="5">
        <v>0</v>
      </c>
      <c r="AE86" s="4" t="s">
        <v>306</v>
      </c>
      <c r="AF86" s="3">
        <v>45292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45910</v>
      </c>
      <c r="C87" s="4" t="s">
        <v>340</v>
      </c>
      <c r="D87" s="2">
        <v>1524629</v>
      </c>
      <c r="E87" s="4" t="s">
        <v>345</v>
      </c>
      <c r="F87" s="4" t="s">
        <v>346</v>
      </c>
      <c r="G87" s="4" t="s">
        <v>46</v>
      </c>
      <c r="H87" s="4" t="s">
        <v>46</v>
      </c>
      <c r="I87" s="4" t="s">
        <v>46</v>
      </c>
      <c r="J87" s="4" t="s">
        <v>304</v>
      </c>
      <c r="K87" s="4" t="s">
        <v>48</v>
      </c>
      <c r="L87" s="3">
        <v>45901</v>
      </c>
      <c r="M87" s="4" t="s">
        <v>49</v>
      </c>
      <c r="N87" s="4" t="s">
        <v>46</v>
      </c>
      <c r="O87" s="4" t="s">
        <v>106</v>
      </c>
      <c r="P87" s="4" t="s">
        <v>106</v>
      </c>
      <c r="Q87" s="2">
        <v>1</v>
      </c>
      <c r="R87" s="2">
        <v>17</v>
      </c>
      <c r="S87" s="4" t="s">
        <v>51</v>
      </c>
      <c r="T87" s="4" t="s">
        <v>46</v>
      </c>
      <c r="U87" s="4" t="s">
        <v>46</v>
      </c>
      <c r="V87" s="5">
        <v>26</v>
      </c>
      <c r="W87" s="5">
        <v>164.25</v>
      </c>
      <c r="X87" s="5">
        <v>100</v>
      </c>
      <c r="Y87" s="5">
        <v>42.71</v>
      </c>
      <c r="Z87" s="5">
        <v>0</v>
      </c>
      <c r="AA87" s="5">
        <v>0</v>
      </c>
      <c r="AB87" s="4" t="s">
        <v>305</v>
      </c>
      <c r="AC87" s="4" t="s">
        <v>46</v>
      </c>
      <c r="AD87" s="5">
        <v>0</v>
      </c>
      <c r="AE87" s="4" t="s">
        <v>306</v>
      </c>
      <c r="AF87" s="3">
        <v>45261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45910</v>
      </c>
      <c r="C88" s="4" t="s">
        <v>340</v>
      </c>
      <c r="D88" s="2">
        <v>1524629</v>
      </c>
      <c r="E88" s="4" t="s">
        <v>347</v>
      </c>
      <c r="F88" s="4" t="s">
        <v>348</v>
      </c>
      <c r="G88" s="4" t="s">
        <v>46</v>
      </c>
      <c r="H88" s="4" t="s">
        <v>46</v>
      </c>
      <c r="I88" s="4" t="s">
        <v>46</v>
      </c>
      <c r="J88" s="4" t="s">
        <v>304</v>
      </c>
      <c r="K88" s="4" t="s">
        <v>48</v>
      </c>
      <c r="L88" s="3">
        <v>45901</v>
      </c>
      <c r="M88" s="4" t="s">
        <v>49</v>
      </c>
      <c r="N88" s="4" t="s">
        <v>46</v>
      </c>
      <c r="O88" s="4" t="s">
        <v>106</v>
      </c>
      <c r="P88" s="4" t="s">
        <v>106</v>
      </c>
      <c r="Q88" s="2">
        <v>1</v>
      </c>
      <c r="R88" s="2">
        <v>17</v>
      </c>
      <c r="S88" s="4" t="s">
        <v>51</v>
      </c>
      <c r="T88" s="4" t="s">
        <v>46</v>
      </c>
      <c r="U88" s="4" t="s">
        <v>46</v>
      </c>
      <c r="V88" s="5">
        <v>22</v>
      </c>
      <c r="W88" s="5">
        <v>164</v>
      </c>
      <c r="X88" s="5">
        <v>100</v>
      </c>
      <c r="Y88" s="5">
        <v>36.08</v>
      </c>
      <c r="Z88" s="5">
        <v>0</v>
      </c>
      <c r="AA88" s="5">
        <v>0</v>
      </c>
      <c r="AB88" s="4" t="s">
        <v>107</v>
      </c>
      <c r="AC88" s="4" t="s">
        <v>46</v>
      </c>
      <c r="AD88" s="5">
        <v>0</v>
      </c>
      <c r="AE88" s="4" t="s">
        <v>108</v>
      </c>
      <c r="AF88" s="3">
        <v>45292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45910</v>
      </c>
      <c r="C89" s="4" t="s">
        <v>340</v>
      </c>
      <c r="D89" s="2">
        <v>1524629</v>
      </c>
      <c r="E89" s="4" t="s">
        <v>349</v>
      </c>
      <c r="F89" s="4" t="s">
        <v>350</v>
      </c>
      <c r="G89" s="4" t="s">
        <v>46</v>
      </c>
      <c r="H89" s="4" t="s">
        <v>46</v>
      </c>
      <c r="I89" s="4" t="s">
        <v>46</v>
      </c>
      <c r="J89" s="4" t="s">
        <v>304</v>
      </c>
      <c r="K89" s="4" t="s">
        <v>48</v>
      </c>
      <c r="L89" s="3">
        <v>45901</v>
      </c>
      <c r="M89" s="4" t="s">
        <v>49</v>
      </c>
      <c r="N89" s="4" t="s">
        <v>46</v>
      </c>
      <c r="O89" s="4" t="s">
        <v>106</v>
      </c>
      <c r="P89" s="4" t="s">
        <v>106</v>
      </c>
      <c r="Q89" s="2">
        <v>1</v>
      </c>
      <c r="R89" s="2">
        <v>17</v>
      </c>
      <c r="S89" s="4" t="s">
        <v>51</v>
      </c>
      <c r="T89" s="4" t="s">
        <v>46</v>
      </c>
      <c r="U89" s="4" t="s">
        <v>46</v>
      </c>
      <c r="V89" s="5">
        <v>22</v>
      </c>
      <c r="W89" s="5">
        <v>139.93</v>
      </c>
      <c r="X89" s="5">
        <v>100</v>
      </c>
      <c r="Y89" s="5">
        <v>30.78</v>
      </c>
      <c r="Z89" s="5">
        <v>0</v>
      </c>
      <c r="AA89" s="5">
        <v>0</v>
      </c>
      <c r="AB89" s="4" t="s">
        <v>305</v>
      </c>
      <c r="AC89" s="4" t="s">
        <v>46</v>
      </c>
      <c r="AD89" s="5">
        <v>0</v>
      </c>
      <c r="AE89" s="4" t="s">
        <v>306</v>
      </c>
      <c r="AF89" s="3">
        <v>45474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45910</v>
      </c>
      <c r="C90" s="4" t="s">
        <v>340</v>
      </c>
      <c r="D90" s="2">
        <v>1524629</v>
      </c>
      <c r="E90" s="4" t="s">
        <v>351</v>
      </c>
      <c r="F90" s="4" t="s">
        <v>352</v>
      </c>
      <c r="G90" s="4" t="s">
        <v>46</v>
      </c>
      <c r="H90" s="4" t="s">
        <v>46</v>
      </c>
      <c r="I90" s="4" t="s">
        <v>46</v>
      </c>
      <c r="J90" s="4" t="s">
        <v>304</v>
      </c>
      <c r="K90" s="4" t="s">
        <v>48</v>
      </c>
      <c r="L90" s="3">
        <v>45901</v>
      </c>
      <c r="M90" s="4" t="s">
        <v>49</v>
      </c>
      <c r="N90" s="4" t="s">
        <v>46</v>
      </c>
      <c r="O90" s="4" t="s">
        <v>106</v>
      </c>
      <c r="P90" s="4" t="s">
        <v>106</v>
      </c>
      <c r="Q90" s="2">
        <v>1</v>
      </c>
      <c r="R90" s="2">
        <v>17</v>
      </c>
      <c r="S90" s="4" t="s">
        <v>51</v>
      </c>
      <c r="T90" s="4" t="s">
        <v>46</v>
      </c>
      <c r="U90" s="4" t="s">
        <v>46</v>
      </c>
      <c r="V90" s="5">
        <v>22</v>
      </c>
      <c r="W90" s="5">
        <v>139.93</v>
      </c>
      <c r="X90" s="5">
        <v>100</v>
      </c>
      <c r="Y90" s="5">
        <v>30.78</v>
      </c>
      <c r="Z90" s="5">
        <v>0</v>
      </c>
      <c r="AA90" s="5">
        <v>0</v>
      </c>
      <c r="AB90" s="4" t="s">
        <v>305</v>
      </c>
      <c r="AC90" s="4" t="s">
        <v>46</v>
      </c>
      <c r="AD90" s="5">
        <v>0</v>
      </c>
      <c r="AE90" s="4" t="s">
        <v>306</v>
      </c>
      <c r="AF90" s="3">
        <v>45536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45910</v>
      </c>
      <c r="C91" s="4" t="s">
        <v>340</v>
      </c>
      <c r="D91" s="2">
        <v>1524629</v>
      </c>
      <c r="E91" s="4" t="s">
        <v>353</v>
      </c>
      <c r="F91" s="4" t="s">
        <v>354</v>
      </c>
      <c r="G91" s="4" t="s">
        <v>46</v>
      </c>
      <c r="H91" s="4" t="s">
        <v>46</v>
      </c>
      <c r="I91" s="4" t="s">
        <v>46</v>
      </c>
      <c r="J91" s="4" t="s">
        <v>304</v>
      </c>
      <c r="K91" s="4" t="s">
        <v>48</v>
      </c>
      <c r="L91" s="3">
        <v>45901</v>
      </c>
      <c r="M91" s="4" t="s">
        <v>49</v>
      </c>
      <c r="N91" s="4" t="s">
        <v>46</v>
      </c>
      <c r="O91" s="4" t="s">
        <v>106</v>
      </c>
      <c r="P91" s="4" t="s">
        <v>106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22</v>
      </c>
      <c r="W91" s="5">
        <v>115.3</v>
      </c>
      <c r="X91" s="5">
        <v>100</v>
      </c>
      <c r="Y91" s="5">
        <v>25.37</v>
      </c>
      <c r="Z91" s="5">
        <v>0</v>
      </c>
      <c r="AA91" s="5">
        <v>0</v>
      </c>
      <c r="AB91" s="4" t="s">
        <v>305</v>
      </c>
      <c r="AC91" s="4" t="s">
        <v>46</v>
      </c>
      <c r="AD91" s="5">
        <v>0</v>
      </c>
      <c r="AE91" s="4" t="s">
        <v>306</v>
      </c>
      <c r="AF91" s="3">
        <v>45505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45910</v>
      </c>
      <c r="C92" s="4" t="s">
        <v>340</v>
      </c>
      <c r="D92" s="2">
        <v>1524629</v>
      </c>
      <c r="E92" s="4" t="s">
        <v>355</v>
      </c>
      <c r="F92" s="4" t="s">
        <v>356</v>
      </c>
      <c r="G92" s="4" t="s">
        <v>46</v>
      </c>
      <c r="H92" s="4" t="s">
        <v>46</v>
      </c>
      <c r="I92" s="4" t="s">
        <v>46</v>
      </c>
      <c r="J92" s="4" t="s">
        <v>304</v>
      </c>
      <c r="K92" s="4" t="s">
        <v>48</v>
      </c>
      <c r="L92" s="3">
        <v>45901</v>
      </c>
      <c r="M92" s="4" t="s">
        <v>49</v>
      </c>
      <c r="N92" s="4" t="s">
        <v>46</v>
      </c>
      <c r="O92" s="4" t="s">
        <v>106</v>
      </c>
      <c r="P92" s="4" t="s">
        <v>106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11</v>
      </c>
      <c r="W92" s="5">
        <v>207.79</v>
      </c>
      <c r="X92" s="5">
        <v>100</v>
      </c>
      <c r="Y92" s="5">
        <v>22.86</v>
      </c>
      <c r="Z92" s="5">
        <v>0</v>
      </c>
      <c r="AA92" s="5">
        <v>0</v>
      </c>
      <c r="AB92" s="4" t="s">
        <v>107</v>
      </c>
      <c r="AC92" s="4" t="s">
        <v>46</v>
      </c>
      <c r="AD92" s="5">
        <v>0</v>
      </c>
      <c r="AE92" s="4" t="s">
        <v>108</v>
      </c>
      <c r="AF92" s="3">
        <v>45505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45910</v>
      </c>
      <c r="C93" s="4" t="s">
        <v>340</v>
      </c>
      <c r="D93" s="2">
        <v>1524629</v>
      </c>
      <c r="E93" s="4" t="s">
        <v>357</v>
      </c>
      <c r="F93" s="4" t="s">
        <v>358</v>
      </c>
      <c r="G93" s="4" t="s">
        <v>46</v>
      </c>
      <c r="H93" s="4" t="s">
        <v>46</v>
      </c>
      <c r="I93" s="4" t="s">
        <v>46</v>
      </c>
      <c r="J93" s="4" t="s">
        <v>304</v>
      </c>
      <c r="K93" s="4" t="s">
        <v>48</v>
      </c>
      <c r="L93" s="3">
        <v>45901</v>
      </c>
      <c r="M93" s="4" t="s">
        <v>49</v>
      </c>
      <c r="N93" s="4" t="s">
        <v>46</v>
      </c>
      <c r="O93" s="4" t="s">
        <v>106</v>
      </c>
      <c r="P93" s="4" t="s">
        <v>106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11</v>
      </c>
      <c r="W93" s="5">
        <v>141.65</v>
      </c>
      <c r="X93" s="5">
        <v>100</v>
      </c>
      <c r="Y93" s="5">
        <v>15.58</v>
      </c>
      <c r="Z93" s="5">
        <v>0</v>
      </c>
      <c r="AA93" s="5">
        <v>0</v>
      </c>
      <c r="AB93" s="4" t="s">
        <v>107</v>
      </c>
      <c r="AC93" s="4" t="s">
        <v>46</v>
      </c>
      <c r="AD93" s="5">
        <v>0</v>
      </c>
      <c r="AE93" s="4" t="s">
        <v>108</v>
      </c>
      <c r="AF93" s="3">
        <v>45505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45910</v>
      </c>
      <c r="C94" s="4" t="s">
        <v>340</v>
      </c>
      <c r="D94" s="2">
        <v>1524629</v>
      </c>
      <c r="E94" s="4" t="s">
        <v>359</v>
      </c>
      <c r="F94" s="4" t="s">
        <v>360</v>
      </c>
      <c r="G94" s="4" t="s">
        <v>46</v>
      </c>
      <c r="H94" s="4" t="s">
        <v>46</v>
      </c>
      <c r="I94" s="4" t="s">
        <v>46</v>
      </c>
      <c r="J94" s="4" t="s">
        <v>304</v>
      </c>
      <c r="K94" s="4" t="s">
        <v>48</v>
      </c>
      <c r="L94" s="3">
        <v>45901</v>
      </c>
      <c r="M94" s="4" t="s">
        <v>49</v>
      </c>
      <c r="N94" s="4" t="s">
        <v>46</v>
      </c>
      <c r="O94" s="4" t="s">
        <v>106</v>
      </c>
      <c r="P94" s="4" t="s">
        <v>106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26</v>
      </c>
      <c r="W94" s="5">
        <v>116.09</v>
      </c>
      <c r="X94" s="5">
        <v>100</v>
      </c>
      <c r="Y94" s="5">
        <v>30.18</v>
      </c>
      <c r="Z94" s="5">
        <v>0</v>
      </c>
      <c r="AA94" s="5">
        <v>0</v>
      </c>
      <c r="AB94" s="4" t="s">
        <v>305</v>
      </c>
      <c r="AC94" s="4" t="s">
        <v>46</v>
      </c>
      <c r="AD94" s="5">
        <v>0</v>
      </c>
      <c r="AE94" s="4" t="s">
        <v>306</v>
      </c>
      <c r="AF94" s="3">
        <v>45536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45910</v>
      </c>
      <c r="C95" s="4" t="s">
        <v>149</v>
      </c>
      <c r="D95" s="2">
        <v>1545980</v>
      </c>
      <c r="E95" s="4" t="s">
        <v>361</v>
      </c>
      <c r="F95" s="4" t="s">
        <v>362</v>
      </c>
      <c r="G95" s="4" t="s">
        <v>46</v>
      </c>
      <c r="H95" s="4" t="s">
        <v>46</v>
      </c>
      <c r="I95" s="4" t="s">
        <v>363</v>
      </c>
      <c r="J95" s="4" t="s">
        <v>304</v>
      </c>
      <c r="K95" s="4" t="s">
        <v>48</v>
      </c>
      <c r="L95" s="3">
        <v>45901</v>
      </c>
      <c r="M95" s="4" t="s">
        <v>49</v>
      </c>
      <c r="N95" s="4" t="s">
        <v>46</v>
      </c>
      <c r="O95" s="4" t="s">
        <v>50</v>
      </c>
      <c r="P95" s="4" t="s">
        <v>106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22</v>
      </c>
      <c r="W95" s="5">
        <v>1622.64</v>
      </c>
      <c r="X95" s="5">
        <v>100</v>
      </c>
      <c r="Y95" s="5">
        <v>357</v>
      </c>
      <c r="Z95" s="5">
        <v>0</v>
      </c>
      <c r="AA95" s="5">
        <v>0</v>
      </c>
      <c r="AB95" s="4" t="s">
        <v>364</v>
      </c>
      <c r="AC95" s="4" t="s">
        <v>46</v>
      </c>
      <c r="AD95" s="5">
        <v>0</v>
      </c>
      <c r="AE95" s="4" t="s">
        <v>365</v>
      </c>
      <c r="AF95" s="3">
        <v>45901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45910</v>
      </c>
      <c r="C96" s="4" t="s">
        <v>149</v>
      </c>
      <c r="D96" s="2">
        <v>1545980</v>
      </c>
      <c r="E96" s="4" t="s">
        <v>366</v>
      </c>
      <c r="F96" s="4" t="s">
        <v>367</v>
      </c>
      <c r="G96" s="4" t="s">
        <v>46</v>
      </c>
      <c r="H96" s="4" t="s">
        <v>46</v>
      </c>
      <c r="I96" s="4" t="s">
        <v>368</v>
      </c>
      <c r="J96" s="4" t="s">
        <v>304</v>
      </c>
      <c r="K96" s="4" t="s">
        <v>48</v>
      </c>
      <c r="L96" s="3">
        <v>45901</v>
      </c>
      <c r="M96" s="4" t="s">
        <v>49</v>
      </c>
      <c r="N96" s="4" t="s">
        <v>46</v>
      </c>
      <c r="O96" s="4" t="s">
        <v>50</v>
      </c>
      <c r="P96" s="4" t="s">
        <v>106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22</v>
      </c>
      <c r="W96" s="5">
        <v>2058.48</v>
      </c>
      <c r="X96" s="5">
        <v>100</v>
      </c>
      <c r="Y96" s="5">
        <v>452.88</v>
      </c>
      <c r="Z96" s="5">
        <v>0</v>
      </c>
      <c r="AA96" s="5">
        <v>0</v>
      </c>
      <c r="AB96" s="4" t="s">
        <v>364</v>
      </c>
      <c r="AC96" s="4" t="s">
        <v>46</v>
      </c>
      <c r="AD96" s="5">
        <v>0</v>
      </c>
      <c r="AE96" s="4" t="s">
        <v>365</v>
      </c>
      <c r="AF96" s="3">
        <v>45901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45910</v>
      </c>
      <c r="C97" s="4" t="s">
        <v>149</v>
      </c>
      <c r="D97" s="2">
        <v>1545980</v>
      </c>
      <c r="E97" s="4" t="s">
        <v>369</v>
      </c>
      <c r="F97" s="4" t="s">
        <v>370</v>
      </c>
      <c r="G97" s="4" t="s">
        <v>46</v>
      </c>
      <c r="H97" s="4" t="s">
        <v>46</v>
      </c>
      <c r="I97" s="4" t="s">
        <v>371</v>
      </c>
      <c r="J97" s="4" t="s">
        <v>304</v>
      </c>
      <c r="K97" s="4" t="s">
        <v>48</v>
      </c>
      <c r="L97" s="3">
        <v>45901</v>
      </c>
      <c r="M97" s="4" t="s">
        <v>49</v>
      </c>
      <c r="N97" s="4" t="s">
        <v>46</v>
      </c>
      <c r="O97" s="4" t="s">
        <v>50</v>
      </c>
      <c r="P97" s="4" t="s">
        <v>106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22</v>
      </c>
      <c r="W97" s="5">
        <v>1830.84</v>
      </c>
      <c r="X97" s="5">
        <v>100</v>
      </c>
      <c r="Y97" s="5">
        <v>402.84</v>
      </c>
      <c r="Z97" s="5">
        <v>0</v>
      </c>
      <c r="AA97" s="5">
        <v>0</v>
      </c>
      <c r="AB97" s="4" t="s">
        <v>364</v>
      </c>
      <c r="AC97" s="4" t="s">
        <v>46</v>
      </c>
      <c r="AD97" s="5">
        <v>0</v>
      </c>
      <c r="AE97" s="4" t="s">
        <v>365</v>
      </c>
      <c r="AF97" s="3">
        <v>45901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45910</v>
      </c>
      <c r="C98" s="4" t="s">
        <v>149</v>
      </c>
      <c r="D98" s="2">
        <v>1545980</v>
      </c>
      <c r="E98" s="4" t="s">
        <v>372</v>
      </c>
      <c r="F98" s="4" t="s">
        <v>373</v>
      </c>
      <c r="G98" s="4" t="s">
        <v>46</v>
      </c>
      <c r="H98" s="4" t="s">
        <v>46</v>
      </c>
      <c r="I98" s="4" t="s">
        <v>374</v>
      </c>
      <c r="J98" s="4" t="s">
        <v>304</v>
      </c>
      <c r="K98" s="4" t="s">
        <v>48</v>
      </c>
      <c r="L98" s="3">
        <v>45901</v>
      </c>
      <c r="M98" s="4" t="s">
        <v>49</v>
      </c>
      <c r="N98" s="4" t="s">
        <v>46</v>
      </c>
      <c r="O98" s="4" t="s">
        <v>50</v>
      </c>
      <c r="P98" s="4" t="s">
        <v>106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22</v>
      </c>
      <c r="W98" s="5">
        <v>1894.68</v>
      </c>
      <c r="X98" s="5">
        <v>100</v>
      </c>
      <c r="Y98" s="5">
        <v>416.88</v>
      </c>
      <c r="Z98" s="5">
        <v>0</v>
      </c>
      <c r="AA98" s="5">
        <v>0</v>
      </c>
      <c r="AB98" s="4" t="s">
        <v>364</v>
      </c>
      <c r="AC98" s="4" t="s">
        <v>46</v>
      </c>
      <c r="AD98" s="5">
        <v>0</v>
      </c>
      <c r="AE98" s="4" t="s">
        <v>365</v>
      </c>
      <c r="AF98" s="3">
        <v>45901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45910</v>
      </c>
      <c r="C99" s="4" t="s">
        <v>149</v>
      </c>
      <c r="D99" s="2">
        <v>1545980</v>
      </c>
      <c r="E99" s="4" t="s">
        <v>375</v>
      </c>
      <c r="F99" s="4" t="s">
        <v>376</v>
      </c>
      <c r="G99" s="4" t="s">
        <v>46</v>
      </c>
      <c r="H99" s="4" t="s">
        <v>46</v>
      </c>
      <c r="I99" s="4" t="s">
        <v>46</v>
      </c>
      <c r="J99" s="4" t="s">
        <v>304</v>
      </c>
      <c r="K99" s="4" t="s">
        <v>48</v>
      </c>
      <c r="L99" s="3">
        <v>45901</v>
      </c>
      <c r="M99" s="4" t="s">
        <v>49</v>
      </c>
      <c r="N99" s="4" t="s">
        <v>46</v>
      </c>
      <c r="O99" s="4" t="s">
        <v>50</v>
      </c>
      <c r="P99" s="4" t="s">
        <v>106</v>
      </c>
      <c r="Q99" s="2">
        <v>1</v>
      </c>
      <c r="R99" s="2">
        <v>17</v>
      </c>
      <c r="S99" s="4" t="s">
        <v>51</v>
      </c>
      <c r="T99" s="4" t="s">
        <v>46</v>
      </c>
      <c r="U99" s="4" t="s">
        <v>46</v>
      </c>
      <c r="V99" s="5">
        <v>22</v>
      </c>
      <c r="W99" s="5">
        <v>1894.68</v>
      </c>
      <c r="X99" s="5">
        <v>100</v>
      </c>
      <c r="Y99" s="5">
        <v>416.88</v>
      </c>
      <c r="Z99" s="5">
        <v>0</v>
      </c>
      <c r="AA99" s="5">
        <v>0</v>
      </c>
      <c r="AB99" s="4" t="s">
        <v>377</v>
      </c>
      <c r="AC99" s="4" t="s">
        <v>46</v>
      </c>
      <c r="AD99" s="5">
        <v>0</v>
      </c>
      <c r="AE99" s="4" t="s">
        <v>378</v>
      </c>
      <c r="AF99" s="3">
        <v>45901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45910</v>
      </c>
      <c r="C100" s="4" t="s">
        <v>149</v>
      </c>
      <c r="D100" s="2">
        <v>1545980</v>
      </c>
      <c r="E100" s="4" t="s">
        <v>379</v>
      </c>
      <c r="F100" s="4" t="s">
        <v>380</v>
      </c>
      <c r="G100" s="4" t="s">
        <v>46</v>
      </c>
      <c r="H100" s="4" t="s">
        <v>46</v>
      </c>
      <c r="I100" s="4" t="s">
        <v>46</v>
      </c>
      <c r="J100" s="4" t="s">
        <v>304</v>
      </c>
      <c r="K100" s="4" t="s">
        <v>48</v>
      </c>
      <c r="L100" s="3">
        <v>45901</v>
      </c>
      <c r="M100" s="4" t="s">
        <v>49</v>
      </c>
      <c r="N100" s="4" t="s">
        <v>46</v>
      </c>
      <c r="O100" s="4" t="s">
        <v>50</v>
      </c>
      <c r="P100" s="4" t="s">
        <v>106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22</v>
      </c>
      <c r="W100" s="5">
        <v>1622.64</v>
      </c>
      <c r="X100" s="5">
        <v>100</v>
      </c>
      <c r="Y100" s="5">
        <v>357</v>
      </c>
      <c r="Z100" s="5">
        <v>0</v>
      </c>
      <c r="AA100" s="5">
        <v>0</v>
      </c>
      <c r="AB100" s="4" t="s">
        <v>377</v>
      </c>
      <c r="AC100" s="4" t="s">
        <v>46</v>
      </c>
      <c r="AD100" s="5">
        <v>0</v>
      </c>
      <c r="AE100" s="4" t="s">
        <v>378</v>
      </c>
      <c r="AF100" s="3">
        <v>45901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45910</v>
      </c>
      <c r="C101" s="4" t="s">
        <v>381</v>
      </c>
      <c r="D101" s="2">
        <v>1581327</v>
      </c>
      <c r="E101" s="4" t="s">
        <v>382</v>
      </c>
      <c r="F101" s="4" t="s">
        <v>383</v>
      </c>
      <c r="G101" s="4" t="s">
        <v>46</v>
      </c>
      <c r="H101" s="4" t="s">
        <v>46</v>
      </c>
      <c r="I101" s="4" t="s">
        <v>46</v>
      </c>
      <c r="J101" s="4" t="s">
        <v>304</v>
      </c>
      <c r="K101" s="4" t="s">
        <v>48</v>
      </c>
      <c r="L101" s="3">
        <v>45901</v>
      </c>
      <c r="M101" s="4" t="s">
        <v>49</v>
      </c>
      <c r="N101" s="4" t="s">
        <v>46</v>
      </c>
      <c r="O101" s="4" t="s">
        <v>106</v>
      </c>
      <c r="P101" s="4" t="s">
        <v>106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11</v>
      </c>
      <c r="W101" s="5">
        <v>326.25</v>
      </c>
      <c r="X101" s="5">
        <v>100</v>
      </c>
      <c r="Y101" s="5">
        <v>35.89</v>
      </c>
      <c r="Z101" s="5">
        <v>0</v>
      </c>
      <c r="AA101" s="5">
        <v>0</v>
      </c>
      <c r="AB101" s="4" t="s">
        <v>107</v>
      </c>
      <c r="AC101" s="4" t="s">
        <v>46</v>
      </c>
      <c r="AD101" s="5">
        <v>0</v>
      </c>
      <c r="AE101" s="4" t="s">
        <v>108</v>
      </c>
      <c r="AF101" s="3">
        <v>45261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45910</v>
      </c>
      <c r="C102" s="4" t="s">
        <v>381</v>
      </c>
      <c r="D102" s="2">
        <v>1581327</v>
      </c>
      <c r="E102" s="4" t="s">
        <v>384</v>
      </c>
      <c r="F102" s="4" t="s">
        <v>385</v>
      </c>
      <c r="G102" s="4" t="s">
        <v>46</v>
      </c>
      <c r="H102" s="4" t="s">
        <v>46</v>
      </c>
      <c r="I102" s="4" t="s">
        <v>46</v>
      </c>
      <c r="J102" s="4" t="s">
        <v>304</v>
      </c>
      <c r="K102" s="4" t="s">
        <v>48</v>
      </c>
      <c r="L102" s="3">
        <v>45901</v>
      </c>
      <c r="M102" s="4" t="s">
        <v>49</v>
      </c>
      <c r="N102" s="4" t="s">
        <v>46</v>
      </c>
      <c r="O102" s="4" t="s">
        <v>106</v>
      </c>
      <c r="P102" s="4" t="s">
        <v>106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11</v>
      </c>
      <c r="W102" s="5">
        <v>326.25</v>
      </c>
      <c r="X102" s="5">
        <v>100</v>
      </c>
      <c r="Y102" s="5">
        <v>35.89</v>
      </c>
      <c r="Z102" s="5">
        <v>0</v>
      </c>
      <c r="AA102" s="5">
        <v>0</v>
      </c>
      <c r="AB102" s="4" t="s">
        <v>107</v>
      </c>
      <c r="AC102" s="4" t="s">
        <v>46</v>
      </c>
      <c r="AD102" s="5">
        <v>0</v>
      </c>
      <c r="AE102" s="4" t="s">
        <v>108</v>
      </c>
      <c r="AF102" s="3">
        <v>45292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45910</v>
      </c>
      <c r="C103" s="4" t="s">
        <v>386</v>
      </c>
      <c r="D103" s="2">
        <v>1594305</v>
      </c>
      <c r="E103" s="4" t="s">
        <v>387</v>
      </c>
      <c r="F103" s="4" t="s">
        <v>388</v>
      </c>
      <c r="G103" s="4" t="s">
        <v>46</v>
      </c>
      <c r="H103" s="4" t="s">
        <v>46</v>
      </c>
      <c r="I103" s="4" t="s">
        <v>46</v>
      </c>
      <c r="J103" s="4" t="s">
        <v>304</v>
      </c>
      <c r="K103" s="4" t="s">
        <v>48</v>
      </c>
      <c r="L103" s="3">
        <v>45901</v>
      </c>
      <c r="M103" s="4" t="s">
        <v>49</v>
      </c>
      <c r="N103" s="4" t="s">
        <v>46</v>
      </c>
      <c r="O103" s="4" t="s">
        <v>106</v>
      </c>
      <c r="P103" s="4" t="s">
        <v>106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51.16</v>
      </c>
      <c r="X103" s="5">
        <v>100</v>
      </c>
      <c r="Y103" s="5">
        <v>11.26</v>
      </c>
      <c r="Z103" s="5">
        <v>0</v>
      </c>
      <c r="AA103" s="5">
        <v>0</v>
      </c>
      <c r="AB103" s="4" t="s">
        <v>107</v>
      </c>
      <c r="AC103" s="4" t="s">
        <v>46</v>
      </c>
      <c r="AD103" s="5">
        <v>0</v>
      </c>
      <c r="AE103" s="4" t="s">
        <v>108</v>
      </c>
      <c r="AF103" s="3">
        <v>45536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45910</v>
      </c>
      <c r="C104" s="4" t="s">
        <v>188</v>
      </c>
      <c r="D104" s="2">
        <v>1673763</v>
      </c>
      <c r="E104" s="4" t="s">
        <v>389</v>
      </c>
      <c r="F104" s="4" t="s">
        <v>390</v>
      </c>
      <c r="G104" s="4" t="s">
        <v>46</v>
      </c>
      <c r="H104" s="4" t="s">
        <v>46</v>
      </c>
      <c r="I104" s="4" t="s">
        <v>46</v>
      </c>
      <c r="J104" s="4" t="s">
        <v>304</v>
      </c>
      <c r="K104" s="4" t="s">
        <v>48</v>
      </c>
      <c r="L104" s="3">
        <v>45901</v>
      </c>
      <c r="M104" s="4" t="s">
        <v>49</v>
      </c>
      <c r="N104" s="4" t="s">
        <v>46</v>
      </c>
      <c r="O104" s="4" t="s">
        <v>106</v>
      </c>
      <c r="P104" s="4" t="s">
        <v>106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1</v>
      </c>
      <c r="W104" s="5">
        <v>159.94999999999999</v>
      </c>
      <c r="X104" s="5">
        <v>100</v>
      </c>
      <c r="Y104" s="5">
        <v>1.6</v>
      </c>
      <c r="Z104" s="5">
        <v>0</v>
      </c>
      <c r="AA104" s="5">
        <v>0</v>
      </c>
      <c r="AB104" s="4" t="s">
        <v>305</v>
      </c>
      <c r="AC104" s="4" t="s">
        <v>46</v>
      </c>
      <c r="AD104" s="5">
        <v>0</v>
      </c>
      <c r="AE104" s="4" t="s">
        <v>306</v>
      </c>
      <c r="AF104" s="3">
        <v>45170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45910</v>
      </c>
      <c r="C105" s="4" t="s">
        <v>188</v>
      </c>
      <c r="D105" s="2">
        <v>1673763</v>
      </c>
      <c r="E105" s="4" t="s">
        <v>391</v>
      </c>
      <c r="F105" s="4" t="s">
        <v>392</v>
      </c>
      <c r="G105" s="4" t="s">
        <v>46</v>
      </c>
      <c r="H105" s="4" t="s">
        <v>46</v>
      </c>
      <c r="I105" s="4" t="s">
        <v>46</v>
      </c>
      <c r="J105" s="4" t="s">
        <v>304</v>
      </c>
      <c r="K105" s="4" t="s">
        <v>48</v>
      </c>
      <c r="L105" s="3">
        <v>45901</v>
      </c>
      <c r="M105" s="4" t="s">
        <v>49</v>
      </c>
      <c r="N105" s="4" t="s">
        <v>46</v>
      </c>
      <c r="O105" s="4" t="s">
        <v>106</v>
      </c>
      <c r="P105" s="4" t="s">
        <v>106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115.3</v>
      </c>
      <c r="X105" s="5">
        <v>100</v>
      </c>
      <c r="Y105" s="5">
        <v>25.37</v>
      </c>
      <c r="Z105" s="5">
        <v>0</v>
      </c>
      <c r="AA105" s="5">
        <v>0</v>
      </c>
      <c r="AB105" s="4" t="s">
        <v>305</v>
      </c>
      <c r="AC105" s="4" t="s">
        <v>46</v>
      </c>
      <c r="AD105" s="5">
        <v>0</v>
      </c>
      <c r="AE105" s="4" t="s">
        <v>306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45910</v>
      </c>
      <c r="C106" s="4" t="s">
        <v>188</v>
      </c>
      <c r="D106" s="2">
        <v>1673763</v>
      </c>
      <c r="E106" s="4" t="s">
        <v>393</v>
      </c>
      <c r="F106" s="4" t="s">
        <v>394</v>
      </c>
      <c r="G106" s="4" t="s">
        <v>46</v>
      </c>
      <c r="H106" s="4" t="s">
        <v>46</v>
      </c>
      <c r="I106" s="4" t="s">
        <v>46</v>
      </c>
      <c r="J106" s="4" t="s">
        <v>304</v>
      </c>
      <c r="K106" s="4" t="s">
        <v>48</v>
      </c>
      <c r="L106" s="3">
        <v>45901</v>
      </c>
      <c r="M106" s="4" t="s">
        <v>49</v>
      </c>
      <c r="N106" s="4" t="s">
        <v>46</v>
      </c>
      <c r="O106" s="4" t="s">
        <v>106</v>
      </c>
      <c r="P106" s="4" t="s">
        <v>106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131.96</v>
      </c>
      <c r="X106" s="5">
        <v>100</v>
      </c>
      <c r="Y106" s="5">
        <v>29.03</v>
      </c>
      <c r="Z106" s="5">
        <v>0</v>
      </c>
      <c r="AA106" s="5">
        <v>0</v>
      </c>
      <c r="AB106" s="4" t="s">
        <v>305</v>
      </c>
      <c r="AC106" s="4" t="s">
        <v>46</v>
      </c>
      <c r="AD106" s="5">
        <v>0</v>
      </c>
      <c r="AE106" s="4" t="s">
        <v>306</v>
      </c>
      <c r="AF106" s="3">
        <v>45292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45910</v>
      </c>
      <c r="C107" s="4" t="s">
        <v>188</v>
      </c>
      <c r="D107" s="2">
        <v>1673763</v>
      </c>
      <c r="E107" s="4" t="s">
        <v>395</v>
      </c>
      <c r="F107" s="4" t="s">
        <v>396</v>
      </c>
      <c r="G107" s="4" t="s">
        <v>46</v>
      </c>
      <c r="H107" s="4" t="s">
        <v>46</v>
      </c>
      <c r="I107" s="4" t="s">
        <v>46</v>
      </c>
      <c r="J107" s="4" t="s">
        <v>304</v>
      </c>
      <c r="K107" s="4" t="s">
        <v>48</v>
      </c>
      <c r="L107" s="3">
        <v>45901</v>
      </c>
      <c r="M107" s="4" t="s">
        <v>49</v>
      </c>
      <c r="N107" s="4" t="s">
        <v>46</v>
      </c>
      <c r="O107" s="4" t="s">
        <v>106</v>
      </c>
      <c r="P107" s="4" t="s">
        <v>106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130.08000000000001</v>
      </c>
      <c r="X107" s="5">
        <v>100</v>
      </c>
      <c r="Y107" s="5">
        <v>28.62</v>
      </c>
      <c r="Z107" s="5">
        <v>0</v>
      </c>
      <c r="AA107" s="5">
        <v>0</v>
      </c>
      <c r="AB107" s="4" t="s">
        <v>305</v>
      </c>
      <c r="AC107" s="4" t="s">
        <v>46</v>
      </c>
      <c r="AD107" s="5">
        <v>0</v>
      </c>
      <c r="AE107" s="4" t="s">
        <v>306</v>
      </c>
      <c r="AF107" s="3">
        <v>45292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45910</v>
      </c>
      <c r="C108" s="4" t="s">
        <v>188</v>
      </c>
      <c r="D108" s="2">
        <v>1673763</v>
      </c>
      <c r="E108" s="4" t="s">
        <v>397</v>
      </c>
      <c r="F108" s="4" t="s">
        <v>398</v>
      </c>
      <c r="G108" s="4" t="s">
        <v>46</v>
      </c>
      <c r="H108" s="4" t="s">
        <v>46</v>
      </c>
      <c r="I108" s="4" t="s">
        <v>46</v>
      </c>
      <c r="J108" s="4" t="s">
        <v>304</v>
      </c>
      <c r="K108" s="4" t="s">
        <v>48</v>
      </c>
      <c r="L108" s="3">
        <v>45901</v>
      </c>
      <c r="M108" s="4" t="s">
        <v>49</v>
      </c>
      <c r="N108" s="4" t="s">
        <v>46</v>
      </c>
      <c r="O108" s="4" t="s">
        <v>106</v>
      </c>
      <c r="P108" s="4" t="s">
        <v>106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130.08000000000001</v>
      </c>
      <c r="X108" s="5">
        <v>100</v>
      </c>
      <c r="Y108" s="5">
        <v>28.62</v>
      </c>
      <c r="Z108" s="5">
        <v>0</v>
      </c>
      <c r="AA108" s="5">
        <v>0</v>
      </c>
      <c r="AB108" s="4" t="s">
        <v>305</v>
      </c>
      <c r="AC108" s="4" t="s">
        <v>46</v>
      </c>
      <c r="AD108" s="5">
        <v>0</v>
      </c>
      <c r="AE108" s="4" t="s">
        <v>306</v>
      </c>
      <c r="AF108" s="3">
        <v>45261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45910</v>
      </c>
      <c r="C109" s="4" t="s">
        <v>188</v>
      </c>
      <c r="D109" s="2">
        <v>1673763</v>
      </c>
      <c r="E109" s="4" t="s">
        <v>399</v>
      </c>
      <c r="F109" s="4" t="s">
        <v>400</v>
      </c>
      <c r="G109" s="4" t="s">
        <v>46</v>
      </c>
      <c r="H109" s="4" t="s">
        <v>46</v>
      </c>
      <c r="I109" s="4" t="s">
        <v>46</v>
      </c>
      <c r="J109" s="4" t="s">
        <v>304</v>
      </c>
      <c r="K109" s="4" t="s">
        <v>48</v>
      </c>
      <c r="L109" s="3">
        <v>45901</v>
      </c>
      <c r="M109" s="4" t="s">
        <v>49</v>
      </c>
      <c r="N109" s="4" t="s">
        <v>46</v>
      </c>
      <c r="O109" s="4" t="s">
        <v>106</v>
      </c>
      <c r="P109" s="4" t="s">
        <v>106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130.08000000000001</v>
      </c>
      <c r="X109" s="5">
        <v>100</v>
      </c>
      <c r="Y109" s="5">
        <v>28.62</v>
      </c>
      <c r="Z109" s="5">
        <v>0</v>
      </c>
      <c r="AA109" s="5">
        <v>0</v>
      </c>
      <c r="AB109" s="4" t="s">
        <v>305</v>
      </c>
      <c r="AC109" s="4" t="s">
        <v>46</v>
      </c>
      <c r="AD109" s="5">
        <v>0</v>
      </c>
      <c r="AE109" s="4" t="s">
        <v>306</v>
      </c>
      <c r="AF109" s="3">
        <v>45261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45910</v>
      </c>
      <c r="C110" s="4" t="s">
        <v>188</v>
      </c>
      <c r="D110" s="2">
        <v>1673763</v>
      </c>
      <c r="E110" s="4" t="s">
        <v>401</v>
      </c>
      <c r="F110" s="4" t="s">
        <v>402</v>
      </c>
      <c r="G110" s="4" t="s">
        <v>46</v>
      </c>
      <c r="H110" s="4" t="s">
        <v>46</v>
      </c>
      <c r="I110" s="4" t="s">
        <v>46</v>
      </c>
      <c r="J110" s="4" t="s">
        <v>304</v>
      </c>
      <c r="K110" s="4" t="s">
        <v>48</v>
      </c>
      <c r="L110" s="3">
        <v>45901</v>
      </c>
      <c r="M110" s="4" t="s">
        <v>49</v>
      </c>
      <c r="N110" s="4" t="s">
        <v>46</v>
      </c>
      <c r="O110" s="4" t="s">
        <v>106</v>
      </c>
      <c r="P110" s="4" t="s">
        <v>106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154.43</v>
      </c>
      <c r="X110" s="5">
        <v>100</v>
      </c>
      <c r="Y110" s="5">
        <v>33.97</v>
      </c>
      <c r="Z110" s="5">
        <v>0</v>
      </c>
      <c r="AA110" s="5">
        <v>0</v>
      </c>
      <c r="AB110" s="4" t="s">
        <v>305</v>
      </c>
      <c r="AC110" s="4" t="s">
        <v>46</v>
      </c>
      <c r="AD110" s="5">
        <v>0</v>
      </c>
      <c r="AE110" s="4" t="s">
        <v>306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45910</v>
      </c>
      <c r="C111" s="4" t="s">
        <v>188</v>
      </c>
      <c r="D111" s="2">
        <v>1673763</v>
      </c>
      <c r="E111" s="4" t="s">
        <v>403</v>
      </c>
      <c r="F111" s="4" t="s">
        <v>404</v>
      </c>
      <c r="G111" s="4" t="s">
        <v>46</v>
      </c>
      <c r="H111" s="4" t="s">
        <v>46</v>
      </c>
      <c r="I111" s="4" t="s">
        <v>46</v>
      </c>
      <c r="J111" s="4" t="s">
        <v>304</v>
      </c>
      <c r="K111" s="4" t="s">
        <v>48</v>
      </c>
      <c r="L111" s="3">
        <v>45901</v>
      </c>
      <c r="M111" s="4" t="s">
        <v>49</v>
      </c>
      <c r="N111" s="4" t="s">
        <v>46</v>
      </c>
      <c r="O111" s="4" t="s">
        <v>106</v>
      </c>
      <c r="P111" s="4" t="s">
        <v>106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134.6</v>
      </c>
      <c r="X111" s="5">
        <v>100</v>
      </c>
      <c r="Y111" s="5">
        <v>29.61</v>
      </c>
      <c r="Z111" s="5">
        <v>0</v>
      </c>
      <c r="AA111" s="5">
        <v>0</v>
      </c>
      <c r="AB111" s="4" t="s">
        <v>305</v>
      </c>
      <c r="AC111" s="4" t="s">
        <v>46</v>
      </c>
      <c r="AD111" s="5">
        <v>0</v>
      </c>
      <c r="AE111" s="4" t="s">
        <v>306</v>
      </c>
      <c r="AF111" s="3">
        <v>45292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45910</v>
      </c>
      <c r="C112" s="4" t="s">
        <v>188</v>
      </c>
      <c r="D112" s="2">
        <v>1673763</v>
      </c>
      <c r="E112" s="4" t="s">
        <v>405</v>
      </c>
      <c r="F112" s="4" t="s">
        <v>406</v>
      </c>
      <c r="G112" s="4" t="s">
        <v>46</v>
      </c>
      <c r="H112" s="4" t="s">
        <v>46</v>
      </c>
      <c r="I112" s="4" t="s">
        <v>46</v>
      </c>
      <c r="J112" s="4" t="s">
        <v>304</v>
      </c>
      <c r="K112" s="4" t="s">
        <v>48</v>
      </c>
      <c r="L112" s="3">
        <v>45901</v>
      </c>
      <c r="M112" s="4" t="s">
        <v>49</v>
      </c>
      <c r="N112" s="4" t="s">
        <v>46</v>
      </c>
      <c r="O112" s="4" t="s">
        <v>106</v>
      </c>
      <c r="P112" s="4" t="s">
        <v>106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148.9</v>
      </c>
      <c r="X112" s="5">
        <v>100</v>
      </c>
      <c r="Y112" s="5">
        <v>32.76</v>
      </c>
      <c r="Z112" s="5">
        <v>0</v>
      </c>
      <c r="AA112" s="5">
        <v>0</v>
      </c>
      <c r="AB112" s="4" t="s">
        <v>305</v>
      </c>
      <c r="AC112" s="4" t="s">
        <v>46</v>
      </c>
      <c r="AD112" s="5">
        <v>0</v>
      </c>
      <c r="AE112" s="4" t="s">
        <v>306</v>
      </c>
      <c r="AF112" s="3">
        <v>45292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45910</v>
      </c>
      <c r="C113" s="4" t="s">
        <v>188</v>
      </c>
      <c r="D113" s="2">
        <v>1673763</v>
      </c>
      <c r="E113" s="4" t="s">
        <v>407</v>
      </c>
      <c r="F113" s="4" t="s">
        <v>408</v>
      </c>
      <c r="G113" s="4" t="s">
        <v>46</v>
      </c>
      <c r="H113" s="4" t="s">
        <v>46</v>
      </c>
      <c r="I113" s="4" t="s">
        <v>46</v>
      </c>
      <c r="J113" s="4" t="s">
        <v>304</v>
      </c>
      <c r="K113" s="4" t="s">
        <v>48</v>
      </c>
      <c r="L113" s="3">
        <v>45901</v>
      </c>
      <c r="M113" s="4" t="s">
        <v>49</v>
      </c>
      <c r="N113" s="4" t="s">
        <v>46</v>
      </c>
      <c r="O113" s="4" t="s">
        <v>106</v>
      </c>
      <c r="P113" s="4" t="s">
        <v>106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155.12</v>
      </c>
      <c r="X113" s="5">
        <v>100</v>
      </c>
      <c r="Y113" s="5">
        <v>34.130000000000003</v>
      </c>
      <c r="Z113" s="5">
        <v>0</v>
      </c>
      <c r="AA113" s="5">
        <v>0</v>
      </c>
      <c r="AB113" s="4" t="s">
        <v>305</v>
      </c>
      <c r="AC113" s="4" t="s">
        <v>46</v>
      </c>
      <c r="AD113" s="5">
        <v>0</v>
      </c>
      <c r="AE113" s="4" t="s">
        <v>306</v>
      </c>
      <c r="AF113" s="3">
        <v>45292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45910</v>
      </c>
      <c r="C114" s="4" t="s">
        <v>188</v>
      </c>
      <c r="D114" s="2">
        <v>1673763</v>
      </c>
      <c r="E114" s="4" t="s">
        <v>409</v>
      </c>
      <c r="F114" s="4" t="s">
        <v>410</v>
      </c>
      <c r="G114" s="4" t="s">
        <v>46</v>
      </c>
      <c r="H114" s="4" t="s">
        <v>46</v>
      </c>
      <c r="I114" s="4" t="s">
        <v>46</v>
      </c>
      <c r="J114" s="4" t="s">
        <v>304</v>
      </c>
      <c r="K114" s="4" t="s">
        <v>48</v>
      </c>
      <c r="L114" s="3">
        <v>45901</v>
      </c>
      <c r="M114" s="4" t="s">
        <v>49</v>
      </c>
      <c r="N114" s="4" t="s">
        <v>46</v>
      </c>
      <c r="O114" s="4" t="s">
        <v>106</v>
      </c>
      <c r="P114" s="4" t="s">
        <v>106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1</v>
      </c>
      <c r="W114" s="5">
        <v>130.03</v>
      </c>
      <c r="X114" s="5">
        <v>100</v>
      </c>
      <c r="Y114" s="5">
        <v>1.3</v>
      </c>
      <c r="Z114" s="5">
        <v>0</v>
      </c>
      <c r="AA114" s="5">
        <v>0</v>
      </c>
      <c r="AB114" s="4" t="s">
        <v>305</v>
      </c>
      <c r="AC114" s="4" t="s">
        <v>46</v>
      </c>
      <c r="AD114" s="5">
        <v>0</v>
      </c>
      <c r="AE114" s="4" t="s">
        <v>306</v>
      </c>
      <c r="AF114" s="3">
        <v>45323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45910</v>
      </c>
      <c r="C115" s="4" t="s">
        <v>188</v>
      </c>
      <c r="D115" s="2">
        <v>1673763</v>
      </c>
      <c r="E115" s="4" t="s">
        <v>411</v>
      </c>
      <c r="F115" s="4" t="s">
        <v>412</v>
      </c>
      <c r="G115" s="4" t="s">
        <v>46</v>
      </c>
      <c r="H115" s="4" t="s">
        <v>46</v>
      </c>
      <c r="I115" s="4" t="s">
        <v>46</v>
      </c>
      <c r="J115" s="4" t="s">
        <v>304</v>
      </c>
      <c r="K115" s="4" t="s">
        <v>48</v>
      </c>
      <c r="L115" s="3">
        <v>45901</v>
      </c>
      <c r="M115" s="4" t="s">
        <v>49</v>
      </c>
      <c r="N115" s="4" t="s">
        <v>46</v>
      </c>
      <c r="O115" s="4" t="s">
        <v>106</v>
      </c>
      <c r="P115" s="4" t="s">
        <v>106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305</v>
      </c>
      <c r="AC115" s="4" t="s">
        <v>46</v>
      </c>
      <c r="AD115" s="5">
        <v>0</v>
      </c>
      <c r="AE115" s="4" t="s">
        <v>306</v>
      </c>
      <c r="AF115" s="3">
        <v>45352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45910</v>
      </c>
      <c r="C116" s="4" t="s">
        <v>188</v>
      </c>
      <c r="D116" s="2">
        <v>1673763</v>
      </c>
      <c r="E116" s="4" t="s">
        <v>413</v>
      </c>
      <c r="F116" s="4" t="s">
        <v>414</v>
      </c>
      <c r="G116" s="4" t="s">
        <v>46</v>
      </c>
      <c r="H116" s="4" t="s">
        <v>46</v>
      </c>
      <c r="I116" s="4" t="s">
        <v>46</v>
      </c>
      <c r="J116" s="4" t="s">
        <v>304</v>
      </c>
      <c r="K116" s="4" t="s">
        <v>48</v>
      </c>
      <c r="L116" s="3">
        <v>45901</v>
      </c>
      <c r="M116" s="4" t="s">
        <v>49</v>
      </c>
      <c r="N116" s="4" t="s">
        <v>46</v>
      </c>
      <c r="O116" s="4" t="s">
        <v>106</v>
      </c>
      <c r="P116" s="4" t="s">
        <v>106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130.08000000000001</v>
      </c>
      <c r="X116" s="5">
        <v>100</v>
      </c>
      <c r="Y116" s="5">
        <v>28.62</v>
      </c>
      <c r="Z116" s="5">
        <v>0</v>
      </c>
      <c r="AA116" s="5">
        <v>0</v>
      </c>
      <c r="AB116" s="4" t="s">
        <v>305</v>
      </c>
      <c r="AC116" s="4" t="s">
        <v>46</v>
      </c>
      <c r="AD116" s="5">
        <v>0</v>
      </c>
      <c r="AE116" s="4" t="s">
        <v>306</v>
      </c>
      <c r="AF116" s="3">
        <v>45352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45910</v>
      </c>
      <c r="C117" s="4" t="s">
        <v>188</v>
      </c>
      <c r="D117" s="2">
        <v>1673763</v>
      </c>
      <c r="E117" s="4" t="s">
        <v>415</v>
      </c>
      <c r="F117" s="4" t="s">
        <v>416</v>
      </c>
      <c r="G117" s="4" t="s">
        <v>46</v>
      </c>
      <c r="H117" s="4" t="s">
        <v>46</v>
      </c>
      <c r="I117" s="4" t="s">
        <v>46</v>
      </c>
      <c r="J117" s="4" t="s">
        <v>304</v>
      </c>
      <c r="K117" s="4" t="s">
        <v>48</v>
      </c>
      <c r="L117" s="3">
        <v>45901</v>
      </c>
      <c r="M117" s="4" t="s">
        <v>49</v>
      </c>
      <c r="N117" s="4" t="s">
        <v>46</v>
      </c>
      <c r="O117" s="4" t="s">
        <v>106</v>
      </c>
      <c r="P117" s="4" t="s">
        <v>106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146.72999999999999</v>
      </c>
      <c r="X117" s="5">
        <v>100</v>
      </c>
      <c r="Y117" s="5">
        <v>32.28</v>
      </c>
      <c r="Z117" s="5">
        <v>0</v>
      </c>
      <c r="AA117" s="5">
        <v>0</v>
      </c>
      <c r="AB117" s="4" t="s">
        <v>305</v>
      </c>
      <c r="AC117" s="4" t="s">
        <v>46</v>
      </c>
      <c r="AD117" s="5">
        <v>0</v>
      </c>
      <c r="AE117" s="4" t="s">
        <v>306</v>
      </c>
      <c r="AF117" s="3">
        <v>45383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45910</v>
      </c>
      <c r="C118" s="4" t="s">
        <v>188</v>
      </c>
      <c r="D118" s="2">
        <v>1673763</v>
      </c>
      <c r="E118" s="4" t="s">
        <v>417</v>
      </c>
      <c r="F118" s="4" t="s">
        <v>418</v>
      </c>
      <c r="G118" s="4" t="s">
        <v>46</v>
      </c>
      <c r="H118" s="4" t="s">
        <v>46</v>
      </c>
      <c r="I118" s="4" t="s">
        <v>46</v>
      </c>
      <c r="J118" s="4" t="s">
        <v>304</v>
      </c>
      <c r="K118" s="4" t="s">
        <v>48</v>
      </c>
      <c r="L118" s="3">
        <v>45901</v>
      </c>
      <c r="M118" s="4" t="s">
        <v>49</v>
      </c>
      <c r="N118" s="4" t="s">
        <v>46</v>
      </c>
      <c r="O118" s="4" t="s">
        <v>106</v>
      </c>
      <c r="P118" s="4" t="s">
        <v>106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130.08000000000001</v>
      </c>
      <c r="X118" s="5">
        <v>100</v>
      </c>
      <c r="Y118" s="5">
        <v>28.62</v>
      </c>
      <c r="Z118" s="5">
        <v>0</v>
      </c>
      <c r="AA118" s="5">
        <v>0</v>
      </c>
      <c r="AB118" s="4" t="s">
        <v>305</v>
      </c>
      <c r="AC118" s="4" t="s">
        <v>46</v>
      </c>
      <c r="AD118" s="5">
        <v>0</v>
      </c>
      <c r="AE118" s="4" t="s">
        <v>306</v>
      </c>
      <c r="AF118" s="3">
        <v>45413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45910</v>
      </c>
      <c r="C119" s="4" t="s">
        <v>188</v>
      </c>
      <c r="D119" s="2">
        <v>1673763</v>
      </c>
      <c r="E119" s="4" t="s">
        <v>419</v>
      </c>
      <c r="F119" s="4" t="s">
        <v>420</v>
      </c>
      <c r="G119" s="4" t="s">
        <v>46</v>
      </c>
      <c r="H119" s="4" t="s">
        <v>46</v>
      </c>
      <c r="I119" s="4" t="s">
        <v>46</v>
      </c>
      <c r="J119" s="4" t="s">
        <v>304</v>
      </c>
      <c r="K119" s="4" t="s">
        <v>48</v>
      </c>
      <c r="L119" s="3">
        <v>45901</v>
      </c>
      <c r="M119" s="4" t="s">
        <v>49</v>
      </c>
      <c r="N119" s="4" t="s">
        <v>46</v>
      </c>
      <c r="O119" s="4" t="s">
        <v>106</v>
      </c>
      <c r="P119" s="4" t="s">
        <v>106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132</v>
      </c>
      <c r="X119" s="5">
        <v>100</v>
      </c>
      <c r="Y119" s="5">
        <v>29.04</v>
      </c>
      <c r="Z119" s="5">
        <v>0</v>
      </c>
      <c r="AA119" s="5">
        <v>0</v>
      </c>
      <c r="AB119" s="4" t="s">
        <v>305</v>
      </c>
      <c r="AC119" s="4" t="s">
        <v>46</v>
      </c>
      <c r="AD119" s="5">
        <v>0</v>
      </c>
      <c r="AE119" s="4" t="s">
        <v>306</v>
      </c>
      <c r="AF119" s="3">
        <v>45474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45910</v>
      </c>
      <c r="C120" s="4" t="s">
        <v>188</v>
      </c>
      <c r="D120" s="2">
        <v>1673763</v>
      </c>
      <c r="E120" s="4" t="s">
        <v>421</v>
      </c>
      <c r="F120" s="4" t="s">
        <v>422</v>
      </c>
      <c r="G120" s="4" t="s">
        <v>46</v>
      </c>
      <c r="H120" s="4" t="s">
        <v>46</v>
      </c>
      <c r="I120" s="4" t="s">
        <v>46</v>
      </c>
      <c r="J120" s="4" t="s">
        <v>304</v>
      </c>
      <c r="K120" s="4" t="s">
        <v>48</v>
      </c>
      <c r="L120" s="3">
        <v>45901</v>
      </c>
      <c r="M120" s="4" t="s">
        <v>49</v>
      </c>
      <c r="N120" s="4" t="s">
        <v>46</v>
      </c>
      <c r="O120" s="4" t="s">
        <v>106</v>
      </c>
      <c r="P120" s="4" t="s">
        <v>106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129.12</v>
      </c>
      <c r="X120" s="5">
        <v>100</v>
      </c>
      <c r="Y120" s="5">
        <v>28.41</v>
      </c>
      <c r="Z120" s="5">
        <v>0</v>
      </c>
      <c r="AA120" s="5">
        <v>0</v>
      </c>
      <c r="AB120" s="4" t="s">
        <v>305</v>
      </c>
      <c r="AC120" s="4" t="s">
        <v>46</v>
      </c>
      <c r="AD120" s="5">
        <v>0</v>
      </c>
      <c r="AE120" s="4" t="s">
        <v>306</v>
      </c>
      <c r="AF120" s="3">
        <v>45444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45910</v>
      </c>
      <c r="C121" s="4" t="s">
        <v>188</v>
      </c>
      <c r="D121" s="2">
        <v>1673763</v>
      </c>
      <c r="E121" s="4" t="s">
        <v>423</v>
      </c>
      <c r="F121" s="4" t="s">
        <v>424</v>
      </c>
      <c r="G121" s="4" t="s">
        <v>46</v>
      </c>
      <c r="H121" s="4" t="s">
        <v>46</v>
      </c>
      <c r="I121" s="4" t="s">
        <v>46</v>
      </c>
      <c r="J121" s="4" t="s">
        <v>304</v>
      </c>
      <c r="K121" s="4" t="s">
        <v>48</v>
      </c>
      <c r="L121" s="3">
        <v>45901</v>
      </c>
      <c r="M121" s="4" t="s">
        <v>49</v>
      </c>
      <c r="N121" s="4" t="s">
        <v>46</v>
      </c>
      <c r="O121" s="4" t="s">
        <v>106</v>
      </c>
      <c r="P121" s="4" t="s">
        <v>106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22</v>
      </c>
      <c r="W121" s="5">
        <v>130.08000000000001</v>
      </c>
      <c r="X121" s="5">
        <v>100</v>
      </c>
      <c r="Y121" s="5">
        <v>28.62</v>
      </c>
      <c r="Z121" s="5">
        <v>0</v>
      </c>
      <c r="AA121" s="5">
        <v>0</v>
      </c>
      <c r="AB121" s="4" t="s">
        <v>305</v>
      </c>
      <c r="AC121" s="4" t="s">
        <v>46</v>
      </c>
      <c r="AD121" s="5">
        <v>0</v>
      </c>
      <c r="AE121" s="4" t="s">
        <v>306</v>
      </c>
      <c r="AF121" s="3">
        <v>45444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45910</v>
      </c>
      <c r="C122" s="4" t="s">
        <v>188</v>
      </c>
      <c r="D122" s="2">
        <v>1673763</v>
      </c>
      <c r="E122" s="4" t="s">
        <v>425</v>
      </c>
      <c r="F122" s="4" t="s">
        <v>426</v>
      </c>
      <c r="G122" s="4" t="s">
        <v>46</v>
      </c>
      <c r="H122" s="4" t="s">
        <v>46</v>
      </c>
      <c r="I122" s="4" t="s">
        <v>46</v>
      </c>
      <c r="J122" s="4" t="s">
        <v>304</v>
      </c>
      <c r="K122" s="4" t="s">
        <v>48</v>
      </c>
      <c r="L122" s="3">
        <v>45901</v>
      </c>
      <c r="M122" s="4" t="s">
        <v>49</v>
      </c>
      <c r="N122" s="4" t="s">
        <v>46</v>
      </c>
      <c r="O122" s="4" t="s">
        <v>106</v>
      </c>
      <c r="P122" s="4" t="s">
        <v>106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130.08000000000001</v>
      </c>
      <c r="X122" s="5">
        <v>100</v>
      </c>
      <c r="Y122" s="5">
        <v>28.62</v>
      </c>
      <c r="Z122" s="5">
        <v>0</v>
      </c>
      <c r="AA122" s="5">
        <v>0</v>
      </c>
      <c r="AB122" s="4" t="s">
        <v>305</v>
      </c>
      <c r="AC122" s="4" t="s">
        <v>46</v>
      </c>
      <c r="AD122" s="5">
        <v>0</v>
      </c>
      <c r="AE122" s="4" t="s">
        <v>306</v>
      </c>
      <c r="AF122" s="3">
        <v>45536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45910</v>
      </c>
      <c r="C123" s="4" t="s">
        <v>188</v>
      </c>
      <c r="D123" s="2">
        <v>1673763</v>
      </c>
      <c r="E123" s="4" t="s">
        <v>427</v>
      </c>
      <c r="F123" s="4" t="s">
        <v>428</v>
      </c>
      <c r="G123" s="4" t="s">
        <v>46</v>
      </c>
      <c r="H123" s="4" t="s">
        <v>46</v>
      </c>
      <c r="I123" s="4" t="s">
        <v>46</v>
      </c>
      <c r="J123" s="4" t="s">
        <v>304</v>
      </c>
      <c r="K123" s="4" t="s">
        <v>48</v>
      </c>
      <c r="L123" s="3">
        <v>45901</v>
      </c>
      <c r="M123" s="4" t="s">
        <v>49</v>
      </c>
      <c r="N123" s="4" t="s">
        <v>46</v>
      </c>
      <c r="O123" s="4" t="s">
        <v>106</v>
      </c>
      <c r="P123" s="4" t="s">
        <v>106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102.26</v>
      </c>
      <c r="X123" s="5">
        <v>100</v>
      </c>
      <c r="Y123" s="5">
        <v>22.5</v>
      </c>
      <c r="Z123" s="5">
        <v>0</v>
      </c>
      <c r="AA123" s="5">
        <v>0</v>
      </c>
      <c r="AB123" s="4" t="s">
        <v>305</v>
      </c>
      <c r="AC123" s="4" t="s">
        <v>46</v>
      </c>
      <c r="AD123" s="5">
        <v>0</v>
      </c>
      <c r="AE123" s="4" t="s">
        <v>306</v>
      </c>
      <c r="AF123" s="3">
        <v>45536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45910</v>
      </c>
      <c r="C124" s="4" t="s">
        <v>188</v>
      </c>
      <c r="D124" s="2">
        <v>1673763</v>
      </c>
      <c r="E124" s="4" t="s">
        <v>429</v>
      </c>
      <c r="F124" s="4" t="s">
        <v>430</v>
      </c>
      <c r="G124" s="4" t="s">
        <v>46</v>
      </c>
      <c r="H124" s="4" t="s">
        <v>46</v>
      </c>
      <c r="I124" s="4" t="s">
        <v>46</v>
      </c>
      <c r="J124" s="4" t="s">
        <v>304</v>
      </c>
      <c r="K124" s="4" t="s">
        <v>48</v>
      </c>
      <c r="L124" s="3">
        <v>45901</v>
      </c>
      <c r="M124" s="4" t="s">
        <v>49</v>
      </c>
      <c r="N124" s="4" t="s">
        <v>46</v>
      </c>
      <c r="O124" s="4" t="s">
        <v>106</v>
      </c>
      <c r="P124" s="4" t="s">
        <v>106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146.72999999999999</v>
      </c>
      <c r="X124" s="5">
        <v>100</v>
      </c>
      <c r="Y124" s="5">
        <v>32.28</v>
      </c>
      <c r="Z124" s="5">
        <v>0</v>
      </c>
      <c r="AA124" s="5">
        <v>0</v>
      </c>
      <c r="AB124" s="4" t="s">
        <v>305</v>
      </c>
      <c r="AC124" s="4" t="s">
        <v>46</v>
      </c>
      <c r="AD124" s="5">
        <v>0</v>
      </c>
      <c r="AE124" s="4" t="s">
        <v>306</v>
      </c>
      <c r="AF124" s="3">
        <v>45474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45910</v>
      </c>
      <c r="C125" s="4" t="s">
        <v>188</v>
      </c>
      <c r="D125" s="2">
        <v>1673763</v>
      </c>
      <c r="E125" s="4" t="s">
        <v>431</v>
      </c>
      <c r="F125" s="4" t="s">
        <v>432</v>
      </c>
      <c r="G125" s="4" t="s">
        <v>46</v>
      </c>
      <c r="H125" s="4" t="s">
        <v>46</v>
      </c>
      <c r="I125" s="4" t="s">
        <v>46</v>
      </c>
      <c r="J125" s="4" t="s">
        <v>304</v>
      </c>
      <c r="K125" s="4" t="s">
        <v>48</v>
      </c>
      <c r="L125" s="3">
        <v>45901</v>
      </c>
      <c r="M125" s="4" t="s">
        <v>49</v>
      </c>
      <c r="N125" s="4" t="s">
        <v>46</v>
      </c>
      <c r="O125" s="4" t="s">
        <v>106</v>
      </c>
      <c r="P125" s="4" t="s">
        <v>106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130.08000000000001</v>
      </c>
      <c r="X125" s="5">
        <v>100</v>
      </c>
      <c r="Y125" s="5">
        <v>28.62</v>
      </c>
      <c r="Z125" s="5">
        <v>0</v>
      </c>
      <c r="AA125" s="5">
        <v>0</v>
      </c>
      <c r="AB125" s="4" t="s">
        <v>305</v>
      </c>
      <c r="AC125" s="4" t="s">
        <v>46</v>
      </c>
      <c r="AD125" s="5">
        <v>0</v>
      </c>
      <c r="AE125" s="4" t="s">
        <v>306</v>
      </c>
      <c r="AF125" s="3">
        <v>45474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45910</v>
      </c>
      <c r="C126" s="4" t="s">
        <v>188</v>
      </c>
      <c r="D126" s="2">
        <v>1673763</v>
      </c>
      <c r="E126" s="4" t="s">
        <v>433</v>
      </c>
      <c r="F126" s="4" t="s">
        <v>434</v>
      </c>
      <c r="G126" s="4" t="s">
        <v>46</v>
      </c>
      <c r="H126" s="4" t="s">
        <v>46</v>
      </c>
      <c r="I126" s="4" t="s">
        <v>46</v>
      </c>
      <c r="J126" s="4" t="s">
        <v>304</v>
      </c>
      <c r="K126" s="4" t="s">
        <v>48</v>
      </c>
      <c r="L126" s="3">
        <v>45901</v>
      </c>
      <c r="M126" s="4" t="s">
        <v>49</v>
      </c>
      <c r="N126" s="4" t="s">
        <v>46</v>
      </c>
      <c r="O126" s="4" t="s">
        <v>106</v>
      </c>
      <c r="P126" s="4" t="s">
        <v>106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146.72999999999999</v>
      </c>
      <c r="X126" s="5">
        <v>100</v>
      </c>
      <c r="Y126" s="5">
        <v>32.28</v>
      </c>
      <c r="Z126" s="5">
        <v>0</v>
      </c>
      <c r="AA126" s="5">
        <v>0</v>
      </c>
      <c r="AB126" s="4" t="s">
        <v>305</v>
      </c>
      <c r="AC126" s="4" t="s">
        <v>46</v>
      </c>
      <c r="AD126" s="5">
        <v>0</v>
      </c>
      <c r="AE126" s="4" t="s">
        <v>306</v>
      </c>
      <c r="AF126" s="3">
        <v>45474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45910</v>
      </c>
      <c r="C127" s="4" t="s">
        <v>188</v>
      </c>
      <c r="D127" s="2">
        <v>1673763</v>
      </c>
      <c r="E127" s="4" t="s">
        <v>435</v>
      </c>
      <c r="F127" s="4" t="s">
        <v>436</v>
      </c>
      <c r="G127" s="4" t="s">
        <v>46</v>
      </c>
      <c r="H127" s="4" t="s">
        <v>46</v>
      </c>
      <c r="I127" s="4" t="s">
        <v>46</v>
      </c>
      <c r="J127" s="4" t="s">
        <v>304</v>
      </c>
      <c r="K127" s="4" t="s">
        <v>48</v>
      </c>
      <c r="L127" s="3">
        <v>45901</v>
      </c>
      <c r="M127" s="4" t="s">
        <v>49</v>
      </c>
      <c r="N127" s="4" t="s">
        <v>46</v>
      </c>
      <c r="O127" s="4" t="s">
        <v>106</v>
      </c>
      <c r="P127" s="4" t="s">
        <v>106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26</v>
      </c>
      <c r="W127" s="5">
        <v>112.18</v>
      </c>
      <c r="X127" s="5">
        <v>100</v>
      </c>
      <c r="Y127" s="5">
        <v>29.17</v>
      </c>
      <c r="Z127" s="5">
        <v>0</v>
      </c>
      <c r="AA127" s="5">
        <v>0</v>
      </c>
      <c r="AB127" s="4" t="s">
        <v>305</v>
      </c>
      <c r="AC127" s="4" t="s">
        <v>46</v>
      </c>
      <c r="AD127" s="5">
        <v>0</v>
      </c>
      <c r="AE127" s="4" t="s">
        <v>306</v>
      </c>
      <c r="AF127" s="3">
        <v>45505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45910</v>
      </c>
      <c r="C128" s="4" t="s">
        <v>188</v>
      </c>
      <c r="D128" s="2">
        <v>1673763</v>
      </c>
      <c r="E128" s="4" t="s">
        <v>437</v>
      </c>
      <c r="F128" s="4" t="s">
        <v>438</v>
      </c>
      <c r="G128" s="4" t="s">
        <v>46</v>
      </c>
      <c r="H128" s="4" t="s">
        <v>46</v>
      </c>
      <c r="I128" s="4" t="s">
        <v>46</v>
      </c>
      <c r="J128" s="4" t="s">
        <v>304</v>
      </c>
      <c r="K128" s="4" t="s">
        <v>48</v>
      </c>
      <c r="L128" s="3">
        <v>45901</v>
      </c>
      <c r="M128" s="4" t="s">
        <v>49</v>
      </c>
      <c r="N128" s="4" t="s">
        <v>46</v>
      </c>
      <c r="O128" s="4" t="s">
        <v>106</v>
      </c>
      <c r="P128" s="4" t="s">
        <v>106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22</v>
      </c>
      <c r="W128" s="5">
        <v>130.08000000000001</v>
      </c>
      <c r="X128" s="5">
        <v>100</v>
      </c>
      <c r="Y128" s="5">
        <v>28.62</v>
      </c>
      <c r="Z128" s="5">
        <v>0</v>
      </c>
      <c r="AA128" s="5">
        <v>0</v>
      </c>
      <c r="AB128" s="4" t="s">
        <v>305</v>
      </c>
      <c r="AC128" s="4" t="s">
        <v>46</v>
      </c>
      <c r="AD128" s="5">
        <v>0</v>
      </c>
      <c r="AE128" s="4" t="s">
        <v>306</v>
      </c>
      <c r="AF128" s="3">
        <v>45505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45910</v>
      </c>
      <c r="C129" s="4" t="s">
        <v>188</v>
      </c>
      <c r="D129" s="2">
        <v>1673763</v>
      </c>
      <c r="E129" s="4" t="s">
        <v>439</v>
      </c>
      <c r="F129" s="4" t="s">
        <v>440</v>
      </c>
      <c r="G129" s="4" t="s">
        <v>46</v>
      </c>
      <c r="H129" s="4" t="s">
        <v>46</v>
      </c>
      <c r="I129" s="4" t="s">
        <v>46</v>
      </c>
      <c r="J129" s="4" t="s">
        <v>304</v>
      </c>
      <c r="K129" s="4" t="s">
        <v>48</v>
      </c>
      <c r="L129" s="3">
        <v>45901</v>
      </c>
      <c r="M129" s="4" t="s">
        <v>49</v>
      </c>
      <c r="N129" s="4" t="s">
        <v>46</v>
      </c>
      <c r="O129" s="4" t="s">
        <v>106</v>
      </c>
      <c r="P129" s="4" t="s">
        <v>106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164.94</v>
      </c>
      <c r="X129" s="5">
        <v>100</v>
      </c>
      <c r="Y129" s="5">
        <v>36.29</v>
      </c>
      <c r="Z129" s="5">
        <v>0</v>
      </c>
      <c r="AA129" s="5">
        <v>0</v>
      </c>
      <c r="AB129" s="4" t="s">
        <v>305</v>
      </c>
      <c r="AC129" s="4" t="s">
        <v>46</v>
      </c>
      <c r="AD129" s="5">
        <v>0</v>
      </c>
      <c r="AE129" s="4" t="s">
        <v>306</v>
      </c>
      <c r="AF129" s="3">
        <v>45505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45910</v>
      </c>
      <c r="C130" s="4" t="s">
        <v>188</v>
      </c>
      <c r="D130" s="2">
        <v>1673763</v>
      </c>
      <c r="E130" s="4" t="s">
        <v>441</v>
      </c>
      <c r="F130" s="4" t="s">
        <v>442</v>
      </c>
      <c r="G130" s="4" t="s">
        <v>46</v>
      </c>
      <c r="H130" s="4" t="s">
        <v>46</v>
      </c>
      <c r="I130" s="4" t="s">
        <v>46</v>
      </c>
      <c r="J130" s="4" t="s">
        <v>304</v>
      </c>
      <c r="K130" s="4" t="s">
        <v>48</v>
      </c>
      <c r="L130" s="3">
        <v>45901</v>
      </c>
      <c r="M130" s="4" t="s">
        <v>49</v>
      </c>
      <c r="N130" s="4" t="s">
        <v>46</v>
      </c>
      <c r="O130" s="4" t="s">
        <v>106</v>
      </c>
      <c r="P130" s="4" t="s">
        <v>106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1</v>
      </c>
      <c r="W130" s="5">
        <v>130.08000000000001</v>
      </c>
      <c r="X130" s="5">
        <v>100</v>
      </c>
      <c r="Y130" s="5">
        <v>1.3</v>
      </c>
      <c r="Z130" s="5">
        <v>0</v>
      </c>
      <c r="AA130" s="5">
        <v>0</v>
      </c>
      <c r="AB130" s="4" t="s">
        <v>305</v>
      </c>
      <c r="AC130" s="4" t="s">
        <v>46</v>
      </c>
      <c r="AD130" s="5">
        <v>0</v>
      </c>
      <c r="AE130" s="4" t="s">
        <v>306</v>
      </c>
      <c r="AF130" s="3">
        <v>45536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45910</v>
      </c>
      <c r="C131" s="4" t="s">
        <v>188</v>
      </c>
      <c r="D131" s="2">
        <v>1673763</v>
      </c>
      <c r="E131" s="4" t="s">
        <v>443</v>
      </c>
      <c r="F131" s="4" t="s">
        <v>444</v>
      </c>
      <c r="G131" s="4" t="s">
        <v>46</v>
      </c>
      <c r="H131" s="4" t="s">
        <v>46</v>
      </c>
      <c r="I131" s="4" t="s">
        <v>46</v>
      </c>
      <c r="J131" s="4" t="s">
        <v>304</v>
      </c>
      <c r="K131" s="4" t="s">
        <v>48</v>
      </c>
      <c r="L131" s="3">
        <v>45901</v>
      </c>
      <c r="M131" s="4" t="s">
        <v>49</v>
      </c>
      <c r="N131" s="4" t="s">
        <v>46</v>
      </c>
      <c r="O131" s="4" t="s">
        <v>106</v>
      </c>
      <c r="P131" s="4" t="s">
        <v>106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146.72999999999999</v>
      </c>
      <c r="X131" s="5">
        <v>100</v>
      </c>
      <c r="Y131" s="5">
        <v>32.28</v>
      </c>
      <c r="Z131" s="5">
        <v>0</v>
      </c>
      <c r="AA131" s="5">
        <v>0</v>
      </c>
      <c r="AB131" s="4" t="s">
        <v>305</v>
      </c>
      <c r="AC131" s="4" t="s">
        <v>46</v>
      </c>
      <c r="AD131" s="5">
        <v>0</v>
      </c>
      <c r="AE131" s="4" t="s">
        <v>306</v>
      </c>
      <c r="AF131" s="3">
        <v>45536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45910</v>
      </c>
      <c r="C132" s="4" t="s">
        <v>188</v>
      </c>
      <c r="D132" s="2">
        <v>1673763</v>
      </c>
      <c r="E132" s="4" t="s">
        <v>445</v>
      </c>
      <c r="F132" s="4" t="s">
        <v>446</v>
      </c>
      <c r="G132" s="4" t="s">
        <v>46</v>
      </c>
      <c r="H132" s="4" t="s">
        <v>46</v>
      </c>
      <c r="I132" s="4" t="s">
        <v>447</v>
      </c>
      <c r="J132" s="4" t="s">
        <v>304</v>
      </c>
      <c r="K132" s="4" t="s">
        <v>48</v>
      </c>
      <c r="L132" s="3">
        <v>45901</v>
      </c>
      <c r="M132" s="4" t="s">
        <v>49</v>
      </c>
      <c r="N132" s="4" t="s">
        <v>46</v>
      </c>
      <c r="O132" s="4" t="s">
        <v>50</v>
      </c>
      <c r="P132" s="4" t="s">
        <v>106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22</v>
      </c>
      <c r="W132" s="5">
        <v>1662.6</v>
      </c>
      <c r="X132" s="5">
        <v>100</v>
      </c>
      <c r="Y132" s="5">
        <v>365.76</v>
      </c>
      <c r="Z132" s="5">
        <v>0</v>
      </c>
      <c r="AA132" s="5">
        <v>0</v>
      </c>
      <c r="AB132" s="4" t="s">
        <v>448</v>
      </c>
      <c r="AC132" s="4" t="s">
        <v>46</v>
      </c>
      <c r="AD132" s="5">
        <v>0</v>
      </c>
      <c r="AE132" s="4" t="s">
        <v>449</v>
      </c>
      <c r="AF132" s="3">
        <v>45901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45910</v>
      </c>
      <c r="C133" s="4" t="s">
        <v>188</v>
      </c>
      <c r="D133" s="2">
        <v>1673763</v>
      </c>
      <c r="E133" s="4" t="s">
        <v>450</v>
      </c>
      <c r="F133" s="4" t="s">
        <v>451</v>
      </c>
      <c r="G133" s="4" t="s">
        <v>46</v>
      </c>
      <c r="H133" s="4" t="s">
        <v>46</v>
      </c>
      <c r="I133" s="4" t="s">
        <v>46</v>
      </c>
      <c r="J133" s="4" t="s">
        <v>304</v>
      </c>
      <c r="K133" s="4" t="s">
        <v>48</v>
      </c>
      <c r="L133" s="3">
        <v>45901</v>
      </c>
      <c r="M133" s="4" t="s">
        <v>49</v>
      </c>
      <c r="N133" s="4" t="s">
        <v>46</v>
      </c>
      <c r="O133" s="4" t="s">
        <v>50</v>
      </c>
      <c r="P133" s="4" t="s">
        <v>106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26</v>
      </c>
      <c r="W133" s="5">
        <v>1232.28</v>
      </c>
      <c r="X133" s="5">
        <v>100</v>
      </c>
      <c r="Y133" s="5">
        <v>320.39999999999998</v>
      </c>
      <c r="Z133" s="5">
        <v>0</v>
      </c>
      <c r="AA133" s="5">
        <v>0</v>
      </c>
      <c r="AB133" s="4" t="s">
        <v>452</v>
      </c>
      <c r="AC133" s="4" t="s">
        <v>46</v>
      </c>
      <c r="AD133" s="5">
        <v>0</v>
      </c>
      <c r="AE133" s="4" t="s">
        <v>453</v>
      </c>
      <c r="AF133" s="3">
        <v>45901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45910</v>
      </c>
      <c r="C134" s="4" t="s">
        <v>188</v>
      </c>
      <c r="D134" s="2">
        <v>1673763</v>
      </c>
      <c r="E134" s="4" t="s">
        <v>454</v>
      </c>
      <c r="F134" s="4" t="s">
        <v>455</v>
      </c>
      <c r="G134" s="4" t="s">
        <v>46</v>
      </c>
      <c r="H134" s="4" t="s">
        <v>46</v>
      </c>
      <c r="I134" s="4" t="s">
        <v>46</v>
      </c>
      <c r="J134" s="4" t="s">
        <v>309</v>
      </c>
      <c r="K134" s="4" t="s">
        <v>310</v>
      </c>
      <c r="L134" s="3">
        <v>45931</v>
      </c>
      <c r="M134" s="4" t="s">
        <v>88</v>
      </c>
      <c r="N134" s="4" t="s">
        <v>46</v>
      </c>
      <c r="O134" s="4" t="s">
        <v>50</v>
      </c>
      <c r="P134" s="4" t="s">
        <v>106</v>
      </c>
      <c r="Q134" s="2">
        <v>1</v>
      </c>
      <c r="R134" s="2">
        <v>60</v>
      </c>
      <c r="S134" s="4" t="s">
        <v>311</v>
      </c>
      <c r="T134" s="4" t="s">
        <v>46</v>
      </c>
      <c r="U134" s="4" t="s">
        <v>46</v>
      </c>
      <c r="V134" s="5">
        <v>10</v>
      </c>
      <c r="W134" s="5">
        <v>12.99</v>
      </c>
      <c r="X134" s="5">
        <v>100</v>
      </c>
      <c r="Y134" s="5">
        <v>1.3</v>
      </c>
      <c r="Z134" s="4" t="s">
        <v>46</v>
      </c>
      <c r="AA134" s="5" t="s">
        <v>46</v>
      </c>
      <c r="AB134" s="4" t="s">
        <v>325</v>
      </c>
      <c r="AC134" s="4" t="s">
        <v>46</v>
      </c>
      <c r="AD134" s="5">
        <v>0</v>
      </c>
      <c r="AE134" s="4" t="s">
        <v>326</v>
      </c>
      <c r="AF134" s="3">
        <v>45689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45910</v>
      </c>
      <c r="C135" s="4" t="s">
        <v>188</v>
      </c>
      <c r="D135" s="2">
        <v>1673763</v>
      </c>
      <c r="E135" s="4" t="s">
        <v>456</v>
      </c>
      <c r="F135" s="4" t="s">
        <v>457</v>
      </c>
      <c r="G135" s="4" t="s">
        <v>46</v>
      </c>
      <c r="H135" s="4" t="s">
        <v>46</v>
      </c>
      <c r="I135" s="4" t="s">
        <v>46</v>
      </c>
      <c r="J135" s="4" t="s">
        <v>309</v>
      </c>
      <c r="K135" s="4" t="s">
        <v>310</v>
      </c>
      <c r="L135" s="3">
        <v>45931</v>
      </c>
      <c r="M135" s="4" t="s">
        <v>88</v>
      </c>
      <c r="N135" s="4" t="s">
        <v>46</v>
      </c>
      <c r="O135" s="4" t="s">
        <v>50</v>
      </c>
      <c r="P135" s="4" t="s">
        <v>106</v>
      </c>
      <c r="Q135" s="2">
        <v>2</v>
      </c>
      <c r="R135" s="2">
        <v>60</v>
      </c>
      <c r="S135" s="4" t="s">
        <v>311</v>
      </c>
      <c r="T135" s="4" t="s">
        <v>46</v>
      </c>
      <c r="U135" s="4" t="s">
        <v>46</v>
      </c>
      <c r="V135" s="5">
        <v>10</v>
      </c>
      <c r="W135" s="5">
        <v>23.2</v>
      </c>
      <c r="X135" s="5">
        <v>100</v>
      </c>
      <c r="Y135" s="5">
        <v>2.3199999999999998</v>
      </c>
      <c r="Z135" s="4" t="s">
        <v>46</v>
      </c>
      <c r="AA135" s="5" t="s">
        <v>46</v>
      </c>
      <c r="AB135" s="4" t="s">
        <v>325</v>
      </c>
      <c r="AC135" s="4" t="s">
        <v>46</v>
      </c>
      <c r="AD135" s="5">
        <v>0</v>
      </c>
      <c r="AE135" s="4" t="s">
        <v>326</v>
      </c>
      <c r="AF135" s="3">
        <v>45902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45910</v>
      </c>
      <c r="C136" s="4" t="s">
        <v>188</v>
      </c>
      <c r="D136" s="2">
        <v>1673763</v>
      </c>
      <c r="E136" s="4" t="s">
        <v>458</v>
      </c>
      <c r="F136" s="4" t="s">
        <v>459</v>
      </c>
      <c r="G136" s="4" t="s">
        <v>46</v>
      </c>
      <c r="H136" s="4" t="s">
        <v>46</v>
      </c>
      <c r="I136" s="4" t="s">
        <v>46</v>
      </c>
      <c r="J136" s="4" t="s">
        <v>309</v>
      </c>
      <c r="K136" s="4" t="s">
        <v>310</v>
      </c>
      <c r="L136" s="3">
        <v>45901</v>
      </c>
      <c r="M136" s="4" t="s">
        <v>49</v>
      </c>
      <c r="N136" s="4" t="s">
        <v>46</v>
      </c>
      <c r="O136" s="4" t="s">
        <v>50</v>
      </c>
      <c r="P136" s="4" t="s">
        <v>106</v>
      </c>
      <c r="Q136" s="2">
        <v>1</v>
      </c>
      <c r="R136" s="2">
        <v>60</v>
      </c>
      <c r="S136" s="4" t="s">
        <v>311</v>
      </c>
      <c r="T136" s="4" t="s">
        <v>46</v>
      </c>
      <c r="U136" s="4" t="s">
        <v>46</v>
      </c>
      <c r="V136" s="5">
        <v>10</v>
      </c>
      <c r="W136" s="5">
        <v>12.99</v>
      </c>
      <c r="X136" s="5">
        <v>100</v>
      </c>
      <c r="Y136" s="5">
        <v>36.299999999999997</v>
      </c>
      <c r="Z136" s="4" t="s">
        <v>46</v>
      </c>
      <c r="AA136" s="5" t="s">
        <v>46</v>
      </c>
      <c r="AB136" s="4" t="s">
        <v>325</v>
      </c>
      <c r="AC136" s="4" t="s">
        <v>46</v>
      </c>
      <c r="AD136" s="5">
        <v>0</v>
      </c>
      <c r="AE136" s="4" t="s">
        <v>326</v>
      </c>
      <c r="AF136" s="3">
        <v>45930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45910</v>
      </c>
      <c r="C137" s="4" t="s">
        <v>192</v>
      </c>
      <c r="D137" s="2">
        <v>1703942</v>
      </c>
      <c r="E137" s="4" t="s">
        <v>460</v>
      </c>
      <c r="F137" s="4" t="s">
        <v>461</v>
      </c>
      <c r="G137" s="4" t="s">
        <v>46</v>
      </c>
      <c r="H137" s="4" t="s">
        <v>46</v>
      </c>
      <c r="I137" s="4" t="s">
        <v>46</v>
      </c>
      <c r="J137" s="4" t="s">
        <v>304</v>
      </c>
      <c r="K137" s="4" t="s">
        <v>48</v>
      </c>
      <c r="L137" s="3">
        <v>45901</v>
      </c>
      <c r="M137" s="4" t="s">
        <v>49</v>
      </c>
      <c r="N137" s="4" t="s">
        <v>46</v>
      </c>
      <c r="O137" s="4" t="s">
        <v>106</v>
      </c>
      <c r="P137" s="4" t="s">
        <v>106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130.87</v>
      </c>
      <c r="X137" s="5">
        <v>100</v>
      </c>
      <c r="Y137" s="5">
        <v>28.79</v>
      </c>
      <c r="Z137" s="5">
        <v>0</v>
      </c>
      <c r="AA137" s="5">
        <v>0</v>
      </c>
      <c r="AB137" s="4" t="s">
        <v>107</v>
      </c>
      <c r="AC137" s="4" t="s">
        <v>46</v>
      </c>
      <c r="AD137" s="5">
        <v>0</v>
      </c>
      <c r="AE137" s="4" t="s">
        <v>108</v>
      </c>
      <c r="AF137" s="3">
        <v>45505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45910</v>
      </c>
      <c r="C138" s="4" t="s">
        <v>462</v>
      </c>
      <c r="D138" s="2">
        <v>1737425</v>
      </c>
      <c r="E138" s="4" t="s">
        <v>463</v>
      </c>
      <c r="F138" s="4" t="s">
        <v>464</v>
      </c>
      <c r="G138" s="4" t="s">
        <v>46</v>
      </c>
      <c r="H138" s="4" t="s">
        <v>46</v>
      </c>
      <c r="I138" s="4" t="s">
        <v>46</v>
      </c>
      <c r="J138" s="4" t="s">
        <v>309</v>
      </c>
      <c r="K138" s="4" t="s">
        <v>310</v>
      </c>
      <c r="L138" s="3">
        <v>45931</v>
      </c>
      <c r="M138" s="4" t="s">
        <v>88</v>
      </c>
      <c r="N138" s="4" t="s">
        <v>46</v>
      </c>
      <c r="O138" s="4" t="s">
        <v>50</v>
      </c>
      <c r="P138" s="4" t="s">
        <v>106</v>
      </c>
      <c r="Q138" s="2">
        <v>3</v>
      </c>
      <c r="R138" s="2">
        <v>60</v>
      </c>
      <c r="S138" s="4" t="s">
        <v>311</v>
      </c>
      <c r="T138" s="4" t="s">
        <v>46</v>
      </c>
      <c r="U138" s="4" t="s">
        <v>46</v>
      </c>
      <c r="V138" s="5">
        <v>10</v>
      </c>
      <c r="W138" s="5">
        <v>38.21</v>
      </c>
      <c r="X138" s="5">
        <v>100</v>
      </c>
      <c r="Y138" s="5">
        <v>3.82</v>
      </c>
      <c r="Z138" s="4" t="s">
        <v>46</v>
      </c>
      <c r="AA138" s="5" t="s">
        <v>46</v>
      </c>
      <c r="AB138" s="4" t="s">
        <v>325</v>
      </c>
      <c r="AC138" s="4" t="s">
        <v>46</v>
      </c>
      <c r="AD138" s="5">
        <v>0</v>
      </c>
      <c r="AE138" s="4" t="s">
        <v>326</v>
      </c>
      <c r="AF138" s="3">
        <v>45786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45910</v>
      </c>
      <c r="C139" s="4" t="s">
        <v>462</v>
      </c>
      <c r="D139" s="2">
        <v>1737425</v>
      </c>
      <c r="E139" s="4" t="s">
        <v>465</v>
      </c>
      <c r="F139" s="4" t="s">
        <v>466</v>
      </c>
      <c r="G139" s="4" t="s">
        <v>46</v>
      </c>
      <c r="H139" s="4" t="s">
        <v>46</v>
      </c>
      <c r="I139" s="4" t="s">
        <v>46</v>
      </c>
      <c r="J139" s="4" t="s">
        <v>309</v>
      </c>
      <c r="K139" s="4" t="s">
        <v>310</v>
      </c>
      <c r="L139" s="3">
        <v>45931</v>
      </c>
      <c r="M139" s="4" t="s">
        <v>88</v>
      </c>
      <c r="N139" s="4" t="s">
        <v>46</v>
      </c>
      <c r="O139" s="4" t="s">
        <v>50</v>
      </c>
      <c r="P139" s="4" t="s">
        <v>106</v>
      </c>
      <c r="Q139" s="2">
        <v>1</v>
      </c>
      <c r="R139" s="2">
        <v>60</v>
      </c>
      <c r="S139" s="4" t="s">
        <v>311</v>
      </c>
      <c r="T139" s="4" t="s">
        <v>46</v>
      </c>
      <c r="U139" s="4" t="s">
        <v>46</v>
      </c>
      <c r="V139" s="5">
        <v>10</v>
      </c>
      <c r="W139" s="5">
        <v>12.24</v>
      </c>
      <c r="X139" s="5">
        <v>100</v>
      </c>
      <c r="Y139" s="5">
        <v>1.22</v>
      </c>
      <c r="Z139" s="4" t="s">
        <v>46</v>
      </c>
      <c r="AA139" s="5" t="s">
        <v>46</v>
      </c>
      <c r="AB139" s="4" t="s">
        <v>325</v>
      </c>
      <c r="AC139" s="4" t="s">
        <v>46</v>
      </c>
      <c r="AD139" s="5">
        <v>0</v>
      </c>
      <c r="AE139" s="4" t="s">
        <v>326</v>
      </c>
      <c r="AF139" s="3">
        <v>45786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45910</v>
      </c>
      <c r="C140" s="4" t="s">
        <v>467</v>
      </c>
      <c r="D140" s="2">
        <v>1755893</v>
      </c>
      <c r="E140" s="4" t="s">
        <v>468</v>
      </c>
      <c r="F140" s="4" t="s">
        <v>469</v>
      </c>
      <c r="G140" s="4" t="s">
        <v>46</v>
      </c>
      <c r="H140" s="4" t="s">
        <v>46</v>
      </c>
      <c r="I140" s="4" t="s">
        <v>46</v>
      </c>
      <c r="J140" s="4" t="s">
        <v>309</v>
      </c>
      <c r="K140" s="4" t="s">
        <v>310</v>
      </c>
      <c r="L140" s="3">
        <v>45931</v>
      </c>
      <c r="M140" s="4" t="s">
        <v>88</v>
      </c>
      <c r="N140" s="4" t="s">
        <v>46</v>
      </c>
      <c r="O140" s="4" t="s">
        <v>50</v>
      </c>
      <c r="P140" s="4" t="s">
        <v>106</v>
      </c>
      <c r="Q140" s="2">
        <v>1</v>
      </c>
      <c r="R140" s="2">
        <v>60</v>
      </c>
      <c r="S140" s="4" t="s">
        <v>311</v>
      </c>
      <c r="T140" s="4" t="s">
        <v>46</v>
      </c>
      <c r="U140" s="4" t="s">
        <v>46</v>
      </c>
      <c r="V140" s="5">
        <v>10</v>
      </c>
      <c r="W140" s="5">
        <v>12.99</v>
      </c>
      <c r="X140" s="5">
        <v>100</v>
      </c>
      <c r="Y140" s="5">
        <v>1.3</v>
      </c>
      <c r="Z140" s="4" t="s">
        <v>46</v>
      </c>
      <c r="AA140" s="5" t="s">
        <v>46</v>
      </c>
      <c r="AB140" s="4" t="s">
        <v>325</v>
      </c>
      <c r="AC140" s="4" t="s">
        <v>46</v>
      </c>
      <c r="AD140" s="5">
        <v>0</v>
      </c>
      <c r="AE140" s="4" t="s">
        <v>326</v>
      </c>
      <c r="AF140" s="3">
        <v>45693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45910</v>
      </c>
      <c r="C141" s="4" t="s">
        <v>467</v>
      </c>
      <c r="D141" s="2">
        <v>1755893</v>
      </c>
      <c r="E141" s="4" t="s">
        <v>470</v>
      </c>
      <c r="F141" s="4" t="s">
        <v>471</v>
      </c>
      <c r="G141" s="4" t="s">
        <v>46</v>
      </c>
      <c r="H141" s="4" t="s">
        <v>46</v>
      </c>
      <c r="I141" s="4" t="s">
        <v>46</v>
      </c>
      <c r="J141" s="4" t="s">
        <v>309</v>
      </c>
      <c r="K141" s="4" t="s">
        <v>310</v>
      </c>
      <c r="L141" s="3">
        <v>45931</v>
      </c>
      <c r="M141" s="4" t="s">
        <v>88</v>
      </c>
      <c r="N141" s="4" t="s">
        <v>46</v>
      </c>
      <c r="O141" s="4" t="s">
        <v>50</v>
      </c>
      <c r="P141" s="4" t="s">
        <v>106</v>
      </c>
      <c r="Q141" s="2">
        <v>1</v>
      </c>
      <c r="R141" s="2">
        <v>60</v>
      </c>
      <c r="S141" s="4" t="s">
        <v>311</v>
      </c>
      <c r="T141" s="4" t="s">
        <v>46</v>
      </c>
      <c r="U141" s="4" t="s">
        <v>46</v>
      </c>
      <c r="V141" s="5">
        <v>10</v>
      </c>
      <c r="W141" s="5">
        <v>12.99</v>
      </c>
      <c r="X141" s="5">
        <v>100</v>
      </c>
      <c r="Y141" s="5">
        <v>1.3</v>
      </c>
      <c r="Z141" s="4" t="s">
        <v>46</v>
      </c>
      <c r="AA141" s="5" t="s">
        <v>46</v>
      </c>
      <c r="AB141" s="4" t="s">
        <v>325</v>
      </c>
      <c r="AC141" s="4" t="s">
        <v>46</v>
      </c>
      <c r="AD141" s="5">
        <v>0</v>
      </c>
      <c r="AE141" s="4" t="s">
        <v>326</v>
      </c>
      <c r="AF141" s="3">
        <v>45717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45910</v>
      </c>
      <c r="C142" s="4" t="s">
        <v>467</v>
      </c>
      <c r="D142" s="2">
        <v>1755893</v>
      </c>
      <c r="E142" s="4" t="s">
        <v>472</v>
      </c>
      <c r="F142" s="4" t="s">
        <v>473</v>
      </c>
      <c r="G142" s="4" t="s">
        <v>46</v>
      </c>
      <c r="H142" s="4" t="s">
        <v>46</v>
      </c>
      <c r="I142" s="4" t="s">
        <v>46</v>
      </c>
      <c r="J142" s="4" t="s">
        <v>309</v>
      </c>
      <c r="K142" s="4" t="s">
        <v>310</v>
      </c>
      <c r="L142" s="3">
        <v>45931</v>
      </c>
      <c r="M142" s="4" t="s">
        <v>88</v>
      </c>
      <c r="N142" s="4" t="s">
        <v>46</v>
      </c>
      <c r="O142" s="4" t="s">
        <v>50</v>
      </c>
      <c r="P142" s="4" t="s">
        <v>106</v>
      </c>
      <c r="Q142" s="2">
        <v>1</v>
      </c>
      <c r="R142" s="2">
        <v>60</v>
      </c>
      <c r="S142" s="4" t="s">
        <v>311</v>
      </c>
      <c r="T142" s="4" t="s">
        <v>46</v>
      </c>
      <c r="U142" s="4" t="s">
        <v>46</v>
      </c>
      <c r="V142" s="5">
        <v>10</v>
      </c>
      <c r="W142" s="5">
        <v>12.99</v>
      </c>
      <c r="X142" s="5">
        <v>100</v>
      </c>
      <c r="Y142" s="5">
        <v>1.3</v>
      </c>
      <c r="Z142" s="4" t="s">
        <v>46</v>
      </c>
      <c r="AA142" s="5" t="s">
        <v>46</v>
      </c>
      <c r="AB142" s="4" t="s">
        <v>325</v>
      </c>
      <c r="AC142" s="4" t="s">
        <v>46</v>
      </c>
      <c r="AD142" s="5">
        <v>0</v>
      </c>
      <c r="AE142" s="4" t="s">
        <v>326</v>
      </c>
      <c r="AF142" s="3">
        <v>45748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45910</v>
      </c>
      <c r="C143" s="4" t="s">
        <v>467</v>
      </c>
      <c r="D143" s="2">
        <v>1755893</v>
      </c>
      <c r="E143" s="4" t="s">
        <v>474</v>
      </c>
      <c r="F143" s="4" t="s">
        <v>475</v>
      </c>
      <c r="G143" s="4" t="s">
        <v>46</v>
      </c>
      <c r="H143" s="4" t="s">
        <v>46</v>
      </c>
      <c r="I143" s="4" t="s">
        <v>46</v>
      </c>
      <c r="J143" s="4" t="s">
        <v>309</v>
      </c>
      <c r="K143" s="4" t="s">
        <v>310</v>
      </c>
      <c r="L143" s="3">
        <v>45931</v>
      </c>
      <c r="M143" s="4" t="s">
        <v>88</v>
      </c>
      <c r="N143" s="4" t="s">
        <v>46</v>
      </c>
      <c r="O143" s="4" t="s">
        <v>50</v>
      </c>
      <c r="P143" s="4" t="s">
        <v>106</v>
      </c>
      <c r="Q143" s="2">
        <v>1</v>
      </c>
      <c r="R143" s="2">
        <v>60</v>
      </c>
      <c r="S143" s="4" t="s">
        <v>311</v>
      </c>
      <c r="T143" s="4" t="s">
        <v>46</v>
      </c>
      <c r="U143" s="4" t="s">
        <v>46</v>
      </c>
      <c r="V143" s="5">
        <v>10</v>
      </c>
      <c r="W143" s="5">
        <v>12.99</v>
      </c>
      <c r="X143" s="5">
        <v>100</v>
      </c>
      <c r="Y143" s="5">
        <v>1.3</v>
      </c>
      <c r="Z143" s="4" t="s">
        <v>46</v>
      </c>
      <c r="AA143" s="5" t="s">
        <v>46</v>
      </c>
      <c r="AB143" s="4" t="s">
        <v>325</v>
      </c>
      <c r="AC143" s="4" t="s">
        <v>46</v>
      </c>
      <c r="AD143" s="5">
        <v>0</v>
      </c>
      <c r="AE143" s="4" t="s">
        <v>326</v>
      </c>
      <c r="AF143" s="3">
        <v>45778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45910</v>
      </c>
      <c r="C144" s="4" t="s">
        <v>467</v>
      </c>
      <c r="D144" s="2">
        <v>1755893</v>
      </c>
      <c r="E144" s="4" t="s">
        <v>476</v>
      </c>
      <c r="F144" s="4" t="s">
        <v>477</v>
      </c>
      <c r="G144" s="4" t="s">
        <v>46</v>
      </c>
      <c r="H144" s="4" t="s">
        <v>46</v>
      </c>
      <c r="I144" s="4" t="s">
        <v>46</v>
      </c>
      <c r="J144" s="4" t="s">
        <v>309</v>
      </c>
      <c r="K144" s="4" t="s">
        <v>310</v>
      </c>
      <c r="L144" s="3">
        <v>45931</v>
      </c>
      <c r="M144" s="4" t="s">
        <v>88</v>
      </c>
      <c r="N144" s="4" t="s">
        <v>46</v>
      </c>
      <c r="O144" s="4" t="s">
        <v>50</v>
      </c>
      <c r="P144" s="4" t="s">
        <v>106</v>
      </c>
      <c r="Q144" s="2">
        <v>1</v>
      </c>
      <c r="R144" s="2">
        <v>60</v>
      </c>
      <c r="S144" s="4" t="s">
        <v>311</v>
      </c>
      <c r="T144" s="4" t="s">
        <v>46</v>
      </c>
      <c r="U144" s="4" t="s">
        <v>46</v>
      </c>
      <c r="V144" s="5">
        <v>10</v>
      </c>
      <c r="W144" s="5">
        <v>12.99</v>
      </c>
      <c r="X144" s="5">
        <v>100</v>
      </c>
      <c r="Y144" s="5">
        <v>1.3</v>
      </c>
      <c r="Z144" s="4" t="s">
        <v>46</v>
      </c>
      <c r="AA144" s="5" t="s">
        <v>46</v>
      </c>
      <c r="AB144" s="4" t="s">
        <v>325</v>
      </c>
      <c r="AC144" s="4" t="s">
        <v>46</v>
      </c>
      <c r="AD144" s="5">
        <v>0</v>
      </c>
      <c r="AE144" s="4" t="s">
        <v>326</v>
      </c>
      <c r="AF144" s="3">
        <v>45839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45910</v>
      </c>
      <c r="C145" s="4" t="s">
        <v>467</v>
      </c>
      <c r="D145" s="2">
        <v>1755893</v>
      </c>
      <c r="E145" s="4" t="s">
        <v>478</v>
      </c>
      <c r="F145" s="4" t="s">
        <v>479</v>
      </c>
      <c r="G145" s="4" t="s">
        <v>46</v>
      </c>
      <c r="H145" s="4" t="s">
        <v>46</v>
      </c>
      <c r="I145" s="4" t="s">
        <v>46</v>
      </c>
      <c r="J145" s="4" t="s">
        <v>309</v>
      </c>
      <c r="K145" s="4" t="s">
        <v>310</v>
      </c>
      <c r="L145" s="3">
        <v>45931</v>
      </c>
      <c r="M145" s="4" t="s">
        <v>88</v>
      </c>
      <c r="N145" s="4" t="s">
        <v>46</v>
      </c>
      <c r="O145" s="4" t="s">
        <v>50</v>
      </c>
      <c r="P145" s="4" t="s">
        <v>106</v>
      </c>
      <c r="Q145" s="2">
        <v>1</v>
      </c>
      <c r="R145" s="2">
        <v>60</v>
      </c>
      <c r="S145" s="4" t="s">
        <v>311</v>
      </c>
      <c r="T145" s="4" t="s">
        <v>46</v>
      </c>
      <c r="U145" s="4" t="s">
        <v>46</v>
      </c>
      <c r="V145" s="5">
        <v>10</v>
      </c>
      <c r="W145" s="5">
        <v>21.79</v>
      </c>
      <c r="X145" s="5">
        <v>100</v>
      </c>
      <c r="Y145" s="5">
        <v>2.1800000000000002</v>
      </c>
      <c r="Z145" s="4" t="s">
        <v>46</v>
      </c>
      <c r="AA145" s="5" t="s">
        <v>46</v>
      </c>
      <c r="AB145" s="4" t="s">
        <v>325</v>
      </c>
      <c r="AC145" s="4" t="s">
        <v>46</v>
      </c>
      <c r="AD145" s="5">
        <v>0</v>
      </c>
      <c r="AE145" s="4" t="s">
        <v>326</v>
      </c>
      <c r="AF145" s="3">
        <v>45880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45910</v>
      </c>
      <c r="C146" s="4" t="s">
        <v>467</v>
      </c>
      <c r="D146" s="2">
        <v>1755893</v>
      </c>
      <c r="E146" s="4" t="s">
        <v>480</v>
      </c>
      <c r="F146" s="4" t="s">
        <v>481</v>
      </c>
      <c r="G146" s="4" t="s">
        <v>46</v>
      </c>
      <c r="H146" s="4" t="s">
        <v>46</v>
      </c>
      <c r="I146" s="4" t="s">
        <v>46</v>
      </c>
      <c r="J146" s="4" t="s">
        <v>309</v>
      </c>
      <c r="K146" s="4" t="s">
        <v>310</v>
      </c>
      <c r="L146" s="3">
        <v>45931</v>
      </c>
      <c r="M146" s="4" t="s">
        <v>88</v>
      </c>
      <c r="N146" s="4" t="s">
        <v>46</v>
      </c>
      <c r="O146" s="4" t="s">
        <v>50</v>
      </c>
      <c r="P146" s="4" t="s">
        <v>106</v>
      </c>
      <c r="Q146" s="2">
        <v>1</v>
      </c>
      <c r="R146" s="2">
        <v>60</v>
      </c>
      <c r="S146" s="4" t="s">
        <v>311</v>
      </c>
      <c r="T146" s="4" t="s">
        <v>46</v>
      </c>
      <c r="U146" s="4" t="s">
        <v>46</v>
      </c>
      <c r="V146" s="5">
        <v>10</v>
      </c>
      <c r="W146" s="5">
        <v>12.13</v>
      </c>
      <c r="X146" s="5">
        <v>100</v>
      </c>
      <c r="Y146" s="5">
        <v>1.21</v>
      </c>
      <c r="Z146" s="4" t="s">
        <v>46</v>
      </c>
      <c r="AA146" s="5" t="s">
        <v>46</v>
      </c>
      <c r="AB146" s="4" t="s">
        <v>325</v>
      </c>
      <c r="AC146" s="4" t="s">
        <v>46</v>
      </c>
      <c r="AD146" s="5">
        <v>0</v>
      </c>
      <c r="AE146" s="4" t="s">
        <v>326</v>
      </c>
      <c r="AF146" s="3">
        <v>45903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45910</v>
      </c>
      <c r="C147" s="4" t="s">
        <v>482</v>
      </c>
      <c r="D147" s="2">
        <v>1758433</v>
      </c>
      <c r="E147" s="4" t="s">
        <v>483</v>
      </c>
      <c r="F147" s="4" t="s">
        <v>484</v>
      </c>
      <c r="G147" s="4" t="s">
        <v>46</v>
      </c>
      <c r="H147" s="4" t="s">
        <v>46</v>
      </c>
      <c r="I147" s="4" t="s">
        <v>46</v>
      </c>
      <c r="J147" s="4" t="s">
        <v>304</v>
      </c>
      <c r="K147" s="4" t="s">
        <v>48</v>
      </c>
      <c r="L147" s="3">
        <v>45901</v>
      </c>
      <c r="M147" s="4" t="s">
        <v>49</v>
      </c>
      <c r="N147" s="4" t="s">
        <v>46</v>
      </c>
      <c r="O147" s="4" t="s">
        <v>106</v>
      </c>
      <c r="P147" s="4" t="s">
        <v>106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22</v>
      </c>
      <c r="W147" s="5">
        <v>130.03</v>
      </c>
      <c r="X147" s="5">
        <v>100</v>
      </c>
      <c r="Y147" s="5">
        <v>28.61</v>
      </c>
      <c r="Z147" s="5">
        <v>0</v>
      </c>
      <c r="AA147" s="5">
        <v>0</v>
      </c>
      <c r="AB147" s="4" t="s">
        <v>305</v>
      </c>
      <c r="AC147" s="4" t="s">
        <v>46</v>
      </c>
      <c r="AD147" s="5">
        <v>0</v>
      </c>
      <c r="AE147" s="4" t="s">
        <v>306</v>
      </c>
      <c r="AF147" s="3">
        <v>45323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45910</v>
      </c>
      <c r="C148" s="4" t="s">
        <v>482</v>
      </c>
      <c r="D148" s="2">
        <v>1758433</v>
      </c>
      <c r="E148" s="4" t="s">
        <v>485</v>
      </c>
      <c r="F148" s="4" t="s">
        <v>486</v>
      </c>
      <c r="G148" s="4" t="s">
        <v>46</v>
      </c>
      <c r="H148" s="4" t="s">
        <v>46</v>
      </c>
      <c r="I148" s="4" t="s">
        <v>46</v>
      </c>
      <c r="J148" s="4" t="s">
        <v>304</v>
      </c>
      <c r="K148" s="4" t="s">
        <v>48</v>
      </c>
      <c r="L148" s="3">
        <v>45901</v>
      </c>
      <c r="M148" s="4" t="s">
        <v>49</v>
      </c>
      <c r="N148" s="4" t="s">
        <v>46</v>
      </c>
      <c r="O148" s="4" t="s">
        <v>106</v>
      </c>
      <c r="P148" s="4" t="s">
        <v>106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115.3</v>
      </c>
      <c r="X148" s="5">
        <v>100</v>
      </c>
      <c r="Y148" s="5">
        <v>25.37</v>
      </c>
      <c r="Z148" s="5">
        <v>0</v>
      </c>
      <c r="AA148" s="5">
        <v>0</v>
      </c>
      <c r="AB148" s="4" t="s">
        <v>305</v>
      </c>
      <c r="AC148" s="4" t="s">
        <v>46</v>
      </c>
      <c r="AD148" s="5">
        <v>0</v>
      </c>
      <c r="AE148" s="4" t="s">
        <v>306</v>
      </c>
      <c r="AF148" s="3">
        <v>45323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45910</v>
      </c>
      <c r="C149" s="4" t="s">
        <v>482</v>
      </c>
      <c r="D149" s="2">
        <v>1758433</v>
      </c>
      <c r="E149" s="4" t="s">
        <v>487</v>
      </c>
      <c r="F149" s="4" t="s">
        <v>488</v>
      </c>
      <c r="G149" s="4" t="s">
        <v>46</v>
      </c>
      <c r="H149" s="4" t="s">
        <v>46</v>
      </c>
      <c r="I149" s="4" t="s">
        <v>46</v>
      </c>
      <c r="J149" s="4" t="s">
        <v>304</v>
      </c>
      <c r="K149" s="4" t="s">
        <v>48</v>
      </c>
      <c r="L149" s="3">
        <v>45901</v>
      </c>
      <c r="M149" s="4" t="s">
        <v>49</v>
      </c>
      <c r="N149" s="4" t="s">
        <v>46</v>
      </c>
      <c r="O149" s="4" t="s">
        <v>106</v>
      </c>
      <c r="P149" s="4" t="s">
        <v>106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22</v>
      </c>
      <c r="W149" s="5">
        <v>115.3</v>
      </c>
      <c r="X149" s="5">
        <v>100</v>
      </c>
      <c r="Y149" s="5">
        <v>25.37</v>
      </c>
      <c r="Z149" s="5">
        <v>0</v>
      </c>
      <c r="AA149" s="5">
        <v>0</v>
      </c>
      <c r="AB149" s="4" t="s">
        <v>305</v>
      </c>
      <c r="AC149" s="4" t="s">
        <v>46</v>
      </c>
      <c r="AD149" s="5">
        <v>0</v>
      </c>
      <c r="AE149" s="4" t="s">
        <v>306</v>
      </c>
      <c r="AF149" s="3">
        <v>45383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45910</v>
      </c>
      <c r="C150" s="4" t="s">
        <v>482</v>
      </c>
      <c r="D150" s="2">
        <v>1758433</v>
      </c>
      <c r="E150" s="4" t="s">
        <v>489</v>
      </c>
      <c r="F150" s="4" t="s">
        <v>490</v>
      </c>
      <c r="G150" s="4" t="s">
        <v>46</v>
      </c>
      <c r="H150" s="4" t="s">
        <v>46</v>
      </c>
      <c r="I150" s="4" t="s">
        <v>46</v>
      </c>
      <c r="J150" s="4" t="s">
        <v>304</v>
      </c>
      <c r="K150" s="4" t="s">
        <v>48</v>
      </c>
      <c r="L150" s="3">
        <v>45901</v>
      </c>
      <c r="M150" s="4" t="s">
        <v>49</v>
      </c>
      <c r="N150" s="4" t="s">
        <v>46</v>
      </c>
      <c r="O150" s="4" t="s">
        <v>106</v>
      </c>
      <c r="P150" s="4" t="s">
        <v>106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156.38999999999999</v>
      </c>
      <c r="X150" s="5">
        <v>100</v>
      </c>
      <c r="Y150" s="5">
        <v>34.409999999999997</v>
      </c>
      <c r="Z150" s="5">
        <v>0</v>
      </c>
      <c r="AA150" s="5">
        <v>0</v>
      </c>
      <c r="AB150" s="4" t="s">
        <v>305</v>
      </c>
      <c r="AC150" s="4" t="s">
        <v>46</v>
      </c>
      <c r="AD150" s="5">
        <v>0</v>
      </c>
      <c r="AE150" s="4" t="s">
        <v>306</v>
      </c>
      <c r="AF150" s="3">
        <v>45383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45910</v>
      </c>
      <c r="C151" s="4" t="s">
        <v>482</v>
      </c>
      <c r="D151" s="2">
        <v>1758433</v>
      </c>
      <c r="E151" s="4" t="s">
        <v>491</v>
      </c>
      <c r="F151" s="4" t="s">
        <v>492</v>
      </c>
      <c r="G151" s="4" t="s">
        <v>46</v>
      </c>
      <c r="H151" s="4" t="s">
        <v>46</v>
      </c>
      <c r="I151" s="4" t="s">
        <v>46</v>
      </c>
      <c r="J151" s="4" t="s">
        <v>304</v>
      </c>
      <c r="K151" s="4" t="s">
        <v>48</v>
      </c>
      <c r="L151" s="3">
        <v>45901</v>
      </c>
      <c r="M151" s="4" t="s">
        <v>49</v>
      </c>
      <c r="N151" s="4" t="s">
        <v>46</v>
      </c>
      <c r="O151" s="4" t="s">
        <v>106</v>
      </c>
      <c r="P151" s="4" t="s">
        <v>106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130.03</v>
      </c>
      <c r="X151" s="5">
        <v>100</v>
      </c>
      <c r="Y151" s="5">
        <v>28.61</v>
      </c>
      <c r="Z151" s="5">
        <v>0</v>
      </c>
      <c r="AA151" s="5">
        <v>0</v>
      </c>
      <c r="AB151" s="4" t="s">
        <v>305</v>
      </c>
      <c r="AC151" s="4" t="s">
        <v>46</v>
      </c>
      <c r="AD151" s="5">
        <v>0</v>
      </c>
      <c r="AE151" s="4" t="s">
        <v>306</v>
      </c>
      <c r="AF151" s="3">
        <v>45444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45910</v>
      </c>
      <c r="C152" s="4" t="s">
        <v>482</v>
      </c>
      <c r="D152" s="2">
        <v>1758433</v>
      </c>
      <c r="E152" s="4" t="s">
        <v>493</v>
      </c>
      <c r="F152" s="4" t="s">
        <v>494</v>
      </c>
      <c r="G152" s="4" t="s">
        <v>46</v>
      </c>
      <c r="H152" s="4" t="s">
        <v>46</v>
      </c>
      <c r="I152" s="4" t="s">
        <v>495</v>
      </c>
      <c r="J152" s="4" t="s">
        <v>304</v>
      </c>
      <c r="K152" s="4" t="s">
        <v>48</v>
      </c>
      <c r="L152" s="3">
        <v>45901</v>
      </c>
      <c r="M152" s="4" t="s">
        <v>49</v>
      </c>
      <c r="N152" s="4" t="s">
        <v>46</v>
      </c>
      <c r="O152" s="4" t="s">
        <v>50</v>
      </c>
      <c r="P152" s="4" t="s">
        <v>106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1585.32</v>
      </c>
      <c r="X152" s="5">
        <v>100</v>
      </c>
      <c r="Y152" s="5">
        <v>348.72</v>
      </c>
      <c r="Z152" s="5">
        <v>0</v>
      </c>
      <c r="AA152" s="5">
        <v>0</v>
      </c>
      <c r="AB152" s="4" t="s">
        <v>448</v>
      </c>
      <c r="AC152" s="4" t="s">
        <v>46</v>
      </c>
      <c r="AD152" s="5">
        <v>0</v>
      </c>
      <c r="AE152" s="4" t="s">
        <v>449</v>
      </c>
      <c r="AF152" s="3">
        <v>45901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45910</v>
      </c>
      <c r="C153" s="4" t="s">
        <v>482</v>
      </c>
      <c r="D153" s="2">
        <v>1758433</v>
      </c>
      <c r="E153" s="4" t="s">
        <v>496</v>
      </c>
      <c r="F153" s="4" t="s">
        <v>497</v>
      </c>
      <c r="G153" s="4" t="s">
        <v>46</v>
      </c>
      <c r="H153" s="4" t="s">
        <v>46</v>
      </c>
      <c r="I153" s="4" t="s">
        <v>498</v>
      </c>
      <c r="J153" s="4" t="s">
        <v>304</v>
      </c>
      <c r="K153" s="4" t="s">
        <v>48</v>
      </c>
      <c r="L153" s="3">
        <v>45901</v>
      </c>
      <c r="M153" s="4" t="s">
        <v>49</v>
      </c>
      <c r="N153" s="4" t="s">
        <v>46</v>
      </c>
      <c r="O153" s="4" t="s">
        <v>50</v>
      </c>
      <c r="P153" s="4" t="s">
        <v>106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1788.84</v>
      </c>
      <c r="X153" s="5">
        <v>100</v>
      </c>
      <c r="Y153" s="5">
        <v>393.6</v>
      </c>
      <c r="Z153" s="5">
        <v>0</v>
      </c>
      <c r="AA153" s="5">
        <v>0</v>
      </c>
      <c r="AB153" s="4" t="s">
        <v>448</v>
      </c>
      <c r="AC153" s="4" t="s">
        <v>46</v>
      </c>
      <c r="AD153" s="5">
        <v>0</v>
      </c>
      <c r="AE153" s="4" t="s">
        <v>449</v>
      </c>
      <c r="AF153" s="3">
        <v>45901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45910</v>
      </c>
      <c r="C154" s="4" t="s">
        <v>499</v>
      </c>
      <c r="D154" s="2">
        <v>1775329</v>
      </c>
      <c r="E154" s="4" t="s">
        <v>500</v>
      </c>
      <c r="F154" s="4" t="s">
        <v>501</v>
      </c>
      <c r="G154" s="4" t="s">
        <v>46</v>
      </c>
      <c r="H154" s="4" t="s">
        <v>46</v>
      </c>
      <c r="I154" s="4" t="s">
        <v>46</v>
      </c>
      <c r="J154" s="4" t="s">
        <v>304</v>
      </c>
      <c r="K154" s="4" t="s">
        <v>48</v>
      </c>
      <c r="L154" s="3">
        <v>45901</v>
      </c>
      <c r="M154" s="4" t="s">
        <v>49</v>
      </c>
      <c r="N154" s="4" t="s">
        <v>46</v>
      </c>
      <c r="O154" s="4" t="s">
        <v>106</v>
      </c>
      <c r="P154" s="4" t="s">
        <v>106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11</v>
      </c>
      <c r="W154" s="5">
        <v>126.02</v>
      </c>
      <c r="X154" s="5">
        <v>100</v>
      </c>
      <c r="Y154" s="5">
        <v>13.86</v>
      </c>
      <c r="Z154" s="5">
        <v>0</v>
      </c>
      <c r="AA154" s="5">
        <v>0</v>
      </c>
      <c r="AB154" s="4" t="s">
        <v>107</v>
      </c>
      <c r="AC154" s="4" t="s">
        <v>46</v>
      </c>
      <c r="AD154" s="5">
        <v>0</v>
      </c>
      <c r="AE154" s="4" t="s">
        <v>108</v>
      </c>
      <c r="AF154" s="3">
        <v>45505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45910</v>
      </c>
      <c r="C155" s="4" t="s">
        <v>499</v>
      </c>
      <c r="D155" s="2">
        <v>1775329</v>
      </c>
      <c r="E155" s="4" t="s">
        <v>502</v>
      </c>
      <c r="F155" s="4" t="s">
        <v>503</v>
      </c>
      <c r="G155" s="4" t="s">
        <v>46</v>
      </c>
      <c r="H155" s="4" t="s">
        <v>46</v>
      </c>
      <c r="I155" s="4" t="s">
        <v>46</v>
      </c>
      <c r="J155" s="4" t="s">
        <v>304</v>
      </c>
      <c r="K155" s="4" t="s">
        <v>48</v>
      </c>
      <c r="L155" s="3">
        <v>45901</v>
      </c>
      <c r="M155" s="4" t="s">
        <v>49</v>
      </c>
      <c r="N155" s="4" t="s">
        <v>46</v>
      </c>
      <c r="O155" s="4" t="s">
        <v>106</v>
      </c>
      <c r="P155" s="4" t="s">
        <v>106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11</v>
      </c>
      <c r="W155" s="5">
        <v>142.16999999999999</v>
      </c>
      <c r="X155" s="5">
        <v>100</v>
      </c>
      <c r="Y155" s="5">
        <v>15.64</v>
      </c>
      <c r="Z155" s="5">
        <v>0</v>
      </c>
      <c r="AA155" s="5">
        <v>0</v>
      </c>
      <c r="AB155" s="4" t="s">
        <v>107</v>
      </c>
      <c r="AC155" s="4" t="s">
        <v>46</v>
      </c>
      <c r="AD155" s="5">
        <v>0</v>
      </c>
      <c r="AE155" s="4" t="s">
        <v>108</v>
      </c>
      <c r="AF155" s="3">
        <v>45505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45910</v>
      </c>
      <c r="C156" s="4" t="s">
        <v>499</v>
      </c>
      <c r="D156" s="2">
        <v>1775329</v>
      </c>
      <c r="E156" s="4" t="s">
        <v>504</v>
      </c>
      <c r="F156" s="4" t="s">
        <v>505</v>
      </c>
      <c r="G156" s="4" t="s">
        <v>46</v>
      </c>
      <c r="H156" s="4" t="s">
        <v>46</v>
      </c>
      <c r="I156" s="4" t="s">
        <v>46</v>
      </c>
      <c r="J156" s="4" t="s">
        <v>304</v>
      </c>
      <c r="K156" s="4" t="s">
        <v>48</v>
      </c>
      <c r="L156" s="3">
        <v>45901</v>
      </c>
      <c r="M156" s="4" t="s">
        <v>49</v>
      </c>
      <c r="N156" s="4" t="s">
        <v>46</v>
      </c>
      <c r="O156" s="4" t="s">
        <v>106</v>
      </c>
      <c r="P156" s="4" t="s">
        <v>106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11</v>
      </c>
      <c r="W156" s="5">
        <v>126.02</v>
      </c>
      <c r="X156" s="5">
        <v>100</v>
      </c>
      <c r="Y156" s="5">
        <v>13.86</v>
      </c>
      <c r="Z156" s="5">
        <v>0</v>
      </c>
      <c r="AA156" s="5">
        <v>0</v>
      </c>
      <c r="AB156" s="4" t="s">
        <v>107</v>
      </c>
      <c r="AC156" s="4" t="s">
        <v>46</v>
      </c>
      <c r="AD156" s="5">
        <v>0</v>
      </c>
      <c r="AE156" s="4" t="s">
        <v>108</v>
      </c>
      <c r="AF156" s="3">
        <v>45505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45910</v>
      </c>
      <c r="C157" s="4" t="s">
        <v>499</v>
      </c>
      <c r="D157" s="2">
        <v>1775329</v>
      </c>
      <c r="E157" s="4" t="s">
        <v>506</v>
      </c>
      <c r="F157" s="4" t="s">
        <v>507</v>
      </c>
      <c r="G157" s="4" t="s">
        <v>46</v>
      </c>
      <c r="H157" s="4" t="s">
        <v>46</v>
      </c>
      <c r="I157" s="4" t="s">
        <v>46</v>
      </c>
      <c r="J157" s="4" t="s">
        <v>304</v>
      </c>
      <c r="K157" s="4" t="s">
        <v>48</v>
      </c>
      <c r="L157" s="3">
        <v>45901</v>
      </c>
      <c r="M157" s="4" t="s">
        <v>49</v>
      </c>
      <c r="N157" s="4" t="s">
        <v>46</v>
      </c>
      <c r="O157" s="4" t="s">
        <v>106</v>
      </c>
      <c r="P157" s="4" t="s">
        <v>106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11</v>
      </c>
      <c r="W157" s="5">
        <v>91.67</v>
      </c>
      <c r="X157" s="5">
        <v>100</v>
      </c>
      <c r="Y157" s="5">
        <v>10.08</v>
      </c>
      <c r="Z157" s="5">
        <v>0</v>
      </c>
      <c r="AA157" s="5">
        <v>0</v>
      </c>
      <c r="AB157" s="4" t="s">
        <v>107</v>
      </c>
      <c r="AC157" s="4" t="s">
        <v>46</v>
      </c>
      <c r="AD157" s="5">
        <v>0</v>
      </c>
      <c r="AE157" s="4" t="s">
        <v>108</v>
      </c>
      <c r="AF157" s="3">
        <v>45505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45910</v>
      </c>
      <c r="C158" s="4" t="s">
        <v>499</v>
      </c>
      <c r="D158" s="2">
        <v>1775329</v>
      </c>
      <c r="E158" s="4" t="s">
        <v>508</v>
      </c>
      <c r="F158" s="4" t="s">
        <v>509</v>
      </c>
      <c r="G158" s="4" t="s">
        <v>46</v>
      </c>
      <c r="H158" s="4" t="s">
        <v>46</v>
      </c>
      <c r="I158" s="4" t="s">
        <v>46</v>
      </c>
      <c r="J158" s="4" t="s">
        <v>304</v>
      </c>
      <c r="K158" s="4" t="s">
        <v>48</v>
      </c>
      <c r="L158" s="3">
        <v>45901</v>
      </c>
      <c r="M158" s="4" t="s">
        <v>49</v>
      </c>
      <c r="N158" s="4" t="s">
        <v>46</v>
      </c>
      <c r="O158" s="4" t="s">
        <v>106</v>
      </c>
      <c r="P158" s="4" t="s">
        <v>106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11</v>
      </c>
      <c r="W158" s="5">
        <v>142.16999999999999</v>
      </c>
      <c r="X158" s="5">
        <v>100</v>
      </c>
      <c r="Y158" s="5">
        <v>15.64</v>
      </c>
      <c r="Z158" s="5">
        <v>0</v>
      </c>
      <c r="AA158" s="5">
        <v>0</v>
      </c>
      <c r="AB158" s="4" t="s">
        <v>107</v>
      </c>
      <c r="AC158" s="4" t="s">
        <v>46</v>
      </c>
      <c r="AD158" s="5">
        <v>0</v>
      </c>
      <c r="AE158" s="4" t="s">
        <v>108</v>
      </c>
      <c r="AF158" s="3">
        <v>45505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45910</v>
      </c>
      <c r="C159" s="4" t="s">
        <v>499</v>
      </c>
      <c r="D159" s="2">
        <v>1775329</v>
      </c>
      <c r="E159" s="4" t="s">
        <v>510</v>
      </c>
      <c r="F159" s="4" t="s">
        <v>511</v>
      </c>
      <c r="G159" s="4" t="s">
        <v>46</v>
      </c>
      <c r="H159" s="4" t="s">
        <v>46</v>
      </c>
      <c r="I159" s="4" t="s">
        <v>46</v>
      </c>
      <c r="J159" s="4" t="s">
        <v>304</v>
      </c>
      <c r="K159" s="4" t="s">
        <v>48</v>
      </c>
      <c r="L159" s="3">
        <v>45901</v>
      </c>
      <c r="M159" s="4" t="s">
        <v>49</v>
      </c>
      <c r="N159" s="4" t="s">
        <v>46</v>
      </c>
      <c r="O159" s="4" t="s">
        <v>106</v>
      </c>
      <c r="P159" s="4" t="s">
        <v>106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11</v>
      </c>
      <c r="W159" s="5">
        <v>142.16999999999999</v>
      </c>
      <c r="X159" s="5">
        <v>100</v>
      </c>
      <c r="Y159" s="5">
        <v>15.64</v>
      </c>
      <c r="Z159" s="5">
        <v>0</v>
      </c>
      <c r="AA159" s="5">
        <v>0</v>
      </c>
      <c r="AB159" s="4" t="s">
        <v>107</v>
      </c>
      <c r="AC159" s="4" t="s">
        <v>46</v>
      </c>
      <c r="AD159" s="5">
        <v>0</v>
      </c>
      <c r="AE159" s="4" t="s">
        <v>108</v>
      </c>
      <c r="AF159" s="3">
        <v>45505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45910</v>
      </c>
      <c r="C160" s="4" t="s">
        <v>499</v>
      </c>
      <c r="D160" s="2">
        <v>1775329</v>
      </c>
      <c r="E160" s="4" t="s">
        <v>512</v>
      </c>
      <c r="F160" s="4" t="s">
        <v>513</v>
      </c>
      <c r="G160" s="4" t="s">
        <v>46</v>
      </c>
      <c r="H160" s="4" t="s">
        <v>46</v>
      </c>
      <c r="I160" s="4" t="s">
        <v>46</v>
      </c>
      <c r="J160" s="4" t="s">
        <v>304</v>
      </c>
      <c r="K160" s="4" t="s">
        <v>48</v>
      </c>
      <c r="L160" s="3">
        <v>45901</v>
      </c>
      <c r="M160" s="4" t="s">
        <v>49</v>
      </c>
      <c r="N160" s="4" t="s">
        <v>46</v>
      </c>
      <c r="O160" s="4" t="s">
        <v>106</v>
      </c>
      <c r="P160" s="4" t="s">
        <v>106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11</v>
      </c>
      <c r="W160" s="5">
        <v>126.02</v>
      </c>
      <c r="X160" s="5">
        <v>100</v>
      </c>
      <c r="Y160" s="5">
        <v>13.86</v>
      </c>
      <c r="Z160" s="5">
        <v>0</v>
      </c>
      <c r="AA160" s="5">
        <v>0</v>
      </c>
      <c r="AB160" s="4" t="s">
        <v>107</v>
      </c>
      <c r="AC160" s="4" t="s">
        <v>46</v>
      </c>
      <c r="AD160" s="5">
        <v>0</v>
      </c>
      <c r="AE160" s="4" t="s">
        <v>108</v>
      </c>
      <c r="AF160" s="3">
        <v>45536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45910</v>
      </c>
      <c r="C161" s="4" t="s">
        <v>499</v>
      </c>
      <c r="D161" s="2">
        <v>1775329</v>
      </c>
      <c r="E161" s="4" t="s">
        <v>514</v>
      </c>
      <c r="F161" s="4" t="s">
        <v>515</v>
      </c>
      <c r="G161" s="4" t="s">
        <v>46</v>
      </c>
      <c r="H161" s="4" t="s">
        <v>46</v>
      </c>
      <c r="I161" s="4" t="s">
        <v>516</v>
      </c>
      <c r="J161" s="4" t="s">
        <v>304</v>
      </c>
      <c r="K161" s="4" t="s">
        <v>48</v>
      </c>
      <c r="L161" s="3">
        <v>45901</v>
      </c>
      <c r="M161" s="4" t="s">
        <v>49</v>
      </c>
      <c r="N161" s="4" t="s">
        <v>46</v>
      </c>
      <c r="O161" s="4" t="s">
        <v>50</v>
      </c>
      <c r="P161" s="4" t="s">
        <v>106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1830.84</v>
      </c>
      <c r="X161" s="5">
        <v>100</v>
      </c>
      <c r="Y161" s="5">
        <v>402.84</v>
      </c>
      <c r="Z161" s="5">
        <v>0</v>
      </c>
      <c r="AA161" s="5">
        <v>0</v>
      </c>
      <c r="AB161" s="4" t="s">
        <v>364</v>
      </c>
      <c r="AC161" s="4" t="s">
        <v>46</v>
      </c>
      <c r="AD161" s="5">
        <v>0</v>
      </c>
      <c r="AE161" s="4" t="s">
        <v>365</v>
      </c>
      <c r="AF161" s="3">
        <v>45901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45910</v>
      </c>
      <c r="C162" s="4" t="s">
        <v>499</v>
      </c>
      <c r="D162" s="2">
        <v>1775329</v>
      </c>
      <c r="E162" s="4" t="s">
        <v>517</v>
      </c>
      <c r="F162" s="4" t="s">
        <v>518</v>
      </c>
      <c r="G162" s="4" t="s">
        <v>46</v>
      </c>
      <c r="H162" s="4" t="s">
        <v>46</v>
      </c>
      <c r="I162" s="4" t="s">
        <v>519</v>
      </c>
      <c r="J162" s="4" t="s">
        <v>304</v>
      </c>
      <c r="K162" s="4" t="s">
        <v>48</v>
      </c>
      <c r="L162" s="3">
        <v>45901</v>
      </c>
      <c r="M162" s="4" t="s">
        <v>49</v>
      </c>
      <c r="N162" s="4" t="s">
        <v>46</v>
      </c>
      <c r="O162" s="4" t="s">
        <v>50</v>
      </c>
      <c r="P162" s="4" t="s">
        <v>106</v>
      </c>
      <c r="Q162" s="2">
        <v>1</v>
      </c>
      <c r="R162" s="2">
        <v>17</v>
      </c>
      <c r="S162" s="4" t="s">
        <v>51</v>
      </c>
      <c r="T162" s="4" t="s">
        <v>46</v>
      </c>
      <c r="U162" s="4" t="s">
        <v>46</v>
      </c>
      <c r="V162" s="5">
        <v>22</v>
      </c>
      <c r="W162" s="5">
        <v>1622.64</v>
      </c>
      <c r="X162" s="5">
        <v>100</v>
      </c>
      <c r="Y162" s="5">
        <v>357</v>
      </c>
      <c r="Z162" s="5">
        <v>0</v>
      </c>
      <c r="AA162" s="5">
        <v>0</v>
      </c>
      <c r="AB162" s="4" t="s">
        <v>364</v>
      </c>
      <c r="AC162" s="4" t="s">
        <v>46</v>
      </c>
      <c r="AD162" s="5">
        <v>0</v>
      </c>
      <c r="AE162" s="4" t="s">
        <v>365</v>
      </c>
      <c r="AF162" s="3">
        <v>45901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45910</v>
      </c>
      <c r="C163" s="4" t="s">
        <v>499</v>
      </c>
      <c r="D163" s="2">
        <v>1775329</v>
      </c>
      <c r="E163" s="4" t="s">
        <v>520</v>
      </c>
      <c r="F163" s="4" t="s">
        <v>521</v>
      </c>
      <c r="G163" s="4" t="s">
        <v>46</v>
      </c>
      <c r="H163" s="4" t="s">
        <v>46</v>
      </c>
      <c r="I163" s="4" t="s">
        <v>46</v>
      </c>
      <c r="J163" s="4" t="s">
        <v>304</v>
      </c>
      <c r="K163" s="4" t="s">
        <v>48</v>
      </c>
      <c r="L163" s="3">
        <v>45901</v>
      </c>
      <c r="M163" s="4" t="s">
        <v>49</v>
      </c>
      <c r="N163" s="4" t="s">
        <v>46</v>
      </c>
      <c r="O163" s="4" t="s">
        <v>50</v>
      </c>
      <c r="P163" s="4" t="s">
        <v>106</v>
      </c>
      <c r="Q163" s="2">
        <v>1</v>
      </c>
      <c r="R163" s="2">
        <v>17</v>
      </c>
      <c r="S163" s="4" t="s">
        <v>51</v>
      </c>
      <c r="T163" s="4" t="s">
        <v>46</v>
      </c>
      <c r="U163" s="4" t="s">
        <v>46</v>
      </c>
      <c r="V163" s="5">
        <v>22</v>
      </c>
      <c r="W163" s="5">
        <v>1622.64</v>
      </c>
      <c r="X163" s="5">
        <v>100</v>
      </c>
      <c r="Y163" s="5">
        <v>357</v>
      </c>
      <c r="Z163" s="5">
        <v>0</v>
      </c>
      <c r="AA163" s="5">
        <v>0</v>
      </c>
      <c r="AB163" s="4" t="s">
        <v>377</v>
      </c>
      <c r="AC163" s="4" t="s">
        <v>46</v>
      </c>
      <c r="AD163" s="5">
        <v>0</v>
      </c>
      <c r="AE163" s="4" t="s">
        <v>378</v>
      </c>
      <c r="AF163" s="3">
        <v>45901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45910</v>
      </c>
      <c r="C164" s="4" t="s">
        <v>499</v>
      </c>
      <c r="D164" s="2">
        <v>1775329</v>
      </c>
      <c r="E164" s="4" t="s">
        <v>522</v>
      </c>
      <c r="F164" s="4" t="s">
        <v>523</v>
      </c>
      <c r="G164" s="4" t="s">
        <v>46</v>
      </c>
      <c r="H164" s="4" t="s">
        <v>46</v>
      </c>
      <c r="I164" s="4" t="s">
        <v>524</v>
      </c>
      <c r="J164" s="4" t="s">
        <v>304</v>
      </c>
      <c r="K164" s="4" t="s">
        <v>48</v>
      </c>
      <c r="L164" s="3">
        <v>45901</v>
      </c>
      <c r="M164" s="4" t="s">
        <v>49</v>
      </c>
      <c r="N164" s="4" t="s">
        <v>46</v>
      </c>
      <c r="O164" s="4" t="s">
        <v>50</v>
      </c>
      <c r="P164" s="4" t="s">
        <v>106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22</v>
      </c>
      <c r="W164" s="5">
        <v>2058.48</v>
      </c>
      <c r="X164" s="5">
        <v>100</v>
      </c>
      <c r="Y164" s="5">
        <v>452.88</v>
      </c>
      <c r="Z164" s="5">
        <v>0</v>
      </c>
      <c r="AA164" s="5">
        <v>0</v>
      </c>
      <c r="AB164" s="4" t="s">
        <v>364</v>
      </c>
      <c r="AC164" s="4" t="s">
        <v>46</v>
      </c>
      <c r="AD164" s="5">
        <v>0</v>
      </c>
      <c r="AE164" s="4" t="s">
        <v>365</v>
      </c>
      <c r="AF164" s="3">
        <v>45901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45910</v>
      </c>
      <c r="C165" s="4" t="s">
        <v>499</v>
      </c>
      <c r="D165" s="2">
        <v>1775329</v>
      </c>
      <c r="E165" s="4" t="s">
        <v>525</v>
      </c>
      <c r="F165" s="4" t="s">
        <v>526</v>
      </c>
      <c r="G165" s="4" t="s">
        <v>46</v>
      </c>
      <c r="H165" s="4" t="s">
        <v>46</v>
      </c>
      <c r="I165" s="4" t="s">
        <v>46</v>
      </c>
      <c r="J165" s="4" t="s">
        <v>304</v>
      </c>
      <c r="K165" s="4" t="s">
        <v>48</v>
      </c>
      <c r="L165" s="3">
        <v>45901</v>
      </c>
      <c r="M165" s="4" t="s">
        <v>49</v>
      </c>
      <c r="N165" s="4" t="s">
        <v>46</v>
      </c>
      <c r="O165" s="4" t="s">
        <v>50</v>
      </c>
      <c r="P165" s="4" t="s">
        <v>106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22</v>
      </c>
      <c r="W165" s="5">
        <v>1843.92</v>
      </c>
      <c r="X165" s="5">
        <v>100</v>
      </c>
      <c r="Y165" s="5">
        <v>405.72</v>
      </c>
      <c r="Z165" s="5">
        <v>0</v>
      </c>
      <c r="AA165" s="5">
        <v>0</v>
      </c>
      <c r="AB165" s="4" t="s">
        <v>377</v>
      </c>
      <c r="AC165" s="4" t="s">
        <v>46</v>
      </c>
      <c r="AD165" s="5">
        <v>0</v>
      </c>
      <c r="AE165" s="4" t="s">
        <v>378</v>
      </c>
      <c r="AF165" s="3">
        <v>45901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45910</v>
      </c>
      <c r="C166" s="4" t="s">
        <v>209</v>
      </c>
      <c r="D166" s="2">
        <v>1795772</v>
      </c>
      <c r="E166" s="4" t="s">
        <v>527</v>
      </c>
      <c r="F166" s="4" t="s">
        <v>528</v>
      </c>
      <c r="G166" s="4" t="s">
        <v>46</v>
      </c>
      <c r="H166" s="4" t="s">
        <v>46</v>
      </c>
      <c r="I166" s="4" t="s">
        <v>46</v>
      </c>
      <c r="J166" s="4" t="s">
        <v>304</v>
      </c>
      <c r="K166" s="4" t="s">
        <v>48</v>
      </c>
      <c r="L166" s="3">
        <v>45901</v>
      </c>
      <c r="M166" s="4" t="s">
        <v>49</v>
      </c>
      <c r="N166" s="4" t="s">
        <v>46</v>
      </c>
      <c r="O166" s="4" t="s">
        <v>50</v>
      </c>
      <c r="P166" s="4" t="s">
        <v>106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22</v>
      </c>
      <c r="W166" s="5">
        <v>1799.4</v>
      </c>
      <c r="X166" s="5">
        <v>100</v>
      </c>
      <c r="Y166" s="5">
        <v>395.88</v>
      </c>
      <c r="Z166" s="5">
        <v>0</v>
      </c>
      <c r="AA166" s="5">
        <v>0</v>
      </c>
      <c r="AB166" s="4" t="s">
        <v>364</v>
      </c>
      <c r="AC166" s="4" t="s">
        <v>46</v>
      </c>
      <c r="AD166" s="5">
        <v>0</v>
      </c>
      <c r="AE166" s="4" t="s">
        <v>365</v>
      </c>
      <c r="AF166" s="3">
        <v>45901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45910</v>
      </c>
      <c r="C167" s="4" t="s">
        <v>529</v>
      </c>
      <c r="D167" s="2">
        <v>1815594</v>
      </c>
      <c r="E167" s="4" t="s">
        <v>530</v>
      </c>
      <c r="F167" s="4" t="s">
        <v>531</v>
      </c>
      <c r="G167" s="4" t="s">
        <v>46</v>
      </c>
      <c r="H167" s="4" t="s">
        <v>46</v>
      </c>
      <c r="I167" s="4" t="s">
        <v>46</v>
      </c>
      <c r="J167" s="4" t="s">
        <v>304</v>
      </c>
      <c r="K167" s="4" t="s">
        <v>48</v>
      </c>
      <c r="L167" s="3">
        <v>45901</v>
      </c>
      <c r="M167" s="4" t="s">
        <v>49</v>
      </c>
      <c r="N167" s="4" t="s">
        <v>46</v>
      </c>
      <c r="O167" s="4" t="s">
        <v>50</v>
      </c>
      <c r="P167" s="4" t="s">
        <v>106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22</v>
      </c>
      <c r="W167" s="5">
        <v>3054.24</v>
      </c>
      <c r="X167" s="5">
        <v>100</v>
      </c>
      <c r="Y167" s="5">
        <v>671.88</v>
      </c>
      <c r="Z167" s="5">
        <v>0</v>
      </c>
      <c r="AA167" s="5">
        <v>0</v>
      </c>
      <c r="AB167" s="4" t="s">
        <v>377</v>
      </c>
      <c r="AC167" s="4" t="s">
        <v>46</v>
      </c>
      <c r="AD167" s="5">
        <v>0</v>
      </c>
      <c r="AE167" s="4" t="s">
        <v>378</v>
      </c>
      <c r="AF167" s="3">
        <v>45901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45910</v>
      </c>
      <c r="C168" s="4" t="s">
        <v>240</v>
      </c>
      <c r="D168" s="2">
        <v>1831491</v>
      </c>
      <c r="E168" s="4" t="s">
        <v>532</v>
      </c>
      <c r="F168" s="4" t="s">
        <v>533</v>
      </c>
      <c r="G168" s="4" t="s">
        <v>46</v>
      </c>
      <c r="H168" s="4" t="s">
        <v>46</v>
      </c>
      <c r="I168" s="4" t="s">
        <v>534</v>
      </c>
      <c r="J168" s="4" t="s">
        <v>304</v>
      </c>
      <c r="K168" s="4" t="s">
        <v>48</v>
      </c>
      <c r="L168" s="3">
        <v>45901</v>
      </c>
      <c r="M168" s="4" t="s">
        <v>49</v>
      </c>
      <c r="N168" s="4" t="s">
        <v>46</v>
      </c>
      <c r="O168" s="4" t="s">
        <v>50</v>
      </c>
      <c r="P168" s="4" t="s">
        <v>106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22</v>
      </c>
      <c r="W168" s="5">
        <v>1863.24</v>
      </c>
      <c r="X168" s="5">
        <v>100</v>
      </c>
      <c r="Y168" s="5">
        <v>409.92</v>
      </c>
      <c r="Z168" s="5">
        <v>0</v>
      </c>
      <c r="AA168" s="5">
        <v>0</v>
      </c>
      <c r="AB168" s="4" t="s">
        <v>364</v>
      </c>
      <c r="AC168" s="4" t="s">
        <v>46</v>
      </c>
      <c r="AD168" s="5">
        <v>0</v>
      </c>
      <c r="AE168" s="4" t="s">
        <v>365</v>
      </c>
      <c r="AF168" s="3">
        <v>45901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45910</v>
      </c>
      <c r="C169" s="4" t="s">
        <v>240</v>
      </c>
      <c r="D169" s="2">
        <v>1831491</v>
      </c>
      <c r="E169" s="4" t="s">
        <v>535</v>
      </c>
      <c r="F169" s="4" t="s">
        <v>536</v>
      </c>
      <c r="G169" s="4" t="s">
        <v>46</v>
      </c>
      <c r="H169" s="4" t="s">
        <v>46</v>
      </c>
      <c r="I169" s="4" t="s">
        <v>46</v>
      </c>
      <c r="J169" s="4" t="s">
        <v>309</v>
      </c>
      <c r="K169" s="4" t="s">
        <v>310</v>
      </c>
      <c r="L169" s="3">
        <v>45931</v>
      </c>
      <c r="M169" s="4" t="s">
        <v>88</v>
      </c>
      <c r="N169" s="4" t="s">
        <v>46</v>
      </c>
      <c r="O169" s="4" t="s">
        <v>50</v>
      </c>
      <c r="P169" s="4" t="s">
        <v>106</v>
      </c>
      <c r="Q169" s="2">
        <v>1</v>
      </c>
      <c r="R169" s="2">
        <v>3</v>
      </c>
      <c r="S169" s="4" t="s">
        <v>316</v>
      </c>
      <c r="T169" s="4" t="s">
        <v>46</v>
      </c>
      <c r="U169" s="4" t="s">
        <v>46</v>
      </c>
      <c r="V169" s="5">
        <v>10</v>
      </c>
      <c r="W169" s="5">
        <v>41.82</v>
      </c>
      <c r="X169" s="5">
        <v>100</v>
      </c>
      <c r="Y169" s="5">
        <v>4.18</v>
      </c>
      <c r="Z169" s="4" t="s">
        <v>46</v>
      </c>
      <c r="AA169" s="5" t="s">
        <v>46</v>
      </c>
      <c r="AB169" s="4" t="s">
        <v>325</v>
      </c>
      <c r="AC169" s="4" t="s">
        <v>46</v>
      </c>
      <c r="AD169" s="5">
        <v>0</v>
      </c>
      <c r="AE169" s="4" t="s">
        <v>326</v>
      </c>
      <c r="AF169" s="3">
        <v>45658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45910</v>
      </c>
      <c r="C170" s="4" t="s">
        <v>240</v>
      </c>
      <c r="D170" s="2">
        <v>1831491</v>
      </c>
      <c r="E170" s="4" t="s">
        <v>537</v>
      </c>
      <c r="F170" s="4" t="s">
        <v>538</v>
      </c>
      <c r="G170" s="4" t="s">
        <v>46</v>
      </c>
      <c r="H170" s="4" t="s">
        <v>46</v>
      </c>
      <c r="I170" s="4" t="s">
        <v>46</v>
      </c>
      <c r="J170" s="4" t="s">
        <v>309</v>
      </c>
      <c r="K170" s="4" t="s">
        <v>310</v>
      </c>
      <c r="L170" s="3">
        <v>45931</v>
      </c>
      <c r="M170" s="4" t="s">
        <v>88</v>
      </c>
      <c r="N170" s="4" t="s">
        <v>46</v>
      </c>
      <c r="O170" s="4" t="s">
        <v>50</v>
      </c>
      <c r="P170" s="4" t="s">
        <v>106</v>
      </c>
      <c r="Q170" s="2">
        <v>1</v>
      </c>
      <c r="R170" s="2">
        <v>60</v>
      </c>
      <c r="S170" s="4" t="s">
        <v>311</v>
      </c>
      <c r="T170" s="4" t="s">
        <v>46</v>
      </c>
      <c r="U170" s="4" t="s">
        <v>46</v>
      </c>
      <c r="V170" s="5">
        <v>10</v>
      </c>
      <c r="W170" s="5">
        <v>13.93</v>
      </c>
      <c r="X170" s="5">
        <v>100</v>
      </c>
      <c r="Y170" s="5">
        <v>1.39</v>
      </c>
      <c r="Z170" s="4" t="s">
        <v>46</v>
      </c>
      <c r="AA170" s="5" t="s">
        <v>46</v>
      </c>
      <c r="AB170" s="4" t="s">
        <v>325</v>
      </c>
      <c r="AC170" s="4" t="s">
        <v>46</v>
      </c>
      <c r="AD170" s="5">
        <v>0</v>
      </c>
      <c r="AE170" s="4" t="s">
        <v>326</v>
      </c>
      <c r="AF170" s="3">
        <v>45778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45910</v>
      </c>
      <c r="C171" s="4" t="s">
        <v>539</v>
      </c>
      <c r="D171" s="2">
        <v>1875462</v>
      </c>
      <c r="E171" s="4" t="s">
        <v>540</v>
      </c>
      <c r="F171" s="4" t="s">
        <v>541</v>
      </c>
      <c r="G171" s="4" t="s">
        <v>46</v>
      </c>
      <c r="H171" s="4" t="s">
        <v>46</v>
      </c>
      <c r="I171" s="4" t="s">
        <v>46</v>
      </c>
      <c r="J171" s="4" t="s">
        <v>304</v>
      </c>
      <c r="K171" s="4" t="s">
        <v>48</v>
      </c>
      <c r="L171" s="3">
        <v>45901</v>
      </c>
      <c r="M171" s="4" t="s">
        <v>49</v>
      </c>
      <c r="N171" s="4" t="s">
        <v>46</v>
      </c>
      <c r="O171" s="4" t="s">
        <v>106</v>
      </c>
      <c r="P171" s="4" t="s">
        <v>106</v>
      </c>
      <c r="Q171" s="2">
        <v>1</v>
      </c>
      <c r="R171" s="2">
        <v>17</v>
      </c>
      <c r="S171" s="4" t="s">
        <v>51</v>
      </c>
      <c r="T171" s="4" t="s">
        <v>46</v>
      </c>
      <c r="U171" s="4" t="s">
        <v>46</v>
      </c>
      <c r="V171" s="5">
        <v>22</v>
      </c>
      <c r="W171" s="5">
        <v>157.86000000000001</v>
      </c>
      <c r="X171" s="5">
        <v>100</v>
      </c>
      <c r="Y171" s="5">
        <v>34.729999999999997</v>
      </c>
      <c r="Z171" s="5">
        <v>0</v>
      </c>
      <c r="AA171" s="5">
        <v>0</v>
      </c>
      <c r="AB171" s="4" t="s">
        <v>305</v>
      </c>
      <c r="AC171" s="4" t="s">
        <v>46</v>
      </c>
      <c r="AD171" s="5">
        <v>0</v>
      </c>
      <c r="AE171" s="4" t="s">
        <v>306</v>
      </c>
      <c r="AF171" s="3">
        <v>45444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45910</v>
      </c>
      <c r="C172" s="4" t="s">
        <v>539</v>
      </c>
      <c r="D172" s="2">
        <v>1875462</v>
      </c>
      <c r="E172" s="4" t="s">
        <v>542</v>
      </c>
      <c r="F172" s="4" t="s">
        <v>543</v>
      </c>
      <c r="G172" s="4" t="s">
        <v>46</v>
      </c>
      <c r="H172" s="4" t="s">
        <v>46</v>
      </c>
      <c r="I172" s="4" t="s">
        <v>46</v>
      </c>
      <c r="J172" s="4" t="s">
        <v>304</v>
      </c>
      <c r="K172" s="4" t="s">
        <v>48</v>
      </c>
      <c r="L172" s="3">
        <v>45901</v>
      </c>
      <c r="M172" s="4" t="s">
        <v>49</v>
      </c>
      <c r="N172" s="4" t="s">
        <v>46</v>
      </c>
      <c r="O172" s="4" t="s">
        <v>106</v>
      </c>
      <c r="P172" s="4" t="s">
        <v>106</v>
      </c>
      <c r="Q172" s="2">
        <v>1</v>
      </c>
      <c r="R172" s="2">
        <v>17</v>
      </c>
      <c r="S172" s="4" t="s">
        <v>51</v>
      </c>
      <c r="T172" s="4" t="s">
        <v>46</v>
      </c>
      <c r="U172" s="4" t="s">
        <v>46</v>
      </c>
      <c r="V172" s="5">
        <v>22</v>
      </c>
      <c r="W172" s="5">
        <v>139.93</v>
      </c>
      <c r="X172" s="5">
        <v>100</v>
      </c>
      <c r="Y172" s="5">
        <v>30.78</v>
      </c>
      <c r="Z172" s="5">
        <v>0</v>
      </c>
      <c r="AA172" s="5">
        <v>0</v>
      </c>
      <c r="AB172" s="4" t="s">
        <v>305</v>
      </c>
      <c r="AC172" s="4" t="s">
        <v>46</v>
      </c>
      <c r="AD172" s="5">
        <v>0</v>
      </c>
      <c r="AE172" s="4" t="s">
        <v>306</v>
      </c>
      <c r="AF172" s="3">
        <v>45536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45910</v>
      </c>
      <c r="C173" s="4" t="s">
        <v>539</v>
      </c>
      <c r="D173" s="2">
        <v>1875462</v>
      </c>
      <c r="E173" s="4" t="s">
        <v>544</v>
      </c>
      <c r="F173" s="4" t="s">
        <v>545</v>
      </c>
      <c r="G173" s="4" t="s">
        <v>46</v>
      </c>
      <c r="H173" s="4" t="s">
        <v>46</v>
      </c>
      <c r="I173" s="4" t="s">
        <v>546</v>
      </c>
      <c r="J173" s="4" t="s">
        <v>304</v>
      </c>
      <c r="K173" s="4" t="s">
        <v>48</v>
      </c>
      <c r="L173" s="3">
        <v>45901</v>
      </c>
      <c r="M173" s="4" t="s">
        <v>49</v>
      </c>
      <c r="N173" s="4" t="s">
        <v>46</v>
      </c>
      <c r="O173" s="4" t="s">
        <v>50</v>
      </c>
      <c r="P173" s="4" t="s">
        <v>106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22</v>
      </c>
      <c r="W173" s="5">
        <v>1788.84</v>
      </c>
      <c r="X173" s="5">
        <v>100</v>
      </c>
      <c r="Y173" s="5">
        <v>393.6</v>
      </c>
      <c r="Z173" s="5">
        <v>0</v>
      </c>
      <c r="AA173" s="5">
        <v>0</v>
      </c>
      <c r="AB173" s="4" t="s">
        <v>448</v>
      </c>
      <c r="AC173" s="4" t="s">
        <v>46</v>
      </c>
      <c r="AD173" s="5">
        <v>0</v>
      </c>
      <c r="AE173" s="4" t="s">
        <v>449</v>
      </c>
      <c r="AF173" s="3">
        <v>45901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45910</v>
      </c>
      <c r="C174" s="4" t="s">
        <v>539</v>
      </c>
      <c r="D174" s="2">
        <v>1875462</v>
      </c>
      <c r="E174" s="4" t="s">
        <v>547</v>
      </c>
      <c r="F174" s="4" t="s">
        <v>548</v>
      </c>
      <c r="G174" s="4" t="s">
        <v>46</v>
      </c>
      <c r="H174" s="4" t="s">
        <v>46</v>
      </c>
      <c r="I174" s="4" t="s">
        <v>46</v>
      </c>
      <c r="J174" s="4" t="s">
        <v>304</v>
      </c>
      <c r="K174" s="4" t="s">
        <v>48</v>
      </c>
      <c r="L174" s="3">
        <v>45901</v>
      </c>
      <c r="M174" s="4" t="s">
        <v>49</v>
      </c>
      <c r="N174" s="4" t="s">
        <v>46</v>
      </c>
      <c r="O174" s="4" t="s">
        <v>50</v>
      </c>
      <c r="P174" s="4" t="s">
        <v>106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13</v>
      </c>
      <c r="W174" s="5">
        <v>2470.44</v>
      </c>
      <c r="X174" s="5">
        <v>100</v>
      </c>
      <c r="Y174" s="5">
        <v>321.12</v>
      </c>
      <c r="Z174" s="5">
        <v>0</v>
      </c>
      <c r="AA174" s="5">
        <v>0</v>
      </c>
      <c r="AB174" s="4" t="s">
        <v>452</v>
      </c>
      <c r="AC174" s="4" t="s">
        <v>46</v>
      </c>
      <c r="AD174" s="5">
        <v>0</v>
      </c>
      <c r="AE174" s="4" t="s">
        <v>453</v>
      </c>
      <c r="AF174" s="3">
        <v>45901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45910</v>
      </c>
      <c r="C175" s="4" t="s">
        <v>539</v>
      </c>
      <c r="D175" s="2">
        <v>1875462</v>
      </c>
      <c r="E175" s="4" t="s">
        <v>549</v>
      </c>
      <c r="F175" s="4" t="s">
        <v>550</v>
      </c>
      <c r="G175" s="4" t="s">
        <v>46</v>
      </c>
      <c r="H175" s="4" t="s">
        <v>46</v>
      </c>
      <c r="I175" s="4" t="s">
        <v>551</v>
      </c>
      <c r="J175" s="4" t="s">
        <v>304</v>
      </c>
      <c r="K175" s="4" t="s">
        <v>48</v>
      </c>
      <c r="L175" s="3">
        <v>45901</v>
      </c>
      <c r="M175" s="4" t="s">
        <v>49</v>
      </c>
      <c r="N175" s="4" t="s">
        <v>46</v>
      </c>
      <c r="O175" s="4" t="s">
        <v>50</v>
      </c>
      <c r="P175" s="4" t="s">
        <v>106</v>
      </c>
      <c r="Q175" s="2">
        <v>1</v>
      </c>
      <c r="R175" s="2">
        <v>17</v>
      </c>
      <c r="S175" s="4" t="s">
        <v>51</v>
      </c>
      <c r="T175" s="4" t="s">
        <v>46</v>
      </c>
      <c r="U175" s="4" t="s">
        <v>46</v>
      </c>
      <c r="V175" s="5">
        <v>22</v>
      </c>
      <c r="W175" s="5">
        <v>1473.12</v>
      </c>
      <c r="X175" s="5">
        <v>100</v>
      </c>
      <c r="Y175" s="5">
        <v>324.12</v>
      </c>
      <c r="Z175" s="5">
        <v>0</v>
      </c>
      <c r="AA175" s="5">
        <v>0</v>
      </c>
      <c r="AB175" s="4" t="s">
        <v>448</v>
      </c>
      <c r="AC175" s="4" t="s">
        <v>46</v>
      </c>
      <c r="AD175" s="5">
        <v>0</v>
      </c>
      <c r="AE175" s="4" t="s">
        <v>449</v>
      </c>
      <c r="AF175" s="3">
        <v>45901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45910</v>
      </c>
      <c r="C176" s="4" t="s">
        <v>539</v>
      </c>
      <c r="D176" s="2">
        <v>1875462</v>
      </c>
      <c r="E176" s="4" t="s">
        <v>552</v>
      </c>
      <c r="F176" s="4" t="s">
        <v>553</v>
      </c>
      <c r="G176" s="4" t="s">
        <v>46</v>
      </c>
      <c r="H176" s="4" t="s">
        <v>46</v>
      </c>
      <c r="I176" s="4" t="s">
        <v>46</v>
      </c>
      <c r="J176" s="4" t="s">
        <v>309</v>
      </c>
      <c r="K176" s="4" t="s">
        <v>310</v>
      </c>
      <c r="L176" s="3">
        <v>45931</v>
      </c>
      <c r="M176" s="4" t="s">
        <v>88</v>
      </c>
      <c r="N176" s="4" t="s">
        <v>46</v>
      </c>
      <c r="O176" s="4" t="s">
        <v>50</v>
      </c>
      <c r="P176" s="4" t="s">
        <v>106</v>
      </c>
      <c r="Q176" s="2">
        <v>4</v>
      </c>
      <c r="R176" s="2">
        <v>60</v>
      </c>
      <c r="S176" s="4" t="s">
        <v>311</v>
      </c>
      <c r="T176" s="4" t="s">
        <v>46</v>
      </c>
      <c r="U176" s="4" t="s">
        <v>46</v>
      </c>
      <c r="V176" s="5">
        <v>10</v>
      </c>
      <c r="W176" s="5">
        <v>36.99</v>
      </c>
      <c r="X176" s="5">
        <v>100</v>
      </c>
      <c r="Y176" s="5">
        <v>3.7</v>
      </c>
      <c r="Z176" s="4" t="s">
        <v>46</v>
      </c>
      <c r="AA176" s="5" t="s">
        <v>46</v>
      </c>
      <c r="AB176" s="4" t="s">
        <v>325</v>
      </c>
      <c r="AC176" s="4" t="s">
        <v>46</v>
      </c>
      <c r="AD176" s="5">
        <v>0</v>
      </c>
      <c r="AE176" s="4" t="s">
        <v>326</v>
      </c>
      <c r="AF176" s="3">
        <v>45700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45910</v>
      </c>
      <c r="C177" s="4" t="s">
        <v>539</v>
      </c>
      <c r="D177" s="2">
        <v>1875462</v>
      </c>
      <c r="E177" s="4" t="s">
        <v>554</v>
      </c>
      <c r="F177" s="4" t="s">
        <v>555</v>
      </c>
      <c r="G177" s="4" t="s">
        <v>46</v>
      </c>
      <c r="H177" s="4" t="s">
        <v>46</v>
      </c>
      <c r="I177" s="4" t="s">
        <v>46</v>
      </c>
      <c r="J177" s="4" t="s">
        <v>309</v>
      </c>
      <c r="K177" s="4" t="s">
        <v>310</v>
      </c>
      <c r="L177" s="3">
        <v>45931</v>
      </c>
      <c r="M177" s="4" t="s">
        <v>88</v>
      </c>
      <c r="N177" s="4" t="s">
        <v>46</v>
      </c>
      <c r="O177" s="4" t="s">
        <v>50</v>
      </c>
      <c r="P177" s="4" t="s">
        <v>106</v>
      </c>
      <c r="Q177" s="2">
        <v>1</v>
      </c>
      <c r="R177" s="2">
        <v>3</v>
      </c>
      <c r="S177" s="4" t="s">
        <v>316</v>
      </c>
      <c r="T177" s="4" t="s">
        <v>46</v>
      </c>
      <c r="U177" s="4" t="s">
        <v>46</v>
      </c>
      <c r="V177" s="5">
        <v>10</v>
      </c>
      <c r="W177" s="5">
        <v>53.99</v>
      </c>
      <c r="X177" s="5">
        <v>100</v>
      </c>
      <c r="Y177" s="5">
        <v>5.4</v>
      </c>
      <c r="Z177" s="4" t="s">
        <v>46</v>
      </c>
      <c r="AA177" s="5" t="s">
        <v>46</v>
      </c>
      <c r="AB177" s="4" t="s">
        <v>325</v>
      </c>
      <c r="AC177" s="4" t="s">
        <v>46</v>
      </c>
      <c r="AD177" s="5">
        <v>0</v>
      </c>
      <c r="AE177" s="4" t="s">
        <v>326</v>
      </c>
      <c r="AF177" s="3">
        <v>45748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45910</v>
      </c>
      <c r="C178" s="4" t="s">
        <v>539</v>
      </c>
      <c r="D178" s="2">
        <v>1875462</v>
      </c>
      <c r="E178" s="4" t="s">
        <v>556</v>
      </c>
      <c r="F178" s="4" t="s">
        <v>557</v>
      </c>
      <c r="G178" s="4" t="s">
        <v>46</v>
      </c>
      <c r="H178" s="4" t="s">
        <v>46</v>
      </c>
      <c r="I178" s="4" t="s">
        <v>46</v>
      </c>
      <c r="J178" s="4" t="s">
        <v>309</v>
      </c>
      <c r="K178" s="4" t="s">
        <v>310</v>
      </c>
      <c r="L178" s="3">
        <v>45931</v>
      </c>
      <c r="M178" s="4" t="s">
        <v>88</v>
      </c>
      <c r="N178" s="4" t="s">
        <v>46</v>
      </c>
      <c r="O178" s="4" t="s">
        <v>50</v>
      </c>
      <c r="P178" s="4" t="s">
        <v>106</v>
      </c>
      <c r="Q178" s="2">
        <v>1</v>
      </c>
      <c r="R178" s="2">
        <v>60</v>
      </c>
      <c r="S178" s="4" t="s">
        <v>311</v>
      </c>
      <c r="T178" s="4" t="s">
        <v>46</v>
      </c>
      <c r="U178" s="4" t="s">
        <v>46</v>
      </c>
      <c r="V178" s="5">
        <v>10</v>
      </c>
      <c r="W178" s="5">
        <v>12.99</v>
      </c>
      <c r="X178" s="5">
        <v>100</v>
      </c>
      <c r="Y178" s="5">
        <v>1.3</v>
      </c>
      <c r="Z178" s="4" t="s">
        <v>46</v>
      </c>
      <c r="AA178" s="5" t="s">
        <v>46</v>
      </c>
      <c r="AB178" s="4" t="s">
        <v>325</v>
      </c>
      <c r="AC178" s="4" t="s">
        <v>46</v>
      </c>
      <c r="AD178" s="5">
        <v>0</v>
      </c>
      <c r="AE178" s="4" t="s">
        <v>326</v>
      </c>
      <c r="AF178" s="3">
        <v>45778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45910</v>
      </c>
      <c r="C179" s="4" t="s">
        <v>539</v>
      </c>
      <c r="D179" s="2">
        <v>1875462</v>
      </c>
      <c r="E179" s="4" t="s">
        <v>558</v>
      </c>
      <c r="F179" s="4" t="s">
        <v>559</v>
      </c>
      <c r="G179" s="4" t="s">
        <v>46</v>
      </c>
      <c r="H179" s="4" t="s">
        <v>46</v>
      </c>
      <c r="I179" s="4" t="s">
        <v>46</v>
      </c>
      <c r="J179" s="4" t="s">
        <v>309</v>
      </c>
      <c r="K179" s="4" t="s">
        <v>310</v>
      </c>
      <c r="L179" s="3">
        <v>45931</v>
      </c>
      <c r="M179" s="4" t="s">
        <v>88</v>
      </c>
      <c r="N179" s="4" t="s">
        <v>46</v>
      </c>
      <c r="O179" s="4" t="s">
        <v>50</v>
      </c>
      <c r="P179" s="4" t="s">
        <v>106</v>
      </c>
      <c r="Q179" s="2">
        <v>2</v>
      </c>
      <c r="R179" s="2">
        <v>60</v>
      </c>
      <c r="S179" s="4" t="s">
        <v>311</v>
      </c>
      <c r="T179" s="4" t="s">
        <v>46</v>
      </c>
      <c r="U179" s="4" t="s">
        <v>46</v>
      </c>
      <c r="V179" s="5">
        <v>10</v>
      </c>
      <c r="W179" s="5">
        <v>23.99</v>
      </c>
      <c r="X179" s="5">
        <v>100</v>
      </c>
      <c r="Y179" s="5">
        <v>2.4</v>
      </c>
      <c r="Z179" s="4" t="s">
        <v>46</v>
      </c>
      <c r="AA179" s="5" t="s">
        <v>46</v>
      </c>
      <c r="AB179" s="4" t="s">
        <v>325</v>
      </c>
      <c r="AC179" s="4" t="s">
        <v>46</v>
      </c>
      <c r="AD179" s="5">
        <v>0</v>
      </c>
      <c r="AE179" s="4" t="s">
        <v>326</v>
      </c>
      <c r="AF179" s="3">
        <v>45776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45910</v>
      </c>
      <c r="C180" s="4" t="s">
        <v>539</v>
      </c>
      <c r="D180" s="2">
        <v>1875462</v>
      </c>
      <c r="E180" s="4" t="s">
        <v>560</v>
      </c>
      <c r="F180" s="4" t="s">
        <v>561</v>
      </c>
      <c r="G180" s="4" t="s">
        <v>46</v>
      </c>
      <c r="H180" s="4" t="s">
        <v>46</v>
      </c>
      <c r="I180" s="4" t="s">
        <v>46</v>
      </c>
      <c r="J180" s="4" t="s">
        <v>309</v>
      </c>
      <c r="K180" s="4" t="s">
        <v>310</v>
      </c>
      <c r="L180" s="3">
        <v>45931</v>
      </c>
      <c r="M180" s="4" t="s">
        <v>88</v>
      </c>
      <c r="N180" s="4" t="s">
        <v>46</v>
      </c>
      <c r="O180" s="4" t="s">
        <v>50</v>
      </c>
      <c r="P180" s="4" t="s">
        <v>106</v>
      </c>
      <c r="Q180" s="2">
        <v>2</v>
      </c>
      <c r="R180" s="2">
        <v>60</v>
      </c>
      <c r="S180" s="4" t="s">
        <v>311</v>
      </c>
      <c r="T180" s="4" t="s">
        <v>46</v>
      </c>
      <c r="U180" s="4" t="s">
        <v>46</v>
      </c>
      <c r="V180" s="5">
        <v>10</v>
      </c>
      <c r="W180" s="5">
        <v>23.99</v>
      </c>
      <c r="X180" s="5">
        <v>100</v>
      </c>
      <c r="Y180" s="5">
        <v>2.4</v>
      </c>
      <c r="Z180" s="4" t="s">
        <v>46</v>
      </c>
      <c r="AA180" s="5" t="s">
        <v>46</v>
      </c>
      <c r="AB180" s="4" t="s">
        <v>325</v>
      </c>
      <c r="AC180" s="4" t="s">
        <v>46</v>
      </c>
      <c r="AD180" s="5">
        <v>0</v>
      </c>
      <c r="AE180" s="4" t="s">
        <v>326</v>
      </c>
      <c r="AF180" s="3">
        <v>45818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45910</v>
      </c>
      <c r="C181" s="4" t="s">
        <v>539</v>
      </c>
      <c r="D181" s="2">
        <v>1875462</v>
      </c>
      <c r="E181" s="4" t="s">
        <v>562</v>
      </c>
      <c r="F181" s="4" t="s">
        <v>563</v>
      </c>
      <c r="G181" s="4" t="s">
        <v>46</v>
      </c>
      <c r="H181" s="4" t="s">
        <v>46</v>
      </c>
      <c r="I181" s="4" t="s">
        <v>46</v>
      </c>
      <c r="J181" s="4" t="s">
        <v>309</v>
      </c>
      <c r="K181" s="4" t="s">
        <v>310</v>
      </c>
      <c r="L181" s="3">
        <v>45931</v>
      </c>
      <c r="M181" s="4" t="s">
        <v>88</v>
      </c>
      <c r="N181" s="4" t="s">
        <v>46</v>
      </c>
      <c r="O181" s="4" t="s">
        <v>50</v>
      </c>
      <c r="P181" s="4" t="s">
        <v>106</v>
      </c>
      <c r="Q181" s="2">
        <v>1</v>
      </c>
      <c r="R181" s="2">
        <v>60</v>
      </c>
      <c r="S181" s="4" t="s">
        <v>311</v>
      </c>
      <c r="T181" s="4" t="s">
        <v>46</v>
      </c>
      <c r="U181" s="4" t="s">
        <v>46</v>
      </c>
      <c r="V181" s="5">
        <v>10</v>
      </c>
      <c r="W181" s="5">
        <v>12.99</v>
      </c>
      <c r="X181" s="5">
        <v>100</v>
      </c>
      <c r="Y181" s="5">
        <v>1.3</v>
      </c>
      <c r="Z181" s="4" t="s">
        <v>46</v>
      </c>
      <c r="AA181" s="5" t="s">
        <v>46</v>
      </c>
      <c r="AB181" s="4" t="s">
        <v>325</v>
      </c>
      <c r="AC181" s="4" t="s">
        <v>46</v>
      </c>
      <c r="AD181" s="5">
        <v>0</v>
      </c>
      <c r="AE181" s="4" t="s">
        <v>326</v>
      </c>
      <c r="AF181" s="3">
        <v>45870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45910</v>
      </c>
      <c r="C182" s="4" t="s">
        <v>539</v>
      </c>
      <c r="D182" s="2">
        <v>1875462</v>
      </c>
      <c r="E182" s="4" t="s">
        <v>564</v>
      </c>
      <c r="F182" s="4" t="s">
        <v>565</v>
      </c>
      <c r="G182" s="4" t="s">
        <v>46</v>
      </c>
      <c r="H182" s="4" t="s">
        <v>46</v>
      </c>
      <c r="I182" s="4" t="s">
        <v>46</v>
      </c>
      <c r="J182" s="4" t="s">
        <v>309</v>
      </c>
      <c r="K182" s="4" t="s">
        <v>310</v>
      </c>
      <c r="L182" s="3">
        <v>45931</v>
      </c>
      <c r="M182" s="4" t="s">
        <v>88</v>
      </c>
      <c r="N182" s="4" t="s">
        <v>46</v>
      </c>
      <c r="O182" s="4" t="s">
        <v>50</v>
      </c>
      <c r="P182" s="4" t="s">
        <v>106</v>
      </c>
      <c r="Q182" s="2">
        <v>1</v>
      </c>
      <c r="R182" s="2">
        <v>60</v>
      </c>
      <c r="S182" s="4" t="s">
        <v>311</v>
      </c>
      <c r="T182" s="4" t="s">
        <v>46</v>
      </c>
      <c r="U182" s="4" t="s">
        <v>46</v>
      </c>
      <c r="V182" s="5">
        <v>10</v>
      </c>
      <c r="W182" s="5">
        <v>12.99</v>
      </c>
      <c r="X182" s="5">
        <v>100</v>
      </c>
      <c r="Y182" s="5">
        <v>1.3</v>
      </c>
      <c r="Z182" s="4" t="s">
        <v>46</v>
      </c>
      <c r="AA182" s="5" t="s">
        <v>46</v>
      </c>
      <c r="AB182" s="4" t="s">
        <v>325</v>
      </c>
      <c r="AC182" s="4" t="s">
        <v>46</v>
      </c>
      <c r="AD182" s="5">
        <v>0</v>
      </c>
      <c r="AE182" s="4" t="s">
        <v>326</v>
      </c>
      <c r="AF182" s="3">
        <v>45866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45910</v>
      </c>
      <c r="C183" s="4" t="s">
        <v>257</v>
      </c>
      <c r="D183" s="2">
        <v>1913090</v>
      </c>
      <c r="E183" s="4" t="s">
        <v>566</v>
      </c>
      <c r="F183" s="4" t="s">
        <v>567</v>
      </c>
      <c r="G183" s="4" t="s">
        <v>46</v>
      </c>
      <c r="H183" s="4" t="s">
        <v>46</v>
      </c>
      <c r="I183" s="4" t="s">
        <v>46</v>
      </c>
      <c r="J183" s="4" t="s">
        <v>304</v>
      </c>
      <c r="K183" s="4" t="s">
        <v>48</v>
      </c>
      <c r="L183" s="3">
        <v>45870</v>
      </c>
      <c r="M183" s="4" t="s">
        <v>67</v>
      </c>
      <c r="N183" s="4" t="s">
        <v>46</v>
      </c>
      <c r="O183" s="4" t="s">
        <v>50</v>
      </c>
      <c r="P183" s="4" t="s">
        <v>106</v>
      </c>
      <c r="Q183" s="2">
        <v>1</v>
      </c>
      <c r="R183" s="2">
        <v>17</v>
      </c>
      <c r="S183" s="4" t="s">
        <v>51</v>
      </c>
      <c r="T183" s="4" t="s">
        <v>46</v>
      </c>
      <c r="U183" s="4" t="s">
        <v>46</v>
      </c>
      <c r="V183" s="5">
        <v>22</v>
      </c>
      <c r="W183" s="5">
        <v>2069.4</v>
      </c>
      <c r="X183" s="5">
        <v>100</v>
      </c>
      <c r="Y183" s="5">
        <v>455.28</v>
      </c>
      <c r="Z183" s="5">
        <v>0</v>
      </c>
      <c r="AA183" s="5">
        <v>0</v>
      </c>
      <c r="AB183" s="4" t="s">
        <v>377</v>
      </c>
      <c r="AC183" s="4" t="s">
        <v>46</v>
      </c>
      <c r="AD183" s="5">
        <v>0</v>
      </c>
      <c r="AE183" s="4" t="s">
        <v>378</v>
      </c>
      <c r="AF183" s="3">
        <v>45870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45910</v>
      </c>
      <c r="C184" s="4" t="s">
        <v>257</v>
      </c>
      <c r="D184" s="2">
        <v>1913090</v>
      </c>
      <c r="E184" s="4" t="s">
        <v>568</v>
      </c>
      <c r="F184" s="4" t="s">
        <v>569</v>
      </c>
      <c r="G184" s="4" t="s">
        <v>46</v>
      </c>
      <c r="H184" s="4" t="s">
        <v>46</v>
      </c>
      <c r="I184" s="4" t="s">
        <v>570</v>
      </c>
      <c r="J184" s="4" t="s">
        <v>304</v>
      </c>
      <c r="K184" s="4" t="s">
        <v>48</v>
      </c>
      <c r="L184" s="3">
        <v>45901</v>
      </c>
      <c r="M184" s="4" t="s">
        <v>49</v>
      </c>
      <c r="N184" s="4" t="s">
        <v>46</v>
      </c>
      <c r="O184" s="4" t="s">
        <v>50</v>
      </c>
      <c r="P184" s="4" t="s">
        <v>106</v>
      </c>
      <c r="Q184" s="2">
        <v>1</v>
      </c>
      <c r="R184" s="2">
        <v>17</v>
      </c>
      <c r="S184" s="4" t="s">
        <v>51</v>
      </c>
      <c r="T184" s="4" t="s">
        <v>46</v>
      </c>
      <c r="U184" s="4" t="s">
        <v>46</v>
      </c>
      <c r="V184" s="5">
        <v>22</v>
      </c>
      <c r="W184" s="5">
        <v>1928.04</v>
      </c>
      <c r="X184" s="5">
        <v>100</v>
      </c>
      <c r="Y184" s="5">
        <v>424.2</v>
      </c>
      <c r="Z184" s="5">
        <v>0</v>
      </c>
      <c r="AA184" s="5">
        <v>0</v>
      </c>
      <c r="AB184" s="4" t="s">
        <v>448</v>
      </c>
      <c r="AC184" s="4" t="s">
        <v>46</v>
      </c>
      <c r="AD184" s="5">
        <v>0</v>
      </c>
      <c r="AE184" s="4" t="s">
        <v>449</v>
      </c>
      <c r="AF184" s="3">
        <v>45901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45910</v>
      </c>
      <c r="C185" s="4" t="s">
        <v>257</v>
      </c>
      <c r="D185" s="2">
        <v>1913090</v>
      </c>
      <c r="E185" s="4" t="s">
        <v>571</v>
      </c>
      <c r="F185" s="4" t="s">
        <v>572</v>
      </c>
      <c r="G185" s="4" t="s">
        <v>46</v>
      </c>
      <c r="H185" s="4" t="s">
        <v>46</v>
      </c>
      <c r="I185" s="4" t="s">
        <v>46</v>
      </c>
      <c r="J185" s="4" t="s">
        <v>304</v>
      </c>
      <c r="K185" s="4" t="s">
        <v>48</v>
      </c>
      <c r="L185" s="3">
        <v>45901</v>
      </c>
      <c r="M185" s="4" t="s">
        <v>49</v>
      </c>
      <c r="N185" s="4" t="s">
        <v>46</v>
      </c>
      <c r="O185" s="4" t="s">
        <v>50</v>
      </c>
      <c r="P185" s="4" t="s">
        <v>106</v>
      </c>
      <c r="Q185" s="2">
        <v>1</v>
      </c>
      <c r="R185" s="2">
        <v>17</v>
      </c>
      <c r="S185" s="4" t="s">
        <v>51</v>
      </c>
      <c r="T185" s="4" t="s">
        <v>46</v>
      </c>
      <c r="U185" s="4" t="s">
        <v>46</v>
      </c>
      <c r="V185" s="5">
        <v>22</v>
      </c>
      <c r="W185" s="5">
        <v>1908.36</v>
      </c>
      <c r="X185" s="5">
        <v>100</v>
      </c>
      <c r="Y185" s="5">
        <v>419.88</v>
      </c>
      <c r="Z185" s="5">
        <v>0</v>
      </c>
      <c r="AA185" s="5">
        <v>0</v>
      </c>
      <c r="AB185" s="4" t="s">
        <v>452</v>
      </c>
      <c r="AC185" s="4" t="s">
        <v>46</v>
      </c>
      <c r="AD185" s="5">
        <v>0</v>
      </c>
      <c r="AE185" s="4" t="s">
        <v>453</v>
      </c>
      <c r="AF185" s="3">
        <v>45901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45910</v>
      </c>
      <c r="C186" s="4" t="s">
        <v>573</v>
      </c>
      <c r="D186" s="2">
        <v>1982315</v>
      </c>
      <c r="E186" s="4" t="s">
        <v>574</v>
      </c>
      <c r="F186" s="4" t="s">
        <v>575</v>
      </c>
      <c r="G186" s="4" t="s">
        <v>46</v>
      </c>
      <c r="H186" s="4" t="s">
        <v>46</v>
      </c>
      <c r="I186" s="4" t="s">
        <v>576</v>
      </c>
      <c r="J186" s="4" t="s">
        <v>304</v>
      </c>
      <c r="K186" s="4" t="s">
        <v>48</v>
      </c>
      <c r="L186" s="3">
        <v>45901</v>
      </c>
      <c r="M186" s="4" t="s">
        <v>49</v>
      </c>
      <c r="N186" s="4" t="s">
        <v>46</v>
      </c>
      <c r="O186" s="4" t="s">
        <v>50</v>
      </c>
      <c r="P186" s="4" t="s">
        <v>106</v>
      </c>
      <c r="Q186" s="2">
        <v>1</v>
      </c>
      <c r="R186" s="2">
        <v>17</v>
      </c>
      <c r="S186" s="4" t="s">
        <v>51</v>
      </c>
      <c r="T186" s="4" t="s">
        <v>46</v>
      </c>
      <c r="U186" s="4" t="s">
        <v>46</v>
      </c>
      <c r="V186" s="5">
        <v>22</v>
      </c>
      <c r="W186" s="5">
        <v>1907.64</v>
      </c>
      <c r="X186" s="5">
        <v>100</v>
      </c>
      <c r="Y186" s="5">
        <v>419.64</v>
      </c>
      <c r="Z186" s="5">
        <v>0</v>
      </c>
      <c r="AA186" s="5">
        <v>0</v>
      </c>
      <c r="AB186" s="4" t="s">
        <v>448</v>
      </c>
      <c r="AC186" s="4" t="s">
        <v>46</v>
      </c>
      <c r="AD186" s="5">
        <v>0</v>
      </c>
      <c r="AE186" s="4" t="s">
        <v>449</v>
      </c>
      <c r="AF186" s="3">
        <v>45901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45910</v>
      </c>
      <c r="C187" s="4" t="s">
        <v>573</v>
      </c>
      <c r="D187" s="2">
        <v>1982315</v>
      </c>
      <c r="E187" s="4" t="s">
        <v>577</v>
      </c>
      <c r="F187" s="4" t="s">
        <v>578</v>
      </c>
      <c r="G187" s="4" t="s">
        <v>46</v>
      </c>
      <c r="H187" s="4" t="s">
        <v>46</v>
      </c>
      <c r="I187" s="4" t="s">
        <v>579</v>
      </c>
      <c r="J187" s="4" t="s">
        <v>304</v>
      </c>
      <c r="K187" s="4" t="s">
        <v>48</v>
      </c>
      <c r="L187" s="3">
        <v>45901</v>
      </c>
      <c r="M187" s="4" t="s">
        <v>49</v>
      </c>
      <c r="N187" s="4" t="s">
        <v>46</v>
      </c>
      <c r="O187" s="4" t="s">
        <v>50</v>
      </c>
      <c r="P187" s="4" t="s">
        <v>106</v>
      </c>
      <c r="Q187" s="2">
        <v>1</v>
      </c>
      <c r="R187" s="2">
        <v>17</v>
      </c>
      <c r="S187" s="4" t="s">
        <v>51</v>
      </c>
      <c r="T187" s="4" t="s">
        <v>46</v>
      </c>
      <c r="U187" s="4" t="s">
        <v>46</v>
      </c>
      <c r="V187" s="5">
        <v>22</v>
      </c>
      <c r="W187" s="5">
        <v>2152.92</v>
      </c>
      <c r="X187" s="5">
        <v>100</v>
      </c>
      <c r="Y187" s="5">
        <v>473.64</v>
      </c>
      <c r="Z187" s="5">
        <v>0</v>
      </c>
      <c r="AA187" s="5">
        <v>0</v>
      </c>
      <c r="AB187" s="4" t="s">
        <v>448</v>
      </c>
      <c r="AC187" s="4" t="s">
        <v>46</v>
      </c>
      <c r="AD187" s="5">
        <v>0</v>
      </c>
      <c r="AE187" s="4" t="s">
        <v>449</v>
      </c>
      <c r="AF187" s="3">
        <v>45901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45910</v>
      </c>
      <c r="C188" s="4" t="s">
        <v>573</v>
      </c>
      <c r="D188" s="2">
        <v>1982315</v>
      </c>
      <c r="E188" s="4" t="s">
        <v>580</v>
      </c>
      <c r="F188" s="4" t="s">
        <v>581</v>
      </c>
      <c r="G188" s="4" t="s">
        <v>46</v>
      </c>
      <c r="H188" s="4" t="s">
        <v>46</v>
      </c>
      <c r="I188" s="4" t="s">
        <v>582</v>
      </c>
      <c r="J188" s="4" t="s">
        <v>304</v>
      </c>
      <c r="K188" s="4" t="s">
        <v>48</v>
      </c>
      <c r="L188" s="3">
        <v>45901</v>
      </c>
      <c r="M188" s="4" t="s">
        <v>49</v>
      </c>
      <c r="N188" s="4" t="s">
        <v>46</v>
      </c>
      <c r="O188" s="4" t="s">
        <v>50</v>
      </c>
      <c r="P188" s="4" t="s">
        <v>106</v>
      </c>
      <c r="Q188" s="2">
        <v>1</v>
      </c>
      <c r="R188" s="2">
        <v>17</v>
      </c>
      <c r="S188" s="4" t="s">
        <v>51</v>
      </c>
      <c r="T188" s="4" t="s">
        <v>46</v>
      </c>
      <c r="U188" s="4" t="s">
        <v>46</v>
      </c>
      <c r="V188" s="5">
        <v>22</v>
      </c>
      <c r="W188" s="5">
        <v>1640.64</v>
      </c>
      <c r="X188" s="5">
        <v>100</v>
      </c>
      <c r="Y188" s="5">
        <v>360.96</v>
      </c>
      <c r="Z188" s="5">
        <v>0</v>
      </c>
      <c r="AA188" s="5">
        <v>0</v>
      </c>
      <c r="AB188" s="4" t="s">
        <v>448</v>
      </c>
      <c r="AC188" s="4" t="s">
        <v>46</v>
      </c>
      <c r="AD188" s="5">
        <v>0</v>
      </c>
      <c r="AE188" s="4" t="s">
        <v>449</v>
      </c>
      <c r="AF188" s="3">
        <v>45901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45910</v>
      </c>
      <c r="C189" s="4" t="s">
        <v>573</v>
      </c>
      <c r="D189" s="2">
        <v>1982315</v>
      </c>
      <c r="E189" s="4" t="s">
        <v>583</v>
      </c>
      <c r="F189" s="4" t="s">
        <v>584</v>
      </c>
      <c r="G189" s="4" t="s">
        <v>46</v>
      </c>
      <c r="H189" s="4" t="s">
        <v>46</v>
      </c>
      <c r="I189" s="4" t="s">
        <v>585</v>
      </c>
      <c r="J189" s="4" t="s">
        <v>304</v>
      </c>
      <c r="K189" s="4" t="s">
        <v>48</v>
      </c>
      <c r="L189" s="3">
        <v>45901</v>
      </c>
      <c r="M189" s="4" t="s">
        <v>49</v>
      </c>
      <c r="N189" s="4" t="s">
        <v>46</v>
      </c>
      <c r="O189" s="4" t="s">
        <v>50</v>
      </c>
      <c r="P189" s="4" t="s">
        <v>106</v>
      </c>
      <c r="Q189" s="2">
        <v>1</v>
      </c>
      <c r="R189" s="2">
        <v>17</v>
      </c>
      <c r="S189" s="4" t="s">
        <v>51</v>
      </c>
      <c r="T189" s="4" t="s">
        <v>46</v>
      </c>
      <c r="U189" s="4" t="s">
        <v>46</v>
      </c>
      <c r="V189" s="5">
        <v>26</v>
      </c>
      <c r="W189" s="5">
        <v>1420.68</v>
      </c>
      <c r="X189" s="5">
        <v>100</v>
      </c>
      <c r="Y189" s="5">
        <v>369.36</v>
      </c>
      <c r="Z189" s="5">
        <v>0</v>
      </c>
      <c r="AA189" s="5">
        <v>0</v>
      </c>
      <c r="AB189" s="4" t="s">
        <v>448</v>
      </c>
      <c r="AC189" s="4" t="s">
        <v>46</v>
      </c>
      <c r="AD189" s="5">
        <v>0</v>
      </c>
      <c r="AE189" s="4" t="s">
        <v>449</v>
      </c>
      <c r="AF189" s="3">
        <v>45901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45910</v>
      </c>
      <c r="C190" s="4" t="s">
        <v>573</v>
      </c>
      <c r="D190" s="2">
        <v>1982315</v>
      </c>
      <c r="E190" s="4" t="s">
        <v>586</v>
      </c>
      <c r="F190" s="4" t="s">
        <v>587</v>
      </c>
      <c r="G190" s="4" t="s">
        <v>46</v>
      </c>
      <c r="H190" s="4" t="s">
        <v>46</v>
      </c>
      <c r="I190" s="4" t="s">
        <v>588</v>
      </c>
      <c r="J190" s="4" t="s">
        <v>304</v>
      </c>
      <c r="K190" s="4" t="s">
        <v>48</v>
      </c>
      <c r="L190" s="3">
        <v>45901</v>
      </c>
      <c r="M190" s="4" t="s">
        <v>49</v>
      </c>
      <c r="N190" s="4" t="s">
        <v>46</v>
      </c>
      <c r="O190" s="4" t="s">
        <v>50</v>
      </c>
      <c r="P190" s="4" t="s">
        <v>106</v>
      </c>
      <c r="Q190" s="2">
        <v>1</v>
      </c>
      <c r="R190" s="2">
        <v>17</v>
      </c>
      <c r="S190" s="4" t="s">
        <v>51</v>
      </c>
      <c r="T190" s="4" t="s">
        <v>46</v>
      </c>
      <c r="U190" s="4" t="s">
        <v>46</v>
      </c>
      <c r="V190" s="5">
        <v>26</v>
      </c>
      <c r="W190" s="5">
        <v>1166.28</v>
      </c>
      <c r="X190" s="5">
        <v>100</v>
      </c>
      <c r="Y190" s="5">
        <v>303.24</v>
      </c>
      <c r="Z190" s="5">
        <v>0</v>
      </c>
      <c r="AA190" s="5">
        <v>0</v>
      </c>
      <c r="AB190" s="4" t="s">
        <v>448</v>
      </c>
      <c r="AC190" s="4" t="s">
        <v>46</v>
      </c>
      <c r="AD190" s="5">
        <v>0</v>
      </c>
      <c r="AE190" s="4" t="s">
        <v>449</v>
      </c>
      <c r="AF190" s="3">
        <v>45901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45910</v>
      </c>
      <c r="C191" s="4" t="s">
        <v>573</v>
      </c>
      <c r="D191" s="2">
        <v>1982315</v>
      </c>
      <c r="E191" s="4" t="s">
        <v>589</v>
      </c>
      <c r="F191" s="4" t="s">
        <v>590</v>
      </c>
      <c r="G191" s="4" t="s">
        <v>46</v>
      </c>
      <c r="H191" s="4" t="s">
        <v>46</v>
      </c>
      <c r="I191" s="4" t="s">
        <v>46</v>
      </c>
      <c r="J191" s="4" t="s">
        <v>304</v>
      </c>
      <c r="K191" s="4" t="s">
        <v>48</v>
      </c>
      <c r="L191" s="3">
        <v>45901</v>
      </c>
      <c r="M191" s="4" t="s">
        <v>49</v>
      </c>
      <c r="N191" s="4" t="s">
        <v>46</v>
      </c>
      <c r="O191" s="4" t="s">
        <v>50</v>
      </c>
      <c r="P191" s="4" t="s">
        <v>106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26</v>
      </c>
      <c r="W191" s="5">
        <v>1135.56</v>
      </c>
      <c r="X191" s="5">
        <v>100</v>
      </c>
      <c r="Y191" s="5">
        <v>295.2</v>
      </c>
      <c r="Z191" s="5">
        <v>0</v>
      </c>
      <c r="AA191" s="5">
        <v>0</v>
      </c>
      <c r="AB191" s="4" t="s">
        <v>452</v>
      </c>
      <c r="AC191" s="4" t="s">
        <v>46</v>
      </c>
      <c r="AD191" s="5">
        <v>0</v>
      </c>
      <c r="AE191" s="4" t="s">
        <v>453</v>
      </c>
      <c r="AF191" s="3">
        <v>45901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45910</v>
      </c>
      <c r="C192" s="4" t="s">
        <v>573</v>
      </c>
      <c r="D192" s="2">
        <v>1982315</v>
      </c>
      <c r="E192" s="4" t="s">
        <v>591</v>
      </c>
      <c r="F192" s="4" t="s">
        <v>592</v>
      </c>
      <c r="G192" s="4" t="s">
        <v>46</v>
      </c>
      <c r="H192" s="4" t="s">
        <v>46</v>
      </c>
      <c r="I192" s="4" t="s">
        <v>593</v>
      </c>
      <c r="J192" s="4" t="s">
        <v>304</v>
      </c>
      <c r="K192" s="4" t="s">
        <v>48</v>
      </c>
      <c r="L192" s="3">
        <v>45901</v>
      </c>
      <c r="M192" s="4" t="s">
        <v>49</v>
      </c>
      <c r="N192" s="4" t="s">
        <v>46</v>
      </c>
      <c r="O192" s="4" t="s">
        <v>50</v>
      </c>
      <c r="P192" s="4" t="s">
        <v>106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26</v>
      </c>
      <c r="W192" s="5">
        <v>1170.72</v>
      </c>
      <c r="X192" s="5">
        <v>100</v>
      </c>
      <c r="Y192" s="5">
        <v>304.44</v>
      </c>
      <c r="Z192" s="5">
        <v>0</v>
      </c>
      <c r="AA192" s="5">
        <v>0</v>
      </c>
      <c r="AB192" s="4" t="s">
        <v>448</v>
      </c>
      <c r="AC192" s="4" t="s">
        <v>46</v>
      </c>
      <c r="AD192" s="5">
        <v>0</v>
      </c>
      <c r="AE192" s="4" t="s">
        <v>449</v>
      </c>
      <c r="AF192" s="3">
        <v>45901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45910</v>
      </c>
      <c r="C193" s="4" t="s">
        <v>573</v>
      </c>
      <c r="D193" s="2">
        <v>1982315</v>
      </c>
      <c r="E193" s="4" t="s">
        <v>594</v>
      </c>
      <c r="F193" s="4" t="s">
        <v>595</v>
      </c>
      <c r="G193" s="4" t="s">
        <v>46</v>
      </c>
      <c r="H193" s="4" t="s">
        <v>46</v>
      </c>
      <c r="I193" s="4" t="s">
        <v>46</v>
      </c>
      <c r="J193" s="4" t="s">
        <v>304</v>
      </c>
      <c r="K193" s="4" t="s">
        <v>48</v>
      </c>
      <c r="L193" s="3">
        <v>45901</v>
      </c>
      <c r="M193" s="4" t="s">
        <v>49</v>
      </c>
      <c r="N193" s="4" t="s">
        <v>46</v>
      </c>
      <c r="O193" s="4" t="s">
        <v>50</v>
      </c>
      <c r="P193" s="4" t="s">
        <v>106</v>
      </c>
      <c r="Q193" s="2">
        <v>1</v>
      </c>
      <c r="R193" s="2">
        <v>17</v>
      </c>
      <c r="S193" s="4" t="s">
        <v>51</v>
      </c>
      <c r="T193" s="4" t="s">
        <v>46</v>
      </c>
      <c r="U193" s="4" t="s">
        <v>46</v>
      </c>
      <c r="V193" s="5">
        <v>22</v>
      </c>
      <c r="W193" s="5">
        <v>1955.16</v>
      </c>
      <c r="X193" s="5">
        <v>100</v>
      </c>
      <c r="Y193" s="5">
        <v>430.08</v>
      </c>
      <c r="Z193" s="5">
        <v>0</v>
      </c>
      <c r="AA193" s="5">
        <v>0</v>
      </c>
      <c r="AB193" s="4" t="s">
        <v>377</v>
      </c>
      <c r="AC193" s="4" t="s">
        <v>46</v>
      </c>
      <c r="AD193" s="5">
        <v>0</v>
      </c>
      <c r="AE193" s="4" t="s">
        <v>378</v>
      </c>
      <c r="AF193" s="3">
        <v>45901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45910</v>
      </c>
      <c r="C194" s="4" t="s">
        <v>573</v>
      </c>
      <c r="D194" s="2">
        <v>1982315</v>
      </c>
      <c r="E194" s="4" t="s">
        <v>596</v>
      </c>
      <c r="F194" s="4" t="s">
        <v>597</v>
      </c>
      <c r="G194" s="4" t="s">
        <v>46</v>
      </c>
      <c r="H194" s="4" t="s">
        <v>46</v>
      </c>
      <c r="I194" s="4" t="s">
        <v>46</v>
      </c>
      <c r="J194" s="4" t="s">
        <v>304</v>
      </c>
      <c r="K194" s="4" t="s">
        <v>48</v>
      </c>
      <c r="L194" s="3">
        <v>45901</v>
      </c>
      <c r="M194" s="4" t="s">
        <v>49</v>
      </c>
      <c r="N194" s="4" t="s">
        <v>46</v>
      </c>
      <c r="O194" s="4" t="s">
        <v>50</v>
      </c>
      <c r="P194" s="4" t="s">
        <v>106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26</v>
      </c>
      <c r="W194" s="5">
        <v>1752.48</v>
      </c>
      <c r="X194" s="5">
        <v>100</v>
      </c>
      <c r="Y194" s="5">
        <v>455.64</v>
      </c>
      <c r="Z194" s="5">
        <v>0</v>
      </c>
      <c r="AA194" s="5">
        <v>0</v>
      </c>
      <c r="AB194" s="4" t="s">
        <v>452</v>
      </c>
      <c r="AC194" s="4" t="s">
        <v>46</v>
      </c>
      <c r="AD194" s="5">
        <v>0</v>
      </c>
      <c r="AE194" s="4" t="s">
        <v>453</v>
      </c>
      <c r="AF194" s="3">
        <v>45901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CC47-755B-4FC2-9538-96DDA7D060A0}">
  <dimension ref="A1:V247"/>
  <sheetViews>
    <sheetView tabSelected="1" topLeftCell="A172" zoomScaleNormal="100" workbookViewId="0">
      <selection activeCell="A191" sqref="A191"/>
    </sheetView>
  </sheetViews>
  <sheetFormatPr defaultRowHeight="12.75" x14ac:dyDescent="0.2"/>
  <cols>
    <col min="1" max="1" width="24.7109375" bestFit="1" customWidth="1"/>
    <col min="2" max="2" width="13.85546875" customWidth="1"/>
    <col min="3" max="3" width="28.5703125" bestFit="1" customWidth="1"/>
    <col min="4" max="4" width="13.285156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25.5703125" customWidth="1"/>
    <col min="13" max="13" width="13.7109375" bestFit="1" customWidth="1"/>
    <col min="14" max="14" width="14.85546875" style="6" customWidth="1"/>
    <col min="15" max="15" width="21.5703125" bestFit="1" customWidth="1"/>
    <col min="18" max="18" width="13.42578125" bestFit="1" customWidth="1"/>
    <col min="19" max="19" width="21.42578125" customWidth="1"/>
    <col min="20" max="20" width="14.28515625" bestFit="1" customWidth="1"/>
    <col min="21" max="21" width="13.42578125" bestFit="1" customWidth="1"/>
    <col min="22" max="22" width="17.7109375" customWidth="1"/>
  </cols>
  <sheetData>
    <row r="1" spans="1:2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2" x14ac:dyDescent="0.2">
      <c r="A2" s="4" t="s">
        <v>213</v>
      </c>
      <c r="B2" s="2">
        <v>19396223</v>
      </c>
      <c r="C2" s="4" t="s">
        <v>220</v>
      </c>
      <c r="D2" s="4" t="s">
        <v>221</v>
      </c>
      <c r="E2" s="3">
        <v>45931</v>
      </c>
      <c r="F2" s="4" t="s">
        <v>88</v>
      </c>
      <c r="G2" s="4" t="s">
        <v>51</v>
      </c>
      <c r="H2" s="4" t="s">
        <v>68</v>
      </c>
      <c r="I2" s="5">
        <v>0</v>
      </c>
      <c r="J2" s="5">
        <v>0</v>
      </c>
      <c r="K2" s="5">
        <v>626</v>
      </c>
      <c r="L2" s="4" t="s">
        <v>53</v>
      </c>
      <c r="M2" s="3">
        <v>45931</v>
      </c>
      <c r="N2" s="6" t="s">
        <v>619</v>
      </c>
      <c r="O2" t="s">
        <v>613</v>
      </c>
      <c r="R2" s="7" t="s">
        <v>221</v>
      </c>
      <c r="S2" t="str">
        <f>CONCATENATE(R2,7)</f>
        <v>00023573821K7</v>
      </c>
      <c r="T2" s="4" t="s">
        <v>625</v>
      </c>
      <c r="U2" t="s">
        <v>626</v>
      </c>
      <c r="V2" t="str">
        <f>CONCATENATE(U2, " ",T2)</f>
        <v>NANCY BREHME</v>
      </c>
    </row>
    <row r="3" spans="1:22" x14ac:dyDescent="0.2">
      <c r="A3" s="4" t="s">
        <v>213</v>
      </c>
      <c r="B3" s="2">
        <v>19396223</v>
      </c>
      <c r="C3" s="4" t="s">
        <v>214</v>
      </c>
      <c r="D3" s="4" t="s">
        <v>215</v>
      </c>
      <c r="E3" s="3">
        <v>45901</v>
      </c>
      <c r="F3" s="4" t="s">
        <v>49</v>
      </c>
      <c r="G3" s="4" t="s">
        <v>51</v>
      </c>
      <c r="H3" s="4" t="s">
        <v>68</v>
      </c>
      <c r="I3" s="5">
        <v>0</v>
      </c>
      <c r="J3" s="5">
        <v>0</v>
      </c>
      <c r="K3" s="5">
        <v>626</v>
      </c>
      <c r="L3" s="4" t="s">
        <v>53</v>
      </c>
      <c r="M3" s="3">
        <v>45901</v>
      </c>
      <c r="N3" s="6" t="s">
        <v>619</v>
      </c>
      <c r="O3" t="s">
        <v>613</v>
      </c>
      <c r="R3" s="7" t="s">
        <v>215</v>
      </c>
      <c r="S3" t="str">
        <f>CONCATENATE(R3,7)</f>
        <v>00023558545K7</v>
      </c>
      <c r="T3" s="4" t="s">
        <v>633</v>
      </c>
      <c r="U3" t="s">
        <v>634</v>
      </c>
      <c r="V3" t="str">
        <f>CONCATENATE(U3, " ",T3)</f>
        <v>AMANDA CARDIN</v>
      </c>
    </row>
    <row r="4" spans="1:22" x14ac:dyDescent="0.2">
      <c r="A4" s="4" t="s">
        <v>213</v>
      </c>
      <c r="B4" s="2">
        <v>19396223</v>
      </c>
      <c r="C4" s="4" t="s">
        <v>223</v>
      </c>
      <c r="D4" s="4" t="s">
        <v>224</v>
      </c>
      <c r="E4" s="3">
        <v>45901</v>
      </c>
      <c r="F4" s="4" t="s">
        <v>49</v>
      </c>
      <c r="G4" s="4" t="s">
        <v>51</v>
      </c>
      <c r="H4" s="4" t="s">
        <v>60</v>
      </c>
      <c r="I4" s="5">
        <v>0</v>
      </c>
      <c r="J4" s="5">
        <v>0</v>
      </c>
      <c r="K4" s="5">
        <v>626</v>
      </c>
      <c r="L4" s="4" t="s">
        <v>53</v>
      </c>
      <c r="M4" s="3">
        <v>45901</v>
      </c>
      <c r="N4" s="6" t="s">
        <v>619</v>
      </c>
      <c r="O4" t="s">
        <v>613</v>
      </c>
      <c r="R4" s="7" t="s">
        <v>224</v>
      </c>
      <c r="S4" t="str">
        <f>CONCATENATE(R4,7)</f>
        <v>00023576258K7</v>
      </c>
      <c r="T4" s="4" t="s">
        <v>660</v>
      </c>
      <c r="U4" t="s">
        <v>661</v>
      </c>
      <c r="V4" t="str">
        <f>CONCATENATE(U4, " ",T4)</f>
        <v>DUMITRU LUPOU</v>
      </c>
    </row>
    <row r="5" spans="1:22" x14ac:dyDescent="0.2">
      <c r="A5" s="4" t="s">
        <v>213</v>
      </c>
      <c r="B5" s="2">
        <v>19396223</v>
      </c>
      <c r="C5" s="4" t="s">
        <v>217</v>
      </c>
      <c r="D5" s="4" t="s">
        <v>218</v>
      </c>
      <c r="E5" s="3">
        <v>45931</v>
      </c>
      <c r="F5" s="4" t="s">
        <v>88</v>
      </c>
      <c r="G5" s="4" t="s">
        <v>51</v>
      </c>
      <c r="H5" s="4" t="s">
        <v>68</v>
      </c>
      <c r="I5" s="5">
        <v>0</v>
      </c>
      <c r="J5" s="5">
        <v>0</v>
      </c>
      <c r="K5" s="5">
        <v>626</v>
      </c>
      <c r="L5" s="4" t="s">
        <v>53</v>
      </c>
      <c r="M5" s="3">
        <v>45931</v>
      </c>
      <c r="N5" s="6" t="s">
        <v>619</v>
      </c>
      <c r="O5" t="s">
        <v>613</v>
      </c>
      <c r="R5" s="7" t="s">
        <v>218</v>
      </c>
      <c r="S5" t="str">
        <f>CONCATENATE(R5,7)</f>
        <v>00023569747K7</v>
      </c>
      <c r="T5" s="4" t="s">
        <v>675</v>
      </c>
      <c r="U5" t="s">
        <v>676</v>
      </c>
      <c r="V5" t="str">
        <f>CONCATENATE(U5, " ",T5)</f>
        <v>MARIE SULLIVAN</v>
      </c>
    </row>
    <row r="6" spans="1:22" x14ac:dyDescent="0.2">
      <c r="A6" s="4" t="s">
        <v>213</v>
      </c>
      <c r="B6" s="2">
        <v>19396223</v>
      </c>
      <c r="C6" s="4" t="s">
        <v>214</v>
      </c>
      <c r="D6" s="4" t="s">
        <v>215</v>
      </c>
      <c r="E6" s="3">
        <v>45901</v>
      </c>
      <c r="F6" s="4" t="s">
        <v>49</v>
      </c>
      <c r="G6" s="4" t="s">
        <v>51</v>
      </c>
      <c r="H6" s="4" t="s">
        <v>68</v>
      </c>
      <c r="I6" s="5">
        <v>0</v>
      </c>
      <c r="J6" s="5">
        <v>0</v>
      </c>
      <c r="K6" s="5">
        <v>-104.33</v>
      </c>
      <c r="L6" s="4" t="s">
        <v>53</v>
      </c>
      <c r="M6" s="3">
        <v>45901</v>
      </c>
      <c r="N6" s="6" t="s">
        <v>612</v>
      </c>
      <c r="O6" t="s">
        <v>608</v>
      </c>
      <c r="R6" s="7" t="s">
        <v>215</v>
      </c>
      <c r="S6" t="str">
        <f>CONCATENATE(R6,6)</f>
        <v>00023558545K6</v>
      </c>
      <c r="T6" s="4" t="s">
        <v>633</v>
      </c>
      <c r="U6" t="s">
        <v>634</v>
      </c>
      <c r="V6" t="str">
        <f>CONCATENATE(U6, " ",T6)</f>
        <v>AMANDA CARDIN</v>
      </c>
    </row>
    <row r="7" spans="1:22" x14ac:dyDescent="0.2">
      <c r="A7" s="4" t="s">
        <v>213</v>
      </c>
      <c r="B7" s="2">
        <v>19396223</v>
      </c>
      <c r="C7" s="4" t="s">
        <v>223</v>
      </c>
      <c r="D7" s="4" t="s">
        <v>224</v>
      </c>
      <c r="E7" s="3">
        <v>45901</v>
      </c>
      <c r="F7" s="4" t="s">
        <v>49</v>
      </c>
      <c r="G7" s="4" t="s">
        <v>51</v>
      </c>
      <c r="H7" s="4" t="s">
        <v>60</v>
      </c>
      <c r="I7" s="5">
        <v>0</v>
      </c>
      <c r="J7" s="5">
        <v>0</v>
      </c>
      <c r="K7" s="5">
        <v>-104.33</v>
      </c>
      <c r="L7" s="4" t="s">
        <v>53</v>
      </c>
      <c r="M7" s="3">
        <v>45901</v>
      </c>
      <c r="N7" s="6" t="s">
        <v>612</v>
      </c>
      <c r="O7" t="s">
        <v>608</v>
      </c>
      <c r="R7" s="7" t="s">
        <v>224</v>
      </c>
      <c r="S7" t="str">
        <f>CONCATENATE(R7,6)</f>
        <v>00023576258K6</v>
      </c>
      <c r="T7" s="4" t="s">
        <v>660</v>
      </c>
      <c r="U7" t="s">
        <v>661</v>
      </c>
      <c r="V7" t="str">
        <f>CONCATENATE(U7, " ",T7)</f>
        <v>DUMITRU LUPOU</v>
      </c>
    </row>
    <row r="8" spans="1:22" x14ac:dyDescent="0.2">
      <c r="A8" s="4" t="s">
        <v>213</v>
      </c>
      <c r="B8" s="2">
        <v>19396223</v>
      </c>
      <c r="C8" s="4" t="s">
        <v>220</v>
      </c>
      <c r="D8" s="4" t="s">
        <v>221</v>
      </c>
      <c r="E8" s="3">
        <v>45931</v>
      </c>
      <c r="F8" s="4" t="s">
        <v>88</v>
      </c>
      <c r="G8" s="4" t="s">
        <v>51</v>
      </c>
      <c r="H8" s="4" t="s">
        <v>68</v>
      </c>
      <c r="I8" s="5">
        <v>0</v>
      </c>
      <c r="J8" s="5">
        <v>0</v>
      </c>
      <c r="K8" s="5">
        <v>-78.25</v>
      </c>
      <c r="L8" s="4" t="s">
        <v>53</v>
      </c>
      <c r="M8" s="3">
        <v>45931</v>
      </c>
      <c r="N8" s="6" t="s">
        <v>612</v>
      </c>
      <c r="O8" t="s">
        <v>609</v>
      </c>
      <c r="R8" s="7" t="s">
        <v>221</v>
      </c>
      <c r="S8" t="str">
        <f>CONCATENATE(R8,6)</f>
        <v>00023573821K6</v>
      </c>
      <c r="T8" s="4" t="s">
        <v>625</v>
      </c>
      <c r="U8" t="s">
        <v>626</v>
      </c>
      <c r="V8" t="str">
        <f>CONCATENATE(U8, " ",T8)</f>
        <v>NANCY BREHME</v>
      </c>
    </row>
    <row r="9" spans="1:22" x14ac:dyDescent="0.2">
      <c r="A9" s="4" t="s">
        <v>213</v>
      </c>
      <c r="B9" s="2">
        <v>19396223</v>
      </c>
      <c r="C9" s="4" t="s">
        <v>217</v>
      </c>
      <c r="D9" s="4" t="s">
        <v>218</v>
      </c>
      <c r="E9" s="3">
        <v>45931</v>
      </c>
      <c r="F9" s="4" t="s">
        <v>88</v>
      </c>
      <c r="G9" s="4" t="s">
        <v>51</v>
      </c>
      <c r="H9" s="4" t="s">
        <v>68</v>
      </c>
      <c r="I9" s="5">
        <v>0</v>
      </c>
      <c r="J9" s="5">
        <v>0</v>
      </c>
      <c r="K9" s="5">
        <v>-78.25</v>
      </c>
      <c r="L9" s="4" t="s">
        <v>53</v>
      </c>
      <c r="M9" s="3">
        <v>45931</v>
      </c>
      <c r="N9" s="6" t="s">
        <v>612</v>
      </c>
      <c r="O9" t="s">
        <v>609</v>
      </c>
      <c r="R9" s="7" t="s">
        <v>218</v>
      </c>
      <c r="S9" t="str">
        <f>CONCATENATE(R9,6)</f>
        <v>00023569747K6</v>
      </c>
      <c r="T9" s="4" t="s">
        <v>675</v>
      </c>
      <c r="U9" t="s">
        <v>676</v>
      </c>
      <c r="V9" t="str">
        <f>CONCATENATE(U9, " ",T9)</f>
        <v>MARIE SULLIVAN</v>
      </c>
    </row>
    <row r="10" spans="1:22" x14ac:dyDescent="0.2">
      <c r="A10" s="4" t="s">
        <v>213</v>
      </c>
      <c r="B10" s="2">
        <v>19396223</v>
      </c>
      <c r="C10" s="4" t="s">
        <v>226</v>
      </c>
      <c r="D10" s="4" t="s">
        <v>227</v>
      </c>
      <c r="E10" s="3">
        <v>45931</v>
      </c>
      <c r="F10" s="4" t="s">
        <v>88</v>
      </c>
      <c r="G10" s="4" t="s">
        <v>51</v>
      </c>
      <c r="H10" s="4" t="s">
        <v>68</v>
      </c>
      <c r="I10" s="5">
        <v>0.25</v>
      </c>
      <c r="J10" s="5">
        <v>0</v>
      </c>
      <c r="K10" s="5">
        <v>78.25</v>
      </c>
      <c r="L10" s="4" t="s">
        <v>62</v>
      </c>
      <c r="M10" s="3">
        <v>45931</v>
      </c>
      <c r="N10" s="6" t="s">
        <v>612</v>
      </c>
      <c r="O10" t="s">
        <v>609</v>
      </c>
      <c r="R10" s="7" t="s">
        <v>227</v>
      </c>
      <c r="S10" t="str">
        <f>CONCATENATE(R10,6)</f>
        <v>00023603758K6</v>
      </c>
      <c r="T10" s="4" t="s">
        <v>911</v>
      </c>
      <c r="U10" t="s">
        <v>912</v>
      </c>
      <c r="V10" t="str">
        <f>CONCATENATE(U10, " ",T10)</f>
        <v>AFSHAN BUTT</v>
      </c>
    </row>
    <row r="11" spans="1:22" x14ac:dyDescent="0.2">
      <c r="A11" s="4" t="s">
        <v>213</v>
      </c>
      <c r="B11" s="2">
        <v>19396223</v>
      </c>
      <c r="C11" s="4" t="s">
        <v>229</v>
      </c>
      <c r="D11" s="4" t="s">
        <v>230</v>
      </c>
      <c r="E11" s="3">
        <v>45931</v>
      </c>
      <c r="F11" s="4" t="s">
        <v>88</v>
      </c>
      <c r="G11" s="4" t="s">
        <v>51</v>
      </c>
      <c r="H11" s="4" t="s">
        <v>68</v>
      </c>
      <c r="I11" s="5">
        <v>0.25</v>
      </c>
      <c r="J11" s="5">
        <v>0</v>
      </c>
      <c r="K11" s="5">
        <v>78.25</v>
      </c>
      <c r="L11" s="4" t="s">
        <v>62</v>
      </c>
      <c r="M11" s="3">
        <v>45931</v>
      </c>
      <c r="N11" s="6" t="s">
        <v>612</v>
      </c>
      <c r="O11" t="s">
        <v>609</v>
      </c>
      <c r="R11" s="7" t="s">
        <v>230</v>
      </c>
      <c r="S11" t="str">
        <f>CONCATENATE(R11,6)</f>
        <v>00023603885K6</v>
      </c>
      <c r="T11" s="4" t="s">
        <v>919</v>
      </c>
      <c r="U11" t="s">
        <v>920</v>
      </c>
      <c r="V11" t="str">
        <f>CONCATENATE(U11, " ",T11)</f>
        <v>KHALID REHMANI</v>
      </c>
    </row>
    <row r="12" spans="1:22" x14ac:dyDescent="0.2">
      <c r="A12" s="4" t="s">
        <v>209</v>
      </c>
      <c r="B12" s="2">
        <v>18598357</v>
      </c>
      <c r="C12" s="4" t="s">
        <v>210</v>
      </c>
      <c r="D12" s="4" t="s">
        <v>211</v>
      </c>
      <c r="E12" s="3">
        <v>45931</v>
      </c>
      <c r="F12" s="4" t="s">
        <v>88</v>
      </c>
      <c r="G12" s="4" t="s">
        <v>51</v>
      </c>
      <c r="H12" s="4" t="s">
        <v>68</v>
      </c>
      <c r="I12" s="5">
        <v>0</v>
      </c>
      <c r="J12" s="5">
        <v>0</v>
      </c>
      <c r="K12" s="5">
        <v>626</v>
      </c>
      <c r="L12" s="4" t="s">
        <v>53</v>
      </c>
      <c r="M12" s="3">
        <v>45931</v>
      </c>
      <c r="N12" s="6" t="s">
        <v>619</v>
      </c>
      <c r="O12" t="s">
        <v>613</v>
      </c>
      <c r="R12" s="7" t="s">
        <v>211</v>
      </c>
      <c r="S12" t="str">
        <f>CONCATENATE(R12,7)</f>
        <v>00023596422K7</v>
      </c>
      <c r="T12" s="4" t="s">
        <v>653</v>
      </c>
      <c r="U12" t="s">
        <v>654</v>
      </c>
      <c r="V12" t="str">
        <f>CONCATENATE(U12, " ",T12)</f>
        <v>KARYN KELLY</v>
      </c>
    </row>
    <row r="13" spans="1:22" x14ac:dyDescent="0.2">
      <c r="A13" s="4" t="s">
        <v>209</v>
      </c>
      <c r="B13" s="2">
        <v>18598357</v>
      </c>
      <c r="C13" s="4" t="s">
        <v>527</v>
      </c>
      <c r="D13" s="4" t="s">
        <v>528</v>
      </c>
      <c r="E13" s="3">
        <v>45901</v>
      </c>
      <c r="F13" s="4" t="s">
        <v>49</v>
      </c>
      <c r="G13" s="4" t="s">
        <v>51</v>
      </c>
      <c r="H13" s="4" t="s">
        <v>46</v>
      </c>
      <c r="I13" s="5">
        <v>22</v>
      </c>
      <c r="J13" s="5">
        <v>1799.4</v>
      </c>
      <c r="K13" s="5">
        <v>395.88</v>
      </c>
      <c r="L13" s="4" t="s">
        <v>364</v>
      </c>
      <c r="M13" s="3">
        <v>45901</v>
      </c>
      <c r="N13" s="6" t="s">
        <v>601</v>
      </c>
      <c r="R13" s="7" t="s">
        <v>528</v>
      </c>
      <c r="S13" t="str">
        <f>CONCATENATE(R13,8)</f>
        <v>00001028894A8</v>
      </c>
      <c r="T13" s="4" t="s">
        <v>769</v>
      </c>
      <c r="U13" t="s">
        <v>624</v>
      </c>
      <c r="V13" t="str">
        <f>CONCATENATE(U13, " ",T13)</f>
        <v>MARIANNE NOLAN</v>
      </c>
    </row>
    <row r="14" spans="1:22" x14ac:dyDescent="0.2">
      <c r="A14" s="4" t="s">
        <v>209</v>
      </c>
      <c r="B14" s="2">
        <v>18598357</v>
      </c>
      <c r="C14" s="4" t="s">
        <v>210</v>
      </c>
      <c r="D14" s="4" t="s">
        <v>211</v>
      </c>
      <c r="E14" s="3">
        <v>45931</v>
      </c>
      <c r="F14" s="4" t="s">
        <v>88</v>
      </c>
      <c r="G14" s="4" t="s">
        <v>51</v>
      </c>
      <c r="H14" s="4" t="s">
        <v>68</v>
      </c>
      <c r="I14" s="5">
        <v>0</v>
      </c>
      <c r="J14" s="5">
        <v>0</v>
      </c>
      <c r="K14" s="5">
        <v>-78.25</v>
      </c>
      <c r="L14" s="4" t="s">
        <v>53</v>
      </c>
      <c r="M14" s="3">
        <v>45931</v>
      </c>
      <c r="N14" s="6" t="s">
        <v>612</v>
      </c>
      <c r="O14" t="s">
        <v>609</v>
      </c>
      <c r="R14" s="7" t="s">
        <v>211</v>
      </c>
      <c r="S14" t="str">
        <f>CONCATENATE(R14,6)</f>
        <v>00023596422K6</v>
      </c>
      <c r="T14" s="4" t="s">
        <v>653</v>
      </c>
      <c r="U14" t="s">
        <v>654</v>
      </c>
      <c r="V14" t="str">
        <f>CONCATENATE(U14, " ",T14)</f>
        <v>KARYN KELLY</v>
      </c>
    </row>
    <row r="15" spans="1:22" x14ac:dyDescent="0.2">
      <c r="A15" s="4" t="s">
        <v>244</v>
      </c>
      <c r="B15" s="2">
        <v>19491313</v>
      </c>
      <c r="C15" s="4" t="s">
        <v>245</v>
      </c>
      <c r="D15" s="4" t="s">
        <v>246</v>
      </c>
      <c r="E15" s="3">
        <v>45931</v>
      </c>
      <c r="F15" s="4" t="s">
        <v>88</v>
      </c>
      <c r="G15" s="4" t="s">
        <v>51</v>
      </c>
      <c r="H15" s="4" t="s">
        <v>52</v>
      </c>
      <c r="I15" s="5">
        <v>0</v>
      </c>
      <c r="J15" s="5">
        <v>95.25</v>
      </c>
      <c r="K15" s="5">
        <v>95.25</v>
      </c>
      <c r="L15" s="4" t="s">
        <v>53</v>
      </c>
      <c r="M15" s="3">
        <v>45931</v>
      </c>
      <c r="N15" s="6" t="s">
        <v>599</v>
      </c>
      <c r="R15" s="7" t="s">
        <v>246</v>
      </c>
      <c r="S15" t="str">
        <f>CONCATENATE(R15,9)</f>
        <v>00023562559K9</v>
      </c>
      <c r="T15" s="4" t="s">
        <v>936</v>
      </c>
      <c r="U15" t="s">
        <v>937</v>
      </c>
      <c r="V15" t="str">
        <f>CONCATENATE(U15, " ",T15)</f>
        <v>JACQUELYN ALVIS</v>
      </c>
    </row>
    <row r="16" spans="1:22" x14ac:dyDescent="0.2">
      <c r="A16" s="4" t="s">
        <v>77</v>
      </c>
      <c r="B16" s="2">
        <v>7470776</v>
      </c>
      <c r="C16" s="4" t="s">
        <v>82</v>
      </c>
      <c r="D16" s="4" t="s">
        <v>83</v>
      </c>
      <c r="E16" s="3">
        <v>45901</v>
      </c>
      <c r="F16" s="4" t="s">
        <v>49</v>
      </c>
      <c r="G16" s="4" t="s">
        <v>51</v>
      </c>
      <c r="H16" s="4" t="s">
        <v>68</v>
      </c>
      <c r="I16" s="5">
        <v>0</v>
      </c>
      <c r="J16" s="5">
        <v>0</v>
      </c>
      <c r="K16" s="5">
        <v>626</v>
      </c>
      <c r="L16" s="4" t="s">
        <v>53</v>
      </c>
      <c r="M16" s="3">
        <v>45901</v>
      </c>
      <c r="N16" s="6" t="s">
        <v>619</v>
      </c>
      <c r="O16" t="s">
        <v>613</v>
      </c>
      <c r="R16" s="7" t="s">
        <v>83</v>
      </c>
      <c r="S16" t="str">
        <f>CONCATENATE(R16,7)</f>
        <v>00023568607K7</v>
      </c>
      <c r="T16" s="4" t="s">
        <v>622</v>
      </c>
      <c r="U16" t="s">
        <v>621</v>
      </c>
      <c r="V16" t="str">
        <f>CONCATENATE(U16, " ",T16)</f>
        <v>LAURA BLASCO</v>
      </c>
    </row>
    <row r="17" spans="1:22" x14ac:dyDescent="0.2">
      <c r="A17" s="4" t="s">
        <v>77</v>
      </c>
      <c r="B17" s="2">
        <v>7470776</v>
      </c>
      <c r="C17" s="4" t="s">
        <v>89</v>
      </c>
      <c r="D17" s="4" t="s">
        <v>90</v>
      </c>
      <c r="E17" s="3">
        <v>45931</v>
      </c>
      <c r="F17" s="4" t="s">
        <v>88</v>
      </c>
      <c r="G17" s="4" t="s">
        <v>51</v>
      </c>
      <c r="H17" s="4" t="s">
        <v>68</v>
      </c>
      <c r="I17" s="5">
        <v>0</v>
      </c>
      <c r="J17" s="5">
        <v>0</v>
      </c>
      <c r="K17" s="5">
        <v>626</v>
      </c>
      <c r="L17" s="4" t="s">
        <v>53</v>
      </c>
      <c r="M17" s="3">
        <v>45931</v>
      </c>
      <c r="N17" s="6" t="s">
        <v>619</v>
      </c>
      <c r="O17" t="s">
        <v>613</v>
      </c>
      <c r="R17" s="7" t="s">
        <v>90</v>
      </c>
      <c r="S17" t="str">
        <f>CONCATENATE(R17,7)</f>
        <v>00023589143K7</v>
      </c>
      <c r="T17" s="4" t="s">
        <v>672</v>
      </c>
      <c r="U17" t="s">
        <v>673</v>
      </c>
      <c r="V17" t="str">
        <f>CONCATENATE(U17, " ",T17)</f>
        <v>DAVIS SASAKI</v>
      </c>
    </row>
    <row r="18" spans="1:22" x14ac:dyDescent="0.2">
      <c r="A18" s="4" t="s">
        <v>77</v>
      </c>
      <c r="B18" s="2">
        <v>7470776</v>
      </c>
      <c r="C18" s="4" t="s">
        <v>85</v>
      </c>
      <c r="D18" s="4" t="s">
        <v>86</v>
      </c>
      <c r="E18" s="3">
        <v>45931</v>
      </c>
      <c r="F18" s="4" t="s">
        <v>88</v>
      </c>
      <c r="G18" s="4" t="s">
        <v>51</v>
      </c>
      <c r="H18" s="4" t="s">
        <v>68</v>
      </c>
      <c r="I18" s="5">
        <v>0</v>
      </c>
      <c r="J18" s="5">
        <v>0</v>
      </c>
      <c r="K18" s="5">
        <v>626</v>
      </c>
      <c r="L18" s="4" t="s">
        <v>53</v>
      </c>
      <c r="M18" s="3">
        <v>45931</v>
      </c>
      <c r="N18" s="6" t="s">
        <v>619</v>
      </c>
      <c r="O18" t="s">
        <v>613</v>
      </c>
      <c r="R18" s="7" t="s">
        <v>86</v>
      </c>
      <c r="S18" t="str">
        <f>CONCATENATE(R18,7)</f>
        <v>00023584777K7</v>
      </c>
      <c r="T18" s="4" t="s">
        <v>683</v>
      </c>
      <c r="U18" t="s">
        <v>684</v>
      </c>
      <c r="V18" t="str">
        <f>CONCATENATE(U18, " ",T18)</f>
        <v>RANDY VARJU</v>
      </c>
    </row>
    <row r="19" spans="1:22" x14ac:dyDescent="0.2">
      <c r="A19" s="4" t="s">
        <v>77</v>
      </c>
      <c r="B19" s="2">
        <v>7470776</v>
      </c>
      <c r="C19" s="4" t="s">
        <v>78</v>
      </c>
      <c r="D19" s="4" t="s">
        <v>79</v>
      </c>
      <c r="E19" s="3">
        <v>45689</v>
      </c>
      <c r="F19" s="4" t="s">
        <v>81</v>
      </c>
      <c r="G19" s="4" t="s">
        <v>51</v>
      </c>
      <c r="H19" s="4" t="s">
        <v>68</v>
      </c>
      <c r="I19" s="5">
        <v>0</v>
      </c>
      <c r="J19" s="5">
        <v>0</v>
      </c>
      <c r="K19" s="5">
        <v>-182.58</v>
      </c>
      <c r="L19" s="4" t="s">
        <v>53</v>
      </c>
      <c r="M19" s="3">
        <v>45689</v>
      </c>
      <c r="N19" s="6" t="s">
        <v>612</v>
      </c>
      <c r="O19" t="s">
        <v>606</v>
      </c>
      <c r="R19" s="7" t="s">
        <v>79</v>
      </c>
      <c r="S19" t="str">
        <f>CONCATENATE(R19,6)</f>
        <v>00022970904K6</v>
      </c>
      <c r="T19" s="4" t="s">
        <v>894</v>
      </c>
      <c r="U19" t="s">
        <v>895</v>
      </c>
      <c r="V19" t="str">
        <f>CONCATENATE(U19, " ",T19)</f>
        <v>RICHARD SCHULD</v>
      </c>
    </row>
    <row r="20" spans="1:22" x14ac:dyDescent="0.2">
      <c r="A20" s="4" t="s">
        <v>77</v>
      </c>
      <c r="B20" s="2">
        <v>7470776</v>
      </c>
      <c r="C20" s="4" t="s">
        <v>78</v>
      </c>
      <c r="D20" s="4" t="s">
        <v>79</v>
      </c>
      <c r="E20" s="3">
        <v>45689</v>
      </c>
      <c r="F20" s="4" t="s">
        <v>81</v>
      </c>
      <c r="G20" s="4" t="s">
        <v>51</v>
      </c>
      <c r="H20" s="4" t="s">
        <v>68</v>
      </c>
      <c r="I20" s="5">
        <v>-0.42</v>
      </c>
      <c r="J20" s="5">
        <v>0</v>
      </c>
      <c r="K20" s="5">
        <v>-130.41999999999999</v>
      </c>
      <c r="L20" s="4" t="s">
        <v>62</v>
      </c>
      <c r="M20" s="3">
        <v>45689</v>
      </c>
      <c r="N20" s="6" t="s">
        <v>612</v>
      </c>
      <c r="O20" t="s">
        <v>607</v>
      </c>
      <c r="R20" s="7" t="s">
        <v>79</v>
      </c>
      <c r="S20" t="str">
        <f>CONCATENATE(R20,6)</f>
        <v>00022970904K6</v>
      </c>
      <c r="T20" s="4" t="s">
        <v>894</v>
      </c>
      <c r="U20" t="s">
        <v>895</v>
      </c>
      <c r="V20" t="str">
        <f>CONCATENATE(U20, " ",T20)</f>
        <v>RICHARD SCHULD</v>
      </c>
    </row>
    <row r="21" spans="1:22" x14ac:dyDescent="0.2">
      <c r="A21" s="4" t="s">
        <v>77</v>
      </c>
      <c r="B21" s="2">
        <v>7470776</v>
      </c>
      <c r="C21" s="4" t="s">
        <v>82</v>
      </c>
      <c r="D21" s="4" t="s">
        <v>83</v>
      </c>
      <c r="E21" s="3">
        <v>45901</v>
      </c>
      <c r="F21" s="4" t="s">
        <v>49</v>
      </c>
      <c r="G21" s="4" t="s">
        <v>51</v>
      </c>
      <c r="H21" s="4" t="s">
        <v>68</v>
      </c>
      <c r="I21" s="5">
        <v>0</v>
      </c>
      <c r="J21" s="5">
        <v>0</v>
      </c>
      <c r="K21" s="5">
        <v>-104.33</v>
      </c>
      <c r="L21" s="4" t="s">
        <v>53</v>
      </c>
      <c r="M21" s="3">
        <v>45901</v>
      </c>
      <c r="N21" s="6" t="s">
        <v>612</v>
      </c>
      <c r="O21" t="s">
        <v>608</v>
      </c>
      <c r="R21" s="7" t="s">
        <v>83</v>
      </c>
      <c r="S21" t="str">
        <f>CONCATENATE(R21,6)</f>
        <v>00023568607K6</v>
      </c>
      <c r="T21" s="4" t="s">
        <v>622</v>
      </c>
      <c r="U21" t="s">
        <v>621</v>
      </c>
      <c r="V21" t="str">
        <f>CONCATENATE(U21, " ",T21)</f>
        <v>LAURA BLASCO</v>
      </c>
    </row>
    <row r="22" spans="1:22" x14ac:dyDescent="0.2">
      <c r="A22" s="4" t="s">
        <v>77</v>
      </c>
      <c r="B22" s="2">
        <v>7470776</v>
      </c>
      <c r="C22" s="4" t="s">
        <v>89</v>
      </c>
      <c r="D22" s="4" t="s">
        <v>90</v>
      </c>
      <c r="E22" s="3">
        <v>45931</v>
      </c>
      <c r="F22" s="4" t="s">
        <v>88</v>
      </c>
      <c r="G22" s="4" t="s">
        <v>51</v>
      </c>
      <c r="H22" s="4" t="s">
        <v>68</v>
      </c>
      <c r="I22" s="5">
        <v>0</v>
      </c>
      <c r="J22" s="5">
        <v>0</v>
      </c>
      <c r="K22" s="5">
        <v>-78.25</v>
      </c>
      <c r="L22" s="4" t="s">
        <v>53</v>
      </c>
      <c r="M22" s="3">
        <v>45931</v>
      </c>
      <c r="N22" s="6" t="s">
        <v>612</v>
      </c>
      <c r="O22" t="s">
        <v>609</v>
      </c>
      <c r="R22" s="7" t="s">
        <v>90</v>
      </c>
      <c r="S22" t="str">
        <f>CONCATENATE(R22,6)</f>
        <v>00023589143K6</v>
      </c>
      <c r="T22" s="4" t="s">
        <v>672</v>
      </c>
      <c r="U22" t="s">
        <v>673</v>
      </c>
      <c r="V22" t="str">
        <f>CONCATENATE(U22, " ",T22)</f>
        <v>DAVIS SASAKI</v>
      </c>
    </row>
    <row r="23" spans="1:22" x14ac:dyDescent="0.2">
      <c r="A23" s="4" t="s">
        <v>77</v>
      </c>
      <c r="B23" s="2">
        <v>7470776</v>
      </c>
      <c r="C23" s="4" t="s">
        <v>85</v>
      </c>
      <c r="D23" s="4" t="s">
        <v>86</v>
      </c>
      <c r="E23" s="3">
        <v>45931</v>
      </c>
      <c r="F23" s="4" t="s">
        <v>88</v>
      </c>
      <c r="G23" s="4" t="s">
        <v>51</v>
      </c>
      <c r="H23" s="4" t="s">
        <v>68</v>
      </c>
      <c r="I23" s="5">
        <v>0</v>
      </c>
      <c r="J23" s="5">
        <v>0</v>
      </c>
      <c r="K23" s="5">
        <v>-78.25</v>
      </c>
      <c r="L23" s="4" t="s">
        <v>53</v>
      </c>
      <c r="M23" s="3">
        <v>45931</v>
      </c>
      <c r="N23" s="6" t="s">
        <v>612</v>
      </c>
      <c r="O23" t="s">
        <v>609</v>
      </c>
      <c r="R23" s="7" t="s">
        <v>86</v>
      </c>
      <c r="S23" t="str">
        <f>CONCATENATE(R23,6)</f>
        <v>00023584777K6</v>
      </c>
      <c r="T23" s="4" t="s">
        <v>683</v>
      </c>
      <c r="U23" t="s">
        <v>684</v>
      </c>
      <c r="V23" t="str">
        <f>CONCATENATE(U23, " ",T23)</f>
        <v>RANDY VARJU</v>
      </c>
    </row>
    <row r="24" spans="1:22" x14ac:dyDescent="0.2">
      <c r="A24" s="4" t="s">
        <v>153</v>
      </c>
      <c r="B24" s="2">
        <v>1706194</v>
      </c>
      <c r="C24" s="4" t="s">
        <v>154</v>
      </c>
      <c r="D24" s="4" t="s">
        <v>155</v>
      </c>
      <c r="E24" s="3">
        <v>45962</v>
      </c>
      <c r="F24" s="4" t="s">
        <v>76</v>
      </c>
      <c r="G24" s="4" t="s">
        <v>51</v>
      </c>
      <c r="H24" s="4" t="s">
        <v>157</v>
      </c>
      <c r="I24" s="5">
        <v>0</v>
      </c>
      <c r="J24" s="5">
        <v>0</v>
      </c>
      <c r="K24" s="5">
        <v>626</v>
      </c>
      <c r="L24" s="4" t="s">
        <v>53</v>
      </c>
      <c r="M24" s="3">
        <v>45962</v>
      </c>
      <c r="N24" s="6" t="s">
        <v>619</v>
      </c>
      <c r="O24" t="s">
        <v>613</v>
      </c>
      <c r="R24" s="7" t="s">
        <v>155</v>
      </c>
      <c r="S24" t="str">
        <f>CONCATENATE(R24,7)</f>
        <v>00023539684K7</v>
      </c>
      <c r="T24" s="4" t="s">
        <v>685</v>
      </c>
      <c r="U24" t="s">
        <v>686</v>
      </c>
      <c r="V24" t="str">
        <f>CONCATENATE(U24, " ",T24)</f>
        <v>LISA YOUNG</v>
      </c>
    </row>
    <row r="25" spans="1:22" x14ac:dyDescent="0.2">
      <c r="A25" s="4" t="s">
        <v>153</v>
      </c>
      <c r="B25" s="2">
        <v>1706194</v>
      </c>
      <c r="C25" s="4" t="s">
        <v>154</v>
      </c>
      <c r="D25" s="4" t="s">
        <v>155</v>
      </c>
      <c r="E25" s="3">
        <v>45962</v>
      </c>
      <c r="F25" s="4" t="s">
        <v>76</v>
      </c>
      <c r="G25" s="4" t="s">
        <v>51</v>
      </c>
      <c r="H25" s="4" t="s">
        <v>157</v>
      </c>
      <c r="I25" s="5">
        <v>0</v>
      </c>
      <c r="J25" s="5">
        <v>0</v>
      </c>
      <c r="K25" s="5">
        <v>-52.17</v>
      </c>
      <c r="L25" s="4" t="s">
        <v>53</v>
      </c>
      <c r="M25" s="3">
        <v>45962</v>
      </c>
      <c r="N25" s="6" t="s">
        <v>612</v>
      </c>
      <c r="O25" t="s">
        <v>611</v>
      </c>
      <c r="R25" s="7" t="s">
        <v>155</v>
      </c>
      <c r="S25" t="str">
        <f>CONCATENATE(R25,6)</f>
        <v>00023539684K6</v>
      </c>
      <c r="T25" s="4" t="s">
        <v>685</v>
      </c>
      <c r="U25" t="s">
        <v>686</v>
      </c>
      <c r="V25" t="str">
        <f>CONCATENATE(U25, " ",T25)</f>
        <v>LISA YOUNG</v>
      </c>
    </row>
    <row r="26" spans="1:22" x14ac:dyDescent="0.2">
      <c r="A26" s="4" t="s">
        <v>92</v>
      </c>
      <c r="B26" s="2">
        <v>8244481</v>
      </c>
      <c r="C26" s="4" t="s">
        <v>96</v>
      </c>
      <c r="D26" s="4" t="s">
        <v>97</v>
      </c>
      <c r="E26" s="3">
        <v>45901</v>
      </c>
      <c r="F26" s="4" t="s">
        <v>49</v>
      </c>
      <c r="G26" s="4" t="s">
        <v>51</v>
      </c>
      <c r="H26" s="4" t="s">
        <v>68</v>
      </c>
      <c r="I26" s="5">
        <v>0</v>
      </c>
      <c r="J26" s="5">
        <v>0</v>
      </c>
      <c r="K26" s="5">
        <v>626</v>
      </c>
      <c r="L26" s="4" t="s">
        <v>53</v>
      </c>
      <c r="M26" s="3">
        <v>45901</v>
      </c>
      <c r="N26" s="6" t="s">
        <v>619</v>
      </c>
      <c r="O26" t="s">
        <v>613</v>
      </c>
      <c r="R26" s="7" t="s">
        <v>97</v>
      </c>
      <c r="S26" t="str">
        <f>CONCATENATE(R26,7)</f>
        <v>00023586114K7</v>
      </c>
      <c r="T26" s="4" t="s">
        <v>627</v>
      </c>
      <c r="U26" t="s">
        <v>628</v>
      </c>
      <c r="V26" t="str">
        <f>CONCATENATE(U26, " ",T26)</f>
        <v>KATHERINE BROWN</v>
      </c>
    </row>
    <row r="27" spans="1:22" x14ac:dyDescent="0.2">
      <c r="A27" s="4" t="s">
        <v>92</v>
      </c>
      <c r="B27" s="2">
        <v>8244481</v>
      </c>
      <c r="C27" s="4" t="s">
        <v>93</v>
      </c>
      <c r="D27" s="4" t="s">
        <v>94</v>
      </c>
      <c r="E27" s="3">
        <v>45901</v>
      </c>
      <c r="F27" s="4" t="s">
        <v>49</v>
      </c>
      <c r="G27" s="4" t="s">
        <v>51</v>
      </c>
      <c r="H27" s="4" t="s">
        <v>68</v>
      </c>
      <c r="I27" s="5">
        <v>0</v>
      </c>
      <c r="J27" s="5">
        <v>0</v>
      </c>
      <c r="K27" s="5">
        <v>626</v>
      </c>
      <c r="L27" s="4" t="s">
        <v>53</v>
      </c>
      <c r="M27" s="3">
        <v>45901</v>
      </c>
      <c r="N27" s="6" t="s">
        <v>619</v>
      </c>
      <c r="O27" t="s">
        <v>613</v>
      </c>
      <c r="R27" s="7" t="s">
        <v>94</v>
      </c>
      <c r="S27" t="str">
        <f>CONCATENATE(R27,7)</f>
        <v>00023560633K7</v>
      </c>
      <c r="T27" s="4" t="s">
        <v>629</v>
      </c>
      <c r="U27" t="s">
        <v>630</v>
      </c>
      <c r="V27" t="str">
        <f>CONCATENATE(U27, " ",T27)</f>
        <v>ALICE BROWNING</v>
      </c>
    </row>
    <row r="28" spans="1:22" x14ac:dyDescent="0.2">
      <c r="A28" s="4" t="s">
        <v>92</v>
      </c>
      <c r="B28" s="2">
        <v>8244481</v>
      </c>
      <c r="C28" s="4" t="s">
        <v>314</v>
      </c>
      <c r="D28" s="4" t="s">
        <v>315</v>
      </c>
      <c r="E28" s="3">
        <v>45931</v>
      </c>
      <c r="F28" s="4" t="s">
        <v>88</v>
      </c>
      <c r="G28" s="4" t="s">
        <v>316</v>
      </c>
      <c r="H28" s="4" t="s">
        <v>46</v>
      </c>
      <c r="I28" s="5">
        <v>10</v>
      </c>
      <c r="J28" s="5">
        <v>13.93</v>
      </c>
      <c r="K28" s="5">
        <v>1.39</v>
      </c>
      <c r="L28" s="4" t="s">
        <v>312</v>
      </c>
      <c r="M28" s="3">
        <v>44197</v>
      </c>
      <c r="N28" s="6" t="s">
        <v>598</v>
      </c>
      <c r="R28">
        <v>3249034970</v>
      </c>
      <c r="S28" t="str">
        <f>CONCATENATE(R28,4)</f>
        <v>32490349704</v>
      </c>
      <c r="T28" s="4" t="s">
        <v>850</v>
      </c>
      <c r="U28" t="s">
        <v>851</v>
      </c>
      <c r="V28" t="str">
        <f>CONCATENATE(U28, " ",T28)</f>
        <v>Michael Baker</v>
      </c>
    </row>
    <row r="29" spans="1:22" x14ac:dyDescent="0.2">
      <c r="A29" s="4" t="s">
        <v>92</v>
      </c>
      <c r="B29" s="2">
        <v>8244481</v>
      </c>
      <c r="C29" s="4" t="s">
        <v>338</v>
      </c>
      <c r="D29" s="4" t="s">
        <v>339</v>
      </c>
      <c r="E29" s="3">
        <v>45931</v>
      </c>
      <c r="F29" s="4" t="s">
        <v>88</v>
      </c>
      <c r="G29" s="4" t="s">
        <v>311</v>
      </c>
      <c r="H29" s="4" t="s">
        <v>46</v>
      </c>
      <c r="I29" s="5">
        <v>10</v>
      </c>
      <c r="J29" s="5">
        <v>13.93</v>
      </c>
      <c r="K29" s="5">
        <v>1.39</v>
      </c>
      <c r="L29" s="4" t="s">
        <v>325</v>
      </c>
      <c r="M29" s="3">
        <v>45778</v>
      </c>
      <c r="N29" s="6" t="s">
        <v>598</v>
      </c>
      <c r="R29">
        <v>9030397080</v>
      </c>
      <c r="S29" t="str">
        <f>CONCATENATE(R29,4)</f>
        <v>90303970804</v>
      </c>
      <c r="T29" s="4" t="s">
        <v>852</v>
      </c>
      <c r="U29" t="s">
        <v>853</v>
      </c>
      <c r="V29" t="str">
        <f>CONCATENATE(U29, " ",T29)</f>
        <v>Sharon Breuer</v>
      </c>
    </row>
    <row r="30" spans="1:22" x14ac:dyDescent="0.2">
      <c r="A30" s="4" t="s">
        <v>92</v>
      </c>
      <c r="B30" s="2">
        <v>8244481</v>
      </c>
      <c r="C30" s="4" t="s">
        <v>336</v>
      </c>
      <c r="D30" s="4" t="s">
        <v>337</v>
      </c>
      <c r="E30" s="3">
        <v>45931</v>
      </c>
      <c r="F30" s="4" t="s">
        <v>88</v>
      </c>
      <c r="G30" s="4" t="s">
        <v>311</v>
      </c>
      <c r="H30" s="4" t="s">
        <v>46</v>
      </c>
      <c r="I30" s="5">
        <v>10</v>
      </c>
      <c r="J30" s="5">
        <v>13.93</v>
      </c>
      <c r="K30" s="5">
        <v>1.39</v>
      </c>
      <c r="L30" s="4" t="s">
        <v>325</v>
      </c>
      <c r="M30" s="3">
        <v>45658</v>
      </c>
      <c r="N30" s="6" t="s">
        <v>598</v>
      </c>
      <c r="R30">
        <v>9029766060</v>
      </c>
      <c r="S30" t="str">
        <f>CONCATENATE(R30,4)</f>
        <v>90297660604</v>
      </c>
      <c r="T30" s="4" t="s">
        <v>854</v>
      </c>
      <c r="U30" t="s">
        <v>855</v>
      </c>
      <c r="V30" t="str">
        <f>CONCATENATE(U30, " ",T30)</f>
        <v>Kimberly Davison</v>
      </c>
    </row>
    <row r="31" spans="1:22" x14ac:dyDescent="0.2">
      <c r="A31" s="4" t="s">
        <v>92</v>
      </c>
      <c r="B31" s="2">
        <v>8244481</v>
      </c>
      <c r="C31" s="4" t="s">
        <v>327</v>
      </c>
      <c r="D31" s="4" t="s">
        <v>328</v>
      </c>
      <c r="E31" s="3">
        <v>45931</v>
      </c>
      <c r="F31" s="4" t="s">
        <v>88</v>
      </c>
      <c r="G31" s="4" t="s">
        <v>311</v>
      </c>
      <c r="H31" s="4" t="s">
        <v>46</v>
      </c>
      <c r="I31" s="5">
        <v>10</v>
      </c>
      <c r="J31" s="5">
        <v>13.93</v>
      </c>
      <c r="K31" s="5">
        <v>1.39</v>
      </c>
      <c r="L31" s="4" t="s">
        <v>325</v>
      </c>
      <c r="M31" s="3">
        <v>45622</v>
      </c>
      <c r="N31" s="6" t="s">
        <v>598</v>
      </c>
      <c r="R31">
        <v>9029611520</v>
      </c>
      <c r="S31" t="str">
        <f>CONCATENATE(R31,4)</f>
        <v>90296115204</v>
      </c>
      <c r="T31" s="4" t="s">
        <v>856</v>
      </c>
      <c r="U31" t="s">
        <v>857</v>
      </c>
      <c r="V31" t="str">
        <f>CONCATENATE(U31, " ",T31)</f>
        <v>Christie Dornbierer</v>
      </c>
    </row>
    <row r="32" spans="1:22" x14ac:dyDescent="0.2">
      <c r="A32" s="4" t="s">
        <v>92</v>
      </c>
      <c r="B32" s="2">
        <v>8244481</v>
      </c>
      <c r="C32" s="4" t="s">
        <v>317</v>
      </c>
      <c r="D32" s="4" t="s">
        <v>318</v>
      </c>
      <c r="E32" s="3">
        <v>45931</v>
      </c>
      <c r="F32" s="4" t="s">
        <v>88</v>
      </c>
      <c r="G32" s="4" t="s">
        <v>311</v>
      </c>
      <c r="H32" s="4" t="s">
        <v>46</v>
      </c>
      <c r="I32" s="5">
        <v>10</v>
      </c>
      <c r="J32" s="5">
        <v>13.93</v>
      </c>
      <c r="K32" s="5">
        <v>1.39</v>
      </c>
      <c r="L32" s="4" t="s">
        <v>312</v>
      </c>
      <c r="M32" s="3">
        <v>45323</v>
      </c>
      <c r="N32" s="6" t="s">
        <v>598</v>
      </c>
      <c r="R32">
        <v>9028342740</v>
      </c>
      <c r="S32" t="str">
        <f>CONCATENATE(R32,4)</f>
        <v>90283427404</v>
      </c>
      <c r="T32" s="4" t="s">
        <v>860</v>
      </c>
      <c r="U32" t="s">
        <v>861</v>
      </c>
      <c r="V32" t="str">
        <f>CONCATENATE(U32, " ",T32)</f>
        <v>Carrie Taber</v>
      </c>
    </row>
    <row r="33" spans="1:22" x14ac:dyDescent="0.2">
      <c r="A33" s="4" t="s">
        <v>92</v>
      </c>
      <c r="B33" s="2">
        <v>8244481</v>
      </c>
      <c r="C33" s="4" t="s">
        <v>323</v>
      </c>
      <c r="D33" s="4" t="s">
        <v>324</v>
      </c>
      <c r="E33" s="3">
        <v>45931</v>
      </c>
      <c r="F33" s="4" t="s">
        <v>88</v>
      </c>
      <c r="G33" s="4" t="s">
        <v>311</v>
      </c>
      <c r="H33" s="4" t="s">
        <v>46</v>
      </c>
      <c r="I33" s="5">
        <v>10</v>
      </c>
      <c r="J33" s="5">
        <v>13.93</v>
      </c>
      <c r="K33" s="5">
        <v>1.39</v>
      </c>
      <c r="L33" s="4" t="s">
        <v>325</v>
      </c>
      <c r="M33" s="3">
        <v>45614</v>
      </c>
      <c r="N33" s="6" t="s">
        <v>598</v>
      </c>
      <c r="R33">
        <v>9029564860</v>
      </c>
      <c r="S33" t="str">
        <f>CONCATENATE(R33,4)</f>
        <v>90295648604</v>
      </c>
      <c r="T33" s="4" t="s">
        <v>862</v>
      </c>
      <c r="U33" t="s">
        <v>863</v>
      </c>
      <c r="V33" t="str">
        <f>CONCATENATE(U33, " ",T33)</f>
        <v>Therese Thompson</v>
      </c>
    </row>
    <row r="34" spans="1:22" x14ac:dyDescent="0.2">
      <c r="A34" s="4" t="s">
        <v>92</v>
      </c>
      <c r="B34" s="2">
        <v>8244481</v>
      </c>
      <c r="C34" s="4" t="s">
        <v>334</v>
      </c>
      <c r="D34" s="4" t="s">
        <v>335</v>
      </c>
      <c r="E34" s="3">
        <v>45931</v>
      </c>
      <c r="F34" s="4" t="s">
        <v>88</v>
      </c>
      <c r="G34" s="4" t="s">
        <v>316</v>
      </c>
      <c r="H34" s="4" t="s">
        <v>46</v>
      </c>
      <c r="I34" s="5">
        <v>10</v>
      </c>
      <c r="J34" s="5">
        <v>24.54</v>
      </c>
      <c r="K34" s="5">
        <v>2.4500000000000002</v>
      </c>
      <c r="L34" s="4" t="s">
        <v>325</v>
      </c>
      <c r="M34" s="3">
        <v>45646</v>
      </c>
      <c r="N34" s="6" t="s">
        <v>598</v>
      </c>
      <c r="R34">
        <v>9029715470</v>
      </c>
      <c r="S34" t="str">
        <f>CONCATENATE(R34,4)</f>
        <v>90297154704</v>
      </c>
      <c r="T34" s="4" t="s">
        <v>872</v>
      </c>
      <c r="U34" t="s">
        <v>849</v>
      </c>
      <c r="V34" t="str">
        <f>CONCATENATE(U34, " ",T34)</f>
        <v>Angela Larimer</v>
      </c>
    </row>
    <row r="35" spans="1:22" x14ac:dyDescent="0.2">
      <c r="A35" s="4" t="s">
        <v>92</v>
      </c>
      <c r="B35" s="2">
        <v>8244481</v>
      </c>
      <c r="C35" s="4" t="s">
        <v>329</v>
      </c>
      <c r="D35" s="4" t="s">
        <v>330</v>
      </c>
      <c r="E35" s="3">
        <v>45931</v>
      </c>
      <c r="F35" s="4" t="s">
        <v>88</v>
      </c>
      <c r="G35" s="4" t="s">
        <v>316</v>
      </c>
      <c r="H35" s="4" t="s">
        <v>46</v>
      </c>
      <c r="I35" s="5">
        <v>10</v>
      </c>
      <c r="J35" s="5">
        <v>24.54</v>
      </c>
      <c r="K35" s="5">
        <v>2.4500000000000002</v>
      </c>
      <c r="L35" s="4" t="s">
        <v>325</v>
      </c>
      <c r="M35" s="3">
        <v>45658</v>
      </c>
      <c r="N35" s="6" t="s">
        <v>598</v>
      </c>
      <c r="R35">
        <v>9029660210</v>
      </c>
      <c r="S35" t="str">
        <f>CONCATENATE(R35,4)</f>
        <v>90296602104</v>
      </c>
      <c r="T35" s="4" t="s">
        <v>873</v>
      </c>
      <c r="U35" t="s">
        <v>874</v>
      </c>
      <c r="V35" t="str">
        <f>CONCATENATE(U35, " ",T35)</f>
        <v>Janine Petrovic</v>
      </c>
    </row>
    <row r="36" spans="1:22" x14ac:dyDescent="0.2">
      <c r="A36" s="4" t="s">
        <v>92</v>
      </c>
      <c r="B36" s="2">
        <v>8244481</v>
      </c>
      <c r="C36" s="4" t="s">
        <v>331</v>
      </c>
      <c r="D36" s="4" t="s">
        <v>333</v>
      </c>
      <c r="E36" s="3">
        <v>45931</v>
      </c>
      <c r="F36" s="4" t="s">
        <v>88</v>
      </c>
      <c r="G36" s="4" t="s">
        <v>311</v>
      </c>
      <c r="H36" s="4" t="s">
        <v>46</v>
      </c>
      <c r="I36" s="5">
        <v>10</v>
      </c>
      <c r="J36" s="5">
        <v>26.88</v>
      </c>
      <c r="K36" s="5">
        <v>2.69</v>
      </c>
      <c r="L36" s="4" t="s">
        <v>325</v>
      </c>
      <c r="M36" s="3">
        <v>45658</v>
      </c>
      <c r="N36" s="6" t="s">
        <v>598</v>
      </c>
      <c r="R36">
        <v>9029685600</v>
      </c>
      <c r="S36" t="str">
        <f>CONCATENATE(R36,4)</f>
        <v>90296856004</v>
      </c>
      <c r="T36" s="4" t="s">
        <v>875</v>
      </c>
      <c r="U36" t="s">
        <v>876</v>
      </c>
      <c r="V36" t="str">
        <f>CONCATENATE(U36, " ",T36)</f>
        <v>Carla Finlen</v>
      </c>
    </row>
    <row r="37" spans="1:22" x14ac:dyDescent="0.2">
      <c r="A37" s="4" t="s">
        <v>92</v>
      </c>
      <c r="B37" s="2">
        <v>8244481</v>
      </c>
      <c r="C37" s="4" t="s">
        <v>307</v>
      </c>
      <c r="D37" s="4" t="s">
        <v>308</v>
      </c>
      <c r="E37" s="3">
        <v>45931</v>
      </c>
      <c r="F37" s="4" t="s">
        <v>88</v>
      </c>
      <c r="G37" s="4" t="s">
        <v>311</v>
      </c>
      <c r="H37" s="4" t="s">
        <v>46</v>
      </c>
      <c r="I37" s="5">
        <v>10</v>
      </c>
      <c r="J37" s="5">
        <v>26.88</v>
      </c>
      <c r="K37" s="5">
        <v>2.69</v>
      </c>
      <c r="L37" s="4" t="s">
        <v>312</v>
      </c>
      <c r="M37" s="3">
        <v>45384</v>
      </c>
      <c r="N37" s="6" t="s">
        <v>598</v>
      </c>
      <c r="R37">
        <v>3208409570</v>
      </c>
      <c r="S37" t="str">
        <f>CONCATENATE(R37,4)</f>
        <v>32084095704</v>
      </c>
      <c r="T37" s="4" t="s">
        <v>877</v>
      </c>
      <c r="U37" t="s">
        <v>878</v>
      </c>
      <c r="V37" t="str">
        <f>CONCATENATE(U37, " ",T37)</f>
        <v>Rebekah Schmidt</v>
      </c>
    </row>
    <row r="38" spans="1:22" x14ac:dyDescent="0.2">
      <c r="A38" s="4" t="s">
        <v>92</v>
      </c>
      <c r="B38" s="2">
        <v>8244481</v>
      </c>
      <c r="C38" s="4" t="s">
        <v>319</v>
      </c>
      <c r="D38" s="4" t="s">
        <v>320</v>
      </c>
      <c r="E38" s="3">
        <v>45931</v>
      </c>
      <c r="F38" s="4" t="s">
        <v>88</v>
      </c>
      <c r="G38" s="4" t="s">
        <v>311</v>
      </c>
      <c r="H38" s="4" t="s">
        <v>46</v>
      </c>
      <c r="I38" s="5">
        <v>10</v>
      </c>
      <c r="J38" s="5">
        <v>26.88</v>
      </c>
      <c r="K38" s="5">
        <v>2.69</v>
      </c>
      <c r="L38" s="4" t="s">
        <v>312</v>
      </c>
      <c r="M38" s="3">
        <v>45323</v>
      </c>
      <c r="N38" s="6" t="s">
        <v>598</v>
      </c>
      <c r="R38">
        <v>9028406240</v>
      </c>
      <c r="S38" t="str">
        <f>CONCATENATE(R38,4)</f>
        <v>90284062404</v>
      </c>
      <c r="T38" s="4" t="s">
        <v>879</v>
      </c>
      <c r="U38" t="s">
        <v>880</v>
      </c>
      <c r="V38" t="str">
        <f>CONCATENATE(U38, " ",T38)</f>
        <v>Joanna Young</v>
      </c>
    </row>
    <row r="39" spans="1:22" x14ac:dyDescent="0.2">
      <c r="A39" s="4" t="s">
        <v>92</v>
      </c>
      <c r="B39" s="2">
        <v>8244481</v>
      </c>
      <c r="C39" s="4" t="s">
        <v>321</v>
      </c>
      <c r="D39" s="4" t="s">
        <v>322</v>
      </c>
      <c r="E39" s="3">
        <v>45931</v>
      </c>
      <c r="F39" s="4" t="s">
        <v>88</v>
      </c>
      <c r="G39" s="4" t="s">
        <v>311</v>
      </c>
      <c r="H39" s="4" t="s">
        <v>46</v>
      </c>
      <c r="I39" s="5">
        <v>10</v>
      </c>
      <c r="J39" s="5">
        <v>46.8</v>
      </c>
      <c r="K39" s="5">
        <v>4.68</v>
      </c>
      <c r="L39" s="4" t="s">
        <v>312</v>
      </c>
      <c r="M39" s="3">
        <v>45328</v>
      </c>
      <c r="N39" s="6" t="s">
        <v>598</v>
      </c>
      <c r="R39">
        <v>9028454930</v>
      </c>
      <c r="S39" t="str">
        <f>CONCATENATE(R39,4)</f>
        <v>90284549304</v>
      </c>
      <c r="T39" s="4" t="s">
        <v>886</v>
      </c>
      <c r="U39" t="s">
        <v>887</v>
      </c>
      <c r="V39" t="str">
        <f>CONCATENATE(U39, " ",T39)</f>
        <v>Jessica McClure</v>
      </c>
    </row>
    <row r="40" spans="1:22" x14ac:dyDescent="0.2">
      <c r="A40" s="4" t="s">
        <v>92</v>
      </c>
      <c r="B40" s="2">
        <v>8244481</v>
      </c>
      <c r="C40" s="4" t="s">
        <v>331</v>
      </c>
      <c r="D40" s="4" t="s">
        <v>332</v>
      </c>
      <c r="E40" s="3">
        <v>45931</v>
      </c>
      <c r="F40" s="4" t="s">
        <v>88</v>
      </c>
      <c r="G40" s="4" t="s">
        <v>316</v>
      </c>
      <c r="H40" s="4" t="s">
        <v>46</v>
      </c>
      <c r="I40" s="5">
        <v>10</v>
      </c>
      <c r="J40" s="5">
        <v>97.6</v>
      </c>
      <c r="K40" s="5">
        <v>9.76</v>
      </c>
      <c r="L40" s="4" t="s">
        <v>325</v>
      </c>
      <c r="M40" s="3">
        <v>45658</v>
      </c>
      <c r="N40" s="6" t="s">
        <v>598</v>
      </c>
      <c r="R40">
        <v>9029685590</v>
      </c>
      <c r="S40" t="str">
        <f>CONCATENATE(R40,4)</f>
        <v>90296855904</v>
      </c>
      <c r="T40" s="4" t="s">
        <v>875</v>
      </c>
      <c r="U40" t="s">
        <v>876</v>
      </c>
      <c r="V40" t="str">
        <f>CONCATENATE(U40, " ",T40)</f>
        <v>Carla Finlen</v>
      </c>
    </row>
    <row r="41" spans="1:22" x14ac:dyDescent="0.2">
      <c r="A41" s="4" t="s">
        <v>92</v>
      </c>
      <c r="B41" s="2">
        <v>8244481</v>
      </c>
      <c r="C41" s="4" t="s">
        <v>96</v>
      </c>
      <c r="D41" s="4" t="s">
        <v>97</v>
      </c>
      <c r="E41" s="3">
        <v>45901</v>
      </c>
      <c r="F41" s="4" t="s">
        <v>49</v>
      </c>
      <c r="G41" s="4" t="s">
        <v>51</v>
      </c>
      <c r="H41" s="4" t="s">
        <v>68</v>
      </c>
      <c r="I41" s="5">
        <v>0</v>
      </c>
      <c r="J41" s="5">
        <v>0</v>
      </c>
      <c r="K41" s="5">
        <v>-104.33</v>
      </c>
      <c r="L41" s="4" t="s">
        <v>53</v>
      </c>
      <c r="M41" s="3">
        <v>45901</v>
      </c>
      <c r="N41" s="6" t="s">
        <v>612</v>
      </c>
      <c r="O41" t="s">
        <v>608</v>
      </c>
      <c r="R41" s="7" t="s">
        <v>97</v>
      </c>
      <c r="S41" t="str">
        <f>CONCATENATE(R41,6)</f>
        <v>00023586114K6</v>
      </c>
      <c r="T41" s="4" t="s">
        <v>627</v>
      </c>
      <c r="U41" t="s">
        <v>628</v>
      </c>
      <c r="V41" t="str">
        <f>CONCATENATE(U41, " ",T41)</f>
        <v>KATHERINE BROWN</v>
      </c>
    </row>
    <row r="42" spans="1:22" x14ac:dyDescent="0.2">
      <c r="A42" s="4" t="s">
        <v>92</v>
      </c>
      <c r="B42" s="2">
        <v>8244481</v>
      </c>
      <c r="C42" s="4" t="s">
        <v>93</v>
      </c>
      <c r="D42" s="4" t="s">
        <v>94</v>
      </c>
      <c r="E42" s="3">
        <v>45901</v>
      </c>
      <c r="F42" s="4" t="s">
        <v>49</v>
      </c>
      <c r="G42" s="4" t="s">
        <v>51</v>
      </c>
      <c r="H42" s="4" t="s">
        <v>68</v>
      </c>
      <c r="I42" s="5">
        <v>0</v>
      </c>
      <c r="J42" s="5">
        <v>0</v>
      </c>
      <c r="K42" s="5">
        <v>-104.33</v>
      </c>
      <c r="L42" s="4" t="s">
        <v>53</v>
      </c>
      <c r="M42" s="3">
        <v>45901</v>
      </c>
      <c r="N42" s="6" t="s">
        <v>612</v>
      </c>
      <c r="O42" t="s">
        <v>608</v>
      </c>
      <c r="R42" s="7" t="s">
        <v>94</v>
      </c>
      <c r="S42" t="str">
        <f>CONCATENATE(R42,6)</f>
        <v>00023560633K6</v>
      </c>
      <c r="T42" s="4" t="s">
        <v>629</v>
      </c>
      <c r="U42" t="s">
        <v>630</v>
      </c>
      <c r="V42" t="str">
        <f>CONCATENATE(U42, " ",T42)</f>
        <v>ALICE BROWNING</v>
      </c>
    </row>
    <row r="43" spans="1:22" x14ac:dyDescent="0.2">
      <c r="A43" s="4" t="s">
        <v>92</v>
      </c>
      <c r="B43" s="2">
        <v>8244481</v>
      </c>
      <c r="C43" s="4" t="s">
        <v>99</v>
      </c>
      <c r="D43" s="4" t="s">
        <v>100</v>
      </c>
      <c r="E43" s="3">
        <v>45901</v>
      </c>
      <c r="F43" s="4" t="s">
        <v>49</v>
      </c>
      <c r="G43" s="4" t="s">
        <v>51</v>
      </c>
      <c r="H43" s="4" t="s">
        <v>68</v>
      </c>
      <c r="I43" s="5">
        <v>0.33</v>
      </c>
      <c r="J43" s="5">
        <v>0</v>
      </c>
      <c r="K43" s="5">
        <v>104.33</v>
      </c>
      <c r="L43" s="4" t="s">
        <v>62</v>
      </c>
      <c r="M43" s="3">
        <v>45901</v>
      </c>
      <c r="N43" s="6" t="s">
        <v>612</v>
      </c>
      <c r="O43" t="s">
        <v>608</v>
      </c>
      <c r="R43" s="7" t="s">
        <v>100</v>
      </c>
      <c r="S43" t="str">
        <f>CONCATENATE(R43,6)</f>
        <v>00023602340K6</v>
      </c>
      <c r="T43" s="4" t="s">
        <v>921</v>
      </c>
      <c r="U43" t="s">
        <v>735</v>
      </c>
      <c r="V43" t="str">
        <f>CONCATENATE(U43, " ",T43)</f>
        <v>JOSEPH KERNER</v>
      </c>
    </row>
    <row r="44" spans="1:22" x14ac:dyDescent="0.2">
      <c r="A44" s="4" t="s">
        <v>159</v>
      </c>
      <c r="B44" s="2">
        <v>17126004</v>
      </c>
      <c r="C44" s="4" t="s">
        <v>160</v>
      </c>
      <c r="D44" s="4" t="s">
        <v>161</v>
      </c>
      <c r="E44" s="3">
        <v>45870</v>
      </c>
      <c r="F44" s="4" t="s">
        <v>67</v>
      </c>
      <c r="G44" s="4" t="s">
        <v>51</v>
      </c>
      <c r="H44" s="4" t="s">
        <v>60</v>
      </c>
      <c r="I44" s="5">
        <v>0</v>
      </c>
      <c r="J44" s="5">
        <v>0</v>
      </c>
      <c r="K44" s="5">
        <v>626</v>
      </c>
      <c r="L44" s="4" t="s">
        <v>53</v>
      </c>
      <c r="M44" s="3">
        <v>45870</v>
      </c>
      <c r="N44" s="6" t="s">
        <v>619</v>
      </c>
      <c r="O44" t="s">
        <v>613</v>
      </c>
      <c r="R44" s="7" t="s">
        <v>161</v>
      </c>
      <c r="S44" t="str">
        <f>CONCATENATE(R44,7)</f>
        <v>00023573496K7</v>
      </c>
      <c r="T44" s="4" t="s">
        <v>674</v>
      </c>
      <c r="U44" t="s">
        <v>642</v>
      </c>
      <c r="V44" t="str">
        <f>CONCATENATE(U44, " ",T44)</f>
        <v>JAMES STAUB</v>
      </c>
    </row>
    <row r="45" spans="1:22" x14ac:dyDescent="0.2">
      <c r="A45" s="4" t="s">
        <v>159</v>
      </c>
      <c r="B45" s="2">
        <v>17126004</v>
      </c>
      <c r="C45" s="4" t="s">
        <v>160</v>
      </c>
      <c r="D45" s="4" t="s">
        <v>161</v>
      </c>
      <c r="E45" s="3">
        <v>45870</v>
      </c>
      <c r="F45" s="4" t="s">
        <v>67</v>
      </c>
      <c r="G45" s="4" t="s">
        <v>51</v>
      </c>
      <c r="H45" s="4" t="s">
        <v>60</v>
      </c>
      <c r="I45" s="5">
        <v>0</v>
      </c>
      <c r="J45" s="5">
        <v>0</v>
      </c>
      <c r="K45" s="5">
        <v>-130.41999999999999</v>
      </c>
      <c r="L45" s="4" t="s">
        <v>53</v>
      </c>
      <c r="M45" s="3">
        <v>45870</v>
      </c>
      <c r="N45" s="6" t="s">
        <v>612</v>
      </c>
      <c r="O45" t="s">
        <v>607</v>
      </c>
      <c r="R45" s="7" t="s">
        <v>161</v>
      </c>
      <c r="S45" t="str">
        <f>CONCATENATE(R45,6)</f>
        <v>00023573496K6</v>
      </c>
      <c r="T45" s="4" t="s">
        <v>674</v>
      </c>
      <c r="U45" t="s">
        <v>642</v>
      </c>
      <c r="V45" t="str">
        <f>CONCATENATE(U45, " ",T45)</f>
        <v>JAMES STAUB</v>
      </c>
    </row>
    <row r="46" spans="1:22" x14ac:dyDescent="0.2">
      <c r="A46" s="4" t="s">
        <v>240</v>
      </c>
      <c r="B46" s="2">
        <v>18828278</v>
      </c>
      <c r="C46" s="4" t="s">
        <v>241</v>
      </c>
      <c r="D46" s="4" t="s">
        <v>242</v>
      </c>
      <c r="E46" s="3">
        <v>45901</v>
      </c>
      <c r="F46" s="4" t="s">
        <v>49</v>
      </c>
      <c r="G46" s="4" t="s">
        <v>51</v>
      </c>
      <c r="H46" s="4" t="s">
        <v>68</v>
      </c>
      <c r="I46" s="5">
        <v>0</v>
      </c>
      <c r="J46" s="5">
        <v>0</v>
      </c>
      <c r="K46" s="5">
        <v>626</v>
      </c>
      <c r="L46" s="4" t="s">
        <v>53</v>
      </c>
      <c r="M46" s="3">
        <v>45901</v>
      </c>
      <c r="N46" s="6" t="s">
        <v>619</v>
      </c>
      <c r="O46" t="s">
        <v>613</v>
      </c>
      <c r="R46" s="7" t="s">
        <v>242</v>
      </c>
      <c r="S46" t="str">
        <f>CONCATENATE(R46,7)</f>
        <v>00023584377K7</v>
      </c>
      <c r="T46" s="4" t="s">
        <v>658</v>
      </c>
      <c r="U46" t="s">
        <v>677</v>
      </c>
      <c r="V46" t="str">
        <f>CONCATENATE(U46, " ",T46)</f>
        <v>ROY THOMPSON</v>
      </c>
    </row>
    <row r="47" spans="1:22" x14ac:dyDescent="0.2">
      <c r="A47" s="4" t="s">
        <v>240</v>
      </c>
      <c r="B47" s="2">
        <v>18828278</v>
      </c>
      <c r="C47" s="4" t="s">
        <v>532</v>
      </c>
      <c r="D47" s="4" t="s">
        <v>533</v>
      </c>
      <c r="E47" s="3">
        <v>45901</v>
      </c>
      <c r="F47" s="4" t="s">
        <v>49</v>
      </c>
      <c r="G47" s="4" t="s">
        <v>51</v>
      </c>
      <c r="H47" s="4" t="s">
        <v>46</v>
      </c>
      <c r="I47" s="5">
        <v>22</v>
      </c>
      <c r="J47" s="5">
        <v>1863.24</v>
      </c>
      <c r="K47" s="5">
        <v>409.92</v>
      </c>
      <c r="L47" s="4" t="s">
        <v>364</v>
      </c>
      <c r="M47" s="3">
        <v>45901</v>
      </c>
      <c r="N47" s="6" t="s">
        <v>601</v>
      </c>
      <c r="R47" s="7" t="s">
        <v>533</v>
      </c>
      <c r="S47" t="str">
        <f>CONCATENATE(R47,8)</f>
        <v>00001026530A8</v>
      </c>
      <c r="T47" s="4" t="s">
        <v>774</v>
      </c>
      <c r="U47" t="s">
        <v>775</v>
      </c>
      <c r="V47" t="str">
        <f>CONCATENATE(U47, " ",T47)</f>
        <v>MARK GRESHAM</v>
      </c>
    </row>
    <row r="48" spans="1:22" x14ac:dyDescent="0.2">
      <c r="A48" s="4" t="s">
        <v>240</v>
      </c>
      <c r="B48" s="2">
        <v>18828278</v>
      </c>
      <c r="C48" s="4" t="s">
        <v>537</v>
      </c>
      <c r="D48" s="4" t="s">
        <v>538</v>
      </c>
      <c r="E48" s="3">
        <v>45931</v>
      </c>
      <c r="F48" s="4" t="s">
        <v>88</v>
      </c>
      <c r="G48" s="4" t="s">
        <v>311</v>
      </c>
      <c r="H48" s="4" t="s">
        <v>46</v>
      </c>
      <c r="I48" s="5">
        <v>10</v>
      </c>
      <c r="J48" s="5">
        <v>13.93</v>
      </c>
      <c r="K48" s="5">
        <v>1.39</v>
      </c>
      <c r="L48" s="4" t="s">
        <v>325</v>
      </c>
      <c r="M48" s="3">
        <v>45778</v>
      </c>
      <c r="N48" s="6" t="s">
        <v>598</v>
      </c>
      <c r="R48">
        <v>9030268320</v>
      </c>
      <c r="S48" t="str">
        <f>CONCATENATE(R48,4)</f>
        <v>90302683204</v>
      </c>
      <c r="T48" s="4" t="s">
        <v>858</v>
      </c>
      <c r="U48" t="s">
        <v>859</v>
      </c>
      <c r="V48" t="str">
        <f>CONCATENATE(U48, " ",T48)</f>
        <v>Jeffrey Smith</v>
      </c>
    </row>
    <row r="49" spans="1:22" x14ac:dyDescent="0.2">
      <c r="A49" s="4" t="s">
        <v>240</v>
      </c>
      <c r="B49" s="2">
        <v>18828278</v>
      </c>
      <c r="C49" s="4" t="s">
        <v>535</v>
      </c>
      <c r="D49" s="4" t="s">
        <v>536</v>
      </c>
      <c r="E49" s="3">
        <v>45931</v>
      </c>
      <c r="F49" s="4" t="s">
        <v>88</v>
      </c>
      <c r="G49" s="4" t="s">
        <v>316</v>
      </c>
      <c r="H49" s="4" t="s">
        <v>46</v>
      </c>
      <c r="I49" s="5">
        <v>10</v>
      </c>
      <c r="J49" s="5">
        <v>41.82</v>
      </c>
      <c r="K49" s="5">
        <v>4.18</v>
      </c>
      <c r="L49" s="4" t="s">
        <v>325</v>
      </c>
      <c r="M49" s="3">
        <v>45658</v>
      </c>
      <c r="N49" s="6" t="s">
        <v>598</v>
      </c>
      <c r="R49">
        <v>9029455080</v>
      </c>
      <c r="S49" t="str">
        <f>CONCATENATE(R49,4)</f>
        <v>90294550804</v>
      </c>
      <c r="T49" s="4" t="s">
        <v>884</v>
      </c>
      <c r="U49" t="s">
        <v>885</v>
      </c>
      <c r="V49" t="str">
        <f>CONCATENATE(U49, " ",T49)</f>
        <v>Patti Green</v>
      </c>
    </row>
    <row r="50" spans="1:22" x14ac:dyDescent="0.2">
      <c r="A50" s="4" t="s">
        <v>240</v>
      </c>
      <c r="B50" s="2">
        <v>18828278</v>
      </c>
      <c r="C50" s="4" t="s">
        <v>241</v>
      </c>
      <c r="D50" s="4" t="s">
        <v>242</v>
      </c>
      <c r="E50" s="3">
        <v>45901</v>
      </c>
      <c r="F50" s="4" t="s">
        <v>49</v>
      </c>
      <c r="G50" s="4" t="s">
        <v>51</v>
      </c>
      <c r="H50" s="4" t="s">
        <v>68</v>
      </c>
      <c r="I50" s="5">
        <v>0</v>
      </c>
      <c r="J50" s="5">
        <v>0</v>
      </c>
      <c r="K50" s="5">
        <v>-104.33</v>
      </c>
      <c r="L50" s="4" t="s">
        <v>53</v>
      </c>
      <c r="M50" s="3">
        <v>45901</v>
      </c>
      <c r="N50" s="6" t="s">
        <v>612</v>
      </c>
      <c r="O50" t="s">
        <v>608</v>
      </c>
      <c r="R50" s="7" t="s">
        <v>242</v>
      </c>
      <c r="S50" t="str">
        <f>CONCATENATE(R50,6)</f>
        <v>00023584377K6</v>
      </c>
      <c r="T50" s="4" t="s">
        <v>658</v>
      </c>
      <c r="U50" t="s">
        <v>677</v>
      </c>
      <c r="V50" t="str">
        <f>CONCATENATE(U50, " ",T50)</f>
        <v>ROY THOMPSON</v>
      </c>
    </row>
    <row r="51" spans="1:22" x14ac:dyDescent="0.2">
      <c r="A51" s="4" t="s">
        <v>180</v>
      </c>
      <c r="B51" s="2">
        <v>17425766</v>
      </c>
      <c r="C51" s="4" t="s">
        <v>181</v>
      </c>
      <c r="D51" s="4" t="s">
        <v>182</v>
      </c>
      <c r="E51" s="3">
        <v>45962</v>
      </c>
      <c r="F51" s="4" t="s">
        <v>76</v>
      </c>
      <c r="G51" s="4" t="s">
        <v>51</v>
      </c>
      <c r="H51" s="4" t="s">
        <v>60</v>
      </c>
      <c r="I51" s="5">
        <v>0</v>
      </c>
      <c r="J51" s="5">
        <v>0</v>
      </c>
      <c r="K51" s="5">
        <v>626</v>
      </c>
      <c r="L51" s="4" t="s">
        <v>53</v>
      </c>
      <c r="M51" s="3">
        <v>45962</v>
      </c>
      <c r="N51" s="6" t="s">
        <v>619</v>
      </c>
      <c r="O51" t="s">
        <v>613</v>
      </c>
      <c r="R51" s="7" t="s">
        <v>182</v>
      </c>
      <c r="S51" t="str">
        <f>CONCATENATE(R51,7)</f>
        <v>00023543293K7</v>
      </c>
      <c r="T51" s="4" t="s">
        <v>664</v>
      </c>
      <c r="U51" t="s">
        <v>665</v>
      </c>
      <c r="V51" t="str">
        <f>CONCATENATE(U51, " ",T51)</f>
        <v>ZAGORKA MIRKOVIC</v>
      </c>
    </row>
    <row r="52" spans="1:22" x14ac:dyDescent="0.2">
      <c r="A52" s="4" t="s">
        <v>180</v>
      </c>
      <c r="B52" s="2">
        <v>17425766</v>
      </c>
      <c r="C52" s="4" t="s">
        <v>184</v>
      </c>
      <c r="D52" s="4" t="s">
        <v>185</v>
      </c>
      <c r="E52" s="3">
        <v>45931</v>
      </c>
      <c r="F52" s="4" t="s">
        <v>88</v>
      </c>
      <c r="G52" s="4" t="s">
        <v>51</v>
      </c>
      <c r="H52" s="4" t="s">
        <v>68</v>
      </c>
      <c r="I52" s="5">
        <v>0</v>
      </c>
      <c r="J52" s="5">
        <v>0</v>
      </c>
      <c r="K52" s="5">
        <v>705</v>
      </c>
      <c r="L52" s="4" t="s">
        <v>53</v>
      </c>
      <c r="M52" s="3">
        <v>45931</v>
      </c>
      <c r="N52" s="6" t="s">
        <v>618</v>
      </c>
      <c r="O52" t="s">
        <v>616</v>
      </c>
      <c r="R52" s="7" t="s">
        <v>185</v>
      </c>
      <c r="S52" t="str">
        <f>CONCATENATE(R52,7)</f>
        <v>00023566647K7</v>
      </c>
      <c r="T52" s="4" t="s">
        <v>689</v>
      </c>
      <c r="U52" t="s">
        <v>690</v>
      </c>
      <c r="V52" t="str">
        <f>CONCATENATE(U52, " ",T52)</f>
        <v>BARBARA PHELAN</v>
      </c>
    </row>
    <row r="53" spans="1:22" x14ac:dyDescent="0.2">
      <c r="A53" s="4" t="s">
        <v>180</v>
      </c>
      <c r="B53" s="2">
        <v>17425766</v>
      </c>
      <c r="C53" s="4" t="s">
        <v>184</v>
      </c>
      <c r="D53" s="4" t="s">
        <v>185</v>
      </c>
      <c r="E53" s="3">
        <v>45931</v>
      </c>
      <c r="F53" s="4" t="s">
        <v>88</v>
      </c>
      <c r="G53" s="4" t="s">
        <v>51</v>
      </c>
      <c r="H53" s="4" t="s">
        <v>68</v>
      </c>
      <c r="I53" s="5">
        <v>0</v>
      </c>
      <c r="J53" s="5">
        <v>0</v>
      </c>
      <c r="K53" s="5">
        <v>-88.25</v>
      </c>
      <c r="L53" s="4" t="s">
        <v>53</v>
      </c>
      <c r="M53" s="3">
        <v>45931</v>
      </c>
      <c r="N53" s="6" t="s">
        <v>614</v>
      </c>
      <c r="O53" t="s">
        <v>615</v>
      </c>
      <c r="R53" s="7" t="s">
        <v>185</v>
      </c>
      <c r="S53" t="str">
        <f>CONCATENATE(R53,6)</f>
        <v>00023566647K6</v>
      </c>
      <c r="T53" s="4" t="s">
        <v>689</v>
      </c>
      <c r="U53" t="s">
        <v>690</v>
      </c>
      <c r="V53" t="str">
        <f>CONCATENATE(U53, " ",T53)</f>
        <v>BARBARA PHELAN</v>
      </c>
    </row>
    <row r="54" spans="1:22" x14ac:dyDescent="0.2">
      <c r="A54" s="4" t="s">
        <v>180</v>
      </c>
      <c r="B54" s="2">
        <v>17425766</v>
      </c>
      <c r="C54" s="4" t="s">
        <v>181</v>
      </c>
      <c r="D54" s="4" t="s">
        <v>182</v>
      </c>
      <c r="E54" s="3">
        <v>45962</v>
      </c>
      <c r="F54" s="4" t="s">
        <v>76</v>
      </c>
      <c r="G54" s="4" t="s">
        <v>51</v>
      </c>
      <c r="H54" s="4" t="s">
        <v>60</v>
      </c>
      <c r="I54" s="5">
        <v>0</v>
      </c>
      <c r="J54" s="5">
        <v>0</v>
      </c>
      <c r="K54" s="5">
        <v>-52.17</v>
      </c>
      <c r="L54" s="4" t="s">
        <v>53</v>
      </c>
      <c r="M54" s="3">
        <v>45962</v>
      </c>
      <c r="N54" s="6" t="s">
        <v>612</v>
      </c>
      <c r="O54" t="s">
        <v>611</v>
      </c>
      <c r="R54" s="7" t="s">
        <v>182</v>
      </c>
      <c r="S54" t="str">
        <f>CONCATENATE(R54,6)</f>
        <v>00023543293K6</v>
      </c>
      <c r="T54" s="4" t="s">
        <v>664</v>
      </c>
      <c r="U54" t="s">
        <v>665</v>
      </c>
      <c r="V54" t="str">
        <f>CONCATENATE(U54, " ",T54)</f>
        <v>ZAGORKA MIRKOVIC</v>
      </c>
    </row>
    <row r="55" spans="1:22" x14ac:dyDescent="0.2">
      <c r="A55" s="4" t="s">
        <v>271</v>
      </c>
      <c r="B55" s="2">
        <v>21283956</v>
      </c>
      <c r="C55" s="4" t="s">
        <v>272</v>
      </c>
      <c r="D55" s="4" t="s">
        <v>273</v>
      </c>
      <c r="E55" s="3">
        <v>45901</v>
      </c>
      <c r="F55" s="4" t="s">
        <v>49</v>
      </c>
      <c r="G55" s="4" t="s">
        <v>51</v>
      </c>
      <c r="H55" s="4" t="s">
        <v>68</v>
      </c>
      <c r="I55" s="5">
        <v>0</v>
      </c>
      <c r="J55" s="5">
        <v>0</v>
      </c>
      <c r="K55" s="5">
        <v>626</v>
      </c>
      <c r="L55" s="4" t="s">
        <v>53</v>
      </c>
      <c r="M55" s="3">
        <v>45901</v>
      </c>
      <c r="N55" s="6" t="s">
        <v>619</v>
      </c>
      <c r="O55" t="s">
        <v>613</v>
      </c>
      <c r="R55" s="7" t="s">
        <v>273</v>
      </c>
      <c r="S55" t="str">
        <f>CONCATENATE(R55,7)</f>
        <v>00023584451K7</v>
      </c>
      <c r="T55" s="4" t="s">
        <v>623</v>
      </c>
      <c r="U55" t="s">
        <v>624</v>
      </c>
      <c r="V55" t="str">
        <f>CONCATENATE(U55, " ",T55)</f>
        <v>MARIANNE BOWMAN</v>
      </c>
    </row>
    <row r="56" spans="1:22" x14ac:dyDescent="0.2">
      <c r="A56" s="4" t="s">
        <v>271</v>
      </c>
      <c r="B56" s="2">
        <v>21283956</v>
      </c>
      <c r="C56" s="4" t="s">
        <v>272</v>
      </c>
      <c r="D56" s="4" t="s">
        <v>273</v>
      </c>
      <c r="E56" s="3">
        <v>45901</v>
      </c>
      <c r="F56" s="4" t="s">
        <v>49</v>
      </c>
      <c r="G56" s="4" t="s">
        <v>51</v>
      </c>
      <c r="H56" s="4" t="s">
        <v>68</v>
      </c>
      <c r="I56" s="5">
        <v>0</v>
      </c>
      <c r="J56" s="5">
        <v>0</v>
      </c>
      <c r="K56" s="5">
        <v>-104.33</v>
      </c>
      <c r="L56" s="4" t="s">
        <v>53</v>
      </c>
      <c r="M56" s="3">
        <v>45901</v>
      </c>
      <c r="N56" s="6" t="s">
        <v>612</v>
      </c>
      <c r="O56" t="s">
        <v>608</v>
      </c>
      <c r="R56" s="7" t="s">
        <v>273</v>
      </c>
      <c r="S56" t="str">
        <f>CONCATENATE(R56,6)</f>
        <v>00023584451K6</v>
      </c>
      <c r="T56" s="4" t="s">
        <v>623</v>
      </c>
      <c r="U56" t="s">
        <v>624</v>
      </c>
      <c r="V56" t="str">
        <f>CONCATENATE(U56, " ",T56)</f>
        <v>MARIANNE BOWMAN</v>
      </c>
    </row>
    <row r="57" spans="1:22" x14ac:dyDescent="0.2">
      <c r="A57" s="4" t="s">
        <v>386</v>
      </c>
      <c r="B57" s="2">
        <v>16865615</v>
      </c>
      <c r="C57" s="4" t="s">
        <v>387</v>
      </c>
      <c r="D57" s="4" t="s">
        <v>388</v>
      </c>
      <c r="E57" s="3">
        <v>45901</v>
      </c>
      <c r="F57" s="4" t="s">
        <v>49</v>
      </c>
      <c r="G57" s="4" t="s">
        <v>51</v>
      </c>
      <c r="H57" s="4" t="s">
        <v>46</v>
      </c>
      <c r="I57" s="5">
        <v>22</v>
      </c>
      <c r="J57" s="5">
        <v>51.16</v>
      </c>
      <c r="K57" s="5">
        <v>11.26</v>
      </c>
      <c r="L57" s="4" t="s">
        <v>107</v>
      </c>
      <c r="M57" s="3">
        <v>45536</v>
      </c>
      <c r="N57" s="6" t="s">
        <v>601</v>
      </c>
      <c r="R57" s="7" t="s">
        <v>388</v>
      </c>
      <c r="S57" t="str">
        <f>CONCATENATE(R57,8)</f>
        <v>00000863285A8</v>
      </c>
      <c r="T57" s="4" t="s">
        <v>691</v>
      </c>
      <c r="U57" t="s">
        <v>692</v>
      </c>
      <c r="V57" t="str">
        <f>CONCATENATE(U57, " ",T57)</f>
        <v>REBECKAH TISCHNER</v>
      </c>
    </row>
    <row r="58" spans="1:22" x14ac:dyDescent="0.2">
      <c r="A58" s="4" t="s">
        <v>163</v>
      </c>
      <c r="B58" s="2">
        <v>17301495</v>
      </c>
      <c r="C58" s="4" t="s">
        <v>171</v>
      </c>
      <c r="D58" s="4" t="s">
        <v>172</v>
      </c>
      <c r="E58" s="3">
        <v>45870</v>
      </c>
      <c r="F58" s="4" t="s">
        <v>67</v>
      </c>
      <c r="G58" s="4" t="s">
        <v>51</v>
      </c>
      <c r="H58" s="4" t="s">
        <v>60</v>
      </c>
      <c r="I58" s="5">
        <v>0</v>
      </c>
      <c r="J58" s="5">
        <v>0</v>
      </c>
      <c r="K58" s="5">
        <v>626</v>
      </c>
      <c r="L58" s="4" t="s">
        <v>53</v>
      </c>
      <c r="M58" s="3">
        <v>45870</v>
      </c>
      <c r="N58" s="6" t="s">
        <v>619</v>
      </c>
      <c r="O58" t="s">
        <v>613</v>
      </c>
      <c r="R58" s="7" t="s">
        <v>172</v>
      </c>
      <c r="S58" t="str">
        <f>CONCATENATE(R58,7)</f>
        <v>00023529795K7</v>
      </c>
      <c r="T58" s="4" t="s">
        <v>631</v>
      </c>
      <c r="U58" t="s">
        <v>632</v>
      </c>
      <c r="V58" t="str">
        <f>CONCATENATE(U58, " ",T58)</f>
        <v>GILBERT CALZONZI</v>
      </c>
    </row>
    <row r="59" spans="1:22" x14ac:dyDescent="0.2">
      <c r="A59" s="4" t="s">
        <v>163</v>
      </c>
      <c r="B59" s="2">
        <v>17301495</v>
      </c>
      <c r="C59" s="4" t="s">
        <v>168</v>
      </c>
      <c r="D59" s="4" t="s">
        <v>169</v>
      </c>
      <c r="E59" s="3">
        <v>45870</v>
      </c>
      <c r="F59" s="4" t="s">
        <v>67</v>
      </c>
      <c r="G59" s="4" t="s">
        <v>51</v>
      </c>
      <c r="H59" s="4" t="s">
        <v>68</v>
      </c>
      <c r="I59" s="5">
        <v>0</v>
      </c>
      <c r="J59" s="5">
        <v>0</v>
      </c>
      <c r="K59" s="5">
        <v>626</v>
      </c>
      <c r="L59" s="4" t="s">
        <v>53</v>
      </c>
      <c r="M59" s="3">
        <v>45870</v>
      </c>
      <c r="N59" s="6" t="s">
        <v>619</v>
      </c>
      <c r="O59" t="s">
        <v>613</v>
      </c>
      <c r="R59" s="7" t="s">
        <v>169</v>
      </c>
      <c r="S59" t="str">
        <f>CONCATENATE(R59,7)</f>
        <v>00023529402K7</v>
      </c>
      <c r="T59" s="4" t="s">
        <v>637</v>
      </c>
      <c r="U59" t="s">
        <v>638</v>
      </c>
      <c r="V59" t="str">
        <f>CONCATENATE(U59, " ",T59)</f>
        <v>ROSE COSSYLEON</v>
      </c>
    </row>
    <row r="60" spans="1:22" x14ac:dyDescent="0.2">
      <c r="A60" s="4" t="s">
        <v>163</v>
      </c>
      <c r="B60" s="2">
        <v>17301495</v>
      </c>
      <c r="C60" s="4" t="s">
        <v>174</v>
      </c>
      <c r="D60" s="4" t="s">
        <v>175</v>
      </c>
      <c r="E60" s="3">
        <v>45870</v>
      </c>
      <c r="F60" s="4" t="s">
        <v>67</v>
      </c>
      <c r="G60" s="4" t="s">
        <v>51</v>
      </c>
      <c r="H60" s="4" t="s">
        <v>68</v>
      </c>
      <c r="I60" s="5">
        <v>0</v>
      </c>
      <c r="J60" s="5">
        <v>0</v>
      </c>
      <c r="K60" s="5">
        <v>626</v>
      </c>
      <c r="L60" s="4" t="s">
        <v>53</v>
      </c>
      <c r="M60" s="3">
        <v>45870</v>
      </c>
      <c r="N60" s="6" t="s">
        <v>619</v>
      </c>
      <c r="O60" t="s">
        <v>613</v>
      </c>
      <c r="R60" s="7" t="s">
        <v>175</v>
      </c>
      <c r="S60" t="str">
        <f>CONCATENATE(R60,7)</f>
        <v>00023531495K7</v>
      </c>
      <c r="T60" s="4" t="s">
        <v>645</v>
      </c>
      <c r="U60" t="s">
        <v>646</v>
      </c>
      <c r="V60" t="str">
        <f>CONCATENATE(U60, " ",T60)</f>
        <v>FRANCISCO GARCIA</v>
      </c>
    </row>
    <row r="61" spans="1:22" x14ac:dyDescent="0.2">
      <c r="A61" s="4" t="s">
        <v>163</v>
      </c>
      <c r="B61" s="2">
        <v>17301495</v>
      </c>
      <c r="C61" s="4" t="s">
        <v>171</v>
      </c>
      <c r="D61" s="4" t="s">
        <v>172</v>
      </c>
      <c r="E61" s="3">
        <v>45870</v>
      </c>
      <c r="F61" s="4" t="s">
        <v>67</v>
      </c>
      <c r="G61" s="4" t="s">
        <v>51</v>
      </c>
      <c r="H61" s="4" t="s">
        <v>60</v>
      </c>
      <c r="I61" s="5">
        <v>0</v>
      </c>
      <c r="J61" s="5">
        <v>0</v>
      </c>
      <c r="K61" s="5">
        <v>-130.41999999999999</v>
      </c>
      <c r="L61" s="4" t="s">
        <v>53</v>
      </c>
      <c r="M61" s="3">
        <v>45870</v>
      </c>
      <c r="N61" s="6" t="s">
        <v>612</v>
      </c>
      <c r="O61" t="s">
        <v>607</v>
      </c>
      <c r="R61" s="7" t="s">
        <v>172</v>
      </c>
      <c r="S61" t="str">
        <f>CONCATENATE(R61,6)</f>
        <v>00023529795K6</v>
      </c>
      <c r="T61" s="4" t="s">
        <v>631</v>
      </c>
      <c r="U61" t="s">
        <v>632</v>
      </c>
      <c r="V61" t="str">
        <f>CONCATENATE(U61, " ",T61)</f>
        <v>GILBERT CALZONZI</v>
      </c>
    </row>
    <row r="62" spans="1:22" x14ac:dyDescent="0.2">
      <c r="A62" s="4" t="s">
        <v>163</v>
      </c>
      <c r="B62" s="2">
        <v>17301495</v>
      </c>
      <c r="C62" s="4" t="s">
        <v>168</v>
      </c>
      <c r="D62" s="4" t="s">
        <v>169</v>
      </c>
      <c r="E62" s="3">
        <v>45870</v>
      </c>
      <c r="F62" s="4" t="s">
        <v>67</v>
      </c>
      <c r="G62" s="4" t="s">
        <v>51</v>
      </c>
      <c r="H62" s="4" t="s">
        <v>68</v>
      </c>
      <c r="I62" s="5">
        <v>0</v>
      </c>
      <c r="J62" s="5">
        <v>0</v>
      </c>
      <c r="K62" s="5">
        <v>-130.41999999999999</v>
      </c>
      <c r="L62" s="4" t="s">
        <v>53</v>
      </c>
      <c r="M62" s="3">
        <v>45870</v>
      </c>
      <c r="N62" s="6" t="s">
        <v>612</v>
      </c>
      <c r="O62" t="s">
        <v>607</v>
      </c>
      <c r="R62" s="7" t="s">
        <v>169</v>
      </c>
      <c r="S62" t="str">
        <f>CONCATENATE(R62,6)</f>
        <v>00023529402K6</v>
      </c>
      <c r="T62" s="4" t="s">
        <v>637</v>
      </c>
      <c r="U62" t="s">
        <v>638</v>
      </c>
      <c r="V62" t="str">
        <f>CONCATENATE(U62, " ",T62)</f>
        <v>ROSE COSSYLEON</v>
      </c>
    </row>
    <row r="63" spans="1:22" x14ac:dyDescent="0.2">
      <c r="A63" s="4" t="s">
        <v>163</v>
      </c>
      <c r="B63" s="2">
        <v>17301495</v>
      </c>
      <c r="C63" s="4" t="s">
        <v>174</v>
      </c>
      <c r="D63" s="4" t="s">
        <v>175</v>
      </c>
      <c r="E63" s="3">
        <v>45870</v>
      </c>
      <c r="F63" s="4" t="s">
        <v>67</v>
      </c>
      <c r="G63" s="4" t="s">
        <v>51</v>
      </c>
      <c r="H63" s="4" t="s">
        <v>68</v>
      </c>
      <c r="I63" s="5">
        <v>0</v>
      </c>
      <c r="J63" s="5">
        <v>0</v>
      </c>
      <c r="K63" s="5">
        <v>-130.41999999999999</v>
      </c>
      <c r="L63" s="4" t="s">
        <v>53</v>
      </c>
      <c r="M63" s="3">
        <v>45870</v>
      </c>
      <c r="N63" s="6" t="s">
        <v>612</v>
      </c>
      <c r="O63" t="s">
        <v>607</v>
      </c>
      <c r="R63" s="7" t="s">
        <v>175</v>
      </c>
      <c r="S63" t="str">
        <f>CONCATENATE(R63,6)</f>
        <v>00023531495K6</v>
      </c>
      <c r="T63" s="4" t="s">
        <v>645</v>
      </c>
      <c r="U63" t="s">
        <v>646</v>
      </c>
      <c r="V63" t="str">
        <f>CONCATENATE(U63, " ",T63)</f>
        <v>FRANCISCO GARCIA</v>
      </c>
    </row>
    <row r="64" spans="1:22" x14ac:dyDescent="0.2">
      <c r="A64" s="4" t="s">
        <v>163</v>
      </c>
      <c r="B64" s="2">
        <v>17301495</v>
      </c>
      <c r="C64" s="4" t="s">
        <v>164</v>
      </c>
      <c r="D64" s="4" t="s">
        <v>165</v>
      </c>
      <c r="E64" s="3">
        <v>45717</v>
      </c>
      <c r="F64" s="4" t="s">
        <v>167</v>
      </c>
      <c r="G64" s="4" t="s">
        <v>51</v>
      </c>
      <c r="H64" s="4" t="s">
        <v>60</v>
      </c>
      <c r="I64" s="5">
        <v>-0.33</v>
      </c>
      <c r="J64" s="5">
        <v>0</v>
      </c>
      <c r="K64" s="5">
        <v>-104.33</v>
      </c>
      <c r="L64" s="4" t="s">
        <v>62</v>
      </c>
      <c r="M64" s="3">
        <v>45717</v>
      </c>
      <c r="N64" s="6" t="s">
        <v>612</v>
      </c>
      <c r="O64" t="s">
        <v>608</v>
      </c>
      <c r="R64" s="7" t="s">
        <v>165</v>
      </c>
      <c r="S64" t="str">
        <f>CONCATENATE(R64,6)</f>
        <v>00010225769K6</v>
      </c>
      <c r="T64" s="4" t="s">
        <v>896</v>
      </c>
      <c r="U64" t="s">
        <v>897</v>
      </c>
      <c r="V64" t="str">
        <f>CONCATENATE(U64, " ",T64)</f>
        <v>ELIA FERRER</v>
      </c>
    </row>
    <row r="65" spans="1:22" x14ac:dyDescent="0.2">
      <c r="A65" s="4" t="s">
        <v>163</v>
      </c>
      <c r="B65" s="2">
        <v>17301495</v>
      </c>
      <c r="C65" s="4" t="s">
        <v>177</v>
      </c>
      <c r="D65" s="4" t="s">
        <v>178</v>
      </c>
      <c r="E65" s="3">
        <v>45901</v>
      </c>
      <c r="F65" s="4" t="s">
        <v>49</v>
      </c>
      <c r="G65" s="4" t="s">
        <v>51</v>
      </c>
      <c r="H65" s="4" t="s">
        <v>68</v>
      </c>
      <c r="I65" s="5">
        <v>0</v>
      </c>
      <c r="J65" s="5">
        <v>0</v>
      </c>
      <c r="K65" s="5">
        <v>104.34</v>
      </c>
      <c r="L65" s="4" t="s">
        <v>53</v>
      </c>
      <c r="M65" s="3">
        <v>45901</v>
      </c>
      <c r="N65" s="6" t="s">
        <v>612</v>
      </c>
      <c r="O65" t="s">
        <v>608</v>
      </c>
      <c r="R65" s="7" t="s">
        <v>178</v>
      </c>
      <c r="S65" t="str">
        <f>CONCATENATE(R65,6)</f>
        <v>00023554373K6</v>
      </c>
      <c r="T65" s="4" t="s">
        <v>922</v>
      </c>
      <c r="U65" t="s">
        <v>923</v>
      </c>
      <c r="V65" t="str">
        <f>CONCATENATE(U65, " ",T65)</f>
        <v>VIANEY ELIGIO</v>
      </c>
    </row>
    <row r="66" spans="1:22" x14ac:dyDescent="0.2">
      <c r="A66" s="4" t="s">
        <v>340</v>
      </c>
      <c r="B66" s="2">
        <v>15278437</v>
      </c>
      <c r="C66" s="4" t="s">
        <v>353</v>
      </c>
      <c r="D66" s="4" t="s">
        <v>354</v>
      </c>
      <c r="E66" s="3">
        <v>45901</v>
      </c>
      <c r="F66" s="4" t="s">
        <v>49</v>
      </c>
      <c r="G66" s="4" t="s">
        <v>51</v>
      </c>
      <c r="H66" s="4" t="s">
        <v>46</v>
      </c>
      <c r="I66" s="5">
        <v>22</v>
      </c>
      <c r="J66" s="5">
        <v>115.3</v>
      </c>
      <c r="K66" s="5">
        <v>25.37</v>
      </c>
      <c r="L66" s="4" t="s">
        <v>305</v>
      </c>
      <c r="M66" s="3">
        <v>45505</v>
      </c>
      <c r="N66" s="6" t="s">
        <v>601</v>
      </c>
      <c r="R66" s="7" t="s">
        <v>354</v>
      </c>
      <c r="S66" t="str">
        <f>CONCATENATE(R66,8)</f>
        <v>00000851892A8</v>
      </c>
      <c r="T66" s="4" t="s">
        <v>695</v>
      </c>
      <c r="U66" t="s">
        <v>696</v>
      </c>
      <c r="V66" t="str">
        <f>CONCATENATE(U66, " ",T66)</f>
        <v>WENDY AALBERTS</v>
      </c>
    </row>
    <row r="67" spans="1:22" x14ac:dyDescent="0.2">
      <c r="A67" s="4" t="s">
        <v>340</v>
      </c>
      <c r="B67" s="2">
        <v>15278437</v>
      </c>
      <c r="C67" s="4" t="s">
        <v>351</v>
      </c>
      <c r="D67" s="4" t="s">
        <v>352</v>
      </c>
      <c r="E67" s="3">
        <v>45901</v>
      </c>
      <c r="F67" s="4" t="s">
        <v>49</v>
      </c>
      <c r="G67" s="4" t="s">
        <v>51</v>
      </c>
      <c r="H67" s="4" t="s">
        <v>46</v>
      </c>
      <c r="I67" s="5">
        <v>22</v>
      </c>
      <c r="J67" s="5">
        <v>139.93</v>
      </c>
      <c r="K67" s="5">
        <v>30.78</v>
      </c>
      <c r="L67" s="4" t="s">
        <v>305</v>
      </c>
      <c r="M67" s="3">
        <v>45536</v>
      </c>
      <c r="N67" s="6" t="s">
        <v>601</v>
      </c>
      <c r="R67" s="7" t="s">
        <v>352</v>
      </c>
      <c r="S67" t="str">
        <f>CONCATENATE(R67,8)</f>
        <v>00000843023A8</v>
      </c>
      <c r="T67" s="4" t="s">
        <v>729</v>
      </c>
      <c r="U67" t="s">
        <v>650</v>
      </c>
      <c r="V67" t="str">
        <f>CONCATENATE(U67, " ",T67)</f>
        <v>KAREN KUNKEL</v>
      </c>
    </row>
    <row r="68" spans="1:22" x14ac:dyDescent="0.2">
      <c r="A68" s="4" t="s">
        <v>340</v>
      </c>
      <c r="B68" s="2">
        <v>15278437</v>
      </c>
      <c r="C68" s="4" t="s">
        <v>349</v>
      </c>
      <c r="D68" s="4" t="s">
        <v>350</v>
      </c>
      <c r="E68" s="3">
        <v>45901</v>
      </c>
      <c r="F68" s="4" t="s">
        <v>49</v>
      </c>
      <c r="G68" s="4" t="s">
        <v>51</v>
      </c>
      <c r="H68" s="4" t="s">
        <v>46</v>
      </c>
      <c r="I68" s="5">
        <v>22</v>
      </c>
      <c r="J68" s="5">
        <v>139.93</v>
      </c>
      <c r="K68" s="5">
        <v>30.78</v>
      </c>
      <c r="L68" s="4" t="s">
        <v>305</v>
      </c>
      <c r="M68" s="3">
        <v>45474</v>
      </c>
      <c r="N68" s="6" t="s">
        <v>601</v>
      </c>
      <c r="R68" s="7" t="s">
        <v>350</v>
      </c>
      <c r="S68" t="str">
        <f>CONCATENATE(R68,8)</f>
        <v>00000833566A8</v>
      </c>
      <c r="T68" s="4" t="s">
        <v>730</v>
      </c>
      <c r="U68" t="s">
        <v>731</v>
      </c>
      <c r="V68" t="str">
        <f>CONCATENATE(U68, " ",T68)</f>
        <v>DIANE LINAHAN</v>
      </c>
    </row>
    <row r="69" spans="1:22" x14ac:dyDescent="0.2">
      <c r="A69" s="4" t="s">
        <v>340</v>
      </c>
      <c r="B69" s="2">
        <v>15278437</v>
      </c>
      <c r="C69" s="4" t="s">
        <v>347</v>
      </c>
      <c r="D69" s="4" t="s">
        <v>348</v>
      </c>
      <c r="E69" s="3">
        <v>45901</v>
      </c>
      <c r="F69" s="4" t="s">
        <v>49</v>
      </c>
      <c r="G69" s="4" t="s">
        <v>51</v>
      </c>
      <c r="H69" s="4" t="s">
        <v>46</v>
      </c>
      <c r="I69" s="5">
        <v>22</v>
      </c>
      <c r="J69" s="5">
        <v>164</v>
      </c>
      <c r="K69" s="5">
        <v>36.08</v>
      </c>
      <c r="L69" s="4" t="s">
        <v>107</v>
      </c>
      <c r="M69" s="3">
        <v>45292</v>
      </c>
      <c r="N69" s="6" t="s">
        <v>601</v>
      </c>
      <c r="R69" s="7" t="s">
        <v>348</v>
      </c>
      <c r="S69" t="str">
        <f>CONCATENATE(R69,8)</f>
        <v>00000795448A8</v>
      </c>
      <c r="T69" s="4" t="s">
        <v>748</v>
      </c>
      <c r="U69" t="s">
        <v>749</v>
      </c>
      <c r="V69" t="str">
        <f>CONCATENATE(U69, " ",T69)</f>
        <v>CINDY FATSIS</v>
      </c>
    </row>
    <row r="70" spans="1:22" x14ac:dyDescent="0.2">
      <c r="A70" s="4" t="s">
        <v>340</v>
      </c>
      <c r="B70" s="2">
        <v>15278437</v>
      </c>
      <c r="C70" s="4" t="s">
        <v>343</v>
      </c>
      <c r="D70" s="4" t="s">
        <v>344</v>
      </c>
      <c r="E70" s="3">
        <v>45901</v>
      </c>
      <c r="F70" s="4" t="s">
        <v>49</v>
      </c>
      <c r="G70" s="4" t="s">
        <v>51</v>
      </c>
      <c r="H70" s="4" t="s">
        <v>46</v>
      </c>
      <c r="I70" s="5">
        <v>22</v>
      </c>
      <c r="J70" s="5">
        <v>193.65</v>
      </c>
      <c r="K70" s="5">
        <v>42.6</v>
      </c>
      <c r="L70" s="4" t="s">
        <v>305</v>
      </c>
      <c r="M70" s="3">
        <v>45292</v>
      </c>
      <c r="N70" s="6" t="s">
        <v>601</v>
      </c>
      <c r="R70" s="7" t="s">
        <v>344</v>
      </c>
      <c r="S70" t="str">
        <f>CONCATENATE(R70,8)</f>
        <v>00000770493A8</v>
      </c>
      <c r="T70" s="4" t="s">
        <v>751</v>
      </c>
      <c r="U70" t="s">
        <v>752</v>
      </c>
      <c r="V70" t="str">
        <f>CONCATENATE(U70, " ",T70)</f>
        <v>BONNIE VAGNONI</v>
      </c>
    </row>
    <row r="71" spans="1:22" x14ac:dyDescent="0.2">
      <c r="A71" s="4" t="s">
        <v>340</v>
      </c>
      <c r="B71" s="2">
        <v>15278437</v>
      </c>
      <c r="C71" s="4" t="s">
        <v>357</v>
      </c>
      <c r="D71" s="4" t="s">
        <v>358</v>
      </c>
      <c r="E71" s="3">
        <v>45901</v>
      </c>
      <c r="F71" s="4" t="s">
        <v>49</v>
      </c>
      <c r="G71" s="4" t="s">
        <v>51</v>
      </c>
      <c r="H71" s="4" t="s">
        <v>46</v>
      </c>
      <c r="I71" s="5">
        <v>11</v>
      </c>
      <c r="J71" s="5">
        <v>141.65</v>
      </c>
      <c r="K71" s="5">
        <v>15.58</v>
      </c>
      <c r="L71" s="4" t="s">
        <v>107</v>
      </c>
      <c r="M71" s="3">
        <v>45505</v>
      </c>
      <c r="N71" s="6" t="s">
        <v>602</v>
      </c>
      <c r="R71" s="7" t="s">
        <v>358</v>
      </c>
      <c r="S71" t="str">
        <f>CONCATENATE(R71,8)</f>
        <v>00000854764A8</v>
      </c>
      <c r="T71" s="4" t="s">
        <v>800</v>
      </c>
      <c r="U71" t="s">
        <v>801</v>
      </c>
      <c r="V71" t="str">
        <f>CONCATENATE(U71, " ",T71)</f>
        <v>LIPING SUN</v>
      </c>
    </row>
    <row r="72" spans="1:22" x14ac:dyDescent="0.2">
      <c r="A72" s="4" t="s">
        <v>340</v>
      </c>
      <c r="B72" s="2">
        <v>15278437</v>
      </c>
      <c r="C72" s="4" t="s">
        <v>355</v>
      </c>
      <c r="D72" s="4" t="s">
        <v>356</v>
      </c>
      <c r="E72" s="3">
        <v>45901</v>
      </c>
      <c r="F72" s="4" t="s">
        <v>49</v>
      </c>
      <c r="G72" s="4" t="s">
        <v>51</v>
      </c>
      <c r="H72" s="4" t="s">
        <v>46</v>
      </c>
      <c r="I72" s="5">
        <v>11</v>
      </c>
      <c r="J72" s="5">
        <v>207.79</v>
      </c>
      <c r="K72" s="5">
        <v>22.86</v>
      </c>
      <c r="L72" s="4" t="s">
        <v>107</v>
      </c>
      <c r="M72" s="3">
        <v>45505</v>
      </c>
      <c r="N72" s="6" t="s">
        <v>602</v>
      </c>
      <c r="R72" s="7" t="s">
        <v>356</v>
      </c>
      <c r="S72" t="str">
        <f>CONCATENATE(R72,8)</f>
        <v>00000854622A8</v>
      </c>
      <c r="T72" s="4" t="s">
        <v>800</v>
      </c>
      <c r="U72" t="s">
        <v>807</v>
      </c>
      <c r="V72" t="str">
        <f>CONCATENATE(U72, " ",T72)</f>
        <v>SHUZHONG SUN</v>
      </c>
    </row>
    <row r="73" spans="1:22" x14ac:dyDescent="0.2">
      <c r="A73" s="4" t="s">
        <v>340</v>
      </c>
      <c r="B73" s="2">
        <v>15278437</v>
      </c>
      <c r="C73" s="4" t="s">
        <v>359</v>
      </c>
      <c r="D73" s="4" t="s">
        <v>360</v>
      </c>
      <c r="E73" s="3">
        <v>45901</v>
      </c>
      <c r="F73" s="4" t="s">
        <v>49</v>
      </c>
      <c r="G73" s="4" t="s">
        <v>51</v>
      </c>
      <c r="H73" s="4" t="s">
        <v>46</v>
      </c>
      <c r="I73" s="5">
        <v>26</v>
      </c>
      <c r="J73" s="5">
        <v>116.09</v>
      </c>
      <c r="K73" s="5">
        <v>30.18</v>
      </c>
      <c r="L73" s="4" t="s">
        <v>305</v>
      </c>
      <c r="M73" s="3">
        <v>45536</v>
      </c>
      <c r="N73" s="6" t="s">
        <v>600</v>
      </c>
      <c r="R73" s="7" t="s">
        <v>360</v>
      </c>
      <c r="S73" t="str">
        <f>CONCATENATE(R73,8)</f>
        <v>00000866066A8</v>
      </c>
      <c r="T73" s="4" t="s">
        <v>813</v>
      </c>
      <c r="U73" t="s">
        <v>814</v>
      </c>
      <c r="V73" t="str">
        <f>CONCATENATE(U73, " ",T73)</f>
        <v>RANDOLPH HOWAT</v>
      </c>
    </row>
    <row r="74" spans="1:22" x14ac:dyDescent="0.2">
      <c r="A74" s="4" t="s">
        <v>340</v>
      </c>
      <c r="B74" s="2">
        <v>15278437</v>
      </c>
      <c r="C74" s="4" t="s">
        <v>341</v>
      </c>
      <c r="D74" s="4" t="s">
        <v>342</v>
      </c>
      <c r="E74" s="3">
        <v>45901</v>
      </c>
      <c r="F74" s="4" t="s">
        <v>49</v>
      </c>
      <c r="G74" s="4" t="s">
        <v>51</v>
      </c>
      <c r="H74" s="4" t="s">
        <v>46</v>
      </c>
      <c r="I74" s="5">
        <v>26</v>
      </c>
      <c r="J74" s="5">
        <v>147.1</v>
      </c>
      <c r="K74" s="5">
        <v>38.25</v>
      </c>
      <c r="L74" s="4" t="s">
        <v>305</v>
      </c>
      <c r="M74" s="3">
        <v>45292</v>
      </c>
      <c r="N74" s="6" t="s">
        <v>600</v>
      </c>
      <c r="R74" s="7" t="s">
        <v>342</v>
      </c>
      <c r="S74" t="str">
        <f>CONCATENATE(R74,8)</f>
        <v>00000106089A8</v>
      </c>
      <c r="T74" s="4" t="s">
        <v>815</v>
      </c>
      <c r="U74" t="s">
        <v>816</v>
      </c>
      <c r="V74" t="str">
        <f>CONCATENATE(U74, " ",T74)</f>
        <v>JACQUELINE TRAINOR</v>
      </c>
    </row>
    <row r="75" spans="1:22" x14ac:dyDescent="0.2">
      <c r="A75" s="4" t="s">
        <v>340</v>
      </c>
      <c r="B75" s="2">
        <v>15278437</v>
      </c>
      <c r="C75" s="4" t="s">
        <v>345</v>
      </c>
      <c r="D75" s="4" t="s">
        <v>346</v>
      </c>
      <c r="E75" s="3">
        <v>45901</v>
      </c>
      <c r="F75" s="4" t="s">
        <v>49</v>
      </c>
      <c r="G75" s="4" t="s">
        <v>51</v>
      </c>
      <c r="H75" s="4" t="s">
        <v>46</v>
      </c>
      <c r="I75" s="5">
        <v>26</v>
      </c>
      <c r="J75" s="5">
        <v>164.25</v>
      </c>
      <c r="K75" s="5">
        <v>42.71</v>
      </c>
      <c r="L75" s="4" t="s">
        <v>305</v>
      </c>
      <c r="M75" s="3">
        <v>45261</v>
      </c>
      <c r="N75" s="6" t="s">
        <v>600</v>
      </c>
      <c r="R75" s="7" t="s">
        <v>346</v>
      </c>
      <c r="S75" t="str">
        <f>CONCATENATE(R75,8)</f>
        <v>00000779014A8</v>
      </c>
      <c r="T75" s="4" t="s">
        <v>817</v>
      </c>
      <c r="U75" t="s">
        <v>818</v>
      </c>
      <c r="V75" t="str">
        <f>CONCATENATE(U75, " ",T75)</f>
        <v>STEVE MOFFAT</v>
      </c>
    </row>
    <row r="76" spans="1:22" x14ac:dyDescent="0.2">
      <c r="A76" s="4" t="s">
        <v>122</v>
      </c>
      <c r="B76" s="2">
        <v>7146581</v>
      </c>
      <c r="C76" s="4" t="s">
        <v>134</v>
      </c>
      <c r="D76" s="4" t="s">
        <v>135</v>
      </c>
      <c r="E76" s="3">
        <v>45901</v>
      </c>
      <c r="F76" s="4" t="s">
        <v>49</v>
      </c>
      <c r="G76" s="4" t="s">
        <v>51</v>
      </c>
      <c r="H76" s="4" t="s">
        <v>68</v>
      </c>
      <c r="I76" s="5">
        <v>0</v>
      </c>
      <c r="J76" s="5">
        <v>0</v>
      </c>
      <c r="K76" s="5">
        <v>626</v>
      </c>
      <c r="L76" s="4" t="s">
        <v>53</v>
      </c>
      <c r="M76" s="3">
        <v>45901</v>
      </c>
      <c r="N76" s="6" t="s">
        <v>619</v>
      </c>
      <c r="O76" t="s">
        <v>613</v>
      </c>
      <c r="R76" s="7" t="s">
        <v>135</v>
      </c>
      <c r="S76" t="str">
        <f>CONCATENATE(R76,7)</f>
        <v>00023589322K7</v>
      </c>
      <c r="T76" s="4" t="s">
        <v>662</v>
      </c>
      <c r="U76" t="s">
        <v>663</v>
      </c>
      <c r="V76" t="str">
        <f>CONCATENATE(U76, " ",T76)</f>
        <v>SAUL MENDEZ</v>
      </c>
    </row>
    <row r="77" spans="1:22" x14ac:dyDescent="0.2">
      <c r="A77" s="4" t="s">
        <v>122</v>
      </c>
      <c r="B77" s="2">
        <v>7146581</v>
      </c>
      <c r="C77" s="4" t="s">
        <v>127</v>
      </c>
      <c r="D77" s="4" t="s">
        <v>128</v>
      </c>
      <c r="E77" s="3">
        <v>45778</v>
      </c>
      <c r="F77" s="4" t="s">
        <v>130</v>
      </c>
      <c r="G77" s="4" t="s">
        <v>51</v>
      </c>
      <c r="H77" s="4" t="s">
        <v>68</v>
      </c>
      <c r="I77" s="5">
        <v>0</v>
      </c>
      <c r="J77" s="5">
        <v>0</v>
      </c>
      <c r="K77" s="5">
        <v>-234.74</v>
      </c>
      <c r="L77" s="4" t="s">
        <v>53</v>
      </c>
      <c r="M77" s="3">
        <v>45778</v>
      </c>
      <c r="N77" s="6" t="s">
        <v>612</v>
      </c>
      <c r="O77" t="s">
        <v>605</v>
      </c>
      <c r="R77" s="7" t="s">
        <v>128</v>
      </c>
      <c r="S77" t="str">
        <f>CONCATENATE(R77,6)</f>
        <v>00023268932K6</v>
      </c>
      <c r="T77" s="4" t="s">
        <v>892</v>
      </c>
      <c r="U77" t="s">
        <v>893</v>
      </c>
      <c r="V77" t="str">
        <f>CONCATENATE(U77, " ",T77)</f>
        <v>PAWEL DUSZCZYK</v>
      </c>
    </row>
    <row r="78" spans="1:22" x14ac:dyDescent="0.2">
      <c r="A78" s="4" t="s">
        <v>122</v>
      </c>
      <c r="B78" s="2">
        <v>7146581</v>
      </c>
      <c r="C78" s="4" t="s">
        <v>134</v>
      </c>
      <c r="D78" s="4" t="s">
        <v>135</v>
      </c>
      <c r="E78" s="3">
        <v>45901</v>
      </c>
      <c r="F78" s="4" t="s">
        <v>49</v>
      </c>
      <c r="G78" s="4" t="s">
        <v>51</v>
      </c>
      <c r="H78" s="4" t="s">
        <v>68</v>
      </c>
      <c r="I78" s="5">
        <v>0</v>
      </c>
      <c r="J78" s="5">
        <v>0</v>
      </c>
      <c r="K78" s="5">
        <v>-104.33</v>
      </c>
      <c r="L78" s="4" t="s">
        <v>53</v>
      </c>
      <c r="M78" s="3">
        <v>45901</v>
      </c>
      <c r="N78" s="6" t="s">
        <v>612</v>
      </c>
      <c r="O78" t="s">
        <v>608</v>
      </c>
      <c r="R78" s="7" t="s">
        <v>135</v>
      </c>
      <c r="S78" t="str">
        <f>CONCATENATE(R78,6)</f>
        <v>00023589322K6</v>
      </c>
      <c r="T78" s="4" t="s">
        <v>662</v>
      </c>
      <c r="U78" t="s">
        <v>663</v>
      </c>
      <c r="V78" t="str">
        <f>CONCATENATE(U78, " ",T78)</f>
        <v>SAUL MENDEZ</v>
      </c>
    </row>
    <row r="79" spans="1:22" x14ac:dyDescent="0.2">
      <c r="A79" s="4" t="s">
        <v>122</v>
      </c>
      <c r="B79" s="2">
        <v>7146581</v>
      </c>
      <c r="C79" s="4" t="s">
        <v>127</v>
      </c>
      <c r="D79" s="4" t="s">
        <v>128</v>
      </c>
      <c r="E79" s="3">
        <v>45778</v>
      </c>
      <c r="F79" s="4" t="s">
        <v>130</v>
      </c>
      <c r="G79" s="4" t="s">
        <v>51</v>
      </c>
      <c r="H79" s="4" t="s">
        <v>68</v>
      </c>
      <c r="I79" s="5">
        <v>-0.08</v>
      </c>
      <c r="J79" s="5">
        <v>0</v>
      </c>
      <c r="K79" s="5">
        <v>-26.09</v>
      </c>
      <c r="L79" s="4" t="s">
        <v>62</v>
      </c>
      <c r="M79" s="3">
        <v>45778</v>
      </c>
      <c r="N79" s="6" t="s">
        <v>612</v>
      </c>
      <c r="O79" t="s">
        <v>610</v>
      </c>
      <c r="R79" s="7" t="s">
        <v>128</v>
      </c>
      <c r="S79" t="str">
        <f>CONCATENATE(R79,6)</f>
        <v>00023268932K6</v>
      </c>
      <c r="T79" s="4" t="s">
        <v>892</v>
      </c>
      <c r="U79" t="s">
        <v>893</v>
      </c>
      <c r="V79" t="str">
        <f>CONCATENATE(U79, " ",T79)</f>
        <v>PAWEL DUSZCZYK</v>
      </c>
    </row>
    <row r="80" spans="1:22" x14ac:dyDescent="0.2">
      <c r="A80" s="4" t="s">
        <v>122</v>
      </c>
      <c r="B80" s="2">
        <v>7146581</v>
      </c>
      <c r="C80" s="4" t="s">
        <v>123</v>
      </c>
      <c r="D80" s="4" t="s">
        <v>124</v>
      </c>
      <c r="E80" s="3">
        <v>45901</v>
      </c>
      <c r="F80" s="4" t="s">
        <v>49</v>
      </c>
      <c r="G80" s="4" t="s">
        <v>51</v>
      </c>
      <c r="H80" s="4" t="s">
        <v>60</v>
      </c>
      <c r="I80" s="5">
        <v>1</v>
      </c>
      <c r="J80" s="5">
        <v>0</v>
      </c>
      <c r="K80" s="5">
        <v>26.08</v>
      </c>
      <c r="L80" s="4" t="s">
        <v>107</v>
      </c>
      <c r="M80" s="3">
        <v>45536</v>
      </c>
      <c r="N80" s="6" t="s">
        <v>612</v>
      </c>
      <c r="O80" t="s">
        <v>610</v>
      </c>
      <c r="R80" s="7" t="s">
        <v>124</v>
      </c>
      <c r="S80" t="str">
        <f>CONCATENATE(R80,6)</f>
        <v>00022023339K6</v>
      </c>
      <c r="T80" s="4" t="s">
        <v>904</v>
      </c>
      <c r="U80" t="s">
        <v>905</v>
      </c>
      <c r="V80" t="str">
        <f>CONCATENATE(U80, " ",T80)</f>
        <v>TERRY ROSS</v>
      </c>
    </row>
    <row r="81" spans="1:22" x14ac:dyDescent="0.2">
      <c r="A81" s="4" t="s">
        <v>122</v>
      </c>
      <c r="B81" s="2">
        <v>7146581</v>
      </c>
      <c r="C81" s="4" t="s">
        <v>131</v>
      </c>
      <c r="D81" s="4" t="s">
        <v>132</v>
      </c>
      <c r="E81" s="3">
        <v>45901</v>
      </c>
      <c r="F81" s="4" t="s">
        <v>49</v>
      </c>
      <c r="G81" s="4" t="s">
        <v>51</v>
      </c>
      <c r="H81" s="4" t="s">
        <v>52</v>
      </c>
      <c r="I81" s="5">
        <v>0</v>
      </c>
      <c r="J81" s="5">
        <v>90.67</v>
      </c>
      <c r="K81" s="5">
        <v>90.67</v>
      </c>
      <c r="L81" s="4" t="s">
        <v>53</v>
      </c>
      <c r="M81" s="3">
        <v>45901</v>
      </c>
      <c r="N81" s="6" t="s">
        <v>599</v>
      </c>
      <c r="R81" s="7" t="s">
        <v>132</v>
      </c>
      <c r="S81" t="str">
        <f>CONCATENATE(R81,9)</f>
        <v>00023576096K9</v>
      </c>
      <c r="T81" s="4" t="s">
        <v>933</v>
      </c>
      <c r="U81" t="s">
        <v>934</v>
      </c>
      <c r="V81" t="str">
        <f>CONCATENATE(U81, " ",T81)</f>
        <v>BERNADETTE KOMENDA</v>
      </c>
    </row>
    <row r="82" spans="1:22" x14ac:dyDescent="0.2">
      <c r="A82" s="4" t="s">
        <v>188</v>
      </c>
      <c r="B82" s="2" t="s">
        <v>945</v>
      </c>
      <c r="C82" s="4" t="s">
        <v>189</v>
      </c>
      <c r="D82" s="4" t="s">
        <v>190</v>
      </c>
      <c r="E82" s="3">
        <v>45931</v>
      </c>
      <c r="F82" s="4" t="s">
        <v>88</v>
      </c>
      <c r="G82" s="4" t="s">
        <v>51</v>
      </c>
      <c r="H82" s="4" t="s">
        <v>68</v>
      </c>
      <c r="I82" s="5">
        <v>0</v>
      </c>
      <c r="J82" s="5">
        <v>0</v>
      </c>
      <c r="K82" s="5">
        <v>705</v>
      </c>
      <c r="L82" s="4" t="s">
        <v>53</v>
      </c>
      <c r="M82" s="3">
        <v>45931</v>
      </c>
      <c r="N82" s="6" t="s">
        <v>618</v>
      </c>
      <c r="O82" t="s">
        <v>616</v>
      </c>
      <c r="R82" s="7" t="s">
        <v>190</v>
      </c>
      <c r="S82" t="str">
        <f>CONCATENATE(R82,7)</f>
        <v>00023592407K7</v>
      </c>
      <c r="T82" s="4" t="s">
        <v>687</v>
      </c>
      <c r="U82" t="s">
        <v>688</v>
      </c>
      <c r="V82" t="str">
        <f>CONCATENATE(U82, " ",T82)</f>
        <v>JOYCE MENDENHALL</v>
      </c>
    </row>
    <row r="83" spans="1:22" x14ac:dyDescent="0.2">
      <c r="A83" s="4" t="s">
        <v>188</v>
      </c>
      <c r="B83" s="2" t="s">
        <v>945</v>
      </c>
      <c r="C83" s="4" t="s">
        <v>189</v>
      </c>
      <c r="D83" s="4" t="s">
        <v>190</v>
      </c>
      <c r="E83" s="3">
        <v>45931</v>
      </c>
      <c r="F83" s="4" t="s">
        <v>88</v>
      </c>
      <c r="G83" s="4" t="s">
        <v>51</v>
      </c>
      <c r="H83" s="4" t="s">
        <v>68</v>
      </c>
      <c r="I83" s="5">
        <v>0</v>
      </c>
      <c r="J83" s="5">
        <v>0</v>
      </c>
      <c r="K83" s="5">
        <v>-88.25</v>
      </c>
      <c r="L83" s="4" t="s">
        <v>53</v>
      </c>
      <c r="M83" s="3">
        <v>45931</v>
      </c>
      <c r="N83" s="6" t="s">
        <v>614</v>
      </c>
      <c r="O83" t="s">
        <v>615</v>
      </c>
      <c r="R83" s="7" t="s">
        <v>190</v>
      </c>
      <c r="S83" t="str">
        <f>CONCATENATE(R83,6)</f>
        <v>00023592407K6</v>
      </c>
      <c r="T83" s="4" t="s">
        <v>687</v>
      </c>
      <c r="U83" t="s">
        <v>688</v>
      </c>
      <c r="V83" t="str">
        <f>CONCATENATE(U83, " ",T83)</f>
        <v>JOYCE MENDENHALL</v>
      </c>
    </row>
    <row r="84" spans="1:22" x14ac:dyDescent="0.2">
      <c r="A84" s="4" t="s">
        <v>188</v>
      </c>
      <c r="B84" s="2" t="s">
        <v>945</v>
      </c>
      <c r="C84" s="4" t="s">
        <v>427</v>
      </c>
      <c r="D84" s="4" t="s">
        <v>428</v>
      </c>
      <c r="E84" s="3">
        <v>45901</v>
      </c>
      <c r="F84" s="4" t="s">
        <v>49</v>
      </c>
      <c r="G84" s="4" t="s">
        <v>51</v>
      </c>
      <c r="H84" s="4" t="s">
        <v>46</v>
      </c>
      <c r="I84" s="5">
        <v>22</v>
      </c>
      <c r="J84" s="5">
        <v>102.26</v>
      </c>
      <c r="K84" s="5">
        <v>22.5</v>
      </c>
      <c r="L84" s="4" t="s">
        <v>305</v>
      </c>
      <c r="M84" s="3">
        <v>45536</v>
      </c>
      <c r="N84" s="6" t="s">
        <v>601</v>
      </c>
      <c r="R84" s="7" t="s">
        <v>428</v>
      </c>
      <c r="S84" t="str">
        <f>CONCATENATE(R84,8)</f>
        <v>00000844863A8</v>
      </c>
      <c r="T84" s="4" t="s">
        <v>693</v>
      </c>
      <c r="U84" t="s">
        <v>694</v>
      </c>
      <c r="V84" t="str">
        <f>CONCATENATE(U84, " ",T84)</f>
        <v>PATTY STOUT</v>
      </c>
    </row>
    <row r="85" spans="1:22" x14ac:dyDescent="0.2">
      <c r="A85" s="4" t="s">
        <v>188</v>
      </c>
      <c r="B85" s="2" t="s">
        <v>945</v>
      </c>
      <c r="C85" s="4" t="s">
        <v>391</v>
      </c>
      <c r="D85" s="4" t="s">
        <v>392</v>
      </c>
      <c r="E85" s="3">
        <v>45901</v>
      </c>
      <c r="F85" s="4" t="s">
        <v>49</v>
      </c>
      <c r="G85" s="4" t="s">
        <v>51</v>
      </c>
      <c r="H85" s="4" t="s">
        <v>46</v>
      </c>
      <c r="I85" s="5">
        <v>22</v>
      </c>
      <c r="J85" s="5">
        <v>115.3</v>
      </c>
      <c r="K85" s="5">
        <v>25.37</v>
      </c>
      <c r="L85" s="4" t="s">
        <v>305</v>
      </c>
      <c r="M85" s="3">
        <v>45292</v>
      </c>
      <c r="N85" s="6" t="s">
        <v>601</v>
      </c>
      <c r="R85" s="7" t="s">
        <v>392</v>
      </c>
      <c r="S85" t="str">
        <f>CONCATENATE(R85,8)</f>
        <v>00000770425A8</v>
      </c>
      <c r="T85" s="4" t="s">
        <v>697</v>
      </c>
      <c r="U85" t="s">
        <v>690</v>
      </c>
      <c r="V85" t="str">
        <f>CONCATENATE(U85, " ",T85)</f>
        <v>BARBARA CRAIG</v>
      </c>
    </row>
    <row r="86" spans="1:22" x14ac:dyDescent="0.2">
      <c r="A86" s="4" t="s">
        <v>188</v>
      </c>
      <c r="B86" s="2" t="s">
        <v>945</v>
      </c>
      <c r="C86" s="4" t="s">
        <v>421</v>
      </c>
      <c r="D86" s="4" t="s">
        <v>422</v>
      </c>
      <c r="E86" s="3">
        <v>45901</v>
      </c>
      <c r="F86" s="4" t="s">
        <v>49</v>
      </c>
      <c r="G86" s="4" t="s">
        <v>51</v>
      </c>
      <c r="H86" s="4" t="s">
        <v>46</v>
      </c>
      <c r="I86" s="5">
        <v>22</v>
      </c>
      <c r="J86" s="5">
        <v>129.12</v>
      </c>
      <c r="K86" s="5">
        <v>28.41</v>
      </c>
      <c r="L86" s="4" t="s">
        <v>305</v>
      </c>
      <c r="M86" s="3">
        <v>45444</v>
      </c>
      <c r="N86" s="6" t="s">
        <v>601</v>
      </c>
      <c r="R86" s="7" t="s">
        <v>422</v>
      </c>
      <c r="S86" t="str">
        <f>CONCATENATE(R86,8)</f>
        <v>00000838223A8</v>
      </c>
      <c r="T86" s="4" t="s">
        <v>702</v>
      </c>
      <c r="U86" t="s">
        <v>642</v>
      </c>
      <c r="V86" t="str">
        <f>CONCATENATE(U86, " ",T86)</f>
        <v>JAMES BARNER</v>
      </c>
    </row>
    <row r="87" spans="1:22" x14ac:dyDescent="0.2">
      <c r="A87" s="4" t="s">
        <v>188</v>
      </c>
      <c r="B87" s="2" t="s">
        <v>945</v>
      </c>
      <c r="C87" s="4" t="s">
        <v>425</v>
      </c>
      <c r="D87" s="4" t="s">
        <v>426</v>
      </c>
      <c r="E87" s="3">
        <v>45901</v>
      </c>
      <c r="F87" s="4" t="s">
        <v>49</v>
      </c>
      <c r="G87" s="4" t="s">
        <v>51</v>
      </c>
      <c r="H87" s="4" t="s">
        <v>46</v>
      </c>
      <c r="I87" s="5">
        <v>22</v>
      </c>
      <c r="J87" s="5">
        <v>130.08000000000001</v>
      </c>
      <c r="K87" s="5">
        <v>28.62</v>
      </c>
      <c r="L87" s="4" t="s">
        <v>305</v>
      </c>
      <c r="M87" s="3">
        <v>45536</v>
      </c>
      <c r="N87" s="6" t="s">
        <v>601</v>
      </c>
      <c r="R87" s="7" t="s">
        <v>426</v>
      </c>
      <c r="S87" t="str">
        <f>CONCATENATE(R87,8)</f>
        <v>00000844129A8</v>
      </c>
      <c r="T87" s="4" t="s">
        <v>709</v>
      </c>
      <c r="U87" t="s">
        <v>710</v>
      </c>
      <c r="V87" t="str">
        <f>CONCATENATE(U87, " ",T87)</f>
        <v>VIRGINIA BALSINGER</v>
      </c>
    </row>
    <row r="88" spans="1:22" x14ac:dyDescent="0.2">
      <c r="A88" s="4" t="s">
        <v>188</v>
      </c>
      <c r="B88" s="2" t="s">
        <v>945</v>
      </c>
      <c r="C88" s="4" t="s">
        <v>395</v>
      </c>
      <c r="D88" s="4" t="s">
        <v>396</v>
      </c>
      <c r="E88" s="3">
        <v>45901</v>
      </c>
      <c r="F88" s="4" t="s">
        <v>49</v>
      </c>
      <c r="G88" s="4" t="s">
        <v>51</v>
      </c>
      <c r="H88" s="4" t="s">
        <v>46</v>
      </c>
      <c r="I88" s="5">
        <v>22</v>
      </c>
      <c r="J88" s="5">
        <v>130.08000000000001</v>
      </c>
      <c r="K88" s="5">
        <v>28.62</v>
      </c>
      <c r="L88" s="4" t="s">
        <v>305</v>
      </c>
      <c r="M88" s="3">
        <v>45292</v>
      </c>
      <c r="N88" s="6" t="s">
        <v>601</v>
      </c>
      <c r="R88" s="7" t="s">
        <v>396</v>
      </c>
      <c r="S88" t="str">
        <f>CONCATENATE(R88,8)</f>
        <v>00000770807A8</v>
      </c>
      <c r="T88" s="4" t="s">
        <v>702</v>
      </c>
      <c r="U88" t="s">
        <v>711</v>
      </c>
      <c r="V88" t="str">
        <f>CONCATENATE(U88, " ",T88)</f>
        <v>DENISE BARNER</v>
      </c>
    </row>
    <row r="89" spans="1:22" x14ac:dyDescent="0.2">
      <c r="A89" s="4" t="s">
        <v>188</v>
      </c>
      <c r="B89" s="2" t="s">
        <v>945</v>
      </c>
      <c r="C89" s="4" t="s">
        <v>413</v>
      </c>
      <c r="D89" s="4" t="s">
        <v>414</v>
      </c>
      <c r="E89" s="3">
        <v>45901</v>
      </c>
      <c r="F89" s="4" t="s">
        <v>49</v>
      </c>
      <c r="G89" s="4" t="s">
        <v>51</v>
      </c>
      <c r="H89" s="4" t="s">
        <v>46</v>
      </c>
      <c r="I89" s="5">
        <v>22</v>
      </c>
      <c r="J89" s="5">
        <v>130.08000000000001</v>
      </c>
      <c r="K89" s="5">
        <v>28.62</v>
      </c>
      <c r="L89" s="4" t="s">
        <v>305</v>
      </c>
      <c r="M89" s="3">
        <v>45352</v>
      </c>
      <c r="N89" s="6" t="s">
        <v>601</v>
      </c>
      <c r="R89" s="7" t="s">
        <v>414</v>
      </c>
      <c r="S89" t="str">
        <f>CONCATENATE(R89,8)</f>
        <v>00000810902A8</v>
      </c>
      <c r="T89" s="4" t="s">
        <v>712</v>
      </c>
      <c r="U89" t="s">
        <v>686</v>
      </c>
      <c r="V89" t="str">
        <f>CONCATENATE(U89, " ",T89)</f>
        <v>LISA GRESS</v>
      </c>
    </row>
    <row r="90" spans="1:22" x14ac:dyDescent="0.2">
      <c r="A90" s="4" t="s">
        <v>188</v>
      </c>
      <c r="B90" s="2" t="s">
        <v>945</v>
      </c>
      <c r="C90" s="4" t="s">
        <v>399</v>
      </c>
      <c r="D90" s="4" t="s">
        <v>400</v>
      </c>
      <c r="E90" s="3">
        <v>45901</v>
      </c>
      <c r="F90" s="4" t="s">
        <v>49</v>
      </c>
      <c r="G90" s="4" t="s">
        <v>51</v>
      </c>
      <c r="H90" s="4" t="s">
        <v>46</v>
      </c>
      <c r="I90" s="5">
        <v>22</v>
      </c>
      <c r="J90" s="5">
        <v>130.08000000000001</v>
      </c>
      <c r="K90" s="5">
        <v>28.62</v>
      </c>
      <c r="L90" s="4" t="s">
        <v>305</v>
      </c>
      <c r="M90" s="3">
        <v>45261</v>
      </c>
      <c r="N90" s="6" t="s">
        <v>601</v>
      </c>
      <c r="R90" s="7" t="s">
        <v>400</v>
      </c>
      <c r="S90" t="str">
        <f>CONCATENATE(R90,8)</f>
        <v>00000776436A8</v>
      </c>
      <c r="T90" s="4" t="s">
        <v>713</v>
      </c>
      <c r="U90" t="s">
        <v>714</v>
      </c>
      <c r="V90" t="str">
        <f>CONCATENATE(U90, " ",T90)</f>
        <v>LYNNE HARPER</v>
      </c>
    </row>
    <row r="91" spans="1:22" x14ac:dyDescent="0.2">
      <c r="A91" s="4" t="s">
        <v>188</v>
      </c>
      <c r="B91" s="2" t="s">
        <v>945</v>
      </c>
      <c r="C91" s="4" t="s">
        <v>397</v>
      </c>
      <c r="D91" s="4" t="s">
        <v>398</v>
      </c>
      <c r="E91" s="3">
        <v>45901</v>
      </c>
      <c r="F91" s="4" t="s">
        <v>49</v>
      </c>
      <c r="G91" s="4" t="s">
        <v>51</v>
      </c>
      <c r="H91" s="4" t="s">
        <v>46</v>
      </c>
      <c r="I91" s="5">
        <v>22</v>
      </c>
      <c r="J91" s="5">
        <v>130.08000000000001</v>
      </c>
      <c r="K91" s="5">
        <v>28.62</v>
      </c>
      <c r="L91" s="4" t="s">
        <v>305</v>
      </c>
      <c r="M91" s="3">
        <v>45261</v>
      </c>
      <c r="N91" s="6" t="s">
        <v>601</v>
      </c>
      <c r="R91" s="7" t="s">
        <v>398</v>
      </c>
      <c r="S91" t="str">
        <f>CONCATENATE(R91,8)</f>
        <v>00000775340A8</v>
      </c>
      <c r="T91" s="4" t="s">
        <v>653</v>
      </c>
      <c r="U91" t="s">
        <v>715</v>
      </c>
      <c r="V91" t="str">
        <f>CONCATENATE(U91, " ",T91)</f>
        <v>DARCY KELLY</v>
      </c>
    </row>
    <row r="92" spans="1:22" x14ac:dyDescent="0.2">
      <c r="A92" s="4" t="s">
        <v>188</v>
      </c>
      <c r="B92" s="2" t="s">
        <v>945</v>
      </c>
      <c r="C92" s="4" t="s">
        <v>423</v>
      </c>
      <c r="D92" s="4" t="s">
        <v>424</v>
      </c>
      <c r="E92" s="3">
        <v>45901</v>
      </c>
      <c r="F92" s="4" t="s">
        <v>49</v>
      </c>
      <c r="G92" s="4" t="s">
        <v>51</v>
      </c>
      <c r="H92" s="4" t="s">
        <v>46</v>
      </c>
      <c r="I92" s="5">
        <v>22</v>
      </c>
      <c r="J92" s="5">
        <v>130.08000000000001</v>
      </c>
      <c r="K92" s="5">
        <v>28.62</v>
      </c>
      <c r="L92" s="4" t="s">
        <v>305</v>
      </c>
      <c r="M92" s="3">
        <v>45444</v>
      </c>
      <c r="N92" s="6" t="s">
        <v>601</v>
      </c>
      <c r="R92" s="7" t="s">
        <v>424</v>
      </c>
      <c r="S92" t="str">
        <f>CONCATENATE(R92,8)</f>
        <v>00000839470A8</v>
      </c>
      <c r="T92" s="4" t="s">
        <v>703</v>
      </c>
      <c r="U92" t="s">
        <v>716</v>
      </c>
      <c r="V92" t="str">
        <f>CONCATENATE(U92, " ",T92)</f>
        <v>DEBRA MILLER</v>
      </c>
    </row>
    <row r="93" spans="1:22" x14ac:dyDescent="0.2">
      <c r="A93" s="4" t="s">
        <v>188</v>
      </c>
      <c r="B93" s="2" t="s">
        <v>945</v>
      </c>
      <c r="C93" s="4" t="s">
        <v>437</v>
      </c>
      <c r="D93" s="4" t="s">
        <v>438</v>
      </c>
      <c r="E93" s="3">
        <v>45901</v>
      </c>
      <c r="F93" s="4" t="s">
        <v>49</v>
      </c>
      <c r="G93" s="4" t="s">
        <v>51</v>
      </c>
      <c r="H93" s="4" t="s">
        <v>46</v>
      </c>
      <c r="I93" s="5">
        <v>22</v>
      </c>
      <c r="J93" s="5">
        <v>130.08000000000001</v>
      </c>
      <c r="K93" s="5">
        <v>28.62</v>
      </c>
      <c r="L93" s="4" t="s">
        <v>305</v>
      </c>
      <c r="M93" s="3">
        <v>45505</v>
      </c>
      <c r="N93" s="6" t="s">
        <v>601</v>
      </c>
      <c r="R93" s="7" t="s">
        <v>438</v>
      </c>
      <c r="S93" t="str">
        <f>CONCATENATE(R93,8)</f>
        <v>00000852234A8</v>
      </c>
      <c r="T93" s="4" t="s">
        <v>717</v>
      </c>
      <c r="U93" t="s">
        <v>659</v>
      </c>
      <c r="V93" t="str">
        <f>CONCATENATE(U93, " ",T93)</f>
        <v>PATRICIA MINK</v>
      </c>
    </row>
    <row r="94" spans="1:22" x14ac:dyDescent="0.2">
      <c r="A94" s="4" t="s">
        <v>188</v>
      </c>
      <c r="B94" s="2" t="s">
        <v>945</v>
      </c>
      <c r="C94" s="4" t="s">
        <v>431</v>
      </c>
      <c r="D94" s="4" t="s">
        <v>432</v>
      </c>
      <c r="E94" s="3">
        <v>45901</v>
      </c>
      <c r="F94" s="4" t="s">
        <v>49</v>
      </c>
      <c r="G94" s="4" t="s">
        <v>51</v>
      </c>
      <c r="H94" s="4" t="s">
        <v>46</v>
      </c>
      <c r="I94" s="5">
        <v>22</v>
      </c>
      <c r="J94" s="5">
        <v>130.08000000000001</v>
      </c>
      <c r="K94" s="5">
        <v>28.62</v>
      </c>
      <c r="L94" s="4" t="s">
        <v>305</v>
      </c>
      <c r="M94" s="3">
        <v>45474</v>
      </c>
      <c r="N94" s="6" t="s">
        <v>601</v>
      </c>
      <c r="R94" s="7" t="s">
        <v>432</v>
      </c>
      <c r="S94" t="str">
        <f>CONCATENATE(R94,8)</f>
        <v>00000845670A8</v>
      </c>
      <c r="T94" s="4" t="s">
        <v>718</v>
      </c>
      <c r="U94" t="s">
        <v>719</v>
      </c>
      <c r="V94" t="str">
        <f>CONCATENATE(U94, " ",T94)</f>
        <v>CAROL REPACK</v>
      </c>
    </row>
    <row r="95" spans="1:22" x14ac:dyDescent="0.2">
      <c r="A95" s="4" t="s">
        <v>188</v>
      </c>
      <c r="B95" s="2" t="s">
        <v>945</v>
      </c>
      <c r="C95" s="4" t="s">
        <v>417</v>
      </c>
      <c r="D95" s="4" t="s">
        <v>418</v>
      </c>
      <c r="E95" s="3">
        <v>45901</v>
      </c>
      <c r="F95" s="4" t="s">
        <v>49</v>
      </c>
      <c r="G95" s="4" t="s">
        <v>51</v>
      </c>
      <c r="H95" s="4" t="s">
        <v>46</v>
      </c>
      <c r="I95" s="5">
        <v>22</v>
      </c>
      <c r="J95" s="5">
        <v>130.08000000000001</v>
      </c>
      <c r="K95" s="5">
        <v>28.62</v>
      </c>
      <c r="L95" s="4" t="s">
        <v>305</v>
      </c>
      <c r="M95" s="3">
        <v>45413</v>
      </c>
      <c r="N95" s="6" t="s">
        <v>601</v>
      </c>
      <c r="R95" s="7" t="s">
        <v>418</v>
      </c>
      <c r="S95" t="str">
        <f>CONCATENATE(R95,8)</f>
        <v>00000825606A8</v>
      </c>
      <c r="T95" s="4" t="s">
        <v>720</v>
      </c>
      <c r="U95" t="s">
        <v>721</v>
      </c>
      <c r="V95" t="str">
        <f>CONCATENATE(U95, " ",T95)</f>
        <v>SHERRY RICCI</v>
      </c>
    </row>
    <row r="96" spans="1:22" x14ac:dyDescent="0.2">
      <c r="A96" s="4" t="s">
        <v>188</v>
      </c>
      <c r="B96" s="2" t="s">
        <v>945</v>
      </c>
      <c r="C96" s="4" t="s">
        <v>411</v>
      </c>
      <c r="D96" s="4" t="s">
        <v>412</v>
      </c>
      <c r="E96" s="3">
        <v>45901</v>
      </c>
      <c r="F96" s="4" t="s">
        <v>49</v>
      </c>
      <c r="G96" s="4" t="s">
        <v>51</v>
      </c>
      <c r="H96" s="4" t="s">
        <v>46</v>
      </c>
      <c r="I96" s="5">
        <v>22</v>
      </c>
      <c r="J96" s="5">
        <v>130.08000000000001</v>
      </c>
      <c r="K96" s="5">
        <v>28.62</v>
      </c>
      <c r="L96" s="4" t="s">
        <v>305</v>
      </c>
      <c r="M96" s="3">
        <v>45352</v>
      </c>
      <c r="N96" s="6" t="s">
        <v>601</v>
      </c>
      <c r="R96" s="7" t="s">
        <v>412</v>
      </c>
      <c r="S96" t="str">
        <f>CONCATENATE(R96,8)</f>
        <v>00000809128A8</v>
      </c>
      <c r="T96" s="4" t="s">
        <v>700</v>
      </c>
      <c r="U96" t="s">
        <v>716</v>
      </c>
      <c r="V96" t="str">
        <f>CONCATENATE(U96, " ",T96)</f>
        <v>DEBRA WILLIAMS</v>
      </c>
    </row>
    <row r="97" spans="1:22" x14ac:dyDescent="0.2">
      <c r="A97" s="4" t="s">
        <v>188</v>
      </c>
      <c r="B97" s="2" t="s">
        <v>945</v>
      </c>
      <c r="C97" s="4" t="s">
        <v>393</v>
      </c>
      <c r="D97" s="4" t="s">
        <v>394</v>
      </c>
      <c r="E97" s="3">
        <v>45901</v>
      </c>
      <c r="F97" s="4" t="s">
        <v>49</v>
      </c>
      <c r="G97" s="4" t="s">
        <v>51</v>
      </c>
      <c r="H97" s="4" t="s">
        <v>46</v>
      </c>
      <c r="I97" s="5">
        <v>22</v>
      </c>
      <c r="J97" s="5">
        <v>131.96</v>
      </c>
      <c r="K97" s="5">
        <v>29.03</v>
      </c>
      <c r="L97" s="4" t="s">
        <v>305</v>
      </c>
      <c r="M97" s="3">
        <v>45292</v>
      </c>
      <c r="N97" s="6" t="s">
        <v>601</v>
      </c>
      <c r="R97" s="7" t="s">
        <v>394</v>
      </c>
      <c r="S97" t="str">
        <f>CONCATENATE(R97,8)</f>
        <v>00000770562A8</v>
      </c>
      <c r="T97" s="4" t="s">
        <v>697</v>
      </c>
      <c r="U97" t="s">
        <v>724</v>
      </c>
      <c r="V97" t="str">
        <f>CONCATENATE(U97, " ",T97)</f>
        <v>DONALD CRAIG</v>
      </c>
    </row>
    <row r="98" spans="1:22" x14ac:dyDescent="0.2">
      <c r="A98" s="4" t="s">
        <v>188</v>
      </c>
      <c r="B98" s="2" t="s">
        <v>945</v>
      </c>
      <c r="C98" s="4" t="s">
        <v>419</v>
      </c>
      <c r="D98" s="4" t="s">
        <v>420</v>
      </c>
      <c r="E98" s="3">
        <v>45901</v>
      </c>
      <c r="F98" s="4" t="s">
        <v>49</v>
      </c>
      <c r="G98" s="4" t="s">
        <v>51</v>
      </c>
      <c r="H98" s="4" t="s">
        <v>46</v>
      </c>
      <c r="I98" s="5">
        <v>22</v>
      </c>
      <c r="J98" s="5">
        <v>132</v>
      </c>
      <c r="K98" s="5">
        <v>29.04</v>
      </c>
      <c r="L98" s="4" t="s">
        <v>305</v>
      </c>
      <c r="M98" s="3">
        <v>45474</v>
      </c>
      <c r="N98" s="6" t="s">
        <v>601</v>
      </c>
      <c r="R98" s="7" t="s">
        <v>420</v>
      </c>
      <c r="S98" t="str">
        <f>CONCATENATE(R98,8)</f>
        <v>00000834789A8</v>
      </c>
      <c r="T98" s="4" t="s">
        <v>725</v>
      </c>
      <c r="U98" t="s">
        <v>726</v>
      </c>
      <c r="V98" t="str">
        <f>CONCATENATE(U98, " ",T98)</f>
        <v>PAMELA LYNN</v>
      </c>
    </row>
    <row r="99" spans="1:22" x14ac:dyDescent="0.2">
      <c r="A99" s="4" t="s">
        <v>188</v>
      </c>
      <c r="B99" s="2" t="s">
        <v>945</v>
      </c>
      <c r="C99" s="4" t="s">
        <v>403</v>
      </c>
      <c r="D99" s="4" t="s">
        <v>404</v>
      </c>
      <c r="E99" s="3">
        <v>45901</v>
      </c>
      <c r="F99" s="4" t="s">
        <v>49</v>
      </c>
      <c r="G99" s="4" t="s">
        <v>51</v>
      </c>
      <c r="H99" s="4" t="s">
        <v>46</v>
      </c>
      <c r="I99" s="5">
        <v>22</v>
      </c>
      <c r="J99" s="5">
        <v>134.6</v>
      </c>
      <c r="K99" s="5">
        <v>29.61</v>
      </c>
      <c r="L99" s="4" t="s">
        <v>305</v>
      </c>
      <c r="M99" s="3">
        <v>45292</v>
      </c>
      <c r="N99" s="6" t="s">
        <v>601</v>
      </c>
      <c r="R99" s="7" t="s">
        <v>404</v>
      </c>
      <c r="S99" t="str">
        <f>CONCATENATE(R99,8)</f>
        <v>00000784750A8</v>
      </c>
      <c r="T99" s="4" t="s">
        <v>727</v>
      </c>
      <c r="U99" t="s">
        <v>728</v>
      </c>
      <c r="V99" t="str">
        <f>CONCATENATE(U99, " ",T99)</f>
        <v>MAUREEN REBMANN</v>
      </c>
    </row>
    <row r="100" spans="1:22" x14ac:dyDescent="0.2">
      <c r="A100" s="4" t="s">
        <v>188</v>
      </c>
      <c r="B100" s="2" t="s">
        <v>945</v>
      </c>
      <c r="C100" s="4" t="s">
        <v>443</v>
      </c>
      <c r="D100" s="4" t="s">
        <v>444</v>
      </c>
      <c r="E100" s="3">
        <v>45901</v>
      </c>
      <c r="F100" s="4" t="s">
        <v>49</v>
      </c>
      <c r="G100" s="4" t="s">
        <v>51</v>
      </c>
      <c r="H100" s="4" t="s">
        <v>46</v>
      </c>
      <c r="I100" s="5">
        <v>22</v>
      </c>
      <c r="J100" s="5">
        <v>146.72999999999999</v>
      </c>
      <c r="K100" s="5">
        <v>32.28</v>
      </c>
      <c r="L100" s="4" t="s">
        <v>305</v>
      </c>
      <c r="M100" s="3">
        <v>45536</v>
      </c>
      <c r="N100" s="6" t="s">
        <v>601</v>
      </c>
      <c r="R100" s="7" t="s">
        <v>444</v>
      </c>
      <c r="S100" t="str">
        <f>CONCATENATE(R100,8)</f>
        <v>00000866096A8</v>
      </c>
      <c r="T100" s="4" t="s">
        <v>734</v>
      </c>
      <c r="U100" t="s">
        <v>735</v>
      </c>
      <c r="V100" t="str">
        <f>CONCATENATE(U100, " ",T100)</f>
        <v>JOSEPH HEALEY</v>
      </c>
    </row>
    <row r="101" spans="1:22" x14ac:dyDescent="0.2">
      <c r="A101" s="4" t="s">
        <v>188</v>
      </c>
      <c r="B101" s="2" t="s">
        <v>945</v>
      </c>
      <c r="C101" s="4" t="s">
        <v>433</v>
      </c>
      <c r="D101" s="4" t="s">
        <v>434</v>
      </c>
      <c r="E101" s="3">
        <v>45901</v>
      </c>
      <c r="F101" s="4" t="s">
        <v>49</v>
      </c>
      <c r="G101" s="4" t="s">
        <v>51</v>
      </c>
      <c r="H101" s="4" t="s">
        <v>46</v>
      </c>
      <c r="I101" s="5">
        <v>22</v>
      </c>
      <c r="J101" s="5">
        <v>146.72999999999999</v>
      </c>
      <c r="K101" s="5">
        <v>32.28</v>
      </c>
      <c r="L101" s="4" t="s">
        <v>305</v>
      </c>
      <c r="M101" s="3">
        <v>45474</v>
      </c>
      <c r="N101" s="6" t="s">
        <v>601</v>
      </c>
      <c r="R101" s="7" t="s">
        <v>434</v>
      </c>
      <c r="S101" t="str">
        <f>CONCATENATE(R101,8)</f>
        <v>00000848177A8</v>
      </c>
      <c r="T101" s="4" t="s">
        <v>736</v>
      </c>
      <c r="U101" t="s">
        <v>737</v>
      </c>
      <c r="V101" t="str">
        <f>CONCATENATE(U101, " ",T101)</f>
        <v>DAVID HOLETS</v>
      </c>
    </row>
    <row r="102" spans="1:22" x14ac:dyDescent="0.2">
      <c r="A102" s="4" t="s">
        <v>188</v>
      </c>
      <c r="B102" s="2" t="s">
        <v>945</v>
      </c>
      <c r="C102" s="4" t="s">
        <v>429</v>
      </c>
      <c r="D102" s="4" t="s">
        <v>430</v>
      </c>
      <c r="E102" s="3">
        <v>45901</v>
      </c>
      <c r="F102" s="4" t="s">
        <v>49</v>
      </c>
      <c r="G102" s="4" t="s">
        <v>51</v>
      </c>
      <c r="H102" s="4" t="s">
        <v>46</v>
      </c>
      <c r="I102" s="5">
        <v>22</v>
      </c>
      <c r="J102" s="5">
        <v>146.72999999999999</v>
      </c>
      <c r="K102" s="5">
        <v>32.28</v>
      </c>
      <c r="L102" s="4" t="s">
        <v>305</v>
      </c>
      <c r="M102" s="3">
        <v>45474</v>
      </c>
      <c r="N102" s="6" t="s">
        <v>601</v>
      </c>
      <c r="R102" s="7" t="s">
        <v>430</v>
      </c>
      <c r="S102" t="str">
        <f>CONCATENATE(R102,8)</f>
        <v>00000844897A8</v>
      </c>
      <c r="T102" s="4" t="s">
        <v>738</v>
      </c>
      <c r="U102" t="s">
        <v>739</v>
      </c>
      <c r="V102" t="str">
        <f>CONCATENATE(U102, " ",T102)</f>
        <v>KARL KIMMICH</v>
      </c>
    </row>
    <row r="103" spans="1:22" x14ac:dyDescent="0.2">
      <c r="A103" s="4" t="s">
        <v>188</v>
      </c>
      <c r="B103" s="2" t="s">
        <v>945</v>
      </c>
      <c r="C103" s="4" t="s">
        <v>415</v>
      </c>
      <c r="D103" s="4" t="s">
        <v>416</v>
      </c>
      <c r="E103" s="3">
        <v>45901</v>
      </c>
      <c r="F103" s="4" t="s">
        <v>49</v>
      </c>
      <c r="G103" s="4" t="s">
        <v>51</v>
      </c>
      <c r="H103" s="4" t="s">
        <v>46</v>
      </c>
      <c r="I103" s="5">
        <v>22</v>
      </c>
      <c r="J103" s="5">
        <v>146.72999999999999</v>
      </c>
      <c r="K103" s="5">
        <v>32.28</v>
      </c>
      <c r="L103" s="4" t="s">
        <v>305</v>
      </c>
      <c r="M103" s="3">
        <v>45383</v>
      </c>
      <c r="N103" s="6" t="s">
        <v>601</v>
      </c>
      <c r="R103" s="7" t="s">
        <v>416</v>
      </c>
      <c r="S103" t="str">
        <f>CONCATENATE(R103,8)</f>
        <v>00000812465A8</v>
      </c>
      <c r="T103" s="4" t="s">
        <v>740</v>
      </c>
      <c r="U103" t="s">
        <v>741</v>
      </c>
      <c r="V103" t="str">
        <f>CONCATENATE(U103, " ",T103)</f>
        <v>WILLIAM MOMEYER</v>
      </c>
    </row>
    <row r="104" spans="1:22" x14ac:dyDescent="0.2">
      <c r="A104" s="4" t="s">
        <v>188</v>
      </c>
      <c r="B104" s="2" t="s">
        <v>945</v>
      </c>
      <c r="C104" s="4" t="s">
        <v>405</v>
      </c>
      <c r="D104" s="4" t="s">
        <v>406</v>
      </c>
      <c r="E104" s="3">
        <v>45901</v>
      </c>
      <c r="F104" s="4" t="s">
        <v>49</v>
      </c>
      <c r="G104" s="4" t="s">
        <v>51</v>
      </c>
      <c r="H104" s="4" t="s">
        <v>46</v>
      </c>
      <c r="I104" s="5">
        <v>22</v>
      </c>
      <c r="J104" s="5">
        <v>148.9</v>
      </c>
      <c r="K104" s="5">
        <v>32.76</v>
      </c>
      <c r="L104" s="4" t="s">
        <v>305</v>
      </c>
      <c r="M104" s="3">
        <v>45292</v>
      </c>
      <c r="N104" s="6" t="s">
        <v>601</v>
      </c>
      <c r="R104" s="7" t="s">
        <v>406</v>
      </c>
      <c r="S104" t="str">
        <f>CONCATENATE(R104,8)</f>
        <v>00000786056A8</v>
      </c>
      <c r="T104" s="4" t="s">
        <v>727</v>
      </c>
      <c r="U104" t="s">
        <v>648</v>
      </c>
      <c r="V104" t="str">
        <f>CONCATENATE(U104, " ",T104)</f>
        <v>EDWARD REBMANN</v>
      </c>
    </row>
    <row r="105" spans="1:22" x14ac:dyDescent="0.2">
      <c r="A105" s="4" t="s">
        <v>188</v>
      </c>
      <c r="B105" s="2" t="s">
        <v>945</v>
      </c>
      <c r="C105" s="4" t="s">
        <v>401</v>
      </c>
      <c r="D105" s="4" t="s">
        <v>402</v>
      </c>
      <c r="E105" s="3">
        <v>45901</v>
      </c>
      <c r="F105" s="4" t="s">
        <v>49</v>
      </c>
      <c r="G105" s="4" t="s">
        <v>51</v>
      </c>
      <c r="H105" s="4" t="s">
        <v>46</v>
      </c>
      <c r="I105" s="5">
        <v>22</v>
      </c>
      <c r="J105" s="5">
        <v>154.43</v>
      </c>
      <c r="K105" s="5">
        <v>33.97</v>
      </c>
      <c r="L105" s="4" t="s">
        <v>305</v>
      </c>
      <c r="M105" s="3">
        <v>45292</v>
      </c>
      <c r="N105" s="6" t="s">
        <v>601</v>
      </c>
      <c r="R105" s="7" t="s">
        <v>402</v>
      </c>
      <c r="S105" t="str">
        <f>CONCATENATE(R105,8)</f>
        <v>00000777658A8</v>
      </c>
      <c r="T105" s="4" t="s">
        <v>742</v>
      </c>
      <c r="U105" t="s">
        <v>743</v>
      </c>
      <c r="V105" t="str">
        <f>CONCATENATE(U105, " ",T105)</f>
        <v>ROBIN GILDEN</v>
      </c>
    </row>
    <row r="106" spans="1:22" x14ac:dyDescent="0.2">
      <c r="A106" s="4" t="s">
        <v>188</v>
      </c>
      <c r="B106" s="2" t="s">
        <v>945</v>
      </c>
      <c r="C106" s="4" t="s">
        <v>407</v>
      </c>
      <c r="D106" s="4" t="s">
        <v>408</v>
      </c>
      <c r="E106" s="3">
        <v>45901</v>
      </c>
      <c r="F106" s="4" t="s">
        <v>49</v>
      </c>
      <c r="G106" s="4" t="s">
        <v>51</v>
      </c>
      <c r="H106" s="4" t="s">
        <v>46</v>
      </c>
      <c r="I106" s="5">
        <v>22</v>
      </c>
      <c r="J106" s="5">
        <v>155.12</v>
      </c>
      <c r="K106" s="5">
        <v>34.130000000000003</v>
      </c>
      <c r="L106" s="4" t="s">
        <v>305</v>
      </c>
      <c r="M106" s="3">
        <v>45292</v>
      </c>
      <c r="N106" s="6" t="s">
        <v>601</v>
      </c>
      <c r="R106" s="7" t="s">
        <v>408</v>
      </c>
      <c r="S106" t="str">
        <f>CONCATENATE(R106,8)</f>
        <v>00000790321A8</v>
      </c>
      <c r="T106" s="4" t="s">
        <v>744</v>
      </c>
      <c r="U106" t="s">
        <v>737</v>
      </c>
      <c r="V106" t="str">
        <f>CONCATENATE(U106, " ",T106)</f>
        <v>DAVID SCISCIANI</v>
      </c>
    </row>
    <row r="107" spans="1:22" x14ac:dyDescent="0.2">
      <c r="A107" s="4" t="s">
        <v>188</v>
      </c>
      <c r="B107" s="2" t="s">
        <v>945</v>
      </c>
      <c r="C107" s="4" t="s">
        <v>439</v>
      </c>
      <c r="D107" s="4" t="s">
        <v>440</v>
      </c>
      <c r="E107" s="3">
        <v>45901</v>
      </c>
      <c r="F107" s="4" t="s">
        <v>49</v>
      </c>
      <c r="G107" s="4" t="s">
        <v>51</v>
      </c>
      <c r="H107" s="4" t="s">
        <v>46</v>
      </c>
      <c r="I107" s="5">
        <v>22</v>
      </c>
      <c r="J107" s="5">
        <v>164.94</v>
      </c>
      <c r="K107" s="5">
        <v>36.29</v>
      </c>
      <c r="L107" s="4" t="s">
        <v>305</v>
      </c>
      <c r="M107" s="3">
        <v>45505</v>
      </c>
      <c r="N107" s="6" t="s">
        <v>601</v>
      </c>
      <c r="R107" s="7" t="s">
        <v>440</v>
      </c>
      <c r="S107" t="str">
        <f>CONCATENATE(R107,8)</f>
        <v>00000853856A8</v>
      </c>
      <c r="T107" s="4" t="s">
        <v>750</v>
      </c>
      <c r="U107" t="s">
        <v>704</v>
      </c>
      <c r="V107" t="str">
        <f>CONCATENATE(U107, " ",T107)</f>
        <v>MARTIN BRAUN</v>
      </c>
    </row>
    <row r="108" spans="1:22" x14ac:dyDescent="0.2">
      <c r="A108" s="4" t="s">
        <v>188</v>
      </c>
      <c r="B108" s="2" t="s">
        <v>945</v>
      </c>
      <c r="C108" s="4" t="s">
        <v>445</v>
      </c>
      <c r="D108" s="4" t="s">
        <v>446</v>
      </c>
      <c r="E108" s="3">
        <v>45901</v>
      </c>
      <c r="F108" s="4" t="s">
        <v>49</v>
      </c>
      <c r="G108" s="4" t="s">
        <v>51</v>
      </c>
      <c r="H108" s="4" t="s">
        <v>46</v>
      </c>
      <c r="I108" s="5">
        <v>22</v>
      </c>
      <c r="J108" s="5">
        <v>1662.6</v>
      </c>
      <c r="K108" s="5">
        <v>365.76</v>
      </c>
      <c r="L108" s="4" t="s">
        <v>448</v>
      </c>
      <c r="M108" s="3">
        <v>45901</v>
      </c>
      <c r="N108" s="6" t="s">
        <v>601</v>
      </c>
      <c r="R108" s="7" t="s">
        <v>446</v>
      </c>
      <c r="S108" t="str">
        <f>CONCATENATE(R108,8)</f>
        <v>00001040612A8</v>
      </c>
      <c r="T108" s="4" t="s">
        <v>765</v>
      </c>
      <c r="U108" t="s">
        <v>766</v>
      </c>
      <c r="V108" t="str">
        <f>CONCATENATE(U108, " ",T108)</f>
        <v>RONALD YARKOSKY</v>
      </c>
    </row>
    <row r="109" spans="1:22" x14ac:dyDescent="0.2">
      <c r="A109" s="4" t="s">
        <v>188</v>
      </c>
      <c r="B109" s="2" t="s">
        <v>945</v>
      </c>
      <c r="C109" s="4" t="s">
        <v>435</v>
      </c>
      <c r="D109" s="4" t="s">
        <v>436</v>
      </c>
      <c r="E109" s="3">
        <v>45901</v>
      </c>
      <c r="F109" s="4" t="s">
        <v>49</v>
      </c>
      <c r="G109" s="4" t="s">
        <v>51</v>
      </c>
      <c r="H109" s="4" t="s">
        <v>46</v>
      </c>
      <c r="I109" s="5">
        <v>26</v>
      </c>
      <c r="J109" s="5">
        <v>112.18</v>
      </c>
      <c r="K109" s="5">
        <v>29.17</v>
      </c>
      <c r="L109" s="4" t="s">
        <v>305</v>
      </c>
      <c r="M109" s="3">
        <v>45505</v>
      </c>
      <c r="N109" s="6" t="s">
        <v>600</v>
      </c>
      <c r="R109" s="7" t="s">
        <v>436</v>
      </c>
      <c r="S109" t="str">
        <f>CONCATENATE(R109,8)</f>
        <v>00000850483A8</v>
      </c>
      <c r="T109" s="4" t="s">
        <v>811</v>
      </c>
      <c r="U109" t="s">
        <v>812</v>
      </c>
      <c r="V109" t="str">
        <f>CONCATENATE(U109, " ",T109)</f>
        <v>DEAN MATHIES</v>
      </c>
    </row>
    <row r="110" spans="1:22" x14ac:dyDescent="0.2">
      <c r="A110" s="4" t="s">
        <v>188</v>
      </c>
      <c r="B110" s="2" t="s">
        <v>945</v>
      </c>
      <c r="C110" s="4" t="s">
        <v>450</v>
      </c>
      <c r="D110" s="4" t="s">
        <v>451</v>
      </c>
      <c r="E110" s="3">
        <v>45901</v>
      </c>
      <c r="F110" s="4" t="s">
        <v>49</v>
      </c>
      <c r="G110" s="4" t="s">
        <v>51</v>
      </c>
      <c r="H110" s="4" t="s">
        <v>46</v>
      </c>
      <c r="I110" s="5">
        <v>26</v>
      </c>
      <c r="J110" s="5">
        <v>1232.28</v>
      </c>
      <c r="K110" s="5">
        <v>320.39999999999998</v>
      </c>
      <c r="L110" s="4" t="s">
        <v>452</v>
      </c>
      <c r="M110" s="3">
        <v>45901</v>
      </c>
      <c r="N110" s="6" t="s">
        <v>600</v>
      </c>
      <c r="R110" s="7" t="s">
        <v>451</v>
      </c>
      <c r="S110" t="str">
        <f>CONCATENATE(R110,8)</f>
        <v>00001043925A8</v>
      </c>
      <c r="T110" s="4" t="s">
        <v>823</v>
      </c>
      <c r="U110" t="s">
        <v>824</v>
      </c>
      <c r="V110" t="str">
        <f>CONCATENATE(U110, " ",T110)</f>
        <v>TAMMY MARGESON</v>
      </c>
    </row>
    <row r="111" spans="1:22" x14ac:dyDescent="0.2">
      <c r="A111" s="4" t="s">
        <v>188</v>
      </c>
      <c r="B111" s="2" t="s">
        <v>945</v>
      </c>
      <c r="C111" s="4" t="s">
        <v>454</v>
      </c>
      <c r="D111" s="4" t="s">
        <v>455</v>
      </c>
      <c r="E111" s="3">
        <v>45931</v>
      </c>
      <c r="F111" s="4" t="s">
        <v>88</v>
      </c>
      <c r="G111" s="4" t="s">
        <v>311</v>
      </c>
      <c r="H111" s="4" t="s">
        <v>46</v>
      </c>
      <c r="I111" s="5">
        <v>10</v>
      </c>
      <c r="J111" s="5">
        <v>12.99</v>
      </c>
      <c r="K111" s="5">
        <v>1.3</v>
      </c>
      <c r="L111" s="4" t="s">
        <v>325</v>
      </c>
      <c r="M111" s="3">
        <v>45689</v>
      </c>
      <c r="N111" s="6" t="s">
        <v>598</v>
      </c>
      <c r="R111">
        <v>9029971470</v>
      </c>
      <c r="S111" t="str">
        <f>CONCATENATE(R111,4)</f>
        <v>90299714704</v>
      </c>
      <c r="T111" s="4" t="s">
        <v>842</v>
      </c>
      <c r="U111" t="s">
        <v>843</v>
      </c>
      <c r="V111" t="str">
        <f>CONCATENATE(U111, " ",T111)</f>
        <v>Kathleen Madigan</v>
      </c>
    </row>
    <row r="112" spans="1:22" x14ac:dyDescent="0.2">
      <c r="A112" s="4" t="s">
        <v>188</v>
      </c>
      <c r="B112" s="2" t="s">
        <v>945</v>
      </c>
      <c r="C112" s="4" t="s">
        <v>456</v>
      </c>
      <c r="D112" s="4" t="s">
        <v>457</v>
      </c>
      <c r="E112" s="3">
        <v>45931</v>
      </c>
      <c r="F112" s="4" t="s">
        <v>88</v>
      </c>
      <c r="G112" s="4" t="s">
        <v>311</v>
      </c>
      <c r="H112" s="4" t="s">
        <v>46</v>
      </c>
      <c r="I112" s="5">
        <v>10</v>
      </c>
      <c r="J112" s="5">
        <v>23.2</v>
      </c>
      <c r="K112" s="5">
        <v>2.3199999999999998</v>
      </c>
      <c r="L112" s="4" t="s">
        <v>325</v>
      </c>
      <c r="M112" s="3">
        <v>45902</v>
      </c>
      <c r="N112" s="6" t="s">
        <v>598</v>
      </c>
      <c r="R112">
        <v>9031083750</v>
      </c>
      <c r="S112" t="str">
        <f>CONCATENATE(R112,4)</f>
        <v>90310837504</v>
      </c>
      <c r="T112" s="4" t="s">
        <v>866</v>
      </c>
      <c r="U112" t="s">
        <v>867</v>
      </c>
      <c r="V112" t="str">
        <f>CONCATENATE(U112, " ",T112)</f>
        <v>Judy Kirkpatrick</v>
      </c>
    </row>
    <row r="113" spans="1:22" x14ac:dyDescent="0.2">
      <c r="A113" s="4" t="s">
        <v>188</v>
      </c>
      <c r="B113" s="2" t="s">
        <v>945</v>
      </c>
      <c r="C113" s="4" t="s">
        <v>458</v>
      </c>
      <c r="D113" s="4" t="s">
        <v>459</v>
      </c>
      <c r="E113" s="3">
        <v>45901</v>
      </c>
      <c r="F113" s="4" t="s">
        <v>49</v>
      </c>
      <c r="G113" s="4" t="s">
        <v>311</v>
      </c>
      <c r="H113" s="4" t="s">
        <v>46</v>
      </c>
      <c r="I113" s="5">
        <v>10</v>
      </c>
      <c r="J113" s="5">
        <v>363</v>
      </c>
      <c r="K113" s="5">
        <v>36.299999999999997</v>
      </c>
      <c r="L113" s="4" t="s">
        <v>325</v>
      </c>
      <c r="M113" s="3">
        <v>45930</v>
      </c>
      <c r="N113" s="6" t="s">
        <v>598</v>
      </c>
      <c r="R113">
        <v>9031100360</v>
      </c>
      <c r="S113" t="str">
        <f>CONCATENATE(R113,4)</f>
        <v>90311003604</v>
      </c>
      <c r="T113" s="4" t="s">
        <v>890</v>
      </c>
      <c r="U113" t="s">
        <v>891</v>
      </c>
      <c r="V113" t="str">
        <f>CONCATENATE(U113, " ",T113)</f>
        <v>John McAdoo</v>
      </c>
    </row>
    <row r="114" spans="1:22" x14ac:dyDescent="0.2">
      <c r="A114" s="4" t="s">
        <v>188</v>
      </c>
      <c r="B114" s="2" t="s">
        <v>945</v>
      </c>
      <c r="C114" s="4" t="s">
        <v>409</v>
      </c>
      <c r="D114" s="4" t="s">
        <v>410</v>
      </c>
      <c r="E114" s="3">
        <v>45901</v>
      </c>
      <c r="F114" s="4" t="s">
        <v>49</v>
      </c>
      <c r="G114" s="4" t="s">
        <v>51</v>
      </c>
      <c r="H114" s="4" t="s">
        <v>46</v>
      </c>
      <c r="I114" s="5">
        <v>1</v>
      </c>
      <c r="J114" s="5">
        <v>130.03</v>
      </c>
      <c r="K114" s="5">
        <v>1.3</v>
      </c>
      <c r="L114" s="4" t="s">
        <v>305</v>
      </c>
      <c r="M114" s="3">
        <v>45323</v>
      </c>
      <c r="N114" s="6" t="s">
        <v>603</v>
      </c>
      <c r="R114" s="7" t="s">
        <v>410</v>
      </c>
      <c r="S114" t="str">
        <f>CONCATENATE(R114,8)</f>
        <v>00000804864A8</v>
      </c>
      <c r="T114" s="4" t="s">
        <v>924</v>
      </c>
      <c r="U114" t="s">
        <v>925</v>
      </c>
      <c r="V114" t="str">
        <f>CONCATENATE(U114, " ",T114)</f>
        <v>BRIAN COFFMAN</v>
      </c>
    </row>
    <row r="115" spans="1:22" x14ac:dyDescent="0.2">
      <c r="A115" s="4" t="s">
        <v>188</v>
      </c>
      <c r="B115" s="2" t="s">
        <v>945</v>
      </c>
      <c r="C115" s="4" t="s">
        <v>441</v>
      </c>
      <c r="D115" s="4" t="s">
        <v>442</v>
      </c>
      <c r="E115" s="3">
        <v>45901</v>
      </c>
      <c r="F115" s="4" t="s">
        <v>49</v>
      </c>
      <c r="G115" s="4" t="s">
        <v>51</v>
      </c>
      <c r="H115" s="4" t="s">
        <v>46</v>
      </c>
      <c r="I115" s="5">
        <v>1</v>
      </c>
      <c r="J115" s="5">
        <v>130.08000000000001</v>
      </c>
      <c r="K115" s="5">
        <v>1.3</v>
      </c>
      <c r="L115" s="4" t="s">
        <v>305</v>
      </c>
      <c r="M115" s="3">
        <v>45536</v>
      </c>
      <c r="N115" s="6" t="s">
        <v>603</v>
      </c>
      <c r="R115" s="7" t="s">
        <v>442</v>
      </c>
      <c r="S115" t="str">
        <f>CONCATENATE(R115,8)</f>
        <v>00000859842A8</v>
      </c>
      <c r="T115" s="4" t="s">
        <v>926</v>
      </c>
      <c r="U115" t="s">
        <v>785</v>
      </c>
      <c r="V115" t="str">
        <f>CONCATENATE(U115, " ",T115)</f>
        <v>SUSAN LUTZ</v>
      </c>
    </row>
    <row r="116" spans="1:22" x14ac:dyDescent="0.2">
      <c r="A116" s="4" t="s">
        <v>188</v>
      </c>
      <c r="B116" s="2" t="s">
        <v>945</v>
      </c>
      <c r="C116" s="4" t="s">
        <v>389</v>
      </c>
      <c r="D116" s="4" t="s">
        <v>390</v>
      </c>
      <c r="E116" s="3">
        <v>45901</v>
      </c>
      <c r="F116" s="4" t="s">
        <v>49</v>
      </c>
      <c r="G116" s="4" t="s">
        <v>51</v>
      </c>
      <c r="H116" s="4" t="s">
        <v>46</v>
      </c>
      <c r="I116" s="5">
        <v>1</v>
      </c>
      <c r="J116" s="5">
        <v>159.94999999999999</v>
      </c>
      <c r="K116" s="5">
        <v>1.6</v>
      </c>
      <c r="L116" s="4" t="s">
        <v>305</v>
      </c>
      <c r="M116" s="3">
        <v>45170</v>
      </c>
      <c r="N116" s="6" t="s">
        <v>603</v>
      </c>
      <c r="R116" s="7" t="s">
        <v>390</v>
      </c>
      <c r="S116" t="str">
        <f>CONCATENATE(R116,8)</f>
        <v>00000754585A8</v>
      </c>
      <c r="T116" s="4" t="s">
        <v>927</v>
      </c>
      <c r="U116" t="s">
        <v>724</v>
      </c>
      <c r="V116" t="str">
        <f>CONCATENATE(U116, " ",T116)</f>
        <v>DONALD SPROUSE</v>
      </c>
    </row>
    <row r="117" spans="1:22" x14ac:dyDescent="0.2">
      <c r="A117" s="4" t="s">
        <v>539</v>
      </c>
      <c r="B117" s="2">
        <v>19278370</v>
      </c>
      <c r="C117" s="4" t="s">
        <v>542</v>
      </c>
      <c r="D117" s="4" t="s">
        <v>543</v>
      </c>
      <c r="E117" s="3">
        <v>45901</v>
      </c>
      <c r="F117" s="4" t="s">
        <v>49</v>
      </c>
      <c r="G117" s="4" t="s">
        <v>51</v>
      </c>
      <c r="H117" s="4" t="s">
        <v>46</v>
      </c>
      <c r="I117" s="5">
        <v>22</v>
      </c>
      <c r="J117" s="5">
        <v>139.93</v>
      </c>
      <c r="K117" s="5">
        <v>30.78</v>
      </c>
      <c r="L117" s="4" t="s">
        <v>305</v>
      </c>
      <c r="M117" s="3">
        <v>45536</v>
      </c>
      <c r="N117" s="6" t="s">
        <v>601</v>
      </c>
      <c r="R117" s="7" t="s">
        <v>543</v>
      </c>
      <c r="S117" t="str">
        <f>CONCATENATE(R117,8)</f>
        <v>00000859355A8</v>
      </c>
      <c r="T117" s="4" t="s">
        <v>732</v>
      </c>
      <c r="U117" t="s">
        <v>733</v>
      </c>
      <c r="V117" t="str">
        <f>CONCATENATE(U117, " ",T117)</f>
        <v>JODIEANN MEROW</v>
      </c>
    </row>
    <row r="118" spans="1:22" x14ac:dyDescent="0.2">
      <c r="A118" s="4" t="s">
        <v>539</v>
      </c>
      <c r="B118" s="2">
        <v>19278370</v>
      </c>
      <c r="C118" s="4" t="s">
        <v>540</v>
      </c>
      <c r="D118" s="4" t="s">
        <v>541</v>
      </c>
      <c r="E118" s="3">
        <v>45901</v>
      </c>
      <c r="F118" s="4" t="s">
        <v>49</v>
      </c>
      <c r="G118" s="4" t="s">
        <v>51</v>
      </c>
      <c r="H118" s="4" t="s">
        <v>46</v>
      </c>
      <c r="I118" s="5">
        <v>22</v>
      </c>
      <c r="J118" s="5">
        <v>157.86000000000001</v>
      </c>
      <c r="K118" s="5">
        <v>34.729999999999997</v>
      </c>
      <c r="L118" s="4" t="s">
        <v>305</v>
      </c>
      <c r="M118" s="3">
        <v>45444</v>
      </c>
      <c r="N118" s="6" t="s">
        <v>601</v>
      </c>
      <c r="R118" s="7" t="s">
        <v>541</v>
      </c>
      <c r="S118" t="str">
        <f>CONCATENATE(R118,8)</f>
        <v>00000836012A8</v>
      </c>
      <c r="T118" s="4" t="s">
        <v>746</v>
      </c>
      <c r="U118" t="s">
        <v>747</v>
      </c>
      <c r="V118" t="str">
        <f>CONCATENATE(U118, " ",T118)</f>
        <v>SEAN COSGROVE</v>
      </c>
    </row>
    <row r="119" spans="1:22" x14ac:dyDescent="0.2">
      <c r="A119" s="4" t="s">
        <v>539</v>
      </c>
      <c r="B119" s="2">
        <v>19278370</v>
      </c>
      <c r="C119" s="4" t="s">
        <v>549</v>
      </c>
      <c r="D119" s="4" t="s">
        <v>550</v>
      </c>
      <c r="E119" s="3">
        <v>45901</v>
      </c>
      <c r="F119" s="4" t="s">
        <v>49</v>
      </c>
      <c r="G119" s="4" t="s">
        <v>51</v>
      </c>
      <c r="H119" s="4" t="s">
        <v>46</v>
      </c>
      <c r="I119" s="5">
        <v>22</v>
      </c>
      <c r="J119" s="5">
        <v>1473.12</v>
      </c>
      <c r="K119" s="5">
        <v>324.12</v>
      </c>
      <c r="L119" s="4" t="s">
        <v>448</v>
      </c>
      <c r="M119" s="3">
        <v>45901</v>
      </c>
      <c r="N119" s="6" t="s">
        <v>601</v>
      </c>
      <c r="R119" s="7" t="s">
        <v>550</v>
      </c>
      <c r="S119" t="str">
        <f>CONCATENATE(R119,8)</f>
        <v>00001039469A8</v>
      </c>
      <c r="T119" s="4" t="s">
        <v>753</v>
      </c>
      <c r="U119" t="s">
        <v>754</v>
      </c>
      <c r="V119" t="str">
        <f>CONCATENATE(U119, " ",T119)</f>
        <v>GLENN KAUFFMAN</v>
      </c>
    </row>
    <row r="120" spans="1:22" x14ac:dyDescent="0.2">
      <c r="A120" s="4" t="s">
        <v>539</v>
      </c>
      <c r="B120" s="2">
        <v>19278370</v>
      </c>
      <c r="C120" s="4" t="s">
        <v>544</v>
      </c>
      <c r="D120" s="4" t="s">
        <v>545</v>
      </c>
      <c r="E120" s="3">
        <v>45901</v>
      </c>
      <c r="F120" s="4" t="s">
        <v>49</v>
      </c>
      <c r="G120" s="4" t="s">
        <v>51</v>
      </c>
      <c r="H120" s="4" t="s">
        <v>46</v>
      </c>
      <c r="I120" s="5">
        <v>22</v>
      </c>
      <c r="J120" s="5">
        <v>1788.84</v>
      </c>
      <c r="K120" s="5">
        <v>393.6</v>
      </c>
      <c r="L120" s="4" t="s">
        <v>448</v>
      </c>
      <c r="M120" s="3">
        <v>45901</v>
      </c>
      <c r="N120" s="6" t="s">
        <v>601</v>
      </c>
      <c r="R120" s="7" t="s">
        <v>545</v>
      </c>
      <c r="S120" t="str">
        <f>CONCATENATE(R120,8)</f>
        <v>00001021403A8</v>
      </c>
      <c r="T120" s="4" t="s">
        <v>767</v>
      </c>
      <c r="U120" t="s">
        <v>768</v>
      </c>
      <c r="V120" t="str">
        <f>CONCATENATE(U120, " ",T120)</f>
        <v>AMER SAJED</v>
      </c>
    </row>
    <row r="121" spans="1:22" x14ac:dyDescent="0.2">
      <c r="A121" s="4" t="s">
        <v>539</v>
      </c>
      <c r="B121" s="2">
        <v>19278370</v>
      </c>
      <c r="C121" s="4" t="s">
        <v>562</v>
      </c>
      <c r="D121" s="4" t="s">
        <v>563</v>
      </c>
      <c r="E121" s="3">
        <v>45931</v>
      </c>
      <c r="F121" s="4" t="s">
        <v>88</v>
      </c>
      <c r="G121" s="4" t="s">
        <v>311</v>
      </c>
      <c r="H121" s="4" t="s">
        <v>46</v>
      </c>
      <c r="I121" s="5">
        <v>10</v>
      </c>
      <c r="J121" s="5">
        <v>12.99</v>
      </c>
      <c r="K121" s="5">
        <v>1.3</v>
      </c>
      <c r="L121" s="4" t="s">
        <v>325</v>
      </c>
      <c r="M121" s="3">
        <v>45870</v>
      </c>
      <c r="N121" s="6" t="s">
        <v>598</v>
      </c>
      <c r="R121">
        <v>9030791020</v>
      </c>
      <c r="S121" t="str">
        <f>CONCATENATE(R121,4)</f>
        <v>90307910204</v>
      </c>
      <c r="T121" s="4" t="s">
        <v>836</v>
      </c>
      <c r="U121" t="s">
        <v>837</v>
      </c>
      <c r="V121" t="str">
        <f>CONCATENATE(U121, " ",T121)</f>
        <v>Eric Johnson</v>
      </c>
    </row>
    <row r="122" spans="1:22" x14ac:dyDescent="0.2">
      <c r="A122" s="4" t="s">
        <v>539</v>
      </c>
      <c r="B122" s="2">
        <v>19278370</v>
      </c>
      <c r="C122" s="4" t="s">
        <v>564</v>
      </c>
      <c r="D122" s="4" t="s">
        <v>565</v>
      </c>
      <c r="E122" s="3">
        <v>45931</v>
      </c>
      <c r="F122" s="4" t="s">
        <v>88</v>
      </c>
      <c r="G122" s="4" t="s">
        <v>311</v>
      </c>
      <c r="H122" s="4" t="s">
        <v>46</v>
      </c>
      <c r="I122" s="5">
        <v>10</v>
      </c>
      <c r="J122" s="5">
        <v>12.99</v>
      </c>
      <c r="K122" s="5">
        <v>1.3</v>
      </c>
      <c r="L122" s="4" t="s">
        <v>325</v>
      </c>
      <c r="M122" s="3">
        <v>45866</v>
      </c>
      <c r="N122" s="6" t="s">
        <v>598</v>
      </c>
      <c r="R122">
        <v>9030902230</v>
      </c>
      <c r="S122" t="str">
        <f>CONCATENATE(R122,4)</f>
        <v>90309022304</v>
      </c>
      <c r="T122" s="4" t="s">
        <v>840</v>
      </c>
      <c r="U122" t="s">
        <v>841</v>
      </c>
      <c r="V122" t="str">
        <f>CONCATENATE(U122, " ",T122)</f>
        <v>Suzanne Levy</v>
      </c>
    </row>
    <row r="123" spans="1:22" x14ac:dyDescent="0.2">
      <c r="A123" s="4" t="s">
        <v>539</v>
      </c>
      <c r="B123" s="2">
        <v>19278370</v>
      </c>
      <c r="C123" s="4" t="s">
        <v>556</v>
      </c>
      <c r="D123" s="4" t="s">
        <v>557</v>
      </c>
      <c r="E123" s="3">
        <v>45931</v>
      </c>
      <c r="F123" s="4" t="s">
        <v>88</v>
      </c>
      <c r="G123" s="4" t="s">
        <v>311</v>
      </c>
      <c r="H123" s="4" t="s">
        <v>46</v>
      </c>
      <c r="I123" s="5">
        <v>10</v>
      </c>
      <c r="J123" s="5">
        <v>12.99</v>
      </c>
      <c r="K123" s="5">
        <v>1.3</v>
      </c>
      <c r="L123" s="4" t="s">
        <v>325</v>
      </c>
      <c r="M123" s="3">
        <v>45778</v>
      </c>
      <c r="N123" s="6" t="s">
        <v>598</v>
      </c>
      <c r="R123">
        <v>9030377310</v>
      </c>
      <c r="S123" t="str">
        <f>CONCATENATE(R123,4)</f>
        <v>90303773104</v>
      </c>
      <c r="T123" s="4" t="s">
        <v>846</v>
      </c>
      <c r="U123" t="s">
        <v>847</v>
      </c>
      <c r="V123" t="str">
        <f>CONCATENATE(U123, " ",T123)</f>
        <v>Shane Reardon-Bressi</v>
      </c>
    </row>
    <row r="124" spans="1:22" x14ac:dyDescent="0.2">
      <c r="A124" s="4" t="s">
        <v>539</v>
      </c>
      <c r="B124" s="2">
        <v>19278370</v>
      </c>
      <c r="C124" s="4" t="s">
        <v>558</v>
      </c>
      <c r="D124" s="4" t="s">
        <v>559</v>
      </c>
      <c r="E124" s="3">
        <v>45931</v>
      </c>
      <c r="F124" s="4" t="s">
        <v>88</v>
      </c>
      <c r="G124" s="4" t="s">
        <v>311</v>
      </c>
      <c r="H124" s="4" t="s">
        <v>46</v>
      </c>
      <c r="I124" s="5">
        <v>10</v>
      </c>
      <c r="J124" s="5">
        <v>23.99</v>
      </c>
      <c r="K124" s="5">
        <v>2.4</v>
      </c>
      <c r="L124" s="4" t="s">
        <v>325</v>
      </c>
      <c r="M124" s="3">
        <v>45776</v>
      </c>
      <c r="N124" s="6" t="s">
        <v>598</v>
      </c>
      <c r="R124">
        <v>9030450680</v>
      </c>
      <c r="S124" t="str">
        <f>CONCATENATE(R124,4)</f>
        <v>90304506804</v>
      </c>
      <c r="T124" s="4" t="s">
        <v>868</v>
      </c>
      <c r="U124" t="s">
        <v>869</v>
      </c>
      <c r="V124" t="str">
        <f>CONCATENATE(U124, " ",T124)</f>
        <v>Patrick Breedy</v>
      </c>
    </row>
    <row r="125" spans="1:22" x14ac:dyDescent="0.2">
      <c r="A125" s="4" t="s">
        <v>539</v>
      </c>
      <c r="B125" s="2">
        <v>19278370</v>
      </c>
      <c r="C125" s="4" t="s">
        <v>560</v>
      </c>
      <c r="D125" s="4" t="s">
        <v>561</v>
      </c>
      <c r="E125" s="3">
        <v>45931</v>
      </c>
      <c r="F125" s="4" t="s">
        <v>88</v>
      </c>
      <c r="G125" s="4" t="s">
        <v>311</v>
      </c>
      <c r="H125" s="4" t="s">
        <v>46</v>
      </c>
      <c r="I125" s="5">
        <v>10</v>
      </c>
      <c r="J125" s="5">
        <v>23.99</v>
      </c>
      <c r="K125" s="5">
        <v>2.4</v>
      </c>
      <c r="L125" s="4" t="s">
        <v>325</v>
      </c>
      <c r="M125" s="3">
        <v>45818</v>
      </c>
      <c r="N125" s="6" t="s">
        <v>598</v>
      </c>
      <c r="R125">
        <v>9030658860</v>
      </c>
      <c r="S125" t="str">
        <f>CONCATENATE(R125,4)</f>
        <v>90306588604</v>
      </c>
      <c r="T125" s="4" t="s">
        <v>870</v>
      </c>
      <c r="U125" t="s">
        <v>871</v>
      </c>
      <c r="V125" t="str">
        <f>CONCATENATE(U125, " ",T125)</f>
        <v>Amer Sajed</v>
      </c>
    </row>
    <row r="126" spans="1:22" x14ac:dyDescent="0.2">
      <c r="A126" s="4" t="s">
        <v>539</v>
      </c>
      <c r="B126" s="2">
        <v>19278370</v>
      </c>
      <c r="C126" s="4" t="s">
        <v>552</v>
      </c>
      <c r="D126" s="4" t="s">
        <v>553</v>
      </c>
      <c r="E126" s="3">
        <v>45931</v>
      </c>
      <c r="F126" s="4" t="s">
        <v>88</v>
      </c>
      <c r="G126" s="4" t="s">
        <v>311</v>
      </c>
      <c r="H126" s="4" t="s">
        <v>46</v>
      </c>
      <c r="I126" s="5">
        <v>10</v>
      </c>
      <c r="J126" s="5">
        <v>36.99</v>
      </c>
      <c r="K126" s="5">
        <v>3.7</v>
      </c>
      <c r="L126" s="4" t="s">
        <v>325</v>
      </c>
      <c r="M126" s="3">
        <v>45700</v>
      </c>
      <c r="N126" s="6" t="s">
        <v>598</v>
      </c>
      <c r="R126">
        <v>9030047190</v>
      </c>
      <c r="S126" t="str">
        <f>CONCATENATE(R126,4)</f>
        <v>90300471904</v>
      </c>
      <c r="T126" s="4" t="s">
        <v>881</v>
      </c>
      <c r="U126" t="s">
        <v>882</v>
      </c>
      <c r="V126" t="str">
        <f>CONCATENATE(U126, " ",T126)</f>
        <v>Massimo Ferrari</v>
      </c>
    </row>
    <row r="127" spans="1:22" x14ac:dyDescent="0.2">
      <c r="A127" s="4" t="s">
        <v>539</v>
      </c>
      <c r="B127" s="2">
        <v>19278370</v>
      </c>
      <c r="C127" s="4" t="s">
        <v>554</v>
      </c>
      <c r="D127" s="4" t="s">
        <v>555</v>
      </c>
      <c r="E127" s="3">
        <v>45931</v>
      </c>
      <c r="F127" s="4" t="s">
        <v>88</v>
      </c>
      <c r="G127" s="4" t="s">
        <v>316</v>
      </c>
      <c r="H127" s="4" t="s">
        <v>46</v>
      </c>
      <c r="I127" s="5">
        <v>10</v>
      </c>
      <c r="J127" s="5">
        <v>53.99</v>
      </c>
      <c r="K127" s="5">
        <v>5.4</v>
      </c>
      <c r="L127" s="4" t="s">
        <v>325</v>
      </c>
      <c r="M127" s="3">
        <v>45748</v>
      </c>
      <c r="N127" s="6" t="s">
        <v>598</v>
      </c>
      <c r="R127">
        <v>9030297670</v>
      </c>
      <c r="S127" t="str">
        <f>CONCATENATE(R127,4)</f>
        <v>90302976704</v>
      </c>
      <c r="T127" s="4" t="s">
        <v>888</v>
      </c>
      <c r="U127" t="s">
        <v>889</v>
      </c>
      <c r="V127" t="str">
        <f>CONCATENATE(U127, " ",T127)</f>
        <v>William Carr</v>
      </c>
    </row>
    <row r="128" spans="1:22" x14ac:dyDescent="0.2">
      <c r="A128" s="4" t="s">
        <v>539</v>
      </c>
      <c r="B128" s="2">
        <v>19278370</v>
      </c>
      <c r="C128" s="4" t="s">
        <v>547</v>
      </c>
      <c r="D128" s="4" t="s">
        <v>548</v>
      </c>
      <c r="E128" s="3">
        <v>45901</v>
      </c>
      <c r="F128" s="4" t="s">
        <v>49</v>
      </c>
      <c r="G128" s="4" t="s">
        <v>51</v>
      </c>
      <c r="H128" s="4" t="s">
        <v>46</v>
      </c>
      <c r="I128" s="5">
        <v>13</v>
      </c>
      <c r="J128" s="5">
        <v>2470.44</v>
      </c>
      <c r="K128" s="5">
        <v>321.12</v>
      </c>
      <c r="L128" s="4" t="s">
        <v>452</v>
      </c>
      <c r="M128" s="3">
        <v>45901</v>
      </c>
      <c r="N128" s="6" t="s">
        <v>604</v>
      </c>
      <c r="R128" s="7" t="s">
        <v>548</v>
      </c>
      <c r="S128" t="str">
        <f>CONCATENATE(R128,8)</f>
        <v>00001036327A8</v>
      </c>
      <c r="T128" s="4" t="s">
        <v>943</v>
      </c>
      <c r="U128" t="s">
        <v>944</v>
      </c>
      <c r="V128" t="str">
        <f>CONCATENATE(U128, " ",T128)</f>
        <v>GEORGE HIGNUTT</v>
      </c>
    </row>
    <row r="129" spans="1:22" x14ac:dyDescent="0.2">
      <c r="A129" s="4" t="s">
        <v>381</v>
      </c>
      <c r="B129" s="2">
        <v>16202925</v>
      </c>
      <c r="C129" s="4" t="s">
        <v>382</v>
      </c>
      <c r="D129" s="4" t="s">
        <v>383</v>
      </c>
      <c r="E129" s="3">
        <v>45901</v>
      </c>
      <c r="F129" s="4" t="s">
        <v>49</v>
      </c>
      <c r="G129" s="4" t="s">
        <v>51</v>
      </c>
      <c r="H129" s="4" t="s">
        <v>46</v>
      </c>
      <c r="I129" s="5">
        <v>11</v>
      </c>
      <c r="J129" s="5">
        <v>326.25</v>
      </c>
      <c r="K129" s="5">
        <v>35.89</v>
      </c>
      <c r="L129" s="4" t="s">
        <v>107</v>
      </c>
      <c r="M129" s="3">
        <v>45261</v>
      </c>
      <c r="N129" s="6" t="s">
        <v>602</v>
      </c>
      <c r="R129" s="7" t="s">
        <v>383</v>
      </c>
      <c r="S129" t="str">
        <f>CONCATENATE(R129,8)</f>
        <v>00000776552A8</v>
      </c>
      <c r="T129" s="4" t="s">
        <v>808</v>
      </c>
      <c r="U129" t="s">
        <v>716</v>
      </c>
      <c r="V129" t="str">
        <f>CONCATENATE(U129, " ",T129)</f>
        <v>DEBRA BECK</v>
      </c>
    </row>
    <row r="130" spans="1:22" x14ac:dyDescent="0.2">
      <c r="A130" s="4" t="s">
        <v>381</v>
      </c>
      <c r="B130" s="2">
        <v>16202925</v>
      </c>
      <c r="C130" s="4" t="s">
        <v>384</v>
      </c>
      <c r="D130" s="4" t="s">
        <v>385</v>
      </c>
      <c r="E130" s="3">
        <v>45901</v>
      </c>
      <c r="F130" s="4" t="s">
        <v>49</v>
      </c>
      <c r="G130" s="4" t="s">
        <v>51</v>
      </c>
      <c r="H130" s="4" t="s">
        <v>46</v>
      </c>
      <c r="I130" s="5">
        <v>11</v>
      </c>
      <c r="J130" s="5">
        <v>326.25</v>
      </c>
      <c r="K130" s="5">
        <v>35.89</v>
      </c>
      <c r="L130" s="4" t="s">
        <v>107</v>
      </c>
      <c r="M130" s="3">
        <v>45292</v>
      </c>
      <c r="N130" s="6" t="s">
        <v>602</v>
      </c>
      <c r="R130" s="7" t="s">
        <v>385</v>
      </c>
      <c r="S130" t="str">
        <f>CONCATENATE(R130,8)</f>
        <v>00000782684A8</v>
      </c>
      <c r="T130" s="4" t="s">
        <v>809</v>
      </c>
      <c r="U130" t="s">
        <v>810</v>
      </c>
      <c r="V130" t="str">
        <f>CONCATENATE(U130, " ",T130)</f>
        <v>ELIZABETH PARADIS</v>
      </c>
    </row>
    <row r="131" spans="1:22" x14ac:dyDescent="0.2">
      <c r="A131" s="4" t="s">
        <v>42</v>
      </c>
      <c r="B131" s="2">
        <v>8814784</v>
      </c>
      <c r="C131" s="4" t="s">
        <v>56</v>
      </c>
      <c r="D131" s="4" t="s">
        <v>57</v>
      </c>
      <c r="E131" s="3">
        <v>45809</v>
      </c>
      <c r="F131" s="4" t="s">
        <v>59</v>
      </c>
      <c r="G131" s="4" t="s">
        <v>51</v>
      </c>
      <c r="H131" s="4" t="s">
        <v>60</v>
      </c>
      <c r="I131" s="5">
        <v>0</v>
      </c>
      <c r="J131" s="5">
        <v>0</v>
      </c>
      <c r="K131" s="5">
        <v>-417.33</v>
      </c>
      <c r="L131" s="4" t="s">
        <v>53</v>
      </c>
      <c r="M131" s="3">
        <v>45809</v>
      </c>
      <c r="N131" s="6" t="s">
        <v>619</v>
      </c>
      <c r="O131" t="s">
        <v>617</v>
      </c>
      <c r="R131" s="7" t="s">
        <v>57</v>
      </c>
      <c r="S131" t="str">
        <f>CONCATENATE(R131,7)</f>
        <v>00023271984K7</v>
      </c>
      <c r="T131" s="4" t="s">
        <v>620</v>
      </c>
      <c r="U131" t="s">
        <v>621</v>
      </c>
      <c r="V131" t="str">
        <f>CONCATENATE(U131, " ",T131)</f>
        <v>LAURA DAIDONE</v>
      </c>
    </row>
    <row r="132" spans="1:22" x14ac:dyDescent="0.2">
      <c r="A132" s="4" t="s">
        <v>42</v>
      </c>
      <c r="B132" s="2">
        <v>8814784</v>
      </c>
      <c r="C132" s="4" t="s">
        <v>64</v>
      </c>
      <c r="D132" s="4" t="s">
        <v>65</v>
      </c>
      <c r="E132" s="3">
        <v>45870</v>
      </c>
      <c r="F132" s="4" t="s">
        <v>67</v>
      </c>
      <c r="G132" s="4" t="s">
        <v>51</v>
      </c>
      <c r="H132" s="4" t="s">
        <v>68</v>
      </c>
      <c r="I132" s="5">
        <v>0</v>
      </c>
      <c r="J132" s="5">
        <v>0</v>
      </c>
      <c r="K132" s="5">
        <v>626</v>
      </c>
      <c r="L132" s="4" t="s">
        <v>53</v>
      </c>
      <c r="M132" s="3">
        <v>45870</v>
      </c>
      <c r="N132" s="6" t="s">
        <v>619</v>
      </c>
      <c r="O132" t="s">
        <v>613</v>
      </c>
      <c r="R132" s="7" t="s">
        <v>65</v>
      </c>
      <c r="S132" t="str">
        <f>CONCATENATE(R132,7)</f>
        <v>00023521930K7</v>
      </c>
      <c r="T132" s="4" t="s">
        <v>639</v>
      </c>
      <c r="U132" t="s">
        <v>640</v>
      </c>
      <c r="V132" t="str">
        <f>CONCATENATE(U132, " ",T132)</f>
        <v>MEG DHAMER</v>
      </c>
    </row>
    <row r="133" spans="1:22" x14ac:dyDescent="0.2">
      <c r="A133" s="4" t="s">
        <v>42</v>
      </c>
      <c r="B133" s="2">
        <v>8814784</v>
      </c>
      <c r="C133" s="4" t="s">
        <v>70</v>
      </c>
      <c r="D133" s="4" t="s">
        <v>71</v>
      </c>
      <c r="E133" s="3">
        <v>45901</v>
      </c>
      <c r="F133" s="4" t="s">
        <v>49</v>
      </c>
      <c r="G133" s="4" t="s">
        <v>51</v>
      </c>
      <c r="H133" s="4" t="s">
        <v>68</v>
      </c>
      <c r="I133" s="5">
        <v>0</v>
      </c>
      <c r="J133" s="5">
        <v>0</v>
      </c>
      <c r="K133" s="5">
        <v>626</v>
      </c>
      <c r="L133" s="4" t="s">
        <v>53</v>
      </c>
      <c r="M133" s="3">
        <v>45901</v>
      </c>
      <c r="N133" s="6" t="s">
        <v>619</v>
      </c>
      <c r="O133" t="s">
        <v>613</v>
      </c>
      <c r="R133" s="7" t="s">
        <v>71</v>
      </c>
      <c r="S133" t="str">
        <f>CONCATENATE(R133,7)</f>
        <v>00023545006K7</v>
      </c>
      <c r="T133" s="4" t="s">
        <v>667</v>
      </c>
      <c r="U133" t="s">
        <v>668</v>
      </c>
      <c r="V133" t="str">
        <f>CONCATENATE(U133, " ",T133)</f>
        <v>SNEJANKA NIKOLOVA</v>
      </c>
    </row>
    <row r="134" spans="1:22" x14ac:dyDescent="0.2">
      <c r="A134" s="4" t="s">
        <v>42</v>
      </c>
      <c r="B134" s="2">
        <v>8814784</v>
      </c>
      <c r="C134" s="4" t="s">
        <v>64</v>
      </c>
      <c r="D134" s="4" t="s">
        <v>65</v>
      </c>
      <c r="E134" s="3">
        <v>45870</v>
      </c>
      <c r="F134" s="4" t="s">
        <v>67</v>
      </c>
      <c r="G134" s="4" t="s">
        <v>51</v>
      </c>
      <c r="H134" s="4" t="s">
        <v>68</v>
      </c>
      <c r="I134" s="5">
        <v>0</v>
      </c>
      <c r="J134" s="5">
        <v>0</v>
      </c>
      <c r="K134" s="5">
        <v>-130.41999999999999</v>
      </c>
      <c r="L134" s="4" t="s">
        <v>53</v>
      </c>
      <c r="M134" s="3">
        <v>45870</v>
      </c>
      <c r="N134" s="6" t="s">
        <v>612</v>
      </c>
      <c r="O134" t="s">
        <v>607</v>
      </c>
      <c r="R134" s="7" t="s">
        <v>65</v>
      </c>
      <c r="S134" t="str">
        <f>CONCATENATE(R134,6)</f>
        <v>00023521930K6</v>
      </c>
      <c r="T134" s="4" t="s">
        <v>639</v>
      </c>
      <c r="U134" t="s">
        <v>640</v>
      </c>
      <c r="V134" t="str">
        <f>CONCATENATE(U134, " ",T134)</f>
        <v>MEG DHAMER</v>
      </c>
    </row>
    <row r="135" spans="1:22" x14ac:dyDescent="0.2">
      <c r="A135" s="4" t="s">
        <v>42</v>
      </c>
      <c r="B135" s="2">
        <v>8814784</v>
      </c>
      <c r="C135" s="4" t="s">
        <v>70</v>
      </c>
      <c r="D135" s="4" t="s">
        <v>71</v>
      </c>
      <c r="E135" s="3">
        <v>45901</v>
      </c>
      <c r="F135" s="4" t="s">
        <v>49</v>
      </c>
      <c r="G135" s="4" t="s">
        <v>51</v>
      </c>
      <c r="H135" s="4" t="s">
        <v>68</v>
      </c>
      <c r="I135" s="5">
        <v>0</v>
      </c>
      <c r="J135" s="5">
        <v>0</v>
      </c>
      <c r="K135" s="5">
        <v>-104.33</v>
      </c>
      <c r="L135" s="4" t="s">
        <v>53</v>
      </c>
      <c r="M135" s="3">
        <v>45901</v>
      </c>
      <c r="N135" s="6" t="s">
        <v>612</v>
      </c>
      <c r="O135" t="s">
        <v>608</v>
      </c>
      <c r="R135" s="7" t="s">
        <v>71</v>
      </c>
      <c r="S135" t="str">
        <f>CONCATENATE(R135,6)</f>
        <v>00023545006K6</v>
      </c>
      <c r="T135" s="4" t="s">
        <v>667</v>
      </c>
      <c r="U135" t="s">
        <v>668</v>
      </c>
      <c r="V135" t="str">
        <f>CONCATENATE(U135, " ",T135)</f>
        <v>SNEJANKA NIKOLOVA</v>
      </c>
    </row>
    <row r="136" spans="1:22" x14ac:dyDescent="0.2">
      <c r="A136" s="4" t="s">
        <v>42</v>
      </c>
      <c r="B136" s="2">
        <v>8814784</v>
      </c>
      <c r="C136" s="4" t="s">
        <v>73</v>
      </c>
      <c r="D136" s="4" t="s">
        <v>74</v>
      </c>
      <c r="E136" s="3">
        <v>45962</v>
      </c>
      <c r="F136" s="4" t="s">
        <v>76</v>
      </c>
      <c r="G136" s="4" t="s">
        <v>51</v>
      </c>
      <c r="H136" s="4" t="s">
        <v>68</v>
      </c>
      <c r="I136" s="5">
        <v>0.17</v>
      </c>
      <c r="J136" s="5">
        <v>0</v>
      </c>
      <c r="K136" s="5">
        <v>52.17</v>
      </c>
      <c r="L136" s="4" t="s">
        <v>62</v>
      </c>
      <c r="M136" s="3">
        <v>45962</v>
      </c>
      <c r="N136" s="6" t="s">
        <v>612</v>
      </c>
      <c r="O136" t="s">
        <v>611</v>
      </c>
      <c r="R136" s="7" t="s">
        <v>74</v>
      </c>
      <c r="S136" t="str">
        <f>CONCATENATE(R136,6)</f>
        <v>00023610687K6</v>
      </c>
      <c r="T136" s="4" t="s">
        <v>906</v>
      </c>
      <c r="U136" t="s">
        <v>907</v>
      </c>
      <c r="V136" t="str">
        <f>CONCATENATE(U136, " ",T136)</f>
        <v>TAGHI ALAGHEBAND</v>
      </c>
    </row>
    <row r="137" spans="1:22" x14ac:dyDescent="0.2">
      <c r="A137" s="4" t="s">
        <v>42</v>
      </c>
      <c r="B137" s="2">
        <v>8814784</v>
      </c>
      <c r="C137" s="4" t="s">
        <v>43</v>
      </c>
      <c r="D137" s="4" t="s">
        <v>44</v>
      </c>
      <c r="E137" s="3">
        <v>45901</v>
      </c>
      <c r="F137" s="4" t="s">
        <v>49</v>
      </c>
      <c r="G137" s="4" t="s">
        <v>51</v>
      </c>
      <c r="H137" s="4" t="s">
        <v>52</v>
      </c>
      <c r="I137" s="5">
        <v>0</v>
      </c>
      <c r="J137" s="5">
        <v>18</v>
      </c>
      <c r="K137" s="5">
        <v>18</v>
      </c>
      <c r="L137" s="4" t="s">
        <v>53</v>
      </c>
      <c r="M137" s="3">
        <v>45901</v>
      </c>
      <c r="N137" s="6" t="s">
        <v>599</v>
      </c>
      <c r="R137" s="7" t="s">
        <v>44</v>
      </c>
      <c r="S137" t="str">
        <f>CONCATENATE(R137,9)</f>
        <v>00018331316K9</v>
      </c>
      <c r="T137" s="4" t="s">
        <v>932</v>
      </c>
      <c r="U137" t="s">
        <v>690</v>
      </c>
      <c r="V137" t="str">
        <f>CONCATENATE(U137, " ",T137)</f>
        <v>BARBARA WOODS</v>
      </c>
    </row>
    <row r="138" spans="1:22" x14ac:dyDescent="0.2">
      <c r="A138" s="4" t="s">
        <v>482</v>
      </c>
      <c r="B138" s="2">
        <v>18794740</v>
      </c>
      <c r="C138" s="4" t="s">
        <v>485</v>
      </c>
      <c r="D138" s="4" t="s">
        <v>486</v>
      </c>
      <c r="E138" s="3">
        <v>45901</v>
      </c>
      <c r="F138" s="4" t="s">
        <v>49</v>
      </c>
      <c r="G138" s="4" t="s">
        <v>51</v>
      </c>
      <c r="H138" s="4" t="s">
        <v>46</v>
      </c>
      <c r="I138" s="5">
        <v>22</v>
      </c>
      <c r="J138" s="5">
        <v>115.3</v>
      </c>
      <c r="K138" s="5">
        <v>25.37</v>
      </c>
      <c r="L138" s="4" t="s">
        <v>305</v>
      </c>
      <c r="M138" s="3">
        <v>45323</v>
      </c>
      <c r="N138" s="6" t="s">
        <v>601</v>
      </c>
      <c r="R138" s="7" t="s">
        <v>486</v>
      </c>
      <c r="S138" t="str">
        <f>CONCATENATE(R138,8)</f>
        <v>00000803433A8</v>
      </c>
      <c r="T138" s="4" t="s">
        <v>698</v>
      </c>
      <c r="U138" t="s">
        <v>699</v>
      </c>
      <c r="V138" t="str">
        <f>CONCATENATE(U138, " ",T138)</f>
        <v>ELAINE GREGORY</v>
      </c>
    </row>
    <row r="139" spans="1:22" x14ac:dyDescent="0.2">
      <c r="A139" s="4" t="s">
        <v>482</v>
      </c>
      <c r="B139" s="2">
        <v>18794740</v>
      </c>
      <c r="C139" s="4" t="s">
        <v>487</v>
      </c>
      <c r="D139" s="4" t="s">
        <v>488</v>
      </c>
      <c r="E139" s="3">
        <v>45901</v>
      </c>
      <c r="F139" s="4" t="s">
        <v>49</v>
      </c>
      <c r="G139" s="4" t="s">
        <v>51</v>
      </c>
      <c r="H139" s="4" t="s">
        <v>46</v>
      </c>
      <c r="I139" s="5">
        <v>22</v>
      </c>
      <c r="J139" s="5">
        <v>115.3</v>
      </c>
      <c r="K139" s="5">
        <v>25.37</v>
      </c>
      <c r="L139" s="4" t="s">
        <v>305</v>
      </c>
      <c r="M139" s="3">
        <v>45383</v>
      </c>
      <c r="N139" s="6" t="s">
        <v>601</v>
      </c>
      <c r="R139" s="7" t="s">
        <v>488</v>
      </c>
      <c r="S139" t="str">
        <f>CONCATENATE(R139,8)</f>
        <v>00000822114A8</v>
      </c>
      <c r="T139" s="4" t="s">
        <v>700</v>
      </c>
      <c r="U139" t="s">
        <v>701</v>
      </c>
      <c r="V139" t="str">
        <f>CONCATENATE(U139, " ",T139)</f>
        <v>MARJORIE WILLIAMS</v>
      </c>
    </row>
    <row r="140" spans="1:22" x14ac:dyDescent="0.2">
      <c r="A140" s="4" t="s">
        <v>482</v>
      </c>
      <c r="B140" s="2">
        <v>18794740</v>
      </c>
      <c r="C140" s="4" t="s">
        <v>491</v>
      </c>
      <c r="D140" s="4" t="s">
        <v>492</v>
      </c>
      <c r="E140" s="3">
        <v>45901</v>
      </c>
      <c r="F140" s="4" t="s">
        <v>49</v>
      </c>
      <c r="G140" s="4" t="s">
        <v>51</v>
      </c>
      <c r="H140" s="4" t="s">
        <v>46</v>
      </c>
      <c r="I140" s="5">
        <v>22</v>
      </c>
      <c r="J140" s="5">
        <v>130.03</v>
      </c>
      <c r="K140" s="5">
        <v>28.61</v>
      </c>
      <c r="L140" s="4" t="s">
        <v>305</v>
      </c>
      <c r="M140" s="3">
        <v>45444</v>
      </c>
      <c r="N140" s="6" t="s">
        <v>601</v>
      </c>
      <c r="R140" s="7" t="s">
        <v>492</v>
      </c>
      <c r="S140" t="str">
        <f>CONCATENATE(R140,8)</f>
        <v>00000836551A8</v>
      </c>
      <c r="T140" s="4" t="s">
        <v>705</v>
      </c>
      <c r="U140" t="s">
        <v>706</v>
      </c>
      <c r="V140" t="str">
        <f>CONCATENATE(U140, " ",T140)</f>
        <v>ROBERT BRISTEL</v>
      </c>
    </row>
    <row r="141" spans="1:22" x14ac:dyDescent="0.2">
      <c r="A141" s="4" t="s">
        <v>482</v>
      </c>
      <c r="B141" s="2">
        <v>18794740</v>
      </c>
      <c r="C141" s="4" t="s">
        <v>483</v>
      </c>
      <c r="D141" s="4" t="s">
        <v>484</v>
      </c>
      <c r="E141" s="3">
        <v>45901</v>
      </c>
      <c r="F141" s="4" t="s">
        <v>49</v>
      </c>
      <c r="G141" s="4" t="s">
        <v>51</v>
      </c>
      <c r="H141" s="4" t="s">
        <v>46</v>
      </c>
      <c r="I141" s="5">
        <v>22</v>
      </c>
      <c r="J141" s="5">
        <v>130.03</v>
      </c>
      <c r="K141" s="5">
        <v>28.61</v>
      </c>
      <c r="L141" s="4" t="s">
        <v>305</v>
      </c>
      <c r="M141" s="3">
        <v>45323</v>
      </c>
      <c r="N141" s="6" t="s">
        <v>601</v>
      </c>
      <c r="R141" s="7" t="s">
        <v>484</v>
      </c>
      <c r="S141" t="str">
        <f>CONCATENATE(R141,8)</f>
        <v>00000803303A8</v>
      </c>
      <c r="T141" s="4" t="s">
        <v>707</v>
      </c>
      <c r="U141" t="s">
        <v>708</v>
      </c>
      <c r="V141" t="str">
        <f>CONCATENATE(U141, " ",T141)</f>
        <v>LESLIE NEWMAN</v>
      </c>
    </row>
    <row r="142" spans="1:22" x14ac:dyDescent="0.2">
      <c r="A142" s="4" t="s">
        <v>482</v>
      </c>
      <c r="B142" s="2">
        <v>18794740</v>
      </c>
      <c r="C142" s="4" t="s">
        <v>489</v>
      </c>
      <c r="D142" s="4" t="s">
        <v>490</v>
      </c>
      <c r="E142" s="3">
        <v>45901</v>
      </c>
      <c r="F142" s="4" t="s">
        <v>49</v>
      </c>
      <c r="G142" s="4" t="s">
        <v>51</v>
      </c>
      <c r="H142" s="4" t="s">
        <v>46</v>
      </c>
      <c r="I142" s="5">
        <v>22</v>
      </c>
      <c r="J142" s="5">
        <v>156.38999999999999</v>
      </c>
      <c r="K142" s="5">
        <v>34.409999999999997</v>
      </c>
      <c r="L142" s="4" t="s">
        <v>305</v>
      </c>
      <c r="M142" s="3">
        <v>45383</v>
      </c>
      <c r="N142" s="6" t="s">
        <v>601</v>
      </c>
      <c r="R142" s="7" t="s">
        <v>490</v>
      </c>
      <c r="S142" t="str">
        <f>CONCATENATE(R142,8)</f>
        <v>00000822229A8</v>
      </c>
      <c r="T142" s="4" t="s">
        <v>700</v>
      </c>
      <c r="U142" t="s">
        <v>745</v>
      </c>
      <c r="V142" t="str">
        <f>CONCATENATE(U142, " ",T142)</f>
        <v>DENNIS WILLIAMS</v>
      </c>
    </row>
    <row r="143" spans="1:22" x14ac:dyDescent="0.2">
      <c r="A143" s="4" t="s">
        <v>482</v>
      </c>
      <c r="B143" s="2">
        <v>18794740</v>
      </c>
      <c r="C143" s="4" t="s">
        <v>493</v>
      </c>
      <c r="D143" s="4" t="s">
        <v>494</v>
      </c>
      <c r="E143" s="3">
        <v>45901</v>
      </c>
      <c r="F143" s="4" t="s">
        <v>49</v>
      </c>
      <c r="G143" s="4" t="s">
        <v>51</v>
      </c>
      <c r="H143" s="4" t="s">
        <v>46</v>
      </c>
      <c r="I143" s="5">
        <v>22</v>
      </c>
      <c r="J143" s="5">
        <v>1585.32</v>
      </c>
      <c r="K143" s="5">
        <v>348.72</v>
      </c>
      <c r="L143" s="4" t="s">
        <v>448</v>
      </c>
      <c r="M143" s="3">
        <v>45901</v>
      </c>
      <c r="N143" s="6" t="s">
        <v>601</v>
      </c>
      <c r="R143" s="7" t="s">
        <v>494</v>
      </c>
      <c r="S143" t="str">
        <f>CONCATENATE(R143,8)</f>
        <v>00001035932A8</v>
      </c>
      <c r="T143" s="4" t="s">
        <v>755</v>
      </c>
      <c r="U143" t="s">
        <v>756</v>
      </c>
      <c r="V143" t="str">
        <f>CONCATENATE(U143, " ",T143)</f>
        <v>VIVIAN HALL</v>
      </c>
    </row>
    <row r="144" spans="1:22" x14ac:dyDescent="0.2">
      <c r="A144" s="4" t="s">
        <v>482</v>
      </c>
      <c r="B144" s="2">
        <v>18794740</v>
      </c>
      <c r="C144" s="4" t="s">
        <v>496</v>
      </c>
      <c r="D144" s="4" t="s">
        <v>497</v>
      </c>
      <c r="E144" s="3">
        <v>45901</v>
      </c>
      <c r="F144" s="4" t="s">
        <v>49</v>
      </c>
      <c r="G144" s="4" t="s">
        <v>51</v>
      </c>
      <c r="H144" s="4" t="s">
        <v>46</v>
      </c>
      <c r="I144" s="5">
        <v>22</v>
      </c>
      <c r="J144" s="5">
        <v>1788.84</v>
      </c>
      <c r="K144" s="5">
        <v>393.6</v>
      </c>
      <c r="L144" s="4" t="s">
        <v>448</v>
      </c>
      <c r="M144" s="3">
        <v>45901</v>
      </c>
      <c r="N144" s="6" t="s">
        <v>601</v>
      </c>
      <c r="R144" s="7" t="s">
        <v>497</v>
      </c>
      <c r="S144" t="str">
        <f>CONCATENATE(R144,8)</f>
        <v>00001036691A8</v>
      </c>
      <c r="T144" s="4" t="s">
        <v>755</v>
      </c>
      <c r="U144" t="s">
        <v>642</v>
      </c>
      <c r="V144" t="str">
        <f>CONCATENATE(U144, " ",T144)</f>
        <v>JAMES HALL</v>
      </c>
    </row>
    <row r="145" spans="1:22" x14ac:dyDescent="0.2">
      <c r="A145" s="4" t="s">
        <v>301</v>
      </c>
      <c r="B145" s="2" t="s">
        <v>946</v>
      </c>
      <c r="C145" s="4" t="s">
        <v>302</v>
      </c>
      <c r="D145" s="4" t="s">
        <v>303</v>
      </c>
      <c r="E145" s="3">
        <v>45901</v>
      </c>
      <c r="F145" s="4" t="s">
        <v>49</v>
      </c>
      <c r="G145" s="4" t="s">
        <v>51</v>
      </c>
      <c r="H145" s="4" t="s">
        <v>46</v>
      </c>
      <c r="I145" s="5">
        <v>22</v>
      </c>
      <c r="J145" s="5">
        <v>129.12</v>
      </c>
      <c r="K145" s="5">
        <v>28.41</v>
      </c>
      <c r="L145" s="4" t="s">
        <v>305</v>
      </c>
      <c r="M145" s="3">
        <v>45505</v>
      </c>
      <c r="N145" s="6" t="s">
        <v>601</v>
      </c>
      <c r="R145" s="7" t="s">
        <v>303</v>
      </c>
      <c r="S145" t="str">
        <f>CONCATENATE(R145,8)</f>
        <v>00000853696A8</v>
      </c>
      <c r="T145" s="4" t="s">
        <v>703</v>
      </c>
      <c r="U145" t="s">
        <v>704</v>
      </c>
      <c r="V145" t="str">
        <f>CONCATENATE(U145, " ",T145)</f>
        <v>MARTIN MILLER</v>
      </c>
    </row>
    <row r="146" spans="1:22" x14ac:dyDescent="0.2">
      <c r="A146" s="4" t="s">
        <v>499</v>
      </c>
      <c r="B146" s="2">
        <v>5442438</v>
      </c>
      <c r="C146" s="4" t="s">
        <v>520</v>
      </c>
      <c r="D146" s="4" t="s">
        <v>521</v>
      </c>
      <c r="E146" s="3">
        <v>45901</v>
      </c>
      <c r="F146" s="4" t="s">
        <v>49</v>
      </c>
      <c r="G146" s="4" t="s">
        <v>51</v>
      </c>
      <c r="H146" s="4" t="s">
        <v>46</v>
      </c>
      <c r="I146" s="5">
        <v>22</v>
      </c>
      <c r="J146" s="5">
        <v>1622.64</v>
      </c>
      <c r="K146" s="5">
        <v>357</v>
      </c>
      <c r="L146" s="4" t="s">
        <v>377</v>
      </c>
      <c r="M146" s="3">
        <v>45901</v>
      </c>
      <c r="N146" s="6" t="s">
        <v>601</v>
      </c>
      <c r="R146" s="7" t="s">
        <v>521</v>
      </c>
      <c r="S146" t="str">
        <f>CONCATENATE(R146,8)</f>
        <v>00001037524A8</v>
      </c>
      <c r="T146" s="4" t="s">
        <v>755</v>
      </c>
      <c r="U146" t="s">
        <v>760</v>
      </c>
      <c r="V146" t="str">
        <f>CONCATENATE(U146, " ",T146)</f>
        <v>MARLENE HALL</v>
      </c>
    </row>
    <row r="147" spans="1:22" x14ac:dyDescent="0.2">
      <c r="A147" s="4" t="s">
        <v>499</v>
      </c>
      <c r="B147" s="2">
        <v>5442438</v>
      </c>
      <c r="C147" s="4" t="s">
        <v>517</v>
      </c>
      <c r="D147" s="4" t="s">
        <v>518</v>
      </c>
      <c r="E147" s="3">
        <v>45901</v>
      </c>
      <c r="F147" s="4" t="s">
        <v>49</v>
      </c>
      <c r="G147" s="4" t="s">
        <v>51</v>
      </c>
      <c r="H147" s="4" t="s">
        <v>46</v>
      </c>
      <c r="I147" s="5">
        <v>22</v>
      </c>
      <c r="J147" s="5">
        <v>1622.64</v>
      </c>
      <c r="K147" s="5">
        <v>357</v>
      </c>
      <c r="L147" s="4" t="s">
        <v>364</v>
      </c>
      <c r="M147" s="3">
        <v>45901</v>
      </c>
      <c r="N147" s="6" t="s">
        <v>601</v>
      </c>
      <c r="R147" s="7" t="s">
        <v>518</v>
      </c>
      <c r="S147" t="str">
        <f>CONCATENATE(R147,8)</f>
        <v>00001036245A8</v>
      </c>
      <c r="T147" s="4" t="s">
        <v>762</v>
      </c>
      <c r="U147" t="s">
        <v>650</v>
      </c>
      <c r="V147" t="str">
        <f>CONCATENATE(U147, " ",T147)</f>
        <v>KAREN ZAIKO</v>
      </c>
    </row>
    <row r="148" spans="1:22" x14ac:dyDescent="0.2">
      <c r="A148" s="4" t="s">
        <v>499</v>
      </c>
      <c r="B148" s="2">
        <v>5442438</v>
      </c>
      <c r="C148" s="4" t="s">
        <v>514</v>
      </c>
      <c r="D148" s="4" t="s">
        <v>515</v>
      </c>
      <c r="E148" s="3">
        <v>45901</v>
      </c>
      <c r="F148" s="4" t="s">
        <v>49</v>
      </c>
      <c r="G148" s="4" t="s">
        <v>51</v>
      </c>
      <c r="H148" s="4" t="s">
        <v>46</v>
      </c>
      <c r="I148" s="5">
        <v>22</v>
      </c>
      <c r="J148" s="5">
        <v>1830.84</v>
      </c>
      <c r="K148" s="5">
        <v>402.84</v>
      </c>
      <c r="L148" s="4" t="s">
        <v>364</v>
      </c>
      <c r="M148" s="3">
        <v>45901</v>
      </c>
      <c r="N148" s="6" t="s">
        <v>601</v>
      </c>
      <c r="R148" s="7" t="s">
        <v>515</v>
      </c>
      <c r="S148" t="str">
        <f>CONCATENATE(R148,8)</f>
        <v>00001033228A8</v>
      </c>
      <c r="T148" s="4" t="s">
        <v>755</v>
      </c>
      <c r="U148" t="s">
        <v>770</v>
      </c>
      <c r="V148" t="str">
        <f>CONCATENATE(U148, " ",T148)</f>
        <v>LOUIS HALL</v>
      </c>
    </row>
    <row r="149" spans="1:22" x14ac:dyDescent="0.2">
      <c r="A149" s="4" t="s">
        <v>499</v>
      </c>
      <c r="B149" s="2">
        <v>5442438</v>
      </c>
      <c r="C149" s="4" t="s">
        <v>525</v>
      </c>
      <c r="D149" s="4" t="s">
        <v>526</v>
      </c>
      <c r="E149" s="3">
        <v>45901</v>
      </c>
      <c r="F149" s="4" t="s">
        <v>49</v>
      </c>
      <c r="G149" s="4" t="s">
        <v>51</v>
      </c>
      <c r="H149" s="4" t="s">
        <v>46</v>
      </c>
      <c r="I149" s="5">
        <v>22</v>
      </c>
      <c r="J149" s="5">
        <v>1843.92</v>
      </c>
      <c r="K149" s="5">
        <v>405.72</v>
      </c>
      <c r="L149" s="4" t="s">
        <v>377</v>
      </c>
      <c r="M149" s="3">
        <v>45901</v>
      </c>
      <c r="N149" s="6" t="s">
        <v>601</v>
      </c>
      <c r="R149" s="7" t="s">
        <v>526</v>
      </c>
      <c r="S149" t="str">
        <f>CONCATENATE(R149,8)</f>
        <v>00001042389A8</v>
      </c>
      <c r="T149" s="4" t="s">
        <v>772</v>
      </c>
      <c r="U149" t="s">
        <v>773</v>
      </c>
      <c r="V149" t="str">
        <f>CONCATENATE(U149, " ",T149)</f>
        <v>SHARON HUNT</v>
      </c>
    </row>
    <row r="150" spans="1:22" x14ac:dyDescent="0.2">
      <c r="A150" s="4" t="s">
        <v>499</v>
      </c>
      <c r="B150" s="2">
        <v>5442438</v>
      </c>
      <c r="C150" s="4" t="s">
        <v>522</v>
      </c>
      <c r="D150" s="4" t="s">
        <v>523</v>
      </c>
      <c r="E150" s="3">
        <v>45901</v>
      </c>
      <c r="F150" s="4" t="s">
        <v>49</v>
      </c>
      <c r="G150" s="4" t="s">
        <v>51</v>
      </c>
      <c r="H150" s="4" t="s">
        <v>46</v>
      </c>
      <c r="I150" s="5">
        <v>22</v>
      </c>
      <c r="J150" s="5">
        <v>2058.48</v>
      </c>
      <c r="K150" s="5">
        <v>452.88</v>
      </c>
      <c r="L150" s="4" t="s">
        <v>364</v>
      </c>
      <c r="M150" s="3">
        <v>45901</v>
      </c>
      <c r="N150" s="6" t="s">
        <v>601</v>
      </c>
      <c r="R150" s="7" t="s">
        <v>523</v>
      </c>
      <c r="S150" t="str">
        <f>CONCATENATE(R150,8)</f>
        <v>00001039124A8</v>
      </c>
      <c r="T150" s="4" t="s">
        <v>787</v>
      </c>
      <c r="U150" t="s">
        <v>788</v>
      </c>
      <c r="V150" t="str">
        <f>CONCATENATE(U150, " ",T150)</f>
        <v>MICHAEL TROTT</v>
      </c>
    </row>
    <row r="151" spans="1:22" x14ac:dyDescent="0.2">
      <c r="A151" s="4" t="s">
        <v>499</v>
      </c>
      <c r="B151" s="2">
        <v>5442438</v>
      </c>
      <c r="C151" s="4" t="s">
        <v>506</v>
      </c>
      <c r="D151" s="4" t="s">
        <v>507</v>
      </c>
      <c r="E151" s="3">
        <v>45901</v>
      </c>
      <c r="F151" s="4" t="s">
        <v>49</v>
      </c>
      <c r="G151" s="4" t="s">
        <v>51</v>
      </c>
      <c r="H151" s="4" t="s">
        <v>46</v>
      </c>
      <c r="I151" s="5">
        <v>11</v>
      </c>
      <c r="J151" s="5">
        <v>91.67</v>
      </c>
      <c r="K151" s="5">
        <v>10.08</v>
      </c>
      <c r="L151" s="4" t="s">
        <v>107</v>
      </c>
      <c r="M151" s="3">
        <v>45505</v>
      </c>
      <c r="N151" s="6" t="s">
        <v>602</v>
      </c>
      <c r="R151" s="7" t="s">
        <v>507</v>
      </c>
      <c r="S151" t="str">
        <f>CONCATENATE(R151,8)</f>
        <v>00000858621A8</v>
      </c>
      <c r="T151" s="4" t="s">
        <v>793</v>
      </c>
      <c r="U151" t="s">
        <v>794</v>
      </c>
      <c r="V151" t="str">
        <f>CONCATENATE(U151, " ",T151)</f>
        <v>ANN KIRBY</v>
      </c>
    </row>
    <row r="152" spans="1:22" x14ac:dyDescent="0.2">
      <c r="A152" s="4" t="s">
        <v>499</v>
      </c>
      <c r="B152" s="2">
        <v>5442438</v>
      </c>
      <c r="C152" s="4" t="s">
        <v>512</v>
      </c>
      <c r="D152" s="4" t="s">
        <v>513</v>
      </c>
      <c r="E152" s="3">
        <v>45901</v>
      </c>
      <c r="F152" s="4" t="s">
        <v>49</v>
      </c>
      <c r="G152" s="4" t="s">
        <v>51</v>
      </c>
      <c r="H152" s="4" t="s">
        <v>46</v>
      </c>
      <c r="I152" s="5">
        <v>11</v>
      </c>
      <c r="J152" s="5">
        <v>126.02</v>
      </c>
      <c r="K152" s="5">
        <v>13.86</v>
      </c>
      <c r="L152" s="4" t="s">
        <v>107</v>
      </c>
      <c r="M152" s="3">
        <v>45536</v>
      </c>
      <c r="N152" s="6" t="s">
        <v>602</v>
      </c>
      <c r="R152" s="7" t="s">
        <v>513</v>
      </c>
      <c r="S152" t="str">
        <f>CONCATENATE(R152,8)</f>
        <v>00000866411A8</v>
      </c>
      <c r="T152" s="4" t="s">
        <v>795</v>
      </c>
      <c r="U152" t="s">
        <v>796</v>
      </c>
      <c r="V152" t="str">
        <f>CONCATENATE(U152, " ",T152)</f>
        <v>DORIANE COOK</v>
      </c>
    </row>
    <row r="153" spans="1:22" x14ac:dyDescent="0.2">
      <c r="A153" s="4" t="s">
        <v>499</v>
      </c>
      <c r="B153" s="2">
        <v>5442438</v>
      </c>
      <c r="C153" s="4" t="s">
        <v>504</v>
      </c>
      <c r="D153" s="4" t="s">
        <v>505</v>
      </c>
      <c r="E153" s="3">
        <v>45901</v>
      </c>
      <c r="F153" s="4" t="s">
        <v>49</v>
      </c>
      <c r="G153" s="4" t="s">
        <v>51</v>
      </c>
      <c r="H153" s="4" t="s">
        <v>46</v>
      </c>
      <c r="I153" s="5">
        <v>11</v>
      </c>
      <c r="J153" s="5">
        <v>126.02</v>
      </c>
      <c r="K153" s="5">
        <v>13.86</v>
      </c>
      <c r="L153" s="4" t="s">
        <v>107</v>
      </c>
      <c r="M153" s="3">
        <v>45505</v>
      </c>
      <c r="N153" s="6" t="s">
        <v>602</v>
      </c>
      <c r="R153" s="7" t="s">
        <v>505</v>
      </c>
      <c r="S153" t="str">
        <f>CONCATENATE(R153,8)</f>
        <v>00000858211A8</v>
      </c>
      <c r="T153" s="4" t="s">
        <v>797</v>
      </c>
      <c r="U153" t="s">
        <v>798</v>
      </c>
      <c r="V153" t="str">
        <f>CONCATENATE(U153, " ",T153)</f>
        <v>LINDA JENKINS</v>
      </c>
    </row>
    <row r="154" spans="1:22" x14ac:dyDescent="0.2">
      <c r="A154" s="4" t="s">
        <v>499</v>
      </c>
      <c r="B154" s="2">
        <v>5442438</v>
      </c>
      <c r="C154" s="4" t="s">
        <v>500</v>
      </c>
      <c r="D154" s="4" t="s">
        <v>501</v>
      </c>
      <c r="E154" s="3">
        <v>45901</v>
      </c>
      <c r="F154" s="4" t="s">
        <v>49</v>
      </c>
      <c r="G154" s="4" t="s">
        <v>51</v>
      </c>
      <c r="H154" s="4" t="s">
        <v>46</v>
      </c>
      <c r="I154" s="5">
        <v>11</v>
      </c>
      <c r="J154" s="5">
        <v>126.02</v>
      </c>
      <c r="K154" s="5">
        <v>13.86</v>
      </c>
      <c r="L154" s="4" t="s">
        <v>107</v>
      </c>
      <c r="M154" s="3">
        <v>45505</v>
      </c>
      <c r="N154" s="6" t="s">
        <v>602</v>
      </c>
      <c r="R154" s="7" t="s">
        <v>501</v>
      </c>
      <c r="S154" t="str">
        <f>CONCATENATE(R154,8)</f>
        <v>00000856344A8</v>
      </c>
      <c r="T154" s="4" t="s">
        <v>658</v>
      </c>
      <c r="U154" t="s">
        <v>799</v>
      </c>
      <c r="V154" t="str">
        <f>CONCATENATE(U154, " ",T154)</f>
        <v>KIMBERLY THOMPSON</v>
      </c>
    </row>
    <row r="155" spans="1:22" x14ac:dyDescent="0.2">
      <c r="A155" s="4" t="s">
        <v>499</v>
      </c>
      <c r="B155" s="2">
        <v>5442438</v>
      </c>
      <c r="C155" s="4" t="s">
        <v>510</v>
      </c>
      <c r="D155" s="4" t="s">
        <v>511</v>
      </c>
      <c r="E155" s="3">
        <v>45901</v>
      </c>
      <c r="F155" s="4" t="s">
        <v>49</v>
      </c>
      <c r="G155" s="4" t="s">
        <v>51</v>
      </c>
      <c r="H155" s="4" t="s">
        <v>46</v>
      </c>
      <c r="I155" s="5">
        <v>11</v>
      </c>
      <c r="J155" s="5">
        <v>142.16999999999999</v>
      </c>
      <c r="K155" s="5">
        <v>15.64</v>
      </c>
      <c r="L155" s="4" t="s">
        <v>107</v>
      </c>
      <c r="M155" s="3">
        <v>45505</v>
      </c>
      <c r="N155" s="6" t="s">
        <v>602</v>
      </c>
      <c r="R155" s="7" t="s">
        <v>511</v>
      </c>
      <c r="S155" t="str">
        <f>CONCATENATE(R155,8)</f>
        <v>00000858732A8</v>
      </c>
      <c r="T155" s="4" t="s">
        <v>802</v>
      </c>
      <c r="U155" t="s">
        <v>803</v>
      </c>
      <c r="V155" t="str">
        <f>CONCATENATE(U155, " ",T155)</f>
        <v>JEROME EDWARDS</v>
      </c>
    </row>
    <row r="156" spans="1:22" x14ac:dyDescent="0.2">
      <c r="A156" s="4" t="s">
        <v>499</v>
      </c>
      <c r="B156" s="2">
        <v>5442438</v>
      </c>
      <c r="C156" s="4" t="s">
        <v>502</v>
      </c>
      <c r="D156" s="4" t="s">
        <v>503</v>
      </c>
      <c r="E156" s="3">
        <v>45901</v>
      </c>
      <c r="F156" s="4" t="s">
        <v>49</v>
      </c>
      <c r="G156" s="4" t="s">
        <v>51</v>
      </c>
      <c r="H156" s="4" t="s">
        <v>46</v>
      </c>
      <c r="I156" s="5">
        <v>11</v>
      </c>
      <c r="J156" s="5">
        <v>142.16999999999999</v>
      </c>
      <c r="K156" s="5">
        <v>15.64</v>
      </c>
      <c r="L156" s="4" t="s">
        <v>107</v>
      </c>
      <c r="M156" s="3">
        <v>45505</v>
      </c>
      <c r="N156" s="6" t="s">
        <v>602</v>
      </c>
      <c r="R156" s="7" t="s">
        <v>503</v>
      </c>
      <c r="S156" t="str">
        <f>CONCATENATE(R156,8)</f>
        <v>00000857411A8</v>
      </c>
      <c r="T156" s="4" t="s">
        <v>804</v>
      </c>
      <c r="U156" t="s">
        <v>805</v>
      </c>
      <c r="V156" t="str">
        <f>CONCATENATE(U156, " ",T156)</f>
        <v>STEPHEN MEYERS</v>
      </c>
    </row>
    <row r="157" spans="1:22" x14ac:dyDescent="0.2">
      <c r="A157" s="4" t="s">
        <v>499</v>
      </c>
      <c r="B157" s="2">
        <v>5442438</v>
      </c>
      <c r="C157" s="4" t="s">
        <v>508</v>
      </c>
      <c r="D157" s="4" t="s">
        <v>509</v>
      </c>
      <c r="E157" s="3">
        <v>45901</v>
      </c>
      <c r="F157" s="4" t="s">
        <v>49</v>
      </c>
      <c r="G157" s="4" t="s">
        <v>51</v>
      </c>
      <c r="H157" s="4" t="s">
        <v>46</v>
      </c>
      <c r="I157" s="5">
        <v>11</v>
      </c>
      <c r="J157" s="5">
        <v>142.16999999999999</v>
      </c>
      <c r="K157" s="5">
        <v>15.64</v>
      </c>
      <c r="L157" s="4" t="s">
        <v>107</v>
      </c>
      <c r="M157" s="3">
        <v>45505</v>
      </c>
      <c r="N157" s="6" t="s">
        <v>602</v>
      </c>
      <c r="R157" s="7" t="s">
        <v>509</v>
      </c>
      <c r="S157" t="str">
        <f>CONCATENATE(R157,8)</f>
        <v>00000858729A8</v>
      </c>
      <c r="T157" s="4" t="s">
        <v>658</v>
      </c>
      <c r="U157" t="s">
        <v>806</v>
      </c>
      <c r="V157" t="str">
        <f>CONCATENATE(U157, " ",T157)</f>
        <v>KEVIN THOMPSON</v>
      </c>
    </row>
    <row r="158" spans="1:22" x14ac:dyDescent="0.2">
      <c r="A158" s="4" t="s">
        <v>467</v>
      </c>
      <c r="B158" s="2" t="s">
        <v>947</v>
      </c>
      <c r="C158" s="4" t="s">
        <v>480</v>
      </c>
      <c r="D158" s="4" t="s">
        <v>481</v>
      </c>
      <c r="E158" s="3">
        <v>45931</v>
      </c>
      <c r="F158" s="4" t="s">
        <v>88</v>
      </c>
      <c r="G158" s="4" t="s">
        <v>311</v>
      </c>
      <c r="H158" s="4" t="s">
        <v>46</v>
      </c>
      <c r="I158" s="5">
        <v>10</v>
      </c>
      <c r="J158" s="5">
        <v>12.13</v>
      </c>
      <c r="K158" s="5">
        <v>1.21</v>
      </c>
      <c r="L158" s="4" t="s">
        <v>325</v>
      </c>
      <c r="M158" s="3">
        <v>45903</v>
      </c>
      <c r="N158" s="6" t="s">
        <v>598</v>
      </c>
      <c r="R158">
        <v>9031089540</v>
      </c>
      <c r="S158" t="str">
        <f>CONCATENATE(R158,4)</f>
        <v>90310895404</v>
      </c>
      <c r="T158" s="4" t="s">
        <v>828</v>
      </c>
      <c r="U158" t="s">
        <v>829</v>
      </c>
      <c r="V158" t="str">
        <f>CONCATENATE(U158, " ",T158)</f>
        <v>Hanna Yates</v>
      </c>
    </row>
    <row r="159" spans="1:22" x14ac:dyDescent="0.2">
      <c r="A159" s="4" t="s">
        <v>467</v>
      </c>
      <c r="B159" s="2" t="s">
        <v>947</v>
      </c>
      <c r="C159" s="4" t="s">
        <v>474</v>
      </c>
      <c r="D159" s="4" t="s">
        <v>475</v>
      </c>
      <c r="E159" s="3">
        <v>45931</v>
      </c>
      <c r="F159" s="4" t="s">
        <v>88</v>
      </c>
      <c r="G159" s="4" t="s">
        <v>311</v>
      </c>
      <c r="H159" s="4" t="s">
        <v>46</v>
      </c>
      <c r="I159" s="5">
        <v>10</v>
      </c>
      <c r="J159" s="5">
        <v>12.99</v>
      </c>
      <c r="K159" s="5">
        <v>1.3</v>
      </c>
      <c r="L159" s="4" t="s">
        <v>325</v>
      </c>
      <c r="M159" s="3">
        <v>45778</v>
      </c>
      <c r="N159" s="6" t="s">
        <v>598</v>
      </c>
      <c r="R159">
        <v>9030370880</v>
      </c>
      <c r="S159" t="str">
        <f>CONCATENATE(R159,4)</f>
        <v>90303708804</v>
      </c>
      <c r="T159" s="4" t="s">
        <v>832</v>
      </c>
      <c r="U159" t="s">
        <v>833</v>
      </c>
      <c r="V159" t="str">
        <f>CONCATENATE(U159, " ",T159)</f>
        <v>Lisa Aiello</v>
      </c>
    </row>
    <row r="160" spans="1:22" x14ac:dyDescent="0.2">
      <c r="A160" s="4" t="s">
        <v>467</v>
      </c>
      <c r="B160" s="2" t="s">
        <v>947</v>
      </c>
      <c r="C160" s="4" t="s">
        <v>476</v>
      </c>
      <c r="D160" s="4" t="s">
        <v>477</v>
      </c>
      <c r="E160" s="3">
        <v>45931</v>
      </c>
      <c r="F160" s="4" t="s">
        <v>88</v>
      </c>
      <c r="G160" s="4" t="s">
        <v>311</v>
      </c>
      <c r="H160" s="4" t="s">
        <v>46</v>
      </c>
      <c r="I160" s="5">
        <v>10</v>
      </c>
      <c r="J160" s="5">
        <v>12.99</v>
      </c>
      <c r="K160" s="5">
        <v>1.3</v>
      </c>
      <c r="L160" s="4" t="s">
        <v>325</v>
      </c>
      <c r="M160" s="3">
        <v>45839</v>
      </c>
      <c r="N160" s="6" t="s">
        <v>598</v>
      </c>
      <c r="R160">
        <v>9030645400</v>
      </c>
      <c r="S160" t="str">
        <f>CONCATENATE(R160,4)</f>
        <v>90306454004</v>
      </c>
      <c r="T160" s="4" t="s">
        <v>834</v>
      </c>
      <c r="U160" t="s">
        <v>835</v>
      </c>
      <c r="V160" t="str">
        <f>CONCATENATE(U160, " ",T160)</f>
        <v>Beth Hudock</v>
      </c>
    </row>
    <row r="161" spans="1:22" x14ac:dyDescent="0.2">
      <c r="A161" s="4" t="s">
        <v>467</v>
      </c>
      <c r="B161" s="2" t="s">
        <v>947</v>
      </c>
      <c r="C161" s="4" t="s">
        <v>468</v>
      </c>
      <c r="D161" s="4" t="s">
        <v>469</v>
      </c>
      <c r="E161" s="3">
        <v>45931</v>
      </c>
      <c r="F161" s="4" t="s">
        <v>88</v>
      </c>
      <c r="G161" s="4" t="s">
        <v>311</v>
      </c>
      <c r="H161" s="4" t="s">
        <v>46</v>
      </c>
      <c r="I161" s="5">
        <v>10</v>
      </c>
      <c r="J161" s="5">
        <v>12.99</v>
      </c>
      <c r="K161" s="5">
        <v>1.3</v>
      </c>
      <c r="L161" s="4" t="s">
        <v>325</v>
      </c>
      <c r="M161" s="3">
        <v>45693</v>
      </c>
      <c r="N161" s="6" t="s">
        <v>598</v>
      </c>
      <c r="R161">
        <v>9030005380</v>
      </c>
      <c r="S161" t="str">
        <f>CONCATENATE(R161,4)</f>
        <v>90300053804</v>
      </c>
      <c r="T161" s="4" t="s">
        <v>838</v>
      </c>
      <c r="U161" t="s">
        <v>839</v>
      </c>
      <c r="V161" t="str">
        <f>CONCATENATE(U161, " ",T161)</f>
        <v>Barbara Johnston</v>
      </c>
    </row>
    <row r="162" spans="1:22" x14ac:dyDescent="0.2">
      <c r="A162" s="4" t="s">
        <v>467</v>
      </c>
      <c r="B162" s="2" t="s">
        <v>947</v>
      </c>
      <c r="C162" s="4" t="s">
        <v>470</v>
      </c>
      <c r="D162" s="4" t="s">
        <v>471</v>
      </c>
      <c r="E162" s="3">
        <v>45931</v>
      </c>
      <c r="F162" s="4" t="s">
        <v>88</v>
      </c>
      <c r="G162" s="4" t="s">
        <v>311</v>
      </c>
      <c r="H162" s="4" t="s">
        <v>46</v>
      </c>
      <c r="I162" s="5">
        <v>10</v>
      </c>
      <c r="J162" s="5">
        <v>12.99</v>
      </c>
      <c r="K162" s="5">
        <v>1.3</v>
      </c>
      <c r="L162" s="4" t="s">
        <v>325</v>
      </c>
      <c r="M162" s="3">
        <v>45717</v>
      </c>
      <c r="N162" s="6" t="s">
        <v>598</v>
      </c>
      <c r="R162">
        <v>9030108580</v>
      </c>
      <c r="S162" t="str">
        <f>CONCATENATE(R162,4)</f>
        <v>90301085804</v>
      </c>
      <c r="T162" s="4" t="s">
        <v>844</v>
      </c>
      <c r="U162" t="s">
        <v>845</v>
      </c>
      <c r="V162" t="str">
        <f>CONCATENATE(U162, " ",T162)</f>
        <v>Michelle McCorkle</v>
      </c>
    </row>
    <row r="163" spans="1:22" x14ac:dyDescent="0.2">
      <c r="A163" s="4" t="s">
        <v>467</v>
      </c>
      <c r="B163" s="2" t="s">
        <v>947</v>
      </c>
      <c r="C163" s="4" t="s">
        <v>472</v>
      </c>
      <c r="D163" s="4" t="s">
        <v>473</v>
      </c>
      <c r="E163" s="3">
        <v>45931</v>
      </c>
      <c r="F163" s="4" t="s">
        <v>88</v>
      </c>
      <c r="G163" s="4" t="s">
        <v>311</v>
      </c>
      <c r="H163" s="4" t="s">
        <v>46</v>
      </c>
      <c r="I163" s="5">
        <v>10</v>
      </c>
      <c r="J163" s="5">
        <v>12.99</v>
      </c>
      <c r="K163" s="5">
        <v>1.3</v>
      </c>
      <c r="L163" s="4" t="s">
        <v>325</v>
      </c>
      <c r="M163" s="3">
        <v>45748</v>
      </c>
      <c r="N163" s="6" t="s">
        <v>598</v>
      </c>
      <c r="R163">
        <v>9030267890</v>
      </c>
      <c r="S163" t="str">
        <f>CONCATENATE(R163,4)</f>
        <v>90302678904</v>
      </c>
      <c r="T163" s="4" t="s">
        <v>848</v>
      </c>
      <c r="U163" t="s">
        <v>849</v>
      </c>
      <c r="V163" t="str">
        <f>CONCATENATE(U163, " ",T163)</f>
        <v>Angela Ricciuti</v>
      </c>
    </row>
    <row r="164" spans="1:22" x14ac:dyDescent="0.2">
      <c r="A164" s="4" t="s">
        <v>467</v>
      </c>
      <c r="B164" s="2" t="s">
        <v>947</v>
      </c>
      <c r="C164" s="4" t="s">
        <v>478</v>
      </c>
      <c r="D164" s="4" t="s">
        <v>479</v>
      </c>
      <c r="E164" s="3">
        <v>45931</v>
      </c>
      <c r="F164" s="4" t="s">
        <v>88</v>
      </c>
      <c r="G164" s="4" t="s">
        <v>311</v>
      </c>
      <c r="H164" s="4" t="s">
        <v>46</v>
      </c>
      <c r="I164" s="5">
        <v>10</v>
      </c>
      <c r="J164" s="5">
        <v>21.79</v>
      </c>
      <c r="K164" s="5">
        <v>2.1800000000000002</v>
      </c>
      <c r="L164" s="4" t="s">
        <v>325</v>
      </c>
      <c r="M164" s="3">
        <v>45880</v>
      </c>
      <c r="N164" s="6" t="s">
        <v>598</v>
      </c>
      <c r="R164">
        <v>9030982010</v>
      </c>
      <c r="S164" t="str">
        <f>CONCATENATE(R164,4)</f>
        <v>90309820104</v>
      </c>
      <c r="T164" s="4" t="s">
        <v>864</v>
      </c>
      <c r="U164" t="s">
        <v>865</v>
      </c>
      <c r="V164" t="str">
        <f>CONCATENATE(U164, " ",T164)</f>
        <v>Tyler Daube</v>
      </c>
    </row>
    <row r="165" spans="1:22" x14ac:dyDescent="0.2">
      <c r="A165" s="4" t="s">
        <v>462</v>
      </c>
      <c r="B165" s="2">
        <v>17554531</v>
      </c>
      <c r="C165" s="4" t="s">
        <v>465</v>
      </c>
      <c r="D165" s="4" t="s">
        <v>466</v>
      </c>
      <c r="E165" s="3">
        <v>45931</v>
      </c>
      <c r="F165" s="4" t="s">
        <v>88</v>
      </c>
      <c r="G165" s="4" t="s">
        <v>311</v>
      </c>
      <c r="H165" s="4" t="s">
        <v>46</v>
      </c>
      <c r="I165" s="5">
        <v>10</v>
      </c>
      <c r="J165" s="5">
        <v>12.24</v>
      </c>
      <c r="K165" s="5">
        <v>1.22</v>
      </c>
      <c r="L165" s="4" t="s">
        <v>325</v>
      </c>
      <c r="M165" s="3">
        <v>45786</v>
      </c>
      <c r="N165" s="6" t="s">
        <v>598</v>
      </c>
      <c r="R165">
        <v>9030504200</v>
      </c>
      <c r="S165" t="str">
        <f>CONCATENATE(R165,4)</f>
        <v>90305042004</v>
      </c>
      <c r="T165" s="4" t="s">
        <v>830</v>
      </c>
      <c r="U165" t="s">
        <v>831</v>
      </c>
      <c r="V165" t="str">
        <f>CONCATENATE(U165, " ",T165)</f>
        <v>Joseph Benassi</v>
      </c>
    </row>
    <row r="166" spans="1:22" x14ac:dyDescent="0.2">
      <c r="A166" s="4" t="s">
        <v>462</v>
      </c>
      <c r="B166" s="2">
        <v>17554531</v>
      </c>
      <c r="C166" s="4" t="s">
        <v>463</v>
      </c>
      <c r="D166" s="4" t="s">
        <v>464</v>
      </c>
      <c r="E166" s="3">
        <v>45931</v>
      </c>
      <c r="F166" s="4" t="s">
        <v>88</v>
      </c>
      <c r="G166" s="4" t="s">
        <v>311</v>
      </c>
      <c r="H166" s="4" t="s">
        <v>46</v>
      </c>
      <c r="I166" s="5">
        <v>10</v>
      </c>
      <c r="J166" s="5">
        <v>38.21</v>
      </c>
      <c r="K166" s="5">
        <v>3.82</v>
      </c>
      <c r="L166" s="4" t="s">
        <v>325</v>
      </c>
      <c r="M166" s="3">
        <v>45786</v>
      </c>
      <c r="N166" s="6" t="s">
        <v>598</v>
      </c>
      <c r="R166">
        <v>9030503940</v>
      </c>
      <c r="S166" t="str">
        <f>CONCATENATE(R166,4)</f>
        <v>90305039404</v>
      </c>
      <c r="T166" s="4" t="s">
        <v>836</v>
      </c>
      <c r="U166" t="s">
        <v>883</v>
      </c>
      <c r="V166" t="str">
        <f>CONCATENATE(U166, " ",T166)</f>
        <v>Crystal Johnson</v>
      </c>
    </row>
    <row r="167" spans="1:22" x14ac:dyDescent="0.2">
      <c r="A167" s="4" t="s">
        <v>192</v>
      </c>
      <c r="B167" s="2">
        <v>9213293</v>
      </c>
      <c r="C167" s="4" t="s">
        <v>196</v>
      </c>
      <c r="D167" s="4" t="s">
        <v>197</v>
      </c>
      <c r="E167" s="3">
        <v>45901</v>
      </c>
      <c r="F167" s="4" t="s">
        <v>49</v>
      </c>
      <c r="G167" s="4" t="s">
        <v>51</v>
      </c>
      <c r="H167" s="4" t="s">
        <v>60</v>
      </c>
      <c r="I167" s="5">
        <v>0</v>
      </c>
      <c r="J167" s="5">
        <v>0</v>
      </c>
      <c r="K167" s="5">
        <v>626</v>
      </c>
      <c r="L167" s="4" t="s">
        <v>53</v>
      </c>
      <c r="M167" s="3">
        <v>45901</v>
      </c>
      <c r="N167" s="6" t="s">
        <v>619</v>
      </c>
      <c r="O167" t="s">
        <v>613</v>
      </c>
      <c r="R167" s="7" t="s">
        <v>197</v>
      </c>
      <c r="S167" t="str">
        <f>CONCATENATE(R167,7)</f>
        <v>00023575071K7</v>
      </c>
      <c r="T167" s="4" t="s">
        <v>651</v>
      </c>
      <c r="U167" t="s">
        <v>652</v>
      </c>
      <c r="V167" t="str">
        <f>CONCATENATE(U167, " ",T167)</f>
        <v>ROARK JOHNSON</v>
      </c>
    </row>
    <row r="168" spans="1:22" x14ac:dyDescent="0.2">
      <c r="A168" s="4" t="s">
        <v>192</v>
      </c>
      <c r="B168" s="2">
        <v>9213293</v>
      </c>
      <c r="C168" s="4" t="s">
        <v>193</v>
      </c>
      <c r="D168" s="4" t="s">
        <v>194</v>
      </c>
      <c r="E168" s="3">
        <v>45901</v>
      </c>
      <c r="F168" s="4" t="s">
        <v>49</v>
      </c>
      <c r="G168" s="4" t="s">
        <v>51</v>
      </c>
      <c r="H168" s="4" t="s">
        <v>60</v>
      </c>
      <c r="I168" s="5">
        <v>0</v>
      </c>
      <c r="J168" s="5">
        <v>0</v>
      </c>
      <c r="K168" s="5">
        <v>626</v>
      </c>
      <c r="L168" s="4" t="s">
        <v>53</v>
      </c>
      <c r="M168" s="3">
        <v>45901</v>
      </c>
      <c r="N168" s="6" t="s">
        <v>619</v>
      </c>
      <c r="O168" t="s">
        <v>613</v>
      </c>
      <c r="R168" s="7" t="s">
        <v>194</v>
      </c>
      <c r="S168" t="str">
        <f>CONCATENATE(R168,7)</f>
        <v>00023571210K7</v>
      </c>
      <c r="T168" s="4" t="s">
        <v>680</v>
      </c>
      <c r="U168" t="s">
        <v>681</v>
      </c>
      <c r="V168" t="str">
        <f>CONCATENATE(U168, " ",T168)</f>
        <v>JEANNE TURF</v>
      </c>
    </row>
    <row r="169" spans="1:22" x14ac:dyDescent="0.2">
      <c r="A169" s="4" t="s">
        <v>192</v>
      </c>
      <c r="B169" s="2">
        <v>9213293</v>
      </c>
      <c r="C169" s="4" t="s">
        <v>199</v>
      </c>
      <c r="D169" s="4" t="s">
        <v>200</v>
      </c>
      <c r="E169" s="3">
        <v>45901</v>
      </c>
      <c r="F169" s="4" t="s">
        <v>49</v>
      </c>
      <c r="G169" s="4" t="s">
        <v>51</v>
      </c>
      <c r="H169" s="4" t="s">
        <v>60</v>
      </c>
      <c r="I169" s="5">
        <v>0</v>
      </c>
      <c r="J169" s="5">
        <v>0</v>
      </c>
      <c r="K169" s="5">
        <v>626</v>
      </c>
      <c r="L169" s="4" t="s">
        <v>53</v>
      </c>
      <c r="M169" s="3">
        <v>45901</v>
      </c>
      <c r="N169" s="6" t="s">
        <v>619</v>
      </c>
      <c r="O169" t="s">
        <v>613</v>
      </c>
      <c r="R169" s="7" t="s">
        <v>200</v>
      </c>
      <c r="S169" t="str">
        <f>CONCATENATE(R169,7)</f>
        <v>00023585917K7</v>
      </c>
      <c r="T169" s="4" t="s">
        <v>680</v>
      </c>
      <c r="U169" t="s">
        <v>682</v>
      </c>
      <c r="V169" t="str">
        <f>CONCATENATE(U169, " ",T169)</f>
        <v>SCOTT TURF</v>
      </c>
    </row>
    <row r="170" spans="1:22" x14ac:dyDescent="0.2">
      <c r="A170" s="4" t="s">
        <v>192</v>
      </c>
      <c r="B170" s="2">
        <v>9213293</v>
      </c>
      <c r="C170" s="4" t="s">
        <v>460</v>
      </c>
      <c r="D170" s="4" t="s">
        <v>461</v>
      </c>
      <c r="E170" s="3">
        <v>45901</v>
      </c>
      <c r="F170" s="4" t="s">
        <v>49</v>
      </c>
      <c r="G170" s="4" t="s">
        <v>51</v>
      </c>
      <c r="H170" s="4" t="s">
        <v>46</v>
      </c>
      <c r="I170" s="5">
        <v>22</v>
      </c>
      <c r="J170" s="5">
        <v>130.87</v>
      </c>
      <c r="K170" s="5">
        <v>28.79</v>
      </c>
      <c r="L170" s="4" t="s">
        <v>107</v>
      </c>
      <c r="M170" s="3">
        <v>45505</v>
      </c>
      <c r="N170" s="6" t="s">
        <v>601</v>
      </c>
      <c r="R170" s="7" t="s">
        <v>461</v>
      </c>
      <c r="S170" t="str">
        <f>CONCATENATE(R170,8)</f>
        <v>00000858093A8</v>
      </c>
      <c r="T170" s="4" t="s">
        <v>722</v>
      </c>
      <c r="U170" t="s">
        <v>723</v>
      </c>
      <c r="V170" t="str">
        <f>CONCATENATE(U170, " ",T170)</f>
        <v>REBECCA HAYES</v>
      </c>
    </row>
    <row r="171" spans="1:22" x14ac:dyDescent="0.2">
      <c r="A171" s="4" t="s">
        <v>192</v>
      </c>
      <c r="B171" s="2">
        <v>9213293</v>
      </c>
      <c r="C171" s="4" t="s">
        <v>196</v>
      </c>
      <c r="D171" s="4" t="s">
        <v>197</v>
      </c>
      <c r="E171" s="3">
        <v>45901</v>
      </c>
      <c r="F171" s="4" t="s">
        <v>49</v>
      </c>
      <c r="G171" s="4" t="s">
        <v>51</v>
      </c>
      <c r="H171" s="4" t="s">
        <v>60</v>
      </c>
      <c r="I171" s="5">
        <v>0</v>
      </c>
      <c r="J171" s="5">
        <v>0</v>
      </c>
      <c r="K171" s="5">
        <v>-104.33</v>
      </c>
      <c r="L171" s="4" t="s">
        <v>53</v>
      </c>
      <c r="M171" s="3">
        <v>45901</v>
      </c>
      <c r="N171" s="6" t="s">
        <v>612</v>
      </c>
      <c r="O171" t="s">
        <v>608</v>
      </c>
      <c r="R171" s="7" t="s">
        <v>197</v>
      </c>
      <c r="S171" t="str">
        <f>CONCATENATE(R171,6)</f>
        <v>00023575071K6</v>
      </c>
      <c r="T171" s="4" t="s">
        <v>651</v>
      </c>
      <c r="U171" t="s">
        <v>652</v>
      </c>
      <c r="V171" t="str">
        <f>CONCATENATE(U171, " ",T171)</f>
        <v>ROARK JOHNSON</v>
      </c>
    </row>
    <row r="172" spans="1:22" x14ac:dyDescent="0.2">
      <c r="A172" s="4" t="s">
        <v>192</v>
      </c>
      <c r="B172" s="2">
        <v>9213293</v>
      </c>
      <c r="C172" s="4" t="s">
        <v>193</v>
      </c>
      <c r="D172" s="4" t="s">
        <v>194</v>
      </c>
      <c r="E172" s="3">
        <v>45901</v>
      </c>
      <c r="F172" s="4" t="s">
        <v>49</v>
      </c>
      <c r="G172" s="4" t="s">
        <v>51</v>
      </c>
      <c r="H172" s="4" t="s">
        <v>60</v>
      </c>
      <c r="I172" s="5">
        <v>0</v>
      </c>
      <c r="J172" s="5">
        <v>0</v>
      </c>
      <c r="K172" s="5">
        <v>-104.33</v>
      </c>
      <c r="L172" s="4" t="s">
        <v>53</v>
      </c>
      <c r="M172" s="3">
        <v>45901</v>
      </c>
      <c r="N172" s="6" t="s">
        <v>612</v>
      </c>
      <c r="O172" t="s">
        <v>608</v>
      </c>
      <c r="R172" s="7" t="s">
        <v>194</v>
      </c>
      <c r="S172" t="str">
        <f>CONCATENATE(R172,6)</f>
        <v>00023571210K6</v>
      </c>
      <c r="T172" s="4" t="s">
        <v>680</v>
      </c>
      <c r="U172" t="s">
        <v>681</v>
      </c>
      <c r="V172" t="str">
        <f>CONCATENATE(U172, " ",T172)</f>
        <v>JEANNE TURF</v>
      </c>
    </row>
    <row r="173" spans="1:22" x14ac:dyDescent="0.2">
      <c r="A173" s="4" t="s">
        <v>192</v>
      </c>
      <c r="B173" s="2">
        <v>9213293</v>
      </c>
      <c r="C173" s="4" t="s">
        <v>199</v>
      </c>
      <c r="D173" s="4" t="s">
        <v>200</v>
      </c>
      <c r="E173" s="3">
        <v>45901</v>
      </c>
      <c r="F173" s="4" t="s">
        <v>49</v>
      </c>
      <c r="G173" s="4" t="s">
        <v>51</v>
      </c>
      <c r="H173" s="4" t="s">
        <v>60</v>
      </c>
      <c r="I173" s="5">
        <v>0</v>
      </c>
      <c r="J173" s="5">
        <v>0</v>
      </c>
      <c r="K173" s="5">
        <v>-104.33</v>
      </c>
      <c r="L173" s="4" t="s">
        <v>53</v>
      </c>
      <c r="M173" s="3">
        <v>45901</v>
      </c>
      <c r="N173" s="6" t="s">
        <v>612</v>
      </c>
      <c r="O173" t="s">
        <v>608</v>
      </c>
      <c r="R173" s="7" t="s">
        <v>200</v>
      </c>
      <c r="S173" t="str">
        <f>CONCATENATE(R173,6)</f>
        <v>00023585917K6</v>
      </c>
      <c r="T173" s="4" t="s">
        <v>680</v>
      </c>
      <c r="U173" t="s">
        <v>682</v>
      </c>
      <c r="V173" t="str">
        <f>CONCATENATE(U173, " ",T173)</f>
        <v>SCOTT TURF</v>
      </c>
    </row>
    <row r="174" spans="1:22" x14ac:dyDescent="0.2">
      <c r="A174" s="4" t="s">
        <v>248</v>
      </c>
      <c r="B174" s="2">
        <v>19645587</v>
      </c>
      <c r="C174" s="4" t="s">
        <v>249</v>
      </c>
      <c r="D174" s="4" t="s">
        <v>250</v>
      </c>
      <c r="E174" s="3">
        <v>45901</v>
      </c>
      <c r="F174" s="4" t="s">
        <v>49</v>
      </c>
      <c r="G174" s="4" t="s">
        <v>51</v>
      </c>
      <c r="H174" s="4" t="s">
        <v>68</v>
      </c>
      <c r="I174" s="5">
        <v>0</v>
      </c>
      <c r="J174" s="5">
        <v>0</v>
      </c>
      <c r="K174" s="5">
        <v>626</v>
      </c>
      <c r="L174" s="4" t="s">
        <v>53</v>
      </c>
      <c r="M174" s="3">
        <v>45901</v>
      </c>
      <c r="N174" s="6" t="s">
        <v>619</v>
      </c>
      <c r="O174" t="s">
        <v>613</v>
      </c>
      <c r="R174" s="7" t="s">
        <v>250</v>
      </c>
      <c r="S174" t="str">
        <f>CONCATENATE(R174,7)</f>
        <v>00023578181K7</v>
      </c>
      <c r="T174" s="4" t="s">
        <v>670</v>
      </c>
      <c r="U174" t="s">
        <v>671</v>
      </c>
      <c r="V174" t="str">
        <f>CONCATENATE(U174, " ",T174)</f>
        <v>EDMUND RODRIGUEZ</v>
      </c>
    </row>
    <row r="175" spans="1:22" x14ac:dyDescent="0.2">
      <c r="A175" s="4" t="s">
        <v>248</v>
      </c>
      <c r="B175" s="2">
        <v>19645587</v>
      </c>
      <c r="C175" s="4" t="s">
        <v>249</v>
      </c>
      <c r="D175" s="4" t="s">
        <v>250</v>
      </c>
      <c r="E175" s="3">
        <v>45901</v>
      </c>
      <c r="F175" s="4" t="s">
        <v>49</v>
      </c>
      <c r="G175" s="4" t="s">
        <v>51</v>
      </c>
      <c r="H175" s="4" t="s">
        <v>68</v>
      </c>
      <c r="I175" s="5">
        <v>0</v>
      </c>
      <c r="J175" s="5">
        <v>0</v>
      </c>
      <c r="K175" s="5">
        <v>-104.33</v>
      </c>
      <c r="L175" s="4" t="s">
        <v>53</v>
      </c>
      <c r="M175" s="3">
        <v>45901</v>
      </c>
      <c r="N175" s="6" t="s">
        <v>612</v>
      </c>
      <c r="O175" t="s">
        <v>608</v>
      </c>
      <c r="R175" s="7" t="s">
        <v>250</v>
      </c>
      <c r="S175" t="str">
        <f>CONCATENATE(R175,6)</f>
        <v>00023578181K6</v>
      </c>
      <c r="T175" s="4" t="s">
        <v>670</v>
      </c>
      <c r="U175" t="s">
        <v>671</v>
      </c>
      <c r="V175" t="str">
        <f>CONCATENATE(U175, " ",T175)</f>
        <v>EDMUND RODRIGUEZ</v>
      </c>
    </row>
    <row r="176" spans="1:22" x14ac:dyDescent="0.2">
      <c r="A176" s="4" t="s">
        <v>149</v>
      </c>
      <c r="B176" s="2">
        <v>9079571</v>
      </c>
      <c r="C176" s="4" t="s">
        <v>361</v>
      </c>
      <c r="D176" s="4" t="s">
        <v>362</v>
      </c>
      <c r="E176" s="3">
        <v>45901</v>
      </c>
      <c r="F176" s="4" t="s">
        <v>49</v>
      </c>
      <c r="G176" s="4" t="s">
        <v>51</v>
      </c>
      <c r="H176" s="4" t="s">
        <v>46</v>
      </c>
      <c r="I176" s="5">
        <v>22</v>
      </c>
      <c r="J176" s="5">
        <v>1622.64</v>
      </c>
      <c r="K176" s="5">
        <v>357</v>
      </c>
      <c r="L176" s="4" t="s">
        <v>364</v>
      </c>
      <c r="M176" s="3">
        <v>45901</v>
      </c>
      <c r="N176" s="6" t="s">
        <v>601</v>
      </c>
      <c r="R176" s="7" t="s">
        <v>362</v>
      </c>
      <c r="S176" t="str">
        <f>CONCATENATE(R176,8)</f>
        <v>00001033410A8</v>
      </c>
      <c r="T176" s="4" t="s">
        <v>757</v>
      </c>
      <c r="U176" t="s">
        <v>759</v>
      </c>
      <c r="V176" t="str">
        <f>CONCATENATE(U176, " ",T176)</f>
        <v>BRENDA DEANE</v>
      </c>
    </row>
    <row r="177" spans="1:22" x14ac:dyDescent="0.2">
      <c r="A177" s="4" t="s">
        <v>149</v>
      </c>
      <c r="B177" s="2">
        <v>9079571</v>
      </c>
      <c r="C177" s="4" t="s">
        <v>379</v>
      </c>
      <c r="D177" s="4" t="s">
        <v>380</v>
      </c>
      <c r="E177" s="3">
        <v>45901</v>
      </c>
      <c r="F177" s="4" t="s">
        <v>49</v>
      </c>
      <c r="G177" s="4" t="s">
        <v>51</v>
      </c>
      <c r="H177" s="4" t="s">
        <v>46</v>
      </c>
      <c r="I177" s="5">
        <v>22</v>
      </c>
      <c r="J177" s="5">
        <v>1622.64</v>
      </c>
      <c r="K177" s="5">
        <v>357</v>
      </c>
      <c r="L177" s="4" t="s">
        <v>377</v>
      </c>
      <c r="M177" s="3">
        <v>45901</v>
      </c>
      <c r="N177" s="6" t="s">
        <v>601</v>
      </c>
      <c r="R177" s="7" t="s">
        <v>380</v>
      </c>
      <c r="S177" t="str">
        <f>CONCATENATE(R177,8)</f>
        <v>00001044593A8</v>
      </c>
      <c r="T177" s="4" t="s">
        <v>700</v>
      </c>
      <c r="U177" t="s">
        <v>761</v>
      </c>
      <c r="V177" t="str">
        <f>CONCATENATE(U177, " ",T177)</f>
        <v>KIM WILLIAMS</v>
      </c>
    </row>
    <row r="178" spans="1:22" x14ac:dyDescent="0.2">
      <c r="A178" s="4" t="s">
        <v>149</v>
      </c>
      <c r="B178" s="2">
        <v>9079571</v>
      </c>
      <c r="C178" s="4" t="s">
        <v>369</v>
      </c>
      <c r="D178" s="4" t="s">
        <v>370</v>
      </c>
      <c r="E178" s="3">
        <v>45901</v>
      </c>
      <c r="F178" s="4" t="s">
        <v>49</v>
      </c>
      <c r="G178" s="4" t="s">
        <v>51</v>
      </c>
      <c r="H178" s="4" t="s">
        <v>46</v>
      </c>
      <c r="I178" s="5">
        <v>22</v>
      </c>
      <c r="J178" s="5">
        <v>1830.84</v>
      </c>
      <c r="K178" s="5">
        <v>402.84</v>
      </c>
      <c r="L178" s="4" t="s">
        <v>364</v>
      </c>
      <c r="M178" s="3">
        <v>45901</v>
      </c>
      <c r="N178" s="6" t="s">
        <v>601</v>
      </c>
      <c r="R178" s="7" t="s">
        <v>370</v>
      </c>
      <c r="S178" t="str">
        <f>CONCATENATE(R178,8)</f>
        <v>00001034709A8</v>
      </c>
      <c r="T178" s="4" t="s">
        <v>771</v>
      </c>
      <c r="U178" t="s">
        <v>706</v>
      </c>
      <c r="V178" t="str">
        <f>CONCATENATE(U178, " ",T178)</f>
        <v>ROBERT HITZ</v>
      </c>
    </row>
    <row r="179" spans="1:22" x14ac:dyDescent="0.2">
      <c r="A179" s="4" t="s">
        <v>149</v>
      </c>
      <c r="B179" s="2">
        <v>9079571</v>
      </c>
      <c r="C179" s="4" t="s">
        <v>372</v>
      </c>
      <c r="D179" s="4" t="s">
        <v>373</v>
      </c>
      <c r="E179" s="3">
        <v>45901</v>
      </c>
      <c r="F179" s="4" t="s">
        <v>49</v>
      </c>
      <c r="G179" s="4" t="s">
        <v>51</v>
      </c>
      <c r="H179" s="4" t="s">
        <v>46</v>
      </c>
      <c r="I179" s="5">
        <v>22</v>
      </c>
      <c r="J179" s="5">
        <v>1894.68</v>
      </c>
      <c r="K179" s="5">
        <v>416.88</v>
      </c>
      <c r="L179" s="4" t="s">
        <v>364</v>
      </c>
      <c r="M179" s="3">
        <v>45901</v>
      </c>
      <c r="N179" s="6" t="s">
        <v>601</v>
      </c>
      <c r="R179" s="7" t="s">
        <v>373</v>
      </c>
      <c r="S179" t="str">
        <f>CONCATENATE(R179,8)</f>
        <v>00001034894A8</v>
      </c>
      <c r="T179" s="4" t="s">
        <v>776</v>
      </c>
      <c r="U179" t="s">
        <v>777</v>
      </c>
      <c r="V179" t="str">
        <f>CONCATENATE(U179, " ",T179)</f>
        <v>CHARLES GENT</v>
      </c>
    </row>
    <row r="180" spans="1:22" x14ac:dyDescent="0.2">
      <c r="A180" s="4" t="s">
        <v>149</v>
      </c>
      <c r="B180" s="2">
        <v>9079571</v>
      </c>
      <c r="C180" s="4" t="s">
        <v>375</v>
      </c>
      <c r="D180" s="4" t="s">
        <v>376</v>
      </c>
      <c r="E180" s="3">
        <v>45901</v>
      </c>
      <c r="F180" s="4" t="s">
        <v>49</v>
      </c>
      <c r="G180" s="4" t="s">
        <v>51</v>
      </c>
      <c r="H180" s="4" t="s">
        <v>46</v>
      </c>
      <c r="I180" s="5">
        <v>22</v>
      </c>
      <c r="J180" s="5">
        <v>1894.68</v>
      </c>
      <c r="K180" s="5">
        <v>416.88</v>
      </c>
      <c r="L180" s="4" t="s">
        <v>377</v>
      </c>
      <c r="M180" s="3">
        <v>45901</v>
      </c>
      <c r="N180" s="6" t="s">
        <v>601</v>
      </c>
      <c r="R180" s="7" t="s">
        <v>376</v>
      </c>
      <c r="S180" t="str">
        <f>CONCATENATE(R180,8)</f>
        <v>00001044517A8</v>
      </c>
      <c r="T180" s="4" t="s">
        <v>700</v>
      </c>
      <c r="U180" t="s">
        <v>778</v>
      </c>
      <c r="V180" t="str">
        <f>CONCATENATE(U180, " ",T180)</f>
        <v>ROLAND WILLIAMS</v>
      </c>
    </row>
    <row r="181" spans="1:22" x14ac:dyDescent="0.2">
      <c r="A181" s="4" t="s">
        <v>149</v>
      </c>
      <c r="B181" s="2">
        <v>9079571</v>
      </c>
      <c r="C181" s="4" t="s">
        <v>366</v>
      </c>
      <c r="D181" s="4" t="s">
        <v>367</v>
      </c>
      <c r="E181" s="3">
        <v>45901</v>
      </c>
      <c r="F181" s="4" t="s">
        <v>49</v>
      </c>
      <c r="G181" s="4" t="s">
        <v>51</v>
      </c>
      <c r="H181" s="4" t="s">
        <v>46</v>
      </c>
      <c r="I181" s="5">
        <v>22</v>
      </c>
      <c r="J181" s="5">
        <v>2058.48</v>
      </c>
      <c r="K181" s="5">
        <v>452.88</v>
      </c>
      <c r="L181" s="4" t="s">
        <v>364</v>
      </c>
      <c r="M181" s="3">
        <v>45901</v>
      </c>
      <c r="N181" s="6" t="s">
        <v>601</v>
      </c>
      <c r="R181" s="7" t="s">
        <v>367</v>
      </c>
      <c r="S181" t="str">
        <f>CONCATENATE(R181,8)</f>
        <v>00001033564A8</v>
      </c>
      <c r="T181" s="4" t="s">
        <v>758</v>
      </c>
      <c r="U181" t="s">
        <v>786</v>
      </c>
      <c r="V181" t="str">
        <f>CONCATENATE(U181, " ",T181)</f>
        <v>JOHN CLARKE</v>
      </c>
    </row>
    <row r="182" spans="1:22" x14ac:dyDescent="0.2">
      <c r="A182" s="4" t="s">
        <v>149</v>
      </c>
      <c r="B182" s="2">
        <v>9079571</v>
      </c>
      <c r="C182" s="4" t="s">
        <v>150</v>
      </c>
      <c r="D182" s="4" t="s">
        <v>151</v>
      </c>
      <c r="E182" s="3">
        <v>45931</v>
      </c>
      <c r="F182" s="4" t="s">
        <v>88</v>
      </c>
      <c r="G182" s="4" t="s">
        <v>51</v>
      </c>
      <c r="H182" s="4" t="s">
        <v>68</v>
      </c>
      <c r="I182" s="5">
        <v>0.25</v>
      </c>
      <c r="J182" s="5">
        <v>0</v>
      </c>
      <c r="K182" s="5">
        <v>78.25</v>
      </c>
      <c r="L182" s="4" t="s">
        <v>62</v>
      </c>
      <c r="M182" s="3">
        <v>45931</v>
      </c>
      <c r="N182" s="6" t="s">
        <v>612</v>
      </c>
      <c r="O182" t="s">
        <v>609</v>
      </c>
      <c r="R182" s="7" t="s">
        <v>151</v>
      </c>
      <c r="S182" t="str">
        <f>CONCATENATE(R182,6)</f>
        <v>00023615060K6</v>
      </c>
      <c r="T182" s="4" t="s">
        <v>910</v>
      </c>
      <c r="U182" t="s">
        <v>749</v>
      </c>
      <c r="V182" t="str">
        <f>CONCATENATE(U182, " ",T182)</f>
        <v>CINDY BERRY</v>
      </c>
    </row>
    <row r="183" spans="1:22" s="13" customFormat="1" x14ac:dyDescent="0.2">
      <c r="A183" s="8" t="s">
        <v>573</v>
      </c>
      <c r="B183" s="9">
        <v>21618313</v>
      </c>
      <c r="C183" s="8" t="s">
        <v>580</v>
      </c>
      <c r="D183" s="8" t="s">
        <v>581</v>
      </c>
      <c r="E183" s="10">
        <v>45901</v>
      </c>
      <c r="F183" s="8" t="s">
        <v>49</v>
      </c>
      <c r="G183" s="8" t="s">
        <v>51</v>
      </c>
      <c r="H183" s="8" t="s">
        <v>46</v>
      </c>
      <c r="I183" s="11">
        <v>22</v>
      </c>
      <c r="J183" s="11">
        <v>1640.64</v>
      </c>
      <c r="K183" s="11">
        <v>360.96</v>
      </c>
      <c r="L183" s="8" t="s">
        <v>448</v>
      </c>
      <c r="M183" s="10">
        <v>45901</v>
      </c>
      <c r="N183" s="12" t="s">
        <v>601</v>
      </c>
      <c r="R183" s="14" t="s">
        <v>581</v>
      </c>
      <c r="S183" s="13" t="str">
        <f>CONCATENATE(R183,8)</f>
        <v>00001033038A8</v>
      </c>
      <c r="T183" s="8" t="s">
        <v>763</v>
      </c>
      <c r="U183" s="13" t="s">
        <v>764</v>
      </c>
      <c r="V183" s="13" t="str">
        <f>CONCATENATE(U183, " ",T183)</f>
        <v>AMY WARD</v>
      </c>
    </row>
    <row r="184" spans="1:22" s="13" customFormat="1" x14ac:dyDescent="0.2">
      <c r="A184" s="8" t="s">
        <v>573</v>
      </c>
      <c r="B184" s="9">
        <v>21618313</v>
      </c>
      <c r="C184" s="8" t="s">
        <v>574</v>
      </c>
      <c r="D184" s="8" t="s">
        <v>575</v>
      </c>
      <c r="E184" s="10">
        <v>45901</v>
      </c>
      <c r="F184" s="8" t="s">
        <v>49</v>
      </c>
      <c r="G184" s="8" t="s">
        <v>51</v>
      </c>
      <c r="H184" s="8" t="s">
        <v>46</v>
      </c>
      <c r="I184" s="11">
        <v>22</v>
      </c>
      <c r="J184" s="11">
        <v>1907.64</v>
      </c>
      <c r="K184" s="11">
        <v>419.64</v>
      </c>
      <c r="L184" s="8" t="s">
        <v>448</v>
      </c>
      <c r="M184" s="10">
        <v>45901</v>
      </c>
      <c r="N184" s="12" t="s">
        <v>601</v>
      </c>
      <c r="R184" s="14" t="s">
        <v>575</v>
      </c>
      <c r="S184" s="13" t="str">
        <f>CONCATENATE(R184,8)</f>
        <v>00001031023A8</v>
      </c>
      <c r="T184" s="8" t="s">
        <v>779</v>
      </c>
      <c r="U184" s="13" t="s">
        <v>731</v>
      </c>
      <c r="V184" s="13" t="str">
        <f>CONCATENATE(U184, " ",T184)</f>
        <v>DIANE FREIBERGER</v>
      </c>
    </row>
    <row r="185" spans="1:22" s="13" customFormat="1" x14ac:dyDescent="0.2">
      <c r="A185" s="8" t="s">
        <v>573</v>
      </c>
      <c r="B185" s="9">
        <v>21618313</v>
      </c>
      <c r="C185" s="8" t="s">
        <v>594</v>
      </c>
      <c r="D185" s="8" t="s">
        <v>595</v>
      </c>
      <c r="E185" s="10">
        <v>45901</v>
      </c>
      <c r="F185" s="8" t="s">
        <v>49</v>
      </c>
      <c r="G185" s="8" t="s">
        <v>51</v>
      </c>
      <c r="H185" s="8" t="s">
        <v>46</v>
      </c>
      <c r="I185" s="11">
        <v>22</v>
      </c>
      <c r="J185" s="11">
        <v>1955.16</v>
      </c>
      <c r="K185" s="11">
        <v>430.08</v>
      </c>
      <c r="L185" s="8" t="s">
        <v>377</v>
      </c>
      <c r="M185" s="10">
        <v>45901</v>
      </c>
      <c r="N185" s="12" t="s">
        <v>601</v>
      </c>
      <c r="R185" s="14" t="s">
        <v>595</v>
      </c>
      <c r="S185" s="13" t="str">
        <f>CONCATENATE(R185,8)</f>
        <v>00001041987A8</v>
      </c>
      <c r="T185" s="8" t="s">
        <v>784</v>
      </c>
      <c r="U185" s="13" t="s">
        <v>785</v>
      </c>
      <c r="V185" s="13" t="str">
        <f>CONCATENATE(U185, " ",T185)</f>
        <v>SUSAN DEWOLF</v>
      </c>
    </row>
    <row r="186" spans="1:22" s="13" customFormat="1" x14ac:dyDescent="0.2">
      <c r="A186" s="8" t="s">
        <v>573</v>
      </c>
      <c r="B186" s="9">
        <v>21618313</v>
      </c>
      <c r="C186" s="8" t="s">
        <v>577</v>
      </c>
      <c r="D186" s="8" t="s">
        <v>578</v>
      </c>
      <c r="E186" s="10">
        <v>45901</v>
      </c>
      <c r="F186" s="8" t="s">
        <v>49</v>
      </c>
      <c r="G186" s="8" t="s">
        <v>51</v>
      </c>
      <c r="H186" s="8" t="s">
        <v>46</v>
      </c>
      <c r="I186" s="11">
        <v>22</v>
      </c>
      <c r="J186" s="11">
        <v>2152.92</v>
      </c>
      <c r="K186" s="11">
        <v>473.64</v>
      </c>
      <c r="L186" s="8" t="s">
        <v>448</v>
      </c>
      <c r="M186" s="10">
        <v>45901</v>
      </c>
      <c r="N186" s="12" t="s">
        <v>601</v>
      </c>
      <c r="R186" s="14" t="s">
        <v>578</v>
      </c>
      <c r="S186" s="13" t="str">
        <f>CONCATENATE(R186,8)</f>
        <v>00001031421A8</v>
      </c>
      <c r="T186" s="8" t="s">
        <v>779</v>
      </c>
      <c r="U186" s="13" t="s">
        <v>790</v>
      </c>
      <c r="V186" s="13" t="str">
        <f>CONCATENATE(U186, " ",T186)</f>
        <v>GARY FREIBERGER</v>
      </c>
    </row>
    <row r="187" spans="1:22" s="13" customFormat="1" x14ac:dyDescent="0.2">
      <c r="A187" s="8" t="s">
        <v>573</v>
      </c>
      <c r="B187" s="9">
        <v>21618313</v>
      </c>
      <c r="C187" s="8" t="s">
        <v>589</v>
      </c>
      <c r="D187" s="8" t="s">
        <v>590</v>
      </c>
      <c r="E187" s="10">
        <v>45901</v>
      </c>
      <c r="F187" s="8" t="s">
        <v>49</v>
      </c>
      <c r="G187" s="8" t="s">
        <v>51</v>
      </c>
      <c r="H187" s="8"/>
      <c r="I187" s="11">
        <v>26</v>
      </c>
      <c r="J187" s="11">
        <v>1135.56</v>
      </c>
      <c r="K187" s="11">
        <v>295.2</v>
      </c>
      <c r="L187" s="8" t="s">
        <v>452</v>
      </c>
      <c r="M187" s="10">
        <v>45901</v>
      </c>
      <c r="N187" s="12" t="s">
        <v>600</v>
      </c>
      <c r="R187" s="14" t="s">
        <v>590</v>
      </c>
      <c r="S187" s="13" t="str">
        <f>CONCATENATE(R187,8)</f>
        <v>00001041166A8</v>
      </c>
      <c r="T187" s="8" t="s">
        <v>819</v>
      </c>
      <c r="U187" s="13" t="s">
        <v>686</v>
      </c>
      <c r="V187" s="13" t="str">
        <f>CONCATENATE(U187, " ",T187)</f>
        <v>LISA KHURI</v>
      </c>
    </row>
    <row r="188" spans="1:22" s="13" customFormat="1" x14ac:dyDescent="0.2">
      <c r="A188" s="8" t="s">
        <v>573</v>
      </c>
      <c r="B188" s="9">
        <v>21618313</v>
      </c>
      <c r="C188" s="8" t="s">
        <v>586</v>
      </c>
      <c r="D188" s="8" t="s">
        <v>587</v>
      </c>
      <c r="E188" s="10">
        <v>45901</v>
      </c>
      <c r="F188" s="8" t="s">
        <v>49</v>
      </c>
      <c r="G188" s="8" t="s">
        <v>51</v>
      </c>
      <c r="H188" s="8" t="s">
        <v>46</v>
      </c>
      <c r="I188" s="11">
        <v>26</v>
      </c>
      <c r="J188" s="11">
        <v>1166.28</v>
      </c>
      <c r="K188" s="11">
        <v>303.24</v>
      </c>
      <c r="L188" s="8" t="s">
        <v>448</v>
      </c>
      <c r="M188" s="10">
        <v>45901</v>
      </c>
      <c r="N188" s="12" t="s">
        <v>600</v>
      </c>
      <c r="R188" s="14" t="s">
        <v>587</v>
      </c>
      <c r="S188" s="13" t="str">
        <f>CONCATENATE(R188,8)</f>
        <v>00001035527A8</v>
      </c>
      <c r="T188" s="8" t="s">
        <v>821</v>
      </c>
      <c r="U188" s="13" t="s">
        <v>822</v>
      </c>
      <c r="V188" s="13" t="str">
        <f>CONCATENATE(U188, " ",T188)</f>
        <v>SHELIA STACKHOUSE</v>
      </c>
    </row>
    <row r="189" spans="1:22" s="13" customFormat="1" x14ac:dyDescent="0.2">
      <c r="A189" s="8" t="s">
        <v>573</v>
      </c>
      <c r="B189" s="9">
        <v>21618313</v>
      </c>
      <c r="C189" s="8" t="s">
        <v>591</v>
      </c>
      <c r="D189" s="8" t="s">
        <v>592</v>
      </c>
      <c r="E189" s="10">
        <v>45901</v>
      </c>
      <c r="F189" s="8" t="s">
        <v>49</v>
      </c>
      <c r="G189" s="8" t="s">
        <v>51</v>
      </c>
      <c r="H189" s="8" t="s">
        <v>46</v>
      </c>
      <c r="I189" s="11">
        <v>26</v>
      </c>
      <c r="J189" s="11">
        <v>1170.72</v>
      </c>
      <c r="K189" s="11">
        <v>304.44</v>
      </c>
      <c r="L189" s="8" t="s">
        <v>448</v>
      </c>
      <c r="M189" s="10">
        <v>45901</v>
      </c>
      <c r="N189" s="12" t="s">
        <v>600</v>
      </c>
      <c r="R189" s="14" t="s">
        <v>592</v>
      </c>
      <c r="S189" s="13" t="str">
        <f>CONCATENATE(R189,8)</f>
        <v>00001041675A8</v>
      </c>
      <c r="T189" s="8" t="s">
        <v>820</v>
      </c>
      <c r="U189" s="13" t="s">
        <v>724</v>
      </c>
      <c r="V189" s="13" t="str">
        <f>CONCATENATE(U189, " ",T189)</f>
        <v>DONALD HULL</v>
      </c>
    </row>
    <row r="190" spans="1:22" s="13" customFormat="1" x14ac:dyDescent="0.2">
      <c r="A190" s="8" t="s">
        <v>573</v>
      </c>
      <c r="B190" s="9">
        <v>21618313</v>
      </c>
      <c r="C190" s="8" t="s">
        <v>583</v>
      </c>
      <c r="D190" s="8" t="s">
        <v>584</v>
      </c>
      <c r="E190" s="10">
        <v>45901</v>
      </c>
      <c r="F190" s="8" t="s">
        <v>49</v>
      </c>
      <c r="G190" s="8" t="s">
        <v>51</v>
      </c>
      <c r="H190" s="8" t="s">
        <v>46</v>
      </c>
      <c r="I190" s="11">
        <v>26</v>
      </c>
      <c r="J190" s="11">
        <v>1420.68</v>
      </c>
      <c r="K190" s="11">
        <v>369.36</v>
      </c>
      <c r="L190" s="8" t="s">
        <v>448</v>
      </c>
      <c r="M190" s="10">
        <v>45901</v>
      </c>
      <c r="N190" s="12" t="s">
        <v>600</v>
      </c>
      <c r="R190" s="14" t="s">
        <v>584</v>
      </c>
      <c r="S190" s="13" t="str">
        <f>CONCATENATE(R190,8)</f>
        <v>00001035217A8</v>
      </c>
      <c r="T190" s="8" t="s">
        <v>821</v>
      </c>
      <c r="U190" s="13" t="s">
        <v>825</v>
      </c>
      <c r="V190" s="13" t="str">
        <f>CONCATENATE(U190, " ",T190)</f>
        <v>HARRY STACKHOUSE</v>
      </c>
    </row>
    <row r="191" spans="1:22" s="13" customFormat="1" x14ac:dyDescent="0.2">
      <c r="A191" s="8" t="s">
        <v>573</v>
      </c>
      <c r="B191" s="9">
        <v>21618313</v>
      </c>
      <c r="C191" s="8" t="s">
        <v>596</v>
      </c>
      <c r="D191" s="8" t="s">
        <v>597</v>
      </c>
      <c r="E191" s="10">
        <v>45901</v>
      </c>
      <c r="F191" s="8" t="s">
        <v>49</v>
      </c>
      <c r="G191" s="8" t="s">
        <v>51</v>
      </c>
      <c r="H191" s="8" t="s">
        <v>46</v>
      </c>
      <c r="I191" s="11">
        <v>26</v>
      </c>
      <c r="J191" s="11">
        <v>1752.48</v>
      </c>
      <c r="K191" s="11">
        <v>455.64</v>
      </c>
      <c r="L191" s="8" t="s">
        <v>452</v>
      </c>
      <c r="M191" s="10">
        <v>45901</v>
      </c>
      <c r="N191" s="12" t="s">
        <v>600</v>
      </c>
      <c r="R191" s="14" t="s">
        <v>597</v>
      </c>
      <c r="S191" s="13" t="str">
        <f>CONCATENATE(R191,8)</f>
        <v>00001042182A8</v>
      </c>
      <c r="T191" s="8" t="s">
        <v>826</v>
      </c>
      <c r="U191" s="13" t="s">
        <v>827</v>
      </c>
      <c r="V191" s="13" t="str">
        <f>CONCATENATE(U191, " ",T191)</f>
        <v>AUGUST DURANTE</v>
      </c>
    </row>
    <row r="192" spans="1:22" x14ac:dyDescent="0.2">
      <c r="A192" s="4" t="s">
        <v>141</v>
      </c>
      <c r="B192" s="2">
        <v>16228684</v>
      </c>
      <c r="C192" s="4" t="s">
        <v>142</v>
      </c>
      <c r="D192" s="4" t="s">
        <v>143</v>
      </c>
      <c r="E192" s="3">
        <v>45901</v>
      </c>
      <c r="F192" s="4" t="s">
        <v>49</v>
      </c>
      <c r="G192" s="4" t="s">
        <v>51</v>
      </c>
      <c r="H192" s="4" t="s">
        <v>60</v>
      </c>
      <c r="I192" s="5">
        <v>0</v>
      </c>
      <c r="J192" s="5">
        <v>0</v>
      </c>
      <c r="K192" s="5">
        <v>626</v>
      </c>
      <c r="L192" s="4" t="s">
        <v>53</v>
      </c>
      <c r="M192" s="3">
        <v>45901</v>
      </c>
      <c r="N192" s="6" t="s">
        <v>619</v>
      </c>
      <c r="O192" t="s">
        <v>613</v>
      </c>
      <c r="R192" s="7" t="s">
        <v>143</v>
      </c>
      <c r="S192" t="str">
        <f>CONCATENATE(R192,7)</f>
        <v>00023550119K7</v>
      </c>
      <c r="T192" s="4" t="s">
        <v>649</v>
      </c>
      <c r="U192" t="s">
        <v>650</v>
      </c>
      <c r="V192" t="str">
        <f>CONCATENATE(U192, " ",T192)</f>
        <v>KAREN JENSEN</v>
      </c>
    </row>
    <row r="193" spans="1:22" x14ac:dyDescent="0.2">
      <c r="A193" s="4" t="s">
        <v>141</v>
      </c>
      <c r="B193" s="2">
        <v>16228684</v>
      </c>
      <c r="C193" s="4" t="s">
        <v>142</v>
      </c>
      <c r="D193" s="4" t="s">
        <v>143</v>
      </c>
      <c r="E193" s="3">
        <v>45901</v>
      </c>
      <c r="F193" s="4" t="s">
        <v>49</v>
      </c>
      <c r="G193" s="4" t="s">
        <v>51</v>
      </c>
      <c r="H193" s="4" t="s">
        <v>60</v>
      </c>
      <c r="I193" s="5">
        <v>0</v>
      </c>
      <c r="J193" s="5">
        <v>0</v>
      </c>
      <c r="K193" s="5">
        <v>-104.33</v>
      </c>
      <c r="L193" s="4" t="s">
        <v>53</v>
      </c>
      <c r="M193" s="3">
        <v>45901</v>
      </c>
      <c r="N193" s="6" t="s">
        <v>612</v>
      </c>
      <c r="O193" t="s">
        <v>608</v>
      </c>
      <c r="R193" s="7" t="s">
        <v>143</v>
      </c>
      <c r="S193" t="str">
        <f>CONCATENATE(R193,6)</f>
        <v>00023550119K6</v>
      </c>
      <c r="T193" s="4" t="s">
        <v>649</v>
      </c>
      <c r="U193" t="s">
        <v>650</v>
      </c>
      <c r="V193" t="str">
        <f>CONCATENATE(U193, " ",T193)</f>
        <v>KAREN JENSEN</v>
      </c>
    </row>
    <row r="194" spans="1:22" x14ac:dyDescent="0.2">
      <c r="A194" s="4" t="s">
        <v>141</v>
      </c>
      <c r="B194" s="2">
        <v>16228684</v>
      </c>
      <c r="C194" s="4" t="s">
        <v>145</v>
      </c>
      <c r="D194" s="4" t="s">
        <v>146</v>
      </c>
      <c r="E194" s="3">
        <v>45992</v>
      </c>
      <c r="F194" s="4" t="s">
        <v>148</v>
      </c>
      <c r="G194" s="4" t="s">
        <v>51</v>
      </c>
      <c r="H194" s="4" t="s">
        <v>68</v>
      </c>
      <c r="I194" s="5">
        <v>0.08</v>
      </c>
      <c r="J194" s="5">
        <v>0</v>
      </c>
      <c r="K194" s="5">
        <v>26.08</v>
      </c>
      <c r="L194" s="4" t="s">
        <v>62</v>
      </c>
      <c r="M194" s="3">
        <v>45992</v>
      </c>
      <c r="N194" s="6" t="s">
        <v>612</v>
      </c>
      <c r="O194" t="s">
        <v>610</v>
      </c>
      <c r="R194" s="7" t="s">
        <v>146</v>
      </c>
      <c r="S194" t="str">
        <f>CONCATENATE(R194,6)</f>
        <v>00023608437K6</v>
      </c>
      <c r="T194" s="4" t="s">
        <v>898</v>
      </c>
      <c r="U194" t="s">
        <v>899</v>
      </c>
      <c r="V194" t="str">
        <f>CONCATENATE(U194, " ",T194)</f>
        <v>WANDA FRANKS</v>
      </c>
    </row>
    <row r="195" spans="1:22" x14ac:dyDescent="0.2">
      <c r="A195" s="4" t="s">
        <v>282</v>
      </c>
      <c r="B195" s="2">
        <v>20724564</v>
      </c>
      <c r="C195" s="4" t="s">
        <v>298</v>
      </c>
      <c r="D195" s="4" t="s">
        <v>299</v>
      </c>
      <c r="E195" s="3">
        <v>45992</v>
      </c>
      <c r="F195" s="4" t="s">
        <v>148</v>
      </c>
      <c r="G195" s="4" t="s">
        <v>51</v>
      </c>
      <c r="H195" s="4" t="s">
        <v>52</v>
      </c>
      <c r="I195" s="5">
        <v>0.08</v>
      </c>
      <c r="J195" s="5">
        <v>4.58</v>
      </c>
      <c r="K195" s="5">
        <v>4.58</v>
      </c>
      <c r="L195" s="4" t="s">
        <v>62</v>
      </c>
      <c r="M195" s="3">
        <v>45992</v>
      </c>
      <c r="N195" s="6" t="s">
        <v>599</v>
      </c>
      <c r="R195" s="7" t="s">
        <v>299</v>
      </c>
      <c r="S195" t="str">
        <f>CONCATENATE(R195,9)</f>
        <v>00023610811K9</v>
      </c>
      <c r="T195" s="4" t="s">
        <v>928</v>
      </c>
      <c r="U195" t="s">
        <v>929</v>
      </c>
      <c r="V195" t="str">
        <f>CONCATENATE(U195, " ",T195)</f>
        <v>RHONDA HARRIS</v>
      </c>
    </row>
    <row r="196" spans="1:22" x14ac:dyDescent="0.2">
      <c r="A196" s="4" t="s">
        <v>282</v>
      </c>
      <c r="B196" s="2">
        <v>20724564</v>
      </c>
      <c r="C196" s="4" t="s">
        <v>292</v>
      </c>
      <c r="D196" s="4" t="s">
        <v>293</v>
      </c>
      <c r="E196" s="3">
        <v>45931</v>
      </c>
      <c r="F196" s="4" t="s">
        <v>88</v>
      </c>
      <c r="G196" s="4" t="s">
        <v>51</v>
      </c>
      <c r="H196" s="4" t="s">
        <v>52</v>
      </c>
      <c r="I196" s="5">
        <v>0.25</v>
      </c>
      <c r="J196" s="5">
        <v>13.75</v>
      </c>
      <c r="K196" s="5">
        <v>13.75</v>
      </c>
      <c r="L196" s="4" t="s">
        <v>62</v>
      </c>
      <c r="M196" s="3">
        <v>45931</v>
      </c>
      <c r="N196" s="6" t="s">
        <v>599</v>
      </c>
      <c r="R196" s="7" t="s">
        <v>293</v>
      </c>
      <c r="S196" t="str">
        <f>CONCATENATE(R196,9)</f>
        <v>00023609251K9</v>
      </c>
      <c r="T196" s="4" t="s">
        <v>930</v>
      </c>
      <c r="U196" t="s">
        <v>931</v>
      </c>
      <c r="V196" t="str">
        <f>CONCATENATE(U196, " ",T196)</f>
        <v>JUSTIN TREADWAY</v>
      </c>
    </row>
    <row r="197" spans="1:22" x14ac:dyDescent="0.2">
      <c r="A197" s="4" t="s">
        <v>282</v>
      </c>
      <c r="B197" s="2">
        <v>20724564</v>
      </c>
      <c r="C197" s="4" t="s">
        <v>295</v>
      </c>
      <c r="D197" s="4" t="s">
        <v>296</v>
      </c>
      <c r="E197" s="3">
        <v>45931</v>
      </c>
      <c r="F197" s="4" t="s">
        <v>88</v>
      </c>
      <c r="G197" s="4" t="s">
        <v>51</v>
      </c>
      <c r="H197" s="4" t="s">
        <v>52</v>
      </c>
      <c r="I197" s="5">
        <v>0.25</v>
      </c>
      <c r="J197" s="5">
        <v>13.75</v>
      </c>
      <c r="K197" s="5">
        <v>13.75</v>
      </c>
      <c r="L197" s="4" t="s">
        <v>62</v>
      </c>
      <c r="M197" s="3">
        <v>45931</v>
      </c>
      <c r="N197" s="6" t="s">
        <v>599</v>
      </c>
      <c r="R197" s="7" t="s">
        <v>296</v>
      </c>
      <c r="S197" t="str">
        <f>CONCATENATE(R197,9)</f>
        <v>00023610218K9</v>
      </c>
      <c r="T197" s="4" t="s">
        <v>930</v>
      </c>
      <c r="U197" t="s">
        <v>798</v>
      </c>
      <c r="V197" t="str">
        <f>CONCATENATE(U197, " ",T197)</f>
        <v>LINDA TREADWAY</v>
      </c>
    </row>
    <row r="198" spans="1:22" x14ac:dyDescent="0.2">
      <c r="A198" s="4" t="s">
        <v>282</v>
      </c>
      <c r="B198" s="2">
        <v>20724564</v>
      </c>
      <c r="C198" s="4" t="s">
        <v>286</v>
      </c>
      <c r="D198" s="4" t="s">
        <v>287</v>
      </c>
      <c r="E198" s="3">
        <v>45931</v>
      </c>
      <c r="F198" s="4" t="s">
        <v>88</v>
      </c>
      <c r="G198" s="4" t="s">
        <v>51</v>
      </c>
      <c r="H198" s="4" t="s">
        <v>52</v>
      </c>
      <c r="I198" s="5">
        <v>0</v>
      </c>
      <c r="J198" s="5">
        <v>95.25</v>
      </c>
      <c r="K198" s="5">
        <v>95.25</v>
      </c>
      <c r="L198" s="4" t="s">
        <v>53</v>
      </c>
      <c r="M198" s="3">
        <v>45931</v>
      </c>
      <c r="N198" s="6" t="s">
        <v>599</v>
      </c>
      <c r="R198" s="7" t="s">
        <v>287</v>
      </c>
      <c r="S198" t="str">
        <f>CONCATENATE(R198,9)</f>
        <v>00023581570K9</v>
      </c>
      <c r="T198" s="4" t="s">
        <v>928</v>
      </c>
      <c r="U198" t="s">
        <v>938</v>
      </c>
      <c r="V198" t="str">
        <f>CONCATENATE(U198, " ",T198)</f>
        <v>MONTI HARRIS</v>
      </c>
    </row>
    <row r="199" spans="1:22" x14ac:dyDescent="0.2">
      <c r="A199" s="4" t="s">
        <v>282</v>
      </c>
      <c r="B199" s="2">
        <v>20724564</v>
      </c>
      <c r="C199" s="4" t="s">
        <v>289</v>
      </c>
      <c r="D199" s="4" t="s">
        <v>290</v>
      </c>
      <c r="E199" s="3">
        <v>45931</v>
      </c>
      <c r="F199" s="4" t="s">
        <v>88</v>
      </c>
      <c r="G199" s="4" t="s">
        <v>51</v>
      </c>
      <c r="H199" s="4" t="s">
        <v>52</v>
      </c>
      <c r="I199" s="5">
        <v>0</v>
      </c>
      <c r="J199" s="5">
        <v>95.25</v>
      </c>
      <c r="K199" s="5">
        <v>95.25</v>
      </c>
      <c r="L199" s="4" t="s">
        <v>53</v>
      </c>
      <c r="M199" s="3">
        <v>45931</v>
      </c>
      <c r="N199" s="6" t="s">
        <v>599</v>
      </c>
      <c r="R199" s="7" t="s">
        <v>290</v>
      </c>
      <c r="S199" t="str">
        <f>CONCATENATE(R199,9)</f>
        <v>00023592603K9</v>
      </c>
      <c r="T199" s="4" t="s">
        <v>939</v>
      </c>
      <c r="U199" t="s">
        <v>940</v>
      </c>
      <c r="V199" t="str">
        <f>CONCATENATE(U199, " ",T199)</f>
        <v>KATHLEEN RYSTED</v>
      </c>
    </row>
    <row r="200" spans="1:22" x14ac:dyDescent="0.2">
      <c r="A200" s="4" t="s">
        <v>282</v>
      </c>
      <c r="B200" s="2">
        <v>20724564</v>
      </c>
      <c r="C200" s="4" t="s">
        <v>283</v>
      </c>
      <c r="D200" s="4" t="s">
        <v>284</v>
      </c>
      <c r="E200" s="3">
        <v>45962</v>
      </c>
      <c r="F200" s="4" t="s">
        <v>76</v>
      </c>
      <c r="G200" s="4" t="s">
        <v>51</v>
      </c>
      <c r="H200" s="4" t="s">
        <v>52</v>
      </c>
      <c r="I200" s="5">
        <v>0</v>
      </c>
      <c r="J200" s="5">
        <v>99.83</v>
      </c>
      <c r="K200" s="5">
        <v>99.83</v>
      </c>
      <c r="L200" s="4" t="s">
        <v>53</v>
      </c>
      <c r="M200" s="3">
        <v>45962</v>
      </c>
      <c r="N200" s="6" t="s">
        <v>599</v>
      </c>
      <c r="R200" s="7" t="s">
        <v>284</v>
      </c>
      <c r="S200" t="str">
        <f>CONCATENATE(R200,9)</f>
        <v>00023545815K9</v>
      </c>
      <c r="T200" s="4" t="s">
        <v>941</v>
      </c>
      <c r="U200" t="s">
        <v>942</v>
      </c>
      <c r="V200" t="str">
        <f>CONCATENATE(U200, " ",T200)</f>
        <v>DANNY VORIS</v>
      </c>
    </row>
    <row r="201" spans="1:22" x14ac:dyDescent="0.2">
      <c r="A201" s="4" t="s">
        <v>529</v>
      </c>
      <c r="B201" s="2">
        <v>19586992</v>
      </c>
      <c r="C201" s="4" t="s">
        <v>530</v>
      </c>
      <c r="D201" s="4" t="s">
        <v>531</v>
      </c>
      <c r="E201" s="3">
        <v>45901</v>
      </c>
      <c r="F201" s="4" t="s">
        <v>49</v>
      </c>
      <c r="G201" s="4" t="s">
        <v>51</v>
      </c>
      <c r="H201" s="4" t="s">
        <v>46</v>
      </c>
      <c r="I201" s="5">
        <v>22</v>
      </c>
      <c r="J201" s="5">
        <v>3054.24</v>
      </c>
      <c r="K201" s="5">
        <v>671.88</v>
      </c>
      <c r="L201" s="4" t="s">
        <v>377</v>
      </c>
      <c r="M201" s="3">
        <v>45901</v>
      </c>
      <c r="N201" s="6" t="s">
        <v>601</v>
      </c>
      <c r="R201" s="7" t="s">
        <v>531</v>
      </c>
      <c r="S201" t="str">
        <f>CONCATENATE(R201,8)</f>
        <v>00001044822A8</v>
      </c>
      <c r="T201" s="4" t="s">
        <v>791</v>
      </c>
      <c r="U201" t="s">
        <v>792</v>
      </c>
      <c r="V201" t="str">
        <f>CONCATENATE(U201, " ",T201)</f>
        <v>TAMSEN PATTI</v>
      </c>
    </row>
    <row r="202" spans="1:22" x14ac:dyDescent="0.2">
      <c r="A202" s="4" t="s">
        <v>275</v>
      </c>
      <c r="B202" s="2">
        <v>21475206</v>
      </c>
      <c r="C202" s="4" t="s">
        <v>276</v>
      </c>
      <c r="D202" s="4" t="s">
        <v>277</v>
      </c>
      <c r="E202" s="3">
        <v>45931</v>
      </c>
      <c r="F202" s="4" t="s">
        <v>88</v>
      </c>
      <c r="G202" s="4" t="s">
        <v>51</v>
      </c>
      <c r="H202" s="4" t="s">
        <v>68</v>
      </c>
      <c r="I202" s="5">
        <v>0</v>
      </c>
      <c r="J202" s="5">
        <v>0</v>
      </c>
      <c r="K202" s="5">
        <v>626</v>
      </c>
      <c r="L202" s="4" t="s">
        <v>53</v>
      </c>
      <c r="M202" s="3">
        <v>45931</v>
      </c>
      <c r="N202" s="6" t="s">
        <v>619</v>
      </c>
      <c r="O202" t="s">
        <v>613</v>
      </c>
      <c r="R202" s="7" t="s">
        <v>277</v>
      </c>
      <c r="S202" t="str">
        <f>CONCATENATE(R202,7)</f>
        <v>00023576347K7</v>
      </c>
      <c r="T202" s="4" t="s">
        <v>657</v>
      </c>
      <c r="U202" t="s">
        <v>659</v>
      </c>
      <c r="V202" t="str">
        <f>CONCATENATE(U202, " ",T202)</f>
        <v>PATRICIA KOLLMAN</v>
      </c>
    </row>
    <row r="203" spans="1:22" x14ac:dyDescent="0.2">
      <c r="A203" s="4" t="s">
        <v>275</v>
      </c>
      <c r="B203" s="2">
        <v>21475206</v>
      </c>
      <c r="C203" s="4" t="s">
        <v>276</v>
      </c>
      <c r="D203" s="4" t="s">
        <v>277</v>
      </c>
      <c r="E203" s="3">
        <v>45931</v>
      </c>
      <c r="F203" s="4" t="s">
        <v>88</v>
      </c>
      <c r="G203" s="4" t="s">
        <v>51</v>
      </c>
      <c r="H203" s="4" t="s">
        <v>68</v>
      </c>
      <c r="I203" s="5">
        <v>0</v>
      </c>
      <c r="J203" s="5">
        <v>0</v>
      </c>
      <c r="K203" s="5">
        <v>-78.25</v>
      </c>
      <c r="L203" s="4" t="s">
        <v>53</v>
      </c>
      <c r="M203" s="3">
        <v>45931</v>
      </c>
      <c r="N203" s="6" t="s">
        <v>612</v>
      </c>
      <c r="O203" t="s">
        <v>609</v>
      </c>
      <c r="R203" s="7" t="s">
        <v>277</v>
      </c>
      <c r="S203" t="str">
        <f>CONCATENATE(R203,6)</f>
        <v>00023576347K6</v>
      </c>
      <c r="T203" s="4" t="s">
        <v>657</v>
      </c>
      <c r="U203" t="s">
        <v>659</v>
      </c>
      <c r="V203" t="str">
        <f>CONCATENATE(U203, " ",T203)</f>
        <v>PATRICIA KOLLMAN</v>
      </c>
    </row>
    <row r="204" spans="1:22" x14ac:dyDescent="0.2">
      <c r="A204" s="4" t="s">
        <v>275</v>
      </c>
      <c r="B204" s="2">
        <v>21475206</v>
      </c>
      <c r="C204" s="4" t="s">
        <v>279</v>
      </c>
      <c r="D204" s="4" t="s">
        <v>280</v>
      </c>
      <c r="E204" s="3">
        <v>45931</v>
      </c>
      <c r="F204" s="4" t="s">
        <v>88</v>
      </c>
      <c r="G204" s="4" t="s">
        <v>51</v>
      </c>
      <c r="H204" s="4" t="s">
        <v>68</v>
      </c>
      <c r="I204" s="5">
        <v>0.25</v>
      </c>
      <c r="J204" s="5">
        <v>0</v>
      </c>
      <c r="K204" s="5">
        <v>78.25</v>
      </c>
      <c r="L204" s="4" t="s">
        <v>62</v>
      </c>
      <c r="M204" s="3">
        <v>45931</v>
      </c>
      <c r="N204" s="6" t="s">
        <v>612</v>
      </c>
      <c r="O204" t="s">
        <v>609</v>
      </c>
      <c r="R204" s="7" t="s">
        <v>280</v>
      </c>
      <c r="S204" t="str">
        <f>CONCATENATE(R204,6)</f>
        <v>00023611146K6</v>
      </c>
      <c r="T204" s="4" t="s">
        <v>915</v>
      </c>
      <c r="U204" t="s">
        <v>916</v>
      </c>
      <c r="V204" t="str">
        <f>CONCATENATE(U204, " ",T204)</f>
        <v>MICHELLE ENNSMAN</v>
      </c>
    </row>
    <row r="205" spans="1:22" x14ac:dyDescent="0.2">
      <c r="A205" s="4" t="s">
        <v>257</v>
      </c>
      <c r="B205" s="2">
        <v>7565575</v>
      </c>
      <c r="C205" s="4" t="s">
        <v>261</v>
      </c>
      <c r="D205" s="4" t="s">
        <v>262</v>
      </c>
      <c r="E205" s="3">
        <v>45901</v>
      </c>
      <c r="F205" s="4" t="s">
        <v>49</v>
      </c>
      <c r="G205" s="4" t="s">
        <v>51</v>
      </c>
      <c r="H205" s="4" t="s">
        <v>68</v>
      </c>
      <c r="I205" s="5">
        <v>0</v>
      </c>
      <c r="J205" s="5">
        <v>0</v>
      </c>
      <c r="K205" s="5">
        <v>626</v>
      </c>
      <c r="L205" s="4" t="s">
        <v>53</v>
      </c>
      <c r="M205" s="3">
        <v>45901</v>
      </c>
      <c r="N205" s="6" t="s">
        <v>619</v>
      </c>
      <c r="O205" t="s">
        <v>613</v>
      </c>
      <c r="R205" s="7" t="s">
        <v>262</v>
      </c>
      <c r="S205" t="str">
        <f>CONCATENATE(R205,7)</f>
        <v>00023552486K7</v>
      </c>
      <c r="T205" s="4" t="s">
        <v>641</v>
      </c>
      <c r="U205" t="s">
        <v>642</v>
      </c>
      <c r="V205" t="str">
        <f>CONCATENATE(U205, " ",T205)</f>
        <v>JAMES ELDRENKAMP</v>
      </c>
    </row>
    <row r="206" spans="1:22" x14ac:dyDescent="0.2">
      <c r="A206" s="4" t="s">
        <v>257</v>
      </c>
      <c r="B206" s="2">
        <v>7565575</v>
      </c>
      <c r="C206" s="4" t="s">
        <v>264</v>
      </c>
      <c r="D206" s="4" t="s">
        <v>265</v>
      </c>
      <c r="E206" s="3">
        <v>45901</v>
      </c>
      <c r="F206" s="4" t="s">
        <v>49</v>
      </c>
      <c r="G206" s="4" t="s">
        <v>51</v>
      </c>
      <c r="H206" s="4" t="s">
        <v>68</v>
      </c>
      <c r="I206" s="5">
        <v>0</v>
      </c>
      <c r="J206" s="5">
        <v>0</v>
      </c>
      <c r="K206" s="5">
        <v>626</v>
      </c>
      <c r="L206" s="4" t="s">
        <v>53</v>
      </c>
      <c r="M206" s="3">
        <v>45901</v>
      </c>
      <c r="N206" s="6" t="s">
        <v>619</v>
      </c>
      <c r="O206" t="s">
        <v>613</v>
      </c>
      <c r="R206" s="7" t="s">
        <v>265</v>
      </c>
      <c r="S206" t="str">
        <f>CONCATENATE(R206,7)</f>
        <v>00023560690K7</v>
      </c>
      <c r="T206" s="4" t="s">
        <v>666</v>
      </c>
      <c r="U206" t="s">
        <v>621</v>
      </c>
      <c r="V206" t="str">
        <f>CONCATENATE(U206, " ",T206)</f>
        <v>LAURA MOORE</v>
      </c>
    </row>
    <row r="207" spans="1:22" x14ac:dyDescent="0.2">
      <c r="A207" s="4" t="s">
        <v>257</v>
      </c>
      <c r="B207" s="2">
        <v>7565575</v>
      </c>
      <c r="C207" s="4" t="s">
        <v>258</v>
      </c>
      <c r="D207" s="4" t="s">
        <v>259</v>
      </c>
      <c r="E207" s="3">
        <v>45931</v>
      </c>
      <c r="F207" s="4" t="s">
        <v>88</v>
      </c>
      <c r="G207" s="4" t="s">
        <v>51</v>
      </c>
      <c r="H207" s="4" t="s">
        <v>68</v>
      </c>
      <c r="I207" s="5">
        <v>0</v>
      </c>
      <c r="J207" s="5">
        <v>0</v>
      </c>
      <c r="K207" s="5">
        <v>626</v>
      </c>
      <c r="L207" s="4" t="s">
        <v>53</v>
      </c>
      <c r="M207" s="3">
        <v>45931</v>
      </c>
      <c r="N207" s="6" t="s">
        <v>619</v>
      </c>
      <c r="O207" t="s">
        <v>613</v>
      </c>
      <c r="R207" s="7" t="s">
        <v>259</v>
      </c>
      <c r="S207" t="str">
        <f>CONCATENATE(R207,7)</f>
        <v>00023531138K7</v>
      </c>
      <c r="T207" s="4" t="s">
        <v>678</v>
      </c>
      <c r="U207" t="s">
        <v>679</v>
      </c>
      <c r="V207" t="str">
        <f>CONCATENATE(U207, " ",T207)</f>
        <v>MARY TRETT</v>
      </c>
    </row>
    <row r="208" spans="1:22" x14ac:dyDescent="0.2">
      <c r="A208" s="4" t="s">
        <v>257</v>
      </c>
      <c r="B208" s="2">
        <v>7565575</v>
      </c>
      <c r="C208" s="4" t="s">
        <v>571</v>
      </c>
      <c r="D208" s="4" t="s">
        <v>572</v>
      </c>
      <c r="E208" s="3">
        <v>45901</v>
      </c>
      <c r="F208" s="4" t="s">
        <v>49</v>
      </c>
      <c r="G208" s="4" t="s">
        <v>51</v>
      </c>
      <c r="H208" s="4" t="s">
        <v>46</v>
      </c>
      <c r="I208" s="5">
        <v>22</v>
      </c>
      <c r="J208" s="5">
        <v>1908.36</v>
      </c>
      <c r="K208" s="5">
        <v>419.88</v>
      </c>
      <c r="L208" s="4" t="s">
        <v>452</v>
      </c>
      <c r="M208" s="3">
        <v>45901</v>
      </c>
      <c r="N208" s="6" t="s">
        <v>601</v>
      </c>
      <c r="R208" s="7" t="s">
        <v>572</v>
      </c>
      <c r="S208" t="str">
        <f>CONCATENATE(R208,8)</f>
        <v>00001043505A8</v>
      </c>
      <c r="T208" s="4" t="s">
        <v>780</v>
      </c>
      <c r="U208" t="s">
        <v>781</v>
      </c>
      <c r="V208" t="str">
        <f>CONCATENATE(U208, " ",T208)</f>
        <v>MARGUERITE PEISKER</v>
      </c>
    </row>
    <row r="209" spans="1:22" x14ac:dyDescent="0.2">
      <c r="A209" s="4" t="s">
        <v>257</v>
      </c>
      <c r="B209" s="2">
        <v>7565575</v>
      </c>
      <c r="C209" s="4" t="s">
        <v>568</v>
      </c>
      <c r="D209" s="4" t="s">
        <v>569</v>
      </c>
      <c r="E209" s="3">
        <v>45901</v>
      </c>
      <c r="F209" s="4" t="s">
        <v>49</v>
      </c>
      <c r="G209" s="4" t="s">
        <v>51</v>
      </c>
      <c r="H209" s="4" t="s">
        <v>46</v>
      </c>
      <c r="I209" s="5">
        <v>22</v>
      </c>
      <c r="J209" s="5">
        <v>1928.04</v>
      </c>
      <c r="K209" s="5">
        <v>424.2</v>
      </c>
      <c r="L209" s="4" t="s">
        <v>448</v>
      </c>
      <c r="M209" s="3">
        <v>45901</v>
      </c>
      <c r="N209" s="6" t="s">
        <v>601</v>
      </c>
      <c r="R209" s="7" t="s">
        <v>569</v>
      </c>
      <c r="S209" t="str">
        <f>CONCATENATE(R209,8)</f>
        <v>00001041229A8</v>
      </c>
      <c r="T209" s="4" t="s">
        <v>782</v>
      </c>
      <c r="U209" t="s">
        <v>783</v>
      </c>
      <c r="V209" t="str">
        <f>CONCATENATE(U209, " ",T209)</f>
        <v>JOVITO BENITEZ</v>
      </c>
    </row>
    <row r="210" spans="1:22" x14ac:dyDescent="0.2">
      <c r="A210" s="4" t="s">
        <v>257</v>
      </c>
      <c r="B210" s="2">
        <v>7565575</v>
      </c>
      <c r="C210" s="4" t="s">
        <v>566</v>
      </c>
      <c r="D210" s="4" t="s">
        <v>567</v>
      </c>
      <c r="E210" s="3">
        <v>45870</v>
      </c>
      <c r="F210" s="4" t="s">
        <v>67</v>
      </c>
      <c r="G210" s="4" t="s">
        <v>51</v>
      </c>
      <c r="H210" s="4" t="s">
        <v>46</v>
      </c>
      <c r="I210" s="5">
        <v>22</v>
      </c>
      <c r="J210" s="5">
        <v>2069.4</v>
      </c>
      <c r="K210" s="5">
        <v>455.28</v>
      </c>
      <c r="L210" s="4" t="s">
        <v>377</v>
      </c>
      <c r="M210" s="3">
        <v>45870</v>
      </c>
      <c r="N210" s="6" t="s">
        <v>601</v>
      </c>
      <c r="R210" s="7" t="s">
        <v>567</v>
      </c>
      <c r="S210" t="str">
        <f>CONCATENATE(R210,8)</f>
        <v>00001030218A8</v>
      </c>
      <c r="T210" s="4" t="s">
        <v>789</v>
      </c>
      <c r="U210" t="s">
        <v>682</v>
      </c>
      <c r="V210" t="str">
        <f>CONCATENATE(U210, " ",T210)</f>
        <v>SCOTT WALKER</v>
      </c>
    </row>
    <row r="211" spans="1:22" x14ac:dyDescent="0.2">
      <c r="A211" s="4" t="s">
        <v>257</v>
      </c>
      <c r="B211" s="2">
        <v>7565575</v>
      </c>
      <c r="C211" s="4" t="s">
        <v>261</v>
      </c>
      <c r="D211" s="4" t="s">
        <v>262</v>
      </c>
      <c r="E211" s="3">
        <v>45901</v>
      </c>
      <c r="F211" s="4" t="s">
        <v>49</v>
      </c>
      <c r="G211" s="4" t="s">
        <v>51</v>
      </c>
      <c r="H211" s="4" t="s">
        <v>68</v>
      </c>
      <c r="I211" s="5">
        <v>0</v>
      </c>
      <c r="J211" s="5">
        <v>0</v>
      </c>
      <c r="K211" s="5">
        <v>-104.33</v>
      </c>
      <c r="L211" s="4" t="s">
        <v>53</v>
      </c>
      <c r="M211" s="3">
        <v>45901</v>
      </c>
      <c r="N211" s="6" t="s">
        <v>612</v>
      </c>
      <c r="O211" t="s">
        <v>608</v>
      </c>
      <c r="R211" s="7" t="s">
        <v>262</v>
      </c>
      <c r="S211" t="str">
        <f>CONCATENATE(R211,6)</f>
        <v>00023552486K6</v>
      </c>
      <c r="T211" s="4" t="s">
        <v>641</v>
      </c>
      <c r="U211" t="s">
        <v>642</v>
      </c>
      <c r="V211" t="str">
        <f>CONCATENATE(U211, " ",T211)</f>
        <v>JAMES ELDRENKAMP</v>
      </c>
    </row>
    <row r="212" spans="1:22" x14ac:dyDescent="0.2">
      <c r="A212" s="4" t="s">
        <v>257</v>
      </c>
      <c r="B212" s="2">
        <v>7565575</v>
      </c>
      <c r="C212" s="4" t="s">
        <v>264</v>
      </c>
      <c r="D212" s="4" t="s">
        <v>265</v>
      </c>
      <c r="E212" s="3">
        <v>45901</v>
      </c>
      <c r="F212" s="4" t="s">
        <v>49</v>
      </c>
      <c r="G212" s="4" t="s">
        <v>51</v>
      </c>
      <c r="H212" s="4" t="s">
        <v>68</v>
      </c>
      <c r="I212" s="5">
        <v>0</v>
      </c>
      <c r="J212" s="5">
        <v>0</v>
      </c>
      <c r="K212" s="5">
        <v>-104.33</v>
      </c>
      <c r="L212" s="4" t="s">
        <v>53</v>
      </c>
      <c r="M212" s="3">
        <v>45901</v>
      </c>
      <c r="N212" s="6" t="s">
        <v>612</v>
      </c>
      <c r="O212" t="s">
        <v>608</v>
      </c>
      <c r="R212" s="7" t="s">
        <v>265</v>
      </c>
      <c r="S212" t="str">
        <f>CONCATENATE(R212,6)</f>
        <v>00023560690K6</v>
      </c>
      <c r="T212" s="4" t="s">
        <v>666</v>
      </c>
      <c r="U212" t="s">
        <v>621</v>
      </c>
      <c r="V212" t="str">
        <f>CONCATENATE(U212, " ",T212)</f>
        <v>LAURA MOORE</v>
      </c>
    </row>
    <row r="213" spans="1:22" x14ac:dyDescent="0.2">
      <c r="A213" s="4" t="s">
        <v>257</v>
      </c>
      <c r="B213" s="2">
        <v>7565575</v>
      </c>
      <c r="C213" s="4" t="s">
        <v>258</v>
      </c>
      <c r="D213" s="4" t="s">
        <v>259</v>
      </c>
      <c r="E213" s="3">
        <v>45931</v>
      </c>
      <c r="F213" s="4" t="s">
        <v>88</v>
      </c>
      <c r="G213" s="4" t="s">
        <v>51</v>
      </c>
      <c r="H213" s="4" t="s">
        <v>68</v>
      </c>
      <c r="I213" s="5">
        <v>0</v>
      </c>
      <c r="J213" s="5">
        <v>0</v>
      </c>
      <c r="K213" s="5">
        <v>-78.25</v>
      </c>
      <c r="L213" s="4" t="s">
        <v>53</v>
      </c>
      <c r="M213" s="3">
        <v>45931</v>
      </c>
      <c r="N213" s="6" t="s">
        <v>612</v>
      </c>
      <c r="O213" t="s">
        <v>609</v>
      </c>
      <c r="R213" s="7" t="s">
        <v>259</v>
      </c>
      <c r="S213" t="str">
        <f>CONCATENATE(R213,6)</f>
        <v>00023531138K6</v>
      </c>
      <c r="T213" s="4" t="s">
        <v>678</v>
      </c>
      <c r="U213" t="s">
        <v>679</v>
      </c>
      <c r="V213" t="str">
        <f>CONCATENATE(U213, " ",T213)</f>
        <v>MARY TRETT</v>
      </c>
    </row>
    <row r="214" spans="1:22" x14ac:dyDescent="0.2">
      <c r="A214" s="4" t="s">
        <v>267</v>
      </c>
      <c r="B214" s="2">
        <v>21104854</v>
      </c>
      <c r="C214" s="4" t="s">
        <v>268</v>
      </c>
      <c r="D214" s="4" t="s">
        <v>269</v>
      </c>
      <c r="E214" s="3">
        <v>45901</v>
      </c>
      <c r="F214" s="4" t="s">
        <v>49</v>
      </c>
      <c r="G214" s="4" t="s">
        <v>51</v>
      </c>
      <c r="H214" s="4" t="s">
        <v>52</v>
      </c>
      <c r="I214" s="5">
        <v>0</v>
      </c>
      <c r="J214" s="5">
        <v>90.67</v>
      </c>
      <c r="K214" s="5">
        <v>90.67</v>
      </c>
      <c r="L214" s="4" t="s">
        <v>53</v>
      </c>
      <c r="M214" s="3">
        <v>45901</v>
      </c>
      <c r="N214" s="6" t="s">
        <v>599</v>
      </c>
      <c r="R214" s="7" t="s">
        <v>269</v>
      </c>
      <c r="S214" t="str">
        <f>CONCATENATE(R214,9)</f>
        <v>00023594897K9</v>
      </c>
      <c r="T214" s="4" t="s">
        <v>935</v>
      </c>
      <c r="U214" t="s">
        <v>794</v>
      </c>
      <c r="V214" t="str">
        <f>CONCATENATE(U214, " ",T214)</f>
        <v>ANN VOOGD</v>
      </c>
    </row>
    <row r="215" spans="1:22" x14ac:dyDescent="0.2">
      <c r="A215" s="4" t="s">
        <v>236</v>
      </c>
      <c r="B215" s="2">
        <v>19681796</v>
      </c>
      <c r="C215" s="4" t="s">
        <v>237</v>
      </c>
      <c r="D215" s="4" t="s">
        <v>238</v>
      </c>
      <c r="E215" s="3">
        <v>45931</v>
      </c>
      <c r="F215" s="4" t="s">
        <v>88</v>
      </c>
      <c r="G215" s="4" t="s">
        <v>51</v>
      </c>
      <c r="H215" s="4" t="s">
        <v>68</v>
      </c>
      <c r="I215" s="5">
        <v>0</v>
      </c>
      <c r="J215" s="5">
        <v>0</v>
      </c>
      <c r="K215" s="5">
        <v>626</v>
      </c>
      <c r="L215" s="4" t="s">
        <v>53</v>
      </c>
      <c r="M215" s="3">
        <v>45931</v>
      </c>
      <c r="N215" s="6" t="s">
        <v>619</v>
      </c>
      <c r="O215" t="s">
        <v>613</v>
      </c>
      <c r="R215" s="7" t="s">
        <v>238</v>
      </c>
      <c r="S215" t="str">
        <f>CONCATENATE(R215,7)</f>
        <v>00023584480K7</v>
      </c>
      <c r="T215" s="4" t="s">
        <v>635</v>
      </c>
      <c r="U215" t="s">
        <v>636</v>
      </c>
      <c r="V215" t="str">
        <f>CONCATENATE(U215, " ",T215)</f>
        <v>CORAL COOPER</v>
      </c>
    </row>
    <row r="216" spans="1:22" x14ac:dyDescent="0.2">
      <c r="A216" s="4" t="s">
        <v>236</v>
      </c>
      <c r="B216" s="2">
        <v>19681796</v>
      </c>
      <c r="C216" s="4" t="s">
        <v>237</v>
      </c>
      <c r="D216" s="4" t="s">
        <v>238</v>
      </c>
      <c r="E216" s="3">
        <v>45931</v>
      </c>
      <c r="F216" s="4" t="s">
        <v>88</v>
      </c>
      <c r="G216" s="4" t="s">
        <v>51</v>
      </c>
      <c r="H216" s="4" t="s">
        <v>68</v>
      </c>
      <c r="I216" s="5">
        <v>0</v>
      </c>
      <c r="J216" s="5">
        <v>0</v>
      </c>
      <c r="K216" s="5">
        <v>-78.25</v>
      </c>
      <c r="L216" s="4" t="s">
        <v>53</v>
      </c>
      <c r="M216" s="3">
        <v>45931</v>
      </c>
      <c r="N216" s="6" t="s">
        <v>612</v>
      </c>
      <c r="O216" t="s">
        <v>609</v>
      </c>
      <c r="R216" s="7" t="s">
        <v>238</v>
      </c>
      <c r="S216" t="str">
        <f>CONCATENATE(R216,6)</f>
        <v>00023584480K6</v>
      </c>
      <c r="T216" s="4" t="s">
        <v>635</v>
      </c>
      <c r="U216" t="s">
        <v>636</v>
      </c>
      <c r="V216" t="str">
        <f>CONCATENATE(U216, " ",T216)</f>
        <v>CORAL COOPER</v>
      </c>
    </row>
    <row r="217" spans="1:22" x14ac:dyDescent="0.2">
      <c r="A217" s="4" t="s">
        <v>102</v>
      </c>
      <c r="B217" s="2">
        <v>8307933</v>
      </c>
      <c r="C217" s="4" t="s">
        <v>113</v>
      </c>
      <c r="D217" s="4" t="s">
        <v>114</v>
      </c>
      <c r="E217" s="3">
        <v>45901</v>
      </c>
      <c r="F217" s="4" t="s">
        <v>49</v>
      </c>
      <c r="G217" s="4" t="s">
        <v>51</v>
      </c>
      <c r="H217" s="4" t="s">
        <v>60</v>
      </c>
      <c r="I217" s="5">
        <v>0</v>
      </c>
      <c r="J217" s="5">
        <v>0</v>
      </c>
      <c r="K217" s="5">
        <v>626</v>
      </c>
      <c r="L217" s="4" t="s">
        <v>53</v>
      </c>
      <c r="M217" s="3">
        <v>45901</v>
      </c>
      <c r="N217" s="6" t="s">
        <v>619</v>
      </c>
      <c r="O217" t="s">
        <v>613</v>
      </c>
      <c r="R217" s="7" t="s">
        <v>114</v>
      </c>
      <c r="S217" t="str">
        <f>CONCATENATE(R217,7)</f>
        <v>00023582058K7</v>
      </c>
      <c r="T217" s="4" t="s">
        <v>643</v>
      </c>
      <c r="U217" t="s">
        <v>644</v>
      </c>
      <c r="V217" t="str">
        <f>CONCATENATE(U217, " ",T217)</f>
        <v>ALVIN FRANKLIN</v>
      </c>
    </row>
    <row r="218" spans="1:22" x14ac:dyDescent="0.2">
      <c r="A218" s="4" t="s">
        <v>102</v>
      </c>
      <c r="B218" s="2">
        <v>8307933</v>
      </c>
      <c r="C218" s="4" t="s">
        <v>109</v>
      </c>
      <c r="D218" s="4" t="s">
        <v>110</v>
      </c>
      <c r="E218" s="3">
        <v>45931</v>
      </c>
      <c r="F218" s="4" t="s">
        <v>88</v>
      </c>
      <c r="G218" s="4" t="s">
        <v>51</v>
      </c>
      <c r="H218" s="4" t="s">
        <v>60</v>
      </c>
      <c r="I218" s="5">
        <v>0</v>
      </c>
      <c r="J218" s="5">
        <v>0</v>
      </c>
      <c r="K218" s="5">
        <v>626</v>
      </c>
      <c r="L218" s="4" t="s">
        <v>53</v>
      </c>
      <c r="M218" s="3">
        <v>45931</v>
      </c>
      <c r="N218" s="6" t="s">
        <v>619</v>
      </c>
      <c r="O218" t="s">
        <v>613</v>
      </c>
      <c r="R218" s="7" t="s">
        <v>110</v>
      </c>
      <c r="S218" t="str">
        <f>CONCATENATE(R218,7)</f>
        <v>00023526983K7</v>
      </c>
      <c r="T218" s="4" t="s">
        <v>647</v>
      </c>
      <c r="U218" t="s">
        <v>648</v>
      </c>
      <c r="V218" t="str">
        <f>CONCATENATE(U218, " ",T218)</f>
        <v>EDWARD HOWARD</v>
      </c>
    </row>
    <row r="219" spans="1:22" x14ac:dyDescent="0.2">
      <c r="A219" s="4" t="s">
        <v>102</v>
      </c>
      <c r="B219" s="2">
        <v>8307933</v>
      </c>
      <c r="C219" s="4" t="s">
        <v>113</v>
      </c>
      <c r="D219" s="4" t="s">
        <v>114</v>
      </c>
      <c r="E219" s="3">
        <v>45901</v>
      </c>
      <c r="F219" s="4" t="s">
        <v>49</v>
      </c>
      <c r="G219" s="4" t="s">
        <v>51</v>
      </c>
      <c r="H219" s="4" t="s">
        <v>60</v>
      </c>
      <c r="I219" s="5">
        <v>0</v>
      </c>
      <c r="J219" s="5">
        <v>0</v>
      </c>
      <c r="K219" s="5">
        <v>-104.33</v>
      </c>
      <c r="L219" s="4" t="s">
        <v>53</v>
      </c>
      <c r="M219" s="3">
        <v>45901</v>
      </c>
      <c r="N219" s="6" t="s">
        <v>612</v>
      </c>
      <c r="O219" t="s">
        <v>608</v>
      </c>
      <c r="R219" s="7" t="s">
        <v>114</v>
      </c>
      <c r="S219" t="str">
        <f>CONCATENATE(R219,6)</f>
        <v>00023582058K6</v>
      </c>
      <c r="T219" s="4" t="s">
        <v>643</v>
      </c>
      <c r="U219" t="s">
        <v>644</v>
      </c>
      <c r="V219" t="str">
        <f>CONCATENATE(U219, " ",T219)</f>
        <v>ALVIN FRANKLIN</v>
      </c>
    </row>
    <row r="220" spans="1:22" x14ac:dyDescent="0.2">
      <c r="A220" s="4" t="s">
        <v>102</v>
      </c>
      <c r="B220" s="2">
        <v>8307933</v>
      </c>
      <c r="C220" s="4" t="s">
        <v>109</v>
      </c>
      <c r="D220" s="4" t="s">
        <v>110</v>
      </c>
      <c r="E220" s="3">
        <v>45931</v>
      </c>
      <c r="F220" s="4" t="s">
        <v>88</v>
      </c>
      <c r="G220" s="4" t="s">
        <v>51</v>
      </c>
      <c r="H220" s="4" t="s">
        <v>60</v>
      </c>
      <c r="I220" s="5">
        <v>0</v>
      </c>
      <c r="J220" s="5">
        <v>0</v>
      </c>
      <c r="K220" s="5">
        <v>-78.25</v>
      </c>
      <c r="L220" s="4" t="s">
        <v>53</v>
      </c>
      <c r="M220" s="3">
        <v>45931</v>
      </c>
      <c r="N220" s="6" t="s">
        <v>612</v>
      </c>
      <c r="O220" t="s">
        <v>609</v>
      </c>
      <c r="R220" s="7" t="s">
        <v>110</v>
      </c>
      <c r="S220" t="str">
        <f>CONCATENATE(R220,6)</f>
        <v>00023526983K6</v>
      </c>
      <c r="T220" s="4" t="s">
        <v>647</v>
      </c>
      <c r="U220" t="s">
        <v>648</v>
      </c>
      <c r="V220" t="str">
        <f>CONCATENATE(U220, " ",T220)</f>
        <v>EDWARD HOWARD</v>
      </c>
    </row>
    <row r="221" spans="1:22" x14ac:dyDescent="0.2">
      <c r="A221" s="4" t="s">
        <v>102</v>
      </c>
      <c r="B221" s="2">
        <v>8307933</v>
      </c>
      <c r="C221" s="4" t="s">
        <v>103</v>
      </c>
      <c r="D221" s="4" t="s">
        <v>104</v>
      </c>
      <c r="E221" s="3">
        <v>45901</v>
      </c>
      <c r="F221" s="4" t="s">
        <v>49</v>
      </c>
      <c r="G221" s="4" t="s">
        <v>51</v>
      </c>
      <c r="H221" s="4" t="s">
        <v>68</v>
      </c>
      <c r="I221" s="5">
        <v>1</v>
      </c>
      <c r="J221" s="5">
        <v>0</v>
      </c>
      <c r="K221" s="5">
        <v>26.08</v>
      </c>
      <c r="L221" s="4" t="s">
        <v>107</v>
      </c>
      <c r="M221" s="3">
        <v>45323</v>
      </c>
      <c r="N221" s="6" t="s">
        <v>612</v>
      </c>
      <c r="O221" t="s">
        <v>610</v>
      </c>
      <c r="R221" s="7" t="s">
        <v>104</v>
      </c>
      <c r="S221" t="str">
        <f>CONCATENATE(R221,6)</f>
        <v>00021503102K6</v>
      </c>
      <c r="T221" s="4" t="s">
        <v>903</v>
      </c>
      <c r="U221" t="s">
        <v>788</v>
      </c>
      <c r="V221" t="str">
        <f>CONCATENATE(U221, " ",T221)</f>
        <v>MICHAEL HEIN</v>
      </c>
    </row>
    <row r="222" spans="1:22" x14ac:dyDescent="0.2">
      <c r="A222" s="4" t="s">
        <v>102</v>
      </c>
      <c r="B222" s="2">
        <v>8307933</v>
      </c>
      <c r="C222" s="4" t="s">
        <v>116</v>
      </c>
      <c r="D222" s="4" t="s">
        <v>117</v>
      </c>
      <c r="E222" s="3">
        <v>45931</v>
      </c>
      <c r="F222" s="4" t="s">
        <v>88</v>
      </c>
      <c r="G222" s="4" t="s">
        <v>51</v>
      </c>
      <c r="H222" s="4" t="s">
        <v>60</v>
      </c>
      <c r="I222" s="5">
        <v>0.25</v>
      </c>
      <c r="J222" s="5">
        <v>0</v>
      </c>
      <c r="K222" s="5">
        <v>78.25</v>
      </c>
      <c r="L222" s="4" t="s">
        <v>62</v>
      </c>
      <c r="M222" s="3">
        <v>45931</v>
      </c>
      <c r="N222" s="6" t="s">
        <v>612</v>
      </c>
      <c r="O222" t="s">
        <v>609</v>
      </c>
      <c r="R222" s="7" t="s">
        <v>117</v>
      </c>
      <c r="S222" t="str">
        <f>CONCATENATE(R222,6)</f>
        <v>00023601462K6</v>
      </c>
      <c r="T222" s="4" t="s">
        <v>908</v>
      </c>
      <c r="U222" t="s">
        <v>909</v>
      </c>
      <c r="V222" t="str">
        <f>CONCATENATE(U222, " ",T222)</f>
        <v>MONICA BALDERAS</v>
      </c>
    </row>
    <row r="223" spans="1:22" x14ac:dyDescent="0.2">
      <c r="A223" s="4" t="s">
        <v>102</v>
      </c>
      <c r="B223" s="2">
        <v>8307933</v>
      </c>
      <c r="C223" s="4" t="s">
        <v>119</v>
      </c>
      <c r="D223" s="4" t="s">
        <v>120</v>
      </c>
      <c r="E223" s="3">
        <v>45931</v>
      </c>
      <c r="F223" s="4" t="s">
        <v>88</v>
      </c>
      <c r="G223" s="4" t="s">
        <v>51</v>
      </c>
      <c r="H223" s="4" t="s">
        <v>68</v>
      </c>
      <c r="I223" s="5">
        <v>0.25</v>
      </c>
      <c r="J223" s="5">
        <v>0</v>
      </c>
      <c r="K223" s="5">
        <v>78.25</v>
      </c>
      <c r="L223" s="4" t="s">
        <v>62</v>
      </c>
      <c r="M223" s="3">
        <v>45931</v>
      </c>
      <c r="N223" s="6" t="s">
        <v>612</v>
      </c>
      <c r="O223" t="s">
        <v>609</v>
      </c>
      <c r="R223" s="7" t="s">
        <v>120</v>
      </c>
      <c r="S223" t="str">
        <f>CONCATENATE(R223,6)</f>
        <v>00023607666K6</v>
      </c>
      <c r="T223" s="4" t="s">
        <v>913</v>
      </c>
      <c r="U223" t="s">
        <v>914</v>
      </c>
      <c r="V223" t="str">
        <f>CONCATENATE(U223, " ",T223)</f>
        <v>DAYNA DREIS</v>
      </c>
    </row>
    <row r="224" spans="1:22" x14ac:dyDescent="0.2">
      <c r="A224" s="4" t="s">
        <v>232</v>
      </c>
      <c r="B224" s="2">
        <v>8405446</v>
      </c>
      <c r="C224" s="4" t="s">
        <v>233</v>
      </c>
      <c r="D224" s="4" t="s">
        <v>234</v>
      </c>
      <c r="E224" s="3">
        <v>45901</v>
      </c>
      <c r="F224" s="4" t="s">
        <v>49</v>
      </c>
      <c r="G224" s="4" t="s">
        <v>51</v>
      </c>
      <c r="H224" s="4" t="s">
        <v>60</v>
      </c>
      <c r="I224" s="5">
        <v>0</v>
      </c>
      <c r="J224" s="5">
        <v>0</v>
      </c>
      <c r="K224" s="5">
        <v>626</v>
      </c>
      <c r="L224" s="4" t="s">
        <v>53</v>
      </c>
      <c r="M224" s="3">
        <v>45901</v>
      </c>
      <c r="N224" s="6" t="s">
        <v>619</v>
      </c>
      <c r="O224" t="s">
        <v>613</v>
      </c>
      <c r="R224" s="7" t="s">
        <v>234</v>
      </c>
      <c r="S224" t="str">
        <f>CONCATENATE(R224,7)</f>
        <v>00023591468K7</v>
      </c>
      <c r="T224" s="4" t="s">
        <v>655</v>
      </c>
      <c r="U224" t="s">
        <v>656</v>
      </c>
      <c r="V224" t="str">
        <f>CONCATENATE(U224, " ",T224)</f>
        <v>SOMDETH KHOUSAKOUN</v>
      </c>
    </row>
    <row r="225" spans="1:22" x14ac:dyDescent="0.2">
      <c r="A225" s="4" t="s">
        <v>232</v>
      </c>
      <c r="B225" s="2">
        <v>8405446</v>
      </c>
      <c r="C225" s="4" t="s">
        <v>233</v>
      </c>
      <c r="D225" s="4" t="s">
        <v>234</v>
      </c>
      <c r="E225" s="3">
        <v>45901</v>
      </c>
      <c r="F225" s="4" t="s">
        <v>49</v>
      </c>
      <c r="G225" s="4" t="s">
        <v>51</v>
      </c>
      <c r="H225" s="4" t="s">
        <v>60</v>
      </c>
      <c r="I225" s="5">
        <v>0</v>
      </c>
      <c r="J225" s="5">
        <v>0</v>
      </c>
      <c r="K225" s="5">
        <v>-104.33</v>
      </c>
      <c r="L225" s="4" t="s">
        <v>53</v>
      </c>
      <c r="M225" s="3">
        <v>45901</v>
      </c>
      <c r="N225" s="6" t="s">
        <v>612</v>
      </c>
      <c r="O225" t="s">
        <v>608</v>
      </c>
      <c r="R225" s="7" t="s">
        <v>234</v>
      </c>
      <c r="S225" t="str">
        <f>CONCATENATE(R225,6)</f>
        <v>00023591468K6</v>
      </c>
      <c r="T225" s="4" t="s">
        <v>655</v>
      </c>
      <c r="U225" t="s">
        <v>656</v>
      </c>
      <c r="V225" t="str">
        <f>CONCATENATE(U225, " ",T225)</f>
        <v>SOMDETH KHOUSAKOUN</v>
      </c>
    </row>
    <row r="226" spans="1:22" x14ac:dyDescent="0.2">
      <c r="A226" s="4" t="s">
        <v>252</v>
      </c>
      <c r="B226" s="2">
        <v>20212926</v>
      </c>
      <c r="C226" s="4" t="s">
        <v>253</v>
      </c>
      <c r="D226" s="4" t="s">
        <v>254</v>
      </c>
      <c r="E226" s="3">
        <v>45689</v>
      </c>
      <c r="F226" s="4" t="s">
        <v>81</v>
      </c>
      <c r="G226" s="4" t="s">
        <v>51</v>
      </c>
      <c r="H226" s="4" t="s">
        <v>60</v>
      </c>
      <c r="I226" s="5">
        <v>0.08</v>
      </c>
      <c r="J226" s="5">
        <v>0</v>
      </c>
      <c r="K226" s="5">
        <v>26.08</v>
      </c>
      <c r="L226" s="4" t="s">
        <v>255</v>
      </c>
      <c r="M226" s="3">
        <v>45689</v>
      </c>
      <c r="N226" s="6" t="s">
        <v>612</v>
      </c>
      <c r="O226" t="s">
        <v>610</v>
      </c>
      <c r="R226" s="7" t="s">
        <v>254</v>
      </c>
      <c r="S226" t="str">
        <f>CONCATENATE(R226,6)</f>
        <v>00023063791K6</v>
      </c>
      <c r="T226" s="4" t="s">
        <v>900</v>
      </c>
      <c r="U226" t="s">
        <v>901</v>
      </c>
      <c r="V226" t="str">
        <f>CONCATENATE(U226, " ",T226)</f>
        <v>TORRES GALINDO</v>
      </c>
    </row>
    <row r="227" spans="1:22" x14ac:dyDescent="0.2">
      <c r="A227" s="4" t="s">
        <v>137</v>
      </c>
      <c r="B227" s="2">
        <v>8325282</v>
      </c>
      <c r="C227" s="4" t="s">
        <v>138</v>
      </c>
      <c r="D227" s="4" t="s">
        <v>139</v>
      </c>
      <c r="E227" s="3">
        <v>45931</v>
      </c>
      <c r="F227" s="4" t="s">
        <v>88</v>
      </c>
      <c r="G227" s="4" t="s">
        <v>51</v>
      </c>
      <c r="H227" s="4" t="s">
        <v>68</v>
      </c>
      <c r="I227" s="5">
        <v>0.25</v>
      </c>
      <c r="J227" s="5">
        <v>0</v>
      </c>
      <c r="K227" s="5">
        <v>78.25</v>
      </c>
      <c r="L227" s="4" t="s">
        <v>62</v>
      </c>
      <c r="M227" s="3">
        <v>45931</v>
      </c>
      <c r="N227" s="6" t="s">
        <v>612</v>
      </c>
      <c r="O227" t="s">
        <v>609</v>
      </c>
      <c r="R227" s="7" t="s">
        <v>139</v>
      </c>
      <c r="S227" t="str">
        <f>CONCATENATE(R227,6)</f>
        <v>00023602915K6</v>
      </c>
      <c r="T227" s="4" t="s">
        <v>917</v>
      </c>
      <c r="U227" t="s">
        <v>918</v>
      </c>
      <c r="V227" t="str">
        <f>CONCATENATE(U227, " ",T227)</f>
        <v>EVA MOSSMAN</v>
      </c>
    </row>
    <row r="228" spans="1:22" x14ac:dyDescent="0.2">
      <c r="A228" s="4" t="s">
        <v>202</v>
      </c>
      <c r="B228" s="2">
        <v>18754354</v>
      </c>
      <c r="C228" s="4" t="s">
        <v>203</v>
      </c>
      <c r="D228" s="4" t="s">
        <v>204</v>
      </c>
      <c r="E228" s="3">
        <v>45962</v>
      </c>
      <c r="F228" s="4" t="s">
        <v>76</v>
      </c>
      <c r="G228" s="4" t="s">
        <v>51</v>
      </c>
      <c r="H228" s="4" t="s">
        <v>60</v>
      </c>
      <c r="I228" s="5">
        <v>0</v>
      </c>
      <c r="J228" s="5">
        <v>0</v>
      </c>
      <c r="K228" s="5">
        <v>626</v>
      </c>
      <c r="L228" s="4" t="s">
        <v>53</v>
      </c>
      <c r="M228" s="3">
        <v>45962</v>
      </c>
      <c r="N228" s="6" t="s">
        <v>619</v>
      </c>
      <c r="O228" t="s">
        <v>613</v>
      </c>
      <c r="R228" s="7" t="s">
        <v>204</v>
      </c>
      <c r="S228" t="str">
        <f>CONCATENATE(R228,7)</f>
        <v>00023542006K7</v>
      </c>
      <c r="T228" s="4" t="s">
        <v>669</v>
      </c>
      <c r="U228" t="s">
        <v>621</v>
      </c>
      <c r="V228" t="str">
        <f>CONCATENATE(U228, " ",T228)</f>
        <v>LAURA PHIPPS</v>
      </c>
    </row>
    <row r="229" spans="1:22" x14ac:dyDescent="0.2">
      <c r="A229" s="4" t="s">
        <v>202</v>
      </c>
      <c r="B229" s="2">
        <v>18754354</v>
      </c>
      <c r="C229" s="4" t="s">
        <v>203</v>
      </c>
      <c r="D229" s="4" t="s">
        <v>204</v>
      </c>
      <c r="E229" s="3">
        <v>45962</v>
      </c>
      <c r="F229" s="4" t="s">
        <v>76</v>
      </c>
      <c r="G229" s="4" t="s">
        <v>51</v>
      </c>
      <c r="H229" s="4" t="s">
        <v>60</v>
      </c>
      <c r="I229" s="5">
        <v>0</v>
      </c>
      <c r="J229" s="5">
        <v>0</v>
      </c>
      <c r="K229" s="5">
        <v>-52.17</v>
      </c>
      <c r="L229" s="4" t="s">
        <v>53</v>
      </c>
      <c r="M229" s="3">
        <v>45962</v>
      </c>
      <c r="N229" s="6" t="s">
        <v>612</v>
      </c>
      <c r="O229" t="s">
        <v>611</v>
      </c>
      <c r="R229" s="7" t="s">
        <v>204</v>
      </c>
      <c r="S229" t="str">
        <f>CONCATENATE(R229,6)</f>
        <v>00023542006K6</v>
      </c>
      <c r="T229" s="4" t="s">
        <v>669</v>
      </c>
      <c r="U229" t="s">
        <v>621</v>
      </c>
      <c r="V229" t="str">
        <f>CONCATENATE(U229, " ",T229)</f>
        <v>LAURA PHIPPS</v>
      </c>
    </row>
    <row r="230" spans="1:22" x14ac:dyDescent="0.2">
      <c r="A230" s="4" t="s">
        <v>202</v>
      </c>
      <c r="B230" s="2">
        <v>18754354</v>
      </c>
      <c r="C230" s="4" t="s">
        <v>206</v>
      </c>
      <c r="D230" s="4" t="s">
        <v>207</v>
      </c>
      <c r="E230" s="3">
        <v>45992</v>
      </c>
      <c r="F230" s="4" t="s">
        <v>148</v>
      </c>
      <c r="G230" s="4" t="s">
        <v>51</v>
      </c>
      <c r="H230" s="4" t="s">
        <v>68</v>
      </c>
      <c r="I230" s="5">
        <v>0.08</v>
      </c>
      <c r="J230" s="5">
        <v>0</v>
      </c>
      <c r="K230" s="5">
        <v>26.08</v>
      </c>
      <c r="L230" s="4" t="s">
        <v>62</v>
      </c>
      <c r="M230" s="3">
        <v>45992</v>
      </c>
      <c r="N230" s="6" t="s">
        <v>612</v>
      </c>
      <c r="O230" t="s">
        <v>610</v>
      </c>
      <c r="R230" s="7" t="s">
        <v>207</v>
      </c>
      <c r="S230" t="str">
        <f>CONCATENATE(R230,6)</f>
        <v>00023614406K6</v>
      </c>
      <c r="T230" s="4" t="s">
        <v>902</v>
      </c>
      <c r="U230" t="s">
        <v>682</v>
      </c>
      <c r="V230" t="str">
        <f>CONCATENATE(U230, " ",T230)</f>
        <v>SCOTT GOODNER</v>
      </c>
    </row>
    <row r="240" spans="1:22" x14ac:dyDescent="0.2">
      <c r="H240" s="5"/>
      <c r="L240" s="5"/>
    </row>
    <row r="241" spans="8:12" x14ac:dyDescent="0.2">
      <c r="H241" s="5"/>
      <c r="L241" s="5"/>
    </row>
    <row r="242" spans="8:12" x14ac:dyDescent="0.2">
      <c r="H242" s="5"/>
      <c r="L242" s="5"/>
    </row>
    <row r="245" spans="8:12" x14ac:dyDescent="0.2">
      <c r="H245" s="5"/>
      <c r="L245" s="5"/>
    </row>
    <row r="246" spans="8:12" x14ac:dyDescent="0.2">
      <c r="H246" s="5"/>
      <c r="L246" s="5"/>
    </row>
    <row r="247" spans="8:12" x14ac:dyDescent="0.2">
      <c r="H247" s="5"/>
      <c r="L247" s="5"/>
    </row>
  </sheetData>
  <sortState xmlns:xlrd2="http://schemas.microsoft.com/office/spreadsheetml/2017/richdata2" ref="A2:V230">
    <sortCondition ref="A2:A2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2025-09-11T17:42:51Z</dcterms:created>
  <dcterms:modified xsi:type="dcterms:W3CDTF">2025-09-15T18:07:16Z</dcterms:modified>
</cp:coreProperties>
</file>