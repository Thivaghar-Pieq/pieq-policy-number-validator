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umana MAPD\2025\08-20-25\"/>
    </mc:Choice>
  </mc:AlternateContent>
  <xr:revisionPtr revIDLastSave="0" documentId="13_ncr:1_{316454F6-A718-49EE-81F3-4FA814047521}" xr6:coauthVersionLast="47" xr6:coauthVersionMax="47" xr10:uidLastSave="{00000000-0000-0000-0000-000000000000}"/>
  <bookViews>
    <workbookView xWindow="28680" yWindow="-120" windowWidth="29040" windowHeight="16440" activeTab="1" xr2:uid="{B491309E-C08A-4D5E-A073-729A2F9E4E5E}"/>
  </bookViews>
  <sheets>
    <sheet name="CommissionData_1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U8" i="2" l="1"/>
  <c r="U12" i="2"/>
  <c r="U11" i="2"/>
  <c r="U13" i="2"/>
  <c r="U14" i="2"/>
  <c r="U15" i="2"/>
  <c r="U16" i="2"/>
  <c r="U21" i="2"/>
  <c r="U6" i="2"/>
  <c r="U17" i="2"/>
  <c r="U20" i="2"/>
  <c r="U9" i="2"/>
  <c r="U4" i="2"/>
  <c r="U2" i="2"/>
  <c r="U10" i="2"/>
  <c r="U5" i="2"/>
  <c r="U7" i="2"/>
  <c r="U18" i="2"/>
  <c r="U3" i="2"/>
  <c r="U22" i="2"/>
  <c r="U19" i="2"/>
  <c r="R24" i="2"/>
  <c r="R23" i="2"/>
  <c r="R14" i="2"/>
  <c r="R13" i="2"/>
  <c r="R34" i="2"/>
  <c r="R33" i="2"/>
  <c r="R32" i="2"/>
  <c r="R31" i="2"/>
  <c r="R30" i="2"/>
  <c r="R29" i="2"/>
  <c r="R28" i="2"/>
  <c r="R27" i="2"/>
  <c r="R26" i="2"/>
  <c r="R25" i="2"/>
  <c r="R16" i="2"/>
  <c r="R15" i="2"/>
  <c r="R11" i="2"/>
  <c r="R12" i="2"/>
  <c r="R8" i="2"/>
  <c r="R4" i="2"/>
  <c r="R22" i="2"/>
  <c r="R3" i="2"/>
  <c r="R18" i="2"/>
  <c r="R7" i="2"/>
  <c r="R5" i="2"/>
  <c r="R10" i="2"/>
  <c r="R2" i="2"/>
  <c r="R9" i="2"/>
  <c r="R20" i="2"/>
  <c r="R17" i="2"/>
  <c r="R6" i="2"/>
  <c r="R21" i="2"/>
  <c r="R19" i="2"/>
  <c r="P2" i="2"/>
  <c r="P10" i="2"/>
  <c r="P5" i="2"/>
</calcChain>
</file>

<file path=xl/sharedStrings.xml><?xml version="1.0" encoding="utf-8"?>
<sst xmlns="http://schemas.openxmlformats.org/spreadsheetml/2006/main" count="1363" uniqueCount="209">
  <si>
    <t>AorSan</t>
  </si>
  <si>
    <t>CommRunDt</t>
  </si>
  <si>
    <t>WaName</t>
  </si>
  <si>
    <t>WaSan</t>
  </si>
  <si>
    <t>GrpName</t>
  </si>
  <si>
    <t>GrpNbr</t>
  </si>
  <si>
    <t>PID</t>
  </si>
  <si>
    <t>UMID</t>
  </si>
  <si>
    <t>ApplId</t>
  </si>
  <si>
    <t>BlkBusCd</t>
  </si>
  <si>
    <t>PltfrmCd</t>
  </si>
  <si>
    <t>TxnDueDt</t>
  </si>
  <si>
    <t>MonthPaid</t>
  </si>
  <si>
    <t>PaidToDate</t>
  </si>
  <si>
    <t>FrstYrRnwl</t>
  </si>
  <si>
    <t>LiveType</t>
  </si>
  <si>
    <t>LiveCount</t>
  </si>
  <si>
    <t>Line</t>
  </si>
  <si>
    <t>Product</t>
  </si>
  <si>
    <t>ProdCode</t>
  </si>
  <si>
    <t>ExchangeInd</t>
  </si>
  <si>
    <t>CommRate</t>
  </si>
  <si>
    <t>TotalPremium</t>
  </si>
  <si>
    <t>SplitPct</t>
  </si>
  <si>
    <t>PaidAmount</t>
  </si>
  <si>
    <t>EarnoffAmount</t>
  </si>
  <si>
    <t>AdvOrCbkPrm</t>
  </si>
  <si>
    <t>Comment</t>
  </si>
  <si>
    <t>MiscDesc</t>
  </si>
  <si>
    <t>MiscAmount</t>
  </si>
  <si>
    <t>TxnTypeCd</t>
  </si>
  <si>
    <t>EffDate</t>
  </si>
  <si>
    <t>AorAgentId</t>
  </si>
  <si>
    <t>WaAgentId</t>
  </si>
  <si>
    <t>AcctName</t>
  </si>
  <si>
    <t>AcctNumber</t>
  </si>
  <si>
    <t>MemberNumber</t>
  </si>
  <si>
    <t>PolicyName</t>
  </si>
  <si>
    <t>PolicyNumber</t>
  </si>
  <si>
    <t>Contract</t>
  </si>
  <si>
    <t>ReplInd</t>
  </si>
  <si>
    <t>PriorPolNbr</t>
  </si>
  <si>
    <t>CHOI ANDREW J</t>
  </si>
  <si>
    <t>BLASCO LAURA B</t>
  </si>
  <si>
    <t>00023568607K</t>
  </si>
  <si>
    <t>9VH6AP6YQ56</t>
  </si>
  <si>
    <t/>
  </si>
  <si>
    <t>MA</t>
  </si>
  <si>
    <t>LV</t>
  </si>
  <si>
    <t>SEP</t>
  </si>
  <si>
    <t>F</t>
  </si>
  <si>
    <t>MEDICARE</t>
  </si>
  <si>
    <t>MEP</t>
  </si>
  <si>
    <t>FIRST YEAR COMMISSIONS</t>
  </si>
  <si>
    <t>ARCF</t>
  </si>
  <si>
    <t>H5216</t>
  </si>
  <si>
    <t>DEATON PAMELA S</t>
  </si>
  <si>
    <t>BROWNING ALICE V</t>
  </si>
  <si>
    <t>00023560633K</t>
  </si>
  <si>
    <t>9V02A23KH95</t>
  </si>
  <si>
    <t>DAUGHERTY MATTHEW</t>
  </si>
  <si>
    <t>TIBALDI MARILYN</t>
  </si>
  <si>
    <t>00023554173K</t>
  </si>
  <si>
    <t>1WM8MN7WY56</t>
  </si>
  <si>
    <t>FOLEY CAROL</t>
  </si>
  <si>
    <t>PHELAN BARBARA A</t>
  </si>
  <si>
    <t>00023566647K</t>
  </si>
  <si>
    <t>7EX3JD3VW93</t>
  </si>
  <si>
    <t>OCT</t>
  </si>
  <si>
    <t>H5525</t>
  </si>
  <si>
    <t>PORTUGAL GARY</t>
  </si>
  <si>
    <t>DOWNS VICKY S</t>
  </si>
  <si>
    <t>00012290150K</t>
  </si>
  <si>
    <t>2FP3FK3DQ11</t>
  </si>
  <si>
    <t>JAN</t>
  </si>
  <si>
    <t>SWAMI ANANDMURTHI B</t>
  </si>
  <si>
    <t>00017393926K</t>
  </si>
  <si>
    <t>8D25XG5DX89</t>
  </si>
  <si>
    <t>MER</t>
  </si>
  <si>
    <t>H0028</t>
  </si>
  <si>
    <t>ABDUL SAADIA S</t>
  </si>
  <si>
    <t>CARDIN AMANDA V</t>
  </si>
  <si>
    <t>00023558545K</t>
  </si>
  <si>
    <t>2KA8JD9UQ41</t>
  </si>
  <si>
    <t>SULLIVAN MARIE T</t>
  </si>
  <si>
    <t>00023569747K</t>
  </si>
  <si>
    <t>9R34KE1VJ79</t>
  </si>
  <si>
    <t>SCHUMANN BARRY L</t>
  </si>
  <si>
    <t>SAGMAN LAYTH G</t>
  </si>
  <si>
    <t>00022915115K</t>
  </si>
  <si>
    <t>9E89DR4TC20</t>
  </si>
  <si>
    <t>MRO</t>
  </si>
  <si>
    <t>MEDICARE 2ND HALF FIRST YEAR COMM</t>
  </si>
  <si>
    <t>MED2</t>
  </si>
  <si>
    <t>H6622</t>
  </si>
  <si>
    <t>DUNAVANT MICHAEL</t>
  </si>
  <si>
    <t>JACKSON SUSAN R</t>
  </si>
  <si>
    <t>00018964500K</t>
  </si>
  <si>
    <t>5JA7PA2QJ36</t>
  </si>
  <si>
    <t>BRANDT STEVEN K</t>
  </si>
  <si>
    <t>ALVIS JACQUELYN S</t>
  </si>
  <si>
    <t>00023562559K</t>
  </si>
  <si>
    <t>9G02UR6HK07</t>
  </si>
  <si>
    <t>PDP</t>
  </si>
  <si>
    <t>S5884</t>
  </si>
  <si>
    <t>SHAPIRO ROBERT A</t>
  </si>
  <si>
    <t>GALASINSKI RICHARD B</t>
  </si>
  <si>
    <t>00023509197K</t>
  </si>
  <si>
    <t>1TK2D72AK05</t>
  </si>
  <si>
    <t>AUG</t>
  </si>
  <si>
    <t>MOORE LAURA A</t>
  </si>
  <si>
    <t>00023560690K</t>
  </si>
  <si>
    <t>1H88HT3TY46</t>
  </si>
  <si>
    <t>Elliott Joseph</t>
  </si>
  <si>
    <t>9028205190</t>
  </si>
  <si>
    <t>IN</t>
  </si>
  <si>
    <t>CB</t>
  </si>
  <si>
    <t>R</t>
  </si>
  <si>
    <t>VISION</t>
  </si>
  <si>
    <t>COMPBENEFITS RENEWAL COMMISSION</t>
  </si>
  <si>
    <t>CRCM</t>
  </si>
  <si>
    <t>TATRO MELISSA</t>
  </si>
  <si>
    <t>RELATIONAL PSYCHOLOGY GRO</t>
  </si>
  <si>
    <t>000000416700</t>
  </si>
  <si>
    <t>GR</t>
  </si>
  <si>
    <t>EM</t>
  </si>
  <si>
    <t>DENTAL</t>
  </si>
  <si>
    <t>HUNSBERGER ANTHONY J</t>
  </si>
  <si>
    <t>Grychowski Jerry</t>
  </si>
  <si>
    <t>9007596540</t>
  </si>
  <si>
    <t>HOFFMANN JASON R</t>
  </si>
  <si>
    <t>Gerber Elliot</t>
  </si>
  <si>
    <t>0654656220</t>
  </si>
  <si>
    <t>INSKIPT DEBORAH L</t>
  </si>
  <si>
    <t>SCHUBERT DAVID</t>
  </si>
  <si>
    <t>00000789641A</t>
  </si>
  <si>
    <t>MS</t>
  </si>
  <si>
    <t>MED SUPP RENEWAL ACHIEVE</t>
  </si>
  <si>
    <t>MSRA</t>
  </si>
  <si>
    <t>CARDOSI KAREN E</t>
  </si>
  <si>
    <t>00000828881A</t>
  </si>
  <si>
    <t>MCCORKLE MICHELLE</t>
  </si>
  <si>
    <t>Miller Kayla M</t>
  </si>
  <si>
    <t>9030250530</t>
  </si>
  <si>
    <t>COMPBENEFITS FIRST YEAR COMMISSION</t>
  </si>
  <si>
    <t>CRCF</t>
  </si>
  <si>
    <t>Monk Jeffrey</t>
  </si>
  <si>
    <t>9030969870</t>
  </si>
  <si>
    <t>YALE JACOB D</t>
  </si>
  <si>
    <t>NC CAPITAL PARTERS LLC</t>
  </si>
  <si>
    <t>000000413180</t>
  </si>
  <si>
    <t>JUL</t>
  </si>
  <si>
    <t>RENEWAL COMMISSIONS</t>
  </si>
  <si>
    <t>ARCM</t>
  </si>
  <si>
    <t>JUN</t>
  </si>
  <si>
    <t>BASIC LIFE</t>
  </si>
  <si>
    <t>BASIC AD&amp;D</t>
  </si>
  <si>
    <t>Humana Group 2025</t>
  </si>
  <si>
    <t>Humana Dental &amp; Vision</t>
  </si>
  <si>
    <t>Humana 65-80 AL, AZ, AR, GA, etc. All Except N OE &amp; UW</t>
  </si>
  <si>
    <t>Humana AL, AZ, AR, GA, etc. Plan N OE &amp; UW</t>
  </si>
  <si>
    <t>Humana MAPD 2025*</t>
  </si>
  <si>
    <t>Humana 2025 CT, PA, DC *</t>
  </si>
  <si>
    <t>Humana PDP 2025!</t>
  </si>
  <si>
    <t>[%/$=313][prorate=4/12]</t>
  </si>
  <si>
    <t>[%/$=313][prorate=3/12]</t>
  </si>
  <si>
    <t>[%/$=353][prorate=3/12]</t>
  </si>
  <si>
    <t>SAGMAN</t>
  </si>
  <si>
    <t>LAYTH</t>
  </si>
  <si>
    <t>GALASINSKI</t>
  </si>
  <si>
    <t>RICHARD</t>
  </si>
  <si>
    <t>TIBALDI</t>
  </si>
  <si>
    <t>MARILYN</t>
  </si>
  <si>
    <t>DOWNS</t>
  </si>
  <si>
    <t>VICKY</t>
  </si>
  <si>
    <t>JACKSON</t>
  </si>
  <si>
    <t>SUSAN</t>
  </si>
  <si>
    <t>ALVIS</t>
  </si>
  <si>
    <t>JACQUELYN</t>
  </si>
  <si>
    <t>SULLIVAN</t>
  </si>
  <si>
    <t>MARIE</t>
  </si>
  <si>
    <t>PHELAN</t>
  </si>
  <si>
    <t>BARBARA</t>
  </si>
  <si>
    <t>BLASCO</t>
  </si>
  <si>
    <t>LAURA</t>
  </si>
  <si>
    <t>BROWNING</t>
  </si>
  <si>
    <t>ALICE</t>
  </si>
  <si>
    <t>SWAMI</t>
  </si>
  <si>
    <t>ANANDMURTHI</t>
  </si>
  <si>
    <t>CARDIN</t>
  </si>
  <si>
    <t>AMANDA</t>
  </si>
  <si>
    <t>MOORE</t>
  </si>
  <si>
    <t>Elliott</t>
  </si>
  <si>
    <t>Joseph</t>
  </si>
  <si>
    <t>RELATIONAL</t>
  </si>
  <si>
    <t>PSYCHOLOGY</t>
  </si>
  <si>
    <t>Grychowski</t>
  </si>
  <si>
    <t>Jerry</t>
  </si>
  <si>
    <t>Gerber</t>
  </si>
  <si>
    <t>Elliot</t>
  </si>
  <si>
    <t>SCHUBERT</t>
  </si>
  <si>
    <t>DAVID</t>
  </si>
  <si>
    <t>CARDOSI</t>
  </si>
  <si>
    <t>KAREN</t>
  </si>
  <si>
    <t>Miller</t>
  </si>
  <si>
    <t>Kayla</t>
  </si>
  <si>
    <t>Monk</t>
  </si>
  <si>
    <t>Jeffrey</t>
  </si>
  <si>
    <t>18710070N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</si>
</sst>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0" fontId="18" fillId="0" borderId="0" xfId="0" applyFont="1" applyAlignment="1">
      <alignment horizontal="center" vertical="top"/>
    </xf>
    <xf numFmtId="1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left" vertical="top"/>
    </xf>
    <xf numFmtId="2" fontId="0" fillId="0" borderId="0" xfId="0" applyNumberFormat="1"/>
    <xf numFmtId="0" fontId="18" fillId="0" borderId="0" xfId="0" applyFont="1" applyFill="1" applyAlignment="1">
      <alignment horizontal="center" vertical="top"/>
    </xf>
    <xf numFmtId="0" fontId="0" fillId="0" borderId="0" xfId="0" applyFill="1"/>
    <xf numFmtId="49" fontId="0" fillId="0" borderId="0" xfId="0" applyNumberFormat="1" applyFill="1" applyAlignment="1">
      <alignment horizontal="left" vertical="top"/>
    </xf>
    <xf numFmtId="1" fontId="0" fillId="0" borderId="0" xfId="0" applyNumberFormat="1" applyFill="1"/>
    <xf numFmtId="14" fontId="0" fillId="0" borderId="0" xfId="0" applyNumberFormat="1" applyFill="1"/>
    <xf numFmtId="2" fontId="0" fillId="0" borderId="0" xfId="0" applyNumberFormat="1" applyFill="1"/>
    <xf numFmtId="0" fontId="19" fillId="0" borderId="0" xfId="0" applyFont="1" applyFill="1"/>
    <xf numFmtId="0" fontId="0" fillId="0" borderId="0" xfId="0" applyNumberFormat="1" applyFill="1" applyAlignment="1">
      <alignment horizontal="left" vertical="top"/>
    </xf>
    <xf numFmtId="1" fontId="19" fillId="0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1ED2-328B-4394-8A2C-574D5078C45E}">
  <dimension ref="A1:AP34"/>
  <sheetViews>
    <sheetView topLeftCell="G1" workbookViewId="0">
      <selection activeCell="G1" sqref="A1:XFD1048576"/>
    </sheetView>
  </sheetViews>
  <sheetFormatPr defaultRowHeight="12.75" x14ac:dyDescent="0.2"/>
  <cols>
    <col min="1" max="1" width="8.5703125" bestFit="1" customWidth="1"/>
    <col min="2" max="2" width="12.42578125" bestFit="1" customWidth="1"/>
    <col min="3" max="3" width="24.7109375" bestFit="1" customWidth="1"/>
    <col min="4" max="4" width="8.5703125" bestFit="1" customWidth="1"/>
    <col min="5" max="5" width="28.5703125" bestFit="1" customWidth="1"/>
    <col min="6" max="6" width="13.28515625" bestFit="1" customWidth="1"/>
    <col min="7" max="7" width="12.42578125" bestFit="1" customWidth="1"/>
    <col min="8" max="8" width="10.42578125" bestFit="1" customWidth="1"/>
    <col min="9" max="10" width="9.5703125" bestFit="1" customWidth="1"/>
    <col min="11" max="11" width="10.42578125" bestFit="1" customWidth="1"/>
    <col min="12" max="14" width="11.42578125" bestFit="1" customWidth="1"/>
    <col min="15" max="16" width="10.42578125" bestFit="1" customWidth="1"/>
    <col min="17" max="17" width="5.7109375" bestFit="1" customWidth="1"/>
    <col min="18" max="20" width="15.28515625" bestFit="1" customWidth="1"/>
    <col min="21" max="21" width="11.42578125" bestFit="1" customWidth="1"/>
    <col min="22" max="22" width="13.7109375" bestFit="1" customWidth="1"/>
    <col min="23" max="23" width="9.5703125" bestFit="1" customWidth="1"/>
    <col min="24" max="24" width="12.42578125" bestFit="1" customWidth="1"/>
    <col min="25" max="25" width="15.28515625" bestFit="1" customWidth="1"/>
    <col min="26" max="26" width="13.7109375" bestFit="1" customWidth="1"/>
    <col min="27" max="27" width="30.42578125" bestFit="1" customWidth="1"/>
    <col min="28" max="28" width="11.42578125" bestFit="1" customWidth="1"/>
    <col min="29" max="29" width="12.5703125" bestFit="1" customWidth="1"/>
    <col min="30" max="30" width="10.7109375" bestFit="1" customWidth="1"/>
    <col min="31" max="31" width="9.7109375" bestFit="1" customWidth="1"/>
    <col min="32" max="32" width="13.7109375" bestFit="1" customWidth="1"/>
    <col min="33" max="33" width="13.28515625" bestFit="1" customWidth="1"/>
    <col min="34" max="34" width="28.5703125" bestFit="1" customWidth="1"/>
    <col min="35" max="35" width="13.28515625" bestFit="1" customWidth="1"/>
    <col min="36" max="36" width="16.140625" bestFit="1" customWidth="1"/>
    <col min="37" max="37" width="16" bestFit="1" customWidth="1"/>
    <col min="38" max="38" width="15.85546875" bestFit="1" customWidth="1"/>
    <col min="39" max="39" width="11.42578125" bestFit="1" customWidth="1"/>
  </cols>
  <sheetData>
    <row r="1" spans="1:4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 x14ac:dyDescent="0.2">
      <c r="A2" s="2">
        <v>1891456</v>
      </c>
      <c r="B2" s="3">
        <v>45889</v>
      </c>
      <c r="C2" s="4" t="s">
        <v>42</v>
      </c>
      <c r="D2" s="2">
        <v>1466196</v>
      </c>
      <c r="E2" s="4" t="s">
        <v>43</v>
      </c>
      <c r="F2" s="4" t="s">
        <v>44</v>
      </c>
      <c r="G2" s="2">
        <v>117970323</v>
      </c>
      <c r="H2" s="4" t="s">
        <v>45</v>
      </c>
      <c r="I2" s="4" t="s">
        <v>46</v>
      </c>
      <c r="J2" s="4" t="s">
        <v>47</v>
      </c>
      <c r="K2" s="4" t="s">
        <v>48</v>
      </c>
      <c r="L2" s="3">
        <v>45901</v>
      </c>
      <c r="M2" s="4" t="s">
        <v>49</v>
      </c>
      <c r="N2" s="4" t="s">
        <v>46</v>
      </c>
      <c r="O2" s="4" t="s">
        <v>50</v>
      </c>
      <c r="P2" s="4" t="s">
        <v>46</v>
      </c>
      <c r="Q2" s="2">
        <v>1</v>
      </c>
      <c r="R2" s="2">
        <v>17</v>
      </c>
      <c r="S2" s="4" t="s">
        <v>51</v>
      </c>
      <c r="T2" s="4" t="s">
        <v>52</v>
      </c>
      <c r="U2" s="4" t="s">
        <v>46</v>
      </c>
      <c r="V2" s="5">
        <v>0.33</v>
      </c>
      <c r="W2" s="5">
        <v>0</v>
      </c>
      <c r="X2" s="5">
        <v>100</v>
      </c>
      <c r="Y2" s="5">
        <v>104.33</v>
      </c>
      <c r="Z2" s="4" t="s">
        <v>46</v>
      </c>
      <c r="AA2" s="5" t="s">
        <v>46</v>
      </c>
      <c r="AB2" s="4" t="s">
        <v>53</v>
      </c>
      <c r="AC2" s="4" t="s">
        <v>46</v>
      </c>
      <c r="AD2" s="5">
        <v>0</v>
      </c>
      <c r="AE2" s="4" t="s">
        <v>54</v>
      </c>
      <c r="AF2" s="3">
        <v>45901</v>
      </c>
      <c r="AG2" s="4" t="s">
        <v>46</v>
      </c>
      <c r="AH2" s="4" t="s">
        <v>46</v>
      </c>
      <c r="AI2" s="4" t="s">
        <v>46</v>
      </c>
      <c r="AJ2" s="4" t="s">
        <v>46</v>
      </c>
      <c r="AK2" s="4" t="s">
        <v>46</v>
      </c>
      <c r="AL2" s="4" t="s">
        <v>46</v>
      </c>
      <c r="AM2" s="4" t="s">
        <v>46</v>
      </c>
      <c r="AN2" s="4" t="s">
        <v>55</v>
      </c>
      <c r="AO2" s="4" t="s">
        <v>46</v>
      </c>
      <c r="AP2" s="4" t="s">
        <v>46</v>
      </c>
    </row>
    <row r="3" spans="1:42" x14ac:dyDescent="0.2">
      <c r="A3" s="2">
        <v>1891456</v>
      </c>
      <c r="B3" s="3">
        <v>45889</v>
      </c>
      <c r="C3" s="4" t="s">
        <v>56</v>
      </c>
      <c r="D3" s="2">
        <v>1509744</v>
      </c>
      <c r="E3" s="4" t="s">
        <v>57</v>
      </c>
      <c r="F3" s="4" t="s">
        <v>58</v>
      </c>
      <c r="G3" s="2">
        <v>943626213</v>
      </c>
      <c r="H3" s="4" t="s">
        <v>59</v>
      </c>
      <c r="I3" s="4" t="s">
        <v>46</v>
      </c>
      <c r="J3" s="4" t="s">
        <v>47</v>
      </c>
      <c r="K3" s="4" t="s">
        <v>48</v>
      </c>
      <c r="L3" s="3">
        <v>45901</v>
      </c>
      <c r="M3" s="4" t="s">
        <v>49</v>
      </c>
      <c r="N3" s="4" t="s">
        <v>46</v>
      </c>
      <c r="O3" s="4" t="s">
        <v>50</v>
      </c>
      <c r="P3" s="4" t="s">
        <v>46</v>
      </c>
      <c r="Q3" s="2">
        <v>1</v>
      </c>
      <c r="R3" s="2">
        <v>17</v>
      </c>
      <c r="S3" s="4" t="s">
        <v>51</v>
      </c>
      <c r="T3" s="4" t="s">
        <v>52</v>
      </c>
      <c r="U3" s="4" t="s">
        <v>46</v>
      </c>
      <c r="V3" s="5">
        <v>0.33</v>
      </c>
      <c r="W3" s="5">
        <v>0</v>
      </c>
      <c r="X3" s="5">
        <v>100</v>
      </c>
      <c r="Y3" s="5">
        <v>104.33</v>
      </c>
      <c r="Z3" s="4" t="s">
        <v>46</v>
      </c>
      <c r="AA3" s="5" t="s">
        <v>46</v>
      </c>
      <c r="AB3" s="4" t="s">
        <v>53</v>
      </c>
      <c r="AC3" s="4" t="s">
        <v>46</v>
      </c>
      <c r="AD3" s="5">
        <v>0</v>
      </c>
      <c r="AE3" s="4" t="s">
        <v>54</v>
      </c>
      <c r="AF3" s="3">
        <v>45901</v>
      </c>
      <c r="AG3" s="4" t="s">
        <v>46</v>
      </c>
      <c r="AH3" s="4" t="s">
        <v>46</v>
      </c>
      <c r="AI3" s="4" t="s">
        <v>46</v>
      </c>
      <c r="AJ3" s="4" t="s">
        <v>46</v>
      </c>
      <c r="AK3" s="4" t="s">
        <v>46</v>
      </c>
      <c r="AL3" s="4" t="s">
        <v>46</v>
      </c>
      <c r="AM3" s="4" t="s">
        <v>46</v>
      </c>
      <c r="AN3" s="4" t="s">
        <v>55</v>
      </c>
      <c r="AO3" s="4" t="s">
        <v>46</v>
      </c>
      <c r="AP3" s="4" t="s">
        <v>46</v>
      </c>
    </row>
    <row r="4" spans="1:42" x14ac:dyDescent="0.2">
      <c r="A4" s="2">
        <v>1891456</v>
      </c>
      <c r="B4" s="3">
        <v>45889</v>
      </c>
      <c r="C4" s="4" t="s">
        <v>60</v>
      </c>
      <c r="D4" s="2">
        <v>1555496</v>
      </c>
      <c r="E4" s="4" t="s">
        <v>61</v>
      </c>
      <c r="F4" s="4" t="s">
        <v>62</v>
      </c>
      <c r="G4" s="2">
        <v>638312801</v>
      </c>
      <c r="H4" s="4" t="s">
        <v>63</v>
      </c>
      <c r="I4" s="4" t="s">
        <v>46</v>
      </c>
      <c r="J4" s="4" t="s">
        <v>47</v>
      </c>
      <c r="K4" s="4" t="s">
        <v>48</v>
      </c>
      <c r="L4" s="3">
        <v>45901</v>
      </c>
      <c r="M4" s="4" t="s">
        <v>49</v>
      </c>
      <c r="N4" s="4" t="s">
        <v>46</v>
      </c>
      <c r="O4" s="4" t="s">
        <v>50</v>
      </c>
      <c r="P4" s="4" t="s">
        <v>46</v>
      </c>
      <c r="Q4" s="2">
        <v>1</v>
      </c>
      <c r="R4" s="2">
        <v>17</v>
      </c>
      <c r="S4" s="4" t="s">
        <v>51</v>
      </c>
      <c r="T4" s="4" t="s">
        <v>52</v>
      </c>
      <c r="U4" s="4" t="s">
        <v>46</v>
      </c>
      <c r="V4" s="5">
        <v>-0.33</v>
      </c>
      <c r="W4" s="5">
        <v>0</v>
      </c>
      <c r="X4" s="5">
        <v>100</v>
      </c>
      <c r="Y4" s="5">
        <v>-104.33</v>
      </c>
      <c r="Z4" s="4" t="s">
        <v>46</v>
      </c>
      <c r="AA4" s="5" t="s">
        <v>46</v>
      </c>
      <c r="AB4" s="4" t="s">
        <v>53</v>
      </c>
      <c r="AC4" s="4" t="s">
        <v>46</v>
      </c>
      <c r="AD4" s="5">
        <v>0</v>
      </c>
      <c r="AE4" s="4" t="s">
        <v>54</v>
      </c>
      <c r="AF4" s="3">
        <v>45901</v>
      </c>
      <c r="AG4" s="4" t="s">
        <v>46</v>
      </c>
      <c r="AH4" s="4" t="s">
        <v>46</v>
      </c>
      <c r="AI4" s="4" t="s">
        <v>46</v>
      </c>
      <c r="AJ4" s="4" t="s">
        <v>46</v>
      </c>
      <c r="AK4" s="4" t="s">
        <v>46</v>
      </c>
      <c r="AL4" s="4" t="s">
        <v>46</v>
      </c>
      <c r="AM4" s="4" t="s">
        <v>46</v>
      </c>
      <c r="AN4" s="4" t="s">
        <v>55</v>
      </c>
      <c r="AO4" s="4" t="s">
        <v>46</v>
      </c>
      <c r="AP4" s="4" t="s">
        <v>46</v>
      </c>
    </row>
    <row r="5" spans="1:42" x14ac:dyDescent="0.2">
      <c r="A5" s="2">
        <v>1891456</v>
      </c>
      <c r="B5" s="3">
        <v>45889</v>
      </c>
      <c r="C5" s="4" t="s">
        <v>64</v>
      </c>
      <c r="D5" s="2">
        <v>1673202</v>
      </c>
      <c r="E5" s="4" t="s">
        <v>65</v>
      </c>
      <c r="F5" s="4" t="s">
        <v>66</v>
      </c>
      <c r="G5" s="2">
        <v>137230383</v>
      </c>
      <c r="H5" s="4" t="s">
        <v>67</v>
      </c>
      <c r="I5" s="4" t="s">
        <v>46</v>
      </c>
      <c r="J5" s="4" t="s">
        <v>47</v>
      </c>
      <c r="K5" s="4" t="s">
        <v>48</v>
      </c>
      <c r="L5" s="3">
        <v>45931</v>
      </c>
      <c r="M5" s="4" t="s">
        <v>68</v>
      </c>
      <c r="N5" s="4" t="s">
        <v>46</v>
      </c>
      <c r="O5" s="4" t="s">
        <v>50</v>
      </c>
      <c r="P5" s="4" t="s">
        <v>46</v>
      </c>
      <c r="Q5" s="2">
        <v>1</v>
      </c>
      <c r="R5" s="2">
        <v>17</v>
      </c>
      <c r="S5" s="4" t="s">
        <v>51</v>
      </c>
      <c r="T5" s="4" t="s">
        <v>52</v>
      </c>
      <c r="U5" s="4" t="s">
        <v>46</v>
      </c>
      <c r="V5" s="5">
        <v>0.25</v>
      </c>
      <c r="W5" s="5">
        <v>0</v>
      </c>
      <c r="X5" s="5">
        <v>100</v>
      </c>
      <c r="Y5" s="5">
        <v>88.25</v>
      </c>
      <c r="Z5" s="4" t="s">
        <v>46</v>
      </c>
      <c r="AA5" s="5" t="s">
        <v>46</v>
      </c>
      <c r="AB5" s="4" t="s">
        <v>53</v>
      </c>
      <c r="AC5" s="4" t="s">
        <v>46</v>
      </c>
      <c r="AD5" s="5">
        <v>0</v>
      </c>
      <c r="AE5" s="4" t="s">
        <v>54</v>
      </c>
      <c r="AF5" s="3">
        <v>45931</v>
      </c>
      <c r="AG5" s="4" t="s">
        <v>46</v>
      </c>
      <c r="AH5" s="4" t="s">
        <v>46</v>
      </c>
      <c r="AI5" s="4" t="s">
        <v>46</v>
      </c>
      <c r="AJ5" s="4" t="s">
        <v>46</v>
      </c>
      <c r="AK5" s="4" t="s">
        <v>46</v>
      </c>
      <c r="AL5" s="4" t="s">
        <v>46</v>
      </c>
      <c r="AM5" s="4" t="s">
        <v>46</v>
      </c>
      <c r="AN5" s="4" t="s">
        <v>69</v>
      </c>
      <c r="AO5" s="4" t="s">
        <v>46</v>
      </c>
      <c r="AP5" s="4" t="s">
        <v>46</v>
      </c>
    </row>
    <row r="6" spans="1:42" x14ac:dyDescent="0.2">
      <c r="A6" s="2">
        <v>1891456</v>
      </c>
      <c r="B6" s="3">
        <v>45889</v>
      </c>
      <c r="C6" s="4" t="s">
        <v>70</v>
      </c>
      <c r="D6" s="2">
        <v>1703942</v>
      </c>
      <c r="E6" s="4" t="s">
        <v>71</v>
      </c>
      <c r="F6" s="4" t="s">
        <v>72</v>
      </c>
      <c r="G6" s="2">
        <v>287917444</v>
      </c>
      <c r="H6" s="4" t="s">
        <v>73</v>
      </c>
      <c r="I6" s="4" t="s">
        <v>46</v>
      </c>
      <c r="J6" s="4" t="s">
        <v>47</v>
      </c>
      <c r="K6" s="4" t="s">
        <v>48</v>
      </c>
      <c r="L6" s="3">
        <v>45658</v>
      </c>
      <c r="M6" s="4" t="s">
        <v>74</v>
      </c>
      <c r="N6" s="4" t="s">
        <v>46</v>
      </c>
      <c r="O6" s="4" t="s">
        <v>50</v>
      </c>
      <c r="P6" s="4" t="s">
        <v>46</v>
      </c>
      <c r="Q6" s="2">
        <v>1</v>
      </c>
      <c r="R6" s="2">
        <v>17</v>
      </c>
      <c r="S6" s="4" t="s">
        <v>51</v>
      </c>
      <c r="T6" s="4" t="s">
        <v>52</v>
      </c>
      <c r="U6" s="4" t="s">
        <v>46</v>
      </c>
      <c r="V6" s="5">
        <v>-0.33</v>
      </c>
      <c r="W6" s="5">
        <v>0</v>
      </c>
      <c r="X6" s="5">
        <v>100</v>
      </c>
      <c r="Y6" s="5">
        <v>-104.33</v>
      </c>
      <c r="Z6" s="4" t="s">
        <v>46</v>
      </c>
      <c r="AA6" s="5" t="s">
        <v>46</v>
      </c>
      <c r="AB6" s="4" t="s">
        <v>53</v>
      </c>
      <c r="AC6" s="4" t="s">
        <v>46</v>
      </c>
      <c r="AD6" s="5">
        <v>0</v>
      </c>
      <c r="AE6" s="4" t="s">
        <v>54</v>
      </c>
      <c r="AF6" s="3">
        <v>45658</v>
      </c>
      <c r="AG6" s="4" t="s">
        <v>46</v>
      </c>
      <c r="AH6" s="4" t="s">
        <v>46</v>
      </c>
      <c r="AI6" s="4" t="s">
        <v>46</v>
      </c>
      <c r="AJ6" s="4" t="s">
        <v>46</v>
      </c>
      <c r="AK6" s="4" t="s">
        <v>46</v>
      </c>
      <c r="AL6" s="4" t="s">
        <v>46</v>
      </c>
      <c r="AM6" s="4" t="s">
        <v>46</v>
      </c>
      <c r="AN6" s="4" t="s">
        <v>55</v>
      </c>
      <c r="AO6" s="4" t="s">
        <v>46</v>
      </c>
      <c r="AP6" s="4" t="s">
        <v>46</v>
      </c>
    </row>
    <row r="7" spans="1:42" x14ac:dyDescent="0.2">
      <c r="A7" s="2">
        <v>1891456</v>
      </c>
      <c r="B7" s="3">
        <v>45889</v>
      </c>
      <c r="C7" s="4" t="s">
        <v>70</v>
      </c>
      <c r="D7" s="2">
        <v>1703942</v>
      </c>
      <c r="E7" s="4" t="s">
        <v>75</v>
      </c>
      <c r="F7" s="4" t="s">
        <v>76</v>
      </c>
      <c r="G7" s="2">
        <v>150329183</v>
      </c>
      <c r="H7" s="4" t="s">
        <v>77</v>
      </c>
      <c r="I7" s="4" t="s">
        <v>46</v>
      </c>
      <c r="J7" s="4" t="s">
        <v>47</v>
      </c>
      <c r="K7" s="4" t="s">
        <v>48</v>
      </c>
      <c r="L7" s="3">
        <v>45901</v>
      </c>
      <c r="M7" s="4" t="s">
        <v>49</v>
      </c>
      <c r="N7" s="4" t="s">
        <v>46</v>
      </c>
      <c r="O7" s="4" t="s">
        <v>50</v>
      </c>
      <c r="P7" s="4" t="s">
        <v>46</v>
      </c>
      <c r="Q7" s="2">
        <v>1</v>
      </c>
      <c r="R7" s="2">
        <v>17</v>
      </c>
      <c r="S7" s="4" t="s">
        <v>51</v>
      </c>
      <c r="T7" s="4" t="s">
        <v>78</v>
      </c>
      <c r="U7" s="4" t="s">
        <v>46</v>
      </c>
      <c r="V7" s="5">
        <v>0.33</v>
      </c>
      <c r="W7" s="5">
        <v>0</v>
      </c>
      <c r="X7" s="5">
        <v>100</v>
      </c>
      <c r="Y7" s="5">
        <v>104.33</v>
      </c>
      <c r="Z7" s="4" t="s">
        <v>46</v>
      </c>
      <c r="AA7" s="5" t="s">
        <v>46</v>
      </c>
      <c r="AB7" s="4" t="s">
        <v>53</v>
      </c>
      <c r="AC7" s="4" t="s">
        <v>46</v>
      </c>
      <c r="AD7" s="5">
        <v>0</v>
      </c>
      <c r="AE7" s="4" t="s">
        <v>54</v>
      </c>
      <c r="AF7" s="3">
        <v>45901</v>
      </c>
      <c r="AG7" s="4" t="s">
        <v>46</v>
      </c>
      <c r="AH7" s="4" t="s">
        <v>46</v>
      </c>
      <c r="AI7" s="4" t="s">
        <v>46</v>
      </c>
      <c r="AJ7" s="4" t="s">
        <v>46</v>
      </c>
      <c r="AK7" s="4" t="s">
        <v>46</v>
      </c>
      <c r="AL7" s="4" t="s">
        <v>46</v>
      </c>
      <c r="AM7" s="4" t="s">
        <v>46</v>
      </c>
      <c r="AN7" s="4" t="s">
        <v>79</v>
      </c>
      <c r="AO7" s="4" t="s">
        <v>46</v>
      </c>
      <c r="AP7" s="4" t="s">
        <v>46</v>
      </c>
    </row>
    <row r="8" spans="1:42" x14ac:dyDescent="0.2">
      <c r="A8" s="2">
        <v>1891456</v>
      </c>
      <c r="B8" s="3">
        <v>45889</v>
      </c>
      <c r="C8" s="4" t="s">
        <v>80</v>
      </c>
      <c r="D8" s="2">
        <v>1800759</v>
      </c>
      <c r="E8" s="4" t="s">
        <v>81</v>
      </c>
      <c r="F8" s="4" t="s">
        <v>82</v>
      </c>
      <c r="G8" s="2">
        <v>204288435</v>
      </c>
      <c r="H8" s="4" t="s">
        <v>83</v>
      </c>
      <c r="I8" s="4" t="s">
        <v>46</v>
      </c>
      <c r="J8" s="4" t="s">
        <v>47</v>
      </c>
      <c r="K8" s="4" t="s">
        <v>48</v>
      </c>
      <c r="L8" s="3">
        <v>45901</v>
      </c>
      <c r="M8" s="4" t="s">
        <v>49</v>
      </c>
      <c r="N8" s="4" t="s">
        <v>46</v>
      </c>
      <c r="O8" s="4" t="s">
        <v>50</v>
      </c>
      <c r="P8" s="4" t="s">
        <v>46</v>
      </c>
      <c r="Q8" s="2">
        <v>1</v>
      </c>
      <c r="R8" s="2">
        <v>17</v>
      </c>
      <c r="S8" s="4" t="s">
        <v>51</v>
      </c>
      <c r="T8" s="4" t="s">
        <v>52</v>
      </c>
      <c r="U8" s="4" t="s">
        <v>46</v>
      </c>
      <c r="V8" s="5">
        <v>0.33</v>
      </c>
      <c r="W8" s="5">
        <v>0</v>
      </c>
      <c r="X8" s="5">
        <v>100</v>
      </c>
      <c r="Y8" s="5">
        <v>104.33</v>
      </c>
      <c r="Z8" s="4" t="s">
        <v>46</v>
      </c>
      <c r="AA8" s="5" t="s">
        <v>46</v>
      </c>
      <c r="AB8" s="4" t="s">
        <v>53</v>
      </c>
      <c r="AC8" s="4" t="s">
        <v>46</v>
      </c>
      <c r="AD8" s="5">
        <v>0</v>
      </c>
      <c r="AE8" s="4" t="s">
        <v>54</v>
      </c>
      <c r="AF8" s="3">
        <v>45901</v>
      </c>
      <c r="AG8" s="4" t="s">
        <v>46</v>
      </c>
      <c r="AH8" s="4" t="s">
        <v>46</v>
      </c>
      <c r="AI8" s="4" t="s">
        <v>46</v>
      </c>
      <c r="AJ8" s="4" t="s">
        <v>46</v>
      </c>
      <c r="AK8" s="4" t="s">
        <v>46</v>
      </c>
      <c r="AL8" s="4" t="s">
        <v>46</v>
      </c>
      <c r="AM8" s="4" t="s">
        <v>46</v>
      </c>
      <c r="AN8" s="4" t="s">
        <v>55</v>
      </c>
      <c r="AO8" s="4" t="s">
        <v>46</v>
      </c>
      <c r="AP8" s="4" t="s">
        <v>46</v>
      </c>
    </row>
    <row r="9" spans="1:42" x14ac:dyDescent="0.2">
      <c r="A9" s="2">
        <v>1891456</v>
      </c>
      <c r="B9" s="3">
        <v>45889</v>
      </c>
      <c r="C9" s="4" t="s">
        <v>80</v>
      </c>
      <c r="D9" s="2">
        <v>1800759</v>
      </c>
      <c r="E9" s="4" t="s">
        <v>84</v>
      </c>
      <c r="F9" s="4" t="s">
        <v>85</v>
      </c>
      <c r="G9" s="2">
        <v>917970323</v>
      </c>
      <c r="H9" s="4" t="s">
        <v>86</v>
      </c>
      <c r="I9" s="4" t="s">
        <v>46</v>
      </c>
      <c r="J9" s="4" t="s">
        <v>47</v>
      </c>
      <c r="K9" s="4" t="s">
        <v>48</v>
      </c>
      <c r="L9" s="3">
        <v>45931</v>
      </c>
      <c r="M9" s="4" t="s">
        <v>68</v>
      </c>
      <c r="N9" s="4" t="s">
        <v>46</v>
      </c>
      <c r="O9" s="4" t="s">
        <v>50</v>
      </c>
      <c r="P9" s="4" t="s">
        <v>46</v>
      </c>
      <c r="Q9" s="2">
        <v>1</v>
      </c>
      <c r="R9" s="2">
        <v>17</v>
      </c>
      <c r="S9" s="4" t="s">
        <v>51</v>
      </c>
      <c r="T9" s="4" t="s">
        <v>52</v>
      </c>
      <c r="U9" s="4" t="s">
        <v>46</v>
      </c>
      <c r="V9" s="5">
        <v>0.25</v>
      </c>
      <c r="W9" s="5">
        <v>0</v>
      </c>
      <c r="X9" s="5">
        <v>100</v>
      </c>
      <c r="Y9" s="5">
        <v>78.25</v>
      </c>
      <c r="Z9" s="4" t="s">
        <v>46</v>
      </c>
      <c r="AA9" s="5" t="s">
        <v>46</v>
      </c>
      <c r="AB9" s="4" t="s">
        <v>53</v>
      </c>
      <c r="AC9" s="4" t="s">
        <v>46</v>
      </c>
      <c r="AD9" s="5">
        <v>0</v>
      </c>
      <c r="AE9" s="4" t="s">
        <v>54</v>
      </c>
      <c r="AF9" s="3">
        <v>45931</v>
      </c>
      <c r="AG9" s="4" t="s">
        <v>46</v>
      </c>
      <c r="AH9" s="4" t="s">
        <v>46</v>
      </c>
      <c r="AI9" s="4" t="s">
        <v>46</v>
      </c>
      <c r="AJ9" s="4" t="s">
        <v>46</v>
      </c>
      <c r="AK9" s="4" t="s">
        <v>46</v>
      </c>
      <c r="AL9" s="4" t="s">
        <v>46</v>
      </c>
      <c r="AM9" s="4" t="s">
        <v>46</v>
      </c>
      <c r="AN9" s="4" t="s">
        <v>55</v>
      </c>
      <c r="AO9" s="4" t="s">
        <v>46</v>
      </c>
      <c r="AP9" s="4" t="s">
        <v>46</v>
      </c>
    </row>
    <row r="10" spans="1:42" x14ac:dyDescent="0.2">
      <c r="A10" s="2">
        <v>1891456</v>
      </c>
      <c r="B10" s="3">
        <v>45889</v>
      </c>
      <c r="C10" s="4" t="s">
        <v>87</v>
      </c>
      <c r="D10" s="2">
        <v>1815594</v>
      </c>
      <c r="E10" s="4" t="s">
        <v>88</v>
      </c>
      <c r="F10" s="4" t="s">
        <v>89</v>
      </c>
      <c r="G10" s="2">
        <v>354723324</v>
      </c>
      <c r="H10" s="4" t="s">
        <v>90</v>
      </c>
      <c r="I10" s="4" t="s">
        <v>46</v>
      </c>
      <c r="J10" s="4" t="s">
        <v>47</v>
      </c>
      <c r="K10" s="4" t="s">
        <v>48</v>
      </c>
      <c r="L10" s="3">
        <v>45658</v>
      </c>
      <c r="M10" s="4" t="s">
        <v>74</v>
      </c>
      <c r="N10" s="4" t="s">
        <v>46</v>
      </c>
      <c r="O10" s="4" t="s">
        <v>50</v>
      </c>
      <c r="P10" s="4" t="s">
        <v>46</v>
      </c>
      <c r="Q10" s="2">
        <v>1</v>
      </c>
      <c r="R10" s="2">
        <v>17</v>
      </c>
      <c r="S10" s="4" t="s">
        <v>51</v>
      </c>
      <c r="T10" s="4" t="s">
        <v>91</v>
      </c>
      <c r="U10" s="4" t="s">
        <v>46</v>
      </c>
      <c r="V10" s="5">
        <v>0</v>
      </c>
      <c r="W10" s="5">
        <v>0</v>
      </c>
      <c r="X10" s="5">
        <v>100</v>
      </c>
      <c r="Y10" s="5">
        <v>-104.34</v>
      </c>
      <c r="Z10" s="4" t="s">
        <v>46</v>
      </c>
      <c r="AA10" s="5" t="s">
        <v>46</v>
      </c>
      <c r="AB10" s="4" t="s">
        <v>92</v>
      </c>
      <c r="AC10" s="4" t="s">
        <v>46</v>
      </c>
      <c r="AD10" s="5">
        <v>0</v>
      </c>
      <c r="AE10" s="4" t="s">
        <v>93</v>
      </c>
      <c r="AF10" s="3">
        <v>45658</v>
      </c>
      <c r="AG10" s="4" t="s">
        <v>46</v>
      </c>
      <c r="AH10" s="4" t="s">
        <v>46</v>
      </c>
      <c r="AI10" s="4" t="s">
        <v>46</v>
      </c>
      <c r="AJ10" s="4" t="s">
        <v>46</v>
      </c>
      <c r="AK10" s="4" t="s">
        <v>46</v>
      </c>
      <c r="AL10" s="4" t="s">
        <v>46</v>
      </c>
      <c r="AM10" s="4" t="s">
        <v>46</v>
      </c>
      <c r="AN10" s="4" t="s">
        <v>94</v>
      </c>
      <c r="AO10" s="4" t="s">
        <v>46</v>
      </c>
      <c r="AP10" s="4" t="s">
        <v>46</v>
      </c>
    </row>
    <row r="11" spans="1:42" x14ac:dyDescent="0.2">
      <c r="A11" s="2">
        <v>1891456</v>
      </c>
      <c r="B11" s="3">
        <v>45889</v>
      </c>
      <c r="C11" s="4" t="s">
        <v>87</v>
      </c>
      <c r="D11" s="2">
        <v>1815594</v>
      </c>
      <c r="E11" s="4" t="s">
        <v>88</v>
      </c>
      <c r="F11" s="4" t="s">
        <v>89</v>
      </c>
      <c r="G11" s="2">
        <v>354723324</v>
      </c>
      <c r="H11" s="4" t="s">
        <v>90</v>
      </c>
      <c r="I11" s="4" t="s">
        <v>46</v>
      </c>
      <c r="J11" s="4" t="s">
        <v>47</v>
      </c>
      <c r="K11" s="4" t="s">
        <v>48</v>
      </c>
      <c r="L11" s="3">
        <v>45658</v>
      </c>
      <c r="M11" s="4" t="s">
        <v>74</v>
      </c>
      <c r="N11" s="4" t="s">
        <v>46</v>
      </c>
      <c r="O11" s="4" t="s">
        <v>50</v>
      </c>
      <c r="P11" s="4" t="s">
        <v>46</v>
      </c>
      <c r="Q11" s="2">
        <v>1</v>
      </c>
      <c r="R11" s="2">
        <v>17</v>
      </c>
      <c r="S11" s="4" t="s">
        <v>51</v>
      </c>
      <c r="T11" s="4" t="s">
        <v>91</v>
      </c>
      <c r="U11" s="4" t="s">
        <v>46</v>
      </c>
      <c r="V11" s="5">
        <v>-0.33</v>
      </c>
      <c r="W11" s="5">
        <v>0</v>
      </c>
      <c r="X11" s="5">
        <v>100</v>
      </c>
      <c r="Y11" s="5">
        <v>-104.33</v>
      </c>
      <c r="Z11" s="4" t="s">
        <v>46</v>
      </c>
      <c r="AA11" s="5" t="s">
        <v>46</v>
      </c>
      <c r="AB11" s="4" t="s">
        <v>53</v>
      </c>
      <c r="AC11" s="4" t="s">
        <v>46</v>
      </c>
      <c r="AD11" s="5">
        <v>0</v>
      </c>
      <c r="AE11" s="4" t="s">
        <v>54</v>
      </c>
      <c r="AF11" s="3">
        <v>45658</v>
      </c>
      <c r="AG11" s="4" t="s">
        <v>46</v>
      </c>
      <c r="AH11" s="4" t="s">
        <v>46</v>
      </c>
      <c r="AI11" s="4" t="s">
        <v>46</v>
      </c>
      <c r="AJ11" s="4" t="s">
        <v>46</v>
      </c>
      <c r="AK11" s="4" t="s">
        <v>46</v>
      </c>
      <c r="AL11" s="4" t="s">
        <v>46</v>
      </c>
      <c r="AM11" s="4" t="s">
        <v>46</v>
      </c>
      <c r="AN11" s="4" t="s">
        <v>94</v>
      </c>
      <c r="AO11" s="4" t="s">
        <v>46</v>
      </c>
      <c r="AP11" s="4" t="s">
        <v>46</v>
      </c>
    </row>
    <row r="12" spans="1:42" x14ac:dyDescent="0.2">
      <c r="A12" s="2">
        <v>1891456</v>
      </c>
      <c r="B12" s="3">
        <v>45889</v>
      </c>
      <c r="C12" s="4" t="s">
        <v>95</v>
      </c>
      <c r="D12" s="2">
        <v>1831491</v>
      </c>
      <c r="E12" s="4" t="s">
        <v>96</v>
      </c>
      <c r="F12" s="4" t="s">
        <v>97</v>
      </c>
      <c r="G12" s="2">
        <v>356940473</v>
      </c>
      <c r="H12" s="4" t="s">
        <v>98</v>
      </c>
      <c r="I12" s="4" t="s">
        <v>46</v>
      </c>
      <c r="J12" s="4" t="s">
        <v>47</v>
      </c>
      <c r="K12" s="4" t="s">
        <v>48</v>
      </c>
      <c r="L12" s="3">
        <v>45658</v>
      </c>
      <c r="M12" s="4" t="s">
        <v>74</v>
      </c>
      <c r="N12" s="4" t="s">
        <v>46</v>
      </c>
      <c r="O12" s="4" t="s">
        <v>50</v>
      </c>
      <c r="P12" s="4" t="s">
        <v>46</v>
      </c>
      <c r="Q12" s="2">
        <v>1</v>
      </c>
      <c r="R12" s="2">
        <v>17</v>
      </c>
      <c r="S12" s="4" t="s">
        <v>51</v>
      </c>
      <c r="T12" s="4" t="s">
        <v>52</v>
      </c>
      <c r="U12" s="4" t="s">
        <v>46</v>
      </c>
      <c r="V12" s="5">
        <v>-0.33</v>
      </c>
      <c r="W12" s="5">
        <v>0</v>
      </c>
      <c r="X12" s="5">
        <v>100</v>
      </c>
      <c r="Y12" s="5">
        <v>-104.33</v>
      </c>
      <c r="Z12" s="4" t="s">
        <v>46</v>
      </c>
      <c r="AA12" s="5" t="s">
        <v>46</v>
      </c>
      <c r="AB12" s="4" t="s">
        <v>53</v>
      </c>
      <c r="AC12" s="4" t="s">
        <v>46</v>
      </c>
      <c r="AD12" s="5">
        <v>0</v>
      </c>
      <c r="AE12" s="4" t="s">
        <v>54</v>
      </c>
      <c r="AF12" s="3">
        <v>45658</v>
      </c>
      <c r="AG12" s="4" t="s">
        <v>46</v>
      </c>
      <c r="AH12" s="4" t="s">
        <v>46</v>
      </c>
      <c r="AI12" s="4" t="s">
        <v>46</v>
      </c>
      <c r="AJ12" s="4" t="s">
        <v>46</v>
      </c>
      <c r="AK12" s="4" t="s">
        <v>46</v>
      </c>
      <c r="AL12" s="4" t="s">
        <v>46</v>
      </c>
      <c r="AM12" s="4" t="s">
        <v>46</v>
      </c>
      <c r="AN12" s="4" t="s">
        <v>55</v>
      </c>
      <c r="AO12" s="4" t="s">
        <v>46</v>
      </c>
      <c r="AP12" s="4" t="s">
        <v>46</v>
      </c>
    </row>
    <row r="13" spans="1:42" x14ac:dyDescent="0.2">
      <c r="A13" s="2">
        <v>1891456</v>
      </c>
      <c r="B13" s="3">
        <v>45889</v>
      </c>
      <c r="C13" s="4" t="s">
        <v>99</v>
      </c>
      <c r="D13" s="2">
        <v>1832195</v>
      </c>
      <c r="E13" s="4" t="s">
        <v>100</v>
      </c>
      <c r="F13" s="4" t="s">
        <v>101</v>
      </c>
      <c r="G13" s="2">
        <v>622775293</v>
      </c>
      <c r="H13" s="4" t="s">
        <v>102</v>
      </c>
      <c r="I13" s="4" t="s">
        <v>46</v>
      </c>
      <c r="J13" s="4" t="s">
        <v>47</v>
      </c>
      <c r="K13" s="4" t="s">
        <v>48</v>
      </c>
      <c r="L13" s="3">
        <v>45931</v>
      </c>
      <c r="M13" s="4" t="s">
        <v>68</v>
      </c>
      <c r="N13" s="4" t="s">
        <v>46</v>
      </c>
      <c r="O13" s="4" t="s">
        <v>50</v>
      </c>
      <c r="P13" s="4" t="s">
        <v>46</v>
      </c>
      <c r="Q13" s="2">
        <v>1</v>
      </c>
      <c r="R13" s="2">
        <v>17</v>
      </c>
      <c r="S13" s="4" t="s">
        <v>51</v>
      </c>
      <c r="T13" s="4" t="s">
        <v>103</v>
      </c>
      <c r="U13" s="4" t="s">
        <v>46</v>
      </c>
      <c r="V13" s="5">
        <v>0.25</v>
      </c>
      <c r="W13" s="5">
        <v>0</v>
      </c>
      <c r="X13" s="5">
        <v>100</v>
      </c>
      <c r="Y13" s="5">
        <v>13.75</v>
      </c>
      <c r="Z13" s="4" t="s">
        <v>46</v>
      </c>
      <c r="AA13" s="5" t="s">
        <v>46</v>
      </c>
      <c r="AB13" s="4" t="s">
        <v>53</v>
      </c>
      <c r="AC13" s="4" t="s">
        <v>46</v>
      </c>
      <c r="AD13" s="5">
        <v>0</v>
      </c>
      <c r="AE13" s="4" t="s">
        <v>54</v>
      </c>
      <c r="AF13" s="3">
        <v>45931</v>
      </c>
      <c r="AG13" s="4" t="s">
        <v>46</v>
      </c>
      <c r="AH13" s="4" t="s">
        <v>46</v>
      </c>
      <c r="AI13" s="4" t="s">
        <v>46</v>
      </c>
      <c r="AJ13" s="4" t="s">
        <v>46</v>
      </c>
      <c r="AK13" s="4" t="s">
        <v>46</v>
      </c>
      <c r="AL13" s="4" t="s">
        <v>46</v>
      </c>
      <c r="AM13" s="4" t="s">
        <v>46</v>
      </c>
      <c r="AN13" s="4" t="s">
        <v>104</v>
      </c>
      <c r="AO13" s="4" t="s">
        <v>46</v>
      </c>
      <c r="AP13" s="4" t="s">
        <v>46</v>
      </c>
    </row>
    <row r="14" spans="1:42" x14ac:dyDescent="0.2">
      <c r="A14" s="2">
        <v>1891456</v>
      </c>
      <c r="B14" s="3">
        <v>45889</v>
      </c>
      <c r="C14" s="4" t="s">
        <v>105</v>
      </c>
      <c r="D14" s="2">
        <v>1913090</v>
      </c>
      <c r="E14" s="4" t="s">
        <v>106</v>
      </c>
      <c r="F14" s="4" t="s">
        <v>107</v>
      </c>
      <c r="G14" s="2">
        <v>52566133</v>
      </c>
      <c r="H14" s="4" t="s">
        <v>108</v>
      </c>
      <c r="I14" s="4" t="s">
        <v>46</v>
      </c>
      <c r="J14" s="4" t="s">
        <v>47</v>
      </c>
      <c r="K14" s="4" t="s">
        <v>48</v>
      </c>
      <c r="L14" s="3">
        <v>45870</v>
      </c>
      <c r="M14" s="4" t="s">
        <v>109</v>
      </c>
      <c r="N14" s="4" t="s">
        <v>46</v>
      </c>
      <c r="O14" s="4" t="s">
        <v>50</v>
      </c>
      <c r="P14" s="4" t="s">
        <v>46</v>
      </c>
      <c r="Q14" s="2">
        <v>1</v>
      </c>
      <c r="R14" s="2">
        <v>17</v>
      </c>
      <c r="S14" s="4" t="s">
        <v>51</v>
      </c>
      <c r="T14" s="4" t="s">
        <v>52</v>
      </c>
      <c r="U14" s="4" t="s">
        <v>46</v>
      </c>
      <c r="V14" s="5">
        <v>-0.33</v>
      </c>
      <c r="W14" s="5">
        <v>0</v>
      </c>
      <c r="X14" s="5">
        <v>100</v>
      </c>
      <c r="Y14" s="5">
        <v>-104.34</v>
      </c>
      <c r="Z14" s="4" t="s">
        <v>46</v>
      </c>
      <c r="AA14" s="5" t="s">
        <v>46</v>
      </c>
      <c r="AB14" s="4" t="s">
        <v>53</v>
      </c>
      <c r="AC14" s="4" t="s">
        <v>46</v>
      </c>
      <c r="AD14" s="5">
        <v>0</v>
      </c>
      <c r="AE14" s="4" t="s">
        <v>54</v>
      </c>
      <c r="AF14" s="3">
        <v>45870</v>
      </c>
      <c r="AG14" s="4" t="s">
        <v>46</v>
      </c>
      <c r="AH14" s="4" t="s">
        <v>46</v>
      </c>
      <c r="AI14" s="4" t="s">
        <v>46</v>
      </c>
      <c r="AJ14" s="4" t="s">
        <v>46</v>
      </c>
      <c r="AK14" s="4" t="s">
        <v>46</v>
      </c>
      <c r="AL14" s="4" t="s">
        <v>46</v>
      </c>
      <c r="AM14" s="4" t="s">
        <v>46</v>
      </c>
      <c r="AN14" s="4" t="s">
        <v>55</v>
      </c>
      <c r="AO14" s="4" t="s">
        <v>46</v>
      </c>
      <c r="AP14" s="4" t="s">
        <v>46</v>
      </c>
    </row>
    <row r="15" spans="1:42" x14ac:dyDescent="0.2">
      <c r="A15" s="2">
        <v>1891456</v>
      </c>
      <c r="B15" s="3">
        <v>45889</v>
      </c>
      <c r="C15" s="4" t="s">
        <v>105</v>
      </c>
      <c r="D15" s="2">
        <v>1913090</v>
      </c>
      <c r="E15" s="4" t="s">
        <v>110</v>
      </c>
      <c r="F15" s="4" t="s">
        <v>111</v>
      </c>
      <c r="G15" s="2">
        <v>962187133</v>
      </c>
      <c r="H15" s="4" t="s">
        <v>112</v>
      </c>
      <c r="I15" s="4" t="s">
        <v>46</v>
      </c>
      <c r="J15" s="4" t="s">
        <v>47</v>
      </c>
      <c r="K15" s="4" t="s">
        <v>48</v>
      </c>
      <c r="L15" s="3">
        <v>45901</v>
      </c>
      <c r="M15" s="4" t="s">
        <v>49</v>
      </c>
      <c r="N15" s="4" t="s">
        <v>46</v>
      </c>
      <c r="O15" s="4" t="s">
        <v>50</v>
      </c>
      <c r="P15" s="4" t="s">
        <v>46</v>
      </c>
      <c r="Q15" s="2">
        <v>1</v>
      </c>
      <c r="R15" s="2">
        <v>17</v>
      </c>
      <c r="S15" s="4" t="s">
        <v>51</v>
      </c>
      <c r="T15" s="4" t="s">
        <v>52</v>
      </c>
      <c r="U15" s="4" t="s">
        <v>46</v>
      </c>
      <c r="V15" s="5">
        <v>0.33</v>
      </c>
      <c r="W15" s="5">
        <v>0</v>
      </c>
      <c r="X15" s="5">
        <v>100</v>
      </c>
      <c r="Y15" s="5">
        <v>104.33</v>
      </c>
      <c r="Z15" s="4" t="s">
        <v>46</v>
      </c>
      <c r="AA15" s="5" t="s">
        <v>46</v>
      </c>
      <c r="AB15" s="4" t="s">
        <v>53</v>
      </c>
      <c r="AC15" s="4" t="s">
        <v>46</v>
      </c>
      <c r="AD15" s="5">
        <v>0</v>
      </c>
      <c r="AE15" s="4" t="s">
        <v>54</v>
      </c>
      <c r="AF15" s="3">
        <v>45901</v>
      </c>
      <c r="AG15" s="4" t="s">
        <v>46</v>
      </c>
      <c r="AH15" s="4" t="s">
        <v>46</v>
      </c>
      <c r="AI15" s="4" t="s">
        <v>46</v>
      </c>
      <c r="AJ15" s="4" t="s">
        <v>46</v>
      </c>
      <c r="AK15" s="4" t="s">
        <v>46</v>
      </c>
      <c r="AL15" s="4" t="s">
        <v>46</v>
      </c>
      <c r="AM15" s="4" t="s">
        <v>46</v>
      </c>
      <c r="AN15" s="4" t="s">
        <v>55</v>
      </c>
      <c r="AO15" s="4" t="s">
        <v>46</v>
      </c>
      <c r="AP15" s="4" t="s">
        <v>46</v>
      </c>
    </row>
    <row r="16" spans="1:42" x14ac:dyDescent="0.2">
      <c r="A16" s="2">
        <v>1891456</v>
      </c>
      <c r="B16" s="3">
        <v>45889</v>
      </c>
      <c r="C16" s="4" t="s">
        <v>56</v>
      </c>
      <c r="D16" s="2">
        <v>1509744</v>
      </c>
      <c r="E16" s="4" t="s">
        <v>113</v>
      </c>
      <c r="F16" s="4" t="s">
        <v>114</v>
      </c>
      <c r="G16" s="4" t="s">
        <v>46</v>
      </c>
      <c r="H16" s="4" t="s">
        <v>46</v>
      </c>
      <c r="I16" s="4" t="s">
        <v>46</v>
      </c>
      <c r="J16" s="4" t="s">
        <v>115</v>
      </c>
      <c r="K16" s="4" t="s">
        <v>116</v>
      </c>
      <c r="L16" s="3">
        <v>45901</v>
      </c>
      <c r="M16" s="4" t="s">
        <v>49</v>
      </c>
      <c r="N16" s="4" t="s">
        <v>46</v>
      </c>
      <c r="O16" s="4" t="s">
        <v>117</v>
      </c>
      <c r="P16" s="4" t="s">
        <v>117</v>
      </c>
      <c r="Q16" s="2">
        <v>2</v>
      </c>
      <c r="R16" s="2">
        <v>60</v>
      </c>
      <c r="S16" s="4" t="s">
        <v>118</v>
      </c>
      <c r="T16" s="4" t="s">
        <v>46</v>
      </c>
      <c r="U16" s="4" t="s">
        <v>46</v>
      </c>
      <c r="V16" s="5">
        <v>10</v>
      </c>
      <c r="W16" s="5">
        <v>26.88</v>
      </c>
      <c r="X16" s="5">
        <v>100</v>
      </c>
      <c r="Y16" s="5">
        <v>2.69</v>
      </c>
      <c r="Z16" s="4" t="s">
        <v>46</v>
      </c>
      <c r="AA16" s="5" t="s">
        <v>46</v>
      </c>
      <c r="AB16" s="4" t="s">
        <v>119</v>
      </c>
      <c r="AC16" s="4" t="s">
        <v>46</v>
      </c>
      <c r="AD16" s="5">
        <v>0</v>
      </c>
      <c r="AE16" s="4" t="s">
        <v>120</v>
      </c>
      <c r="AF16" s="3">
        <v>45276</v>
      </c>
      <c r="AG16" s="4" t="s">
        <v>46</v>
      </c>
      <c r="AH16" s="4" t="s">
        <v>46</v>
      </c>
      <c r="AI16" s="4" t="s">
        <v>46</v>
      </c>
      <c r="AJ16" s="4" t="s">
        <v>46</v>
      </c>
      <c r="AK16" s="4" t="s">
        <v>46</v>
      </c>
      <c r="AL16" s="4" t="s">
        <v>46</v>
      </c>
      <c r="AM16" s="4" t="s">
        <v>46</v>
      </c>
      <c r="AN16" s="4" t="s">
        <v>46</v>
      </c>
      <c r="AO16" s="4" t="s">
        <v>46</v>
      </c>
      <c r="AP16" s="4" t="s">
        <v>46</v>
      </c>
    </row>
    <row r="17" spans="1:42" x14ac:dyDescent="0.2">
      <c r="A17" s="2">
        <v>1891456</v>
      </c>
      <c r="B17" s="3">
        <v>45889</v>
      </c>
      <c r="C17" s="4" t="s">
        <v>121</v>
      </c>
      <c r="D17" s="2">
        <v>1509841</v>
      </c>
      <c r="E17" s="4" t="s">
        <v>122</v>
      </c>
      <c r="F17" s="4" t="s">
        <v>123</v>
      </c>
      <c r="G17" s="4" t="s">
        <v>46</v>
      </c>
      <c r="H17" s="4" t="s">
        <v>46</v>
      </c>
      <c r="I17" s="4" t="s">
        <v>46</v>
      </c>
      <c r="J17" s="4" t="s">
        <v>124</v>
      </c>
      <c r="K17" s="4" t="s">
        <v>125</v>
      </c>
      <c r="L17" s="3">
        <v>45901</v>
      </c>
      <c r="M17" s="4" t="s">
        <v>49</v>
      </c>
      <c r="N17" s="4" t="s">
        <v>46</v>
      </c>
      <c r="O17" s="4" t="s">
        <v>50</v>
      </c>
      <c r="P17" s="4" t="s">
        <v>117</v>
      </c>
      <c r="Q17" s="2">
        <v>4</v>
      </c>
      <c r="R17" s="2">
        <v>3</v>
      </c>
      <c r="S17" s="4" t="s">
        <v>126</v>
      </c>
      <c r="T17" s="4" t="s">
        <v>46</v>
      </c>
      <c r="U17" s="4" t="s">
        <v>46</v>
      </c>
      <c r="V17" s="5">
        <v>10</v>
      </c>
      <c r="W17" s="5">
        <v>318.68</v>
      </c>
      <c r="X17" s="5">
        <v>100</v>
      </c>
      <c r="Y17" s="5">
        <v>31.87</v>
      </c>
      <c r="Z17" s="4" t="s">
        <v>46</v>
      </c>
      <c r="AA17" s="5" t="s">
        <v>46</v>
      </c>
      <c r="AB17" s="4" t="s">
        <v>53</v>
      </c>
      <c r="AC17" s="4" t="s">
        <v>46</v>
      </c>
      <c r="AD17" s="5">
        <v>0</v>
      </c>
      <c r="AE17" s="4" t="s">
        <v>54</v>
      </c>
      <c r="AF17" s="3">
        <v>45658</v>
      </c>
      <c r="AG17" s="4" t="s">
        <v>46</v>
      </c>
      <c r="AH17" s="4" t="s">
        <v>46</v>
      </c>
      <c r="AI17" s="4" t="s">
        <v>46</v>
      </c>
      <c r="AJ17" s="4" t="s">
        <v>46</v>
      </c>
      <c r="AK17" s="4" t="s">
        <v>46</v>
      </c>
      <c r="AL17" s="4" t="s">
        <v>46</v>
      </c>
      <c r="AM17" s="4" t="s">
        <v>46</v>
      </c>
      <c r="AN17" s="4" t="s">
        <v>46</v>
      </c>
      <c r="AO17" s="4" t="s">
        <v>46</v>
      </c>
      <c r="AP17" s="4" t="s">
        <v>46</v>
      </c>
    </row>
    <row r="18" spans="1:42" x14ac:dyDescent="0.2">
      <c r="A18" s="2">
        <v>1891456</v>
      </c>
      <c r="B18" s="3">
        <v>45889</v>
      </c>
      <c r="C18" s="4" t="s">
        <v>121</v>
      </c>
      <c r="D18" s="2">
        <v>1509841</v>
      </c>
      <c r="E18" s="4" t="s">
        <v>122</v>
      </c>
      <c r="F18" s="4" t="s">
        <v>123</v>
      </c>
      <c r="G18" s="4" t="s">
        <v>46</v>
      </c>
      <c r="H18" s="4" t="s">
        <v>46</v>
      </c>
      <c r="I18" s="4" t="s">
        <v>46</v>
      </c>
      <c r="J18" s="4" t="s">
        <v>124</v>
      </c>
      <c r="K18" s="4" t="s">
        <v>125</v>
      </c>
      <c r="L18" s="3">
        <v>45901</v>
      </c>
      <c r="M18" s="4" t="s">
        <v>49</v>
      </c>
      <c r="N18" s="4" t="s">
        <v>46</v>
      </c>
      <c r="O18" s="4" t="s">
        <v>50</v>
      </c>
      <c r="P18" s="4" t="s">
        <v>117</v>
      </c>
      <c r="Q18" s="2">
        <v>4</v>
      </c>
      <c r="R18" s="2">
        <v>60</v>
      </c>
      <c r="S18" s="4" t="s">
        <v>118</v>
      </c>
      <c r="T18" s="4" t="s">
        <v>46</v>
      </c>
      <c r="U18" s="4" t="s">
        <v>46</v>
      </c>
      <c r="V18" s="5">
        <v>10</v>
      </c>
      <c r="W18" s="5">
        <v>45.9</v>
      </c>
      <c r="X18" s="5">
        <v>100</v>
      </c>
      <c r="Y18" s="5">
        <v>4.59</v>
      </c>
      <c r="Z18" s="4" t="s">
        <v>46</v>
      </c>
      <c r="AA18" s="5" t="s">
        <v>46</v>
      </c>
      <c r="AB18" s="4" t="s">
        <v>53</v>
      </c>
      <c r="AC18" s="4" t="s">
        <v>46</v>
      </c>
      <c r="AD18" s="5">
        <v>0</v>
      </c>
      <c r="AE18" s="4" t="s">
        <v>54</v>
      </c>
      <c r="AF18" s="3">
        <v>45658</v>
      </c>
      <c r="AG18" s="4" t="s">
        <v>46</v>
      </c>
      <c r="AH18" s="4" t="s">
        <v>46</v>
      </c>
      <c r="AI18" s="4" t="s">
        <v>46</v>
      </c>
      <c r="AJ18" s="4" t="s">
        <v>46</v>
      </c>
      <c r="AK18" s="4" t="s">
        <v>46</v>
      </c>
      <c r="AL18" s="4" t="s">
        <v>46</v>
      </c>
      <c r="AM18" s="4" t="s">
        <v>46</v>
      </c>
      <c r="AN18" s="4" t="s">
        <v>46</v>
      </c>
      <c r="AO18" s="4" t="s">
        <v>46</v>
      </c>
      <c r="AP18" s="4" t="s">
        <v>46</v>
      </c>
    </row>
    <row r="19" spans="1:42" x14ac:dyDescent="0.2">
      <c r="A19" s="2">
        <v>1891456</v>
      </c>
      <c r="B19" s="3">
        <v>45889</v>
      </c>
      <c r="C19" s="4" t="s">
        <v>127</v>
      </c>
      <c r="D19" s="2">
        <v>1510420</v>
      </c>
      <c r="E19" s="4" t="s">
        <v>128</v>
      </c>
      <c r="F19" s="4" t="s">
        <v>129</v>
      </c>
      <c r="G19" s="4" t="s">
        <v>46</v>
      </c>
      <c r="H19" s="4" t="s">
        <v>46</v>
      </c>
      <c r="I19" s="4" t="s">
        <v>46</v>
      </c>
      <c r="J19" s="4" t="s">
        <v>115</v>
      </c>
      <c r="K19" s="4" t="s">
        <v>116</v>
      </c>
      <c r="L19" s="3">
        <v>45901</v>
      </c>
      <c r="M19" s="4" t="s">
        <v>49</v>
      </c>
      <c r="N19" s="4" t="s">
        <v>46</v>
      </c>
      <c r="O19" s="4" t="s">
        <v>117</v>
      </c>
      <c r="P19" s="4" t="s">
        <v>117</v>
      </c>
      <c r="Q19" s="2">
        <v>2</v>
      </c>
      <c r="R19" s="2">
        <v>3</v>
      </c>
      <c r="S19" s="4" t="s">
        <v>126</v>
      </c>
      <c r="T19" s="4" t="s">
        <v>46</v>
      </c>
      <c r="U19" s="4" t="s">
        <v>46</v>
      </c>
      <c r="V19" s="5">
        <v>10</v>
      </c>
      <c r="W19" s="5">
        <v>43.09</v>
      </c>
      <c r="X19" s="5">
        <v>100</v>
      </c>
      <c r="Y19" s="5">
        <v>4.3099999999999996</v>
      </c>
      <c r="Z19" s="4" t="s">
        <v>46</v>
      </c>
      <c r="AA19" s="5" t="s">
        <v>46</v>
      </c>
      <c r="AB19" s="4" t="s">
        <v>119</v>
      </c>
      <c r="AC19" s="4" t="s">
        <v>46</v>
      </c>
      <c r="AD19" s="5">
        <v>0</v>
      </c>
      <c r="AE19" s="4" t="s">
        <v>120</v>
      </c>
      <c r="AF19" s="3">
        <v>40969</v>
      </c>
      <c r="AG19" s="4" t="s">
        <v>46</v>
      </c>
      <c r="AH19" s="4" t="s">
        <v>46</v>
      </c>
      <c r="AI19" s="4" t="s">
        <v>46</v>
      </c>
      <c r="AJ19" s="4" t="s">
        <v>46</v>
      </c>
      <c r="AK19" s="4" t="s">
        <v>46</v>
      </c>
      <c r="AL19" s="4" t="s">
        <v>46</v>
      </c>
      <c r="AM19" s="4" t="s">
        <v>46</v>
      </c>
      <c r="AN19" s="4" t="s">
        <v>46</v>
      </c>
      <c r="AO19" s="4" t="s">
        <v>46</v>
      </c>
      <c r="AP19" s="4" t="s">
        <v>46</v>
      </c>
    </row>
    <row r="20" spans="1:42" x14ac:dyDescent="0.2">
      <c r="A20" s="2">
        <v>1891456</v>
      </c>
      <c r="B20" s="3">
        <v>45889</v>
      </c>
      <c r="C20" s="4" t="s">
        <v>130</v>
      </c>
      <c r="D20" s="2">
        <v>1524629</v>
      </c>
      <c r="E20" s="4" t="s">
        <v>131</v>
      </c>
      <c r="F20" s="4" t="s">
        <v>132</v>
      </c>
      <c r="G20" s="4" t="s">
        <v>46</v>
      </c>
      <c r="H20" s="4" t="s">
        <v>46</v>
      </c>
      <c r="I20" s="4" t="s">
        <v>46</v>
      </c>
      <c r="J20" s="4" t="s">
        <v>115</v>
      </c>
      <c r="K20" s="4" t="s">
        <v>116</v>
      </c>
      <c r="L20" s="3">
        <v>45901</v>
      </c>
      <c r="M20" s="4" t="s">
        <v>49</v>
      </c>
      <c r="N20" s="4" t="s">
        <v>46</v>
      </c>
      <c r="O20" s="4" t="s">
        <v>117</v>
      </c>
      <c r="P20" s="4" t="s">
        <v>117</v>
      </c>
      <c r="Q20" s="2">
        <v>1</v>
      </c>
      <c r="R20" s="2">
        <v>60</v>
      </c>
      <c r="S20" s="4" t="s">
        <v>118</v>
      </c>
      <c r="T20" s="4" t="s">
        <v>46</v>
      </c>
      <c r="U20" s="4" t="s">
        <v>46</v>
      </c>
      <c r="V20" s="5">
        <v>10</v>
      </c>
      <c r="W20" s="5">
        <v>12.99</v>
      </c>
      <c r="X20" s="5">
        <v>100</v>
      </c>
      <c r="Y20" s="5">
        <v>1.3</v>
      </c>
      <c r="Z20" s="4" t="s">
        <v>46</v>
      </c>
      <c r="AA20" s="5" t="s">
        <v>46</v>
      </c>
      <c r="AB20" s="4" t="s">
        <v>119</v>
      </c>
      <c r="AC20" s="4" t="s">
        <v>46</v>
      </c>
      <c r="AD20" s="5">
        <v>0</v>
      </c>
      <c r="AE20" s="4" t="s">
        <v>120</v>
      </c>
      <c r="AF20" s="3">
        <v>45371</v>
      </c>
      <c r="AG20" s="4" t="s">
        <v>46</v>
      </c>
      <c r="AH20" s="4" t="s">
        <v>46</v>
      </c>
      <c r="AI20" s="4" t="s">
        <v>46</v>
      </c>
      <c r="AJ20" s="4" t="s">
        <v>46</v>
      </c>
      <c r="AK20" s="4" t="s">
        <v>46</v>
      </c>
      <c r="AL20" s="4" t="s">
        <v>46</v>
      </c>
      <c r="AM20" s="4" t="s">
        <v>46</v>
      </c>
      <c r="AN20" s="4" t="s">
        <v>46</v>
      </c>
      <c r="AO20" s="4" t="s">
        <v>46</v>
      </c>
      <c r="AP20" s="4" t="s">
        <v>46</v>
      </c>
    </row>
    <row r="21" spans="1:42" x14ac:dyDescent="0.2">
      <c r="A21" s="2">
        <v>1891456</v>
      </c>
      <c r="B21" s="3">
        <v>45889</v>
      </c>
      <c r="C21" s="4" t="s">
        <v>133</v>
      </c>
      <c r="D21" s="2">
        <v>1673763</v>
      </c>
      <c r="E21" s="4" t="s">
        <v>134</v>
      </c>
      <c r="F21" s="4" t="s">
        <v>135</v>
      </c>
      <c r="G21" s="4" t="s">
        <v>46</v>
      </c>
      <c r="H21" s="4" t="s">
        <v>46</v>
      </c>
      <c r="I21" s="4" t="s">
        <v>46</v>
      </c>
      <c r="J21" s="4" t="s">
        <v>136</v>
      </c>
      <c r="K21" s="4" t="s">
        <v>48</v>
      </c>
      <c r="L21" s="3">
        <v>45901</v>
      </c>
      <c r="M21" s="4" t="s">
        <v>49</v>
      </c>
      <c r="N21" s="4" t="s">
        <v>46</v>
      </c>
      <c r="O21" s="4" t="s">
        <v>117</v>
      </c>
      <c r="P21" s="4" t="s">
        <v>117</v>
      </c>
      <c r="Q21" s="2">
        <v>1</v>
      </c>
      <c r="R21" s="2">
        <v>17</v>
      </c>
      <c r="S21" s="4" t="s">
        <v>51</v>
      </c>
      <c r="T21" s="4" t="s">
        <v>46</v>
      </c>
      <c r="U21" s="4" t="s">
        <v>46</v>
      </c>
      <c r="V21" s="5">
        <v>26</v>
      </c>
      <c r="W21" s="5">
        <v>307</v>
      </c>
      <c r="X21" s="5">
        <v>100</v>
      </c>
      <c r="Y21" s="5">
        <v>79.819999999999993</v>
      </c>
      <c r="Z21" s="5">
        <v>0</v>
      </c>
      <c r="AA21" s="5">
        <v>0</v>
      </c>
      <c r="AB21" s="4" t="s">
        <v>137</v>
      </c>
      <c r="AC21" s="4" t="s">
        <v>46</v>
      </c>
      <c r="AD21" s="5">
        <v>0</v>
      </c>
      <c r="AE21" s="4" t="s">
        <v>138</v>
      </c>
      <c r="AF21" s="3">
        <v>45292</v>
      </c>
      <c r="AG21" s="4" t="s">
        <v>46</v>
      </c>
      <c r="AH21" s="4" t="s">
        <v>46</v>
      </c>
      <c r="AI21" s="4" t="s">
        <v>46</v>
      </c>
      <c r="AJ21" s="4" t="s">
        <v>46</v>
      </c>
      <c r="AK21" s="4" t="s">
        <v>46</v>
      </c>
      <c r="AL21" s="4" t="s">
        <v>46</v>
      </c>
      <c r="AM21" s="4" t="s">
        <v>46</v>
      </c>
      <c r="AN21" s="4" t="s">
        <v>46</v>
      </c>
      <c r="AO21" s="4" t="s">
        <v>46</v>
      </c>
      <c r="AP21" s="4" t="s">
        <v>46</v>
      </c>
    </row>
    <row r="22" spans="1:42" x14ac:dyDescent="0.2">
      <c r="A22" s="2">
        <v>1891456</v>
      </c>
      <c r="B22" s="3">
        <v>45889</v>
      </c>
      <c r="C22" s="4" t="s">
        <v>133</v>
      </c>
      <c r="D22" s="2">
        <v>1673763</v>
      </c>
      <c r="E22" s="4" t="s">
        <v>139</v>
      </c>
      <c r="F22" s="4" t="s">
        <v>140</v>
      </c>
      <c r="G22" s="4" t="s">
        <v>46</v>
      </c>
      <c r="H22" s="4" t="s">
        <v>46</v>
      </c>
      <c r="I22" s="4" t="s">
        <v>46</v>
      </c>
      <c r="J22" s="4" t="s">
        <v>136</v>
      </c>
      <c r="K22" s="4" t="s">
        <v>48</v>
      </c>
      <c r="L22" s="3">
        <v>45901</v>
      </c>
      <c r="M22" s="4" t="s">
        <v>49</v>
      </c>
      <c r="N22" s="4" t="s">
        <v>46</v>
      </c>
      <c r="O22" s="4" t="s">
        <v>117</v>
      </c>
      <c r="P22" s="4" t="s">
        <v>117</v>
      </c>
      <c r="Q22" s="2">
        <v>1</v>
      </c>
      <c r="R22" s="2">
        <v>17</v>
      </c>
      <c r="S22" s="4" t="s">
        <v>51</v>
      </c>
      <c r="T22" s="4" t="s">
        <v>46</v>
      </c>
      <c r="U22" s="4" t="s">
        <v>46</v>
      </c>
      <c r="V22" s="5">
        <v>22</v>
      </c>
      <c r="W22" s="5">
        <v>110.73</v>
      </c>
      <c r="X22" s="5">
        <v>100</v>
      </c>
      <c r="Y22" s="5">
        <v>24.36</v>
      </c>
      <c r="Z22" s="5">
        <v>0</v>
      </c>
      <c r="AA22" s="5">
        <v>0</v>
      </c>
      <c r="AB22" s="4" t="s">
        <v>137</v>
      </c>
      <c r="AC22" s="4" t="s">
        <v>46</v>
      </c>
      <c r="AD22" s="5">
        <v>0</v>
      </c>
      <c r="AE22" s="4" t="s">
        <v>138</v>
      </c>
      <c r="AF22" s="3">
        <v>45444</v>
      </c>
      <c r="AG22" s="4" t="s">
        <v>46</v>
      </c>
      <c r="AH22" s="4" t="s">
        <v>46</v>
      </c>
      <c r="AI22" s="4" t="s">
        <v>46</v>
      </c>
      <c r="AJ22" s="4" t="s">
        <v>46</v>
      </c>
      <c r="AK22" s="4" t="s">
        <v>46</v>
      </c>
      <c r="AL22" s="4" t="s">
        <v>46</v>
      </c>
      <c r="AM22" s="4" t="s">
        <v>46</v>
      </c>
      <c r="AN22" s="4" t="s">
        <v>46</v>
      </c>
      <c r="AO22" s="4" t="s">
        <v>46</v>
      </c>
      <c r="AP22" s="4" t="s">
        <v>46</v>
      </c>
    </row>
    <row r="23" spans="1:42" x14ac:dyDescent="0.2">
      <c r="A23" s="2">
        <v>1891456</v>
      </c>
      <c r="B23" s="3">
        <v>45889</v>
      </c>
      <c r="C23" s="4" t="s">
        <v>141</v>
      </c>
      <c r="D23" s="2">
        <v>1755893</v>
      </c>
      <c r="E23" s="4" t="s">
        <v>142</v>
      </c>
      <c r="F23" s="4" t="s">
        <v>143</v>
      </c>
      <c r="G23" s="4" t="s">
        <v>46</v>
      </c>
      <c r="H23" s="4" t="s">
        <v>46</v>
      </c>
      <c r="I23" s="4" t="s">
        <v>46</v>
      </c>
      <c r="J23" s="4" t="s">
        <v>115</v>
      </c>
      <c r="K23" s="4" t="s">
        <v>116</v>
      </c>
      <c r="L23" s="3">
        <v>45901</v>
      </c>
      <c r="M23" s="4" t="s">
        <v>49</v>
      </c>
      <c r="N23" s="4" t="s">
        <v>46</v>
      </c>
      <c r="O23" s="4" t="s">
        <v>50</v>
      </c>
      <c r="P23" s="4" t="s">
        <v>117</v>
      </c>
      <c r="Q23" s="2">
        <v>1</v>
      </c>
      <c r="R23" s="2">
        <v>60</v>
      </c>
      <c r="S23" s="4" t="s">
        <v>118</v>
      </c>
      <c r="T23" s="4" t="s">
        <v>46</v>
      </c>
      <c r="U23" s="4" t="s">
        <v>46</v>
      </c>
      <c r="V23" s="5">
        <v>10</v>
      </c>
      <c r="W23" s="5">
        <v>12.99</v>
      </c>
      <c r="X23" s="5">
        <v>100</v>
      </c>
      <c r="Y23" s="5">
        <v>1.3</v>
      </c>
      <c r="Z23" s="4" t="s">
        <v>46</v>
      </c>
      <c r="AA23" s="5" t="s">
        <v>46</v>
      </c>
      <c r="AB23" s="4" t="s">
        <v>144</v>
      </c>
      <c r="AC23" s="4" t="s">
        <v>46</v>
      </c>
      <c r="AD23" s="5">
        <v>0</v>
      </c>
      <c r="AE23" s="4" t="s">
        <v>145</v>
      </c>
      <c r="AF23" s="3">
        <v>45748</v>
      </c>
      <c r="AG23" s="4" t="s">
        <v>46</v>
      </c>
      <c r="AH23" s="4" t="s">
        <v>46</v>
      </c>
      <c r="AI23" s="4" t="s">
        <v>46</v>
      </c>
      <c r="AJ23" s="4" t="s">
        <v>46</v>
      </c>
      <c r="AK23" s="4" t="s">
        <v>46</v>
      </c>
      <c r="AL23" s="4" t="s">
        <v>46</v>
      </c>
      <c r="AM23" s="4" t="s">
        <v>46</v>
      </c>
      <c r="AN23" s="4" t="s">
        <v>46</v>
      </c>
      <c r="AO23" s="4" t="s">
        <v>46</v>
      </c>
      <c r="AP23" s="4" t="s">
        <v>46</v>
      </c>
    </row>
    <row r="24" spans="1:42" x14ac:dyDescent="0.2">
      <c r="A24" s="2">
        <v>1891456</v>
      </c>
      <c r="B24" s="3">
        <v>45889</v>
      </c>
      <c r="C24" s="4" t="s">
        <v>141</v>
      </c>
      <c r="D24" s="2">
        <v>1755893</v>
      </c>
      <c r="E24" s="4" t="s">
        <v>146</v>
      </c>
      <c r="F24" s="4" t="s">
        <v>147</v>
      </c>
      <c r="G24" s="4" t="s">
        <v>46</v>
      </c>
      <c r="H24" s="4" t="s">
        <v>46</v>
      </c>
      <c r="I24" s="4" t="s">
        <v>46</v>
      </c>
      <c r="J24" s="4" t="s">
        <v>115</v>
      </c>
      <c r="K24" s="4" t="s">
        <v>116</v>
      </c>
      <c r="L24" s="3">
        <v>45901</v>
      </c>
      <c r="M24" s="4" t="s">
        <v>49</v>
      </c>
      <c r="N24" s="4" t="s">
        <v>46</v>
      </c>
      <c r="O24" s="4" t="s">
        <v>50</v>
      </c>
      <c r="P24" s="4" t="s">
        <v>117</v>
      </c>
      <c r="Q24" s="2">
        <v>1</v>
      </c>
      <c r="R24" s="2">
        <v>60</v>
      </c>
      <c r="S24" s="4" t="s">
        <v>118</v>
      </c>
      <c r="T24" s="4" t="s">
        <v>46</v>
      </c>
      <c r="U24" s="4" t="s">
        <v>46</v>
      </c>
      <c r="V24" s="5">
        <v>10</v>
      </c>
      <c r="W24" s="5">
        <v>9.2200000000000006</v>
      </c>
      <c r="X24" s="5">
        <v>100</v>
      </c>
      <c r="Y24" s="5">
        <v>0.92</v>
      </c>
      <c r="Z24" s="4" t="s">
        <v>46</v>
      </c>
      <c r="AA24" s="5" t="s">
        <v>46</v>
      </c>
      <c r="AB24" s="4" t="s">
        <v>144</v>
      </c>
      <c r="AC24" s="4" t="s">
        <v>46</v>
      </c>
      <c r="AD24" s="5">
        <v>0</v>
      </c>
      <c r="AE24" s="4" t="s">
        <v>145</v>
      </c>
      <c r="AF24" s="3">
        <v>45879</v>
      </c>
      <c r="AG24" s="4" t="s">
        <v>46</v>
      </c>
      <c r="AH24" s="4" t="s">
        <v>46</v>
      </c>
      <c r="AI24" s="4" t="s">
        <v>46</v>
      </c>
      <c r="AJ24" s="4" t="s">
        <v>46</v>
      </c>
      <c r="AK24" s="4" t="s">
        <v>46</v>
      </c>
      <c r="AL24" s="4" t="s">
        <v>46</v>
      </c>
      <c r="AM24" s="4" t="s">
        <v>46</v>
      </c>
      <c r="AN24" s="4" t="s">
        <v>46</v>
      </c>
      <c r="AO24" s="4" t="s">
        <v>46</v>
      </c>
      <c r="AP24" s="4" t="s">
        <v>46</v>
      </c>
    </row>
    <row r="25" spans="1:42" x14ac:dyDescent="0.2">
      <c r="A25" s="2">
        <v>1891456</v>
      </c>
      <c r="B25" s="3">
        <v>45889</v>
      </c>
      <c r="C25" s="4" t="s">
        <v>148</v>
      </c>
      <c r="D25" s="2">
        <v>1773696</v>
      </c>
      <c r="E25" s="4" t="s">
        <v>149</v>
      </c>
      <c r="F25" s="4" t="s">
        <v>150</v>
      </c>
      <c r="G25" s="4" t="s">
        <v>46</v>
      </c>
      <c r="H25" s="4" t="s">
        <v>46</v>
      </c>
      <c r="I25" s="4" t="s">
        <v>46</v>
      </c>
      <c r="J25" s="4" t="s">
        <v>124</v>
      </c>
      <c r="K25" s="4" t="s">
        <v>125</v>
      </c>
      <c r="L25" s="3">
        <v>45839</v>
      </c>
      <c r="M25" s="4" t="s">
        <v>151</v>
      </c>
      <c r="N25" s="4" t="s">
        <v>46</v>
      </c>
      <c r="O25" s="4" t="s">
        <v>117</v>
      </c>
      <c r="P25" s="4" t="s">
        <v>117</v>
      </c>
      <c r="Q25" s="2">
        <v>28</v>
      </c>
      <c r="R25" s="2">
        <v>3</v>
      </c>
      <c r="S25" s="4" t="s">
        <v>126</v>
      </c>
      <c r="T25" s="4" t="s">
        <v>46</v>
      </c>
      <c r="U25" s="4" t="s">
        <v>46</v>
      </c>
      <c r="V25" s="5">
        <v>10</v>
      </c>
      <c r="W25" s="5">
        <v>-11.01</v>
      </c>
      <c r="X25" s="5">
        <v>100</v>
      </c>
      <c r="Y25" s="5">
        <v>-1.1000000000000001</v>
      </c>
      <c r="Z25" s="4" t="s">
        <v>46</v>
      </c>
      <c r="AA25" s="5" t="s">
        <v>46</v>
      </c>
      <c r="AB25" s="4" t="s">
        <v>152</v>
      </c>
      <c r="AC25" s="4" t="s">
        <v>46</v>
      </c>
      <c r="AD25" s="5">
        <v>0</v>
      </c>
      <c r="AE25" s="4" t="s">
        <v>153</v>
      </c>
      <c r="AF25" s="3">
        <v>45474</v>
      </c>
      <c r="AG25" s="4" t="s">
        <v>46</v>
      </c>
      <c r="AH25" s="4" t="s">
        <v>46</v>
      </c>
      <c r="AI25" s="4" t="s">
        <v>46</v>
      </c>
      <c r="AJ25" s="4" t="s">
        <v>46</v>
      </c>
      <c r="AK25" s="4" t="s">
        <v>46</v>
      </c>
      <c r="AL25" s="4" t="s">
        <v>46</v>
      </c>
      <c r="AM25" s="4" t="s">
        <v>46</v>
      </c>
      <c r="AN25" s="4" t="s">
        <v>46</v>
      </c>
      <c r="AO25" s="4" t="s">
        <v>46</v>
      </c>
      <c r="AP25" s="4" t="s">
        <v>46</v>
      </c>
    </row>
    <row r="26" spans="1:42" x14ac:dyDescent="0.2">
      <c r="A26" s="2">
        <v>1891456</v>
      </c>
      <c r="B26" s="3">
        <v>45889</v>
      </c>
      <c r="C26" s="4" t="s">
        <v>148</v>
      </c>
      <c r="D26" s="2">
        <v>1773696</v>
      </c>
      <c r="E26" s="4" t="s">
        <v>149</v>
      </c>
      <c r="F26" s="4" t="s">
        <v>150</v>
      </c>
      <c r="G26" s="4" t="s">
        <v>46</v>
      </c>
      <c r="H26" s="4" t="s">
        <v>46</v>
      </c>
      <c r="I26" s="4" t="s">
        <v>46</v>
      </c>
      <c r="J26" s="4" t="s">
        <v>124</v>
      </c>
      <c r="K26" s="4" t="s">
        <v>125</v>
      </c>
      <c r="L26" s="3">
        <v>45870</v>
      </c>
      <c r="M26" s="4" t="s">
        <v>109</v>
      </c>
      <c r="N26" s="4" t="s">
        <v>46</v>
      </c>
      <c r="O26" s="4" t="s">
        <v>117</v>
      </c>
      <c r="P26" s="4" t="s">
        <v>117</v>
      </c>
      <c r="Q26" s="2">
        <v>28</v>
      </c>
      <c r="R26" s="2">
        <v>3</v>
      </c>
      <c r="S26" s="4" t="s">
        <v>126</v>
      </c>
      <c r="T26" s="4" t="s">
        <v>46</v>
      </c>
      <c r="U26" s="4" t="s">
        <v>46</v>
      </c>
      <c r="V26" s="5">
        <v>10</v>
      </c>
      <c r="W26" s="5">
        <v>-11.01</v>
      </c>
      <c r="X26" s="5">
        <v>100</v>
      </c>
      <c r="Y26" s="5">
        <v>-1.1000000000000001</v>
      </c>
      <c r="Z26" s="4" t="s">
        <v>46</v>
      </c>
      <c r="AA26" s="5" t="s">
        <v>46</v>
      </c>
      <c r="AB26" s="4" t="s">
        <v>152</v>
      </c>
      <c r="AC26" s="4" t="s">
        <v>46</v>
      </c>
      <c r="AD26" s="5">
        <v>0</v>
      </c>
      <c r="AE26" s="4" t="s">
        <v>153</v>
      </c>
      <c r="AF26" s="3">
        <v>45474</v>
      </c>
      <c r="AG26" s="4" t="s">
        <v>46</v>
      </c>
      <c r="AH26" s="4" t="s">
        <v>46</v>
      </c>
      <c r="AI26" s="4" t="s">
        <v>46</v>
      </c>
      <c r="AJ26" s="4" t="s">
        <v>46</v>
      </c>
      <c r="AK26" s="4" t="s">
        <v>46</v>
      </c>
      <c r="AL26" s="4" t="s">
        <v>46</v>
      </c>
      <c r="AM26" s="4" t="s">
        <v>46</v>
      </c>
      <c r="AN26" s="4" t="s">
        <v>46</v>
      </c>
      <c r="AO26" s="4" t="s">
        <v>46</v>
      </c>
      <c r="AP26" s="4" t="s">
        <v>46</v>
      </c>
    </row>
    <row r="27" spans="1:42" x14ac:dyDescent="0.2">
      <c r="A27" s="2">
        <v>1891456</v>
      </c>
      <c r="B27" s="3">
        <v>45889</v>
      </c>
      <c r="C27" s="4" t="s">
        <v>148</v>
      </c>
      <c r="D27" s="2">
        <v>1773696</v>
      </c>
      <c r="E27" s="4" t="s">
        <v>149</v>
      </c>
      <c r="F27" s="4" t="s">
        <v>150</v>
      </c>
      <c r="G27" s="4" t="s">
        <v>46</v>
      </c>
      <c r="H27" s="4" t="s">
        <v>46</v>
      </c>
      <c r="I27" s="4" t="s">
        <v>46</v>
      </c>
      <c r="J27" s="4" t="s">
        <v>124</v>
      </c>
      <c r="K27" s="4" t="s">
        <v>125</v>
      </c>
      <c r="L27" s="3">
        <v>45809</v>
      </c>
      <c r="M27" s="4" t="s">
        <v>154</v>
      </c>
      <c r="N27" s="4" t="s">
        <v>46</v>
      </c>
      <c r="O27" s="4" t="s">
        <v>50</v>
      </c>
      <c r="P27" s="4" t="s">
        <v>117</v>
      </c>
      <c r="Q27" s="2">
        <v>48</v>
      </c>
      <c r="R27" s="2">
        <v>5</v>
      </c>
      <c r="S27" s="4" t="s">
        <v>155</v>
      </c>
      <c r="T27" s="4" t="s">
        <v>46</v>
      </c>
      <c r="U27" s="4" t="s">
        <v>46</v>
      </c>
      <c r="V27" s="5">
        <v>10</v>
      </c>
      <c r="W27" s="5">
        <v>-0.89</v>
      </c>
      <c r="X27" s="5">
        <v>100</v>
      </c>
      <c r="Y27" s="5">
        <v>-0.09</v>
      </c>
      <c r="Z27" s="4" t="s">
        <v>46</v>
      </c>
      <c r="AA27" s="5" t="s">
        <v>46</v>
      </c>
      <c r="AB27" s="4" t="s">
        <v>53</v>
      </c>
      <c r="AC27" s="4" t="s">
        <v>46</v>
      </c>
      <c r="AD27" s="5">
        <v>0</v>
      </c>
      <c r="AE27" s="4" t="s">
        <v>54</v>
      </c>
      <c r="AF27" s="3">
        <v>45474</v>
      </c>
      <c r="AG27" s="4" t="s">
        <v>46</v>
      </c>
      <c r="AH27" s="4" t="s">
        <v>46</v>
      </c>
      <c r="AI27" s="4" t="s">
        <v>46</v>
      </c>
      <c r="AJ27" s="4" t="s">
        <v>46</v>
      </c>
      <c r="AK27" s="4" t="s">
        <v>46</v>
      </c>
      <c r="AL27" s="4" t="s">
        <v>46</v>
      </c>
      <c r="AM27" s="4" t="s">
        <v>46</v>
      </c>
      <c r="AN27" s="4" t="s">
        <v>46</v>
      </c>
      <c r="AO27" s="4" t="s">
        <v>46</v>
      </c>
      <c r="AP27" s="4" t="s">
        <v>46</v>
      </c>
    </row>
    <row r="28" spans="1:42" x14ac:dyDescent="0.2">
      <c r="A28" s="2">
        <v>1891456</v>
      </c>
      <c r="B28" s="3">
        <v>45889</v>
      </c>
      <c r="C28" s="4" t="s">
        <v>148</v>
      </c>
      <c r="D28" s="2">
        <v>1773696</v>
      </c>
      <c r="E28" s="4" t="s">
        <v>149</v>
      </c>
      <c r="F28" s="4" t="s">
        <v>150</v>
      </c>
      <c r="G28" s="4" t="s">
        <v>46</v>
      </c>
      <c r="H28" s="4" t="s">
        <v>46</v>
      </c>
      <c r="I28" s="4" t="s">
        <v>46</v>
      </c>
      <c r="J28" s="4" t="s">
        <v>124</v>
      </c>
      <c r="K28" s="4" t="s">
        <v>125</v>
      </c>
      <c r="L28" s="3">
        <v>45839</v>
      </c>
      <c r="M28" s="4" t="s">
        <v>151</v>
      </c>
      <c r="N28" s="4" t="s">
        <v>46</v>
      </c>
      <c r="O28" s="4" t="s">
        <v>117</v>
      </c>
      <c r="P28" s="4" t="s">
        <v>117</v>
      </c>
      <c r="Q28" s="2">
        <v>48</v>
      </c>
      <c r="R28" s="2">
        <v>5</v>
      </c>
      <c r="S28" s="4" t="s">
        <v>155</v>
      </c>
      <c r="T28" s="4" t="s">
        <v>46</v>
      </c>
      <c r="U28" s="4" t="s">
        <v>46</v>
      </c>
      <c r="V28" s="5">
        <v>10</v>
      </c>
      <c r="W28" s="5">
        <v>-0.89</v>
      </c>
      <c r="X28" s="5">
        <v>100</v>
      </c>
      <c r="Y28" s="5">
        <v>-0.09</v>
      </c>
      <c r="Z28" s="4" t="s">
        <v>46</v>
      </c>
      <c r="AA28" s="5" t="s">
        <v>46</v>
      </c>
      <c r="AB28" s="4" t="s">
        <v>152</v>
      </c>
      <c r="AC28" s="4" t="s">
        <v>46</v>
      </c>
      <c r="AD28" s="5">
        <v>0</v>
      </c>
      <c r="AE28" s="4" t="s">
        <v>153</v>
      </c>
      <c r="AF28" s="3">
        <v>45474</v>
      </c>
      <c r="AG28" s="4" t="s">
        <v>46</v>
      </c>
      <c r="AH28" s="4" t="s">
        <v>46</v>
      </c>
      <c r="AI28" s="4" t="s">
        <v>46</v>
      </c>
      <c r="AJ28" s="4" t="s">
        <v>46</v>
      </c>
      <c r="AK28" s="4" t="s">
        <v>46</v>
      </c>
      <c r="AL28" s="4" t="s">
        <v>46</v>
      </c>
      <c r="AM28" s="4" t="s">
        <v>46</v>
      </c>
      <c r="AN28" s="4" t="s">
        <v>46</v>
      </c>
      <c r="AO28" s="4" t="s">
        <v>46</v>
      </c>
      <c r="AP28" s="4" t="s">
        <v>46</v>
      </c>
    </row>
    <row r="29" spans="1:42" x14ac:dyDescent="0.2">
      <c r="A29" s="2">
        <v>1891456</v>
      </c>
      <c r="B29" s="3">
        <v>45889</v>
      </c>
      <c r="C29" s="4" t="s">
        <v>148</v>
      </c>
      <c r="D29" s="2">
        <v>1773696</v>
      </c>
      <c r="E29" s="4" t="s">
        <v>149</v>
      </c>
      <c r="F29" s="4" t="s">
        <v>150</v>
      </c>
      <c r="G29" s="4" t="s">
        <v>46</v>
      </c>
      <c r="H29" s="4" t="s">
        <v>46</v>
      </c>
      <c r="I29" s="4" t="s">
        <v>46</v>
      </c>
      <c r="J29" s="4" t="s">
        <v>124</v>
      </c>
      <c r="K29" s="4" t="s">
        <v>125</v>
      </c>
      <c r="L29" s="3">
        <v>45870</v>
      </c>
      <c r="M29" s="4" t="s">
        <v>109</v>
      </c>
      <c r="N29" s="4" t="s">
        <v>46</v>
      </c>
      <c r="O29" s="4" t="s">
        <v>117</v>
      </c>
      <c r="P29" s="4" t="s">
        <v>117</v>
      </c>
      <c r="Q29" s="2">
        <v>48</v>
      </c>
      <c r="R29" s="2">
        <v>5</v>
      </c>
      <c r="S29" s="4" t="s">
        <v>155</v>
      </c>
      <c r="T29" s="4" t="s">
        <v>46</v>
      </c>
      <c r="U29" s="4" t="s">
        <v>46</v>
      </c>
      <c r="V29" s="5">
        <v>10</v>
      </c>
      <c r="W29" s="5">
        <v>-0.89</v>
      </c>
      <c r="X29" s="5">
        <v>100</v>
      </c>
      <c r="Y29" s="5">
        <v>-0.09</v>
      </c>
      <c r="Z29" s="4" t="s">
        <v>46</v>
      </c>
      <c r="AA29" s="5" t="s">
        <v>46</v>
      </c>
      <c r="AB29" s="4" t="s">
        <v>152</v>
      </c>
      <c r="AC29" s="4" t="s">
        <v>46</v>
      </c>
      <c r="AD29" s="5">
        <v>0</v>
      </c>
      <c r="AE29" s="4" t="s">
        <v>153</v>
      </c>
      <c r="AF29" s="3">
        <v>45474</v>
      </c>
      <c r="AG29" s="4" t="s">
        <v>46</v>
      </c>
      <c r="AH29" s="4" t="s">
        <v>46</v>
      </c>
      <c r="AI29" s="4" t="s">
        <v>46</v>
      </c>
      <c r="AJ29" s="4" t="s">
        <v>46</v>
      </c>
      <c r="AK29" s="4" t="s">
        <v>46</v>
      </c>
      <c r="AL29" s="4" t="s">
        <v>46</v>
      </c>
      <c r="AM29" s="4" t="s">
        <v>46</v>
      </c>
      <c r="AN29" s="4" t="s">
        <v>46</v>
      </c>
      <c r="AO29" s="4" t="s">
        <v>46</v>
      </c>
      <c r="AP29" s="4" t="s">
        <v>46</v>
      </c>
    </row>
    <row r="30" spans="1:42" x14ac:dyDescent="0.2">
      <c r="A30" s="2">
        <v>1891456</v>
      </c>
      <c r="B30" s="3">
        <v>45889</v>
      </c>
      <c r="C30" s="4" t="s">
        <v>148</v>
      </c>
      <c r="D30" s="2">
        <v>1773696</v>
      </c>
      <c r="E30" s="4" t="s">
        <v>149</v>
      </c>
      <c r="F30" s="4" t="s">
        <v>150</v>
      </c>
      <c r="G30" s="4" t="s">
        <v>46</v>
      </c>
      <c r="H30" s="4" t="s">
        <v>46</v>
      </c>
      <c r="I30" s="4" t="s">
        <v>46</v>
      </c>
      <c r="J30" s="4" t="s">
        <v>124</v>
      </c>
      <c r="K30" s="4" t="s">
        <v>125</v>
      </c>
      <c r="L30" s="3">
        <v>45809</v>
      </c>
      <c r="M30" s="4" t="s">
        <v>154</v>
      </c>
      <c r="N30" s="4" t="s">
        <v>46</v>
      </c>
      <c r="O30" s="4" t="s">
        <v>50</v>
      </c>
      <c r="P30" s="4" t="s">
        <v>117</v>
      </c>
      <c r="Q30" s="2">
        <v>48</v>
      </c>
      <c r="R30" s="2">
        <v>10</v>
      </c>
      <c r="S30" s="4" t="s">
        <v>156</v>
      </c>
      <c r="T30" s="4" t="s">
        <v>46</v>
      </c>
      <c r="U30" s="4" t="s">
        <v>46</v>
      </c>
      <c r="V30" s="5">
        <v>10</v>
      </c>
      <c r="W30" s="5">
        <v>-0.21</v>
      </c>
      <c r="X30" s="5">
        <v>100</v>
      </c>
      <c r="Y30" s="5">
        <v>-0.02</v>
      </c>
      <c r="Z30" s="4" t="s">
        <v>46</v>
      </c>
      <c r="AA30" s="5" t="s">
        <v>46</v>
      </c>
      <c r="AB30" s="4" t="s">
        <v>53</v>
      </c>
      <c r="AC30" s="4" t="s">
        <v>46</v>
      </c>
      <c r="AD30" s="5">
        <v>0</v>
      </c>
      <c r="AE30" s="4" t="s">
        <v>54</v>
      </c>
      <c r="AF30" s="3">
        <v>45474</v>
      </c>
      <c r="AG30" s="4" t="s">
        <v>46</v>
      </c>
      <c r="AH30" s="4" t="s">
        <v>46</v>
      </c>
      <c r="AI30" s="4" t="s">
        <v>46</v>
      </c>
      <c r="AJ30" s="4" t="s">
        <v>46</v>
      </c>
      <c r="AK30" s="4" t="s">
        <v>46</v>
      </c>
      <c r="AL30" s="4" t="s">
        <v>46</v>
      </c>
      <c r="AM30" s="4" t="s">
        <v>46</v>
      </c>
      <c r="AN30" s="4" t="s">
        <v>46</v>
      </c>
      <c r="AO30" s="4" t="s">
        <v>46</v>
      </c>
      <c r="AP30" s="4" t="s">
        <v>46</v>
      </c>
    </row>
    <row r="31" spans="1:42" x14ac:dyDescent="0.2">
      <c r="A31" s="2">
        <v>1891456</v>
      </c>
      <c r="B31" s="3">
        <v>45889</v>
      </c>
      <c r="C31" s="4" t="s">
        <v>148</v>
      </c>
      <c r="D31" s="2">
        <v>1773696</v>
      </c>
      <c r="E31" s="4" t="s">
        <v>149</v>
      </c>
      <c r="F31" s="4" t="s">
        <v>150</v>
      </c>
      <c r="G31" s="4" t="s">
        <v>46</v>
      </c>
      <c r="H31" s="4" t="s">
        <v>46</v>
      </c>
      <c r="I31" s="4" t="s">
        <v>46</v>
      </c>
      <c r="J31" s="4" t="s">
        <v>124</v>
      </c>
      <c r="K31" s="4" t="s">
        <v>125</v>
      </c>
      <c r="L31" s="3">
        <v>45839</v>
      </c>
      <c r="M31" s="4" t="s">
        <v>151</v>
      </c>
      <c r="N31" s="4" t="s">
        <v>46</v>
      </c>
      <c r="O31" s="4" t="s">
        <v>117</v>
      </c>
      <c r="P31" s="4" t="s">
        <v>117</v>
      </c>
      <c r="Q31" s="2">
        <v>48</v>
      </c>
      <c r="R31" s="2">
        <v>10</v>
      </c>
      <c r="S31" s="4" t="s">
        <v>156</v>
      </c>
      <c r="T31" s="4" t="s">
        <v>46</v>
      </c>
      <c r="U31" s="4" t="s">
        <v>46</v>
      </c>
      <c r="V31" s="5">
        <v>10</v>
      </c>
      <c r="W31" s="5">
        <v>-0.21</v>
      </c>
      <c r="X31" s="5">
        <v>100</v>
      </c>
      <c r="Y31" s="5">
        <v>-0.02</v>
      </c>
      <c r="Z31" s="4" t="s">
        <v>46</v>
      </c>
      <c r="AA31" s="5" t="s">
        <v>46</v>
      </c>
      <c r="AB31" s="4" t="s">
        <v>152</v>
      </c>
      <c r="AC31" s="4" t="s">
        <v>46</v>
      </c>
      <c r="AD31" s="5">
        <v>0</v>
      </c>
      <c r="AE31" s="4" t="s">
        <v>153</v>
      </c>
      <c r="AF31" s="3">
        <v>45474</v>
      </c>
      <c r="AG31" s="4" t="s">
        <v>46</v>
      </c>
      <c r="AH31" s="4" t="s">
        <v>46</v>
      </c>
      <c r="AI31" s="4" t="s">
        <v>46</v>
      </c>
      <c r="AJ31" s="4" t="s">
        <v>46</v>
      </c>
      <c r="AK31" s="4" t="s">
        <v>46</v>
      </c>
      <c r="AL31" s="4" t="s">
        <v>46</v>
      </c>
      <c r="AM31" s="4" t="s">
        <v>46</v>
      </c>
      <c r="AN31" s="4" t="s">
        <v>46</v>
      </c>
      <c r="AO31" s="4" t="s">
        <v>46</v>
      </c>
      <c r="AP31" s="4" t="s">
        <v>46</v>
      </c>
    </row>
    <row r="32" spans="1:42" x14ac:dyDescent="0.2">
      <c r="A32" s="2">
        <v>1891456</v>
      </c>
      <c r="B32" s="3">
        <v>45889</v>
      </c>
      <c r="C32" s="4" t="s">
        <v>148</v>
      </c>
      <c r="D32" s="2">
        <v>1773696</v>
      </c>
      <c r="E32" s="4" t="s">
        <v>149</v>
      </c>
      <c r="F32" s="4" t="s">
        <v>150</v>
      </c>
      <c r="G32" s="4" t="s">
        <v>46</v>
      </c>
      <c r="H32" s="4" t="s">
        <v>46</v>
      </c>
      <c r="I32" s="4" t="s">
        <v>46</v>
      </c>
      <c r="J32" s="4" t="s">
        <v>124</v>
      </c>
      <c r="K32" s="4" t="s">
        <v>125</v>
      </c>
      <c r="L32" s="3">
        <v>45870</v>
      </c>
      <c r="M32" s="4" t="s">
        <v>109</v>
      </c>
      <c r="N32" s="4" t="s">
        <v>46</v>
      </c>
      <c r="O32" s="4" t="s">
        <v>117</v>
      </c>
      <c r="P32" s="4" t="s">
        <v>117</v>
      </c>
      <c r="Q32" s="2">
        <v>48</v>
      </c>
      <c r="R32" s="2">
        <v>10</v>
      </c>
      <c r="S32" s="4" t="s">
        <v>156</v>
      </c>
      <c r="T32" s="4" t="s">
        <v>46</v>
      </c>
      <c r="U32" s="4" t="s">
        <v>46</v>
      </c>
      <c r="V32" s="5">
        <v>10</v>
      </c>
      <c r="W32" s="5">
        <v>-0.21</v>
      </c>
      <c r="X32" s="5">
        <v>100</v>
      </c>
      <c r="Y32" s="5">
        <v>-0.02</v>
      </c>
      <c r="Z32" s="4" t="s">
        <v>46</v>
      </c>
      <c r="AA32" s="5" t="s">
        <v>46</v>
      </c>
      <c r="AB32" s="4" t="s">
        <v>152</v>
      </c>
      <c r="AC32" s="4" t="s">
        <v>46</v>
      </c>
      <c r="AD32" s="5">
        <v>0</v>
      </c>
      <c r="AE32" s="4" t="s">
        <v>153</v>
      </c>
      <c r="AF32" s="3">
        <v>45474</v>
      </c>
      <c r="AG32" s="4" t="s">
        <v>46</v>
      </c>
      <c r="AH32" s="4" t="s">
        <v>46</v>
      </c>
      <c r="AI32" s="4" t="s">
        <v>46</v>
      </c>
      <c r="AJ32" s="4" t="s">
        <v>46</v>
      </c>
      <c r="AK32" s="4" t="s">
        <v>46</v>
      </c>
      <c r="AL32" s="4" t="s">
        <v>46</v>
      </c>
      <c r="AM32" s="4" t="s">
        <v>46</v>
      </c>
      <c r="AN32" s="4" t="s">
        <v>46</v>
      </c>
      <c r="AO32" s="4" t="s">
        <v>46</v>
      </c>
      <c r="AP32" s="4" t="s">
        <v>46</v>
      </c>
    </row>
    <row r="33" spans="1:42" x14ac:dyDescent="0.2">
      <c r="A33" s="2">
        <v>1891456</v>
      </c>
      <c r="B33" s="3">
        <v>45889</v>
      </c>
      <c r="C33" s="4" t="s">
        <v>148</v>
      </c>
      <c r="D33" s="2">
        <v>1773696</v>
      </c>
      <c r="E33" s="4" t="s">
        <v>149</v>
      </c>
      <c r="F33" s="4" t="s">
        <v>150</v>
      </c>
      <c r="G33" s="4" t="s">
        <v>46</v>
      </c>
      <c r="H33" s="4" t="s">
        <v>46</v>
      </c>
      <c r="I33" s="4" t="s">
        <v>46</v>
      </c>
      <c r="J33" s="4" t="s">
        <v>124</v>
      </c>
      <c r="K33" s="4" t="s">
        <v>125</v>
      </c>
      <c r="L33" s="3">
        <v>45839</v>
      </c>
      <c r="M33" s="4" t="s">
        <v>151</v>
      </c>
      <c r="N33" s="4" t="s">
        <v>46</v>
      </c>
      <c r="O33" s="4" t="s">
        <v>117</v>
      </c>
      <c r="P33" s="4" t="s">
        <v>117</v>
      </c>
      <c r="Q33" s="2">
        <v>30</v>
      </c>
      <c r="R33" s="2">
        <v>60</v>
      </c>
      <c r="S33" s="4" t="s">
        <v>118</v>
      </c>
      <c r="T33" s="4" t="s">
        <v>46</v>
      </c>
      <c r="U33" s="4" t="s">
        <v>46</v>
      </c>
      <c r="V33" s="5">
        <v>10</v>
      </c>
      <c r="W33" s="5">
        <v>-2.25</v>
      </c>
      <c r="X33" s="5">
        <v>100</v>
      </c>
      <c r="Y33" s="5">
        <v>-0.23</v>
      </c>
      <c r="Z33" s="4" t="s">
        <v>46</v>
      </c>
      <c r="AA33" s="5" t="s">
        <v>46</v>
      </c>
      <c r="AB33" s="4" t="s">
        <v>152</v>
      </c>
      <c r="AC33" s="4" t="s">
        <v>46</v>
      </c>
      <c r="AD33" s="5">
        <v>0</v>
      </c>
      <c r="AE33" s="4" t="s">
        <v>153</v>
      </c>
      <c r="AF33" s="3">
        <v>45474</v>
      </c>
      <c r="AG33" s="4" t="s">
        <v>46</v>
      </c>
      <c r="AH33" s="4" t="s">
        <v>46</v>
      </c>
      <c r="AI33" s="4" t="s">
        <v>46</v>
      </c>
      <c r="AJ33" s="4" t="s">
        <v>46</v>
      </c>
      <c r="AK33" s="4" t="s">
        <v>46</v>
      </c>
      <c r="AL33" s="4" t="s">
        <v>46</v>
      </c>
      <c r="AM33" s="4" t="s">
        <v>46</v>
      </c>
      <c r="AN33" s="4" t="s">
        <v>46</v>
      </c>
      <c r="AO33" s="4" t="s">
        <v>46</v>
      </c>
      <c r="AP33" s="4" t="s">
        <v>46</v>
      </c>
    </row>
    <row r="34" spans="1:42" x14ac:dyDescent="0.2">
      <c r="A34" s="2">
        <v>1891456</v>
      </c>
      <c r="B34" s="3">
        <v>45889</v>
      </c>
      <c r="C34" s="4" t="s">
        <v>148</v>
      </c>
      <c r="D34" s="2">
        <v>1773696</v>
      </c>
      <c r="E34" s="4" t="s">
        <v>149</v>
      </c>
      <c r="F34" s="4" t="s">
        <v>150</v>
      </c>
      <c r="G34" s="4" t="s">
        <v>46</v>
      </c>
      <c r="H34" s="4" t="s">
        <v>46</v>
      </c>
      <c r="I34" s="4" t="s">
        <v>46</v>
      </c>
      <c r="J34" s="4" t="s">
        <v>124</v>
      </c>
      <c r="K34" s="4" t="s">
        <v>125</v>
      </c>
      <c r="L34" s="3">
        <v>45870</v>
      </c>
      <c r="M34" s="4" t="s">
        <v>109</v>
      </c>
      <c r="N34" s="4" t="s">
        <v>46</v>
      </c>
      <c r="O34" s="4" t="s">
        <v>117</v>
      </c>
      <c r="P34" s="4" t="s">
        <v>117</v>
      </c>
      <c r="Q34" s="2">
        <v>30</v>
      </c>
      <c r="R34" s="2">
        <v>60</v>
      </c>
      <c r="S34" s="4" t="s">
        <v>118</v>
      </c>
      <c r="T34" s="4" t="s">
        <v>46</v>
      </c>
      <c r="U34" s="4" t="s">
        <v>46</v>
      </c>
      <c r="V34" s="5">
        <v>10</v>
      </c>
      <c r="W34" s="5">
        <v>-2.2599999999999998</v>
      </c>
      <c r="X34" s="5">
        <v>100</v>
      </c>
      <c r="Y34" s="5">
        <v>-0.23</v>
      </c>
      <c r="Z34" s="4" t="s">
        <v>46</v>
      </c>
      <c r="AA34" s="5" t="s">
        <v>46</v>
      </c>
      <c r="AB34" s="4" t="s">
        <v>152</v>
      </c>
      <c r="AC34" s="4" t="s">
        <v>46</v>
      </c>
      <c r="AD34" s="5">
        <v>0</v>
      </c>
      <c r="AE34" s="4" t="s">
        <v>153</v>
      </c>
      <c r="AF34" s="3">
        <v>45474</v>
      </c>
      <c r="AG34" s="4" t="s">
        <v>46</v>
      </c>
      <c r="AH34" s="4" t="s">
        <v>46</v>
      </c>
      <c r="AI34" s="4" t="s">
        <v>46</v>
      </c>
      <c r="AJ34" s="4" t="s">
        <v>46</v>
      </c>
      <c r="AK34" s="4" t="s">
        <v>46</v>
      </c>
      <c r="AL34" s="4" t="s">
        <v>46</v>
      </c>
      <c r="AM34" s="4" t="s">
        <v>46</v>
      </c>
      <c r="AN34" s="4" t="s">
        <v>46</v>
      </c>
      <c r="AO34" s="4" t="s">
        <v>46</v>
      </c>
      <c r="AP34" s="4" t="s">
        <v>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86B384-85C1-4B9C-9114-9F25F6C5CC18}">
  <dimension ref="A1:U34"/>
  <sheetViews>
    <sheetView tabSelected="1" topLeftCell="G1" workbookViewId="0">
      <selection activeCell="O2" sqref="O2:O34"/>
    </sheetView>
  </sheetViews>
  <sheetFormatPr defaultRowHeight="12.75" x14ac:dyDescent="0.2"/>
  <cols>
    <col min="1" max="1" width="24.7109375" style="7" bestFit="1" customWidth="1"/>
    <col min="2" max="2" width="12" style="7" customWidth="1"/>
    <col min="3" max="3" width="28.5703125" style="7" bestFit="1" customWidth="1"/>
    <col min="4" max="4" width="13.28515625" style="7" bestFit="1" customWidth="1"/>
    <col min="5" max="6" width="11.42578125" style="7" bestFit="1" customWidth="1"/>
    <col min="7" max="8" width="15.28515625" style="7" bestFit="1" customWidth="1"/>
    <col min="9" max="9" width="13.7109375" style="7" bestFit="1" customWidth="1"/>
    <col min="10" max="10" width="9.5703125" style="7" bestFit="1" customWidth="1"/>
    <col min="11" max="11" width="15.28515625" style="7" bestFit="1" customWidth="1"/>
    <col min="12" max="12" width="11.42578125" style="7" bestFit="1" customWidth="1"/>
    <col min="13" max="13" width="13.7109375" style="7" bestFit="1" customWidth="1"/>
    <col min="14" max="14" width="24.85546875" style="7" customWidth="1"/>
    <col min="15" max="15" width="21.5703125" style="7" bestFit="1" customWidth="1"/>
    <col min="16" max="16" width="9.140625" style="7"/>
    <col min="17" max="17" width="13.42578125" style="7" bestFit="1" customWidth="1"/>
    <col min="18" max="18" width="14.42578125" style="7" bestFit="1" customWidth="1"/>
    <col min="19" max="19" width="23.5703125" style="7" bestFit="1" customWidth="1"/>
    <col min="20" max="20" width="9.140625" style="7"/>
    <col min="21" max="21" width="31.28515625" style="7" bestFit="1" customWidth="1"/>
    <col min="22" max="16384" width="9.140625" style="7"/>
  </cols>
  <sheetData>
    <row r="1" spans="1:21" x14ac:dyDescent="0.2">
      <c r="A1" s="6" t="s">
        <v>2</v>
      </c>
      <c r="B1" s="6" t="s">
        <v>3</v>
      </c>
      <c r="C1" s="6" t="s">
        <v>4</v>
      </c>
      <c r="D1" s="6" t="s">
        <v>5</v>
      </c>
      <c r="E1" s="6" t="s">
        <v>11</v>
      </c>
      <c r="F1" s="6" t="s">
        <v>12</v>
      </c>
      <c r="G1" s="6" t="s">
        <v>18</v>
      </c>
      <c r="H1" s="6" t="s">
        <v>19</v>
      </c>
      <c r="I1" s="6" t="s">
        <v>21</v>
      </c>
      <c r="J1" s="6" t="s">
        <v>22</v>
      </c>
      <c r="K1" s="6" t="s">
        <v>24</v>
      </c>
      <c r="L1" s="6" t="s">
        <v>27</v>
      </c>
      <c r="M1" s="6" t="s">
        <v>31</v>
      </c>
    </row>
    <row r="2" spans="1:21" x14ac:dyDescent="0.2">
      <c r="A2" s="8" t="s">
        <v>80</v>
      </c>
      <c r="B2" s="9">
        <v>19396223</v>
      </c>
      <c r="C2" s="8" t="s">
        <v>84</v>
      </c>
      <c r="D2" s="8" t="s">
        <v>85</v>
      </c>
      <c r="E2" s="10">
        <v>45931</v>
      </c>
      <c r="F2" s="8" t="s">
        <v>68</v>
      </c>
      <c r="G2" s="8" t="s">
        <v>51</v>
      </c>
      <c r="H2" s="8" t="s">
        <v>52</v>
      </c>
      <c r="I2" s="11">
        <v>0.25</v>
      </c>
      <c r="J2" s="11">
        <v>0</v>
      </c>
      <c r="K2" s="11">
        <v>78.25</v>
      </c>
      <c r="L2" s="8" t="s">
        <v>53</v>
      </c>
      <c r="M2" s="10">
        <v>45931</v>
      </c>
      <c r="N2" s="7" t="s">
        <v>161</v>
      </c>
      <c r="O2" s="12" t="s">
        <v>165</v>
      </c>
      <c r="P2" s="7">
        <f>313/12*3</f>
        <v>78.25</v>
      </c>
      <c r="Q2" s="8" t="s">
        <v>85</v>
      </c>
      <c r="R2" s="7" t="str">
        <f>CONCATENATE(Q2,6)</f>
        <v>00023569747K6</v>
      </c>
      <c r="S2" s="8" t="s">
        <v>179</v>
      </c>
      <c r="T2" s="7" t="s">
        <v>180</v>
      </c>
      <c r="U2" s="7" t="str">
        <f>CONCATENATE(T2, " ",S2)</f>
        <v>MARIE SULLIVAN</v>
      </c>
    </row>
    <row r="3" spans="1:21" x14ac:dyDescent="0.2">
      <c r="A3" s="8" t="s">
        <v>80</v>
      </c>
      <c r="B3" s="9">
        <v>19396223</v>
      </c>
      <c r="C3" s="8" t="s">
        <v>81</v>
      </c>
      <c r="D3" s="8" t="s">
        <v>82</v>
      </c>
      <c r="E3" s="10">
        <v>45901</v>
      </c>
      <c r="F3" s="8" t="s">
        <v>49</v>
      </c>
      <c r="G3" s="8" t="s">
        <v>51</v>
      </c>
      <c r="H3" s="8" t="s">
        <v>52</v>
      </c>
      <c r="I3" s="11">
        <v>0.33</v>
      </c>
      <c r="J3" s="11">
        <v>0</v>
      </c>
      <c r="K3" s="11">
        <v>104.33</v>
      </c>
      <c r="L3" s="8" t="s">
        <v>53</v>
      </c>
      <c r="M3" s="10">
        <v>45901</v>
      </c>
      <c r="N3" s="7" t="s">
        <v>161</v>
      </c>
      <c r="O3" s="12" t="s">
        <v>164</v>
      </c>
      <c r="Q3" s="8" t="s">
        <v>82</v>
      </c>
      <c r="R3" s="7" t="str">
        <f>CONCATENATE(Q3,6)</f>
        <v>00023558545K6</v>
      </c>
      <c r="S3" s="8" t="s">
        <v>189</v>
      </c>
      <c r="T3" s="7" t="s">
        <v>190</v>
      </c>
      <c r="U3" s="7" t="str">
        <f>CONCATENATE(T3, " ",S3)</f>
        <v>AMANDA CARDIN</v>
      </c>
    </row>
    <row r="4" spans="1:21" x14ac:dyDescent="0.2">
      <c r="A4" s="8" t="s">
        <v>99</v>
      </c>
      <c r="B4" s="9">
        <v>19491313</v>
      </c>
      <c r="C4" s="8" t="s">
        <v>100</v>
      </c>
      <c r="D4" s="8" t="s">
        <v>101</v>
      </c>
      <c r="E4" s="10">
        <v>45931</v>
      </c>
      <c r="F4" s="8" t="s">
        <v>68</v>
      </c>
      <c r="G4" s="8" t="s">
        <v>51</v>
      </c>
      <c r="H4" s="8" t="s">
        <v>103</v>
      </c>
      <c r="I4" s="11">
        <v>0.25</v>
      </c>
      <c r="J4" s="11">
        <v>0</v>
      </c>
      <c r="K4" s="11">
        <v>13.75</v>
      </c>
      <c r="L4" s="8" t="s">
        <v>53</v>
      </c>
      <c r="M4" s="10">
        <v>45931</v>
      </c>
      <c r="N4" s="7" t="s">
        <v>163</v>
      </c>
      <c r="Q4" s="8" t="s">
        <v>101</v>
      </c>
      <c r="R4" s="7" t="str">
        <f>CONCATENATE(Q4,9)</f>
        <v>00023562559K9</v>
      </c>
      <c r="S4" s="8" t="s">
        <v>177</v>
      </c>
      <c r="T4" s="7" t="s">
        <v>178</v>
      </c>
      <c r="U4" s="7" t="str">
        <f>CONCATENATE(T4, " ",S4)</f>
        <v>JACQUELYN ALVIS</v>
      </c>
    </row>
    <row r="5" spans="1:21" x14ac:dyDescent="0.2">
      <c r="A5" s="8" t="s">
        <v>42</v>
      </c>
      <c r="B5" s="9">
        <v>7470776</v>
      </c>
      <c r="C5" s="8" t="s">
        <v>43</v>
      </c>
      <c r="D5" s="8" t="s">
        <v>44</v>
      </c>
      <c r="E5" s="10">
        <v>45901</v>
      </c>
      <c r="F5" s="8" t="s">
        <v>49</v>
      </c>
      <c r="G5" s="8" t="s">
        <v>51</v>
      </c>
      <c r="H5" s="8" t="s">
        <v>52</v>
      </c>
      <c r="I5" s="11">
        <v>0.33</v>
      </c>
      <c r="J5" s="11">
        <v>0</v>
      </c>
      <c r="K5" s="11">
        <v>104.33</v>
      </c>
      <c r="L5" s="8" t="s">
        <v>53</v>
      </c>
      <c r="M5" s="10">
        <v>45901</v>
      </c>
      <c r="N5" s="7" t="s">
        <v>161</v>
      </c>
      <c r="O5" s="12" t="s">
        <v>164</v>
      </c>
      <c r="P5" s="7">
        <f>313/12*4</f>
        <v>104.33333333333333</v>
      </c>
      <c r="Q5" s="8" t="s">
        <v>44</v>
      </c>
      <c r="R5" s="7" t="str">
        <f>CONCATENATE(Q5,6)</f>
        <v>00023568607K6</v>
      </c>
      <c r="S5" s="8" t="s">
        <v>183</v>
      </c>
      <c r="T5" s="7" t="s">
        <v>184</v>
      </c>
      <c r="U5" s="7" t="str">
        <f>CONCATENATE(T5, " ",S5)</f>
        <v>LAURA BLASCO</v>
      </c>
    </row>
    <row r="6" spans="1:21" x14ac:dyDescent="0.2">
      <c r="A6" s="8" t="s">
        <v>60</v>
      </c>
      <c r="B6" s="9">
        <v>1706194</v>
      </c>
      <c r="C6" s="8" t="s">
        <v>61</v>
      </c>
      <c r="D6" s="8" t="s">
        <v>62</v>
      </c>
      <c r="E6" s="10">
        <v>45901</v>
      </c>
      <c r="F6" s="8" t="s">
        <v>49</v>
      </c>
      <c r="G6" s="8" t="s">
        <v>51</v>
      </c>
      <c r="H6" s="8" t="s">
        <v>52</v>
      </c>
      <c r="I6" s="11">
        <v>-0.33</v>
      </c>
      <c r="J6" s="11">
        <v>0</v>
      </c>
      <c r="K6" s="11">
        <v>-104.33</v>
      </c>
      <c r="L6" s="8" t="s">
        <v>53</v>
      </c>
      <c r="M6" s="10">
        <v>45901</v>
      </c>
      <c r="N6" s="7" t="s">
        <v>161</v>
      </c>
      <c r="O6" s="12" t="s">
        <v>164</v>
      </c>
      <c r="Q6" s="8" t="s">
        <v>62</v>
      </c>
      <c r="R6" s="7" t="str">
        <f>CONCATENATE(Q6,6)</f>
        <v>00023554173K6</v>
      </c>
      <c r="S6" s="8" t="s">
        <v>171</v>
      </c>
      <c r="T6" s="7" t="s">
        <v>172</v>
      </c>
      <c r="U6" s="7" t="str">
        <f>CONCATENATE(T6, " ",S6)</f>
        <v>MARILYN TIBALDI</v>
      </c>
    </row>
    <row r="7" spans="1:21" x14ac:dyDescent="0.2">
      <c r="A7" s="8" t="s">
        <v>56</v>
      </c>
      <c r="B7" s="9">
        <v>8244481</v>
      </c>
      <c r="C7" s="8" t="s">
        <v>57</v>
      </c>
      <c r="D7" s="8" t="s">
        <v>58</v>
      </c>
      <c r="E7" s="10">
        <v>45901</v>
      </c>
      <c r="F7" s="8" t="s">
        <v>49</v>
      </c>
      <c r="G7" s="8" t="s">
        <v>51</v>
      </c>
      <c r="H7" s="8" t="s">
        <v>52</v>
      </c>
      <c r="I7" s="11">
        <v>0.33</v>
      </c>
      <c r="J7" s="11">
        <v>0</v>
      </c>
      <c r="K7" s="11">
        <v>104.33</v>
      </c>
      <c r="L7" s="8" t="s">
        <v>53</v>
      </c>
      <c r="M7" s="10">
        <v>45901</v>
      </c>
      <c r="N7" s="7" t="s">
        <v>161</v>
      </c>
      <c r="O7" s="12" t="s">
        <v>164</v>
      </c>
      <c r="Q7" s="8" t="s">
        <v>58</v>
      </c>
      <c r="R7" s="7" t="str">
        <f>CONCATENATE(Q7,6)</f>
        <v>00023560633K6</v>
      </c>
      <c r="S7" s="8" t="s">
        <v>185</v>
      </c>
      <c r="T7" s="7" t="s">
        <v>186</v>
      </c>
      <c r="U7" s="7" t="str">
        <f>CONCATENATE(T7, " ",S7)</f>
        <v>ALICE BROWNING</v>
      </c>
    </row>
    <row r="8" spans="1:21" x14ac:dyDescent="0.2">
      <c r="A8" s="8" t="s">
        <v>56</v>
      </c>
      <c r="B8" s="9">
        <v>8244481</v>
      </c>
      <c r="C8" s="8" t="s">
        <v>113</v>
      </c>
      <c r="D8" s="13">
        <v>9028205190</v>
      </c>
      <c r="E8" s="10">
        <v>45901</v>
      </c>
      <c r="F8" s="8" t="s">
        <v>49</v>
      </c>
      <c r="G8" s="8" t="s">
        <v>118</v>
      </c>
      <c r="H8" s="8" t="s">
        <v>46</v>
      </c>
      <c r="I8" s="11">
        <v>10</v>
      </c>
      <c r="J8" s="11">
        <v>26.88</v>
      </c>
      <c r="K8" s="11">
        <v>2.69</v>
      </c>
      <c r="L8" s="8" t="s">
        <v>119</v>
      </c>
      <c r="M8" s="10">
        <v>45276</v>
      </c>
      <c r="N8" s="7" t="s">
        <v>158</v>
      </c>
      <c r="Q8" s="13">
        <v>9028205190</v>
      </c>
      <c r="R8" s="7" t="str">
        <f>CONCATENATE(Q8,4)</f>
        <v>90282051904</v>
      </c>
      <c r="S8" s="8" t="s">
        <v>192</v>
      </c>
      <c r="T8" s="7" t="s">
        <v>193</v>
      </c>
      <c r="U8" s="7" t="str">
        <f>CONCATENATE(T8, " ",S8)</f>
        <v>Joseph Elliott</v>
      </c>
    </row>
    <row r="9" spans="1:21" x14ac:dyDescent="0.2">
      <c r="A9" s="8" t="s">
        <v>95</v>
      </c>
      <c r="B9" s="9">
        <v>18828278</v>
      </c>
      <c r="C9" s="8" t="s">
        <v>96</v>
      </c>
      <c r="D9" s="8" t="s">
        <v>97</v>
      </c>
      <c r="E9" s="10">
        <v>45658</v>
      </c>
      <c r="F9" s="8" t="s">
        <v>74</v>
      </c>
      <c r="G9" s="8" t="s">
        <v>51</v>
      </c>
      <c r="H9" s="8" t="s">
        <v>52</v>
      </c>
      <c r="I9" s="11">
        <v>-0.33</v>
      </c>
      <c r="J9" s="11">
        <v>0</v>
      </c>
      <c r="K9" s="11">
        <v>-104.33</v>
      </c>
      <c r="L9" s="8" t="s">
        <v>53</v>
      </c>
      <c r="M9" s="10">
        <v>45658</v>
      </c>
      <c r="N9" s="7" t="s">
        <v>161</v>
      </c>
      <c r="O9" s="12" t="s">
        <v>164</v>
      </c>
      <c r="Q9" s="8" t="s">
        <v>97</v>
      </c>
      <c r="R9" s="7" t="str">
        <f>CONCATENATE(Q9,6)</f>
        <v>00018964500K6</v>
      </c>
      <c r="S9" s="8" t="s">
        <v>175</v>
      </c>
      <c r="T9" s="7" t="s">
        <v>176</v>
      </c>
      <c r="U9" s="7" t="str">
        <f>CONCATENATE(T9, " ",S9)</f>
        <v>SUSAN JACKSON</v>
      </c>
    </row>
    <row r="10" spans="1:21" x14ac:dyDescent="0.2">
      <c r="A10" s="8" t="s">
        <v>64</v>
      </c>
      <c r="B10" s="9">
        <v>17425766</v>
      </c>
      <c r="C10" s="8" t="s">
        <v>65</v>
      </c>
      <c r="D10" s="8" t="s">
        <v>66</v>
      </c>
      <c r="E10" s="10">
        <v>45931</v>
      </c>
      <c r="F10" s="8" t="s">
        <v>68</v>
      </c>
      <c r="G10" s="8" t="s">
        <v>51</v>
      </c>
      <c r="H10" s="8" t="s">
        <v>52</v>
      </c>
      <c r="I10" s="11">
        <v>0.25</v>
      </c>
      <c r="J10" s="11">
        <v>0</v>
      </c>
      <c r="K10" s="11">
        <v>88.25</v>
      </c>
      <c r="L10" s="8" t="s">
        <v>53</v>
      </c>
      <c r="M10" s="10">
        <v>45931</v>
      </c>
      <c r="N10" s="7" t="s">
        <v>162</v>
      </c>
      <c r="O10" s="12" t="s">
        <v>166</v>
      </c>
      <c r="P10" s="7">
        <f>353/12*3</f>
        <v>88.25</v>
      </c>
      <c r="Q10" s="8" t="s">
        <v>66</v>
      </c>
      <c r="R10" s="7" t="str">
        <f>CONCATENATE(Q10,6)</f>
        <v>00023566647K6</v>
      </c>
      <c r="S10" s="8" t="s">
        <v>181</v>
      </c>
      <c r="T10" s="7" t="s">
        <v>182</v>
      </c>
      <c r="U10" s="7" t="str">
        <f>CONCATENATE(T10, " ",S10)</f>
        <v>BARBARA PHELAN</v>
      </c>
    </row>
    <row r="11" spans="1:21" x14ac:dyDescent="0.2">
      <c r="A11" s="8" t="s">
        <v>130</v>
      </c>
      <c r="B11" s="9">
        <v>15278437</v>
      </c>
      <c r="C11" s="8" t="s">
        <v>131</v>
      </c>
      <c r="D11" s="13">
        <v>654656220</v>
      </c>
      <c r="E11" s="10">
        <v>45901</v>
      </c>
      <c r="F11" s="8" t="s">
        <v>49</v>
      </c>
      <c r="G11" s="8" t="s">
        <v>118</v>
      </c>
      <c r="H11" s="8" t="s">
        <v>46</v>
      </c>
      <c r="I11" s="11">
        <v>10</v>
      </c>
      <c r="J11" s="11">
        <v>12.99</v>
      </c>
      <c r="K11" s="11">
        <v>1.3</v>
      </c>
      <c r="L11" s="8" t="s">
        <v>119</v>
      </c>
      <c r="M11" s="10">
        <v>45371</v>
      </c>
      <c r="N11" s="7" t="s">
        <v>158</v>
      </c>
      <c r="Q11" s="13">
        <v>654656220</v>
      </c>
      <c r="R11" s="7" t="str">
        <f>CONCATENATE(Q11,4)</f>
        <v>6546562204</v>
      </c>
      <c r="S11" s="8" t="s">
        <v>198</v>
      </c>
      <c r="T11" s="7" t="s">
        <v>199</v>
      </c>
      <c r="U11" s="7" t="str">
        <f>CONCATENATE(T11, " ",S11)</f>
        <v>Elliot Gerber</v>
      </c>
    </row>
    <row r="12" spans="1:21" x14ac:dyDescent="0.2">
      <c r="A12" s="8" t="s">
        <v>127</v>
      </c>
      <c r="B12" s="9">
        <v>7146581</v>
      </c>
      <c r="C12" s="8" t="s">
        <v>128</v>
      </c>
      <c r="D12" s="13">
        <v>9007596540</v>
      </c>
      <c r="E12" s="10">
        <v>45901</v>
      </c>
      <c r="F12" s="8" t="s">
        <v>49</v>
      </c>
      <c r="G12" s="8" t="s">
        <v>126</v>
      </c>
      <c r="H12" s="8" t="s">
        <v>46</v>
      </c>
      <c r="I12" s="11">
        <v>10</v>
      </c>
      <c r="J12" s="11">
        <v>43.09</v>
      </c>
      <c r="K12" s="11">
        <v>4.3099999999999996</v>
      </c>
      <c r="L12" s="8" t="s">
        <v>119</v>
      </c>
      <c r="M12" s="10">
        <v>40969</v>
      </c>
      <c r="N12" s="7" t="s">
        <v>158</v>
      </c>
      <c r="Q12" s="13">
        <v>9007596540</v>
      </c>
      <c r="R12" s="7" t="str">
        <f>CONCATENATE(Q12,4)</f>
        <v>90075965404</v>
      </c>
      <c r="S12" s="8" t="s">
        <v>196</v>
      </c>
      <c r="T12" s="7" t="s">
        <v>197</v>
      </c>
      <c r="U12" s="7" t="str">
        <f>CONCATENATE(T12, " ",S12)</f>
        <v>Jerry Grychowski</v>
      </c>
    </row>
    <row r="13" spans="1:21" x14ac:dyDescent="0.2">
      <c r="A13" s="8" t="s">
        <v>133</v>
      </c>
      <c r="B13" s="9">
        <v>17528908</v>
      </c>
      <c r="C13" s="8" t="s">
        <v>134</v>
      </c>
      <c r="D13" s="8" t="s">
        <v>135</v>
      </c>
      <c r="E13" s="10">
        <v>45901</v>
      </c>
      <c r="F13" s="8" t="s">
        <v>49</v>
      </c>
      <c r="G13" s="8" t="s">
        <v>51</v>
      </c>
      <c r="H13" s="8" t="s">
        <v>46</v>
      </c>
      <c r="I13" s="11">
        <v>26</v>
      </c>
      <c r="J13" s="11">
        <v>307</v>
      </c>
      <c r="K13" s="11">
        <v>79.819999999999993</v>
      </c>
      <c r="L13" s="8" t="s">
        <v>137</v>
      </c>
      <c r="M13" s="10">
        <v>45292</v>
      </c>
      <c r="N13" s="7" t="s">
        <v>160</v>
      </c>
      <c r="Q13" s="8" t="s">
        <v>135</v>
      </c>
      <c r="R13" s="7" t="str">
        <f>CONCATENATE(Q13,8)</f>
        <v>00000789641A8</v>
      </c>
      <c r="S13" s="8" t="s">
        <v>200</v>
      </c>
      <c r="T13" s="7" t="s">
        <v>201</v>
      </c>
      <c r="U13" s="7" t="str">
        <f>CONCATENATE(T13, " ",S13)</f>
        <v>DAVID SCHUBERT</v>
      </c>
    </row>
    <row r="14" spans="1:21" x14ac:dyDescent="0.2">
      <c r="A14" s="8" t="s">
        <v>133</v>
      </c>
      <c r="B14" s="9">
        <v>17528908</v>
      </c>
      <c r="C14" s="8" t="s">
        <v>139</v>
      </c>
      <c r="D14" s="8" t="s">
        <v>140</v>
      </c>
      <c r="E14" s="10">
        <v>45901</v>
      </c>
      <c r="F14" s="8" t="s">
        <v>49</v>
      </c>
      <c r="G14" s="8" t="s">
        <v>51</v>
      </c>
      <c r="H14" s="8" t="s">
        <v>46</v>
      </c>
      <c r="I14" s="11">
        <v>22</v>
      </c>
      <c r="J14" s="11">
        <v>110.73</v>
      </c>
      <c r="K14" s="11">
        <v>24.36</v>
      </c>
      <c r="L14" s="8" t="s">
        <v>137</v>
      </c>
      <c r="M14" s="10">
        <v>45444</v>
      </c>
      <c r="N14" s="7" t="s">
        <v>159</v>
      </c>
      <c r="Q14" s="8" t="s">
        <v>140</v>
      </c>
      <c r="R14" s="7" t="str">
        <f>CONCATENATE(Q14,8)</f>
        <v>00000828881A8</v>
      </c>
      <c r="S14" s="8" t="s">
        <v>202</v>
      </c>
      <c r="T14" s="7" t="s">
        <v>203</v>
      </c>
      <c r="U14" s="7" t="str">
        <f>CONCATENATE(T14, " ",S14)</f>
        <v>KAREN CARDOSI</v>
      </c>
    </row>
    <row r="15" spans="1:21" x14ac:dyDescent="0.2">
      <c r="A15" s="8" t="s">
        <v>141</v>
      </c>
      <c r="B15" s="14" t="s">
        <v>208</v>
      </c>
      <c r="C15" s="8" t="s">
        <v>142</v>
      </c>
      <c r="D15" s="13">
        <v>9030250530</v>
      </c>
      <c r="E15" s="10">
        <v>45901</v>
      </c>
      <c r="F15" s="8" t="s">
        <v>49</v>
      </c>
      <c r="G15" s="8" t="s">
        <v>118</v>
      </c>
      <c r="H15" s="8" t="s">
        <v>46</v>
      </c>
      <c r="I15" s="11">
        <v>10</v>
      </c>
      <c r="J15" s="11">
        <v>12.99</v>
      </c>
      <c r="K15" s="11">
        <v>1.3</v>
      </c>
      <c r="L15" s="8" t="s">
        <v>144</v>
      </c>
      <c r="M15" s="10">
        <v>45748</v>
      </c>
      <c r="N15" s="7" t="s">
        <v>158</v>
      </c>
      <c r="Q15" s="13">
        <v>9030250530</v>
      </c>
      <c r="R15" s="7" t="str">
        <f>CONCATENATE(Q15,4)</f>
        <v>90302505304</v>
      </c>
      <c r="S15" s="8" t="s">
        <v>204</v>
      </c>
      <c r="T15" s="7" t="s">
        <v>205</v>
      </c>
      <c r="U15" s="7" t="str">
        <f>CONCATENATE(T15, " ",S15)</f>
        <v>Kayla Miller</v>
      </c>
    </row>
    <row r="16" spans="1:21" x14ac:dyDescent="0.2">
      <c r="A16" s="8" t="s">
        <v>141</v>
      </c>
      <c r="B16" s="14" t="s">
        <v>208</v>
      </c>
      <c r="C16" s="8" t="s">
        <v>146</v>
      </c>
      <c r="D16" s="13">
        <v>9030969870</v>
      </c>
      <c r="E16" s="10">
        <v>45901</v>
      </c>
      <c r="F16" s="8" t="s">
        <v>49</v>
      </c>
      <c r="G16" s="8" t="s">
        <v>118</v>
      </c>
      <c r="H16" s="8" t="s">
        <v>46</v>
      </c>
      <c r="I16" s="11">
        <v>10</v>
      </c>
      <c r="J16" s="11">
        <v>9.2200000000000006</v>
      </c>
      <c r="K16" s="11">
        <v>0.92</v>
      </c>
      <c r="L16" s="8" t="s">
        <v>144</v>
      </c>
      <c r="M16" s="10">
        <v>45879</v>
      </c>
      <c r="N16" s="7" t="s">
        <v>158</v>
      </c>
      <c r="Q16" s="13">
        <v>9030969870</v>
      </c>
      <c r="R16" s="7" t="str">
        <f>CONCATENATE(Q16,4)</f>
        <v>90309698704</v>
      </c>
      <c r="S16" s="8" t="s">
        <v>206</v>
      </c>
      <c r="T16" s="7" t="s">
        <v>207</v>
      </c>
      <c r="U16" s="7" t="str">
        <f>CONCATENATE(T16, " ",S16)</f>
        <v>Jeffrey Monk</v>
      </c>
    </row>
    <row r="17" spans="1:21" x14ac:dyDescent="0.2">
      <c r="A17" s="8" t="s">
        <v>70</v>
      </c>
      <c r="B17" s="9">
        <v>9213293</v>
      </c>
      <c r="C17" s="8" t="s">
        <v>71</v>
      </c>
      <c r="D17" s="8" t="s">
        <v>72</v>
      </c>
      <c r="E17" s="10">
        <v>45658</v>
      </c>
      <c r="F17" s="8" t="s">
        <v>74</v>
      </c>
      <c r="G17" s="8" t="s">
        <v>51</v>
      </c>
      <c r="H17" s="8" t="s">
        <v>52</v>
      </c>
      <c r="I17" s="11">
        <v>-0.33</v>
      </c>
      <c r="J17" s="11">
        <v>0</v>
      </c>
      <c r="K17" s="11">
        <v>-104.33</v>
      </c>
      <c r="L17" s="8" t="s">
        <v>53</v>
      </c>
      <c r="M17" s="10">
        <v>45658</v>
      </c>
      <c r="N17" s="7" t="s">
        <v>161</v>
      </c>
      <c r="O17" s="12" t="s">
        <v>164</v>
      </c>
      <c r="Q17" s="8" t="s">
        <v>72</v>
      </c>
      <c r="R17" s="7" t="str">
        <f>CONCATENATE(Q17,6)</f>
        <v>00012290150K6</v>
      </c>
      <c r="S17" s="8" t="s">
        <v>173</v>
      </c>
      <c r="T17" s="7" t="s">
        <v>174</v>
      </c>
      <c r="U17" s="7" t="str">
        <f>CONCATENATE(T17, " ",S17)</f>
        <v>VICKY DOWNS</v>
      </c>
    </row>
    <row r="18" spans="1:21" x14ac:dyDescent="0.2">
      <c r="A18" s="8" t="s">
        <v>70</v>
      </c>
      <c r="B18" s="9">
        <v>9213293</v>
      </c>
      <c r="C18" s="8" t="s">
        <v>75</v>
      </c>
      <c r="D18" s="8" t="s">
        <v>76</v>
      </c>
      <c r="E18" s="10">
        <v>45901</v>
      </c>
      <c r="F18" s="8" t="s">
        <v>49</v>
      </c>
      <c r="G18" s="8" t="s">
        <v>51</v>
      </c>
      <c r="H18" s="8" t="s">
        <v>78</v>
      </c>
      <c r="I18" s="11">
        <v>0.33</v>
      </c>
      <c r="J18" s="11">
        <v>0</v>
      </c>
      <c r="K18" s="11">
        <v>104.33</v>
      </c>
      <c r="L18" s="8" t="s">
        <v>53</v>
      </c>
      <c r="M18" s="10">
        <v>45901</v>
      </c>
      <c r="N18" s="7" t="s">
        <v>161</v>
      </c>
      <c r="O18" s="12" t="s">
        <v>164</v>
      </c>
      <c r="Q18" s="8" t="s">
        <v>76</v>
      </c>
      <c r="R18" s="7" t="str">
        <f>CONCATENATE(Q18,6)</f>
        <v>00017393926K6</v>
      </c>
      <c r="S18" s="8" t="s">
        <v>187</v>
      </c>
      <c r="T18" s="7" t="s">
        <v>188</v>
      </c>
      <c r="U18" s="7" t="str">
        <f>CONCATENATE(T18, " ",S18)</f>
        <v>ANANDMURTHI SWAMI</v>
      </c>
    </row>
    <row r="19" spans="1:21" x14ac:dyDescent="0.2">
      <c r="A19" s="8" t="s">
        <v>87</v>
      </c>
      <c r="B19" s="9">
        <v>19586992</v>
      </c>
      <c r="C19" s="8" t="s">
        <v>88</v>
      </c>
      <c r="D19" s="8" t="s">
        <v>89</v>
      </c>
      <c r="E19" s="10">
        <v>45658</v>
      </c>
      <c r="F19" s="8" t="s">
        <v>74</v>
      </c>
      <c r="G19" s="8" t="s">
        <v>51</v>
      </c>
      <c r="H19" s="8" t="s">
        <v>91</v>
      </c>
      <c r="I19" s="11">
        <v>0</v>
      </c>
      <c r="J19" s="11">
        <v>0</v>
      </c>
      <c r="K19" s="11">
        <v>-104.34</v>
      </c>
      <c r="L19" s="8" t="s">
        <v>92</v>
      </c>
      <c r="M19" s="10">
        <v>45658</v>
      </c>
      <c r="N19" s="7" t="s">
        <v>161</v>
      </c>
      <c r="O19" s="12" t="s">
        <v>164</v>
      </c>
      <c r="Q19" s="8" t="s">
        <v>89</v>
      </c>
      <c r="R19" s="7" t="str">
        <f>CONCATENATE(Q19,6)</f>
        <v>00022915115K6</v>
      </c>
      <c r="S19" s="8" t="s">
        <v>167</v>
      </c>
      <c r="T19" s="7" t="s">
        <v>168</v>
      </c>
      <c r="U19" s="7" t="str">
        <f>CONCATENATE(T19, " ",S19)</f>
        <v>LAYTH SAGMAN</v>
      </c>
    </row>
    <row r="20" spans="1:21" x14ac:dyDescent="0.2">
      <c r="A20" s="8" t="s">
        <v>87</v>
      </c>
      <c r="B20" s="9">
        <v>19586992</v>
      </c>
      <c r="C20" s="8" t="s">
        <v>88</v>
      </c>
      <c r="D20" s="8" t="s">
        <v>89</v>
      </c>
      <c r="E20" s="10">
        <v>45658</v>
      </c>
      <c r="F20" s="8" t="s">
        <v>74</v>
      </c>
      <c r="G20" s="8" t="s">
        <v>51</v>
      </c>
      <c r="H20" s="8" t="s">
        <v>91</v>
      </c>
      <c r="I20" s="11">
        <v>-0.33</v>
      </c>
      <c r="J20" s="11">
        <v>0</v>
      </c>
      <c r="K20" s="11">
        <v>-104.33</v>
      </c>
      <c r="L20" s="8" t="s">
        <v>53</v>
      </c>
      <c r="M20" s="10">
        <v>45658</v>
      </c>
      <c r="N20" s="7" t="s">
        <v>161</v>
      </c>
      <c r="O20" s="12" t="s">
        <v>164</v>
      </c>
      <c r="Q20" s="8" t="s">
        <v>89</v>
      </c>
      <c r="R20" s="7" t="str">
        <f>CONCATENATE(Q20,6)</f>
        <v>00022915115K6</v>
      </c>
      <c r="S20" s="8" t="s">
        <v>167</v>
      </c>
      <c r="T20" s="7" t="s">
        <v>168</v>
      </c>
      <c r="U20" s="7" t="str">
        <f>CONCATENATE(T20, " ",S20)</f>
        <v>LAYTH SAGMAN</v>
      </c>
    </row>
    <row r="21" spans="1:21" x14ac:dyDescent="0.2">
      <c r="A21" s="8" t="s">
        <v>105</v>
      </c>
      <c r="B21" s="9">
        <v>7565575</v>
      </c>
      <c r="C21" s="8" t="s">
        <v>106</v>
      </c>
      <c r="D21" s="8" t="s">
        <v>107</v>
      </c>
      <c r="E21" s="10">
        <v>45870</v>
      </c>
      <c r="F21" s="8" t="s">
        <v>109</v>
      </c>
      <c r="G21" s="8" t="s">
        <v>51</v>
      </c>
      <c r="H21" s="8" t="s">
        <v>52</v>
      </c>
      <c r="I21" s="11">
        <v>-0.33</v>
      </c>
      <c r="J21" s="11">
        <v>0</v>
      </c>
      <c r="K21" s="11">
        <v>-104.34</v>
      </c>
      <c r="L21" s="8" t="s">
        <v>53</v>
      </c>
      <c r="M21" s="10">
        <v>45870</v>
      </c>
      <c r="N21" s="7" t="s">
        <v>161</v>
      </c>
      <c r="O21" s="12" t="s">
        <v>164</v>
      </c>
      <c r="Q21" s="8" t="s">
        <v>107</v>
      </c>
      <c r="R21" s="7" t="str">
        <f>CONCATENATE(Q21,6)</f>
        <v>00023509197K6</v>
      </c>
      <c r="S21" s="8" t="s">
        <v>169</v>
      </c>
      <c r="T21" s="7" t="s">
        <v>170</v>
      </c>
      <c r="U21" s="7" t="str">
        <f>CONCATENATE(T21, " ",S21)</f>
        <v>RICHARD GALASINSKI</v>
      </c>
    </row>
    <row r="22" spans="1:21" x14ac:dyDescent="0.2">
      <c r="A22" s="8" t="s">
        <v>105</v>
      </c>
      <c r="B22" s="9">
        <v>7565575</v>
      </c>
      <c r="C22" s="8" t="s">
        <v>110</v>
      </c>
      <c r="D22" s="8" t="s">
        <v>111</v>
      </c>
      <c r="E22" s="10">
        <v>45901</v>
      </c>
      <c r="F22" s="8" t="s">
        <v>49</v>
      </c>
      <c r="G22" s="8" t="s">
        <v>51</v>
      </c>
      <c r="H22" s="8" t="s">
        <v>52</v>
      </c>
      <c r="I22" s="11">
        <v>0.33</v>
      </c>
      <c r="J22" s="11">
        <v>0</v>
      </c>
      <c r="K22" s="11">
        <v>104.33</v>
      </c>
      <c r="L22" s="8" t="s">
        <v>53</v>
      </c>
      <c r="M22" s="10">
        <v>45901</v>
      </c>
      <c r="N22" s="7" t="s">
        <v>161</v>
      </c>
      <c r="O22" s="12" t="s">
        <v>164</v>
      </c>
      <c r="Q22" s="8" t="s">
        <v>111</v>
      </c>
      <c r="R22" s="7" t="str">
        <f>CONCATENATE(Q22,6)</f>
        <v>00023560690K6</v>
      </c>
      <c r="S22" s="8" t="s">
        <v>191</v>
      </c>
      <c r="T22" s="7" t="s">
        <v>184</v>
      </c>
      <c r="U22" s="7" t="str">
        <f>CONCATENATE(T22, " ",S22)</f>
        <v>LAURA MOORE</v>
      </c>
    </row>
    <row r="23" spans="1:21" x14ac:dyDescent="0.2">
      <c r="A23" s="8" t="s">
        <v>121</v>
      </c>
      <c r="B23" s="9">
        <v>14177521</v>
      </c>
      <c r="C23" s="8" t="s">
        <v>122</v>
      </c>
      <c r="D23" s="13">
        <v>416700</v>
      </c>
      <c r="E23" s="10">
        <v>45901</v>
      </c>
      <c r="F23" s="8" t="s">
        <v>49</v>
      </c>
      <c r="G23" s="8" t="s">
        <v>126</v>
      </c>
      <c r="H23" s="8" t="s">
        <v>46</v>
      </c>
      <c r="I23" s="11">
        <v>10</v>
      </c>
      <c r="J23" s="11">
        <v>318.68</v>
      </c>
      <c r="K23" s="11">
        <v>31.87</v>
      </c>
      <c r="L23" s="8" t="s">
        <v>53</v>
      </c>
      <c r="M23" s="10">
        <v>45658</v>
      </c>
      <c r="N23" s="7" t="s">
        <v>157</v>
      </c>
      <c r="Q23" s="13">
        <v>416700</v>
      </c>
      <c r="R23" s="7" t="str">
        <f>CONCATENATE(Q23,7)</f>
        <v>4167007</v>
      </c>
      <c r="S23" s="8" t="s">
        <v>194</v>
      </c>
      <c r="T23" s="7" t="s">
        <v>195</v>
      </c>
      <c r="U23" s="8" t="s">
        <v>122</v>
      </c>
    </row>
    <row r="24" spans="1:21" x14ac:dyDescent="0.2">
      <c r="A24" s="8" t="s">
        <v>121</v>
      </c>
      <c r="B24" s="9">
        <v>14177521</v>
      </c>
      <c r="C24" s="8" t="s">
        <v>122</v>
      </c>
      <c r="D24" s="13">
        <v>416700</v>
      </c>
      <c r="E24" s="10">
        <v>45901</v>
      </c>
      <c r="F24" s="8" t="s">
        <v>49</v>
      </c>
      <c r="G24" s="8" t="s">
        <v>118</v>
      </c>
      <c r="H24" s="8" t="s">
        <v>46</v>
      </c>
      <c r="I24" s="11">
        <v>10</v>
      </c>
      <c r="J24" s="11">
        <v>45.9</v>
      </c>
      <c r="K24" s="11">
        <v>4.59</v>
      </c>
      <c r="L24" s="8" t="s">
        <v>53</v>
      </c>
      <c r="M24" s="10">
        <v>45658</v>
      </c>
      <c r="N24" s="7" t="s">
        <v>157</v>
      </c>
      <c r="Q24" s="13">
        <v>416700</v>
      </c>
      <c r="R24" s="7" t="str">
        <f>CONCATENATE(Q24,7)</f>
        <v>4167007</v>
      </c>
      <c r="S24" s="8" t="s">
        <v>194</v>
      </c>
      <c r="T24" s="7" t="s">
        <v>195</v>
      </c>
      <c r="U24" s="8" t="s">
        <v>122</v>
      </c>
    </row>
    <row r="25" spans="1:21" x14ac:dyDescent="0.2">
      <c r="A25" s="8" t="s">
        <v>148</v>
      </c>
      <c r="B25" s="9">
        <v>18754354</v>
      </c>
      <c r="C25" s="8" t="s">
        <v>149</v>
      </c>
      <c r="D25" s="13">
        <v>413180</v>
      </c>
      <c r="E25" s="10">
        <v>45839</v>
      </c>
      <c r="F25" s="8" t="s">
        <v>151</v>
      </c>
      <c r="G25" s="8" t="s">
        <v>126</v>
      </c>
      <c r="H25" s="8" t="s">
        <v>46</v>
      </c>
      <c r="I25" s="11">
        <v>10</v>
      </c>
      <c r="J25" s="11">
        <v>-11.01</v>
      </c>
      <c r="K25" s="11">
        <v>-1.1000000000000001</v>
      </c>
      <c r="L25" s="8" t="s">
        <v>152</v>
      </c>
      <c r="M25" s="10">
        <v>45474</v>
      </c>
      <c r="N25" s="7" t="s">
        <v>157</v>
      </c>
      <c r="Q25" s="13">
        <v>413180</v>
      </c>
      <c r="R25" s="7" t="str">
        <f>CONCATENATE(Q25,7)</f>
        <v>4131807</v>
      </c>
      <c r="U25" s="8" t="s">
        <v>149</v>
      </c>
    </row>
    <row r="26" spans="1:21" x14ac:dyDescent="0.2">
      <c r="A26" s="8" t="s">
        <v>148</v>
      </c>
      <c r="B26" s="9">
        <v>18754354</v>
      </c>
      <c r="C26" s="8" t="s">
        <v>149</v>
      </c>
      <c r="D26" s="13">
        <v>413180</v>
      </c>
      <c r="E26" s="10">
        <v>45870</v>
      </c>
      <c r="F26" s="8" t="s">
        <v>109</v>
      </c>
      <c r="G26" s="8" t="s">
        <v>126</v>
      </c>
      <c r="H26" s="8" t="s">
        <v>46</v>
      </c>
      <c r="I26" s="11">
        <v>10</v>
      </c>
      <c r="J26" s="11">
        <v>-11.01</v>
      </c>
      <c r="K26" s="11">
        <v>-1.1000000000000001</v>
      </c>
      <c r="L26" s="8" t="s">
        <v>152</v>
      </c>
      <c r="M26" s="10">
        <v>45474</v>
      </c>
      <c r="N26" s="7" t="s">
        <v>157</v>
      </c>
      <c r="Q26" s="13">
        <v>413180</v>
      </c>
      <c r="R26" s="7" t="str">
        <f>CONCATENATE(Q26,7)</f>
        <v>4131807</v>
      </c>
      <c r="U26" s="8" t="s">
        <v>149</v>
      </c>
    </row>
    <row r="27" spans="1:21" x14ac:dyDescent="0.2">
      <c r="A27" s="8" t="s">
        <v>148</v>
      </c>
      <c r="B27" s="9">
        <v>18754354</v>
      </c>
      <c r="C27" s="8" t="s">
        <v>149</v>
      </c>
      <c r="D27" s="13">
        <v>413180</v>
      </c>
      <c r="E27" s="10">
        <v>45809</v>
      </c>
      <c r="F27" s="8" t="s">
        <v>154</v>
      </c>
      <c r="G27" s="8" t="s">
        <v>155</v>
      </c>
      <c r="H27" s="8" t="s">
        <v>46</v>
      </c>
      <c r="I27" s="11">
        <v>10</v>
      </c>
      <c r="J27" s="11">
        <v>-0.89</v>
      </c>
      <c r="K27" s="11">
        <v>-0.09</v>
      </c>
      <c r="L27" s="8" t="s">
        <v>53</v>
      </c>
      <c r="M27" s="10">
        <v>45474</v>
      </c>
      <c r="N27" s="7" t="s">
        <v>157</v>
      </c>
      <c r="Q27" s="13">
        <v>413180</v>
      </c>
      <c r="R27" s="7" t="str">
        <f>CONCATENATE(Q27,7)</f>
        <v>4131807</v>
      </c>
      <c r="U27" s="8" t="s">
        <v>149</v>
      </c>
    </row>
    <row r="28" spans="1:21" x14ac:dyDescent="0.2">
      <c r="A28" s="8" t="s">
        <v>148</v>
      </c>
      <c r="B28" s="9">
        <v>18754354</v>
      </c>
      <c r="C28" s="8" t="s">
        <v>149</v>
      </c>
      <c r="D28" s="13">
        <v>413180</v>
      </c>
      <c r="E28" s="10">
        <v>45839</v>
      </c>
      <c r="F28" s="8" t="s">
        <v>151</v>
      </c>
      <c r="G28" s="8" t="s">
        <v>155</v>
      </c>
      <c r="H28" s="8" t="s">
        <v>46</v>
      </c>
      <c r="I28" s="11">
        <v>10</v>
      </c>
      <c r="J28" s="11">
        <v>-0.89</v>
      </c>
      <c r="K28" s="11">
        <v>-0.09</v>
      </c>
      <c r="L28" s="8" t="s">
        <v>152</v>
      </c>
      <c r="M28" s="10">
        <v>45474</v>
      </c>
      <c r="N28" s="7" t="s">
        <v>157</v>
      </c>
      <c r="Q28" s="13">
        <v>413180</v>
      </c>
      <c r="R28" s="7" t="str">
        <f>CONCATENATE(Q28,7)</f>
        <v>4131807</v>
      </c>
      <c r="U28" s="8" t="s">
        <v>149</v>
      </c>
    </row>
    <row r="29" spans="1:21" x14ac:dyDescent="0.2">
      <c r="A29" s="8" t="s">
        <v>148</v>
      </c>
      <c r="B29" s="9">
        <v>18754354</v>
      </c>
      <c r="C29" s="8" t="s">
        <v>149</v>
      </c>
      <c r="D29" s="13">
        <v>413180</v>
      </c>
      <c r="E29" s="10">
        <v>45870</v>
      </c>
      <c r="F29" s="8" t="s">
        <v>109</v>
      </c>
      <c r="G29" s="8" t="s">
        <v>155</v>
      </c>
      <c r="H29" s="8" t="s">
        <v>46</v>
      </c>
      <c r="I29" s="11">
        <v>10</v>
      </c>
      <c r="J29" s="11">
        <v>-0.89</v>
      </c>
      <c r="K29" s="11">
        <v>-0.09</v>
      </c>
      <c r="L29" s="8" t="s">
        <v>152</v>
      </c>
      <c r="M29" s="10">
        <v>45474</v>
      </c>
      <c r="N29" s="7" t="s">
        <v>157</v>
      </c>
      <c r="Q29" s="13">
        <v>413180</v>
      </c>
      <c r="R29" s="7" t="str">
        <f>CONCATENATE(Q29,7)</f>
        <v>4131807</v>
      </c>
      <c r="U29" s="8" t="s">
        <v>149</v>
      </c>
    </row>
    <row r="30" spans="1:21" x14ac:dyDescent="0.2">
      <c r="A30" s="8" t="s">
        <v>148</v>
      </c>
      <c r="B30" s="9">
        <v>18754354</v>
      </c>
      <c r="C30" s="8" t="s">
        <v>149</v>
      </c>
      <c r="D30" s="13">
        <v>413180</v>
      </c>
      <c r="E30" s="10">
        <v>45809</v>
      </c>
      <c r="F30" s="8" t="s">
        <v>154</v>
      </c>
      <c r="G30" s="8" t="s">
        <v>156</v>
      </c>
      <c r="H30" s="8" t="s">
        <v>46</v>
      </c>
      <c r="I30" s="11">
        <v>10</v>
      </c>
      <c r="J30" s="11">
        <v>-0.21</v>
      </c>
      <c r="K30" s="11">
        <v>-0.02</v>
      </c>
      <c r="L30" s="8" t="s">
        <v>53</v>
      </c>
      <c r="M30" s="10">
        <v>45474</v>
      </c>
      <c r="N30" s="7" t="s">
        <v>157</v>
      </c>
      <c r="Q30" s="13">
        <v>413180</v>
      </c>
      <c r="R30" s="7" t="str">
        <f>CONCATENATE(Q30,7)</f>
        <v>4131807</v>
      </c>
      <c r="U30" s="8" t="s">
        <v>149</v>
      </c>
    </row>
    <row r="31" spans="1:21" x14ac:dyDescent="0.2">
      <c r="A31" s="8" t="s">
        <v>148</v>
      </c>
      <c r="B31" s="9">
        <v>18754354</v>
      </c>
      <c r="C31" s="8" t="s">
        <v>149</v>
      </c>
      <c r="D31" s="13">
        <v>413180</v>
      </c>
      <c r="E31" s="10">
        <v>45839</v>
      </c>
      <c r="F31" s="8" t="s">
        <v>151</v>
      </c>
      <c r="G31" s="8" t="s">
        <v>156</v>
      </c>
      <c r="H31" s="8" t="s">
        <v>46</v>
      </c>
      <c r="I31" s="11">
        <v>10</v>
      </c>
      <c r="J31" s="11">
        <v>-0.21</v>
      </c>
      <c r="K31" s="11">
        <v>-0.02</v>
      </c>
      <c r="L31" s="8" t="s">
        <v>152</v>
      </c>
      <c r="M31" s="10">
        <v>45474</v>
      </c>
      <c r="N31" s="7" t="s">
        <v>157</v>
      </c>
      <c r="Q31" s="13">
        <v>413180</v>
      </c>
      <c r="R31" s="7" t="str">
        <f>CONCATENATE(Q31,7)</f>
        <v>4131807</v>
      </c>
      <c r="U31" s="8" t="s">
        <v>149</v>
      </c>
    </row>
    <row r="32" spans="1:21" x14ac:dyDescent="0.2">
      <c r="A32" s="8" t="s">
        <v>148</v>
      </c>
      <c r="B32" s="9">
        <v>18754354</v>
      </c>
      <c r="C32" s="8" t="s">
        <v>149</v>
      </c>
      <c r="D32" s="13">
        <v>413180</v>
      </c>
      <c r="E32" s="10">
        <v>45870</v>
      </c>
      <c r="F32" s="8" t="s">
        <v>109</v>
      </c>
      <c r="G32" s="8" t="s">
        <v>156</v>
      </c>
      <c r="H32" s="8" t="s">
        <v>46</v>
      </c>
      <c r="I32" s="11">
        <v>10</v>
      </c>
      <c r="J32" s="11">
        <v>-0.21</v>
      </c>
      <c r="K32" s="11">
        <v>-0.02</v>
      </c>
      <c r="L32" s="8" t="s">
        <v>152</v>
      </c>
      <c r="M32" s="10">
        <v>45474</v>
      </c>
      <c r="N32" s="7" t="s">
        <v>157</v>
      </c>
      <c r="Q32" s="13">
        <v>413180</v>
      </c>
      <c r="R32" s="7" t="str">
        <f>CONCATENATE(Q32,7)</f>
        <v>4131807</v>
      </c>
      <c r="U32" s="8" t="s">
        <v>149</v>
      </c>
    </row>
    <row r="33" spans="1:21" x14ac:dyDescent="0.2">
      <c r="A33" s="8" t="s">
        <v>148</v>
      </c>
      <c r="B33" s="9">
        <v>18754354</v>
      </c>
      <c r="C33" s="8" t="s">
        <v>149</v>
      </c>
      <c r="D33" s="13">
        <v>413180</v>
      </c>
      <c r="E33" s="10">
        <v>45839</v>
      </c>
      <c r="F33" s="8" t="s">
        <v>151</v>
      </c>
      <c r="G33" s="8" t="s">
        <v>118</v>
      </c>
      <c r="H33" s="8" t="s">
        <v>46</v>
      </c>
      <c r="I33" s="11">
        <v>10</v>
      </c>
      <c r="J33" s="11">
        <v>-2.25</v>
      </c>
      <c r="K33" s="11">
        <v>-0.23</v>
      </c>
      <c r="L33" s="8" t="s">
        <v>152</v>
      </c>
      <c r="M33" s="10">
        <v>45474</v>
      </c>
      <c r="N33" s="7" t="s">
        <v>157</v>
      </c>
      <c r="Q33" s="13">
        <v>413180</v>
      </c>
      <c r="R33" s="7" t="str">
        <f>CONCATENATE(Q33,7)</f>
        <v>4131807</v>
      </c>
      <c r="U33" s="8" t="s">
        <v>149</v>
      </c>
    </row>
    <row r="34" spans="1:21" x14ac:dyDescent="0.2">
      <c r="A34" s="8" t="s">
        <v>148</v>
      </c>
      <c r="B34" s="9">
        <v>18754354</v>
      </c>
      <c r="C34" s="8" t="s">
        <v>149</v>
      </c>
      <c r="D34" s="13">
        <v>413180</v>
      </c>
      <c r="E34" s="10">
        <v>45870</v>
      </c>
      <c r="F34" s="8" t="s">
        <v>109</v>
      </c>
      <c r="G34" s="8" t="s">
        <v>118</v>
      </c>
      <c r="H34" s="8" t="s">
        <v>46</v>
      </c>
      <c r="I34" s="11">
        <v>10</v>
      </c>
      <c r="J34" s="11">
        <v>-2.2599999999999998</v>
      </c>
      <c r="K34" s="11">
        <v>-0.23</v>
      </c>
      <c r="L34" s="8" t="s">
        <v>152</v>
      </c>
      <c r="M34" s="10">
        <v>45474</v>
      </c>
      <c r="N34" s="7" t="s">
        <v>157</v>
      </c>
      <c r="Q34" s="13">
        <v>413180</v>
      </c>
      <c r="R34" s="7" t="str">
        <f>CONCATENATE(Q34,7)</f>
        <v>4131807</v>
      </c>
      <c r="U34" s="8" t="s">
        <v>149</v>
      </c>
    </row>
  </sheetData>
  <sortState xmlns:xlrd2="http://schemas.microsoft.com/office/spreadsheetml/2017/richdata2" ref="A2:AP34">
    <sortCondition ref="A2:A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CommissionData_1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2025-08-21T12:52:27Z</dcterms:created>
  <dcterms:modified xsi:type="dcterms:W3CDTF">2025-08-26T19:33:36Z</dcterms:modified>
</cp:coreProperties>
</file>