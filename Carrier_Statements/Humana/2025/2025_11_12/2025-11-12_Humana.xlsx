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1-12-25\"/>
    </mc:Choice>
  </mc:AlternateContent>
  <xr:revisionPtr revIDLastSave="0" documentId="13_ncr:1_{4828AB1D-30BC-4121-B96C-7D42A832AE5A}" xr6:coauthVersionLast="47" xr6:coauthVersionMax="47" xr10:uidLastSave="{00000000-0000-0000-0000-000000000000}"/>
  <bookViews>
    <workbookView xWindow="28680" yWindow="-120" windowWidth="29040" windowHeight="16440" activeTab="2" xr2:uid="{223D92EB-05DD-4CFF-A1B7-986D9A9AD0D8}"/>
  </bookViews>
  <sheets>
    <sheet name="CommissionData_1" sheetId="1" r:id="rId1"/>
    <sheet name="Sheet2" sheetId="2" r:id="rId2"/>
    <sheet name="on hold" sheetId="4" r:id="rId3"/>
  </sheets>
  <calcPr calcId="181029"/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3" i="2"/>
  <c r="U14" i="2"/>
  <c r="U10" i="2"/>
  <c r="U11" i="2"/>
  <c r="U12" i="2"/>
  <c r="U15" i="2"/>
  <c r="U16" i="2"/>
  <c r="U17" i="2"/>
  <c r="U18" i="2"/>
  <c r="U19" i="2"/>
  <c r="U20" i="2"/>
  <c r="U21" i="2"/>
  <c r="U22" i="2"/>
  <c r="U31" i="2"/>
  <c r="U29" i="2"/>
  <c r="U30" i="2"/>
  <c r="U41" i="2"/>
  <c r="U38" i="2"/>
  <c r="U39" i="2"/>
  <c r="U40" i="2"/>
  <c r="U32" i="2"/>
  <c r="U33" i="2"/>
  <c r="U34" i="2"/>
  <c r="U35" i="2"/>
  <c r="U36" i="2"/>
  <c r="U37" i="2"/>
  <c r="U61" i="2"/>
  <c r="U71" i="2"/>
  <c r="U62" i="2"/>
  <c r="U77" i="2"/>
  <c r="U72" i="2"/>
  <c r="U66" i="2"/>
  <c r="U69" i="2"/>
  <c r="U67" i="2"/>
  <c r="U63" i="2"/>
  <c r="U70" i="2"/>
  <c r="U81" i="2"/>
  <c r="U64" i="2"/>
  <c r="U79" i="2"/>
  <c r="U80" i="2"/>
  <c r="U68" i="2"/>
  <c r="U65" i="2"/>
  <c r="U73" i="2"/>
  <c r="U74" i="2"/>
  <c r="U75" i="2"/>
  <c r="U76" i="2"/>
  <c r="U78" i="2"/>
  <c r="U2" i="2"/>
  <c r="R53" i="2"/>
  <c r="R52" i="2"/>
  <c r="R51" i="2"/>
  <c r="R50" i="2"/>
  <c r="R60" i="2"/>
  <c r="R59" i="2"/>
  <c r="R58" i="2"/>
  <c r="R57" i="2"/>
  <c r="R43" i="2"/>
  <c r="R45" i="2"/>
  <c r="R49" i="2"/>
  <c r="R48" i="2"/>
  <c r="R47" i="2"/>
  <c r="R46" i="2"/>
  <c r="R56" i="2"/>
  <c r="R55" i="2"/>
  <c r="R54" i="2"/>
  <c r="R42" i="2"/>
  <c r="R44" i="2"/>
  <c r="R37" i="2"/>
  <c r="R36" i="2"/>
  <c r="R35" i="2"/>
  <c r="R34" i="2"/>
  <c r="R33" i="2"/>
  <c r="R32" i="2"/>
  <c r="R40" i="2"/>
  <c r="R39" i="2"/>
  <c r="R38" i="2"/>
  <c r="R41" i="2"/>
  <c r="R30" i="2"/>
  <c r="R29" i="2"/>
  <c r="R31" i="2"/>
  <c r="R20" i="2"/>
  <c r="R19" i="2"/>
  <c r="R18" i="2"/>
  <c r="R17" i="2"/>
  <c r="R16" i="2"/>
  <c r="R15" i="2"/>
  <c r="R28" i="2"/>
  <c r="R27" i="2"/>
  <c r="R26" i="2"/>
  <c r="R25" i="2"/>
  <c r="R23" i="2"/>
  <c r="R24" i="2"/>
  <c r="R22" i="2"/>
  <c r="R21" i="2"/>
  <c r="R12" i="2"/>
  <c r="R11" i="2"/>
  <c r="R10" i="2"/>
  <c r="R14" i="2"/>
  <c r="R13" i="2"/>
  <c r="R78" i="2"/>
  <c r="R76" i="2"/>
  <c r="R75" i="2"/>
  <c r="R74" i="2"/>
  <c r="R73" i="2"/>
  <c r="R65" i="2"/>
  <c r="R68" i="2"/>
  <c r="R80" i="2"/>
  <c r="R79" i="2"/>
  <c r="R64" i="2"/>
  <c r="R81" i="2"/>
  <c r="R70" i="2"/>
  <c r="R63" i="2"/>
  <c r="R67" i="2"/>
  <c r="R69" i="2"/>
  <c r="R66" i="2"/>
  <c r="R72" i="2"/>
  <c r="R77" i="2"/>
  <c r="R62" i="2"/>
  <c r="R71" i="2"/>
  <c r="R61" i="2"/>
  <c r="R9" i="2"/>
  <c r="R8" i="2"/>
  <c r="R7" i="2"/>
  <c r="R6" i="2"/>
  <c r="R5" i="2"/>
  <c r="R4" i="2"/>
  <c r="R3" i="2"/>
  <c r="R2" i="2"/>
</calcChain>
</file>

<file path=xl/sharedStrings.xml><?xml version="1.0" encoding="utf-8"?>
<sst xmlns="http://schemas.openxmlformats.org/spreadsheetml/2006/main" count="3295" uniqueCount="367">
  <si>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</si>
  <si>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</si>
  <si>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</si>
  <si>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</si>
  <si>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</si>
  <si>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</si>
  <si>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</si>
  <si>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</si>
  <si>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</si>
  <si>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</si>
  <si>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</si>
  <si>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</si>
  <si>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</si>
  <si>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</si>
  <si>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</si>
  <si>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</si>
  <si>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</si>
  <si>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</si>
  <si>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</si>
  <si>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</si>
  <si>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</si>
  <si>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</si>
  <si>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</si>
  <si>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</si>
  <si>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</si>
  <si>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</si>
  <si>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</si>
  <si>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</si>
  <si>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</si>
  <si>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</si>
  <si>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</si>
  <si>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</si>
  <si>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</si>
  <si>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</si>
  <si>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</si>
  <si>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</si>
  <si>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</si>
  <si>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</si>
  <si>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</si>
  <si>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</si>
  <si>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</si>
  <si>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</si>
  <si>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</si>
  <si>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MOHOI KAREN L</t>
  </si>
  <si>
    <t>00023998143K</t>
  </si>
  <si>
    <t>2UY2VY2HT82</t>
  </si>
  <si>
    <t/>
  </si>
  <si>
    <t>MA</t>
  </si>
  <si>
    <t>LV</t>
  </si>
  <si>
    <t>NOV</t>
  </si>
  <si>
    <t>F</t>
  </si>
  <si>
    <t>MEDICARE</t>
  </si>
  <si>
    <t>MEP</t>
  </si>
  <si>
    <t>FIRST YEAR COMMISSIONS</t>
  </si>
  <si>
    <t>ARCF</t>
  </si>
  <si>
    <t>H0473</t>
  </si>
  <si>
    <t>CASTLEBERRY JAMES L</t>
  </si>
  <si>
    <t>00024021738K</t>
  </si>
  <si>
    <t>3Y53Q02NG00</t>
  </si>
  <si>
    <t>DEERE KATHLEEN A</t>
  </si>
  <si>
    <t>00024469640K</t>
  </si>
  <si>
    <t>3W58F75QJ51</t>
  </si>
  <si>
    <t>DEC</t>
  </si>
  <si>
    <t>H5216</t>
  </si>
  <si>
    <t>HORN JEFFREY E</t>
  </si>
  <si>
    <t>DRISCOLL LARAMIE</t>
  </si>
  <si>
    <t>00000825139K</t>
  </si>
  <si>
    <t>4KH2PN9KM04</t>
  </si>
  <si>
    <t>LISKOVEC FRANK E</t>
  </si>
  <si>
    <t>BABCOCK JEFFERY D</t>
  </si>
  <si>
    <t>00024524991K</t>
  </si>
  <si>
    <t>4Q21TR8CC02</t>
  </si>
  <si>
    <t>CHOI ANDREW J</t>
  </si>
  <si>
    <t>WOODS DONALD</t>
  </si>
  <si>
    <t>00012268041K</t>
  </si>
  <si>
    <t>5G17A82JK38</t>
  </si>
  <si>
    <t>JAN</t>
  </si>
  <si>
    <t>TEIPEL GREGORY K</t>
  </si>
  <si>
    <t>ROSS JOHN K</t>
  </si>
  <si>
    <t>00020971174K</t>
  </si>
  <si>
    <t>4NU5W28EJ61</t>
  </si>
  <si>
    <t>R</t>
  </si>
  <si>
    <t>RENEWAL COMMISSIONS</t>
  </si>
  <si>
    <t>ARCM</t>
  </si>
  <si>
    <t>HUNSBERGER ANTHONY J</t>
  </si>
  <si>
    <t>BRYAN TERRY G</t>
  </si>
  <si>
    <t>00021915889K</t>
  </si>
  <si>
    <t>7E37F86FN32</t>
  </si>
  <si>
    <t>MER</t>
  </si>
  <si>
    <t>H1468</t>
  </si>
  <si>
    <t>ARIANO RICK</t>
  </si>
  <si>
    <t>00024491622K</t>
  </si>
  <si>
    <t>8EY2J58JV84</t>
  </si>
  <si>
    <t>WALENGA DALE J</t>
  </si>
  <si>
    <t>DIEDERICH ROBIN L</t>
  </si>
  <si>
    <t>00022235665K</t>
  </si>
  <si>
    <t>5C61V79NN05</t>
  </si>
  <si>
    <t>YALE RICHARD A A</t>
  </si>
  <si>
    <t>AOUN NEMR H</t>
  </si>
  <si>
    <t>00024672069K</t>
  </si>
  <si>
    <t>2KV4CW3VH61</t>
  </si>
  <si>
    <t>HERRERA-LARSEN ESTHER M</t>
  </si>
  <si>
    <t>TORRES RUBEN</t>
  </si>
  <si>
    <t>00013131759K</t>
  </si>
  <si>
    <t>2VT6M01YF87</t>
  </si>
  <si>
    <t>H0028</t>
  </si>
  <si>
    <t>PENA NANCY</t>
  </si>
  <si>
    <t>00024576468K</t>
  </si>
  <si>
    <t>3D71NW4TV01</t>
  </si>
  <si>
    <t>INSKIPT DEBORAH L</t>
  </si>
  <si>
    <t>LUNDY BERNIDETTA M</t>
  </si>
  <si>
    <t>00006588811K</t>
  </si>
  <si>
    <t>5GG2G59WF08</t>
  </si>
  <si>
    <t>H5525</t>
  </si>
  <si>
    <t>SABOL JOSEPH R</t>
  </si>
  <si>
    <t>00020676577K</t>
  </si>
  <si>
    <t>8J60XF2JH31</t>
  </si>
  <si>
    <t>BROOKS JONES LINDA A</t>
  </si>
  <si>
    <t>00020932178K</t>
  </si>
  <si>
    <t>5YF1C30NM31</t>
  </si>
  <si>
    <t>O BRIEN LINDA C</t>
  </si>
  <si>
    <t>00021243283K</t>
  </si>
  <si>
    <t>1JE6JY6DG66</t>
  </si>
  <si>
    <t>BASHLINE THOMAS A</t>
  </si>
  <si>
    <t>00021246316K</t>
  </si>
  <si>
    <t>7DX1F47HC80</t>
  </si>
  <si>
    <t>NACHREINER RICHARD M</t>
  </si>
  <si>
    <t>00021339188K</t>
  </si>
  <si>
    <t>4K00NK3YG24</t>
  </si>
  <si>
    <t>BLACK ALAN D</t>
  </si>
  <si>
    <t>00021623050K</t>
  </si>
  <si>
    <t>5AM2DR5NH94</t>
  </si>
  <si>
    <t>BASHLINE MARGARET A</t>
  </si>
  <si>
    <t>00021969632K</t>
  </si>
  <si>
    <t>5AQ7U92MJ40</t>
  </si>
  <si>
    <t>PORTUGAL GARY</t>
  </si>
  <si>
    <t>GUEVARRA REYNATO V</t>
  </si>
  <si>
    <t>00012207253K</t>
  </si>
  <si>
    <t>2FQ8X58TQ23</t>
  </si>
  <si>
    <t>GUEVARRA ZOILA B</t>
  </si>
  <si>
    <t>00012224395K</t>
  </si>
  <si>
    <t>8EC2W11FE12</t>
  </si>
  <si>
    <t>MURRAY PATRICK J</t>
  </si>
  <si>
    <t>00024490231K</t>
  </si>
  <si>
    <t>1XF4AF6QU50</t>
  </si>
  <si>
    <t>SANTOS RICARDO D</t>
  </si>
  <si>
    <t>PUANGCO LYNN D</t>
  </si>
  <si>
    <t>00024308702K</t>
  </si>
  <si>
    <t>2XP7V70DK40</t>
  </si>
  <si>
    <t>LINDO JONES RUTH E</t>
  </si>
  <si>
    <t>00024478150K</t>
  </si>
  <si>
    <t>5NV0FG8HM04</t>
  </si>
  <si>
    <t>DUNAVANT MICHAEL</t>
  </si>
  <si>
    <t>LINSLEY ROBERT G</t>
  </si>
  <si>
    <t>00017176926K</t>
  </si>
  <si>
    <t>4JY6UX8WR81</t>
  </si>
  <si>
    <t>FROST JOHN M</t>
  </si>
  <si>
    <t>00024598277K</t>
  </si>
  <si>
    <t>9UJ4YY5YY95</t>
  </si>
  <si>
    <t>NEVAREZ ANTONIA</t>
  </si>
  <si>
    <t>GAUDEN DEIRDRE A</t>
  </si>
  <si>
    <t>00024630110K</t>
  </si>
  <si>
    <t>1DX6RG4UF81</t>
  </si>
  <si>
    <t>DEATON PAMELA S</t>
  </si>
  <si>
    <t>Young Joanna</t>
  </si>
  <si>
    <t>9028406240</t>
  </si>
  <si>
    <t>IN</t>
  </si>
  <si>
    <t>CB</t>
  </si>
  <si>
    <t>VISION</t>
  </si>
  <si>
    <t>COMPBENEFITS RENEWAL COMMISSION</t>
  </si>
  <si>
    <t>CRCM</t>
  </si>
  <si>
    <t>Dornbierer Christie</t>
  </si>
  <si>
    <t>9029611520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</si>
  <si>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</si>
  <si>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</si>
  <si>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</si>
  <si>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</si>
  <si>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</si>
  <si>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</si>
  <si>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</si>
  <si>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</si>
  <si>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</si>
  <si>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</si>
  <si>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</si>
  <si>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HOFFMANN JASON R</t>
  </si>
  <si>
    <t>TRAINOR JACQUELINE M</t>
  </si>
  <si>
    <t>00000106089A</t>
  </si>
  <si>
    <t>MS</t>
  </si>
  <si>
    <t>MED SUPP RENEWAL ACHIEVE</t>
  </si>
  <si>
    <t>MSRA</t>
  </si>
  <si>
    <t>RICHTER ADAM J</t>
  </si>
  <si>
    <t>BARNES DOROTHY A</t>
  </si>
  <si>
    <t>00001064452A</t>
  </si>
  <si>
    <t>MED SUPP ANNUALIZED STANDARD</t>
  </si>
  <si>
    <t>MSAS</t>
  </si>
  <si>
    <t>STORCH DANIEL D</t>
  </si>
  <si>
    <t>00001074875A</t>
  </si>
  <si>
    <t>STORCH NINA G</t>
  </si>
  <si>
    <t>00001075050A</t>
  </si>
  <si>
    <t>GREGORY AUTO GROUP ASM</t>
  </si>
  <si>
    <t>000000419885</t>
  </si>
  <si>
    <t>SEP</t>
  </si>
  <si>
    <t>OCT</t>
  </si>
  <si>
    <t>AUG</t>
  </si>
  <si>
    <t>MILLER DEBRA L</t>
  </si>
  <si>
    <t>00000839470A</t>
  </si>
  <si>
    <t>SIKORA RICHARD A</t>
  </si>
  <si>
    <t>00001064290A</t>
  </si>
  <si>
    <t>MED SUPP ANNUALIZED ACHIEVE</t>
  </si>
  <si>
    <t>MSAA</t>
  </si>
  <si>
    <t>OLIVER BRITTANY</t>
  </si>
  <si>
    <t>Johnson Crystal</t>
  </si>
  <si>
    <t>9030503940</t>
  </si>
  <si>
    <t>MCCORKLE MICHELLE</t>
  </si>
  <si>
    <t>Hudock Beth</t>
  </si>
  <si>
    <t>9030645400</t>
  </si>
  <si>
    <t>Daube Tyler</t>
  </si>
  <si>
    <t>9030982010</t>
  </si>
  <si>
    <t>Yates Hanna R</t>
  </si>
  <si>
    <t>9031089540</t>
  </si>
  <si>
    <t>YALE JACOB D</t>
  </si>
  <si>
    <t>NC CAPITAL PARTERS LLC</t>
  </si>
  <si>
    <t>000000413180</t>
  </si>
  <si>
    <t>BASIC LIFE</t>
  </si>
  <si>
    <t>BASIC AD&amp;D</t>
  </si>
  <si>
    <t>MAX RONALD J</t>
  </si>
  <si>
    <t>SHAHAN JR DONALD B</t>
  </si>
  <si>
    <t>00001073186A</t>
  </si>
  <si>
    <t>YOST THOMAS A</t>
  </si>
  <si>
    <t>00000463481A</t>
  </si>
  <si>
    <t>11225397</t>
  </si>
  <si>
    <t>MED SUPP ANNUALIZED STD ADJ</t>
  </si>
  <si>
    <t>MSAP</t>
  </si>
  <si>
    <t>DUSTMAN JOHN A</t>
  </si>
  <si>
    <t>00001075878A</t>
  </si>
  <si>
    <t>WALLS CHERYL A</t>
  </si>
  <si>
    <t>00001077169A</t>
  </si>
  <si>
    <t>Green Patti</t>
  </si>
  <si>
    <t>9029455080</t>
  </si>
  <si>
    <t>Eckmann Bryan</t>
  </si>
  <si>
    <t>9031392680</t>
  </si>
  <si>
    <t>Kingdon Deborah</t>
  </si>
  <si>
    <t>9031414170</t>
  </si>
  <si>
    <t>Priaulx Thomas</t>
  </si>
  <si>
    <t>9031424040</t>
  </si>
  <si>
    <t>KOZACHECK ANNE MARIE</t>
  </si>
  <si>
    <t>HARPER MITCHELL P</t>
  </si>
  <si>
    <t>00001077143A</t>
  </si>
  <si>
    <t>Ferrari Massimo</t>
  </si>
  <si>
    <t>9030047190</t>
  </si>
  <si>
    <t>Breedy Patrick</t>
  </si>
  <si>
    <t>9030450680</t>
  </si>
  <si>
    <t>Sajed Amer</t>
  </si>
  <si>
    <t>9030658860</t>
  </si>
  <si>
    <t>Humana AD&amp;D</t>
  </si>
  <si>
    <t>Humana Dental &amp; Vision</t>
  </si>
  <si>
    <t>Humana Group 2025</t>
  </si>
  <si>
    <t>Humana Basic Life</t>
  </si>
  <si>
    <t>Humana 65-80 AL, AZ, AR, GA, etc. All Except N OE &amp; UW</t>
  </si>
  <si>
    <t>Humana AL, AZ, AR, GA, etc. Plan N OE &amp; UW</t>
  </si>
  <si>
    <t>Humana MAPD 2025*</t>
  </si>
  <si>
    <t>Humana 2025 CT, PA, DC *</t>
  </si>
  <si>
    <t>[%/$=353][prorate=1/12]</t>
  </si>
  <si>
    <t>[%/$=313][prorate=1/12]</t>
  </si>
  <si>
    <t>[%/$=313][prorate=3/12]</t>
  </si>
  <si>
    <t>[%/$=313][prorate=2/12]</t>
  </si>
  <si>
    <t>LUNDY</t>
  </si>
  <si>
    <t>BERNIDETTA</t>
  </si>
  <si>
    <t>SABOL</t>
  </si>
  <si>
    <t>JOSEPH</t>
  </si>
  <si>
    <t>BROOKS</t>
  </si>
  <si>
    <t>LINDA</t>
  </si>
  <si>
    <t>BASHLINE</t>
  </si>
  <si>
    <t>THOMAS</t>
  </si>
  <si>
    <t>NACHREINER</t>
  </si>
  <si>
    <t>RICHARD</t>
  </si>
  <si>
    <t>BLACK</t>
  </si>
  <si>
    <t>ALAN</t>
  </si>
  <si>
    <t>MARGARET</t>
  </si>
  <si>
    <t>MILLER</t>
  </si>
  <si>
    <t>DEBRA</t>
  </si>
  <si>
    <t>SIKORA</t>
  </si>
  <si>
    <t>YOST</t>
  </si>
  <si>
    <t>DUSTMAN</t>
  </si>
  <si>
    <t>JOHN</t>
  </si>
  <si>
    <t>WALLS</t>
  </si>
  <si>
    <t>CHERYL</t>
  </si>
  <si>
    <t>NC</t>
  </si>
  <si>
    <t>CAPITAL</t>
  </si>
  <si>
    <t>TRAINOR</t>
  </si>
  <si>
    <t>JACQUELINE</t>
  </si>
  <si>
    <t>HARPER</t>
  </si>
  <si>
    <t>MITCHELL</t>
  </si>
  <si>
    <t>Green</t>
  </si>
  <si>
    <t>Patti</t>
  </si>
  <si>
    <t>Young</t>
  </si>
  <si>
    <t>Joanna</t>
  </si>
  <si>
    <t>Dornbierer</t>
  </si>
  <si>
    <t>Christie</t>
  </si>
  <si>
    <t>Johnson</t>
  </si>
  <si>
    <t>Crystal</t>
  </si>
  <si>
    <t>Hudock</t>
  </si>
  <si>
    <t>Beth</t>
  </si>
  <si>
    <t>Daube</t>
  </si>
  <si>
    <t>Tyler</t>
  </si>
  <si>
    <t>Yates</t>
  </si>
  <si>
    <t>Hanna</t>
  </si>
  <si>
    <t>Eckmann</t>
  </si>
  <si>
    <t>Bryan</t>
  </si>
  <si>
    <t>Kingdon</t>
  </si>
  <si>
    <t>Deborah</t>
  </si>
  <si>
    <t>Priaulx</t>
  </si>
  <si>
    <t>Thomas</t>
  </si>
  <si>
    <t>Ferrari</t>
  </si>
  <si>
    <t>Massimo</t>
  </si>
  <si>
    <t>Breedy</t>
  </si>
  <si>
    <t>Patrick</t>
  </si>
  <si>
    <t>Sajed</t>
  </si>
  <si>
    <t>Amer</t>
  </si>
  <si>
    <t>KOGUT</t>
  </si>
  <si>
    <t>AND</t>
  </si>
  <si>
    <t>WORLDWIDE</t>
  </si>
  <si>
    <t>SOURCING</t>
  </si>
  <si>
    <t>GREGORY</t>
  </si>
  <si>
    <t>AUTO</t>
  </si>
  <si>
    <t>WOODS</t>
  </si>
  <si>
    <t>DONALD</t>
  </si>
  <si>
    <t>CASTLEBERRY</t>
  </si>
  <si>
    <t>JAMES</t>
  </si>
  <si>
    <t>LINSLEY</t>
  </si>
  <si>
    <t>ROBERT</t>
  </si>
  <si>
    <t>PUANGCO</t>
  </si>
  <si>
    <t>LYNN</t>
  </si>
  <si>
    <t>DEERE</t>
  </si>
  <si>
    <t>KATHLEEN</t>
  </si>
  <si>
    <t>DRISCOLL</t>
  </si>
  <si>
    <t>LARAMIE</t>
  </si>
  <si>
    <t>BABCOCK</t>
  </si>
  <si>
    <t>JEFFERY</t>
  </si>
  <si>
    <t>ARIANO</t>
  </si>
  <si>
    <t>RICK</t>
  </si>
  <si>
    <t>FROST</t>
  </si>
  <si>
    <t>GAUDEN</t>
  </si>
  <si>
    <t>DEIRDRE</t>
  </si>
  <si>
    <t>AOUN</t>
  </si>
  <si>
    <t>NEMR</t>
  </si>
  <si>
    <t>PENA</t>
  </si>
  <si>
    <t>NANCY</t>
  </si>
  <si>
    <t>ROSS</t>
  </si>
  <si>
    <t>DIEDERICH</t>
  </si>
  <si>
    <t>ROBIN</t>
  </si>
  <si>
    <t>BRYAN</t>
  </si>
  <si>
    <t>TERRY</t>
  </si>
  <si>
    <t>TORRES</t>
  </si>
  <si>
    <t>RUBEN</t>
  </si>
  <si>
    <t>MOHOI</t>
  </si>
  <si>
    <t>KAREN</t>
  </si>
  <si>
    <t>GUEVARRA</t>
  </si>
  <si>
    <t>REYNATO</t>
  </si>
  <si>
    <t>ZOILA</t>
  </si>
  <si>
    <t>MURRAY</t>
  </si>
  <si>
    <t>PATRICK</t>
  </si>
  <si>
    <t>LINDO</t>
  </si>
  <si>
    <t>RUTH</t>
  </si>
  <si>
    <t>O BRIEN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</si>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</sst>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0" fillId="33" borderId="0" xfId="0" applyFill="1" applyAlignment="1">
      <alignment horizontal="left" vertical="top"/>
    </xf>
    <xf numFmtId="0" fontId="0" fillId="34" borderId="0" xfId="0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0" fontId="0" fillId="36" borderId="0" xfId="0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49" fontId="0" fillId="38" borderId="0" xfId="0" applyNumberFormat="1" applyFill="1" applyAlignment="1">
      <alignment horizontal="left" vertical="top"/>
    </xf>
    <xf numFmtId="1" fontId="0" fillId="38" borderId="0" xfId="0" applyNumberFormat="1" applyFill="1"/>
    <xf numFmtId="0" fontId="0" fillId="38" borderId="0" xfId="0" applyFill="1" applyAlignment="1">
      <alignment horizontal="left" vertical="top"/>
    </xf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5D68-CE27-4C5B-BAE4-34F7B76F830E}">
  <dimension ref="A1:AP81"/>
  <sheetViews>
    <sheetView topLeftCell="J7" workbookViewId="0">
      <selection activeCell="Y1" sqref="Y1:Y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45973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476495451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45962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0.17</v>
      </c>
      <c r="W2" s="5">
        <v>0</v>
      </c>
      <c r="X2" s="5">
        <v>100</v>
      </c>
      <c r="Y2" s="5">
        <v>52.17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45962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45973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133171363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45962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-0.17</v>
      </c>
      <c r="W3" s="5">
        <v>0</v>
      </c>
      <c r="X3" s="5">
        <v>100</v>
      </c>
      <c r="Y3" s="5">
        <v>-52.17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45962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45973</v>
      </c>
      <c r="C4" s="4" t="s">
        <v>42</v>
      </c>
      <c r="D4" s="2">
        <v>1251955</v>
      </c>
      <c r="E4" s="4" t="s">
        <v>59</v>
      </c>
      <c r="F4" s="4" t="s">
        <v>60</v>
      </c>
      <c r="G4" s="2">
        <v>282960250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45992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0.08</v>
      </c>
      <c r="W4" s="5">
        <v>0</v>
      </c>
      <c r="X4" s="5">
        <v>100</v>
      </c>
      <c r="Y4" s="5">
        <v>26.08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63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45973</v>
      </c>
      <c r="C5" s="4" t="s">
        <v>64</v>
      </c>
      <c r="D5" s="2">
        <v>1267028</v>
      </c>
      <c r="E5" s="4" t="s">
        <v>65</v>
      </c>
      <c r="F5" s="4" t="s">
        <v>66</v>
      </c>
      <c r="G5" s="2">
        <v>326517415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45992</v>
      </c>
      <c r="M5" s="4" t="s">
        <v>62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0.08</v>
      </c>
      <c r="W5" s="5">
        <v>0</v>
      </c>
      <c r="X5" s="5">
        <v>100</v>
      </c>
      <c r="Y5" s="5">
        <v>26.08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45992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63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45973</v>
      </c>
      <c r="C6" s="4" t="s">
        <v>68</v>
      </c>
      <c r="D6" s="2">
        <v>1427681</v>
      </c>
      <c r="E6" s="4" t="s">
        <v>69</v>
      </c>
      <c r="F6" s="4" t="s">
        <v>70</v>
      </c>
      <c r="G6" s="2">
        <v>527680044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45992</v>
      </c>
      <c r="M6" s="4" t="s">
        <v>62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0.08</v>
      </c>
      <c r="W6" s="5">
        <v>0</v>
      </c>
      <c r="X6" s="5">
        <v>100</v>
      </c>
      <c r="Y6" s="5">
        <v>26.08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45992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63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45973</v>
      </c>
      <c r="C7" s="4" t="s">
        <v>72</v>
      </c>
      <c r="D7" s="2">
        <v>1466196</v>
      </c>
      <c r="E7" s="4" t="s">
        <v>73</v>
      </c>
      <c r="F7" s="4" t="s">
        <v>74</v>
      </c>
      <c r="G7" s="2">
        <v>874459004</v>
      </c>
      <c r="H7" s="4" t="s">
        <v>75</v>
      </c>
      <c r="I7" s="4" t="s">
        <v>46</v>
      </c>
      <c r="J7" s="4" t="s">
        <v>47</v>
      </c>
      <c r="K7" s="4" t="s">
        <v>48</v>
      </c>
      <c r="L7" s="3">
        <v>45658</v>
      </c>
      <c r="M7" s="4" t="s">
        <v>76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-0.25</v>
      </c>
      <c r="W7" s="5">
        <v>0</v>
      </c>
      <c r="X7" s="5">
        <v>100</v>
      </c>
      <c r="Y7" s="5">
        <v>-78.25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45658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63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45973</v>
      </c>
      <c r="C8" s="4" t="s">
        <v>77</v>
      </c>
      <c r="D8" s="2">
        <v>1509770</v>
      </c>
      <c r="E8" s="4" t="s">
        <v>78</v>
      </c>
      <c r="F8" s="4" t="s">
        <v>79</v>
      </c>
      <c r="G8" s="2">
        <v>898232243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45962</v>
      </c>
      <c r="M8" s="4" t="s">
        <v>49</v>
      </c>
      <c r="N8" s="4" t="s">
        <v>46</v>
      </c>
      <c r="O8" s="4" t="s">
        <v>81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1</v>
      </c>
      <c r="W8" s="5">
        <v>0</v>
      </c>
      <c r="X8" s="5">
        <v>100</v>
      </c>
      <c r="Y8" s="5">
        <v>26.08</v>
      </c>
      <c r="Z8" s="4" t="s">
        <v>46</v>
      </c>
      <c r="AA8" s="5" t="s">
        <v>46</v>
      </c>
      <c r="AB8" s="4" t="s">
        <v>82</v>
      </c>
      <c r="AC8" s="4" t="s">
        <v>46</v>
      </c>
      <c r="AD8" s="5">
        <v>0</v>
      </c>
      <c r="AE8" s="4" t="s">
        <v>83</v>
      </c>
      <c r="AF8" s="3">
        <v>45292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63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45973</v>
      </c>
      <c r="C9" s="4" t="s">
        <v>84</v>
      </c>
      <c r="D9" s="2">
        <v>1510420</v>
      </c>
      <c r="E9" s="4" t="s">
        <v>85</v>
      </c>
      <c r="F9" s="4" t="s">
        <v>86</v>
      </c>
      <c r="G9" s="2">
        <v>506757111</v>
      </c>
      <c r="H9" s="4" t="s">
        <v>87</v>
      </c>
      <c r="I9" s="4" t="s">
        <v>46</v>
      </c>
      <c r="J9" s="4" t="s">
        <v>47</v>
      </c>
      <c r="K9" s="4" t="s">
        <v>48</v>
      </c>
      <c r="L9" s="3">
        <v>45962</v>
      </c>
      <c r="M9" s="4" t="s">
        <v>49</v>
      </c>
      <c r="N9" s="4" t="s">
        <v>46</v>
      </c>
      <c r="O9" s="4" t="s">
        <v>81</v>
      </c>
      <c r="P9" s="4" t="s">
        <v>46</v>
      </c>
      <c r="Q9" s="2">
        <v>1</v>
      </c>
      <c r="R9" s="2">
        <v>17</v>
      </c>
      <c r="S9" s="4" t="s">
        <v>51</v>
      </c>
      <c r="T9" s="4" t="s">
        <v>88</v>
      </c>
      <c r="U9" s="4" t="s">
        <v>46</v>
      </c>
      <c r="V9" s="5">
        <v>1</v>
      </c>
      <c r="W9" s="5">
        <v>0</v>
      </c>
      <c r="X9" s="5">
        <v>100</v>
      </c>
      <c r="Y9" s="5">
        <v>26.08</v>
      </c>
      <c r="Z9" s="4" t="s">
        <v>46</v>
      </c>
      <c r="AA9" s="5" t="s">
        <v>46</v>
      </c>
      <c r="AB9" s="4" t="s">
        <v>82</v>
      </c>
      <c r="AC9" s="4" t="s">
        <v>46</v>
      </c>
      <c r="AD9" s="5">
        <v>0</v>
      </c>
      <c r="AE9" s="4" t="s">
        <v>83</v>
      </c>
      <c r="AF9" s="3">
        <v>45536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89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45973</v>
      </c>
      <c r="C10" s="4" t="s">
        <v>84</v>
      </c>
      <c r="D10" s="2">
        <v>1510420</v>
      </c>
      <c r="E10" s="4" t="s">
        <v>90</v>
      </c>
      <c r="F10" s="4" t="s">
        <v>91</v>
      </c>
      <c r="G10" s="2">
        <v>749121482</v>
      </c>
      <c r="H10" s="4" t="s">
        <v>92</v>
      </c>
      <c r="I10" s="4" t="s">
        <v>46</v>
      </c>
      <c r="J10" s="4" t="s">
        <v>47</v>
      </c>
      <c r="K10" s="4" t="s">
        <v>48</v>
      </c>
      <c r="L10" s="3">
        <v>45992</v>
      </c>
      <c r="M10" s="4" t="s">
        <v>62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0.08</v>
      </c>
      <c r="W10" s="5">
        <v>0</v>
      </c>
      <c r="X10" s="5">
        <v>100</v>
      </c>
      <c r="Y10" s="5">
        <v>26.08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63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45973</v>
      </c>
      <c r="C11" s="4" t="s">
        <v>93</v>
      </c>
      <c r="D11" s="2">
        <v>1535078</v>
      </c>
      <c r="E11" s="4" t="s">
        <v>94</v>
      </c>
      <c r="F11" s="4" t="s">
        <v>95</v>
      </c>
      <c r="G11" s="2">
        <v>830732313</v>
      </c>
      <c r="H11" s="4" t="s">
        <v>96</v>
      </c>
      <c r="I11" s="4" t="s">
        <v>46</v>
      </c>
      <c r="J11" s="4" t="s">
        <v>47</v>
      </c>
      <c r="K11" s="4" t="s">
        <v>48</v>
      </c>
      <c r="L11" s="3">
        <v>45962</v>
      </c>
      <c r="M11" s="4" t="s">
        <v>49</v>
      </c>
      <c r="N11" s="4" t="s">
        <v>46</v>
      </c>
      <c r="O11" s="4" t="s">
        <v>81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1</v>
      </c>
      <c r="W11" s="5">
        <v>0</v>
      </c>
      <c r="X11" s="5">
        <v>100</v>
      </c>
      <c r="Y11" s="5">
        <v>26.08</v>
      </c>
      <c r="Z11" s="4" t="s">
        <v>46</v>
      </c>
      <c r="AA11" s="5" t="s">
        <v>46</v>
      </c>
      <c r="AB11" s="4" t="s">
        <v>82</v>
      </c>
      <c r="AC11" s="4" t="s">
        <v>46</v>
      </c>
      <c r="AD11" s="5">
        <v>0</v>
      </c>
      <c r="AE11" s="4" t="s">
        <v>83</v>
      </c>
      <c r="AF11" s="3">
        <v>45627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63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45973</v>
      </c>
      <c r="C12" s="4" t="s">
        <v>97</v>
      </c>
      <c r="D12" s="2">
        <v>1573279</v>
      </c>
      <c r="E12" s="4" t="s">
        <v>98</v>
      </c>
      <c r="F12" s="4" t="s">
        <v>99</v>
      </c>
      <c r="G12" s="2">
        <v>51623213</v>
      </c>
      <c r="H12" s="4" t="s">
        <v>100</v>
      </c>
      <c r="I12" s="4" t="s">
        <v>46</v>
      </c>
      <c r="J12" s="4" t="s">
        <v>47</v>
      </c>
      <c r="K12" s="4" t="s">
        <v>48</v>
      </c>
      <c r="L12" s="3">
        <v>45992</v>
      </c>
      <c r="M12" s="4" t="s">
        <v>62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88</v>
      </c>
      <c r="U12" s="4" t="s">
        <v>46</v>
      </c>
      <c r="V12" s="5">
        <v>0.08</v>
      </c>
      <c r="W12" s="5">
        <v>0</v>
      </c>
      <c r="X12" s="5">
        <v>100</v>
      </c>
      <c r="Y12" s="5">
        <v>26.08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89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45973</v>
      </c>
      <c r="C13" s="4" t="s">
        <v>101</v>
      </c>
      <c r="D13" s="2">
        <v>1646082</v>
      </c>
      <c r="E13" s="4" t="s">
        <v>102</v>
      </c>
      <c r="F13" s="4" t="s">
        <v>103</v>
      </c>
      <c r="G13" s="2">
        <v>594815113</v>
      </c>
      <c r="H13" s="4" t="s">
        <v>104</v>
      </c>
      <c r="I13" s="4" t="s">
        <v>46</v>
      </c>
      <c r="J13" s="4" t="s">
        <v>47</v>
      </c>
      <c r="K13" s="4" t="s">
        <v>48</v>
      </c>
      <c r="L13" s="3">
        <v>45962</v>
      </c>
      <c r="M13" s="4" t="s">
        <v>49</v>
      </c>
      <c r="N13" s="4" t="s">
        <v>46</v>
      </c>
      <c r="O13" s="4" t="s">
        <v>81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88</v>
      </c>
      <c r="U13" s="4" t="s">
        <v>46</v>
      </c>
      <c r="V13" s="5">
        <v>1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82</v>
      </c>
      <c r="AC13" s="4" t="s">
        <v>46</v>
      </c>
      <c r="AD13" s="5">
        <v>0</v>
      </c>
      <c r="AE13" s="4" t="s">
        <v>83</v>
      </c>
      <c r="AF13" s="3">
        <v>45505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45973</v>
      </c>
      <c r="C14" s="4" t="s">
        <v>101</v>
      </c>
      <c r="D14" s="2">
        <v>1646082</v>
      </c>
      <c r="E14" s="4" t="s">
        <v>106</v>
      </c>
      <c r="F14" s="4" t="s">
        <v>107</v>
      </c>
      <c r="G14" s="2">
        <v>199041520</v>
      </c>
      <c r="H14" s="4" t="s">
        <v>108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62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88</v>
      </c>
      <c r="U14" s="4" t="s">
        <v>46</v>
      </c>
      <c r="V14" s="5">
        <v>0.08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89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45973</v>
      </c>
      <c r="C15" s="4" t="s">
        <v>109</v>
      </c>
      <c r="D15" s="2">
        <v>1673763</v>
      </c>
      <c r="E15" s="4" t="s">
        <v>110</v>
      </c>
      <c r="F15" s="4" t="s">
        <v>111</v>
      </c>
      <c r="G15" s="2">
        <v>477130294</v>
      </c>
      <c r="H15" s="4" t="s">
        <v>112</v>
      </c>
      <c r="I15" s="4" t="s">
        <v>46</v>
      </c>
      <c r="J15" s="4" t="s">
        <v>47</v>
      </c>
      <c r="K15" s="4" t="s">
        <v>48</v>
      </c>
      <c r="L15" s="3">
        <v>45962</v>
      </c>
      <c r="M15" s="4" t="s">
        <v>49</v>
      </c>
      <c r="N15" s="4" t="s">
        <v>46</v>
      </c>
      <c r="O15" s="4" t="s">
        <v>81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1</v>
      </c>
      <c r="W15" s="5">
        <v>0</v>
      </c>
      <c r="X15" s="5">
        <v>100</v>
      </c>
      <c r="Y15" s="5">
        <v>29.41</v>
      </c>
      <c r="Z15" s="4" t="s">
        <v>46</v>
      </c>
      <c r="AA15" s="5" t="s">
        <v>46</v>
      </c>
      <c r="AB15" s="4" t="s">
        <v>82</v>
      </c>
      <c r="AC15" s="4" t="s">
        <v>46</v>
      </c>
      <c r="AD15" s="5">
        <v>0</v>
      </c>
      <c r="AE15" s="4" t="s">
        <v>83</v>
      </c>
      <c r="AF15" s="3">
        <v>45292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113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45973</v>
      </c>
      <c r="C16" s="4" t="s">
        <v>109</v>
      </c>
      <c r="D16" s="2">
        <v>1673763</v>
      </c>
      <c r="E16" s="4" t="s">
        <v>114</v>
      </c>
      <c r="F16" s="4" t="s">
        <v>115</v>
      </c>
      <c r="G16" s="2">
        <v>731314054</v>
      </c>
      <c r="H16" s="4" t="s">
        <v>116</v>
      </c>
      <c r="I16" s="4" t="s">
        <v>46</v>
      </c>
      <c r="J16" s="4" t="s">
        <v>47</v>
      </c>
      <c r="K16" s="4" t="s">
        <v>48</v>
      </c>
      <c r="L16" s="3">
        <v>45962</v>
      </c>
      <c r="M16" s="4" t="s">
        <v>49</v>
      </c>
      <c r="N16" s="4" t="s">
        <v>46</v>
      </c>
      <c r="O16" s="4" t="s">
        <v>81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1</v>
      </c>
      <c r="W16" s="5">
        <v>0</v>
      </c>
      <c r="X16" s="5">
        <v>100</v>
      </c>
      <c r="Y16" s="5">
        <v>29.41</v>
      </c>
      <c r="Z16" s="4" t="s">
        <v>46</v>
      </c>
      <c r="AA16" s="5" t="s">
        <v>46</v>
      </c>
      <c r="AB16" s="4" t="s">
        <v>82</v>
      </c>
      <c r="AC16" s="4" t="s">
        <v>46</v>
      </c>
      <c r="AD16" s="5">
        <v>0</v>
      </c>
      <c r="AE16" s="4" t="s">
        <v>83</v>
      </c>
      <c r="AF16" s="3">
        <v>45170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113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45973</v>
      </c>
      <c r="C17" s="4" t="s">
        <v>109</v>
      </c>
      <c r="D17" s="2">
        <v>1673763</v>
      </c>
      <c r="E17" s="4" t="s">
        <v>117</v>
      </c>
      <c r="F17" s="4" t="s">
        <v>118</v>
      </c>
      <c r="G17" s="2">
        <v>922417041</v>
      </c>
      <c r="H17" s="4" t="s">
        <v>119</v>
      </c>
      <c r="I17" s="4" t="s">
        <v>46</v>
      </c>
      <c r="J17" s="4" t="s">
        <v>47</v>
      </c>
      <c r="K17" s="4" t="s">
        <v>48</v>
      </c>
      <c r="L17" s="3">
        <v>45962</v>
      </c>
      <c r="M17" s="4" t="s">
        <v>49</v>
      </c>
      <c r="N17" s="4" t="s">
        <v>46</v>
      </c>
      <c r="O17" s="4" t="s">
        <v>81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1</v>
      </c>
      <c r="W17" s="5">
        <v>0</v>
      </c>
      <c r="X17" s="5">
        <v>100</v>
      </c>
      <c r="Y17" s="5">
        <v>29.41</v>
      </c>
      <c r="Z17" s="4" t="s">
        <v>46</v>
      </c>
      <c r="AA17" s="5" t="s">
        <v>46</v>
      </c>
      <c r="AB17" s="4" t="s">
        <v>82</v>
      </c>
      <c r="AC17" s="4" t="s">
        <v>46</v>
      </c>
      <c r="AD17" s="5">
        <v>0</v>
      </c>
      <c r="AE17" s="4" t="s">
        <v>83</v>
      </c>
      <c r="AF17" s="3">
        <v>45292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113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45973</v>
      </c>
      <c r="C18" s="4" t="s">
        <v>109</v>
      </c>
      <c r="D18" s="2">
        <v>1673763</v>
      </c>
      <c r="E18" s="4" t="s">
        <v>120</v>
      </c>
      <c r="F18" s="4" t="s">
        <v>121</v>
      </c>
      <c r="G18" s="2">
        <v>544214490</v>
      </c>
      <c r="H18" s="4" t="s">
        <v>122</v>
      </c>
      <c r="I18" s="4" t="s">
        <v>46</v>
      </c>
      <c r="J18" s="4" t="s">
        <v>47</v>
      </c>
      <c r="K18" s="4" t="s">
        <v>48</v>
      </c>
      <c r="L18" s="3">
        <v>45962</v>
      </c>
      <c r="M18" s="4" t="s">
        <v>49</v>
      </c>
      <c r="N18" s="4" t="s">
        <v>46</v>
      </c>
      <c r="O18" s="4" t="s">
        <v>81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1</v>
      </c>
      <c r="W18" s="5">
        <v>0</v>
      </c>
      <c r="X18" s="5">
        <v>100</v>
      </c>
      <c r="Y18" s="5">
        <v>29.41</v>
      </c>
      <c r="Z18" s="4" t="s">
        <v>46</v>
      </c>
      <c r="AA18" s="5" t="s">
        <v>46</v>
      </c>
      <c r="AB18" s="4" t="s">
        <v>82</v>
      </c>
      <c r="AC18" s="4" t="s">
        <v>46</v>
      </c>
      <c r="AD18" s="5">
        <v>0</v>
      </c>
      <c r="AE18" s="4" t="s">
        <v>83</v>
      </c>
      <c r="AF18" s="3">
        <v>45292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113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45973</v>
      </c>
      <c r="C19" s="4" t="s">
        <v>109</v>
      </c>
      <c r="D19" s="2">
        <v>1673763</v>
      </c>
      <c r="E19" s="4" t="s">
        <v>123</v>
      </c>
      <c r="F19" s="4" t="s">
        <v>124</v>
      </c>
      <c r="G19" s="2">
        <v>666735010</v>
      </c>
      <c r="H19" s="4" t="s">
        <v>125</v>
      </c>
      <c r="I19" s="4" t="s">
        <v>46</v>
      </c>
      <c r="J19" s="4" t="s">
        <v>47</v>
      </c>
      <c r="K19" s="4" t="s">
        <v>48</v>
      </c>
      <c r="L19" s="3">
        <v>45962</v>
      </c>
      <c r="M19" s="4" t="s">
        <v>49</v>
      </c>
      <c r="N19" s="4" t="s">
        <v>46</v>
      </c>
      <c r="O19" s="4" t="s">
        <v>81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1</v>
      </c>
      <c r="W19" s="5">
        <v>0</v>
      </c>
      <c r="X19" s="5">
        <v>100</v>
      </c>
      <c r="Y19" s="5">
        <v>29.41</v>
      </c>
      <c r="Z19" s="4" t="s">
        <v>46</v>
      </c>
      <c r="AA19" s="5" t="s">
        <v>46</v>
      </c>
      <c r="AB19" s="4" t="s">
        <v>82</v>
      </c>
      <c r="AC19" s="4" t="s">
        <v>46</v>
      </c>
      <c r="AD19" s="5">
        <v>0</v>
      </c>
      <c r="AE19" s="4" t="s">
        <v>83</v>
      </c>
      <c r="AF19" s="3">
        <v>45292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113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45973</v>
      </c>
      <c r="C20" s="4" t="s">
        <v>109</v>
      </c>
      <c r="D20" s="2">
        <v>1673763</v>
      </c>
      <c r="E20" s="4" t="s">
        <v>126</v>
      </c>
      <c r="F20" s="4" t="s">
        <v>127</v>
      </c>
      <c r="G20" s="2">
        <v>516390555</v>
      </c>
      <c r="H20" s="4" t="s">
        <v>128</v>
      </c>
      <c r="I20" s="4" t="s">
        <v>46</v>
      </c>
      <c r="J20" s="4" t="s">
        <v>47</v>
      </c>
      <c r="K20" s="4" t="s">
        <v>48</v>
      </c>
      <c r="L20" s="3">
        <v>45962</v>
      </c>
      <c r="M20" s="4" t="s">
        <v>49</v>
      </c>
      <c r="N20" s="4" t="s">
        <v>46</v>
      </c>
      <c r="O20" s="4" t="s">
        <v>81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1</v>
      </c>
      <c r="W20" s="5">
        <v>0</v>
      </c>
      <c r="X20" s="5">
        <v>100</v>
      </c>
      <c r="Y20" s="5">
        <v>29.41</v>
      </c>
      <c r="Z20" s="4" t="s">
        <v>46</v>
      </c>
      <c r="AA20" s="5" t="s">
        <v>46</v>
      </c>
      <c r="AB20" s="4" t="s">
        <v>82</v>
      </c>
      <c r="AC20" s="4" t="s">
        <v>46</v>
      </c>
      <c r="AD20" s="5">
        <v>0</v>
      </c>
      <c r="AE20" s="4" t="s">
        <v>83</v>
      </c>
      <c r="AF20" s="3">
        <v>45292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113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45973</v>
      </c>
      <c r="C21" s="4" t="s">
        <v>109</v>
      </c>
      <c r="D21" s="2">
        <v>1673763</v>
      </c>
      <c r="E21" s="4" t="s">
        <v>129</v>
      </c>
      <c r="F21" s="4" t="s">
        <v>130</v>
      </c>
      <c r="G21" s="2">
        <v>225568385</v>
      </c>
      <c r="H21" s="4" t="s">
        <v>131</v>
      </c>
      <c r="I21" s="4" t="s">
        <v>46</v>
      </c>
      <c r="J21" s="4" t="s">
        <v>47</v>
      </c>
      <c r="K21" s="4" t="s">
        <v>48</v>
      </c>
      <c r="L21" s="3">
        <v>45962</v>
      </c>
      <c r="M21" s="4" t="s">
        <v>49</v>
      </c>
      <c r="N21" s="4" t="s">
        <v>46</v>
      </c>
      <c r="O21" s="4" t="s">
        <v>81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1</v>
      </c>
      <c r="W21" s="5">
        <v>0</v>
      </c>
      <c r="X21" s="5">
        <v>100</v>
      </c>
      <c r="Y21" s="5">
        <v>29.41</v>
      </c>
      <c r="Z21" s="4" t="s">
        <v>46</v>
      </c>
      <c r="AA21" s="5" t="s">
        <v>46</v>
      </c>
      <c r="AB21" s="4" t="s">
        <v>82</v>
      </c>
      <c r="AC21" s="4" t="s">
        <v>46</v>
      </c>
      <c r="AD21" s="5">
        <v>0</v>
      </c>
      <c r="AE21" s="4" t="s">
        <v>83</v>
      </c>
      <c r="AF21" s="3">
        <v>45383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113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45973</v>
      </c>
      <c r="C22" s="4" t="s">
        <v>109</v>
      </c>
      <c r="D22" s="2">
        <v>1673763</v>
      </c>
      <c r="E22" s="4" t="s">
        <v>132</v>
      </c>
      <c r="F22" s="4" t="s">
        <v>133</v>
      </c>
      <c r="G22" s="2">
        <v>584119114</v>
      </c>
      <c r="H22" s="4" t="s">
        <v>134</v>
      </c>
      <c r="I22" s="4" t="s">
        <v>46</v>
      </c>
      <c r="J22" s="4" t="s">
        <v>47</v>
      </c>
      <c r="K22" s="4" t="s">
        <v>48</v>
      </c>
      <c r="L22" s="3">
        <v>45962</v>
      </c>
      <c r="M22" s="4" t="s">
        <v>49</v>
      </c>
      <c r="N22" s="4" t="s">
        <v>46</v>
      </c>
      <c r="O22" s="4" t="s">
        <v>81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1</v>
      </c>
      <c r="W22" s="5">
        <v>0</v>
      </c>
      <c r="X22" s="5">
        <v>100</v>
      </c>
      <c r="Y22" s="5">
        <v>29.41</v>
      </c>
      <c r="Z22" s="4" t="s">
        <v>46</v>
      </c>
      <c r="AA22" s="5" t="s">
        <v>46</v>
      </c>
      <c r="AB22" s="4" t="s">
        <v>82</v>
      </c>
      <c r="AC22" s="4" t="s">
        <v>46</v>
      </c>
      <c r="AD22" s="5">
        <v>0</v>
      </c>
      <c r="AE22" s="4" t="s">
        <v>83</v>
      </c>
      <c r="AF22" s="3">
        <v>45566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113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45973</v>
      </c>
      <c r="C23" s="4" t="s">
        <v>135</v>
      </c>
      <c r="D23" s="2">
        <v>1703942</v>
      </c>
      <c r="E23" s="4" t="s">
        <v>136</v>
      </c>
      <c r="F23" s="4" t="s">
        <v>137</v>
      </c>
      <c r="G23" s="2">
        <v>207016450</v>
      </c>
      <c r="H23" s="4" t="s">
        <v>138</v>
      </c>
      <c r="I23" s="4" t="s">
        <v>46</v>
      </c>
      <c r="J23" s="4" t="s">
        <v>47</v>
      </c>
      <c r="K23" s="4" t="s">
        <v>48</v>
      </c>
      <c r="L23" s="3">
        <v>45962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88</v>
      </c>
      <c r="U23" s="4" t="s">
        <v>46</v>
      </c>
      <c r="V23" s="5">
        <v>0.17</v>
      </c>
      <c r="W23" s="5">
        <v>0</v>
      </c>
      <c r="X23" s="5">
        <v>100</v>
      </c>
      <c r="Y23" s="5">
        <v>52.17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45962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89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45973</v>
      </c>
      <c r="C24" s="4" t="s">
        <v>135</v>
      </c>
      <c r="D24" s="2">
        <v>1703942</v>
      </c>
      <c r="E24" s="4" t="s">
        <v>139</v>
      </c>
      <c r="F24" s="4" t="s">
        <v>140</v>
      </c>
      <c r="G24" s="2">
        <v>270796304</v>
      </c>
      <c r="H24" s="4" t="s">
        <v>141</v>
      </c>
      <c r="I24" s="4" t="s">
        <v>46</v>
      </c>
      <c r="J24" s="4" t="s">
        <v>47</v>
      </c>
      <c r="K24" s="4" t="s">
        <v>48</v>
      </c>
      <c r="L24" s="3">
        <v>45962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88</v>
      </c>
      <c r="U24" s="4" t="s">
        <v>46</v>
      </c>
      <c r="V24" s="5">
        <v>0.17</v>
      </c>
      <c r="W24" s="5">
        <v>0</v>
      </c>
      <c r="X24" s="5">
        <v>100</v>
      </c>
      <c r="Y24" s="5">
        <v>52.17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45962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89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45973</v>
      </c>
      <c r="C25" s="4" t="s">
        <v>135</v>
      </c>
      <c r="D25" s="2">
        <v>1703942</v>
      </c>
      <c r="E25" s="4" t="s">
        <v>142</v>
      </c>
      <c r="F25" s="4" t="s">
        <v>143</v>
      </c>
      <c r="G25" s="2">
        <v>721742073</v>
      </c>
      <c r="H25" s="4" t="s">
        <v>144</v>
      </c>
      <c r="I25" s="4" t="s">
        <v>46</v>
      </c>
      <c r="J25" s="4" t="s">
        <v>47</v>
      </c>
      <c r="K25" s="4" t="s">
        <v>48</v>
      </c>
      <c r="L25" s="3">
        <v>45962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88</v>
      </c>
      <c r="U25" s="4" t="s">
        <v>46</v>
      </c>
      <c r="V25" s="5">
        <v>0.17</v>
      </c>
      <c r="W25" s="5">
        <v>0</v>
      </c>
      <c r="X25" s="5">
        <v>100</v>
      </c>
      <c r="Y25" s="5">
        <v>52.17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45962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89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45973</v>
      </c>
      <c r="C26" s="4" t="s">
        <v>145</v>
      </c>
      <c r="D26" s="2">
        <v>1800776</v>
      </c>
      <c r="E26" s="4" t="s">
        <v>146</v>
      </c>
      <c r="F26" s="4" t="s">
        <v>147</v>
      </c>
      <c r="G26" s="2">
        <v>55842012</v>
      </c>
      <c r="H26" s="4" t="s">
        <v>148</v>
      </c>
      <c r="I26" s="4" t="s">
        <v>46</v>
      </c>
      <c r="J26" s="4" t="s">
        <v>47</v>
      </c>
      <c r="K26" s="4" t="s">
        <v>48</v>
      </c>
      <c r="L26" s="3">
        <v>45992</v>
      </c>
      <c r="M26" s="4" t="s">
        <v>62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88</v>
      </c>
      <c r="U26" s="4" t="s">
        <v>46</v>
      </c>
      <c r="V26" s="5">
        <v>-0.08</v>
      </c>
      <c r="W26" s="5">
        <v>0</v>
      </c>
      <c r="X26" s="5">
        <v>100</v>
      </c>
      <c r="Y26" s="5">
        <v>-26.08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45992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89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45973</v>
      </c>
      <c r="C27" s="4" t="s">
        <v>145</v>
      </c>
      <c r="D27" s="2">
        <v>1800776</v>
      </c>
      <c r="E27" s="4" t="s">
        <v>149</v>
      </c>
      <c r="F27" s="4" t="s">
        <v>150</v>
      </c>
      <c r="G27" s="2">
        <v>466137093</v>
      </c>
      <c r="H27" s="4" t="s">
        <v>151</v>
      </c>
      <c r="I27" s="4" t="s">
        <v>46</v>
      </c>
      <c r="J27" s="4" t="s">
        <v>47</v>
      </c>
      <c r="K27" s="4" t="s">
        <v>48</v>
      </c>
      <c r="L27" s="3">
        <v>45962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88</v>
      </c>
      <c r="U27" s="4" t="s">
        <v>46</v>
      </c>
      <c r="V27" s="5">
        <v>0.17</v>
      </c>
      <c r="W27" s="5">
        <v>0</v>
      </c>
      <c r="X27" s="5">
        <v>100</v>
      </c>
      <c r="Y27" s="5">
        <v>52.17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45962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89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45973</v>
      </c>
      <c r="C28" s="4" t="s">
        <v>152</v>
      </c>
      <c r="D28" s="2">
        <v>1831491</v>
      </c>
      <c r="E28" s="4" t="s">
        <v>153</v>
      </c>
      <c r="F28" s="4" t="s">
        <v>154</v>
      </c>
      <c r="G28" s="2">
        <v>273393659</v>
      </c>
      <c r="H28" s="4" t="s">
        <v>155</v>
      </c>
      <c r="I28" s="4" t="s">
        <v>46</v>
      </c>
      <c r="J28" s="4" t="s">
        <v>47</v>
      </c>
      <c r="K28" s="4" t="s">
        <v>48</v>
      </c>
      <c r="L28" s="3">
        <v>45658</v>
      </c>
      <c r="M28" s="4" t="s">
        <v>76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-0.17</v>
      </c>
      <c r="W28" s="5">
        <v>0</v>
      </c>
      <c r="X28" s="5">
        <v>100</v>
      </c>
      <c r="Y28" s="5">
        <v>-52.17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63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45973</v>
      </c>
      <c r="C29" s="4" t="s">
        <v>152</v>
      </c>
      <c r="D29" s="2">
        <v>1831491</v>
      </c>
      <c r="E29" s="4" t="s">
        <v>156</v>
      </c>
      <c r="F29" s="4" t="s">
        <v>157</v>
      </c>
      <c r="G29" s="2">
        <v>135544202</v>
      </c>
      <c r="H29" s="4" t="s">
        <v>158</v>
      </c>
      <c r="I29" s="4" t="s">
        <v>46</v>
      </c>
      <c r="J29" s="4" t="s">
        <v>47</v>
      </c>
      <c r="K29" s="4" t="s">
        <v>48</v>
      </c>
      <c r="L29" s="3">
        <v>45992</v>
      </c>
      <c r="M29" s="4" t="s">
        <v>62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0.08</v>
      </c>
      <c r="W29" s="5">
        <v>0</v>
      </c>
      <c r="X29" s="5">
        <v>100</v>
      </c>
      <c r="Y29" s="5">
        <v>26.08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45992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63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45973</v>
      </c>
      <c r="C30" s="4" t="s">
        <v>159</v>
      </c>
      <c r="D30" s="2">
        <v>1986712</v>
      </c>
      <c r="E30" s="4" t="s">
        <v>160</v>
      </c>
      <c r="F30" s="4" t="s">
        <v>161</v>
      </c>
      <c r="G30" s="2">
        <v>514648223</v>
      </c>
      <c r="H30" s="4" t="s">
        <v>162</v>
      </c>
      <c r="I30" s="4" t="s">
        <v>46</v>
      </c>
      <c r="J30" s="4" t="s">
        <v>47</v>
      </c>
      <c r="K30" s="4" t="s">
        <v>48</v>
      </c>
      <c r="L30" s="3">
        <v>45992</v>
      </c>
      <c r="M30" s="4" t="s">
        <v>62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0.08</v>
      </c>
      <c r="W30" s="5">
        <v>0</v>
      </c>
      <c r="X30" s="5">
        <v>100</v>
      </c>
      <c r="Y30" s="5">
        <v>26.08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45992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63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45973</v>
      </c>
      <c r="C31" s="4" t="s">
        <v>163</v>
      </c>
      <c r="D31" s="2">
        <v>1509744</v>
      </c>
      <c r="E31" s="4" t="s">
        <v>164</v>
      </c>
      <c r="F31" s="4" t="s">
        <v>165</v>
      </c>
      <c r="G31" s="4" t="s">
        <v>46</v>
      </c>
      <c r="H31" s="4" t="s">
        <v>46</v>
      </c>
      <c r="I31" s="4" t="s">
        <v>46</v>
      </c>
      <c r="J31" s="4" t="s">
        <v>166</v>
      </c>
      <c r="K31" s="4" t="s">
        <v>167</v>
      </c>
      <c r="L31" s="3">
        <v>45992</v>
      </c>
      <c r="M31" s="4" t="s">
        <v>62</v>
      </c>
      <c r="N31" s="4" t="s">
        <v>46</v>
      </c>
      <c r="O31" s="4" t="s">
        <v>81</v>
      </c>
      <c r="P31" s="4" t="s">
        <v>81</v>
      </c>
      <c r="Q31" s="2">
        <v>2</v>
      </c>
      <c r="R31" s="2">
        <v>60</v>
      </c>
      <c r="S31" s="4" t="s">
        <v>168</v>
      </c>
      <c r="T31" s="4" t="s">
        <v>46</v>
      </c>
      <c r="U31" s="4" t="s">
        <v>46</v>
      </c>
      <c r="V31" s="5">
        <v>10</v>
      </c>
      <c r="W31" s="5">
        <v>26.88</v>
      </c>
      <c r="X31" s="5">
        <v>100</v>
      </c>
      <c r="Y31" s="5">
        <v>2.69</v>
      </c>
      <c r="Z31" s="4" t="s">
        <v>46</v>
      </c>
      <c r="AA31" s="5" t="s">
        <v>46</v>
      </c>
      <c r="AB31" s="4" t="s">
        <v>169</v>
      </c>
      <c r="AC31" s="4" t="s">
        <v>46</v>
      </c>
      <c r="AD31" s="5">
        <v>0</v>
      </c>
      <c r="AE31" s="4" t="s">
        <v>170</v>
      </c>
      <c r="AF31" s="3">
        <v>45323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45973</v>
      </c>
      <c r="C32" s="4" t="s">
        <v>163</v>
      </c>
      <c r="D32" s="2">
        <v>1509744</v>
      </c>
      <c r="E32" s="4" t="s">
        <v>171</v>
      </c>
      <c r="F32" s="4" t="s">
        <v>172</v>
      </c>
      <c r="G32" s="4" t="s">
        <v>46</v>
      </c>
      <c r="H32" s="4" t="s">
        <v>46</v>
      </c>
      <c r="I32" s="4" t="s">
        <v>46</v>
      </c>
      <c r="J32" s="4" t="s">
        <v>166</v>
      </c>
      <c r="K32" s="4" t="s">
        <v>167</v>
      </c>
      <c r="L32" s="3">
        <v>45992</v>
      </c>
      <c r="M32" s="4" t="s">
        <v>62</v>
      </c>
      <c r="N32" s="4" t="s">
        <v>46</v>
      </c>
      <c r="O32" s="4" t="s">
        <v>50</v>
      </c>
      <c r="P32" s="4" t="s">
        <v>81</v>
      </c>
      <c r="Q32" s="2">
        <v>1</v>
      </c>
      <c r="R32" s="2">
        <v>60</v>
      </c>
      <c r="S32" s="4" t="s">
        <v>168</v>
      </c>
      <c r="T32" s="4" t="s">
        <v>46</v>
      </c>
      <c r="U32" s="4" t="s">
        <v>46</v>
      </c>
      <c r="V32" s="5">
        <v>10</v>
      </c>
      <c r="W32" s="5">
        <v>14.93</v>
      </c>
      <c r="X32" s="5">
        <v>100</v>
      </c>
      <c r="Y32" s="5">
        <v>1.49</v>
      </c>
      <c r="Z32" s="4" t="s">
        <v>46</v>
      </c>
      <c r="AA32" s="5" t="s">
        <v>46</v>
      </c>
      <c r="AB32" s="4" t="s">
        <v>173</v>
      </c>
      <c r="AC32" s="4" t="s">
        <v>46</v>
      </c>
      <c r="AD32" s="5">
        <v>0</v>
      </c>
      <c r="AE32" s="4" t="s">
        <v>174</v>
      </c>
      <c r="AF32" s="3">
        <v>45622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45973</v>
      </c>
      <c r="C33" s="4" t="s">
        <v>175</v>
      </c>
      <c r="D33" s="2">
        <v>1509841</v>
      </c>
      <c r="E33" s="4" t="s">
        <v>176</v>
      </c>
      <c r="F33" s="4" t="s">
        <v>177</v>
      </c>
      <c r="G33" s="4" t="s">
        <v>46</v>
      </c>
      <c r="H33" s="4" t="s">
        <v>46</v>
      </c>
      <c r="I33" s="4" t="s">
        <v>46</v>
      </c>
      <c r="J33" s="4" t="s">
        <v>178</v>
      </c>
      <c r="K33" s="4" t="s">
        <v>179</v>
      </c>
      <c r="L33" s="3">
        <v>45962</v>
      </c>
      <c r="M33" s="4" t="s">
        <v>49</v>
      </c>
      <c r="N33" s="4" t="s">
        <v>46</v>
      </c>
      <c r="O33" s="4" t="s">
        <v>50</v>
      </c>
      <c r="P33" s="4" t="s">
        <v>81</v>
      </c>
      <c r="Q33" s="2">
        <v>6</v>
      </c>
      <c r="R33" s="2">
        <v>3</v>
      </c>
      <c r="S33" s="4" t="s">
        <v>180</v>
      </c>
      <c r="T33" s="4" t="s">
        <v>46</v>
      </c>
      <c r="U33" s="4" t="s">
        <v>46</v>
      </c>
      <c r="V33" s="5">
        <v>10</v>
      </c>
      <c r="W33" s="5">
        <v>414.6</v>
      </c>
      <c r="X33" s="5">
        <v>100</v>
      </c>
      <c r="Y33" s="5">
        <v>41.46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45658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45973</v>
      </c>
      <c r="C34" s="4" t="s">
        <v>175</v>
      </c>
      <c r="D34" s="2">
        <v>1509841</v>
      </c>
      <c r="E34" s="4" t="s">
        <v>176</v>
      </c>
      <c r="F34" s="4" t="s">
        <v>177</v>
      </c>
      <c r="G34" s="4" t="s">
        <v>46</v>
      </c>
      <c r="H34" s="4" t="s">
        <v>46</v>
      </c>
      <c r="I34" s="4" t="s">
        <v>46</v>
      </c>
      <c r="J34" s="4" t="s">
        <v>178</v>
      </c>
      <c r="K34" s="4" t="s">
        <v>179</v>
      </c>
      <c r="L34" s="3">
        <v>45962</v>
      </c>
      <c r="M34" s="4" t="s">
        <v>49</v>
      </c>
      <c r="N34" s="4" t="s">
        <v>46</v>
      </c>
      <c r="O34" s="4" t="s">
        <v>50</v>
      </c>
      <c r="P34" s="4" t="s">
        <v>81</v>
      </c>
      <c r="Q34" s="2">
        <v>5</v>
      </c>
      <c r="R34" s="2">
        <v>60</v>
      </c>
      <c r="S34" s="4" t="s">
        <v>168</v>
      </c>
      <c r="T34" s="4" t="s">
        <v>46</v>
      </c>
      <c r="U34" s="4" t="s">
        <v>46</v>
      </c>
      <c r="V34" s="5">
        <v>10</v>
      </c>
      <c r="W34" s="5">
        <v>49.38</v>
      </c>
      <c r="X34" s="5">
        <v>100</v>
      </c>
      <c r="Y34" s="5">
        <v>4.9400000000000004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45973</v>
      </c>
      <c r="C35" s="4" t="s">
        <v>181</v>
      </c>
      <c r="D35" s="2">
        <v>1510085</v>
      </c>
      <c r="E35" s="4" t="s">
        <v>182</v>
      </c>
      <c r="F35" s="4" t="s">
        <v>183</v>
      </c>
      <c r="G35" s="4" t="s">
        <v>46</v>
      </c>
      <c r="H35" s="4" t="s">
        <v>46</v>
      </c>
      <c r="I35" s="4" t="s">
        <v>46</v>
      </c>
      <c r="J35" s="4" t="s">
        <v>178</v>
      </c>
      <c r="K35" s="4" t="s">
        <v>179</v>
      </c>
      <c r="L35" s="3">
        <v>45962</v>
      </c>
      <c r="M35" s="4" t="s">
        <v>49</v>
      </c>
      <c r="N35" s="4" t="s">
        <v>46</v>
      </c>
      <c r="O35" s="4" t="s">
        <v>81</v>
      </c>
      <c r="P35" s="4" t="s">
        <v>81</v>
      </c>
      <c r="Q35" s="2">
        <v>3</v>
      </c>
      <c r="R35" s="2">
        <v>3</v>
      </c>
      <c r="S35" s="4" t="s">
        <v>180</v>
      </c>
      <c r="T35" s="4" t="s">
        <v>46</v>
      </c>
      <c r="U35" s="4" t="s">
        <v>46</v>
      </c>
      <c r="V35" s="5">
        <v>10</v>
      </c>
      <c r="W35" s="5">
        <v>635.22</v>
      </c>
      <c r="X35" s="5">
        <v>100</v>
      </c>
      <c r="Y35" s="5">
        <v>63.52</v>
      </c>
      <c r="Z35" s="4" t="s">
        <v>46</v>
      </c>
      <c r="AA35" s="5" t="s">
        <v>46</v>
      </c>
      <c r="AB35" s="4" t="s">
        <v>82</v>
      </c>
      <c r="AC35" s="4" t="s">
        <v>46</v>
      </c>
      <c r="AD35" s="5">
        <v>0</v>
      </c>
      <c r="AE35" s="4" t="s">
        <v>83</v>
      </c>
      <c r="AF35" s="3">
        <v>44562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46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45973</v>
      </c>
      <c r="C36" s="4" t="s">
        <v>181</v>
      </c>
      <c r="D36" s="2">
        <v>1510085</v>
      </c>
      <c r="E36" s="4" t="s">
        <v>182</v>
      </c>
      <c r="F36" s="4" t="s">
        <v>183</v>
      </c>
      <c r="G36" s="4" t="s">
        <v>46</v>
      </c>
      <c r="H36" s="4" t="s">
        <v>46</v>
      </c>
      <c r="I36" s="4" t="s">
        <v>46</v>
      </c>
      <c r="J36" s="4" t="s">
        <v>178</v>
      </c>
      <c r="K36" s="4" t="s">
        <v>179</v>
      </c>
      <c r="L36" s="3">
        <v>45962</v>
      </c>
      <c r="M36" s="4" t="s">
        <v>49</v>
      </c>
      <c r="N36" s="4" t="s">
        <v>46</v>
      </c>
      <c r="O36" s="4" t="s">
        <v>81</v>
      </c>
      <c r="P36" s="4" t="s">
        <v>81</v>
      </c>
      <c r="Q36" s="2">
        <v>3</v>
      </c>
      <c r="R36" s="2">
        <v>60</v>
      </c>
      <c r="S36" s="4" t="s">
        <v>168</v>
      </c>
      <c r="T36" s="4" t="s">
        <v>46</v>
      </c>
      <c r="U36" s="4" t="s">
        <v>46</v>
      </c>
      <c r="V36" s="5">
        <v>10</v>
      </c>
      <c r="W36" s="5">
        <v>68.05</v>
      </c>
      <c r="X36" s="5">
        <v>100</v>
      </c>
      <c r="Y36" s="5">
        <v>6.81</v>
      </c>
      <c r="Z36" s="4" t="s">
        <v>46</v>
      </c>
      <c r="AA36" s="5" t="s">
        <v>46</v>
      </c>
      <c r="AB36" s="4" t="s">
        <v>82</v>
      </c>
      <c r="AC36" s="4" t="s">
        <v>46</v>
      </c>
      <c r="AD36" s="5">
        <v>0</v>
      </c>
      <c r="AE36" s="4" t="s">
        <v>83</v>
      </c>
      <c r="AF36" s="3">
        <v>44562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46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45973</v>
      </c>
      <c r="C37" s="4" t="s">
        <v>184</v>
      </c>
      <c r="D37" s="2">
        <v>1524629</v>
      </c>
      <c r="E37" s="4" t="s">
        <v>185</v>
      </c>
      <c r="F37" s="4" t="s">
        <v>186</v>
      </c>
      <c r="G37" s="4" t="s">
        <v>46</v>
      </c>
      <c r="H37" s="4" t="s">
        <v>46</v>
      </c>
      <c r="I37" s="4" t="s">
        <v>46</v>
      </c>
      <c r="J37" s="4" t="s">
        <v>187</v>
      </c>
      <c r="K37" s="4" t="s">
        <v>48</v>
      </c>
      <c r="L37" s="3">
        <v>45962</v>
      </c>
      <c r="M37" s="4" t="s">
        <v>49</v>
      </c>
      <c r="N37" s="4" t="s">
        <v>46</v>
      </c>
      <c r="O37" s="4" t="s">
        <v>81</v>
      </c>
      <c r="P37" s="4" t="s">
        <v>81</v>
      </c>
      <c r="Q37" s="2">
        <v>1</v>
      </c>
      <c r="R37" s="2">
        <v>17</v>
      </c>
      <c r="S37" s="4" t="s">
        <v>51</v>
      </c>
      <c r="T37" s="4" t="s">
        <v>46</v>
      </c>
      <c r="U37" s="4" t="s">
        <v>46</v>
      </c>
      <c r="V37" s="5">
        <v>26</v>
      </c>
      <c r="W37" s="5">
        <v>147.1</v>
      </c>
      <c r="X37" s="5">
        <v>100</v>
      </c>
      <c r="Y37" s="5">
        <v>38.25</v>
      </c>
      <c r="Z37" s="5">
        <v>0</v>
      </c>
      <c r="AA37" s="5">
        <v>0</v>
      </c>
      <c r="AB37" s="4" t="s">
        <v>188</v>
      </c>
      <c r="AC37" s="4" t="s">
        <v>46</v>
      </c>
      <c r="AD37" s="5">
        <v>0</v>
      </c>
      <c r="AE37" s="4" t="s">
        <v>189</v>
      </c>
      <c r="AF37" s="3">
        <v>45292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46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45973</v>
      </c>
      <c r="C38" s="4" t="s">
        <v>190</v>
      </c>
      <c r="D38" s="2">
        <v>1545980</v>
      </c>
      <c r="E38" s="4" t="s">
        <v>191</v>
      </c>
      <c r="F38" s="4" t="s">
        <v>192</v>
      </c>
      <c r="G38" s="4" t="s">
        <v>46</v>
      </c>
      <c r="H38" s="4" t="s">
        <v>46</v>
      </c>
      <c r="I38" s="4" t="s">
        <v>46</v>
      </c>
      <c r="J38" s="4" t="s">
        <v>187</v>
      </c>
      <c r="K38" s="4" t="s">
        <v>48</v>
      </c>
      <c r="L38" s="3">
        <v>45962</v>
      </c>
      <c r="M38" s="4" t="s">
        <v>49</v>
      </c>
      <c r="N38" s="4" t="s">
        <v>46</v>
      </c>
      <c r="O38" s="4" t="s">
        <v>50</v>
      </c>
      <c r="P38" s="4" t="s">
        <v>81</v>
      </c>
      <c r="Q38" s="2">
        <v>1</v>
      </c>
      <c r="R38" s="2">
        <v>17</v>
      </c>
      <c r="S38" s="4" t="s">
        <v>51</v>
      </c>
      <c r="T38" s="4" t="s">
        <v>46</v>
      </c>
      <c r="U38" s="4" t="s">
        <v>46</v>
      </c>
      <c r="V38" s="5">
        <v>15</v>
      </c>
      <c r="W38" s="5">
        <v>1622.64</v>
      </c>
      <c r="X38" s="5">
        <v>100</v>
      </c>
      <c r="Y38" s="5">
        <v>243.36</v>
      </c>
      <c r="Z38" s="5">
        <v>0</v>
      </c>
      <c r="AA38" s="5">
        <v>0</v>
      </c>
      <c r="AB38" s="4" t="s">
        <v>193</v>
      </c>
      <c r="AC38" s="4" t="s">
        <v>46</v>
      </c>
      <c r="AD38" s="5">
        <v>0</v>
      </c>
      <c r="AE38" s="4" t="s">
        <v>194</v>
      </c>
      <c r="AF38" s="3">
        <v>45962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46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45973</v>
      </c>
      <c r="C39" s="4" t="s">
        <v>190</v>
      </c>
      <c r="D39" s="2">
        <v>1545980</v>
      </c>
      <c r="E39" s="4" t="s">
        <v>195</v>
      </c>
      <c r="F39" s="4" t="s">
        <v>196</v>
      </c>
      <c r="G39" s="4" t="s">
        <v>46</v>
      </c>
      <c r="H39" s="4" t="s">
        <v>46</v>
      </c>
      <c r="I39" s="4" t="s">
        <v>46</v>
      </c>
      <c r="J39" s="4" t="s">
        <v>187</v>
      </c>
      <c r="K39" s="4" t="s">
        <v>48</v>
      </c>
      <c r="L39" s="3">
        <v>45962</v>
      </c>
      <c r="M39" s="4" t="s">
        <v>49</v>
      </c>
      <c r="N39" s="4" t="s">
        <v>46</v>
      </c>
      <c r="O39" s="4" t="s">
        <v>50</v>
      </c>
      <c r="P39" s="4" t="s">
        <v>81</v>
      </c>
      <c r="Q39" s="2">
        <v>1</v>
      </c>
      <c r="R39" s="2">
        <v>17</v>
      </c>
      <c r="S39" s="4" t="s">
        <v>51</v>
      </c>
      <c r="T39" s="4" t="s">
        <v>46</v>
      </c>
      <c r="U39" s="4" t="s">
        <v>46</v>
      </c>
      <c r="V39" s="5">
        <v>15</v>
      </c>
      <c r="W39" s="5">
        <v>2290.92</v>
      </c>
      <c r="X39" s="5">
        <v>100</v>
      </c>
      <c r="Y39" s="5">
        <v>343.68</v>
      </c>
      <c r="Z39" s="5">
        <v>0</v>
      </c>
      <c r="AA39" s="5">
        <v>0</v>
      </c>
      <c r="AB39" s="4" t="s">
        <v>193</v>
      </c>
      <c r="AC39" s="4" t="s">
        <v>46</v>
      </c>
      <c r="AD39" s="5">
        <v>0</v>
      </c>
      <c r="AE39" s="4" t="s">
        <v>194</v>
      </c>
      <c r="AF39" s="3">
        <v>45962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46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45973</v>
      </c>
      <c r="C40" s="4" t="s">
        <v>190</v>
      </c>
      <c r="D40" s="2">
        <v>1545980</v>
      </c>
      <c r="E40" s="4" t="s">
        <v>197</v>
      </c>
      <c r="F40" s="4" t="s">
        <v>198</v>
      </c>
      <c r="G40" s="4" t="s">
        <v>46</v>
      </c>
      <c r="H40" s="4" t="s">
        <v>46</v>
      </c>
      <c r="I40" s="4" t="s">
        <v>46</v>
      </c>
      <c r="J40" s="4" t="s">
        <v>187</v>
      </c>
      <c r="K40" s="4" t="s">
        <v>48</v>
      </c>
      <c r="L40" s="3">
        <v>45962</v>
      </c>
      <c r="M40" s="4" t="s">
        <v>49</v>
      </c>
      <c r="N40" s="4" t="s">
        <v>46</v>
      </c>
      <c r="O40" s="4" t="s">
        <v>50</v>
      </c>
      <c r="P40" s="4" t="s">
        <v>81</v>
      </c>
      <c r="Q40" s="2">
        <v>1</v>
      </c>
      <c r="R40" s="2">
        <v>17</v>
      </c>
      <c r="S40" s="4" t="s">
        <v>51</v>
      </c>
      <c r="T40" s="4" t="s">
        <v>46</v>
      </c>
      <c r="U40" s="4" t="s">
        <v>46</v>
      </c>
      <c r="V40" s="5">
        <v>15</v>
      </c>
      <c r="W40" s="5">
        <v>2110.08</v>
      </c>
      <c r="X40" s="5">
        <v>100</v>
      </c>
      <c r="Y40" s="5">
        <v>316.56</v>
      </c>
      <c r="Z40" s="5">
        <v>0</v>
      </c>
      <c r="AA40" s="5">
        <v>0</v>
      </c>
      <c r="AB40" s="4" t="s">
        <v>193</v>
      </c>
      <c r="AC40" s="4" t="s">
        <v>46</v>
      </c>
      <c r="AD40" s="5">
        <v>0</v>
      </c>
      <c r="AE40" s="4" t="s">
        <v>194</v>
      </c>
      <c r="AF40" s="3">
        <v>45962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46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45973</v>
      </c>
      <c r="C41" s="4" t="s">
        <v>97</v>
      </c>
      <c r="D41" s="2">
        <v>1573279</v>
      </c>
      <c r="E41" s="4" t="s">
        <v>199</v>
      </c>
      <c r="F41" s="4" t="s">
        <v>200</v>
      </c>
      <c r="G41" s="4" t="s">
        <v>46</v>
      </c>
      <c r="H41" s="4" t="s">
        <v>46</v>
      </c>
      <c r="I41" s="4" t="s">
        <v>46</v>
      </c>
      <c r="J41" s="4" t="s">
        <v>178</v>
      </c>
      <c r="K41" s="4" t="s">
        <v>179</v>
      </c>
      <c r="L41" s="3">
        <v>45901</v>
      </c>
      <c r="M41" s="4" t="s">
        <v>201</v>
      </c>
      <c r="N41" s="4" t="s">
        <v>46</v>
      </c>
      <c r="O41" s="4" t="s">
        <v>50</v>
      </c>
      <c r="P41" s="4" t="s">
        <v>81</v>
      </c>
      <c r="Q41" s="2">
        <v>20</v>
      </c>
      <c r="R41" s="2">
        <v>3</v>
      </c>
      <c r="S41" s="4" t="s">
        <v>180</v>
      </c>
      <c r="T41" s="4" t="s">
        <v>46</v>
      </c>
      <c r="U41" s="4" t="s">
        <v>46</v>
      </c>
      <c r="V41" s="5">
        <v>10</v>
      </c>
      <c r="W41" s="5">
        <v>86.65</v>
      </c>
      <c r="X41" s="5">
        <v>100</v>
      </c>
      <c r="Y41" s="5">
        <v>8.67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45839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46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45973</v>
      </c>
      <c r="C42" s="4" t="s">
        <v>97</v>
      </c>
      <c r="D42" s="2">
        <v>1573279</v>
      </c>
      <c r="E42" s="4" t="s">
        <v>199</v>
      </c>
      <c r="F42" s="4" t="s">
        <v>200</v>
      </c>
      <c r="G42" s="4" t="s">
        <v>46</v>
      </c>
      <c r="H42" s="4" t="s">
        <v>46</v>
      </c>
      <c r="I42" s="4" t="s">
        <v>46</v>
      </c>
      <c r="J42" s="4" t="s">
        <v>178</v>
      </c>
      <c r="K42" s="4" t="s">
        <v>179</v>
      </c>
      <c r="L42" s="3">
        <v>45931</v>
      </c>
      <c r="M42" s="4" t="s">
        <v>202</v>
      </c>
      <c r="N42" s="4" t="s">
        <v>46</v>
      </c>
      <c r="O42" s="4" t="s">
        <v>50</v>
      </c>
      <c r="P42" s="4" t="s">
        <v>81</v>
      </c>
      <c r="Q42" s="2">
        <v>20</v>
      </c>
      <c r="R42" s="2">
        <v>3</v>
      </c>
      <c r="S42" s="4" t="s">
        <v>180</v>
      </c>
      <c r="T42" s="4" t="s">
        <v>46</v>
      </c>
      <c r="U42" s="4" t="s">
        <v>46</v>
      </c>
      <c r="V42" s="5">
        <v>10</v>
      </c>
      <c r="W42" s="5">
        <v>150.68</v>
      </c>
      <c r="X42" s="5">
        <v>100</v>
      </c>
      <c r="Y42" s="5">
        <v>15.07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45839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46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45973</v>
      </c>
      <c r="C43" s="4" t="s">
        <v>97</v>
      </c>
      <c r="D43" s="2">
        <v>1573279</v>
      </c>
      <c r="E43" s="4" t="s">
        <v>199</v>
      </c>
      <c r="F43" s="4" t="s">
        <v>200</v>
      </c>
      <c r="G43" s="4" t="s">
        <v>46</v>
      </c>
      <c r="H43" s="4" t="s">
        <v>46</v>
      </c>
      <c r="I43" s="4" t="s">
        <v>46</v>
      </c>
      <c r="J43" s="4" t="s">
        <v>178</v>
      </c>
      <c r="K43" s="4" t="s">
        <v>179</v>
      </c>
      <c r="L43" s="3">
        <v>45962</v>
      </c>
      <c r="M43" s="4" t="s">
        <v>49</v>
      </c>
      <c r="N43" s="4" t="s">
        <v>46</v>
      </c>
      <c r="O43" s="4" t="s">
        <v>50</v>
      </c>
      <c r="P43" s="4" t="s">
        <v>81</v>
      </c>
      <c r="Q43" s="2">
        <v>20</v>
      </c>
      <c r="R43" s="2">
        <v>3</v>
      </c>
      <c r="S43" s="4" t="s">
        <v>180</v>
      </c>
      <c r="T43" s="4" t="s">
        <v>46</v>
      </c>
      <c r="U43" s="4" t="s">
        <v>46</v>
      </c>
      <c r="V43" s="5">
        <v>10</v>
      </c>
      <c r="W43" s="5">
        <v>1184.58</v>
      </c>
      <c r="X43" s="5">
        <v>100</v>
      </c>
      <c r="Y43" s="5">
        <v>118.46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45839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46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45973</v>
      </c>
      <c r="C44" s="4" t="s">
        <v>97</v>
      </c>
      <c r="D44" s="2">
        <v>1573279</v>
      </c>
      <c r="E44" s="4" t="s">
        <v>199</v>
      </c>
      <c r="F44" s="4" t="s">
        <v>200</v>
      </c>
      <c r="G44" s="4" t="s">
        <v>46</v>
      </c>
      <c r="H44" s="4" t="s">
        <v>46</v>
      </c>
      <c r="I44" s="4" t="s">
        <v>46</v>
      </c>
      <c r="J44" s="4" t="s">
        <v>178</v>
      </c>
      <c r="K44" s="4" t="s">
        <v>179</v>
      </c>
      <c r="L44" s="3">
        <v>45870</v>
      </c>
      <c r="M44" s="4" t="s">
        <v>203</v>
      </c>
      <c r="N44" s="4" t="s">
        <v>46</v>
      </c>
      <c r="O44" s="4" t="s">
        <v>50</v>
      </c>
      <c r="P44" s="4" t="s">
        <v>81</v>
      </c>
      <c r="Q44" s="2">
        <v>17</v>
      </c>
      <c r="R44" s="2">
        <v>60</v>
      </c>
      <c r="S44" s="4" t="s">
        <v>168</v>
      </c>
      <c r="T44" s="4" t="s">
        <v>46</v>
      </c>
      <c r="U44" s="4" t="s">
        <v>46</v>
      </c>
      <c r="V44" s="5">
        <v>10</v>
      </c>
      <c r="W44" s="5">
        <v>-10.14</v>
      </c>
      <c r="X44" s="5">
        <v>100</v>
      </c>
      <c r="Y44" s="5">
        <v>-1.01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45839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46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45973</v>
      </c>
      <c r="C45" s="4" t="s">
        <v>97</v>
      </c>
      <c r="D45" s="2">
        <v>1573279</v>
      </c>
      <c r="E45" s="4" t="s">
        <v>199</v>
      </c>
      <c r="F45" s="4" t="s">
        <v>200</v>
      </c>
      <c r="G45" s="4" t="s">
        <v>46</v>
      </c>
      <c r="H45" s="4" t="s">
        <v>46</v>
      </c>
      <c r="I45" s="4" t="s">
        <v>46</v>
      </c>
      <c r="J45" s="4" t="s">
        <v>178</v>
      </c>
      <c r="K45" s="4" t="s">
        <v>179</v>
      </c>
      <c r="L45" s="3">
        <v>45901</v>
      </c>
      <c r="M45" s="4" t="s">
        <v>201</v>
      </c>
      <c r="N45" s="4" t="s">
        <v>46</v>
      </c>
      <c r="O45" s="4" t="s">
        <v>50</v>
      </c>
      <c r="P45" s="4" t="s">
        <v>81</v>
      </c>
      <c r="Q45" s="2">
        <v>17</v>
      </c>
      <c r="R45" s="2">
        <v>60</v>
      </c>
      <c r="S45" s="4" t="s">
        <v>168</v>
      </c>
      <c r="T45" s="4" t="s">
        <v>46</v>
      </c>
      <c r="U45" s="4" t="s">
        <v>46</v>
      </c>
      <c r="V45" s="5">
        <v>10</v>
      </c>
      <c r="W45" s="5">
        <v>19.25</v>
      </c>
      <c r="X45" s="5">
        <v>100</v>
      </c>
      <c r="Y45" s="5">
        <v>1.93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45839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46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45973</v>
      </c>
      <c r="C46" s="4" t="s">
        <v>97</v>
      </c>
      <c r="D46" s="2">
        <v>1573279</v>
      </c>
      <c r="E46" s="4" t="s">
        <v>199</v>
      </c>
      <c r="F46" s="4" t="s">
        <v>200</v>
      </c>
      <c r="G46" s="4" t="s">
        <v>46</v>
      </c>
      <c r="H46" s="4" t="s">
        <v>46</v>
      </c>
      <c r="I46" s="4" t="s">
        <v>46</v>
      </c>
      <c r="J46" s="4" t="s">
        <v>178</v>
      </c>
      <c r="K46" s="4" t="s">
        <v>179</v>
      </c>
      <c r="L46" s="3">
        <v>45931</v>
      </c>
      <c r="M46" s="4" t="s">
        <v>202</v>
      </c>
      <c r="N46" s="4" t="s">
        <v>46</v>
      </c>
      <c r="O46" s="4" t="s">
        <v>50</v>
      </c>
      <c r="P46" s="4" t="s">
        <v>81</v>
      </c>
      <c r="Q46" s="2">
        <v>17</v>
      </c>
      <c r="R46" s="2">
        <v>60</v>
      </c>
      <c r="S46" s="4" t="s">
        <v>168</v>
      </c>
      <c r="T46" s="4" t="s">
        <v>46</v>
      </c>
      <c r="U46" s="4" t="s">
        <v>46</v>
      </c>
      <c r="V46" s="5">
        <v>10</v>
      </c>
      <c r="W46" s="5">
        <v>38.35</v>
      </c>
      <c r="X46" s="5">
        <v>100</v>
      </c>
      <c r="Y46" s="5">
        <v>3.83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46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45973</v>
      </c>
      <c r="C47" s="4" t="s">
        <v>97</v>
      </c>
      <c r="D47" s="2">
        <v>1573279</v>
      </c>
      <c r="E47" s="4" t="s">
        <v>199</v>
      </c>
      <c r="F47" s="4" t="s">
        <v>200</v>
      </c>
      <c r="G47" s="4" t="s">
        <v>46</v>
      </c>
      <c r="H47" s="4" t="s">
        <v>46</v>
      </c>
      <c r="I47" s="4" t="s">
        <v>46</v>
      </c>
      <c r="J47" s="4" t="s">
        <v>178</v>
      </c>
      <c r="K47" s="4" t="s">
        <v>179</v>
      </c>
      <c r="L47" s="3">
        <v>45962</v>
      </c>
      <c r="M47" s="4" t="s">
        <v>49</v>
      </c>
      <c r="N47" s="4" t="s">
        <v>46</v>
      </c>
      <c r="O47" s="4" t="s">
        <v>50</v>
      </c>
      <c r="P47" s="4" t="s">
        <v>81</v>
      </c>
      <c r="Q47" s="2">
        <v>17</v>
      </c>
      <c r="R47" s="2">
        <v>60</v>
      </c>
      <c r="S47" s="4" t="s">
        <v>168</v>
      </c>
      <c r="T47" s="4" t="s">
        <v>46</v>
      </c>
      <c r="U47" s="4" t="s">
        <v>46</v>
      </c>
      <c r="V47" s="5">
        <v>10</v>
      </c>
      <c r="W47" s="5">
        <v>276.81</v>
      </c>
      <c r="X47" s="5">
        <v>100</v>
      </c>
      <c r="Y47" s="5">
        <v>27.68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46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45973</v>
      </c>
      <c r="C48" s="4" t="s">
        <v>109</v>
      </c>
      <c r="D48" s="2">
        <v>1673763</v>
      </c>
      <c r="E48" s="4" t="s">
        <v>204</v>
      </c>
      <c r="F48" s="4" t="s">
        <v>205</v>
      </c>
      <c r="G48" s="4" t="s">
        <v>46</v>
      </c>
      <c r="H48" s="4" t="s">
        <v>46</v>
      </c>
      <c r="I48" s="4" t="s">
        <v>46</v>
      </c>
      <c r="J48" s="4" t="s">
        <v>187</v>
      </c>
      <c r="K48" s="4" t="s">
        <v>48</v>
      </c>
      <c r="L48" s="3">
        <v>45962</v>
      </c>
      <c r="M48" s="4" t="s">
        <v>49</v>
      </c>
      <c r="N48" s="4" t="s">
        <v>46</v>
      </c>
      <c r="O48" s="4" t="s">
        <v>81</v>
      </c>
      <c r="P48" s="4" t="s">
        <v>81</v>
      </c>
      <c r="Q48" s="2">
        <v>1</v>
      </c>
      <c r="R48" s="2">
        <v>17</v>
      </c>
      <c r="S48" s="4" t="s">
        <v>51</v>
      </c>
      <c r="T48" s="4" t="s">
        <v>46</v>
      </c>
      <c r="U48" s="4" t="s">
        <v>46</v>
      </c>
      <c r="V48" s="5">
        <v>22</v>
      </c>
      <c r="W48" s="5">
        <v>130.08000000000001</v>
      </c>
      <c r="X48" s="5">
        <v>100</v>
      </c>
      <c r="Y48" s="5">
        <v>28.62</v>
      </c>
      <c r="Z48" s="5">
        <v>0</v>
      </c>
      <c r="AA48" s="5">
        <v>0</v>
      </c>
      <c r="AB48" s="4" t="s">
        <v>188</v>
      </c>
      <c r="AC48" s="4" t="s">
        <v>46</v>
      </c>
      <c r="AD48" s="5">
        <v>0</v>
      </c>
      <c r="AE48" s="4" t="s">
        <v>189</v>
      </c>
      <c r="AF48" s="3">
        <v>45444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46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45973</v>
      </c>
      <c r="C49" s="4" t="s">
        <v>109</v>
      </c>
      <c r="D49" s="2">
        <v>1673763</v>
      </c>
      <c r="E49" s="4" t="s">
        <v>206</v>
      </c>
      <c r="F49" s="4" t="s">
        <v>207</v>
      </c>
      <c r="G49" s="4" t="s">
        <v>46</v>
      </c>
      <c r="H49" s="4" t="s">
        <v>46</v>
      </c>
      <c r="I49" s="4" t="s">
        <v>46</v>
      </c>
      <c r="J49" s="4" t="s">
        <v>187</v>
      </c>
      <c r="K49" s="4" t="s">
        <v>48</v>
      </c>
      <c r="L49" s="3">
        <v>45962</v>
      </c>
      <c r="M49" s="4" t="s">
        <v>49</v>
      </c>
      <c r="N49" s="4" t="s">
        <v>46</v>
      </c>
      <c r="O49" s="4" t="s">
        <v>50</v>
      </c>
      <c r="P49" s="4" t="s">
        <v>81</v>
      </c>
      <c r="Q49" s="2">
        <v>1</v>
      </c>
      <c r="R49" s="2">
        <v>17</v>
      </c>
      <c r="S49" s="4" t="s">
        <v>51</v>
      </c>
      <c r="T49" s="4" t="s">
        <v>46</v>
      </c>
      <c r="U49" s="4" t="s">
        <v>46</v>
      </c>
      <c r="V49" s="5">
        <v>22</v>
      </c>
      <c r="W49" s="5">
        <v>1982.52</v>
      </c>
      <c r="X49" s="5">
        <v>100</v>
      </c>
      <c r="Y49" s="5">
        <v>436.2</v>
      </c>
      <c r="Z49" s="5">
        <v>0</v>
      </c>
      <c r="AA49" s="5">
        <v>0</v>
      </c>
      <c r="AB49" s="4" t="s">
        <v>208</v>
      </c>
      <c r="AC49" s="4" t="s">
        <v>46</v>
      </c>
      <c r="AD49" s="5">
        <v>0</v>
      </c>
      <c r="AE49" s="4" t="s">
        <v>209</v>
      </c>
      <c r="AF49" s="3">
        <v>45962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46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45973</v>
      </c>
      <c r="C50" s="4" t="s">
        <v>210</v>
      </c>
      <c r="D50" s="2">
        <v>1737425</v>
      </c>
      <c r="E50" s="4" t="s">
        <v>211</v>
      </c>
      <c r="F50" s="4" t="s">
        <v>212</v>
      </c>
      <c r="G50" s="4" t="s">
        <v>46</v>
      </c>
      <c r="H50" s="4" t="s">
        <v>46</v>
      </c>
      <c r="I50" s="4" t="s">
        <v>46</v>
      </c>
      <c r="J50" s="4" t="s">
        <v>166</v>
      </c>
      <c r="K50" s="4" t="s">
        <v>167</v>
      </c>
      <c r="L50" s="3">
        <v>45992</v>
      </c>
      <c r="M50" s="4" t="s">
        <v>62</v>
      </c>
      <c r="N50" s="4" t="s">
        <v>46</v>
      </c>
      <c r="O50" s="4" t="s">
        <v>50</v>
      </c>
      <c r="P50" s="4" t="s">
        <v>81</v>
      </c>
      <c r="Q50" s="2">
        <v>3</v>
      </c>
      <c r="R50" s="2">
        <v>60</v>
      </c>
      <c r="S50" s="4" t="s">
        <v>168</v>
      </c>
      <c r="T50" s="4" t="s">
        <v>46</v>
      </c>
      <c r="U50" s="4" t="s">
        <v>46</v>
      </c>
      <c r="V50" s="5">
        <v>10</v>
      </c>
      <c r="W50" s="5">
        <v>38.21</v>
      </c>
      <c r="X50" s="5">
        <v>100</v>
      </c>
      <c r="Y50" s="5">
        <v>3.82</v>
      </c>
      <c r="Z50" s="4" t="s">
        <v>46</v>
      </c>
      <c r="AA50" s="5" t="s">
        <v>46</v>
      </c>
      <c r="AB50" s="4" t="s">
        <v>173</v>
      </c>
      <c r="AC50" s="4" t="s">
        <v>46</v>
      </c>
      <c r="AD50" s="5">
        <v>0</v>
      </c>
      <c r="AE50" s="4" t="s">
        <v>174</v>
      </c>
      <c r="AF50" s="3">
        <v>45786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46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45973</v>
      </c>
      <c r="C51" s="4" t="s">
        <v>213</v>
      </c>
      <c r="D51" s="2">
        <v>1755893</v>
      </c>
      <c r="E51" s="4" t="s">
        <v>214</v>
      </c>
      <c r="F51" s="4" t="s">
        <v>215</v>
      </c>
      <c r="G51" s="4" t="s">
        <v>46</v>
      </c>
      <c r="H51" s="4" t="s">
        <v>46</v>
      </c>
      <c r="I51" s="4" t="s">
        <v>46</v>
      </c>
      <c r="J51" s="4" t="s">
        <v>166</v>
      </c>
      <c r="K51" s="4" t="s">
        <v>167</v>
      </c>
      <c r="L51" s="3">
        <v>45992</v>
      </c>
      <c r="M51" s="4" t="s">
        <v>62</v>
      </c>
      <c r="N51" s="4" t="s">
        <v>46</v>
      </c>
      <c r="O51" s="4" t="s">
        <v>50</v>
      </c>
      <c r="P51" s="4" t="s">
        <v>81</v>
      </c>
      <c r="Q51" s="2">
        <v>1</v>
      </c>
      <c r="R51" s="2">
        <v>60</v>
      </c>
      <c r="S51" s="4" t="s">
        <v>168</v>
      </c>
      <c r="T51" s="4" t="s">
        <v>46</v>
      </c>
      <c r="U51" s="4" t="s">
        <v>46</v>
      </c>
      <c r="V51" s="5">
        <v>10</v>
      </c>
      <c r="W51" s="5">
        <v>12.99</v>
      </c>
      <c r="X51" s="5">
        <v>100</v>
      </c>
      <c r="Y51" s="5">
        <v>1.3</v>
      </c>
      <c r="Z51" s="4" t="s">
        <v>46</v>
      </c>
      <c r="AA51" s="5" t="s">
        <v>46</v>
      </c>
      <c r="AB51" s="4" t="s">
        <v>173</v>
      </c>
      <c r="AC51" s="4" t="s">
        <v>46</v>
      </c>
      <c r="AD51" s="5">
        <v>0</v>
      </c>
      <c r="AE51" s="4" t="s">
        <v>174</v>
      </c>
      <c r="AF51" s="3">
        <v>45839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46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45973</v>
      </c>
      <c r="C52" s="4" t="s">
        <v>213</v>
      </c>
      <c r="D52" s="2">
        <v>1755893</v>
      </c>
      <c r="E52" s="4" t="s">
        <v>216</v>
      </c>
      <c r="F52" s="4" t="s">
        <v>217</v>
      </c>
      <c r="G52" s="4" t="s">
        <v>46</v>
      </c>
      <c r="H52" s="4" t="s">
        <v>46</v>
      </c>
      <c r="I52" s="4" t="s">
        <v>46</v>
      </c>
      <c r="J52" s="4" t="s">
        <v>166</v>
      </c>
      <c r="K52" s="4" t="s">
        <v>167</v>
      </c>
      <c r="L52" s="3">
        <v>45992</v>
      </c>
      <c r="M52" s="4" t="s">
        <v>62</v>
      </c>
      <c r="N52" s="4" t="s">
        <v>46</v>
      </c>
      <c r="O52" s="4" t="s">
        <v>50</v>
      </c>
      <c r="P52" s="4" t="s">
        <v>81</v>
      </c>
      <c r="Q52" s="2">
        <v>1</v>
      </c>
      <c r="R52" s="2">
        <v>60</v>
      </c>
      <c r="S52" s="4" t="s">
        <v>168</v>
      </c>
      <c r="T52" s="4" t="s">
        <v>46</v>
      </c>
      <c r="U52" s="4" t="s">
        <v>46</v>
      </c>
      <c r="V52" s="5">
        <v>10</v>
      </c>
      <c r="W52" s="5">
        <v>12.99</v>
      </c>
      <c r="X52" s="5">
        <v>100</v>
      </c>
      <c r="Y52" s="5">
        <v>1.3</v>
      </c>
      <c r="Z52" s="4" t="s">
        <v>46</v>
      </c>
      <c r="AA52" s="5" t="s">
        <v>46</v>
      </c>
      <c r="AB52" s="4" t="s">
        <v>173</v>
      </c>
      <c r="AC52" s="4" t="s">
        <v>46</v>
      </c>
      <c r="AD52" s="5">
        <v>0</v>
      </c>
      <c r="AE52" s="4" t="s">
        <v>174</v>
      </c>
      <c r="AF52" s="3">
        <v>45880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46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45973</v>
      </c>
      <c r="C53" s="4" t="s">
        <v>213</v>
      </c>
      <c r="D53" s="2">
        <v>1755893</v>
      </c>
      <c r="E53" s="4" t="s">
        <v>218</v>
      </c>
      <c r="F53" s="4" t="s">
        <v>219</v>
      </c>
      <c r="G53" s="4" t="s">
        <v>46</v>
      </c>
      <c r="H53" s="4" t="s">
        <v>46</v>
      </c>
      <c r="I53" s="4" t="s">
        <v>46</v>
      </c>
      <c r="J53" s="4" t="s">
        <v>166</v>
      </c>
      <c r="K53" s="4" t="s">
        <v>167</v>
      </c>
      <c r="L53" s="3">
        <v>45992</v>
      </c>
      <c r="M53" s="4" t="s">
        <v>62</v>
      </c>
      <c r="N53" s="4" t="s">
        <v>46</v>
      </c>
      <c r="O53" s="4" t="s">
        <v>50</v>
      </c>
      <c r="P53" s="4" t="s">
        <v>81</v>
      </c>
      <c r="Q53" s="2">
        <v>1</v>
      </c>
      <c r="R53" s="2">
        <v>60</v>
      </c>
      <c r="S53" s="4" t="s">
        <v>168</v>
      </c>
      <c r="T53" s="4" t="s">
        <v>46</v>
      </c>
      <c r="U53" s="4" t="s">
        <v>46</v>
      </c>
      <c r="V53" s="5">
        <v>10</v>
      </c>
      <c r="W53" s="5">
        <v>12.99</v>
      </c>
      <c r="X53" s="5">
        <v>100</v>
      </c>
      <c r="Y53" s="5">
        <v>1.3</v>
      </c>
      <c r="Z53" s="4" t="s">
        <v>46</v>
      </c>
      <c r="AA53" s="5" t="s">
        <v>46</v>
      </c>
      <c r="AB53" s="4" t="s">
        <v>173</v>
      </c>
      <c r="AC53" s="4" t="s">
        <v>46</v>
      </c>
      <c r="AD53" s="5">
        <v>0</v>
      </c>
      <c r="AE53" s="4" t="s">
        <v>174</v>
      </c>
      <c r="AF53" s="3">
        <v>45903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45973</v>
      </c>
      <c r="C54" s="4" t="s">
        <v>220</v>
      </c>
      <c r="D54" s="2">
        <v>1773696</v>
      </c>
      <c r="E54" s="4" t="s">
        <v>221</v>
      </c>
      <c r="F54" s="4" t="s">
        <v>222</v>
      </c>
      <c r="G54" s="4" t="s">
        <v>46</v>
      </c>
      <c r="H54" s="4" t="s">
        <v>46</v>
      </c>
      <c r="I54" s="4" t="s">
        <v>46</v>
      </c>
      <c r="J54" s="4" t="s">
        <v>178</v>
      </c>
      <c r="K54" s="4" t="s">
        <v>179</v>
      </c>
      <c r="L54" s="3">
        <v>45870</v>
      </c>
      <c r="M54" s="4" t="s">
        <v>203</v>
      </c>
      <c r="N54" s="4" t="s">
        <v>46</v>
      </c>
      <c r="O54" s="4" t="s">
        <v>81</v>
      </c>
      <c r="P54" s="4" t="s">
        <v>81</v>
      </c>
      <c r="Q54" s="2">
        <v>30</v>
      </c>
      <c r="R54" s="2">
        <v>3</v>
      </c>
      <c r="S54" s="4" t="s">
        <v>180</v>
      </c>
      <c r="T54" s="4" t="s">
        <v>46</v>
      </c>
      <c r="U54" s="4" t="s">
        <v>46</v>
      </c>
      <c r="V54" s="5">
        <v>10</v>
      </c>
      <c r="W54" s="5">
        <v>24.07</v>
      </c>
      <c r="X54" s="5">
        <v>100</v>
      </c>
      <c r="Y54" s="5">
        <v>2.41</v>
      </c>
      <c r="Z54" s="4" t="s">
        <v>46</v>
      </c>
      <c r="AA54" s="5" t="s">
        <v>46</v>
      </c>
      <c r="AB54" s="4" t="s">
        <v>82</v>
      </c>
      <c r="AC54" s="4" t="s">
        <v>46</v>
      </c>
      <c r="AD54" s="5">
        <v>0</v>
      </c>
      <c r="AE54" s="4" t="s">
        <v>83</v>
      </c>
      <c r="AF54" s="3">
        <v>45474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45973</v>
      </c>
      <c r="C55" s="4" t="s">
        <v>220</v>
      </c>
      <c r="D55" s="2">
        <v>1773696</v>
      </c>
      <c r="E55" s="4" t="s">
        <v>221</v>
      </c>
      <c r="F55" s="4" t="s">
        <v>222</v>
      </c>
      <c r="G55" s="4" t="s">
        <v>46</v>
      </c>
      <c r="H55" s="4" t="s">
        <v>46</v>
      </c>
      <c r="I55" s="4" t="s">
        <v>46</v>
      </c>
      <c r="J55" s="4" t="s">
        <v>178</v>
      </c>
      <c r="K55" s="4" t="s">
        <v>179</v>
      </c>
      <c r="L55" s="3">
        <v>45901</v>
      </c>
      <c r="M55" s="4" t="s">
        <v>201</v>
      </c>
      <c r="N55" s="4" t="s">
        <v>46</v>
      </c>
      <c r="O55" s="4" t="s">
        <v>81</v>
      </c>
      <c r="P55" s="4" t="s">
        <v>81</v>
      </c>
      <c r="Q55" s="2">
        <v>30</v>
      </c>
      <c r="R55" s="2">
        <v>3</v>
      </c>
      <c r="S55" s="4" t="s">
        <v>180</v>
      </c>
      <c r="T55" s="4" t="s">
        <v>46</v>
      </c>
      <c r="U55" s="4" t="s">
        <v>46</v>
      </c>
      <c r="V55" s="5">
        <v>10</v>
      </c>
      <c r="W55" s="5">
        <v>24.07</v>
      </c>
      <c r="X55" s="5">
        <v>100</v>
      </c>
      <c r="Y55" s="5">
        <v>2.41</v>
      </c>
      <c r="Z55" s="4" t="s">
        <v>46</v>
      </c>
      <c r="AA55" s="5" t="s">
        <v>46</v>
      </c>
      <c r="AB55" s="4" t="s">
        <v>82</v>
      </c>
      <c r="AC55" s="4" t="s">
        <v>46</v>
      </c>
      <c r="AD55" s="5">
        <v>0</v>
      </c>
      <c r="AE55" s="4" t="s">
        <v>83</v>
      </c>
      <c r="AF55" s="3">
        <v>45474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46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45973</v>
      </c>
      <c r="C56" s="4" t="s">
        <v>220</v>
      </c>
      <c r="D56" s="2">
        <v>1773696</v>
      </c>
      <c r="E56" s="4" t="s">
        <v>221</v>
      </c>
      <c r="F56" s="4" t="s">
        <v>222</v>
      </c>
      <c r="G56" s="4" t="s">
        <v>46</v>
      </c>
      <c r="H56" s="4" t="s">
        <v>46</v>
      </c>
      <c r="I56" s="4" t="s">
        <v>46</v>
      </c>
      <c r="J56" s="4" t="s">
        <v>178</v>
      </c>
      <c r="K56" s="4" t="s">
        <v>179</v>
      </c>
      <c r="L56" s="3">
        <v>45931</v>
      </c>
      <c r="M56" s="4" t="s">
        <v>202</v>
      </c>
      <c r="N56" s="4" t="s">
        <v>46</v>
      </c>
      <c r="O56" s="4" t="s">
        <v>81</v>
      </c>
      <c r="P56" s="4" t="s">
        <v>81</v>
      </c>
      <c r="Q56" s="2">
        <v>30</v>
      </c>
      <c r="R56" s="2">
        <v>3</v>
      </c>
      <c r="S56" s="4" t="s">
        <v>180</v>
      </c>
      <c r="T56" s="4" t="s">
        <v>46</v>
      </c>
      <c r="U56" s="4" t="s">
        <v>46</v>
      </c>
      <c r="V56" s="5">
        <v>10</v>
      </c>
      <c r="W56" s="5">
        <v>120.35</v>
      </c>
      <c r="X56" s="5">
        <v>100</v>
      </c>
      <c r="Y56" s="5">
        <v>12.04</v>
      </c>
      <c r="Z56" s="4" t="s">
        <v>46</v>
      </c>
      <c r="AA56" s="5" t="s">
        <v>46</v>
      </c>
      <c r="AB56" s="4" t="s">
        <v>82</v>
      </c>
      <c r="AC56" s="4" t="s">
        <v>46</v>
      </c>
      <c r="AD56" s="5">
        <v>0</v>
      </c>
      <c r="AE56" s="4" t="s">
        <v>83</v>
      </c>
      <c r="AF56" s="3">
        <v>45474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46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45973</v>
      </c>
      <c r="C57" s="4" t="s">
        <v>220</v>
      </c>
      <c r="D57" s="2">
        <v>1773696</v>
      </c>
      <c r="E57" s="4" t="s">
        <v>221</v>
      </c>
      <c r="F57" s="4" t="s">
        <v>222</v>
      </c>
      <c r="G57" s="4" t="s">
        <v>46</v>
      </c>
      <c r="H57" s="4" t="s">
        <v>46</v>
      </c>
      <c r="I57" s="4" t="s">
        <v>46</v>
      </c>
      <c r="J57" s="4" t="s">
        <v>178</v>
      </c>
      <c r="K57" s="4" t="s">
        <v>179</v>
      </c>
      <c r="L57" s="3">
        <v>45962</v>
      </c>
      <c r="M57" s="4" t="s">
        <v>49</v>
      </c>
      <c r="N57" s="4" t="s">
        <v>46</v>
      </c>
      <c r="O57" s="4" t="s">
        <v>81</v>
      </c>
      <c r="P57" s="4" t="s">
        <v>81</v>
      </c>
      <c r="Q57" s="2">
        <v>30</v>
      </c>
      <c r="R57" s="2">
        <v>3</v>
      </c>
      <c r="S57" s="4" t="s">
        <v>180</v>
      </c>
      <c r="T57" s="4" t="s">
        <v>46</v>
      </c>
      <c r="U57" s="4" t="s">
        <v>46</v>
      </c>
      <c r="V57" s="5">
        <v>10</v>
      </c>
      <c r="W57" s="5">
        <v>1030.8</v>
      </c>
      <c r="X57" s="5">
        <v>100</v>
      </c>
      <c r="Y57" s="5">
        <v>103.08</v>
      </c>
      <c r="Z57" s="4" t="s">
        <v>46</v>
      </c>
      <c r="AA57" s="5" t="s">
        <v>46</v>
      </c>
      <c r="AB57" s="4" t="s">
        <v>82</v>
      </c>
      <c r="AC57" s="4" t="s">
        <v>46</v>
      </c>
      <c r="AD57" s="5">
        <v>0</v>
      </c>
      <c r="AE57" s="4" t="s">
        <v>83</v>
      </c>
      <c r="AF57" s="3">
        <v>45474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46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45973</v>
      </c>
      <c r="C58" s="4" t="s">
        <v>220</v>
      </c>
      <c r="D58" s="2">
        <v>1773696</v>
      </c>
      <c r="E58" s="4" t="s">
        <v>221</v>
      </c>
      <c r="F58" s="4" t="s">
        <v>222</v>
      </c>
      <c r="G58" s="4" t="s">
        <v>46</v>
      </c>
      <c r="H58" s="4" t="s">
        <v>46</v>
      </c>
      <c r="I58" s="4" t="s">
        <v>46</v>
      </c>
      <c r="J58" s="4" t="s">
        <v>178</v>
      </c>
      <c r="K58" s="4" t="s">
        <v>179</v>
      </c>
      <c r="L58" s="3">
        <v>45870</v>
      </c>
      <c r="M58" s="4" t="s">
        <v>203</v>
      </c>
      <c r="N58" s="4" t="s">
        <v>46</v>
      </c>
      <c r="O58" s="4" t="s">
        <v>81</v>
      </c>
      <c r="P58" s="4" t="s">
        <v>81</v>
      </c>
      <c r="Q58" s="2">
        <v>65</v>
      </c>
      <c r="R58" s="2">
        <v>5</v>
      </c>
      <c r="S58" s="4" t="s">
        <v>223</v>
      </c>
      <c r="T58" s="4" t="s">
        <v>46</v>
      </c>
      <c r="U58" s="4" t="s">
        <v>46</v>
      </c>
      <c r="V58" s="5">
        <v>15</v>
      </c>
      <c r="W58" s="5">
        <v>1.95</v>
      </c>
      <c r="X58" s="5">
        <v>100</v>
      </c>
      <c r="Y58" s="5">
        <v>0.28999999999999998</v>
      </c>
      <c r="Z58" s="4" t="s">
        <v>46</v>
      </c>
      <c r="AA58" s="5" t="s">
        <v>46</v>
      </c>
      <c r="AB58" s="4" t="s">
        <v>82</v>
      </c>
      <c r="AC58" s="4" t="s">
        <v>46</v>
      </c>
      <c r="AD58" s="5">
        <v>0</v>
      </c>
      <c r="AE58" s="4" t="s">
        <v>83</v>
      </c>
      <c r="AF58" s="3">
        <v>45474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46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45973</v>
      </c>
      <c r="C59" s="4" t="s">
        <v>220</v>
      </c>
      <c r="D59" s="2">
        <v>1773696</v>
      </c>
      <c r="E59" s="4" t="s">
        <v>221</v>
      </c>
      <c r="F59" s="4" t="s">
        <v>222</v>
      </c>
      <c r="G59" s="4" t="s">
        <v>46</v>
      </c>
      <c r="H59" s="4" t="s">
        <v>46</v>
      </c>
      <c r="I59" s="4" t="s">
        <v>46</v>
      </c>
      <c r="J59" s="4" t="s">
        <v>178</v>
      </c>
      <c r="K59" s="4" t="s">
        <v>179</v>
      </c>
      <c r="L59" s="3">
        <v>45901</v>
      </c>
      <c r="M59" s="4" t="s">
        <v>201</v>
      </c>
      <c r="N59" s="4" t="s">
        <v>46</v>
      </c>
      <c r="O59" s="4" t="s">
        <v>81</v>
      </c>
      <c r="P59" s="4" t="s">
        <v>81</v>
      </c>
      <c r="Q59" s="2">
        <v>65</v>
      </c>
      <c r="R59" s="2">
        <v>5</v>
      </c>
      <c r="S59" s="4" t="s">
        <v>223</v>
      </c>
      <c r="T59" s="4" t="s">
        <v>46</v>
      </c>
      <c r="U59" s="4" t="s">
        <v>46</v>
      </c>
      <c r="V59" s="5">
        <v>15</v>
      </c>
      <c r="W59" s="5">
        <v>1.95</v>
      </c>
      <c r="X59" s="5">
        <v>100</v>
      </c>
      <c r="Y59" s="5">
        <v>0.28999999999999998</v>
      </c>
      <c r="Z59" s="4" t="s">
        <v>46</v>
      </c>
      <c r="AA59" s="5" t="s">
        <v>46</v>
      </c>
      <c r="AB59" s="4" t="s">
        <v>82</v>
      </c>
      <c r="AC59" s="4" t="s">
        <v>46</v>
      </c>
      <c r="AD59" s="5">
        <v>0</v>
      </c>
      <c r="AE59" s="4" t="s">
        <v>83</v>
      </c>
      <c r="AF59" s="3">
        <v>45474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45973</v>
      </c>
      <c r="C60" s="4" t="s">
        <v>220</v>
      </c>
      <c r="D60" s="2">
        <v>1773696</v>
      </c>
      <c r="E60" s="4" t="s">
        <v>221</v>
      </c>
      <c r="F60" s="4" t="s">
        <v>222</v>
      </c>
      <c r="G60" s="4" t="s">
        <v>46</v>
      </c>
      <c r="H60" s="4" t="s">
        <v>46</v>
      </c>
      <c r="I60" s="4" t="s">
        <v>46</v>
      </c>
      <c r="J60" s="4" t="s">
        <v>178</v>
      </c>
      <c r="K60" s="4" t="s">
        <v>179</v>
      </c>
      <c r="L60" s="3">
        <v>45931</v>
      </c>
      <c r="M60" s="4" t="s">
        <v>202</v>
      </c>
      <c r="N60" s="4" t="s">
        <v>46</v>
      </c>
      <c r="O60" s="4" t="s">
        <v>81</v>
      </c>
      <c r="P60" s="4" t="s">
        <v>81</v>
      </c>
      <c r="Q60" s="2">
        <v>65</v>
      </c>
      <c r="R60" s="2">
        <v>5</v>
      </c>
      <c r="S60" s="4" t="s">
        <v>223</v>
      </c>
      <c r="T60" s="4" t="s">
        <v>46</v>
      </c>
      <c r="U60" s="4" t="s">
        <v>46</v>
      </c>
      <c r="V60" s="5">
        <v>15</v>
      </c>
      <c r="W60" s="5">
        <v>29.25</v>
      </c>
      <c r="X60" s="5">
        <v>100</v>
      </c>
      <c r="Y60" s="5">
        <v>4.3899999999999997</v>
      </c>
      <c r="Z60" s="4" t="s">
        <v>46</v>
      </c>
      <c r="AA60" s="5" t="s">
        <v>46</v>
      </c>
      <c r="AB60" s="4" t="s">
        <v>82</v>
      </c>
      <c r="AC60" s="4" t="s">
        <v>46</v>
      </c>
      <c r="AD60" s="5">
        <v>0</v>
      </c>
      <c r="AE60" s="4" t="s">
        <v>83</v>
      </c>
      <c r="AF60" s="3">
        <v>45474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45973</v>
      </c>
      <c r="C61" s="4" t="s">
        <v>220</v>
      </c>
      <c r="D61" s="2">
        <v>1773696</v>
      </c>
      <c r="E61" s="4" t="s">
        <v>221</v>
      </c>
      <c r="F61" s="4" t="s">
        <v>222</v>
      </c>
      <c r="G61" s="4" t="s">
        <v>46</v>
      </c>
      <c r="H61" s="4" t="s">
        <v>46</v>
      </c>
      <c r="I61" s="4" t="s">
        <v>46</v>
      </c>
      <c r="J61" s="4" t="s">
        <v>178</v>
      </c>
      <c r="K61" s="4" t="s">
        <v>179</v>
      </c>
      <c r="L61" s="3">
        <v>45962</v>
      </c>
      <c r="M61" s="4" t="s">
        <v>49</v>
      </c>
      <c r="N61" s="4" t="s">
        <v>46</v>
      </c>
      <c r="O61" s="4" t="s">
        <v>81</v>
      </c>
      <c r="P61" s="4" t="s">
        <v>81</v>
      </c>
      <c r="Q61" s="2">
        <v>65</v>
      </c>
      <c r="R61" s="2">
        <v>5</v>
      </c>
      <c r="S61" s="4" t="s">
        <v>223</v>
      </c>
      <c r="T61" s="4" t="s">
        <v>46</v>
      </c>
      <c r="U61" s="4" t="s">
        <v>46</v>
      </c>
      <c r="V61" s="5">
        <v>15</v>
      </c>
      <c r="W61" s="5">
        <v>125.39</v>
      </c>
      <c r="X61" s="5">
        <v>100</v>
      </c>
      <c r="Y61" s="5">
        <v>18.809999999999999</v>
      </c>
      <c r="Z61" s="4" t="s">
        <v>46</v>
      </c>
      <c r="AA61" s="5" t="s">
        <v>46</v>
      </c>
      <c r="AB61" s="4" t="s">
        <v>82</v>
      </c>
      <c r="AC61" s="4" t="s">
        <v>46</v>
      </c>
      <c r="AD61" s="5">
        <v>0</v>
      </c>
      <c r="AE61" s="4" t="s">
        <v>83</v>
      </c>
      <c r="AF61" s="3">
        <v>45474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45973</v>
      </c>
      <c r="C62" s="4" t="s">
        <v>220</v>
      </c>
      <c r="D62" s="2">
        <v>1773696</v>
      </c>
      <c r="E62" s="4" t="s">
        <v>221</v>
      </c>
      <c r="F62" s="4" t="s">
        <v>222</v>
      </c>
      <c r="G62" s="4" t="s">
        <v>46</v>
      </c>
      <c r="H62" s="4" t="s">
        <v>46</v>
      </c>
      <c r="I62" s="4" t="s">
        <v>46</v>
      </c>
      <c r="J62" s="4" t="s">
        <v>178</v>
      </c>
      <c r="K62" s="4" t="s">
        <v>179</v>
      </c>
      <c r="L62" s="3">
        <v>45870</v>
      </c>
      <c r="M62" s="4" t="s">
        <v>203</v>
      </c>
      <c r="N62" s="4" t="s">
        <v>46</v>
      </c>
      <c r="O62" s="4" t="s">
        <v>81</v>
      </c>
      <c r="P62" s="4" t="s">
        <v>81</v>
      </c>
      <c r="Q62" s="2">
        <v>65</v>
      </c>
      <c r="R62" s="2">
        <v>10</v>
      </c>
      <c r="S62" s="4" t="s">
        <v>224</v>
      </c>
      <c r="T62" s="4" t="s">
        <v>46</v>
      </c>
      <c r="U62" s="4" t="s">
        <v>46</v>
      </c>
      <c r="V62" s="5">
        <v>15</v>
      </c>
      <c r="W62" s="5">
        <v>0.45</v>
      </c>
      <c r="X62" s="5">
        <v>100</v>
      </c>
      <c r="Y62" s="5">
        <v>7.0000000000000007E-2</v>
      </c>
      <c r="Z62" s="4" t="s">
        <v>46</v>
      </c>
      <c r="AA62" s="5" t="s">
        <v>46</v>
      </c>
      <c r="AB62" s="4" t="s">
        <v>82</v>
      </c>
      <c r="AC62" s="4" t="s">
        <v>46</v>
      </c>
      <c r="AD62" s="5">
        <v>0</v>
      </c>
      <c r="AE62" s="4" t="s">
        <v>83</v>
      </c>
      <c r="AF62" s="3">
        <v>45474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45973</v>
      </c>
      <c r="C63" s="4" t="s">
        <v>220</v>
      </c>
      <c r="D63" s="2">
        <v>1773696</v>
      </c>
      <c r="E63" s="4" t="s">
        <v>221</v>
      </c>
      <c r="F63" s="4" t="s">
        <v>222</v>
      </c>
      <c r="G63" s="4" t="s">
        <v>46</v>
      </c>
      <c r="H63" s="4" t="s">
        <v>46</v>
      </c>
      <c r="I63" s="4" t="s">
        <v>46</v>
      </c>
      <c r="J63" s="4" t="s">
        <v>178</v>
      </c>
      <c r="K63" s="4" t="s">
        <v>179</v>
      </c>
      <c r="L63" s="3">
        <v>45901</v>
      </c>
      <c r="M63" s="4" t="s">
        <v>201</v>
      </c>
      <c r="N63" s="4" t="s">
        <v>46</v>
      </c>
      <c r="O63" s="4" t="s">
        <v>81</v>
      </c>
      <c r="P63" s="4" t="s">
        <v>81</v>
      </c>
      <c r="Q63" s="2">
        <v>65</v>
      </c>
      <c r="R63" s="2">
        <v>10</v>
      </c>
      <c r="S63" s="4" t="s">
        <v>224</v>
      </c>
      <c r="T63" s="4" t="s">
        <v>46</v>
      </c>
      <c r="U63" s="4" t="s">
        <v>46</v>
      </c>
      <c r="V63" s="5">
        <v>15</v>
      </c>
      <c r="W63" s="5">
        <v>0.45</v>
      </c>
      <c r="X63" s="5">
        <v>100</v>
      </c>
      <c r="Y63" s="5">
        <v>7.0000000000000007E-2</v>
      </c>
      <c r="Z63" s="4" t="s">
        <v>46</v>
      </c>
      <c r="AA63" s="5" t="s">
        <v>46</v>
      </c>
      <c r="AB63" s="4" t="s">
        <v>82</v>
      </c>
      <c r="AC63" s="4" t="s">
        <v>46</v>
      </c>
      <c r="AD63" s="5">
        <v>0</v>
      </c>
      <c r="AE63" s="4" t="s">
        <v>83</v>
      </c>
      <c r="AF63" s="3">
        <v>45474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45973</v>
      </c>
      <c r="C64" s="4" t="s">
        <v>220</v>
      </c>
      <c r="D64" s="2">
        <v>1773696</v>
      </c>
      <c r="E64" s="4" t="s">
        <v>221</v>
      </c>
      <c r="F64" s="4" t="s">
        <v>222</v>
      </c>
      <c r="G64" s="4" t="s">
        <v>46</v>
      </c>
      <c r="H64" s="4" t="s">
        <v>46</v>
      </c>
      <c r="I64" s="4" t="s">
        <v>46</v>
      </c>
      <c r="J64" s="4" t="s">
        <v>178</v>
      </c>
      <c r="K64" s="4" t="s">
        <v>179</v>
      </c>
      <c r="L64" s="3">
        <v>45931</v>
      </c>
      <c r="M64" s="4" t="s">
        <v>202</v>
      </c>
      <c r="N64" s="4" t="s">
        <v>46</v>
      </c>
      <c r="O64" s="4" t="s">
        <v>81</v>
      </c>
      <c r="P64" s="4" t="s">
        <v>81</v>
      </c>
      <c r="Q64" s="2">
        <v>65</v>
      </c>
      <c r="R64" s="2">
        <v>10</v>
      </c>
      <c r="S64" s="4" t="s">
        <v>224</v>
      </c>
      <c r="T64" s="4" t="s">
        <v>46</v>
      </c>
      <c r="U64" s="4" t="s">
        <v>46</v>
      </c>
      <c r="V64" s="5">
        <v>15</v>
      </c>
      <c r="W64" s="5">
        <v>6.75</v>
      </c>
      <c r="X64" s="5">
        <v>100</v>
      </c>
      <c r="Y64" s="5">
        <v>1.01</v>
      </c>
      <c r="Z64" s="4" t="s">
        <v>46</v>
      </c>
      <c r="AA64" s="5" t="s">
        <v>46</v>
      </c>
      <c r="AB64" s="4" t="s">
        <v>82</v>
      </c>
      <c r="AC64" s="4" t="s">
        <v>46</v>
      </c>
      <c r="AD64" s="5">
        <v>0</v>
      </c>
      <c r="AE64" s="4" t="s">
        <v>83</v>
      </c>
      <c r="AF64" s="3">
        <v>45474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45973</v>
      </c>
      <c r="C65" s="4" t="s">
        <v>220</v>
      </c>
      <c r="D65" s="2">
        <v>1773696</v>
      </c>
      <c r="E65" s="4" t="s">
        <v>221</v>
      </c>
      <c r="F65" s="4" t="s">
        <v>222</v>
      </c>
      <c r="G65" s="4" t="s">
        <v>46</v>
      </c>
      <c r="H65" s="4" t="s">
        <v>46</v>
      </c>
      <c r="I65" s="4" t="s">
        <v>46</v>
      </c>
      <c r="J65" s="4" t="s">
        <v>178</v>
      </c>
      <c r="K65" s="4" t="s">
        <v>179</v>
      </c>
      <c r="L65" s="3">
        <v>45962</v>
      </c>
      <c r="M65" s="4" t="s">
        <v>49</v>
      </c>
      <c r="N65" s="4" t="s">
        <v>46</v>
      </c>
      <c r="O65" s="4" t="s">
        <v>81</v>
      </c>
      <c r="P65" s="4" t="s">
        <v>81</v>
      </c>
      <c r="Q65" s="2">
        <v>65</v>
      </c>
      <c r="R65" s="2">
        <v>10</v>
      </c>
      <c r="S65" s="4" t="s">
        <v>224</v>
      </c>
      <c r="T65" s="4" t="s">
        <v>46</v>
      </c>
      <c r="U65" s="4" t="s">
        <v>46</v>
      </c>
      <c r="V65" s="5">
        <v>15</v>
      </c>
      <c r="W65" s="5">
        <v>28.93</v>
      </c>
      <c r="X65" s="5">
        <v>100</v>
      </c>
      <c r="Y65" s="5">
        <v>4.34</v>
      </c>
      <c r="Z65" s="4" t="s">
        <v>46</v>
      </c>
      <c r="AA65" s="5" t="s">
        <v>46</v>
      </c>
      <c r="AB65" s="4" t="s">
        <v>82</v>
      </c>
      <c r="AC65" s="4" t="s">
        <v>46</v>
      </c>
      <c r="AD65" s="5">
        <v>0</v>
      </c>
      <c r="AE65" s="4" t="s">
        <v>83</v>
      </c>
      <c r="AF65" s="3">
        <v>45474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45973</v>
      </c>
      <c r="C66" s="4" t="s">
        <v>220</v>
      </c>
      <c r="D66" s="2">
        <v>1773696</v>
      </c>
      <c r="E66" s="4" t="s">
        <v>221</v>
      </c>
      <c r="F66" s="4" t="s">
        <v>222</v>
      </c>
      <c r="G66" s="4" t="s">
        <v>46</v>
      </c>
      <c r="H66" s="4" t="s">
        <v>46</v>
      </c>
      <c r="I66" s="4" t="s">
        <v>46</v>
      </c>
      <c r="J66" s="4" t="s">
        <v>178</v>
      </c>
      <c r="K66" s="4" t="s">
        <v>179</v>
      </c>
      <c r="L66" s="3">
        <v>45870</v>
      </c>
      <c r="M66" s="4" t="s">
        <v>203</v>
      </c>
      <c r="N66" s="4" t="s">
        <v>46</v>
      </c>
      <c r="O66" s="4" t="s">
        <v>81</v>
      </c>
      <c r="P66" s="4" t="s">
        <v>81</v>
      </c>
      <c r="Q66" s="2">
        <v>30</v>
      </c>
      <c r="R66" s="2">
        <v>60</v>
      </c>
      <c r="S66" s="4" t="s">
        <v>168</v>
      </c>
      <c r="T66" s="4" t="s">
        <v>46</v>
      </c>
      <c r="U66" s="4" t="s">
        <v>46</v>
      </c>
      <c r="V66" s="5">
        <v>10</v>
      </c>
      <c r="W66" s="5">
        <v>4.9400000000000004</v>
      </c>
      <c r="X66" s="5">
        <v>100</v>
      </c>
      <c r="Y66" s="5">
        <v>0.49</v>
      </c>
      <c r="Z66" s="4" t="s">
        <v>46</v>
      </c>
      <c r="AA66" s="5" t="s">
        <v>46</v>
      </c>
      <c r="AB66" s="4" t="s">
        <v>82</v>
      </c>
      <c r="AC66" s="4" t="s">
        <v>46</v>
      </c>
      <c r="AD66" s="5">
        <v>0</v>
      </c>
      <c r="AE66" s="4" t="s">
        <v>83</v>
      </c>
      <c r="AF66" s="3">
        <v>45474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45973</v>
      </c>
      <c r="C67" s="4" t="s">
        <v>220</v>
      </c>
      <c r="D67" s="2">
        <v>1773696</v>
      </c>
      <c r="E67" s="4" t="s">
        <v>221</v>
      </c>
      <c r="F67" s="4" t="s">
        <v>222</v>
      </c>
      <c r="G67" s="4" t="s">
        <v>46</v>
      </c>
      <c r="H67" s="4" t="s">
        <v>46</v>
      </c>
      <c r="I67" s="4" t="s">
        <v>46</v>
      </c>
      <c r="J67" s="4" t="s">
        <v>178</v>
      </c>
      <c r="K67" s="4" t="s">
        <v>179</v>
      </c>
      <c r="L67" s="3">
        <v>45901</v>
      </c>
      <c r="M67" s="4" t="s">
        <v>201</v>
      </c>
      <c r="N67" s="4" t="s">
        <v>46</v>
      </c>
      <c r="O67" s="4" t="s">
        <v>81</v>
      </c>
      <c r="P67" s="4" t="s">
        <v>81</v>
      </c>
      <c r="Q67" s="2">
        <v>30</v>
      </c>
      <c r="R67" s="2">
        <v>60</v>
      </c>
      <c r="S67" s="4" t="s">
        <v>168</v>
      </c>
      <c r="T67" s="4" t="s">
        <v>46</v>
      </c>
      <c r="U67" s="4" t="s">
        <v>46</v>
      </c>
      <c r="V67" s="5">
        <v>10</v>
      </c>
      <c r="W67" s="5">
        <v>4.9400000000000004</v>
      </c>
      <c r="X67" s="5">
        <v>100</v>
      </c>
      <c r="Y67" s="5">
        <v>0.49</v>
      </c>
      <c r="Z67" s="4" t="s">
        <v>46</v>
      </c>
      <c r="AA67" s="5" t="s">
        <v>46</v>
      </c>
      <c r="AB67" s="4" t="s">
        <v>82</v>
      </c>
      <c r="AC67" s="4" t="s">
        <v>46</v>
      </c>
      <c r="AD67" s="5">
        <v>0</v>
      </c>
      <c r="AE67" s="4" t="s">
        <v>83</v>
      </c>
      <c r="AF67" s="3">
        <v>45474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45973</v>
      </c>
      <c r="C68" s="4" t="s">
        <v>220</v>
      </c>
      <c r="D68" s="2">
        <v>1773696</v>
      </c>
      <c r="E68" s="4" t="s">
        <v>221</v>
      </c>
      <c r="F68" s="4" t="s">
        <v>222</v>
      </c>
      <c r="G68" s="4" t="s">
        <v>46</v>
      </c>
      <c r="H68" s="4" t="s">
        <v>46</v>
      </c>
      <c r="I68" s="4" t="s">
        <v>46</v>
      </c>
      <c r="J68" s="4" t="s">
        <v>178</v>
      </c>
      <c r="K68" s="4" t="s">
        <v>179</v>
      </c>
      <c r="L68" s="3">
        <v>45931</v>
      </c>
      <c r="M68" s="4" t="s">
        <v>202</v>
      </c>
      <c r="N68" s="4" t="s">
        <v>46</v>
      </c>
      <c r="O68" s="4" t="s">
        <v>81</v>
      </c>
      <c r="P68" s="4" t="s">
        <v>81</v>
      </c>
      <c r="Q68" s="2">
        <v>30</v>
      </c>
      <c r="R68" s="2">
        <v>60</v>
      </c>
      <c r="S68" s="4" t="s">
        <v>168</v>
      </c>
      <c r="T68" s="4" t="s">
        <v>46</v>
      </c>
      <c r="U68" s="4" t="s">
        <v>46</v>
      </c>
      <c r="V68" s="5">
        <v>10</v>
      </c>
      <c r="W68" s="5">
        <v>14.82</v>
      </c>
      <c r="X68" s="5">
        <v>100</v>
      </c>
      <c r="Y68" s="5">
        <v>1.48</v>
      </c>
      <c r="Z68" s="4" t="s">
        <v>46</v>
      </c>
      <c r="AA68" s="5" t="s">
        <v>46</v>
      </c>
      <c r="AB68" s="4" t="s">
        <v>82</v>
      </c>
      <c r="AC68" s="4" t="s">
        <v>46</v>
      </c>
      <c r="AD68" s="5">
        <v>0</v>
      </c>
      <c r="AE68" s="4" t="s">
        <v>83</v>
      </c>
      <c r="AF68" s="3">
        <v>45474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45973</v>
      </c>
      <c r="C69" s="4" t="s">
        <v>220</v>
      </c>
      <c r="D69" s="2">
        <v>1773696</v>
      </c>
      <c r="E69" s="4" t="s">
        <v>221</v>
      </c>
      <c r="F69" s="4" t="s">
        <v>222</v>
      </c>
      <c r="G69" s="4" t="s">
        <v>46</v>
      </c>
      <c r="H69" s="4" t="s">
        <v>46</v>
      </c>
      <c r="I69" s="4" t="s">
        <v>46</v>
      </c>
      <c r="J69" s="4" t="s">
        <v>178</v>
      </c>
      <c r="K69" s="4" t="s">
        <v>179</v>
      </c>
      <c r="L69" s="3">
        <v>45962</v>
      </c>
      <c r="M69" s="4" t="s">
        <v>49</v>
      </c>
      <c r="N69" s="4" t="s">
        <v>46</v>
      </c>
      <c r="O69" s="4" t="s">
        <v>81</v>
      </c>
      <c r="P69" s="4" t="s">
        <v>81</v>
      </c>
      <c r="Q69" s="2">
        <v>30</v>
      </c>
      <c r="R69" s="2">
        <v>60</v>
      </c>
      <c r="S69" s="4" t="s">
        <v>168</v>
      </c>
      <c r="T69" s="4" t="s">
        <v>46</v>
      </c>
      <c r="U69" s="4" t="s">
        <v>46</v>
      </c>
      <c r="V69" s="5">
        <v>10</v>
      </c>
      <c r="W69" s="5">
        <v>191.99</v>
      </c>
      <c r="X69" s="5">
        <v>100</v>
      </c>
      <c r="Y69" s="5">
        <v>19.2</v>
      </c>
      <c r="Z69" s="4" t="s">
        <v>46</v>
      </c>
      <c r="AA69" s="5" t="s">
        <v>46</v>
      </c>
      <c r="AB69" s="4" t="s">
        <v>82</v>
      </c>
      <c r="AC69" s="4" t="s">
        <v>46</v>
      </c>
      <c r="AD69" s="5">
        <v>0</v>
      </c>
      <c r="AE69" s="4" t="s">
        <v>83</v>
      </c>
      <c r="AF69" s="3">
        <v>45474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45973</v>
      </c>
      <c r="C70" s="4" t="s">
        <v>225</v>
      </c>
      <c r="D70" s="2">
        <v>1775329</v>
      </c>
      <c r="E70" s="4" t="s">
        <v>226</v>
      </c>
      <c r="F70" s="4" t="s">
        <v>227</v>
      </c>
      <c r="G70" s="4" t="s">
        <v>46</v>
      </c>
      <c r="H70" s="4" t="s">
        <v>46</v>
      </c>
      <c r="I70" s="4" t="s">
        <v>46</v>
      </c>
      <c r="J70" s="4" t="s">
        <v>187</v>
      </c>
      <c r="K70" s="4" t="s">
        <v>48</v>
      </c>
      <c r="L70" s="3">
        <v>45962</v>
      </c>
      <c r="M70" s="4" t="s">
        <v>49</v>
      </c>
      <c r="N70" s="4" t="s">
        <v>46</v>
      </c>
      <c r="O70" s="4" t="s">
        <v>50</v>
      </c>
      <c r="P70" s="4" t="s">
        <v>81</v>
      </c>
      <c r="Q70" s="2">
        <v>1</v>
      </c>
      <c r="R70" s="2">
        <v>17</v>
      </c>
      <c r="S70" s="4" t="s">
        <v>51</v>
      </c>
      <c r="T70" s="4" t="s">
        <v>46</v>
      </c>
      <c r="U70" s="4" t="s">
        <v>46</v>
      </c>
      <c r="V70" s="5">
        <v>15</v>
      </c>
      <c r="W70" s="5">
        <v>1571.4</v>
      </c>
      <c r="X70" s="5">
        <v>100</v>
      </c>
      <c r="Y70" s="5">
        <v>235.68</v>
      </c>
      <c r="Z70" s="5">
        <v>0</v>
      </c>
      <c r="AA70" s="5">
        <v>0</v>
      </c>
      <c r="AB70" s="4" t="s">
        <v>193</v>
      </c>
      <c r="AC70" s="4" t="s">
        <v>46</v>
      </c>
      <c r="AD70" s="5">
        <v>0</v>
      </c>
      <c r="AE70" s="4" t="s">
        <v>194</v>
      </c>
      <c r="AF70" s="3">
        <v>45962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45973</v>
      </c>
      <c r="C71" s="4" t="s">
        <v>152</v>
      </c>
      <c r="D71" s="2">
        <v>1831491</v>
      </c>
      <c r="E71" s="4" t="s">
        <v>228</v>
      </c>
      <c r="F71" s="4" t="s">
        <v>229</v>
      </c>
      <c r="G71" s="4" t="s">
        <v>46</v>
      </c>
      <c r="H71" s="4" t="s">
        <v>46</v>
      </c>
      <c r="I71" s="4" t="s">
        <v>230</v>
      </c>
      <c r="J71" s="4" t="s">
        <v>187</v>
      </c>
      <c r="K71" s="4" t="s">
        <v>48</v>
      </c>
      <c r="L71" s="3">
        <v>45962</v>
      </c>
      <c r="M71" s="4" t="s">
        <v>49</v>
      </c>
      <c r="N71" s="4" t="s">
        <v>46</v>
      </c>
      <c r="O71" s="4" t="s">
        <v>50</v>
      </c>
      <c r="P71" s="4" t="s">
        <v>81</v>
      </c>
      <c r="Q71" s="2">
        <v>1</v>
      </c>
      <c r="R71" s="2">
        <v>17</v>
      </c>
      <c r="S71" s="4" t="s">
        <v>51</v>
      </c>
      <c r="T71" s="4" t="s">
        <v>46</v>
      </c>
      <c r="U71" s="4" t="s">
        <v>46</v>
      </c>
      <c r="V71" s="5">
        <v>22</v>
      </c>
      <c r="W71" s="5">
        <v>2327.88</v>
      </c>
      <c r="X71" s="5">
        <v>100</v>
      </c>
      <c r="Y71" s="5">
        <v>512.16</v>
      </c>
      <c r="Z71" s="5">
        <v>0</v>
      </c>
      <c r="AA71" s="5">
        <v>0</v>
      </c>
      <c r="AB71" s="4" t="s">
        <v>231</v>
      </c>
      <c r="AC71" s="4" t="s">
        <v>46</v>
      </c>
      <c r="AD71" s="5">
        <v>0</v>
      </c>
      <c r="AE71" s="4" t="s">
        <v>232</v>
      </c>
      <c r="AF71" s="3">
        <v>45962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45973</v>
      </c>
      <c r="C72" s="4" t="s">
        <v>152</v>
      </c>
      <c r="D72" s="2">
        <v>1831491</v>
      </c>
      <c r="E72" s="4" t="s">
        <v>233</v>
      </c>
      <c r="F72" s="4" t="s">
        <v>234</v>
      </c>
      <c r="G72" s="4" t="s">
        <v>46</v>
      </c>
      <c r="H72" s="4" t="s">
        <v>46</v>
      </c>
      <c r="I72" s="4" t="s">
        <v>46</v>
      </c>
      <c r="J72" s="4" t="s">
        <v>187</v>
      </c>
      <c r="K72" s="4" t="s">
        <v>48</v>
      </c>
      <c r="L72" s="3">
        <v>45962</v>
      </c>
      <c r="M72" s="4" t="s">
        <v>49</v>
      </c>
      <c r="N72" s="4" t="s">
        <v>46</v>
      </c>
      <c r="O72" s="4" t="s">
        <v>50</v>
      </c>
      <c r="P72" s="4" t="s">
        <v>81</v>
      </c>
      <c r="Q72" s="2">
        <v>1</v>
      </c>
      <c r="R72" s="2">
        <v>17</v>
      </c>
      <c r="S72" s="4" t="s">
        <v>51</v>
      </c>
      <c r="T72" s="4" t="s">
        <v>46</v>
      </c>
      <c r="U72" s="4" t="s">
        <v>46</v>
      </c>
      <c r="V72" s="5">
        <v>22</v>
      </c>
      <c r="W72" s="5">
        <v>2910.6</v>
      </c>
      <c r="X72" s="5">
        <v>100</v>
      </c>
      <c r="Y72" s="5">
        <v>640.32000000000005</v>
      </c>
      <c r="Z72" s="5">
        <v>0</v>
      </c>
      <c r="AA72" s="5">
        <v>0</v>
      </c>
      <c r="AB72" s="4" t="s">
        <v>193</v>
      </c>
      <c r="AC72" s="4" t="s">
        <v>46</v>
      </c>
      <c r="AD72" s="5">
        <v>0</v>
      </c>
      <c r="AE72" s="4" t="s">
        <v>194</v>
      </c>
      <c r="AF72" s="3">
        <v>45962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45973</v>
      </c>
      <c r="C73" s="4" t="s">
        <v>152</v>
      </c>
      <c r="D73" s="2">
        <v>1831491</v>
      </c>
      <c r="E73" s="4" t="s">
        <v>235</v>
      </c>
      <c r="F73" s="4" t="s">
        <v>236</v>
      </c>
      <c r="G73" s="4" t="s">
        <v>46</v>
      </c>
      <c r="H73" s="4" t="s">
        <v>46</v>
      </c>
      <c r="I73" s="4" t="s">
        <v>46</v>
      </c>
      <c r="J73" s="4" t="s">
        <v>187</v>
      </c>
      <c r="K73" s="4" t="s">
        <v>48</v>
      </c>
      <c r="L73" s="3">
        <v>45962</v>
      </c>
      <c r="M73" s="4" t="s">
        <v>49</v>
      </c>
      <c r="N73" s="4" t="s">
        <v>46</v>
      </c>
      <c r="O73" s="4" t="s">
        <v>50</v>
      </c>
      <c r="P73" s="4" t="s">
        <v>81</v>
      </c>
      <c r="Q73" s="2">
        <v>1</v>
      </c>
      <c r="R73" s="2">
        <v>17</v>
      </c>
      <c r="S73" s="4" t="s">
        <v>51</v>
      </c>
      <c r="T73" s="4" t="s">
        <v>46</v>
      </c>
      <c r="U73" s="4" t="s">
        <v>46</v>
      </c>
      <c r="V73" s="5">
        <v>22</v>
      </c>
      <c r="W73" s="5">
        <v>1651.32</v>
      </c>
      <c r="X73" s="5">
        <v>100</v>
      </c>
      <c r="Y73" s="5">
        <v>363.24</v>
      </c>
      <c r="Z73" s="5">
        <v>0</v>
      </c>
      <c r="AA73" s="5">
        <v>0</v>
      </c>
      <c r="AB73" s="4" t="s">
        <v>193</v>
      </c>
      <c r="AC73" s="4" t="s">
        <v>46</v>
      </c>
      <c r="AD73" s="5">
        <v>0</v>
      </c>
      <c r="AE73" s="4" t="s">
        <v>194</v>
      </c>
      <c r="AF73" s="3">
        <v>45962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45973</v>
      </c>
      <c r="C74" s="4" t="s">
        <v>152</v>
      </c>
      <c r="D74" s="2">
        <v>1831491</v>
      </c>
      <c r="E74" s="4" t="s">
        <v>237</v>
      </c>
      <c r="F74" s="4" t="s">
        <v>238</v>
      </c>
      <c r="G74" s="4" t="s">
        <v>46</v>
      </c>
      <c r="H74" s="4" t="s">
        <v>46</v>
      </c>
      <c r="I74" s="4" t="s">
        <v>46</v>
      </c>
      <c r="J74" s="4" t="s">
        <v>166</v>
      </c>
      <c r="K74" s="4" t="s">
        <v>167</v>
      </c>
      <c r="L74" s="3">
        <v>45992</v>
      </c>
      <c r="M74" s="4" t="s">
        <v>62</v>
      </c>
      <c r="N74" s="4" t="s">
        <v>46</v>
      </c>
      <c r="O74" s="4" t="s">
        <v>50</v>
      </c>
      <c r="P74" s="4" t="s">
        <v>81</v>
      </c>
      <c r="Q74" s="2">
        <v>1</v>
      </c>
      <c r="R74" s="2">
        <v>3</v>
      </c>
      <c r="S74" s="4" t="s">
        <v>180</v>
      </c>
      <c r="T74" s="4" t="s">
        <v>46</v>
      </c>
      <c r="U74" s="4" t="s">
        <v>46</v>
      </c>
      <c r="V74" s="5">
        <v>10</v>
      </c>
      <c r="W74" s="5">
        <v>41.82</v>
      </c>
      <c r="X74" s="5">
        <v>100</v>
      </c>
      <c r="Y74" s="5">
        <v>4.18</v>
      </c>
      <c r="Z74" s="4" t="s">
        <v>46</v>
      </c>
      <c r="AA74" s="5" t="s">
        <v>46</v>
      </c>
      <c r="AB74" s="4" t="s">
        <v>173</v>
      </c>
      <c r="AC74" s="4" t="s">
        <v>46</v>
      </c>
      <c r="AD74" s="5">
        <v>0</v>
      </c>
      <c r="AE74" s="4" t="s">
        <v>174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45973</v>
      </c>
      <c r="C75" s="4" t="s">
        <v>152</v>
      </c>
      <c r="D75" s="2">
        <v>1831491</v>
      </c>
      <c r="E75" s="4" t="s">
        <v>239</v>
      </c>
      <c r="F75" s="4" t="s">
        <v>240</v>
      </c>
      <c r="G75" s="4" t="s">
        <v>46</v>
      </c>
      <c r="H75" s="4" t="s">
        <v>46</v>
      </c>
      <c r="I75" s="4" t="s">
        <v>46</v>
      </c>
      <c r="J75" s="4" t="s">
        <v>166</v>
      </c>
      <c r="K75" s="4" t="s">
        <v>167</v>
      </c>
      <c r="L75" s="3">
        <v>46023</v>
      </c>
      <c r="M75" s="4" t="s">
        <v>76</v>
      </c>
      <c r="N75" s="4" t="s">
        <v>46</v>
      </c>
      <c r="O75" s="4" t="s">
        <v>50</v>
      </c>
      <c r="P75" s="4" t="s">
        <v>81</v>
      </c>
      <c r="Q75" s="2">
        <v>1</v>
      </c>
      <c r="R75" s="2">
        <v>60</v>
      </c>
      <c r="S75" s="4" t="s">
        <v>168</v>
      </c>
      <c r="T75" s="4" t="s">
        <v>46</v>
      </c>
      <c r="U75" s="4" t="s">
        <v>46</v>
      </c>
      <c r="V75" s="5">
        <v>10</v>
      </c>
      <c r="W75" s="5">
        <v>14.93</v>
      </c>
      <c r="X75" s="5">
        <v>100</v>
      </c>
      <c r="Y75" s="5">
        <v>36.49</v>
      </c>
      <c r="Z75" s="4" t="s">
        <v>46</v>
      </c>
      <c r="AA75" s="5" t="s">
        <v>46</v>
      </c>
      <c r="AB75" s="4" t="s">
        <v>173</v>
      </c>
      <c r="AC75" s="4" t="s">
        <v>46</v>
      </c>
      <c r="AD75" s="5">
        <v>0</v>
      </c>
      <c r="AE75" s="4" t="s">
        <v>174</v>
      </c>
      <c r="AF75" s="3">
        <v>46023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45973</v>
      </c>
      <c r="C76" s="4" t="s">
        <v>152</v>
      </c>
      <c r="D76" s="2">
        <v>1831491</v>
      </c>
      <c r="E76" s="4" t="s">
        <v>241</v>
      </c>
      <c r="F76" s="4" t="s">
        <v>242</v>
      </c>
      <c r="G76" s="4" t="s">
        <v>46</v>
      </c>
      <c r="H76" s="4" t="s">
        <v>46</v>
      </c>
      <c r="I76" s="4" t="s">
        <v>46</v>
      </c>
      <c r="J76" s="4" t="s">
        <v>166</v>
      </c>
      <c r="K76" s="4" t="s">
        <v>167</v>
      </c>
      <c r="L76" s="3">
        <v>46023</v>
      </c>
      <c r="M76" s="4" t="s">
        <v>76</v>
      </c>
      <c r="N76" s="4" t="s">
        <v>46</v>
      </c>
      <c r="O76" s="4" t="s">
        <v>50</v>
      </c>
      <c r="P76" s="4" t="s">
        <v>81</v>
      </c>
      <c r="Q76" s="2">
        <v>1</v>
      </c>
      <c r="R76" s="2">
        <v>60</v>
      </c>
      <c r="S76" s="4" t="s">
        <v>168</v>
      </c>
      <c r="T76" s="4" t="s">
        <v>46</v>
      </c>
      <c r="U76" s="4" t="s">
        <v>46</v>
      </c>
      <c r="V76" s="5">
        <v>10</v>
      </c>
      <c r="W76" s="5">
        <v>14.93</v>
      </c>
      <c r="X76" s="5">
        <v>100</v>
      </c>
      <c r="Y76" s="5">
        <v>36.49</v>
      </c>
      <c r="Z76" s="4" t="s">
        <v>46</v>
      </c>
      <c r="AA76" s="5" t="s">
        <v>46</v>
      </c>
      <c r="AB76" s="4" t="s">
        <v>173</v>
      </c>
      <c r="AC76" s="4" t="s">
        <v>46</v>
      </c>
      <c r="AD76" s="5">
        <v>0</v>
      </c>
      <c r="AE76" s="4" t="s">
        <v>174</v>
      </c>
      <c r="AF76" s="3">
        <v>46023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45973</v>
      </c>
      <c r="C77" s="4" t="s">
        <v>152</v>
      </c>
      <c r="D77" s="2">
        <v>1831491</v>
      </c>
      <c r="E77" s="4" t="s">
        <v>243</v>
      </c>
      <c r="F77" s="4" t="s">
        <v>244</v>
      </c>
      <c r="G77" s="4" t="s">
        <v>46</v>
      </c>
      <c r="H77" s="4" t="s">
        <v>46</v>
      </c>
      <c r="I77" s="4" t="s">
        <v>46</v>
      </c>
      <c r="J77" s="4" t="s">
        <v>166</v>
      </c>
      <c r="K77" s="4" t="s">
        <v>167</v>
      </c>
      <c r="L77" s="3">
        <v>45962</v>
      </c>
      <c r="M77" s="4" t="s">
        <v>49</v>
      </c>
      <c r="N77" s="4" t="s">
        <v>46</v>
      </c>
      <c r="O77" s="4" t="s">
        <v>50</v>
      </c>
      <c r="P77" s="4" t="s">
        <v>81</v>
      </c>
      <c r="Q77" s="2">
        <v>2</v>
      </c>
      <c r="R77" s="2">
        <v>60</v>
      </c>
      <c r="S77" s="4" t="s">
        <v>168</v>
      </c>
      <c r="T77" s="4" t="s">
        <v>46</v>
      </c>
      <c r="U77" s="4" t="s">
        <v>46</v>
      </c>
      <c r="V77" s="5">
        <v>10</v>
      </c>
      <c r="W77" s="5">
        <v>26.88</v>
      </c>
      <c r="X77" s="5">
        <v>100</v>
      </c>
      <c r="Y77" s="5">
        <v>37.69</v>
      </c>
      <c r="Z77" s="4" t="s">
        <v>46</v>
      </c>
      <c r="AA77" s="5" t="s">
        <v>46</v>
      </c>
      <c r="AB77" s="4" t="s">
        <v>173</v>
      </c>
      <c r="AC77" s="4" t="s">
        <v>46</v>
      </c>
      <c r="AD77" s="5">
        <v>0</v>
      </c>
      <c r="AE77" s="4" t="s">
        <v>174</v>
      </c>
      <c r="AF77" s="3">
        <v>45976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45973</v>
      </c>
      <c r="C78" s="4" t="s">
        <v>245</v>
      </c>
      <c r="D78" s="2">
        <v>1875462</v>
      </c>
      <c r="E78" s="4" t="s">
        <v>246</v>
      </c>
      <c r="F78" s="4" t="s">
        <v>247</v>
      </c>
      <c r="G78" s="4" t="s">
        <v>46</v>
      </c>
      <c r="H78" s="4" t="s">
        <v>46</v>
      </c>
      <c r="I78" s="4" t="s">
        <v>46</v>
      </c>
      <c r="J78" s="4" t="s">
        <v>187</v>
      </c>
      <c r="K78" s="4" t="s">
        <v>48</v>
      </c>
      <c r="L78" s="3">
        <v>45962</v>
      </c>
      <c r="M78" s="4" t="s">
        <v>49</v>
      </c>
      <c r="N78" s="4" t="s">
        <v>46</v>
      </c>
      <c r="O78" s="4" t="s">
        <v>50</v>
      </c>
      <c r="P78" s="4" t="s">
        <v>81</v>
      </c>
      <c r="Q78" s="2">
        <v>1</v>
      </c>
      <c r="R78" s="2">
        <v>17</v>
      </c>
      <c r="S78" s="4" t="s">
        <v>51</v>
      </c>
      <c r="T78" s="4" t="s">
        <v>46</v>
      </c>
      <c r="U78" s="4" t="s">
        <v>46</v>
      </c>
      <c r="V78" s="5">
        <v>26</v>
      </c>
      <c r="W78" s="5">
        <v>1634.16</v>
      </c>
      <c r="X78" s="5">
        <v>100</v>
      </c>
      <c r="Y78" s="5">
        <v>424.92</v>
      </c>
      <c r="Z78" s="5">
        <v>0</v>
      </c>
      <c r="AA78" s="5">
        <v>0</v>
      </c>
      <c r="AB78" s="4" t="s">
        <v>208</v>
      </c>
      <c r="AC78" s="4" t="s">
        <v>46</v>
      </c>
      <c r="AD78" s="5">
        <v>0</v>
      </c>
      <c r="AE78" s="4" t="s">
        <v>209</v>
      </c>
      <c r="AF78" s="3">
        <v>45962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45973</v>
      </c>
      <c r="C79" s="4" t="s">
        <v>245</v>
      </c>
      <c r="D79" s="2">
        <v>1875462</v>
      </c>
      <c r="E79" s="4" t="s">
        <v>248</v>
      </c>
      <c r="F79" s="4" t="s">
        <v>249</v>
      </c>
      <c r="G79" s="4" t="s">
        <v>46</v>
      </c>
      <c r="H79" s="4" t="s">
        <v>46</v>
      </c>
      <c r="I79" s="4" t="s">
        <v>46</v>
      </c>
      <c r="J79" s="4" t="s">
        <v>166</v>
      </c>
      <c r="K79" s="4" t="s">
        <v>167</v>
      </c>
      <c r="L79" s="3">
        <v>45992</v>
      </c>
      <c r="M79" s="4" t="s">
        <v>62</v>
      </c>
      <c r="N79" s="4" t="s">
        <v>46</v>
      </c>
      <c r="O79" s="4" t="s">
        <v>50</v>
      </c>
      <c r="P79" s="4" t="s">
        <v>81</v>
      </c>
      <c r="Q79" s="2">
        <v>4</v>
      </c>
      <c r="R79" s="2">
        <v>60</v>
      </c>
      <c r="S79" s="4" t="s">
        <v>168</v>
      </c>
      <c r="T79" s="4" t="s">
        <v>46</v>
      </c>
      <c r="U79" s="4" t="s">
        <v>46</v>
      </c>
      <c r="V79" s="5">
        <v>10</v>
      </c>
      <c r="W79" s="5">
        <v>36.99</v>
      </c>
      <c r="X79" s="5">
        <v>100</v>
      </c>
      <c r="Y79" s="5">
        <v>3.7</v>
      </c>
      <c r="Z79" s="4" t="s">
        <v>46</v>
      </c>
      <c r="AA79" s="5" t="s">
        <v>46</v>
      </c>
      <c r="AB79" s="4" t="s">
        <v>173</v>
      </c>
      <c r="AC79" s="4" t="s">
        <v>46</v>
      </c>
      <c r="AD79" s="5">
        <v>0</v>
      </c>
      <c r="AE79" s="4" t="s">
        <v>174</v>
      </c>
      <c r="AF79" s="3">
        <v>45700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45973</v>
      </c>
      <c r="C80" s="4" t="s">
        <v>245</v>
      </c>
      <c r="D80" s="2">
        <v>1875462</v>
      </c>
      <c r="E80" s="4" t="s">
        <v>250</v>
      </c>
      <c r="F80" s="4" t="s">
        <v>251</v>
      </c>
      <c r="G80" s="4" t="s">
        <v>46</v>
      </c>
      <c r="H80" s="4" t="s">
        <v>46</v>
      </c>
      <c r="I80" s="4" t="s">
        <v>46</v>
      </c>
      <c r="J80" s="4" t="s">
        <v>166</v>
      </c>
      <c r="K80" s="4" t="s">
        <v>167</v>
      </c>
      <c r="L80" s="3">
        <v>45992</v>
      </c>
      <c r="M80" s="4" t="s">
        <v>62</v>
      </c>
      <c r="N80" s="4" t="s">
        <v>46</v>
      </c>
      <c r="O80" s="4" t="s">
        <v>50</v>
      </c>
      <c r="P80" s="4" t="s">
        <v>81</v>
      </c>
      <c r="Q80" s="2">
        <v>2</v>
      </c>
      <c r="R80" s="2">
        <v>60</v>
      </c>
      <c r="S80" s="4" t="s">
        <v>168</v>
      </c>
      <c r="T80" s="4" t="s">
        <v>46</v>
      </c>
      <c r="U80" s="4" t="s">
        <v>46</v>
      </c>
      <c r="V80" s="5">
        <v>10</v>
      </c>
      <c r="W80" s="5">
        <v>23.99</v>
      </c>
      <c r="X80" s="5">
        <v>100</v>
      </c>
      <c r="Y80" s="5">
        <v>2.4</v>
      </c>
      <c r="Z80" s="4" t="s">
        <v>46</v>
      </c>
      <c r="AA80" s="5" t="s">
        <v>46</v>
      </c>
      <c r="AB80" s="4" t="s">
        <v>173</v>
      </c>
      <c r="AC80" s="4" t="s">
        <v>46</v>
      </c>
      <c r="AD80" s="5">
        <v>0</v>
      </c>
      <c r="AE80" s="4" t="s">
        <v>174</v>
      </c>
      <c r="AF80" s="3">
        <v>45776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45973</v>
      </c>
      <c r="C81" s="4" t="s">
        <v>245</v>
      </c>
      <c r="D81" s="2">
        <v>1875462</v>
      </c>
      <c r="E81" s="4" t="s">
        <v>252</v>
      </c>
      <c r="F81" s="4" t="s">
        <v>253</v>
      </c>
      <c r="G81" s="4" t="s">
        <v>46</v>
      </c>
      <c r="H81" s="4" t="s">
        <v>46</v>
      </c>
      <c r="I81" s="4" t="s">
        <v>46</v>
      </c>
      <c r="J81" s="4" t="s">
        <v>166</v>
      </c>
      <c r="K81" s="4" t="s">
        <v>167</v>
      </c>
      <c r="L81" s="3">
        <v>45992</v>
      </c>
      <c r="M81" s="4" t="s">
        <v>62</v>
      </c>
      <c r="N81" s="4" t="s">
        <v>46</v>
      </c>
      <c r="O81" s="4" t="s">
        <v>50</v>
      </c>
      <c r="P81" s="4" t="s">
        <v>81</v>
      </c>
      <c r="Q81" s="2">
        <v>2</v>
      </c>
      <c r="R81" s="2">
        <v>60</v>
      </c>
      <c r="S81" s="4" t="s">
        <v>168</v>
      </c>
      <c r="T81" s="4" t="s">
        <v>46</v>
      </c>
      <c r="U81" s="4" t="s">
        <v>46</v>
      </c>
      <c r="V81" s="5">
        <v>10</v>
      </c>
      <c r="W81" s="5">
        <v>23.99</v>
      </c>
      <c r="X81" s="5">
        <v>100</v>
      </c>
      <c r="Y81" s="5">
        <v>2.4</v>
      </c>
      <c r="Z81" s="4" t="s">
        <v>46</v>
      </c>
      <c r="AA81" s="5" t="s">
        <v>46</v>
      </c>
      <c r="AB81" s="4" t="s">
        <v>173</v>
      </c>
      <c r="AC81" s="4" t="s">
        <v>46</v>
      </c>
      <c r="AD81" s="5">
        <v>0</v>
      </c>
      <c r="AE81" s="4" t="s">
        <v>174</v>
      </c>
      <c r="AF81" s="3">
        <v>45818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C87F-8014-4633-8892-5C591F1A9671}">
  <dimension ref="A1:AQ81"/>
  <sheetViews>
    <sheetView topLeftCell="H44" workbookViewId="0">
      <selection activeCell="O2" sqref="O2:O81"/>
    </sheetView>
  </sheetViews>
  <sheetFormatPr defaultRowHeight="12.75" x14ac:dyDescent="0.2"/>
  <cols>
    <col min="1" max="1" width="24.7109375" bestFit="1" customWidth="1"/>
    <col min="2" max="2" width="30.285156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10.140625" customWidth="1"/>
    <col min="9" max="9" width="9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52.42578125" bestFit="1" customWidth="1"/>
    <col min="15" max="15" width="22.5703125" bestFit="1" customWidth="1"/>
    <col min="17" max="17" width="13.42578125" bestFit="1" customWidth="1"/>
    <col min="18" max="18" width="17.5703125" customWidth="1"/>
    <col min="19" max="19" width="14.7109375" bestFit="1" customWidth="1"/>
    <col min="20" max="20" width="12.42578125" bestFit="1" customWidth="1"/>
    <col min="21" max="23" width="25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x14ac:dyDescent="0.2">
      <c r="A2" s="4" t="s">
        <v>109</v>
      </c>
      <c r="B2" s="2">
        <v>17528908</v>
      </c>
      <c r="C2" s="4" t="s">
        <v>110</v>
      </c>
      <c r="D2" s="4" t="s">
        <v>111</v>
      </c>
      <c r="E2" s="3">
        <v>45962</v>
      </c>
      <c r="F2" s="4" t="s">
        <v>49</v>
      </c>
      <c r="G2" s="4" t="s">
        <v>51</v>
      </c>
      <c r="H2" s="4" t="s">
        <v>52</v>
      </c>
      <c r="I2" s="5">
        <v>1</v>
      </c>
      <c r="J2" s="5">
        <v>1</v>
      </c>
      <c r="K2" s="5">
        <v>29.41</v>
      </c>
      <c r="L2" s="4" t="s">
        <v>82</v>
      </c>
      <c r="M2" s="3">
        <v>45292</v>
      </c>
      <c r="N2" t="s">
        <v>261</v>
      </c>
      <c r="O2" t="s">
        <v>262</v>
      </c>
      <c r="Q2" s="4" t="s">
        <v>111</v>
      </c>
      <c r="R2" t="str">
        <f t="shared" ref="R2:R9" si="0">CONCATENATE(Q2,6)</f>
        <v>00006588811K6</v>
      </c>
      <c r="S2" s="4" t="s">
        <v>266</v>
      </c>
      <c r="T2" t="s">
        <v>267</v>
      </c>
      <c r="U2" t="str">
        <f t="shared" ref="U2:U22" si="1">CONCATENATE(T2, " ",S2)</f>
        <v>BERNIDETTA LUNDY</v>
      </c>
    </row>
    <row r="3" spans="1:42" x14ac:dyDescent="0.2">
      <c r="A3" s="4" t="s">
        <v>109</v>
      </c>
      <c r="B3" s="2">
        <v>17528908</v>
      </c>
      <c r="C3" s="4" t="s">
        <v>114</v>
      </c>
      <c r="D3" s="4" t="s">
        <v>115</v>
      </c>
      <c r="E3" s="3">
        <v>45962</v>
      </c>
      <c r="F3" s="4" t="s">
        <v>49</v>
      </c>
      <c r="G3" s="4" t="s">
        <v>51</v>
      </c>
      <c r="H3" s="4" t="s">
        <v>52</v>
      </c>
      <c r="I3" s="5">
        <v>1</v>
      </c>
      <c r="J3" s="5">
        <v>1</v>
      </c>
      <c r="K3" s="5">
        <v>29.41</v>
      </c>
      <c r="L3" s="4" t="s">
        <v>82</v>
      </c>
      <c r="M3" s="3">
        <v>45170</v>
      </c>
      <c r="N3" t="s">
        <v>261</v>
      </c>
      <c r="O3" t="s">
        <v>262</v>
      </c>
      <c r="Q3" s="4" t="s">
        <v>115</v>
      </c>
      <c r="R3" t="str">
        <f t="shared" si="0"/>
        <v>00020676577K6</v>
      </c>
      <c r="S3" s="4" t="s">
        <v>268</v>
      </c>
      <c r="T3" t="s">
        <v>269</v>
      </c>
      <c r="U3" t="str">
        <f t="shared" si="1"/>
        <v>JOSEPH SABOL</v>
      </c>
    </row>
    <row r="4" spans="1:42" x14ac:dyDescent="0.2">
      <c r="A4" s="4" t="s">
        <v>109</v>
      </c>
      <c r="B4" s="2">
        <v>17528908</v>
      </c>
      <c r="C4" s="4" t="s">
        <v>117</v>
      </c>
      <c r="D4" s="4" t="s">
        <v>118</v>
      </c>
      <c r="E4" s="3">
        <v>45962</v>
      </c>
      <c r="F4" s="4" t="s">
        <v>49</v>
      </c>
      <c r="G4" s="4" t="s">
        <v>51</v>
      </c>
      <c r="H4" s="4" t="s">
        <v>52</v>
      </c>
      <c r="I4" s="5">
        <v>1</v>
      </c>
      <c r="J4" s="5">
        <v>1</v>
      </c>
      <c r="K4" s="5">
        <v>29.41</v>
      </c>
      <c r="L4" s="4" t="s">
        <v>82</v>
      </c>
      <c r="M4" s="3">
        <v>45292</v>
      </c>
      <c r="N4" t="s">
        <v>261</v>
      </c>
      <c r="O4" t="s">
        <v>262</v>
      </c>
      <c r="Q4" s="4" t="s">
        <v>118</v>
      </c>
      <c r="R4" t="str">
        <f t="shared" si="0"/>
        <v>00020932178K6</v>
      </c>
      <c r="S4" s="4" t="s">
        <v>270</v>
      </c>
      <c r="T4" t="s">
        <v>271</v>
      </c>
      <c r="U4" t="str">
        <f t="shared" si="1"/>
        <v>LINDA BROOKS</v>
      </c>
    </row>
    <row r="5" spans="1:42" x14ac:dyDescent="0.2">
      <c r="A5" s="4" t="s">
        <v>109</v>
      </c>
      <c r="B5" s="2">
        <v>17528908</v>
      </c>
      <c r="C5" s="4" t="s">
        <v>120</v>
      </c>
      <c r="D5" s="4" t="s">
        <v>121</v>
      </c>
      <c r="E5" s="3">
        <v>45962</v>
      </c>
      <c r="F5" s="4" t="s">
        <v>49</v>
      </c>
      <c r="G5" s="4" t="s">
        <v>51</v>
      </c>
      <c r="H5" s="4" t="s">
        <v>52</v>
      </c>
      <c r="I5" s="5">
        <v>1</v>
      </c>
      <c r="J5" s="5">
        <v>1</v>
      </c>
      <c r="K5" s="5">
        <v>29.41</v>
      </c>
      <c r="L5" s="4" t="s">
        <v>82</v>
      </c>
      <c r="M5" s="3">
        <v>45292</v>
      </c>
      <c r="N5" t="s">
        <v>261</v>
      </c>
      <c r="O5" t="s">
        <v>262</v>
      </c>
      <c r="Q5" s="4" t="s">
        <v>121</v>
      </c>
      <c r="R5" t="str">
        <f t="shared" si="0"/>
        <v>00021243283K6</v>
      </c>
      <c r="S5" s="4" t="s">
        <v>364</v>
      </c>
      <c r="T5" t="s">
        <v>271</v>
      </c>
      <c r="U5" t="str">
        <f t="shared" si="1"/>
        <v>LINDA O BRIEN</v>
      </c>
    </row>
    <row r="6" spans="1:42" s="28" customFormat="1" x14ac:dyDescent="0.2">
      <c r="A6" s="4" t="s">
        <v>109</v>
      </c>
      <c r="B6" s="2">
        <v>17528908</v>
      </c>
      <c r="C6" s="4" t="s">
        <v>123</v>
      </c>
      <c r="D6" s="4" t="s">
        <v>124</v>
      </c>
      <c r="E6" s="3">
        <v>45962</v>
      </c>
      <c r="F6" s="4" t="s">
        <v>49</v>
      </c>
      <c r="G6" s="4" t="s">
        <v>51</v>
      </c>
      <c r="H6" s="4" t="s">
        <v>52</v>
      </c>
      <c r="I6" s="5">
        <v>1</v>
      </c>
      <c r="J6" s="5">
        <v>1</v>
      </c>
      <c r="K6" s="5">
        <v>29.41</v>
      </c>
      <c r="L6" s="4" t="s">
        <v>82</v>
      </c>
      <c r="M6" s="3">
        <v>45292</v>
      </c>
      <c r="N6" t="s">
        <v>261</v>
      </c>
      <c r="O6" t="s">
        <v>262</v>
      </c>
      <c r="P6"/>
      <c r="Q6" s="4" t="s">
        <v>124</v>
      </c>
      <c r="R6" t="str">
        <f t="shared" si="0"/>
        <v>00021246316K6</v>
      </c>
      <c r="S6" s="4" t="s">
        <v>272</v>
      </c>
      <c r="T6" t="s">
        <v>273</v>
      </c>
      <c r="U6" t="str">
        <f t="shared" si="1"/>
        <v>THOMAS BASHLINE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s="28" customFormat="1" x14ac:dyDescent="0.2">
      <c r="A7" s="4" t="s">
        <v>109</v>
      </c>
      <c r="B7" s="2">
        <v>17528908</v>
      </c>
      <c r="C7" s="4" t="s">
        <v>126</v>
      </c>
      <c r="D7" s="4" t="s">
        <v>127</v>
      </c>
      <c r="E7" s="3">
        <v>45962</v>
      </c>
      <c r="F7" s="4" t="s">
        <v>49</v>
      </c>
      <c r="G7" s="4" t="s">
        <v>51</v>
      </c>
      <c r="H7" s="4" t="s">
        <v>52</v>
      </c>
      <c r="I7" s="5">
        <v>1</v>
      </c>
      <c r="J7" s="5">
        <v>1</v>
      </c>
      <c r="K7" s="5">
        <v>29.41</v>
      </c>
      <c r="L7" s="4" t="s">
        <v>82</v>
      </c>
      <c r="M7" s="3">
        <v>45292</v>
      </c>
      <c r="N7" t="s">
        <v>261</v>
      </c>
      <c r="O7" t="s">
        <v>262</v>
      </c>
      <c r="P7"/>
      <c r="Q7" s="4" t="s">
        <v>127</v>
      </c>
      <c r="R7" t="str">
        <f t="shared" si="0"/>
        <v>00021339188K6</v>
      </c>
      <c r="S7" s="4" t="s">
        <v>274</v>
      </c>
      <c r="T7" t="s">
        <v>275</v>
      </c>
      <c r="U7" t="str">
        <f t="shared" si="1"/>
        <v>RICHARD NACHREINER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s="28" customFormat="1" x14ac:dyDescent="0.2">
      <c r="A8" s="4" t="s">
        <v>109</v>
      </c>
      <c r="B8" s="2">
        <v>17528908</v>
      </c>
      <c r="C8" s="4" t="s">
        <v>129</v>
      </c>
      <c r="D8" s="4" t="s">
        <v>130</v>
      </c>
      <c r="E8" s="3">
        <v>45962</v>
      </c>
      <c r="F8" s="4" t="s">
        <v>49</v>
      </c>
      <c r="G8" s="4" t="s">
        <v>51</v>
      </c>
      <c r="H8" s="4" t="s">
        <v>52</v>
      </c>
      <c r="I8" s="5">
        <v>1</v>
      </c>
      <c r="J8" s="5">
        <v>1</v>
      </c>
      <c r="K8" s="5">
        <v>29.41</v>
      </c>
      <c r="L8" s="4" t="s">
        <v>82</v>
      </c>
      <c r="M8" s="3">
        <v>45383</v>
      </c>
      <c r="N8" t="s">
        <v>261</v>
      </c>
      <c r="O8" t="s">
        <v>262</v>
      </c>
      <c r="P8"/>
      <c r="Q8" s="4" t="s">
        <v>130</v>
      </c>
      <c r="R8" t="str">
        <f t="shared" si="0"/>
        <v>00021623050K6</v>
      </c>
      <c r="S8" s="4" t="s">
        <v>276</v>
      </c>
      <c r="T8" t="s">
        <v>277</v>
      </c>
      <c r="U8" t="str">
        <f t="shared" si="1"/>
        <v>ALAN BLACK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s="28" customFormat="1" x14ac:dyDescent="0.2">
      <c r="A9" s="4" t="s">
        <v>109</v>
      </c>
      <c r="B9" s="2">
        <v>17528908</v>
      </c>
      <c r="C9" s="4" t="s">
        <v>132</v>
      </c>
      <c r="D9" s="4" t="s">
        <v>133</v>
      </c>
      <c r="E9" s="3">
        <v>45962</v>
      </c>
      <c r="F9" s="4" t="s">
        <v>49</v>
      </c>
      <c r="G9" s="4" t="s">
        <v>51</v>
      </c>
      <c r="H9" s="4" t="s">
        <v>52</v>
      </c>
      <c r="I9" s="5">
        <v>1</v>
      </c>
      <c r="J9" s="5">
        <v>1</v>
      </c>
      <c r="K9" s="5">
        <v>29.41</v>
      </c>
      <c r="L9" s="4" t="s">
        <v>82</v>
      </c>
      <c r="M9" s="3">
        <v>45566</v>
      </c>
      <c r="N9" t="s">
        <v>261</v>
      </c>
      <c r="O9" t="s">
        <v>262</v>
      </c>
      <c r="P9"/>
      <c r="Q9" s="4" t="s">
        <v>133</v>
      </c>
      <c r="R9" t="str">
        <f t="shared" si="0"/>
        <v>00021969632K6</v>
      </c>
      <c r="S9" s="4" t="s">
        <v>272</v>
      </c>
      <c r="T9" t="s">
        <v>278</v>
      </c>
      <c r="U9" t="str">
        <f t="shared" si="1"/>
        <v>MARGARET BASHLINE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s="33" customFormat="1" x14ac:dyDescent="0.2">
      <c r="A10" s="29" t="s">
        <v>152</v>
      </c>
      <c r="B10" s="30">
        <v>18828278</v>
      </c>
      <c r="C10" s="29" t="s">
        <v>228</v>
      </c>
      <c r="D10" s="29" t="s">
        <v>229</v>
      </c>
      <c r="E10" s="31">
        <v>45962</v>
      </c>
      <c r="F10" s="29" t="s">
        <v>49</v>
      </c>
      <c r="G10" s="29" t="s">
        <v>51</v>
      </c>
      <c r="H10" s="29" t="s">
        <v>46</v>
      </c>
      <c r="I10" s="32">
        <v>22</v>
      </c>
      <c r="J10" s="32">
        <v>2327.88</v>
      </c>
      <c r="K10" s="32">
        <v>512.16</v>
      </c>
      <c r="L10" s="29" t="s">
        <v>231</v>
      </c>
      <c r="M10" s="31">
        <v>45962</v>
      </c>
      <c r="N10" s="33" t="s">
        <v>258</v>
      </c>
      <c r="Q10" s="29" t="s">
        <v>229</v>
      </c>
      <c r="R10" s="33" t="str">
        <f>CONCATENATE(Q10,8)</f>
        <v>00000463481A8</v>
      </c>
      <c r="S10" s="29" t="s">
        <v>282</v>
      </c>
      <c r="T10" s="33" t="s">
        <v>273</v>
      </c>
      <c r="U10" s="33" t="str">
        <f t="shared" si="1"/>
        <v>THOMAS YOST</v>
      </c>
    </row>
    <row r="11" spans="1:42" s="33" customFormat="1" x14ac:dyDescent="0.2">
      <c r="A11" s="29" t="s">
        <v>152</v>
      </c>
      <c r="B11" s="30">
        <v>18828278</v>
      </c>
      <c r="C11" s="29" t="s">
        <v>233</v>
      </c>
      <c r="D11" s="29" t="s">
        <v>234</v>
      </c>
      <c r="E11" s="31">
        <v>45962</v>
      </c>
      <c r="F11" s="29" t="s">
        <v>49</v>
      </c>
      <c r="G11" s="29" t="s">
        <v>51</v>
      </c>
      <c r="H11" s="29" t="s">
        <v>46</v>
      </c>
      <c r="I11" s="32">
        <v>22</v>
      </c>
      <c r="J11" s="32">
        <v>2910.6</v>
      </c>
      <c r="K11" s="32">
        <v>640.32000000000005</v>
      </c>
      <c r="L11" s="29" t="s">
        <v>193</v>
      </c>
      <c r="M11" s="31">
        <v>45962</v>
      </c>
      <c r="N11" s="33" t="s">
        <v>258</v>
      </c>
      <c r="Q11" s="29" t="s">
        <v>234</v>
      </c>
      <c r="R11" s="33" t="str">
        <f>CONCATENATE(Q11,8)</f>
        <v>00001075878A8</v>
      </c>
      <c r="S11" s="29" t="s">
        <v>283</v>
      </c>
      <c r="T11" s="33" t="s">
        <v>284</v>
      </c>
      <c r="U11" s="33" t="str">
        <f t="shared" si="1"/>
        <v>JOHN DUSTMAN</v>
      </c>
    </row>
    <row r="12" spans="1:42" s="33" customFormat="1" x14ac:dyDescent="0.2">
      <c r="A12" s="29" t="s">
        <v>152</v>
      </c>
      <c r="B12" s="30">
        <v>18828278</v>
      </c>
      <c r="C12" s="29" t="s">
        <v>235</v>
      </c>
      <c r="D12" s="29" t="s">
        <v>236</v>
      </c>
      <c r="E12" s="31">
        <v>45962</v>
      </c>
      <c r="F12" s="29" t="s">
        <v>49</v>
      </c>
      <c r="G12" s="29" t="s">
        <v>51</v>
      </c>
      <c r="H12" s="29" t="s">
        <v>46</v>
      </c>
      <c r="I12" s="32">
        <v>22</v>
      </c>
      <c r="J12" s="32">
        <v>1651.32</v>
      </c>
      <c r="K12" s="32">
        <v>363.24</v>
      </c>
      <c r="L12" s="29" t="s">
        <v>193</v>
      </c>
      <c r="M12" s="31">
        <v>45962</v>
      </c>
      <c r="N12" s="33" t="s">
        <v>258</v>
      </c>
      <c r="Q12" s="29" t="s">
        <v>236</v>
      </c>
      <c r="R12" s="33" t="str">
        <f>CONCATENATE(Q12,8)</f>
        <v>00001077169A8</v>
      </c>
      <c r="S12" s="29" t="s">
        <v>285</v>
      </c>
      <c r="T12" s="33" t="s">
        <v>286</v>
      </c>
      <c r="U12" s="33" t="str">
        <f t="shared" si="1"/>
        <v>CHERYL WALLS</v>
      </c>
    </row>
    <row r="13" spans="1:42" s="33" customFormat="1" x14ac:dyDescent="0.2">
      <c r="A13" s="29" t="s">
        <v>109</v>
      </c>
      <c r="B13" s="30">
        <v>17528908</v>
      </c>
      <c r="C13" s="29" t="s">
        <v>204</v>
      </c>
      <c r="D13" s="29" t="s">
        <v>205</v>
      </c>
      <c r="E13" s="31">
        <v>45962</v>
      </c>
      <c r="F13" s="29" t="s">
        <v>49</v>
      </c>
      <c r="G13" s="29" t="s">
        <v>51</v>
      </c>
      <c r="H13" s="29" t="s">
        <v>46</v>
      </c>
      <c r="I13" s="32">
        <v>22</v>
      </c>
      <c r="J13" s="32">
        <v>130.08000000000001</v>
      </c>
      <c r="K13" s="32">
        <v>28.62</v>
      </c>
      <c r="L13" s="29" t="s">
        <v>188</v>
      </c>
      <c r="M13" s="31">
        <v>45444</v>
      </c>
      <c r="N13" s="33" t="s">
        <v>258</v>
      </c>
      <c r="Q13" s="29" t="s">
        <v>205</v>
      </c>
      <c r="R13" s="33" t="str">
        <f>CONCATENATE(Q13,8)</f>
        <v>00000839470A8</v>
      </c>
      <c r="S13" s="29" t="s">
        <v>279</v>
      </c>
      <c r="T13" s="33" t="s">
        <v>280</v>
      </c>
      <c r="U13" s="33" t="str">
        <f t="shared" si="1"/>
        <v>DEBRA MILLER</v>
      </c>
    </row>
    <row r="14" spans="1:42" s="33" customFormat="1" x14ac:dyDescent="0.2">
      <c r="A14" s="29" t="s">
        <v>109</v>
      </c>
      <c r="B14" s="30" t="s">
        <v>365</v>
      </c>
      <c r="C14" s="29" t="s">
        <v>206</v>
      </c>
      <c r="D14" s="29" t="s">
        <v>207</v>
      </c>
      <c r="E14" s="31">
        <v>45962</v>
      </c>
      <c r="F14" s="29" t="s">
        <v>49</v>
      </c>
      <c r="G14" s="29" t="s">
        <v>51</v>
      </c>
      <c r="H14" s="29" t="s">
        <v>46</v>
      </c>
      <c r="I14" s="32">
        <v>22</v>
      </c>
      <c r="J14" s="32">
        <v>1982.52</v>
      </c>
      <c r="K14" s="32">
        <v>436.2</v>
      </c>
      <c r="L14" s="29" t="s">
        <v>208</v>
      </c>
      <c r="M14" s="31">
        <v>45962</v>
      </c>
      <c r="N14" s="33" t="s">
        <v>258</v>
      </c>
      <c r="Q14" s="29" t="s">
        <v>207</v>
      </c>
      <c r="R14" s="33" t="str">
        <f>CONCATENATE(Q14,8)</f>
        <v>00001064290A8</v>
      </c>
      <c r="S14" s="29" t="s">
        <v>281</v>
      </c>
      <c r="T14" s="33" t="s">
        <v>275</v>
      </c>
      <c r="U14" s="33" t="str">
        <f t="shared" si="1"/>
        <v>RICHARD SIKORA</v>
      </c>
    </row>
    <row r="15" spans="1:42" s="39" customFormat="1" x14ac:dyDescent="0.2">
      <c r="A15" s="34" t="s">
        <v>220</v>
      </c>
      <c r="B15" s="35">
        <v>18754354</v>
      </c>
      <c r="C15" s="34" t="s">
        <v>221</v>
      </c>
      <c r="D15" s="36">
        <v>413180</v>
      </c>
      <c r="E15" s="37">
        <v>45870</v>
      </c>
      <c r="F15" s="34" t="s">
        <v>203</v>
      </c>
      <c r="G15" s="34" t="s">
        <v>224</v>
      </c>
      <c r="H15" s="34" t="s">
        <v>46</v>
      </c>
      <c r="I15" s="38">
        <v>15</v>
      </c>
      <c r="J15" s="38">
        <v>0.45</v>
      </c>
      <c r="K15" s="38">
        <v>7.0000000000000007E-2</v>
      </c>
      <c r="L15" s="34" t="s">
        <v>82</v>
      </c>
      <c r="M15" s="37">
        <v>45474</v>
      </c>
      <c r="N15" s="39" t="s">
        <v>254</v>
      </c>
      <c r="Q15" s="36">
        <v>413180</v>
      </c>
      <c r="R15" s="39" t="str">
        <f t="shared" ref="R15:R20" si="2">CONCATENATE(Q15,222)</f>
        <v>413180222</v>
      </c>
      <c r="S15" s="34" t="s">
        <v>287</v>
      </c>
      <c r="T15" s="39" t="s">
        <v>288</v>
      </c>
      <c r="U15" s="39" t="str">
        <f t="shared" si="1"/>
        <v>CAPITAL NC</v>
      </c>
    </row>
    <row r="16" spans="1:42" s="39" customFormat="1" x14ac:dyDescent="0.2">
      <c r="A16" s="34" t="s">
        <v>220</v>
      </c>
      <c r="B16" s="35">
        <v>18754354</v>
      </c>
      <c r="C16" s="34" t="s">
        <v>221</v>
      </c>
      <c r="D16" s="36">
        <v>413180</v>
      </c>
      <c r="E16" s="37">
        <v>45901</v>
      </c>
      <c r="F16" s="34" t="s">
        <v>201</v>
      </c>
      <c r="G16" s="34" t="s">
        <v>224</v>
      </c>
      <c r="H16" s="34" t="s">
        <v>46</v>
      </c>
      <c r="I16" s="38">
        <v>15</v>
      </c>
      <c r="J16" s="38">
        <v>0.45</v>
      </c>
      <c r="K16" s="38">
        <v>7.0000000000000007E-2</v>
      </c>
      <c r="L16" s="34" t="s">
        <v>82</v>
      </c>
      <c r="M16" s="37">
        <v>45474</v>
      </c>
      <c r="N16" s="39" t="s">
        <v>254</v>
      </c>
      <c r="Q16" s="36">
        <v>413180</v>
      </c>
      <c r="R16" s="39" t="str">
        <f t="shared" si="2"/>
        <v>413180222</v>
      </c>
      <c r="S16" s="34" t="s">
        <v>287</v>
      </c>
      <c r="T16" s="39" t="s">
        <v>288</v>
      </c>
      <c r="U16" s="39" t="str">
        <f t="shared" si="1"/>
        <v>CAPITAL NC</v>
      </c>
    </row>
    <row r="17" spans="1:21" s="39" customFormat="1" x14ac:dyDescent="0.2">
      <c r="A17" s="34" t="s">
        <v>220</v>
      </c>
      <c r="B17" s="35">
        <v>18754354</v>
      </c>
      <c r="C17" s="34" t="s">
        <v>221</v>
      </c>
      <c r="D17" s="36">
        <v>413180</v>
      </c>
      <c r="E17" s="37">
        <v>45931</v>
      </c>
      <c r="F17" s="34" t="s">
        <v>202</v>
      </c>
      <c r="G17" s="34" t="s">
        <v>224</v>
      </c>
      <c r="H17" s="34" t="s">
        <v>46</v>
      </c>
      <c r="I17" s="38">
        <v>15</v>
      </c>
      <c r="J17" s="38">
        <v>6.75</v>
      </c>
      <c r="K17" s="38">
        <v>1.01</v>
      </c>
      <c r="L17" s="34" t="s">
        <v>82</v>
      </c>
      <c r="M17" s="37">
        <v>45474</v>
      </c>
      <c r="N17" s="39" t="s">
        <v>254</v>
      </c>
      <c r="Q17" s="36">
        <v>413180</v>
      </c>
      <c r="R17" s="39" t="str">
        <f t="shared" si="2"/>
        <v>413180222</v>
      </c>
      <c r="S17" s="34" t="s">
        <v>287</v>
      </c>
      <c r="T17" s="39" t="s">
        <v>288</v>
      </c>
      <c r="U17" s="39" t="str">
        <f t="shared" si="1"/>
        <v>CAPITAL NC</v>
      </c>
    </row>
    <row r="18" spans="1:21" s="39" customFormat="1" x14ac:dyDescent="0.2">
      <c r="A18" s="34" t="s">
        <v>220</v>
      </c>
      <c r="B18" s="35">
        <v>18754354</v>
      </c>
      <c r="C18" s="34" t="s">
        <v>221</v>
      </c>
      <c r="D18" s="36">
        <v>413180</v>
      </c>
      <c r="E18" s="37">
        <v>45962</v>
      </c>
      <c r="F18" s="34" t="s">
        <v>49</v>
      </c>
      <c r="G18" s="34" t="s">
        <v>224</v>
      </c>
      <c r="H18" s="34" t="s">
        <v>46</v>
      </c>
      <c r="I18" s="38">
        <v>15</v>
      </c>
      <c r="J18" s="38">
        <v>28.93</v>
      </c>
      <c r="K18" s="38">
        <v>4.34</v>
      </c>
      <c r="L18" s="34" t="s">
        <v>82</v>
      </c>
      <c r="M18" s="37">
        <v>45474</v>
      </c>
      <c r="N18" s="39" t="s">
        <v>254</v>
      </c>
      <c r="Q18" s="36">
        <v>413180</v>
      </c>
      <c r="R18" s="39" t="str">
        <f t="shared" si="2"/>
        <v>413180222</v>
      </c>
      <c r="S18" s="34" t="s">
        <v>287</v>
      </c>
      <c r="T18" s="39" t="s">
        <v>288</v>
      </c>
      <c r="U18" s="39" t="str">
        <f t="shared" si="1"/>
        <v>CAPITAL NC</v>
      </c>
    </row>
    <row r="19" spans="1:21" s="39" customFormat="1" x14ac:dyDescent="0.2">
      <c r="A19" s="34" t="s">
        <v>220</v>
      </c>
      <c r="B19" s="35">
        <v>18754354</v>
      </c>
      <c r="C19" s="34" t="s">
        <v>221</v>
      </c>
      <c r="D19" s="36">
        <v>413180</v>
      </c>
      <c r="E19" s="37">
        <v>45901</v>
      </c>
      <c r="F19" s="34" t="s">
        <v>201</v>
      </c>
      <c r="G19" s="34" t="s">
        <v>224</v>
      </c>
      <c r="H19" s="34" t="s">
        <v>46</v>
      </c>
      <c r="I19" s="38">
        <v>15</v>
      </c>
      <c r="J19" s="38">
        <v>1.1599999999999999</v>
      </c>
      <c r="K19" s="38">
        <v>0.17</v>
      </c>
      <c r="L19" s="34" t="s">
        <v>82</v>
      </c>
      <c r="M19" s="37">
        <v>45474</v>
      </c>
      <c r="N19" s="39" t="s">
        <v>254</v>
      </c>
      <c r="Q19" s="36">
        <v>413180</v>
      </c>
      <c r="R19" s="39" t="str">
        <f t="shared" si="2"/>
        <v>413180222</v>
      </c>
      <c r="S19" s="34" t="s">
        <v>287</v>
      </c>
      <c r="T19" s="39" t="s">
        <v>288</v>
      </c>
      <c r="U19" s="39" t="str">
        <f t="shared" si="1"/>
        <v>CAPITAL NC</v>
      </c>
    </row>
    <row r="20" spans="1:21" s="39" customFormat="1" x14ac:dyDescent="0.2">
      <c r="A20" s="34" t="s">
        <v>220</v>
      </c>
      <c r="B20" s="35">
        <v>18754354</v>
      </c>
      <c r="C20" s="34" t="s">
        <v>221</v>
      </c>
      <c r="D20" s="36">
        <v>413180</v>
      </c>
      <c r="E20" s="37">
        <v>45931</v>
      </c>
      <c r="F20" s="34" t="s">
        <v>202</v>
      </c>
      <c r="G20" s="34" t="s">
        <v>224</v>
      </c>
      <c r="H20" s="34" t="s">
        <v>46</v>
      </c>
      <c r="I20" s="38">
        <v>15</v>
      </c>
      <c r="J20" s="38">
        <v>21.61</v>
      </c>
      <c r="K20" s="38">
        <v>3.24</v>
      </c>
      <c r="L20" s="34" t="s">
        <v>82</v>
      </c>
      <c r="M20" s="37">
        <v>45474</v>
      </c>
      <c r="N20" s="39" t="s">
        <v>254</v>
      </c>
      <c r="Q20" s="36">
        <v>413180</v>
      </c>
      <c r="R20" s="39" t="str">
        <f t="shared" si="2"/>
        <v>413180222</v>
      </c>
      <c r="S20" s="34" t="s">
        <v>287</v>
      </c>
      <c r="T20" s="39" t="s">
        <v>288</v>
      </c>
      <c r="U20" s="39" t="str">
        <f t="shared" si="1"/>
        <v>CAPITAL NC</v>
      </c>
    </row>
    <row r="21" spans="1:21" s="33" customFormat="1" x14ac:dyDescent="0.2">
      <c r="A21" s="29" t="s">
        <v>184</v>
      </c>
      <c r="B21" s="30">
        <v>15278437</v>
      </c>
      <c r="C21" s="29" t="s">
        <v>185</v>
      </c>
      <c r="D21" s="29" t="s">
        <v>186</v>
      </c>
      <c r="E21" s="31">
        <v>45962</v>
      </c>
      <c r="F21" s="29" t="s">
        <v>49</v>
      </c>
      <c r="G21" s="29" t="s">
        <v>51</v>
      </c>
      <c r="H21" s="29" t="s">
        <v>46</v>
      </c>
      <c r="I21" s="32">
        <v>26</v>
      </c>
      <c r="J21" s="32">
        <v>147.1</v>
      </c>
      <c r="K21" s="32">
        <v>38.25</v>
      </c>
      <c r="L21" s="29" t="s">
        <v>188</v>
      </c>
      <c r="M21" s="31">
        <v>45292</v>
      </c>
      <c r="N21" s="33" t="s">
        <v>259</v>
      </c>
      <c r="Q21" s="29" t="s">
        <v>186</v>
      </c>
      <c r="R21" s="33" t="str">
        <f>CONCATENATE(Q21,8)</f>
        <v>00000106089A8</v>
      </c>
      <c r="S21" s="29" t="s">
        <v>289</v>
      </c>
      <c r="T21" s="33" t="s">
        <v>290</v>
      </c>
      <c r="U21" s="33" t="str">
        <f t="shared" si="1"/>
        <v>JACQUELINE TRAINOR</v>
      </c>
    </row>
    <row r="22" spans="1:21" s="33" customFormat="1" x14ac:dyDescent="0.2">
      <c r="A22" s="29" t="s">
        <v>245</v>
      </c>
      <c r="B22" s="30">
        <v>19278370</v>
      </c>
      <c r="C22" s="29" t="s">
        <v>246</v>
      </c>
      <c r="D22" s="29" t="s">
        <v>247</v>
      </c>
      <c r="E22" s="31">
        <v>45962</v>
      </c>
      <c r="F22" s="29" t="s">
        <v>49</v>
      </c>
      <c r="G22" s="29" t="s">
        <v>51</v>
      </c>
      <c r="H22" s="29" t="s">
        <v>46</v>
      </c>
      <c r="I22" s="32">
        <v>26</v>
      </c>
      <c r="J22" s="32">
        <v>1634.16</v>
      </c>
      <c r="K22" s="32">
        <v>424.92</v>
      </c>
      <c r="L22" s="29" t="s">
        <v>208</v>
      </c>
      <c r="M22" s="31">
        <v>45962</v>
      </c>
      <c r="N22" s="33" t="s">
        <v>259</v>
      </c>
      <c r="Q22" s="29" t="s">
        <v>247</v>
      </c>
      <c r="R22" s="33" t="str">
        <f>CONCATENATE(Q22,8)</f>
        <v>00001077143A8</v>
      </c>
      <c r="S22" s="29" t="s">
        <v>291</v>
      </c>
      <c r="T22" s="33" t="s">
        <v>292</v>
      </c>
      <c r="U22" s="33" t="str">
        <f t="shared" si="1"/>
        <v>MITCHELL HARPER</v>
      </c>
    </row>
    <row r="23" spans="1:21" s="28" customFormat="1" x14ac:dyDescent="0.2">
      <c r="A23" s="23" t="s">
        <v>220</v>
      </c>
      <c r="B23" s="24">
        <v>18754354</v>
      </c>
      <c r="C23" s="23" t="s">
        <v>221</v>
      </c>
      <c r="D23" s="25">
        <v>413180</v>
      </c>
      <c r="E23" s="26">
        <v>45870</v>
      </c>
      <c r="F23" s="23" t="s">
        <v>203</v>
      </c>
      <c r="G23" s="23" t="s">
        <v>223</v>
      </c>
      <c r="H23" s="23" t="s">
        <v>46</v>
      </c>
      <c r="I23" s="27">
        <v>15</v>
      </c>
      <c r="J23" s="27">
        <v>1.95</v>
      </c>
      <c r="K23" s="27">
        <v>0.28999999999999998</v>
      </c>
      <c r="L23" s="23" t="s">
        <v>82</v>
      </c>
      <c r="M23" s="26">
        <v>45474</v>
      </c>
      <c r="N23" s="28" t="s">
        <v>257</v>
      </c>
      <c r="Q23" s="25">
        <v>413180</v>
      </c>
      <c r="R23" s="28" t="str">
        <f t="shared" ref="R23:R28" si="3">CONCATENATE(Q23,22)</f>
        <v>41318022</v>
      </c>
      <c r="S23" s="23" t="s">
        <v>287</v>
      </c>
      <c r="T23" s="28" t="s">
        <v>288</v>
      </c>
      <c r="U23" s="23" t="s">
        <v>221</v>
      </c>
    </row>
    <row r="24" spans="1:21" s="28" customFormat="1" x14ac:dyDescent="0.2">
      <c r="A24" s="23" t="s">
        <v>220</v>
      </c>
      <c r="B24" s="24">
        <v>18754354</v>
      </c>
      <c r="C24" s="23" t="s">
        <v>221</v>
      </c>
      <c r="D24" s="25">
        <v>413180</v>
      </c>
      <c r="E24" s="26">
        <v>45901</v>
      </c>
      <c r="F24" s="23" t="s">
        <v>201</v>
      </c>
      <c r="G24" s="23" t="s">
        <v>223</v>
      </c>
      <c r="H24" s="23" t="s">
        <v>46</v>
      </c>
      <c r="I24" s="27">
        <v>15</v>
      </c>
      <c r="J24" s="27">
        <v>1.95</v>
      </c>
      <c r="K24" s="27">
        <v>0.28999999999999998</v>
      </c>
      <c r="L24" s="23" t="s">
        <v>82</v>
      </c>
      <c r="M24" s="26">
        <v>45474</v>
      </c>
      <c r="N24" s="28" t="s">
        <v>257</v>
      </c>
      <c r="Q24" s="25">
        <v>413180</v>
      </c>
      <c r="R24" s="28" t="str">
        <f t="shared" si="3"/>
        <v>41318022</v>
      </c>
      <c r="S24" s="23" t="s">
        <v>287</v>
      </c>
      <c r="T24" s="28" t="s">
        <v>288</v>
      </c>
      <c r="U24" s="23" t="s">
        <v>221</v>
      </c>
    </row>
    <row r="25" spans="1:21" s="28" customFormat="1" x14ac:dyDescent="0.2">
      <c r="A25" s="23" t="s">
        <v>220</v>
      </c>
      <c r="B25" s="24">
        <v>18754354</v>
      </c>
      <c r="C25" s="23" t="s">
        <v>221</v>
      </c>
      <c r="D25" s="25">
        <v>413180</v>
      </c>
      <c r="E25" s="26">
        <v>45931</v>
      </c>
      <c r="F25" s="23" t="s">
        <v>202</v>
      </c>
      <c r="G25" s="23" t="s">
        <v>223</v>
      </c>
      <c r="H25" s="23" t="s">
        <v>46</v>
      </c>
      <c r="I25" s="27">
        <v>15</v>
      </c>
      <c r="J25" s="27">
        <v>29.25</v>
      </c>
      <c r="K25" s="27">
        <v>4.3899999999999997</v>
      </c>
      <c r="L25" s="23" t="s">
        <v>82</v>
      </c>
      <c r="M25" s="26">
        <v>45474</v>
      </c>
      <c r="N25" s="28" t="s">
        <v>257</v>
      </c>
      <c r="Q25" s="25">
        <v>413180</v>
      </c>
      <c r="R25" s="28" t="str">
        <f t="shared" si="3"/>
        <v>41318022</v>
      </c>
      <c r="S25" s="23" t="s">
        <v>287</v>
      </c>
      <c r="T25" s="28" t="s">
        <v>288</v>
      </c>
      <c r="U25" s="23" t="s">
        <v>221</v>
      </c>
    </row>
    <row r="26" spans="1:21" s="28" customFormat="1" x14ac:dyDescent="0.2">
      <c r="A26" s="23" t="s">
        <v>220</v>
      </c>
      <c r="B26" s="24">
        <v>18754354</v>
      </c>
      <c r="C26" s="23" t="s">
        <v>221</v>
      </c>
      <c r="D26" s="25">
        <v>413180</v>
      </c>
      <c r="E26" s="26">
        <v>45962</v>
      </c>
      <c r="F26" s="23" t="s">
        <v>49</v>
      </c>
      <c r="G26" s="23" t="s">
        <v>223</v>
      </c>
      <c r="H26" s="23" t="s">
        <v>46</v>
      </c>
      <c r="I26" s="27">
        <v>15</v>
      </c>
      <c r="J26" s="27">
        <v>125.39</v>
      </c>
      <c r="K26" s="27">
        <v>18.809999999999999</v>
      </c>
      <c r="L26" s="23" t="s">
        <v>82</v>
      </c>
      <c r="M26" s="26">
        <v>45474</v>
      </c>
      <c r="N26" s="28" t="s">
        <v>257</v>
      </c>
      <c r="Q26" s="25">
        <v>413180</v>
      </c>
      <c r="R26" s="28" t="str">
        <f t="shared" si="3"/>
        <v>41318022</v>
      </c>
      <c r="S26" s="23" t="s">
        <v>287</v>
      </c>
      <c r="T26" s="28" t="s">
        <v>288</v>
      </c>
      <c r="U26" s="23" t="s">
        <v>221</v>
      </c>
    </row>
    <row r="27" spans="1:21" s="28" customFormat="1" x14ac:dyDescent="0.2">
      <c r="A27" s="23" t="s">
        <v>220</v>
      </c>
      <c r="B27" s="24">
        <v>18754354</v>
      </c>
      <c r="C27" s="23" t="s">
        <v>221</v>
      </c>
      <c r="D27" s="25">
        <v>413180</v>
      </c>
      <c r="E27" s="26">
        <v>45901</v>
      </c>
      <c r="F27" s="23" t="s">
        <v>201</v>
      </c>
      <c r="G27" s="23" t="s">
        <v>223</v>
      </c>
      <c r="H27" s="23" t="s">
        <v>46</v>
      </c>
      <c r="I27" s="27">
        <v>15</v>
      </c>
      <c r="J27" s="27">
        <v>5.04</v>
      </c>
      <c r="K27" s="27">
        <v>0.76</v>
      </c>
      <c r="L27" s="23" t="s">
        <v>82</v>
      </c>
      <c r="M27" s="26">
        <v>45474</v>
      </c>
      <c r="N27" s="28" t="s">
        <v>257</v>
      </c>
      <c r="Q27" s="25">
        <v>413180</v>
      </c>
      <c r="R27" s="28" t="str">
        <f t="shared" si="3"/>
        <v>41318022</v>
      </c>
      <c r="S27" s="23" t="s">
        <v>287</v>
      </c>
      <c r="T27" s="28" t="s">
        <v>288</v>
      </c>
      <c r="U27" s="23" t="s">
        <v>221</v>
      </c>
    </row>
    <row r="28" spans="1:21" s="28" customFormat="1" x14ac:dyDescent="0.2">
      <c r="A28" s="23" t="s">
        <v>220</v>
      </c>
      <c r="B28" s="24">
        <v>18754354</v>
      </c>
      <c r="C28" s="23" t="s">
        <v>221</v>
      </c>
      <c r="D28" s="25">
        <v>413180</v>
      </c>
      <c r="E28" s="26">
        <v>45931</v>
      </c>
      <c r="F28" s="23" t="s">
        <v>202</v>
      </c>
      <c r="G28" s="23" t="s">
        <v>223</v>
      </c>
      <c r="H28" s="23" t="s">
        <v>46</v>
      </c>
      <c r="I28" s="27">
        <v>15</v>
      </c>
      <c r="J28" s="27">
        <v>93.64</v>
      </c>
      <c r="K28" s="27">
        <v>14.05</v>
      </c>
      <c r="L28" s="23" t="s">
        <v>82</v>
      </c>
      <c r="M28" s="26">
        <v>45474</v>
      </c>
      <c r="N28" s="28" t="s">
        <v>257</v>
      </c>
      <c r="Q28" s="25">
        <v>413180</v>
      </c>
      <c r="R28" s="28" t="str">
        <f t="shared" si="3"/>
        <v>41318022</v>
      </c>
      <c r="S28" s="23" t="s">
        <v>287</v>
      </c>
      <c r="T28" s="28" t="s">
        <v>288</v>
      </c>
      <c r="U28" s="23" t="s">
        <v>221</v>
      </c>
    </row>
    <row r="29" spans="1:21" s="15" customFormat="1" x14ac:dyDescent="0.2">
      <c r="A29" s="11" t="s">
        <v>163</v>
      </c>
      <c r="B29" s="12">
        <v>8244481</v>
      </c>
      <c r="C29" s="11" t="s">
        <v>164</v>
      </c>
      <c r="D29" s="17">
        <v>9028406240</v>
      </c>
      <c r="E29" s="13">
        <v>45992</v>
      </c>
      <c r="F29" s="11" t="s">
        <v>62</v>
      </c>
      <c r="G29" s="11" t="s">
        <v>168</v>
      </c>
      <c r="H29" s="11" t="s">
        <v>46</v>
      </c>
      <c r="I29" s="14">
        <v>10</v>
      </c>
      <c r="J29" s="14">
        <v>26.88</v>
      </c>
      <c r="K29" s="14">
        <v>2.69</v>
      </c>
      <c r="L29" s="11" t="s">
        <v>169</v>
      </c>
      <c r="M29" s="13">
        <v>45323</v>
      </c>
      <c r="N29" s="15" t="s">
        <v>255</v>
      </c>
      <c r="Q29" s="17">
        <v>9028406240</v>
      </c>
      <c r="R29" s="15" t="str">
        <f t="shared" ref="R29:R41" si="4">CONCATENATE(Q29,4)</f>
        <v>90284062404</v>
      </c>
      <c r="S29" s="11" t="s">
        <v>295</v>
      </c>
      <c r="T29" s="15" t="s">
        <v>296</v>
      </c>
      <c r="U29" s="15" t="str">
        <f t="shared" ref="U29:U41" si="5">CONCATENATE(T29, " ",S29)</f>
        <v>Joanna Young</v>
      </c>
    </row>
    <row r="30" spans="1:21" s="15" customFormat="1" x14ac:dyDescent="0.2">
      <c r="A30" s="11" t="s">
        <v>163</v>
      </c>
      <c r="B30" s="12">
        <v>8244481</v>
      </c>
      <c r="C30" s="11" t="s">
        <v>171</v>
      </c>
      <c r="D30" s="17">
        <v>9029611520</v>
      </c>
      <c r="E30" s="13">
        <v>45992</v>
      </c>
      <c r="F30" s="11" t="s">
        <v>62</v>
      </c>
      <c r="G30" s="11" t="s">
        <v>168</v>
      </c>
      <c r="H30" s="11" t="s">
        <v>46</v>
      </c>
      <c r="I30" s="14">
        <v>10</v>
      </c>
      <c r="J30" s="14">
        <v>14.93</v>
      </c>
      <c r="K30" s="14">
        <v>1.49</v>
      </c>
      <c r="L30" s="11" t="s">
        <v>173</v>
      </c>
      <c r="M30" s="13">
        <v>45622</v>
      </c>
      <c r="N30" s="15" t="s">
        <v>255</v>
      </c>
      <c r="Q30" s="17">
        <v>9029611520</v>
      </c>
      <c r="R30" s="15" t="str">
        <f t="shared" si="4"/>
        <v>90296115204</v>
      </c>
      <c r="S30" s="11" t="s">
        <v>297</v>
      </c>
      <c r="T30" s="15" t="s">
        <v>298</v>
      </c>
      <c r="U30" s="15" t="str">
        <f t="shared" si="5"/>
        <v>Christie Dornbierer</v>
      </c>
    </row>
    <row r="31" spans="1:21" s="15" customFormat="1" x14ac:dyDescent="0.2">
      <c r="A31" s="11" t="s">
        <v>152</v>
      </c>
      <c r="B31" s="12">
        <v>18828278</v>
      </c>
      <c r="C31" s="11" t="s">
        <v>237</v>
      </c>
      <c r="D31" s="17">
        <v>9029455080</v>
      </c>
      <c r="E31" s="13">
        <v>45992</v>
      </c>
      <c r="F31" s="11" t="s">
        <v>62</v>
      </c>
      <c r="G31" s="11" t="s">
        <v>180</v>
      </c>
      <c r="H31" s="11" t="s">
        <v>46</v>
      </c>
      <c r="I31" s="14">
        <v>10</v>
      </c>
      <c r="J31" s="14">
        <v>41.82</v>
      </c>
      <c r="K31" s="14">
        <v>4.18</v>
      </c>
      <c r="L31" s="11" t="s">
        <v>173</v>
      </c>
      <c r="M31" s="13">
        <v>45658</v>
      </c>
      <c r="N31" s="15" t="s">
        <v>255</v>
      </c>
      <c r="Q31" s="17">
        <v>9029455080</v>
      </c>
      <c r="R31" s="15" t="str">
        <f t="shared" si="4"/>
        <v>90294550804</v>
      </c>
      <c r="S31" s="11" t="s">
        <v>293</v>
      </c>
      <c r="T31" s="15" t="s">
        <v>294</v>
      </c>
      <c r="U31" s="15" t="str">
        <f t="shared" si="5"/>
        <v>Patti Green</v>
      </c>
    </row>
    <row r="32" spans="1:21" s="15" customFormat="1" x14ac:dyDescent="0.2">
      <c r="A32" s="11" t="s">
        <v>152</v>
      </c>
      <c r="B32" s="12">
        <v>18828278</v>
      </c>
      <c r="C32" s="11" t="s">
        <v>239</v>
      </c>
      <c r="D32" s="17">
        <v>9031392680</v>
      </c>
      <c r="E32" s="13">
        <v>46023</v>
      </c>
      <c r="F32" s="11" t="s">
        <v>76</v>
      </c>
      <c r="G32" s="11" t="s">
        <v>168</v>
      </c>
      <c r="H32" s="11" t="s">
        <v>46</v>
      </c>
      <c r="I32" s="14">
        <v>10</v>
      </c>
      <c r="J32" s="14">
        <v>364.9</v>
      </c>
      <c r="K32" s="14">
        <v>36.49</v>
      </c>
      <c r="L32" s="11" t="s">
        <v>173</v>
      </c>
      <c r="M32" s="13">
        <v>46023</v>
      </c>
      <c r="N32" s="15" t="s">
        <v>255</v>
      </c>
      <c r="Q32" s="17">
        <v>9031392680</v>
      </c>
      <c r="R32" s="15" t="str">
        <f t="shared" si="4"/>
        <v>90313926804</v>
      </c>
      <c r="S32" s="11" t="s">
        <v>307</v>
      </c>
      <c r="T32" s="15" t="s">
        <v>308</v>
      </c>
      <c r="U32" s="15" t="str">
        <f t="shared" si="5"/>
        <v>Bryan Eckmann</v>
      </c>
    </row>
    <row r="33" spans="1:43" s="15" customFormat="1" x14ac:dyDescent="0.2">
      <c r="A33" s="11" t="s">
        <v>152</v>
      </c>
      <c r="B33" s="12">
        <v>18828278</v>
      </c>
      <c r="C33" s="11" t="s">
        <v>241</v>
      </c>
      <c r="D33" s="17">
        <v>9031414170</v>
      </c>
      <c r="E33" s="13">
        <v>46023</v>
      </c>
      <c r="F33" s="11" t="s">
        <v>76</v>
      </c>
      <c r="G33" s="11" t="s">
        <v>168</v>
      </c>
      <c r="H33" s="11" t="s">
        <v>46</v>
      </c>
      <c r="I33" s="14">
        <v>10</v>
      </c>
      <c r="J33" s="14">
        <v>364.9</v>
      </c>
      <c r="K33" s="14">
        <v>36.49</v>
      </c>
      <c r="L33" s="11" t="s">
        <v>173</v>
      </c>
      <c r="M33" s="13">
        <v>46023</v>
      </c>
      <c r="N33" s="15" t="s">
        <v>255</v>
      </c>
      <c r="Q33" s="17">
        <v>9031414170</v>
      </c>
      <c r="R33" s="15" t="str">
        <f t="shared" si="4"/>
        <v>90314141704</v>
      </c>
      <c r="S33" s="11" t="s">
        <v>309</v>
      </c>
      <c r="T33" s="15" t="s">
        <v>310</v>
      </c>
      <c r="U33" s="15" t="str">
        <f t="shared" si="5"/>
        <v>Deborah Kingdon</v>
      </c>
    </row>
    <row r="34" spans="1:43" s="15" customFormat="1" x14ac:dyDescent="0.2">
      <c r="A34" s="11" t="s">
        <v>152</v>
      </c>
      <c r="B34" s="12">
        <v>18828278</v>
      </c>
      <c r="C34" s="11" t="s">
        <v>243</v>
      </c>
      <c r="D34" s="17">
        <v>9031424040</v>
      </c>
      <c r="E34" s="13">
        <v>45962</v>
      </c>
      <c r="F34" s="11" t="s">
        <v>49</v>
      </c>
      <c r="G34" s="11" t="s">
        <v>168</v>
      </c>
      <c r="H34" s="11" t="s">
        <v>46</v>
      </c>
      <c r="I34" s="14">
        <v>10</v>
      </c>
      <c r="J34" s="14">
        <v>376.9</v>
      </c>
      <c r="K34" s="14">
        <v>37.69</v>
      </c>
      <c r="L34" s="11" t="s">
        <v>173</v>
      </c>
      <c r="M34" s="13">
        <v>45976</v>
      </c>
      <c r="N34" s="15" t="s">
        <v>255</v>
      </c>
      <c r="Q34" s="17">
        <v>9031424040</v>
      </c>
      <c r="R34" s="15" t="str">
        <f t="shared" si="4"/>
        <v>90314240404</v>
      </c>
      <c r="S34" s="11" t="s">
        <v>311</v>
      </c>
      <c r="T34" s="15" t="s">
        <v>312</v>
      </c>
      <c r="U34" s="15" t="str">
        <f t="shared" si="5"/>
        <v>Thomas Priaulx</v>
      </c>
    </row>
    <row r="35" spans="1:43" s="15" customFormat="1" x14ac:dyDescent="0.2">
      <c r="A35" s="11" t="s">
        <v>245</v>
      </c>
      <c r="B35" s="12">
        <v>19278370</v>
      </c>
      <c r="C35" s="11" t="s">
        <v>248</v>
      </c>
      <c r="D35" s="17">
        <v>9030047190</v>
      </c>
      <c r="E35" s="13">
        <v>45992</v>
      </c>
      <c r="F35" s="11" t="s">
        <v>62</v>
      </c>
      <c r="G35" s="11" t="s">
        <v>168</v>
      </c>
      <c r="H35" s="11" t="s">
        <v>46</v>
      </c>
      <c r="I35" s="14">
        <v>10</v>
      </c>
      <c r="J35" s="14">
        <v>36.99</v>
      </c>
      <c r="K35" s="14">
        <v>3.7</v>
      </c>
      <c r="L35" s="11" t="s">
        <v>173</v>
      </c>
      <c r="M35" s="13">
        <v>45700</v>
      </c>
      <c r="N35" s="15" t="s">
        <v>255</v>
      </c>
      <c r="Q35" s="17">
        <v>9030047190</v>
      </c>
      <c r="R35" s="15" t="str">
        <f t="shared" si="4"/>
        <v>90300471904</v>
      </c>
      <c r="S35" s="11" t="s">
        <v>313</v>
      </c>
      <c r="T35" s="15" t="s">
        <v>314</v>
      </c>
      <c r="U35" s="15" t="str">
        <f t="shared" si="5"/>
        <v>Massimo Ferrari</v>
      </c>
    </row>
    <row r="36" spans="1:43" s="15" customFormat="1" x14ac:dyDescent="0.2">
      <c r="A36" s="11" t="s">
        <v>245</v>
      </c>
      <c r="B36" s="12">
        <v>19278370</v>
      </c>
      <c r="C36" s="11" t="s">
        <v>250</v>
      </c>
      <c r="D36" s="17">
        <v>9030450680</v>
      </c>
      <c r="E36" s="13">
        <v>45992</v>
      </c>
      <c r="F36" s="11" t="s">
        <v>62</v>
      </c>
      <c r="G36" s="11" t="s">
        <v>168</v>
      </c>
      <c r="H36" s="11" t="s">
        <v>46</v>
      </c>
      <c r="I36" s="14">
        <v>10</v>
      </c>
      <c r="J36" s="14">
        <v>23.99</v>
      </c>
      <c r="K36" s="14">
        <v>2.4</v>
      </c>
      <c r="L36" s="11" t="s">
        <v>173</v>
      </c>
      <c r="M36" s="13">
        <v>45776</v>
      </c>
      <c r="N36" s="15" t="s">
        <v>255</v>
      </c>
      <c r="Q36" s="17">
        <v>9030450680</v>
      </c>
      <c r="R36" s="15" t="str">
        <f t="shared" si="4"/>
        <v>90304506804</v>
      </c>
      <c r="S36" s="11" t="s">
        <v>315</v>
      </c>
      <c r="T36" s="15" t="s">
        <v>316</v>
      </c>
      <c r="U36" s="15" t="str">
        <f t="shared" si="5"/>
        <v>Patrick Breedy</v>
      </c>
    </row>
    <row r="37" spans="1:43" s="15" customFormat="1" x14ac:dyDescent="0.2">
      <c r="A37" s="11" t="s">
        <v>245</v>
      </c>
      <c r="B37" s="12">
        <v>19278370</v>
      </c>
      <c r="C37" s="11" t="s">
        <v>252</v>
      </c>
      <c r="D37" s="17">
        <v>9030658860</v>
      </c>
      <c r="E37" s="13">
        <v>45992</v>
      </c>
      <c r="F37" s="11" t="s">
        <v>62</v>
      </c>
      <c r="G37" s="11" t="s">
        <v>168</v>
      </c>
      <c r="H37" s="11" t="s">
        <v>46</v>
      </c>
      <c r="I37" s="14">
        <v>10</v>
      </c>
      <c r="J37" s="14">
        <v>23.99</v>
      </c>
      <c r="K37" s="14">
        <v>2.4</v>
      </c>
      <c r="L37" s="11" t="s">
        <v>173</v>
      </c>
      <c r="M37" s="13">
        <v>45818</v>
      </c>
      <c r="N37" s="15" t="s">
        <v>255</v>
      </c>
      <c r="Q37" s="17">
        <v>9030658860</v>
      </c>
      <c r="R37" s="15" t="str">
        <f t="shared" si="4"/>
        <v>90306588604</v>
      </c>
      <c r="S37" s="11" t="s">
        <v>317</v>
      </c>
      <c r="T37" s="15" t="s">
        <v>318</v>
      </c>
      <c r="U37" s="15" t="str">
        <f t="shared" si="5"/>
        <v>Amer Sajed</v>
      </c>
    </row>
    <row r="38" spans="1:43" s="15" customFormat="1" x14ac:dyDescent="0.2">
      <c r="A38" s="11" t="s">
        <v>213</v>
      </c>
      <c r="B38" s="12" t="s">
        <v>366</v>
      </c>
      <c r="C38" s="11" t="s">
        <v>214</v>
      </c>
      <c r="D38" s="17">
        <v>9030645400</v>
      </c>
      <c r="E38" s="13">
        <v>45992</v>
      </c>
      <c r="F38" s="11" t="s">
        <v>62</v>
      </c>
      <c r="G38" s="11" t="s">
        <v>168</v>
      </c>
      <c r="H38" s="11" t="s">
        <v>46</v>
      </c>
      <c r="I38" s="14">
        <v>10</v>
      </c>
      <c r="J38" s="14">
        <v>12.99</v>
      </c>
      <c r="K38" s="14">
        <v>1.3</v>
      </c>
      <c r="L38" s="11" t="s">
        <v>173</v>
      </c>
      <c r="M38" s="13">
        <v>45839</v>
      </c>
      <c r="N38" s="15" t="s">
        <v>255</v>
      </c>
      <c r="Q38" s="17">
        <v>9030645400</v>
      </c>
      <c r="R38" s="15" t="str">
        <f t="shared" si="4"/>
        <v>90306454004</v>
      </c>
      <c r="S38" s="11" t="s">
        <v>301</v>
      </c>
      <c r="T38" s="15" t="s">
        <v>302</v>
      </c>
      <c r="U38" s="15" t="str">
        <f t="shared" si="5"/>
        <v>Beth Hudock</v>
      </c>
    </row>
    <row r="39" spans="1:43" s="15" customFormat="1" x14ac:dyDescent="0.2">
      <c r="A39" s="11" t="s">
        <v>213</v>
      </c>
      <c r="B39" s="12" t="s">
        <v>366</v>
      </c>
      <c r="C39" s="11" t="s">
        <v>216</v>
      </c>
      <c r="D39" s="17">
        <v>9030982010</v>
      </c>
      <c r="E39" s="13">
        <v>45992</v>
      </c>
      <c r="F39" s="11" t="s">
        <v>62</v>
      </c>
      <c r="G39" s="11" t="s">
        <v>168</v>
      </c>
      <c r="H39" s="11" t="s">
        <v>46</v>
      </c>
      <c r="I39" s="14">
        <v>10</v>
      </c>
      <c r="J39" s="14">
        <v>12.99</v>
      </c>
      <c r="K39" s="14">
        <v>1.3</v>
      </c>
      <c r="L39" s="11" t="s">
        <v>173</v>
      </c>
      <c r="M39" s="13">
        <v>45880</v>
      </c>
      <c r="N39" s="15" t="s">
        <v>255</v>
      </c>
      <c r="Q39" s="17">
        <v>9030982010</v>
      </c>
      <c r="R39" s="15" t="str">
        <f t="shared" si="4"/>
        <v>90309820104</v>
      </c>
      <c r="S39" s="11" t="s">
        <v>303</v>
      </c>
      <c r="T39" s="15" t="s">
        <v>304</v>
      </c>
      <c r="U39" s="15" t="str">
        <f t="shared" si="5"/>
        <v>Tyler Daube</v>
      </c>
    </row>
    <row r="40" spans="1:43" s="15" customFormat="1" x14ac:dyDescent="0.2">
      <c r="A40" s="11" t="s">
        <v>213</v>
      </c>
      <c r="B40" s="12" t="s">
        <v>366</v>
      </c>
      <c r="C40" s="11" t="s">
        <v>218</v>
      </c>
      <c r="D40" s="17">
        <v>9031089540</v>
      </c>
      <c r="E40" s="13">
        <v>45992</v>
      </c>
      <c r="F40" s="11" t="s">
        <v>62</v>
      </c>
      <c r="G40" s="11" t="s">
        <v>168</v>
      </c>
      <c r="H40" s="11" t="s">
        <v>46</v>
      </c>
      <c r="I40" s="14">
        <v>10</v>
      </c>
      <c r="J40" s="14">
        <v>12.99</v>
      </c>
      <c r="K40" s="14">
        <v>1.3</v>
      </c>
      <c r="L40" s="11" t="s">
        <v>173</v>
      </c>
      <c r="M40" s="13">
        <v>45903</v>
      </c>
      <c r="N40" s="15" t="s">
        <v>255</v>
      </c>
      <c r="Q40" s="17">
        <v>9031089540</v>
      </c>
      <c r="R40" s="15" t="str">
        <f t="shared" si="4"/>
        <v>90310895404</v>
      </c>
      <c r="S40" s="11" t="s">
        <v>305</v>
      </c>
      <c r="T40" s="15" t="s">
        <v>306</v>
      </c>
      <c r="U40" s="15" t="str">
        <f t="shared" si="5"/>
        <v>Hanna Yates</v>
      </c>
    </row>
    <row r="41" spans="1:43" s="15" customFormat="1" x14ac:dyDescent="0.2">
      <c r="A41" s="11" t="s">
        <v>210</v>
      </c>
      <c r="B41" s="12">
        <v>17554531</v>
      </c>
      <c r="C41" s="11" t="s">
        <v>211</v>
      </c>
      <c r="D41" s="17">
        <v>9030503940</v>
      </c>
      <c r="E41" s="13">
        <v>45992</v>
      </c>
      <c r="F41" s="11" t="s">
        <v>62</v>
      </c>
      <c r="G41" s="11" t="s">
        <v>168</v>
      </c>
      <c r="H41" s="11" t="s">
        <v>46</v>
      </c>
      <c r="I41" s="14">
        <v>10</v>
      </c>
      <c r="J41" s="14">
        <v>38.21</v>
      </c>
      <c r="K41" s="14">
        <v>3.82</v>
      </c>
      <c r="L41" s="11" t="s">
        <v>173</v>
      </c>
      <c r="M41" s="13">
        <v>45786</v>
      </c>
      <c r="N41" s="15" t="s">
        <v>255</v>
      </c>
      <c r="Q41" s="17">
        <v>9030503940</v>
      </c>
      <c r="R41" s="15" t="str">
        <f t="shared" si="4"/>
        <v>90305039404</v>
      </c>
      <c r="S41" s="11" t="s">
        <v>299</v>
      </c>
      <c r="T41" s="15" t="s">
        <v>300</v>
      </c>
      <c r="U41" s="15" t="str">
        <f t="shared" si="5"/>
        <v>Crystal Johnson</v>
      </c>
    </row>
    <row r="42" spans="1:43" x14ac:dyDescent="0.2">
      <c r="A42" s="6" t="s">
        <v>181</v>
      </c>
      <c r="B42" s="7">
        <v>6634327</v>
      </c>
      <c r="C42" s="6" t="s">
        <v>182</v>
      </c>
      <c r="D42" s="16">
        <v>853911</v>
      </c>
      <c r="E42" s="8">
        <v>45962</v>
      </c>
      <c r="F42" s="6" t="s">
        <v>49</v>
      </c>
      <c r="G42" s="6" t="s">
        <v>180</v>
      </c>
      <c r="H42" s="6" t="s">
        <v>46</v>
      </c>
      <c r="I42" s="9">
        <v>10</v>
      </c>
      <c r="J42" s="9">
        <v>635.22</v>
      </c>
      <c r="K42" s="9">
        <v>63.52</v>
      </c>
      <c r="L42" s="6" t="s">
        <v>82</v>
      </c>
      <c r="M42" s="8">
        <v>44562</v>
      </c>
      <c r="N42" s="10" t="s">
        <v>256</v>
      </c>
      <c r="O42" s="10"/>
      <c r="P42" s="10"/>
      <c r="Q42" s="16">
        <v>853911</v>
      </c>
      <c r="R42" s="10" t="str">
        <f t="shared" ref="R42:R60" si="6">CONCATENATE(Q42,7)</f>
        <v>8539117</v>
      </c>
      <c r="S42" s="6" t="s">
        <v>321</v>
      </c>
      <c r="T42" s="10" t="s">
        <v>322</v>
      </c>
      <c r="U42" s="6" t="s">
        <v>182</v>
      </c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3" x14ac:dyDescent="0.2">
      <c r="A43" s="6" t="s">
        <v>181</v>
      </c>
      <c r="B43" s="7">
        <v>6634327</v>
      </c>
      <c r="C43" s="6" t="s">
        <v>182</v>
      </c>
      <c r="D43" s="16">
        <v>853911</v>
      </c>
      <c r="E43" s="8">
        <v>45962</v>
      </c>
      <c r="F43" s="6" t="s">
        <v>49</v>
      </c>
      <c r="G43" s="6" t="s">
        <v>168</v>
      </c>
      <c r="H43" s="6" t="s">
        <v>46</v>
      </c>
      <c r="I43" s="9">
        <v>10</v>
      </c>
      <c r="J43" s="9">
        <v>68.05</v>
      </c>
      <c r="K43" s="9">
        <v>6.81</v>
      </c>
      <c r="L43" s="6" t="s">
        <v>82</v>
      </c>
      <c r="M43" s="8">
        <v>44562</v>
      </c>
      <c r="N43" s="10" t="s">
        <v>256</v>
      </c>
      <c r="O43" s="10"/>
      <c r="P43" s="10"/>
      <c r="Q43" s="16">
        <v>853911</v>
      </c>
      <c r="R43" s="10" t="str">
        <f t="shared" si="6"/>
        <v>8539117</v>
      </c>
      <c r="S43" s="6" t="s">
        <v>321</v>
      </c>
      <c r="T43" s="10" t="s">
        <v>322</v>
      </c>
      <c r="U43" s="6" t="s">
        <v>182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33"/>
    </row>
    <row r="44" spans="1:43" x14ac:dyDescent="0.2">
      <c r="A44" s="6" t="s">
        <v>175</v>
      </c>
      <c r="B44" s="7">
        <v>14177521</v>
      </c>
      <c r="C44" s="6" t="s">
        <v>176</v>
      </c>
      <c r="D44" s="16">
        <v>416672</v>
      </c>
      <c r="E44" s="8">
        <v>45962</v>
      </c>
      <c r="F44" s="6" t="s">
        <v>49</v>
      </c>
      <c r="G44" s="6" t="s">
        <v>180</v>
      </c>
      <c r="H44" s="6" t="s">
        <v>46</v>
      </c>
      <c r="I44" s="9">
        <v>10</v>
      </c>
      <c r="J44" s="9">
        <v>414.6</v>
      </c>
      <c r="K44" s="9">
        <v>41.46</v>
      </c>
      <c r="L44" s="6" t="s">
        <v>53</v>
      </c>
      <c r="M44" s="8">
        <v>45658</v>
      </c>
      <c r="N44" s="10" t="s">
        <v>256</v>
      </c>
      <c r="O44" s="10"/>
      <c r="P44" s="10"/>
      <c r="Q44" s="16">
        <v>416672</v>
      </c>
      <c r="R44" s="10" t="str">
        <f t="shared" si="6"/>
        <v>4166727</v>
      </c>
      <c r="S44" s="6" t="s">
        <v>319</v>
      </c>
      <c r="T44" s="10" t="s">
        <v>320</v>
      </c>
      <c r="U44" s="6" t="s">
        <v>176</v>
      </c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3" x14ac:dyDescent="0.2">
      <c r="A45" s="6" t="s">
        <v>175</v>
      </c>
      <c r="B45" s="7">
        <v>14177521</v>
      </c>
      <c r="C45" s="6" t="s">
        <v>176</v>
      </c>
      <c r="D45" s="16">
        <v>416672</v>
      </c>
      <c r="E45" s="8">
        <v>45962</v>
      </c>
      <c r="F45" s="6" t="s">
        <v>49</v>
      </c>
      <c r="G45" s="6" t="s">
        <v>168</v>
      </c>
      <c r="H45" s="6" t="s">
        <v>46</v>
      </c>
      <c r="I45" s="9">
        <v>10</v>
      </c>
      <c r="J45" s="9">
        <v>49.38</v>
      </c>
      <c r="K45" s="9">
        <v>4.9400000000000004</v>
      </c>
      <c r="L45" s="6" t="s">
        <v>53</v>
      </c>
      <c r="M45" s="8">
        <v>45658</v>
      </c>
      <c r="N45" s="10" t="s">
        <v>256</v>
      </c>
      <c r="O45" s="10"/>
      <c r="P45" s="10"/>
      <c r="Q45" s="16">
        <v>416672</v>
      </c>
      <c r="R45" s="10" t="str">
        <f t="shared" si="6"/>
        <v>4166727</v>
      </c>
      <c r="S45" s="6" t="s">
        <v>319</v>
      </c>
      <c r="T45" s="10" t="s">
        <v>320</v>
      </c>
      <c r="U45" s="6" t="s">
        <v>176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33"/>
    </row>
    <row r="46" spans="1:43" x14ac:dyDescent="0.2">
      <c r="A46" s="6" t="s">
        <v>220</v>
      </c>
      <c r="B46" s="7">
        <v>18754354</v>
      </c>
      <c r="C46" s="6" t="s">
        <v>221</v>
      </c>
      <c r="D46" s="16">
        <v>413180</v>
      </c>
      <c r="E46" s="8">
        <v>45870</v>
      </c>
      <c r="F46" s="6" t="s">
        <v>203</v>
      </c>
      <c r="G46" s="6" t="s">
        <v>180</v>
      </c>
      <c r="H46" s="6" t="s">
        <v>46</v>
      </c>
      <c r="I46" s="9">
        <v>10</v>
      </c>
      <c r="J46" s="9">
        <v>24.07</v>
      </c>
      <c r="K46" s="9">
        <v>2.41</v>
      </c>
      <c r="L46" s="6" t="s">
        <v>82</v>
      </c>
      <c r="M46" s="8">
        <v>45474</v>
      </c>
      <c r="N46" s="10" t="s">
        <v>256</v>
      </c>
      <c r="O46" s="10"/>
      <c r="P46" s="10"/>
      <c r="Q46" s="16">
        <v>413180</v>
      </c>
      <c r="R46" s="10" t="str">
        <f t="shared" si="6"/>
        <v>4131807</v>
      </c>
      <c r="S46" s="6" t="s">
        <v>287</v>
      </c>
      <c r="T46" s="10" t="s">
        <v>288</v>
      </c>
      <c r="U46" s="6" t="s">
        <v>221</v>
      </c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3" x14ac:dyDescent="0.2">
      <c r="A47" s="6" t="s">
        <v>220</v>
      </c>
      <c r="B47" s="7">
        <v>18754354</v>
      </c>
      <c r="C47" s="6" t="s">
        <v>221</v>
      </c>
      <c r="D47" s="16">
        <v>413180</v>
      </c>
      <c r="E47" s="8">
        <v>45901</v>
      </c>
      <c r="F47" s="6" t="s">
        <v>201</v>
      </c>
      <c r="G47" s="6" t="s">
        <v>180</v>
      </c>
      <c r="H47" s="6" t="s">
        <v>46</v>
      </c>
      <c r="I47" s="9">
        <v>10</v>
      </c>
      <c r="J47" s="9">
        <v>24.07</v>
      </c>
      <c r="K47" s="9">
        <v>2.41</v>
      </c>
      <c r="L47" s="6" t="s">
        <v>82</v>
      </c>
      <c r="M47" s="8">
        <v>45474</v>
      </c>
      <c r="N47" s="10" t="s">
        <v>256</v>
      </c>
      <c r="O47" s="10"/>
      <c r="P47" s="10"/>
      <c r="Q47" s="16">
        <v>413180</v>
      </c>
      <c r="R47" s="10" t="str">
        <f t="shared" si="6"/>
        <v>4131807</v>
      </c>
      <c r="S47" s="6" t="s">
        <v>287</v>
      </c>
      <c r="T47" s="10" t="s">
        <v>288</v>
      </c>
      <c r="U47" s="6" t="s">
        <v>221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3" x14ac:dyDescent="0.2">
      <c r="A48" s="6" t="s">
        <v>220</v>
      </c>
      <c r="B48" s="7">
        <v>18754354</v>
      </c>
      <c r="C48" s="6" t="s">
        <v>221</v>
      </c>
      <c r="D48" s="16">
        <v>413180</v>
      </c>
      <c r="E48" s="8">
        <v>45931</v>
      </c>
      <c r="F48" s="6" t="s">
        <v>202</v>
      </c>
      <c r="G48" s="6" t="s">
        <v>180</v>
      </c>
      <c r="H48" s="6" t="s">
        <v>46</v>
      </c>
      <c r="I48" s="9">
        <v>10</v>
      </c>
      <c r="J48" s="9">
        <v>120.35</v>
      </c>
      <c r="K48" s="9">
        <v>12.04</v>
      </c>
      <c r="L48" s="6" t="s">
        <v>82</v>
      </c>
      <c r="M48" s="8">
        <v>45474</v>
      </c>
      <c r="N48" s="10" t="s">
        <v>256</v>
      </c>
      <c r="O48" s="10"/>
      <c r="P48" s="10"/>
      <c r="Q48" s="16">
        <v>413180</v>
      </c>
      <c r="R48" s="10" t="str">
        <f t="shared" si="6"/>
        <v>4131807</v>
      </c>
      <c r="S48" s="6" t="s">
        <v>287</v>
      </c>
      <c r="T48" s="10" t="s">
        <v>288</v>
      </c>
      <c r="U48" s="6" t="s">
        <v>221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33"/>
    </row>
    <row r="49" spans="1:43" s="33" customFormat="1" x14ac:dyDescent="0.2">
      <c r="A49" s="6" t="s">
        <v>220</v>
      </c>
      <c r="B49" s="7">
        <v>18754354</v>
      </c>
      <c r="C49" s="6" t="s">
        <v>221</v>
      </c>
      <c r="D49" s="16">
        <v>413180</v>
      </c>
      <c r="E49" s="8">
        <v>45962</v>
      </c>
      <c r="F49" s="6" t="s">
        <v>49</v>
      </c>
      <c r="G49" s="6" t="s">
        <v>180</v>
      </c>
      <c r="H49" s="6" t="s">
        <v>46</v>
      </c>
      <c r="I49" s="9">
        <v>10</v>
      </c>
      <c r="J49" s="9">
        <v>1030.8</v>
      </c>
      <c r="K49" s="9">
        <v>103.08</v>
      </c>
      <c r="L49" s="6" t="s">
        <v>82</v>
      </c>
      <c r="M49" s="8">
        <v>45474</v>
      </c>
      <c r="N49" s="10" t="s">
        <v>256</v>
      </c>
      <c r="O49" s="10"/>
      <c r="P49" s="10"/>
      <c r="Q49" s="16">
        <v>413180</v>
      </c>
      <c r="R49" s="10" t="str">
        <f t="shared" si="6"/>
        <v>4131807</v>
      </c>
      <c r="S49" s="6" t="s">
        <v>287</v>
      </c>
      <c r="T49" s="10" t="s">
        <v>288</v>
      </c>
      <c r="U49" s="6" t="s">
        <v>221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3" s="33" customFormat="1" x14ac:dyDescent="0.2">
      <c r="A50" s="6" t="s">
        <v>220</v>
      </c>
      <c r="B50" s="7">
        <v>18754354</v>
      </c>
      <c r="C50" s="6" t="s">
        <v>221</v>
      </c>
      <c r="D50" s="16">
        <v>413180</v>
      </c>
      <c r="E50" s="8">
        <v>45870</v>
      </c>
      <c r="F50" s="6" t="s">
        <v>203</v>
      </c>
      <c r="G50" s="6" t="s">
        <v>168</v>
      </c>
      <c r="H50" s="6" t="s">
        <v>46</v>
      </c>
      <c r="I50" s="9">
        <v>10</v>
      </c>
      <c r="J50" s="9">
        <v>4.9400000000000004</v>
      </c>
      <c r="K50" s="9">
        <v>0.49</v>
      </c>
      <c r="L50" s="6" t="s">
        <v>82</v>
      </c>
      <c r="M50" s="8">
        <v>45474</v>
      </c>
      <c r="N50" s="10" t="s">
        <v>256</v>
      </c>
      <c r="O50" s="10"/>
      <c r="P50" s="10"/>
      <c r="Q50" s="16">
        <v>413180</v>
      </c>
      <c r="R50" s="10" t="str">
        <f t="shared" si="6"/>
        <v>4131807</v>
      </c>
      <c r="S50" s="6" t="s">
        <v>287</v>
      </c>
      <c r="T50" s="10" t="s">
        <v>288</v>
      </c>
      <c r="U50" s="6" t="s">
        <v>221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5"/>
    </row>
    <row r="51" spans="1:43" s="33" customFormat="1" x14ac:dyDescent="0.2">
      <c r="A51" s="6" t="s">
        <v>220</v>
      </c>
      <c r="B51" s="7">
        <v>18754354</v>
      </c>
      <c r="C51" s="6" t="s">
        <v>221</v>
      </c>
      <c r="D51" s="16">
        <v>413180</v>
      </c>
      <c r="E51" s="8">
        <v>45901</v>
      </c>
      <c r="F51" s="6" t="s">
        <v>201</v>
      </c>
      <c r="G51" s="6" t="s">
        <v>168</v>
      </c>
      <c r="H51" s="6" t="s">
        <v>46</v>
      </c>
      <c r="I51" s="9">
        <v>10</v>
      </c>
      <c r="J51" s="9">
        <v>4.9400000000000004</v>
      </c>
      <c r="K51" s="9">
        <v>0.49</v>
      </c>
      <c r="L51" s="6" t="s">
        <v>82</v>
      </c>
      <c r="M51" s="8">
        <v>45474</v>
      </c>
      <c r="N51" s="10" t="s">
        <v>256</v>
      </c>
      <c r="O51" s="10"/>
      <c r="P51" s="10"/>
      <c r="Q51" s="16">
        <v>413180</v>
      </c>
      <c r="R51" s="10" t="str">
        <f t="shared" si="6"/>
        <v>4131807</v>
      </c>
      <c r="S51" s="6" t="s">
        <v>287</v>
      </c>
      <c r="T51" s="10" t="s">
        <v>288</v>
      </c>
      <c r="U51" s="6" t="s">
        <v>221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1:43" s="33" customFormat="1" x14ac:dyDescent="0.2">
      <c r="A52" s="6" t="s">
        <v>220</v>
      </c>
      <c r="B52" s="7">
        <v>18754354</v>
      </c>
      <c r="C52" s="6" t="s">
        <v>221</v>
      </c>
      <c r="D52" s="16">
        <v>413180</v>
      </c>
      <c r="E52" s="8">
        <v>45931</v>
      </c>
      <c r="F52" s="6" t="s">
        <v>202</v>
      </c>
      <c r="G52" s="6" t="s">
        <v>168</v>
      </c>
      <c r="H52" s="6" t="s">
        <v>46</v>
      </c>
      <c r="I52" s="9">
        <v>10</v>
      </c>
      <c r="J52" s="9">
        <v>14.82</v>
      </c>
      <c r="K52" s="9">
        <v>1.48</v>
      </c>
      <c r="L52" s="6" t="s">
        <v>82</v>
      </c>
      <c r="M52" s="8">
        <v>45474</v>
      </c>
      <c r="N52" s="10" t="s">
        <v>256</v>
      </c>
      <c r="O52" s="10"/>
      <c r="P52" s="10"/>
      <c r="Q52" s="16">
        <v>413180</v>
      </c>
      <c r="R52" s="10" t="str">
        <f t="shared" si="6"/>
        <v>4131807</v>
      </c>
      <c r="S52" s="6" t="s">
        <v>287</v>
      </c>
      <c r="T52" s="10" t="s">
        <v>288</v>
      </c>
      <c r="U52" s="6" t="s">
        <v>221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spans="1:43" s="33" customFormat="1" x14ac:dyDescent="0.2">
      <c r="A53" s="6" t="s">
        <v>220</v>
      </c>
      <c r="B53" s="7">
        <v>18754354</v>
      </c>
      <c r="C53" s="6" t="s">
        <v>221</v>
      </c>
      <c r="D53" s="16">
        <v>413180</v>
      </c>
      <c r="E53" s="8">
        <v>45962</v>
      </c>
      <c r="F53" s="6" t="s">
        <v>49</v>
      </c>
      <c r="G53" s="6" t="s">
        <v>168</v>
      </c>
      <c r="H53" s="6" t="s">
        <v>46</v>
      </c>
      <c r="I53" s="9">
        <v>10</v>
      </c>
      <c r="J53" s="9">
        <v>191.99</v>
      </c>
      <c r="K53" s="9">
        <v>19.2</v>
      </c>
      <c r="L53" s="6" t="s">
        <v>82</v>
      </c>
      <c r="M53" s="8">
        <v>45474</v>
      </c>
      <c r="N53" s="10" t="s">
        <v>256</v>
      </c>
      <c r="O53" s="10"/>
      <c r="P53" s="10"/>
      <c r="Q53" s="16">
        <v>413180</v>
      </c>
      <c r="R53" s="10" t="str">
        <f t="shared" si="6"/>
        <v>4131807</v>
      </c>
      <c r="S53" s="6" t="s">
        <v>287</v>
      </c>
      <c r="T53" s="10" t="s">
        <v>288</v>
      </c>
      <c r="U53" s="6" t="s">
        <v>221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1:43" s="33" customFormat="1" x14ac:dyDescent="0.2">
      <c r="A54" s="6" t="s">
        <v>97</v>
      </c>
      <c r="B54" s="7">
        <v>16633294</v>
      </c>
      <c r="C54" s="6" t="s">
        <v>199</v>
      </c>
      <c r="D54" s="16">
        <v>419885</v>
      </c>
      <c r="E54" s="8">
        <v>45901</v>
      </c>
      <c r="F54" s="6" t="s">
        <v>201</v>
      </c>
      <c r="G54" s="6" t="s">
        <v>180</v>
      </c>
      <c r="H54" s="6" t="s">
        <v>46</v>
      </c>
      <c r="I54" s="9">
        <v>10</v>
      </c>
      <c r="J54" s="9">
        <v>86.65</v>
      </c>
      <c r="K54" s="9">
        <v>8.67</v>
      </c>
      <c r="L54" s="6" t="s">
        <v>53</v>
      </c>
      <c r="M54" s="8">
        <v>45839</v>
      </c>
      <c r="N54" s="10" t="s">
        <v>256</v>
      </c>
      <c r="O54" s="10"/>
      <c r="P54" s="10"/>
      <c r="Q54" s="16">
        <v>419885</v>
      </c>
      <c r="R54" s="10" t="str">
        <f t="shared" si="6"/>
        <v>4198857</v>
      </c>
      <c r="S54" s="6" t="s">
        <v>323</v>
      </c>
      <c r="T54" s="10" t="s">
        <v>324</v>
      </c>
      <c r="U54" s="6" t="s">
        <v>199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/>
    </row>
    <row r="55" spans="1:43" s="33" customFormat="1" x14ac:dyDescent="0.2">
      <c r="A55" s="6" t="s">
        <v>97</v>
      </c>
      <c r="B55" s="7">
        <v>16633294</v>
      </c>
      <c r="C55" s="6" t="s">
        <v>199</v>
      </c>
      <c r="D55" s="16">
        <v>419885</v>
      </c>
      <c r="E55" s="8">
        <v>45931</v>
      </c>
      <c r="F55" s="6" t="s">
        <v>202</v>
      </c>
      <c r="G55" s="6" t="s">
        <v>180</v>
      </c>
      <c r="H55" s="6" t="s">
        <v>46</v>
      </c>
      <c r="I55" s="9">
        <v>10</v>
      </c>
      <c r="J55" s="9">
        <v>150.68</v>
      </c>
      <c r="K55" s="9">
        <v>15.07</v>
      </c>
      <c r="L55" s="6" t="s">
        <v>53</v>
      </c>
      <c r="M55" s="8">
        <v>45839</v>
      </c>
      <c r="N55" s="10" t="s">
        <v>256</v>
      </c>
      <c r="O55" s="10"/>
      <c r="P55" s="10"/>
      <c r="Q55" s="16">
        <v>419885</v>
      </c>
      <c r="R55" s="10" t="str">
        <f t="shared" si="6"/>
        <v>4198857</v>
      </c>
      <c r="S55" s="6" t="s">
        <v>323</v>
      </c>
      <c r="T55" s="10" t="s">
        <v>324</v>
      </c>
      <c r="U55" s="6" t="s">
        <v>199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/>
    </row>
    <row r="56" spans="1:43" s="15" customFormat="1" x14ac:dyDescent="0.2">
      <c r="A56" s="6" t="s">
        <v>97</v>
      </c>
      <c r="B56" s="7">
        <v>16633294</v>
      </c>
      <c r="C56" s="6" t="s">
        <v>199</v>
      </c>
      <c r="D56" s="16">
        <v>419885</v>
      </c>
      <c r="E56" s="8">
        <v>45962</v>
      </c>
      <c r="F56" s="6" t="s">
        <v>49</v>
      </c>
      <c r="G56" s="6" t="s">
        <v>180</v>
      </c>
      <c r="H56" s="6" t="s">
        <v>46</v>
      </c>
      <c r="I56" s="9">
        <v>10</v>
      </c>
      <c r="J56" s="9">
        <v>1184.58</v>
      </c>
      <c r="K56" s="9">
        <v>118.46</v>
      </c>
      <c r="L56" s="6" t="s">
        <v>53</v>
      </c>
      <c r="M56" s="8">
        <v>45839</v>
      </c>
      <c r="N56" s="10" t="s">
        <v>256</v>
      </c>
      <c r="O56" s="10"/>
      <c r="P56" s="10"/>
      <c r="Q56" s="16">
        <v>419885</v>
      </c>
      <c r="R56" s="10" t="str">
        <f t="shared" si="6"/>
        <v>4198857</v>
      </c>
      <c r="S56" s="6" t="s">
        <v>323</v>
      </c>
      <c r="T56" s="10" t="s">
        <v>324</v>
      </c>
      <c r="U56" s="6" t="s">
        <v>199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/>
    </row>
    <row r="57" spans="1:43" s="15" customFormat="1" x14ac:dyDescent="0.2">
      <c r="A57" s="6" t="s">
        <v>97</v>
      </c>
      <c r="B57" s="7">
        <v>16633294</v>
      </c>
      <c r="C57" s="6" t="s">
        <v>199</v>
      </c>
      <c r="D57" s="16">
        <v>419885</v>
      </c>
      <c r="E57" s="8">
        <v>45870</v>
      </c>
      <c r="F57" s="6" t="s">
        <v>203</v>
      </c>
      <c r="G57" s="6" t="s">
        <v>168</v>
      </c>
      <c r="H57" s="6" t="s">
        <v>46</v>
      </c>
      <c r="I57" s="9">
        <v>10</v>
      </c>
      <c r="J57" s="9">
        <v>-10.14</v>
      </c>
      <c r="K57" s="9">
        <v>-1.01</v>
      </c>
      <c r="L57" s="6" t="s">
        <v>53</v>
      </c>
      <c r="M57" s="8">
        <v>45839</v>
      </c>
      <c r="N57" s="10" t="s">
        <v>256</v>
      </c>
      <c r="O57" s="10"/>
      <c r="P57" s="10"/>
      <c r="Q57" s="16">
        <v>419885</v>
      </c>
      <c r="R57" s="10" t="str">
        <f t="shared" si="6"/>
        <v>4198857</v>
      </c>
      <c r="S57" s="6" t="s">
        <v>323</v>
      </c>
      <c r="T57" s="10" t="s">
        <v>324</v>
      </c>
      <c r="U57" s="6" t="s">
        <v>199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33"/>
    </row>
    <row r="58" spans="1:43" s="10" customFormat="1" x14ac:dyDescent="0.2">
      <c r="A58" s="6" t="s">
        <v>97</v>
      </c>
      <c r="B58" s="7">
        <v>16633294</v>
      </c>
      <c r="C58" s="6" t="s">
        <v>199</v>
      </c>
      <c r="D58" s="16">
        <v>419885</v>
      </c>
      <c r="E58" s="8">
        <v>45901</v>
      </c>
      <c r="F58" s="6" t="s">
        <v>201</v>
      </c>
      <c r="G58" s="6" t="s">
        <v>168</v>
      </c>
      <c r="H58" s="6" t="s">
        <v>46</v>
      </c>
      <c r="I58" s="9">
        <v>10</v>
      </c>
      <c r="J58" s="9">
        <v>19.25</v>
      </c>
      <c r="K58" s="9">
        <v>1.93</v>
      </c>
      <c r="L58" s="6" t="s">
        <v>53</v>
      </c>
      <c r="M58" s="8">
        <v>45839</v>
      </c>
      <c r="N58" s="10" t="s">
        <v>256</v>
      </c>
      <c r="Q58" s="16">
        <v>419885</v>
      </c>
      <c r="R58" s="10" t="str">
        <f t="shared" si="6"/>
        <v>4198857</v>
      </c>
      <c r="S58" s="6" t="s">
        <v>323</v>
      </c>
      <c r="T58" s="10" t="s">
        <v>324</v>
      </c>
      <c r="U58" s="6" t="s">
        <v>199</v>
      </c>
      <c r="AQ58" s="33"/>
    </row>
    <row r="59" spans="1:43" s="10" customFormat="1" x14ac:dyDescent="0.2">
      <c r="A59" s="6" t="s">
        <v>97</v>
      </c>
      <c r="B59" s="7">
        <v>16633294</v>
      </c>
      <c r="C59" s="6" t="s">
        <v>199</v>
      </c>
      <c r="D59" s="16">
        <v>419885</v>
      </c>
      <c r="E59" s="8">
        <v>45931</v>
      </c>
      <c r="F59" s="6" t="s">
        <v>202</v>
      </c>
      <c r="G59" s="6" t="s">
        <v>168</v>
      </c>
      <c r="H59" s="6" t="s">
        <v>46</v>
      </c>
      <c r="I59" s="9">
        <v>10</v>
      </c>
      <c r="J59" s="9">
        <v>38.35</v>
      </c>
      <c r="K59" s="9">
        <v>3.83</v>
      </c>
      <c r="L59" s="6" t="s">
        <v>53</v>
      </c>
      <c r="M59" s="8">
        <v>45839</v>
      </c>
      <c r="N59" s="10" t="s">
        <v>256</v>
      </c>
      <c r="Q59" s="16">
        <v>419885</v>
      </c>
      <c r="R59" s="10" t="str">
        <f t="shared" si="6"/>
        <v>4198857</v>
      </c>
      <c r="S59" s="6" t="s">
        <v>323</v>
      </c>
      <c r="T59" s="10" t="s">
        <v>324</v>
      </c>
      <c r="U59" s="6" t="s">
        <v>199</v>
      </c>
      <c r="AQ59" s="33"/>
    </row>
    <row r="60" spans="1:43" s="10" customFormat="1" x14ac:dyDescent="0.2">
      <c r="A60" s="6" t="s">
        <v>97</v>
      </c>
      <c r="B60" s="7">
        <v>16633294</v>
      </c>
      <c r="C60" s="6" t="s">
        <v>199</v>
      </c>
      <c r="D60" s="16">
        <v>419885</v>
      </c>
      <c r="E60" s="8">
        <v>45962</v>
      </c>
      <c r="F60" s="6" t="s">
        <v>49</v>
      </c>
      <c r="G60" s="6" t="s">
        <v>168</v>
      </c>
      <c r="H60" s="6" t="s">
        <v>46</v>
      </c>
      <c r="I60" s="9">
        <v>10</v>
      </c>
      <c r="J60" s="9">
        <v>276.81</v>
      </c>
      <c r="K60" s="9">
        <v>27.68</v>
      </c>
      <c r="L60" s="6" t="s">
        <v>53</v>
      </c>
      <c r="M60" s="8">
        <v>45839</v>
      </c>
      <c r="N60" s="10" t="s">
        <v>256</v>
      </c>
      <c r="Q60" s="16">
        <v>419885</v>
      </c>
      <c r="R60" s="10" t="str">
        <f t="shared" si="6"/>
        <v>4198857</v>
      </c>
      <c r="S60" s="6" t="s">
        <v>323</v>
      </c>
      <c r="T60" s="10" t="s">
        <v>324</v>
      </c>
      <c r="U60" s="6" t="s">
        <v>199</v>
      </c>
      <c r="AQ60" s="15"/>
    </row>
    <row r="61" spans="1:43" s="10" customFormat="1" x14ac:dyDescent="0.2">
      <c r="A61" s="4" t="s">
        <v>72</v>
      </c>
      <c r="B61" s="2">
        <v>7470776</v>
      </c>
      <c r="C61" s="4" t="s">
        <v>73</v>
      </c>
      <c r="D61" s="4" t="s">
        <v>74</v>
      </c>
      <c r="E61" s="3">
        <v>45658</v>
      </c>
      <c r="F61" s="4" t="s">
        <v>76</v>
      </c>
      <c r="G61" s="4" t="s">
        <v>51</v>
      </c>
      <c r="H61" s="4" t="s">
        <v>52</v>
      </c>
      <c r="I61" s="5">
        <v>-0.25</v>
      </c>
      <c r="J61" s="5">
        <v>-1</v>
      </c>
      <c r="K61" s="5">
        <v>-78.25</v>
      </c>
      <c r="L61" s="4" t="s">
        <v>53</v>
      </c>
      <c r="M61" s="3">
        <v>45658</v>
      </c>
      <c r="N61" t="s">
        <v>260</v>
      </c>
      <c r="O61" t="s">
        <v>264</v>
      </c>
      <c r="P61"/>
      <c r="Q61" s="4" t="s">
        <v>74</v>
      </c>
      <c r="R61" t="str">
        <f t="shared" ref="R61:R81" si="7">CONCATENATE(Q61,6)</f>
        <v>00012268041K6</v>
      </c>
      <c r="S61" s="4" t="s">
        <v>325</v>
      </c>
      <c r="T61" t="s">
        <v>326</v>
      </c>
      <c r="U61" t="str">
        <f t="shared" ref="U61:U81" si="8">CONCATENATE(T61, " ",S61)</f>
        <v>DONALD WOODS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3" s="10" customFormat="1" x14ac:dyDescent="0.2">
      <c r="A62" s="4" t="s">
        <v>152</v>
      </c>
      <c r="B62" s="2">
        <v>18828278</v>
      </c>
      <c r="C62" s="4" t="s">
        <v>153</v>
      </c>
      <c r="D62" s="4" t="s">
        <v>154</v>
      </c>
      <c r="E62" s="3">
        <v>45658</v>
      </c>
      <c r="F62" s="4" t="s">
        <v>76</v>
      </c>
      <c r="G62" s="4" t="s">
        <v>51</v>
      </c>
      <c r="H62" s="4" t="s">
        <v>52</v>
      </c>
      <c r="I62" s="5">
        <v>-0.17</v>
      </c>
      <c r="J62" s="5">
        <v>-1</v>
      </c>
      <c r="K62" s="5">
        <v>-52.17</v>
      </c>
      <c r="L62" s="4" t="s">
        <v>53</v>
      </c>
      <c r="M62" s="3">
        <v>45658</v>
      </c>
      <c r="N62" t="s">
        <v>260</v>
      </c>
      <c r="O62" t="s">
        <v>265</v>
      </c>
      <c r="P62"/>
      <c r="Q62" s="4" t="s">
        <v>154</v>
      </c>
      <c r="R62" t="str">
        <f t="shared" si="7"/>
        <v>00017176926K6</v>
      </c>
      <c r="S62" s="4" t="s">
        <v>329</v>
      </c>
      <c r="T62" t="s">
        <v>330</v>
      </c>
      <c r="U62" t="str">
        <f t="shared" si="8"/>
        <v>ROBERT LINSLEY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3" s="10" customFormat="1" x14ac:dyDescent="0.2">
      <c r="A63" s="4" t="s">
        <v>152</v>
      </c>
      <c r="B63" s="2">
        <v>18828278</v>
      </c>
      <c r="C63" s="4" t="s">
        <v>156</v>
      </c>
      <c r="D63" s="4" t="s">
        <v>157</v>
      </c>
      <c r="E63" s="3">
        <v>45992</v>
      </c>
      <c r="F63" s="4" t="s">
        <v>62</v>
      </c>
      <c r="G63" s="4" t="s">
        <v>51</v>
      </c>
      <c r="H63" s="4" t="s">
        <v>52</v>
      </c>
      <c r="I63" s="5">
        <v>0.08</v>
      </c>
      <c r="J63" s="5">
        <v>1</v>
      </c>
      <c r="K63" s="5">
        <v>26.08</v>
      </c>
      <c r="L63" s="4" t="s">
        <v>53</v>
      </c>
      <c r="M63" s="3">
        <v>45992</v>
      </c>
      <c r="N63" t="s">
        <v>260</v>
      </c>
      <c r="O63" t="s">
        <v>263</v>
      </c>
      <c r="P63"/>
      <c r="Q63" s="4" t="s">
        <v>157</v>
      </c>
      <c r="R63" t="str">
        <f t="shared" si="7"/>
        <v>00024598277K6</v>
      </c>
      <c r="S63" s="4" t="s">
        <v>341</v>
      </c>
      <c r="T63" t="s">
        <v>284</v>
      </c>
      <c r="U63" t="str">
        <f t="shared" si="8"/>
        <v>JOHN FROST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3" s="15" customFormat="1" x14ac:dyDescent="0.2">
      <c r="A64" s="4" t="s">
        <v>101</v>
      </c>
      <c r="B64" s="2">
        <v>17301495</v>
      </c>
      <c r="C64" s="4" t="s">
        <v>106</v>
      </c>
      <c r="D64" s="4" t="s">
        <v>107</v>
      </c>
      <c r="E64" s="3">
        <v>45992</v>
      </c>
      <c r="F64" s="4" t="s">
        <v>62</v>
      </c>
      <c r="G64" s="4" t="s">
        <v>51</v>
      </c>
      <c r="H64" s="4" t="s">
        <v>88</v>
      </c>
      <c r="I64" s="5">
        <v>0.08</v>
      </c>
      <c r="J64" s="5">
        <v>1</v>
      </c>
      <c r="K64" s="5">
        <v>26.08</v>
      </c>
      <c r="L64" s="4" t="s">
        <v>53</v>
      </c>
      <c r="M64" s="3">
        <v>45992</v>
      </c>
      <c r="N64" t="s">
        <v>260</v>
      </c>
      <c r="O64" t="s">
        <v>263</v>
      </c>
      <c r="P64"/>
      <c r="Q64" s="4" t="s">
        <v>107</v>
      </c>
      <c r="R64" t="str">
        <f t="shared" si="7"/>
        <v>00024576468K6</v>
      </c>
      <c r="S64" s="4" t="s">
        <v>346</v>
      </c>
      <c r="T64" t="s">
        <v>347</v>
      </c>
      <c r="U64" t="str">
        <f t="shared" si="8"/>
        <v>NANCY PENA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3" s="15" customFormat="1" x14ac:dyDescent="0.2">
      <c r="A65" s="4" t="s">
        <v>101</v>
      </c>
      <c r="B65" s="2">
        <v>17301495</v>
      </c>
      <c r="C65" s="4" t="s">
        <v>102</v>
      </c>
      <c r="D65" s="4" t="s">
        <v>103</v>
      </c>
      <c r="E65" s="3">
        <v>45962</v>
      </c>
      <c r="F65" s="4" t="s">
        <v>49</v>
      </c>
      <c r="G65" s="4" t="s">
        <v>51</v>
      </c>
      <c r="H65" s="4" t="s">
        <v>88</v>
      </c>
      <c r="I65" s="5">
        <v>1</v>
      </c>
      <c r="J65" s="5">
        <v>1</v>
      </c>
      <c r="K65" s="5">
        <v>26.08</v>
      </c>
      <c r="L65" s="4" t="s">
        <v>82</v>
      </c>
      <c r="M65" s="3">
        <v>45505</v>
      </c>
      <c r="N65" t="s">
        <v>260</v>
      </c>
      <c r="O65" t="s">
        <v>263</v>
      </c>
      <c r="P65"/>
      <c r="Q65" s="4" t="s">
        <v>103</v>
      </c>
      <c r="R65" t="str">
        <f t="shared" si="7"/>
        <v>00013131759K6</v>
      </c>
      <c r="S65" s="4" t="s">
        <v>353</v>
      </c>
      <c r="T65" t="s">
        <v>354</v>
      </c>
      <c r="U65" t="str">
        <f t="shared" si="8"/>
        <v>RUBEN TORRES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3" s="15" customFormat="1" x14ac:dyDescent="0.2">
      <c r="A66" s="4" t="s">
        <v>64</v>
      </c>
      <c r="B66" s="2">
        <v>2158366</v>
      </c>
      <c r="C66" s="4" t="s">
        <v>65</v>
      </c>
      <c r="D66" s="4" t="s">
        <v>66</v>
      </c>
      <c r="E66" s="3">
        <v>45992</v>
      </c>
      <c r="F66" s="4" t="s">
        <v>62</v>
      </c>
      <c r="G66" s="4" t="s">
        <v>51</v>
      </c>
      <c r="H66" s="4" t="s">
        <v>52</v>
      </c>
      <c r="I66" s="5">
        <v>0.08</v>
      </c>
      <c r="J66" s="5">
        <v>1</v>
      </c>
      <c r="K66" s="5">
        <v>26.08</v>
      </c>
      <c r="L66" s="4" t="s">
        <v>53</v>
      </c>
      <c r="M66" s="3">
        <v>45992</v>
      </c>
      <c r="N66" t="s">
        <v>260</v>
      </c>
      <c r="O66" t="s">
        <v>263</v>
      </c>
      <c r="P66"/>
      <c r="Q66" s="4" t="s">
        <v>66</v>
      </c>
      <c r="R66" t="str">
        <f t="shared" si="7"/>
        <v>00000825139K6</v>
      </c>
      <c r="S66" s="4" t="s">
        <v>335</v>
      </c>
      <c r="T66" t="s">
        <v>336</v>
      </c>
      <c r="U66" t="str">
        <f t="shared" si="8"/>
        <v>LARAMIE DRISCOLL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3" s="15" customFormat="1" x14ac:dyDescent="0.2">
      <c r="A67" s="4" t="s">
        <v>84</v>
      </c>
      <c r="B67" s="2">
        <v>7146581</v>
      </c>
      <c r="C67" s="4" t="s">
        <v>90</v>
      </c>
      <c r="D67" s="4" t="s">
        <v>91</v>
      </c>
      <c r="E67" s="3">
        <v>45992</v>
      </c>
      <c r="F67" s="4" t="s">
        <v>62</v>
      </c>
      <c r="G67" s="4" t="s">
        <v>51</v>
      </c>
      <c r="H67" s="4" t="s">
        <v>52</v>
      </c>
      <c r="I67" s="5">
        <v>0.08</v>
      </c>
      <c r="J67" s="5">
        <v>1</v>
      </c>
      <c r="K67" s="5">
        <v>26.08</v>
      </c>
      <c r="L67" s="4" t="s">
        <v>53</v>
      </c>
      <c r="M67" s="3">
        <v>45992</v>
      </c>
      <c r="N67" t="s">
        <v>260</v>
      </c>
      <c r="O67" t="s">
        <v>263</v>
      </c>
      <c r="P67"/>
      <c r="Q67" s="4" t="s">
        <v>91</v>
      </c>
      <c r="R67" t="str">
        <f t="shared" si="7"/>
        <v>00024491622K6</v>
      </c>
      <c r="S67" s="4" t="s">
        <v>339</v>
      </c>
      <c r="T67" t="s">
        <v>340</v>
      </c>
      <c r="U67" t="str">
        <f t="shared" si="8"/>
        <v>RICK ARIANO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10"/>
    </row>
    <row r="68" spans="1:43" s="10" customFormat="1" x14ac:dyDescent="0.2">
      <c r="A68" s="4" t="s">
        <v>84</v>
      </c>
      <c r="B68" s="2">
        <v>7146581</v>
      </c>
      <c r="C68" s="4" t="s">
        <v>85</v>
      </c>
      <c r="D68" s="4" t="s">
        <v>86</v>
      </c>
      <c r="E68" s="3">
        <v>45962</v>
      </c>
      <c r="F68" s="4" t="s">
        <v>49</v>
      </c>
      <c r="G68" s="4" t="s">
        <v>51</v>
      </c>
      <c r="H68" s="4" t="s">
        <v>88</v>
      </c>
      <c r="I68" s="5">
        <v>1</v>
      </c>
      <c r="J68" s="5">
        <v>1</v>
      </c>
      <c r="K68" s="5">
        <v>26.08</v>
      </c>
      <c r="L68" s="4" t="s">
        <v>82</v>
      </c>
      <c r="M68" s="3">
        <v>45536</v>
      </c>
      <c r="N68" t="s">
        <v>260</v>
      </c>
      <c r="O68" t="s">
        <v>263</v>
      </c>
      <c r="P68"/>
      <c r="Q68" s="4" t="s">
        <v>86</v>
      </c>
      <c r="R68" t="str">
        <f t="shared" si="7"/>
        <v>00021915889K6</v>
      </c>
      <c r="S68" s="4" t="s">
        <v>351</v>
      </c>
      <c r="T68" t="s">
        <v>352</v>
      </c>
      <c r="U68" t="str">
        <f t="shared" si="8"/>
        <v>TERRY BRYAN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15"/>
    </row>
    <row r="69" spans="1:43" s="10" customFormat="1" x14ac:dyDescent="0.2">
      <c r="A69" s="4" t="s">
        <v>68</v>
      </c>
      <c r="B69" s="2">
        <v>8814784</v>
      </c>
      <c r="C69" s="4" t="s">
        <v>69</v>
      </c>
      <c r="D69" s="4" t="s">
        <v>70</v>
      </c>
      <c r="E69" s="3">
        <v>45992</v>
      </c>
      <c r="F69" s="4" t="s">
        <v>62</v>
      </c>
      <c r="G69" s="4" t="s">
        <v>51</v>
      </c>
      <c r="H69" s="4" t="s">
        <v>52</v>
      </c>
      <c r="I69" s="5">
        <v>0.08</v>
      </c>
      <c r="J69" s="5">
        <v>1</v>
      </c>
      <c r="K69" s="5">
        <v>26.08</v>
      </c>
      <c r="L69" s="4" t="s">
        <v>53</v>
      </c>
      <c r="M69" s="3">
        <v>45992</v>
      </c>
      <c r="N69" t="s">
        <v>260</v>
      </c>
      <c r="O69" t="s">
        <v>263</v>
      </c>
      <c r="P69"/>
      <c r="Q69" s="4" t="s">
        <v>70</v>
      </c>
      <c r="R69" t="str">
        <f t="shared" si="7"/>
        <v>00024524991K6</v>
      </c>
      <c r="S69" s="4" t="s">
        <v>337</v>
      </c>
      <c r="T69" t="s">
        <v>338</v>
      </c>
      <c r="U69" t="str">
        <f t="shared" si="8"/>
        <v>JEFFERY BABCOCK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15"/>
    </row>
    <row r="70" spans="1:43" s="10" customFormat="1" x14ac:dyDescent="0.2">
      <c r="A70" s="4" t="s">
        <v>159</v>
      </c>
      <c r="B70" s="2">
        <v>21646325</v>
      </c>
      <c r="C70" s="4" t="s">
        <v>160</v>
      </c>
      <c r="D70" s="4" t="s">
        <v>161</v>
      </c>
      <c r="E70" s="3">
        <v>45992</v>
      </c>
      <c r="F70" s="4" t="s">
        <v>62</v>
      </c>
      <c r="G70" s="4" t="s">
        <v>51</v>
      </c>
      <c r="H70" s="4" t="s">
        <v>52</v>
      </c>
      <c r="I70" s="5">
        <v>0.08</v>
      </c>
      <c r="J70" s="5">
        <v>1</v>
      </c>
      <c r="K70" s="5">
        <v>26.08</v>
      </c>
      <c r="L70" s="4" t="s">
        <v>53</v>
      </c>
      <c r="M70" s="3">
        <v>45992</v>
      </c>
      <c r="N70" t="s">
        <v>260</v>
      </c>
      <c r="O70" t="s">
        <v>263</v>
      </c>
      <c r="P70"/>
      <c r="Q70" s="4" t="s">
        <v>161</v>
      </c>
      <c r="R70" t="str">
        <f t="shared" si="7"/>
        <v>00024630110K6</v>
      </c>
      <c r="S70" s="4" t="s">
        <v>342</v>
      </c>
      <c r="T70" t="s">
        <v>343</v>
      </c>
      <c r="U70" t="str">
        <f t="shared" si="8"/>
        <v>DEIRDRE GAUDEN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3" s="10" customFormat="1" x14ac:dyDescent="0.2">
      <c r="A71" s="4" t="s">
        <v>42</v>
      </c>
      <c r="B71" s="2">
        <v>371819</v>
      </c>
      <c r="C71" s="4" t="s">
        <v>56</v>
      </c>
      <c r="D71" s="4" t="s">
        <v>57</v>
      </c>
      <c r="E71" s="3">
        <v>45962</v>
      </c>
      <c r="F71" s="4" t="s">
        <v>49</v>
      </c>
      <c r="G71" s="4" t="s">
        <v>51</v>
      </c>
      <c r="H71" s="4" t="s">
        <v>52</v>
      </c>
      <c r="I71" s="5">
        <v>-0.17</v>
      </c>
      <c r="J71" s="5">
        <v>-1</v>
      </c>
      <c r="K71" s="5">
        <v>-52.17</v>
      </c>
      <c r="L71" s="4" t="s">
        <v>53</v>
      </c>
      <c r="M71" s="3">
        <v>45962</v>
      </c>
      <c r="N71" t="s">
        <v>260</v>
      </c>
      <c r="O71" t="s">
        <v>265</v>
      </c>
      <c r="P71"/>
      <c r="Q71" s="4" t="s">
        <v>57</v>
      </c>
      <c r="R71" t="str">
        <f t="shared" si="7"/>
        <v>00024021738K6</v>
      </c>
      <c r="S71" s="4" t="s">
        <v>327</v>
      </c>
      <c r="T71" t="s">
        <v>328</v>
      </c>
      <c r="U71" t="str">
        <f t="shared" si="8"/>
        <v>JAMES CASTLEBERRY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3" s="15" customFormat="1" x14ac:dyDescent="0.2">
      <c r="A72" s="4" t="s">
        <v>42</v>
      </c>
      <c r="B72" s="2">
        <v>371819</v>
      </c>
      <c r="C72" s="4" t="s">
        <v>59</v>
      </c>
      <c r="D72" s="4" t="s">
        <v>60</v>
      </c>
      <c r="E72" s="3">
        <v>45992</v>
      </c>
      <c r="F72" s="4" t="s">
        <v>62</v>
      </c>
      <c r="G72" s="4" t="s">
        <v>51</v>
      </c>
      <c r="H72" s="4" t="s">
        <v>52</v>
      </c>
      <c r="I72" s="5">
        <v>0.08</v>
      </c>
      <c r="J72" s="5">
        <v>1</v>
      </c>
      <c r="K72" s="5">
        <v>26.08</v>
      </c>
      <c r="L72" s="4" t="s">
        <v>53</v>
      </c>
      <c r="M72" s="3">
        <v>45992</v>
      </c>
      <c r="N72" t="s">
        <v>260</v>
      </c>
      <c r="O72" t="s">
        <v>263</v>
      </c>
      <c r="P72"/>
      <c r="Q72" s="4" t="s">
        <v>60</v>
      </c>
      <c r="R72" t="str">
        <f t="shared" si="7"/>
        <v>00024469640K6</v>
      </c>
      <c r="S72" s="4" t="s">
        <v>333</v>
      </c>
      <c r="T72" t="s">
        <v>334</v>
      </c>
      <c r="U72" t="str">
        <f t="shared" si="8"/>
        <v>KATHLEEN DEERE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3" s="15" customFormat="1" x14ac:dyDescent="0.2">
      <c r="A73" s="4" t="s">
        <v>42</v>
      </c>
      <c r="B73" s="2">
        <v>371819</v>
      </c>
      <c r="C73" s="4" t="s">
        <v>43</v>
      </c>
      <c r="D73" s="4" t="s">
        <v>44</v>
      </c>
      <c r="E73" s="3">
        <v>45962</v>
      </c>
      <c r="F73" s="4" t="s">
        <v>49</v>
      </c>
      <c r="G73" s="4" t="s">
        <v>51</v>
      </c>
      <c r="H73" s="4" t="s">
        <v>52</v>
      </c>
      <c r="I73" s="5">
        <v>0.17</v>
      </c>
      <c r="J73" s="5">
        <v>1</v>
      </c>
      <c r="K73" s="5">
        <v>52.17</v>
      </c>
      <c r="L73" s="4" t="s">
        <v>53</v>
      </c>
      <c r="M73" s="3">
        <v>45962</v>
      </c>
      <c r="N73" t="s">
        <v>260</v>
      </c>
      <c r="O73" t="s">
        <v>265</v>
      </c>
      <c r="P73"/>
      <c r="Q73" s="4" t="s">
        <v>44</v>
      </c>
      <c r="R73" t="str">
        <f t="shared" si="7"/>
        <v>00023998143K6</v>
      </c>
      <c r="S73" s="4" t="s">
        <v>355</v>
      </c>
      <c r="T73" t="s">
        <v>356</v>
      </c>
      <c r="U73" t="str">
        <f t="shared" si="8"/>
        <v>KAREN MOHOI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3" s="15" customFormat="1" x14ac:dyDescent="0.2">
      <c r="A74" s="4" t="s">
        <v>135</v>
      </c>
      <c r="B74" s="2">
        <v>9213293</v>
      </c>
      <c r="C74" s="4" t="s">
        <v>136</v>
      </c>
      <c r="D74" s="4" t="s">
        <v>137</v>
      </c>
      <c r="E74" s="3">
        <v>45962</v>
      </c>
      <c r="F74" s="4" t="s">
        <v>49</v>
      </c>
      <c r="G74" s="4" t="s">
        <v>51</v>
      </c>
      <c r="H74" s="4" t="s">
        <v>88</v>
      </c>
      <c r="I74" s="5">
        <v>0.17</v>
      </c>
      <c r="J74" s="5">
        <v>1</v>
      </c>
      <c r="K74" s="5">
        <v>52.17</v>
      </c>
      <c r="L74" s="4" t="s">
        <v>53</v>
      </c>
      <c r="M74" s="3">
        <v>45962</v>
      </c>
      <c r="N74" t="s">
        <v>260</v>
      </c>
      <c r="O74" t="s">
        <v>265</v>
      </c>
      <c r="P74"/>
      <c r="Q74" s="4" t="s">
        <v>137</v>
      </c>
      <c r="R74" t="str">
        <f t="shared" si="7"/>
        <v>00012207253K6</v>
      </c>
      <c r="S74" s="4" t="s">
        <v>357</v>
      </c>
      <c r="T74" t="s">
        <v>358</v>
      </c>
      <c r="U74" t="str">
        <f t="shared" si="8"/>
        <v>REYNATO GUEVARRA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s="15" customFormat="1" x14ac:dyDescent="0.2">
      <c r="A75" s="4" t="s">
        <v>135</v>
      </c>
      <c r="B75" s="2">
        <v>9213293</v>
      </c>
      <c r="C75" s="4" t="s">
        <v>139</v>
      </c>
      <c r="D75" s="4" t="s">
        <v>140</v>
      </c>
      <c r="E75" s="3">
        <v>45962</v>
      </c>
      <c r="F75" s="4" t="s">
        <v>49</v>
      </c>
      <c r="G75" s="4" t="s">
        <v>51</v>
      </c>
      <c r="H75" s="4" t="s">
        <v>88</v>
      </c>
      <c r="I75" s="5">
        <v>0.17</v>
      </c>
      <c r="J75" s="5">
        <v>1</v>
      </c>
      <c r="K75" s="5">
        <v>52.17</v>
      </c>
      <c r="L75" s="4" t="s">
        <v>53</v>
      </c>
      <c r="M75" s="3">
        <v>45962</v>
      </c>
      <c r="N75" t="s">
        <v>260</v>
      </c>
      <c r="O75" t="s">
        <v>265</v>
      </c>
      <c r="P75"/>
      <c r="Q75" s="4" t="s">
        <v>140</v>
      </c>
      <c r="R75" t="str">
        <f t="shared" si="7"/>
        <v>00012224395K6</v>
      </c>
      <c r="S75" s="4" t="s">
        <v>357</v>
      </c>
      <c r="T75" t="s">
        <v>359</v>
      </c>
      <c r="U75" t="str">
        <f t="shared" si="8"/>
        <v>ZOILA GUEVARRA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s="15" customFormat="1" x14ac:dyDescent="0.2">
      <c r="A76" s="4" t="s">
        <v>135</v>
      </c>
      <c r="B76" s="2">
        <v>9213293</v>
      </c>
      <c r="C76" s="4" t="s">
        <v>142</v>
      </c>
      <c r="D76" s="4" t="s">
        <v>143</v>
      </c>
      <c r="E76" s="3">
        <v>45962</v>
      </c>
      <c r="F76" s="4" t="s">
        <v>49</v>
      </c>
      <c r="G76" s="4" t="s">
        <v>51</v>
      </c>
      <c r="H76" s="4" t="s">
        <v>88</v>
      </c>
      <c r="I76" s="5">
        <v>0.17</v>
      </c>
      <c r="J76" s="5">
        <v>1</v>
      </c>
      <c r="K76" s="5">
        <v>52.17</v>
      </c>
      <c r="L76" s="4" t="s">
        <v>53</v>
      </c>
      <c r="M76" s="3">
        <v>45962</v>
      </c>
      <c r="N76" t="s">
        <v>260</v>
      </c>
      <c r="O76" t="s">
        <v>265</v>
      </c>
      <c r="P76"/>
      <c r="Q76" s="4" t="s">
        <v>143</v>
      </c>
      <c r="R76" t="str">
        <f t="shared" si="7"/>
        <v>00024490231K6</v>
      </c>
      <c r="S76" s="4" t="s">
        <v>360</v>
      </c>
      <c r="T76" t="s">
        <v>361</v>
      </c>
      <c r="U76" t="str">
        <f t="shared" si="8"/>
        <v>PATRICK MURRAY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s="15" customFormat="1" x14ac:dyDescent="0.2">
      <c r="A77" s="4" t="s">
        <v>145</v>
      </c>
      <c r="B77" s="2">
        <v>19200754</v>
      </c>
      <c r="C77" s="4" t="s">
        <v>146</v>
      </c>
      <c r="D77" s="4" t="s">
        <v>147</v>
      </c>
      <c r="E77" s="3">
        <v>45992</v>
      </c>
      <c r="F77" s="4" t="s">
        <v>62</v>
      </c>
      <c r="G77" s="4" t="s">
        <v>51</v>
      </c>
      <c r="H77" s="4" t="s">
        <v>88</v>
      </c>
      <c r="I77" s="5">
        <v>-0.08</v>
      </c>
      <c r="J77" s="5">
        <v>-1</v>
      </c>
      <c r="K77" s="5">
        <v>-26.08</v>
      </c>
      <c r="L77" s="4" t="s">
        <v>53</v>
      </c>
      <c r="M77" s="3">
        <v>45992</v>
      </c>
      <c r="N77" t="s">
        <v>260</v>
      </c>
      <c r="O77" t="s">
        <v>263</v>
      </c>
      <c r="P77"/>
      <c r="Q77" s="4" t="s">
        <v>147</v>
      </c>
      <c r="R77" t="str">
        <f t="shared" si="7"/>
        <v>00024308702K6</v>
      </c>
      <c r="S77" s="4" t="s">
        <v>331</v>
      </c>
      <c r="T77" t="s">
        <v>332</v>
      </c>
      <c r="U77" t="str">
        <f t="shared" si="8"/>
        <v>LYNN PUANGCO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3" x14ac:dyDescent="0.2">
      <c r="A78" s="4" t="s">
        <v>145</v>
      </c>
      <c r="B78" s="2">
        <v>19200754</v>
      </c>
      <c r="C78" s="4" t="s">
        <v>149</v>
      </c>
      <c r="D78" s="4" t="s">
        <v>150</v>
      </c>
      <c r="E78" s="3">
        <v>45962</v>
      </c>
      <c r="F78" s="4" t="s">
        <v>49</v>
      </c>
      <c r="G78" s="4" t="s">
        <v>51</v>
      </c>
      <c r="H78" s="4" t="s">
        <v>88</v>
      </c>
      <c r="I78" s="5">
        <v>0.17</v>
      </c>
      <c r="J78" s="5">
        <v>1</v>
      </c>
      <c r="K78" s="5">
        <v>52.17</v>
      </c>
      <c r="L78" s="4" t="s">
        <v>53</v>
      </c>
      <c r="M78" s="3">
        <v>45962</v>
      </c>
      <c r="N78" t="s">
        <v>260</v>
      </c>
      <c r="O78" t="s">
        <v>265</v>
      </c>
      <c r="Q78" s="4" t="s">
        <v>150</v>
      </c>
      <c r="R78" t="str">
        <f t="shared" si="7"/>
        <v>00024478150K6</v>
      </c>
      <c r="S78" s="4" t="s">
        <v>362</v>
      </c>
      <c r="T78" t="s">
        <v>363</v>
      </c>
      <c r="U78" t="str">
        <f t="shared" si="8"/>
        <v>RUTH LINDO</v>
      </c>
    </row>
    <row r="79" spans="1:43" x14ac:dyDescent="0.2">
      <c r="A79" s="4" t="s">
        <v>77</v>
      </c>
      <c r="B79" s="2">
        <v>8307933</v>
      </c>
      <c r="C79" s="4" t="s">
        <v>78</v>
      </c>
      <c r="D79" s="4" t="s">
        <v>79</v>
      </c>
      <c r="E79" s="3">
        <v>45962</v>
      </c>
      <c r="F79" s="4" t="s">
        <v>49</v>
      </c>
      <c r="G79" s="4" t="s">
        <v>51</v>
      </c>
      <c r="H79" s="4" t="s">
        <v>52</v>
      </c>
      <c r="I79" s="5">
        <v>1</v>
      </c>
      <c r="J79" s="5">
        <v>1</v>
      </c>
      <c r="K79" s="5">
        <v>26.08</v>
      </c>
      <c r="L79" s="4" t="s">
        <v>82</v>
      </c>
      <c r="M79" s="3">
        <v>45292</v>
      </c>
      <c r="N79" t="s">
        <v>260</v>
      </c>
      <c r="O79" t="s">
        <v>263</v>
      </c>
      <c r="Q79" s="4" t="s">
        <v>79</v>
      </c>
      <c r="R79" t="str">
        <f t="shared" si="7"/>
        <v>00020971174K6</v>
      </c>
      <c r="S79" s="4" t="s">
        <v>348</v>
      </c>
      <c r="T79" t="s">
        <v>284</v>
      </c>
      <c r="U79" t="str">
        <f t="shared" si="8"/>
        <v>JOHN ROSS</v>
      </c>
      <c r="AQ79" s="15"/>
    </row>
    <row r="80" spans="1:43" x14ac:dyDescent="0.2">
      <c r="A80" s="4" t="s">
        <v>93</v>
      </c>
      <c r="B80" s="2">
        <v>8325282</v>
      </c>
      <c r="C80" s="4" t="s">
        <v>94</v>
      </c>
      <c r="D80" s="4" t="s">
        <v>95</v>
      </c>
      <c r="E80" s="3">
        <v>45962</v>
      </c>
      <c r="F80" s="4" t="s">
        <v>49</v>
      </c>
      <c r="G80" s="4" t="s">
        <v>51</v>
      </c>
      <c r="H80" s="4" t="s">
        <v>52</v>
      </c>
      <c r="I80" s="5">
        <v>1</v>
      </c>
      <c r="J80" s="5">
        <v>1</v>
      </c>
      <c r="K80" s="5">
        <v>26.08</v>
      </c>
      <c r="L80" s="4" t="s">
        <v>82</v>
      </c>
      <c r="M80" s="3">
        <v>45627</v>
      </c>
      <c r="N80" t="s">
        <v>260</v>
      </c>
      <c r="O80" t="s">
        <v>263</v>
      </c>
      <c r="Q80" s="4" t="s">
        <v>95</v>
      </c>
      <c r="R80" t="str">
        <f t="shared" si="7"/>
        <v>00022235665K6</v>
      </c>
      <c r="S80" s="4" t="s">
        <v>349</v>
      </c>
      <c r="T80" t="s">
        <v>350</v>
      </c>
      <c r="U80" t="str">
        <f t="shared" si="8"/>
        <v>ROBIN DIEDERICH</v>
      </c>
      <c r="AQ80" s="15"/>
    </row>
    <row r="81" spans="1:43" x14ac:dyDescent="0.2">
      <c r="A81" s="4" t="s">
        <v>97</v>
      </c>
      <c r="B81" s="2">
        <v>16633294</v>
      </c>
      <c r="C81" s="4" t="s">
        <v>98</v>
      </c>
      <c r="D81" s="4" t="s">
        <v>99</v>
      </c>
      <c r="E81" s="3">
        <v>45992</v>
      </c>
      <c r="F81" s="4" t="s">
        <v>62</v>
      </c>
      <c r="G81" s="4" t="s">
        <v>51</v>
      </c>
      <c r="H81" s="4" t="s">
        <v>88</v>
      </c>
      <c r="I81" s="5">
        <v>0.08</v>
      </c>
      <c r="J81" s="5">
        <v>1</v>
      </c>
      <c r="K81" s="5">
        <v>26.08</v>
      </c>
      <c r="L81" s="4" t="s">
        <v>53</v>
      </c>
      <c r="M81" s="3">
        <v>45992</v>
      </c>
      <c r="N81" t="s">
        <v>260</v>
      </c>
      <c r="O81" t="s">
        <v>263</v>
      </c>
      <c r="Q81" s="4" t="s">
        <v>99</v>
      </c>
      <c r="R81" t="str">
        <f t="shared" si="7"/>
        <v>00024672069K6</v>
      </c>
      <c r="S81" s="4" t="s">
        <v>344</v>
      </c>
      <c r="T81" t="s">
        <v>345</v>
      </c>
      <c r="U81" t="str">
        <f t="shared" si="8"/>
        <v>NEMR AOUN</v>
      </c>
      <c r="AQ81" s="10"/>
    </row>
  </sheetData>
  <sortState xmlns:xlrd2="http://schemas.microsoft.com/office/spreadsheetml/2017/richdata2" ref="A2:AQ81">
    <sortCondition ref="N2:N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2F10-04ED-4E3C-8A72-395CFA45D980}">
  <dimension ref="A1:M5"/>
  <sheetViews>
    <sheetView tabSelected="1" workbookViewId="0">
      <selection activeCell="A2" sqref="A2:XFD5"/>
    </sheetView>
  </sheetViews>
  <sheetFormatPr defaultRowHeight="12.75" x14ac:dyDescent="0.2"/>
  <cols>
    <col min="3" max="3" width="21.85546875" bestFit="1" customWidth="1"/>
    <col min="4" max="4" width="13.42578125" bestFit="1" customWidth="1"/>
    <col min="7" max="7" width="10.7109375" bestFit="1" customWidth="1"/>
    <col min="12" max="12" width="34.28515625" bestFit="1" customWidth="1"/>
  </cols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s="22" customFormat="1" x14ac:dyDescent="0.2">
      <c r="A2" s="18" t="s">
        <v>190</v>
      </c>
      <c r="B2" s="19">
        <v>1545980</v>
      </c>
      <c r="C2" s="18" t="s">
        <v>191</v>
      </c>
      <c r="D2" s="18" t="s">
        <v>192</v>
      </c>
      <c r="E2" s="20">
        <v>45962</v>
      </c>
      <c r="F2" s="18" t="s">
        <v>49</v>
      </c>
      <c r="G2" s="18" t="s">
        <v>51</v>
      </c>
      <c r="H2" s="18" t="s">
        <v>46</v>
      </c>
      <c r="I2" s="21">
        <v>15</v>
      </c>
      <c r="J2" s="21">
        <v>1622.64</v>
      </c>
      <c r="K2" s="21">
        <v>243.36</v>
      </c>
      <c r="L2" s="18" t="s">
        <v>193</v>
      </c>
      <c r="M2" s="20">
        <v>45962</v>
      </c>
    </row>
    <row r="3" spans="1:13" s="22" customFormat="1" x14ac:dyDescent="0.2">
      <c r="A3" s="18" t="s">
        <v>190</v>
      </c>
      <c r="B3" s="19">
        <v>1545980</v>
      </c>
      <c r="C3" s="18" t="s">
        <v>195</v>
      </c>
      <c r="D3" s="18" t="s">
        <v>196</v>
      </c>
      <c r="E3" s="20">
        <v>45962</v>
      </c>
      <c r="F3" s="18" t="s">
        <v>49</v>
      </c>
      <c r="G3" s="18" t="s">
        <v>51</v>
      </c>
      <c r="H3" s="18" t="s">
        <v>46</v>
      </c>
      <c r="I3" s="21">
        <v>15</v>
      </c>
      <c r="J3" s="21">
        <v>2290.92</v>
      </c>
      <c r="K3" s="21">
        <v>343.68</v>
      </c>
      <c r="L3" s="18" t="s">
        <v>193</v>
      </c>
      <c r="M3" s="20">
        <v>45962</v>
      </c>
    </row>
    <row r="4" spans="1:13" s="22" customFormat="1" x14ac:dyDescent="0.2">
      <c r="A4" s="18" t="s">
        <v>190</v>
      </c>
      <c r="B4" s="19">
        <v>1545980</v>
      </c>
      <c r="C4" s="18" t="s">
        <v>197</v>
      </c>
      <c r="D4" s="18" t="s">
        <v>198</v>
      </c>
      <c r="E4" s="20">
        <v>45962</v>
      </c>
      <c r="F4" s="18" t="s">
        <v>49</v>
      </c>
      <c r="G4" s="18" t="s">
        <v>51</v>
      </c>
      <c r="H4" s="18" t="s">
        <v>46</v>
      </c>
      <c r="I4" s="21">
        <v>15</v>
      </c>
      <c r="J4" s="21">
        <v>2110.08</v>
      </c>
      <c r="K4" s="21">
        <v>316.56</v>
      </c>
      <c r="L4" s="18" t="s">
        <v>193</v>
      </c>
      <c r="M4" s="20">
        <v>45962</v>
      </c>
    </row>
    <row r="5" spans="1:13" s="22" customFormat="1" x14ac:dyDescent="0.2">
      <c r="A5" s="18" t="s">
        <v>225</v>
      </c>
      <c r="B5" s="19">
        <v>1775329</v>
      </c>
      <c r="C5" s="18" t="s">
        <v>226</v>
      </c>
      <c r="D5" s="18" t="s">
        <v>227</v>
      </c>
      <c r="E5" s="20">
        <v>45962</v>
      </c>
      <c r="F5" s="18" t="s">
        <v>49</v>
      </c>
      <c r="G5" s="18" t="s">
        <v>51</v>
      </c>
      <c r="H5" s="18" t="s">
        <v>46</v>
      </c>
      <c r="I5" s="21">
        <v>15</v>
      </c>
      <c r="J5" s="21">
        <v>1571.4</v>
      </c>
      <c r="K5" s="21">
        <v>235.68</v>
      </c>
      <c r="L5" s="18" t="s">
        <v>193</v>
      </c>
      <c r="M5" s="20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2025-11-18T21:51:17Z</dcterms:created>
  <dcterms:modified xsi:type="dcterms:W3CDTF">2025-11-20T19:14:16Z</dcterms:modified>
</cp:coreProperties>
</file>