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2-12-25\"/>
    </mc:Choice>
  </mc:AlternateContent>
  <xr:revisionPtr revIDLastSave="0" documentId="13_ncr:1_{CBB4B606-992F-4AE2-9A84-E2124631567B}" xr6:coauthVersionLast="47" xr6:coauthVersionMax="47" xr10:uidLastSave="{00000000-0000-0000-0000-000000000000}"/>
  <bookViews>
    <workbookView xWindow="28695" yWindow="0" windowWidth="14610" windowHeight="16305" activeTab="1" xr2:uid="{8CC265E5-FFDA-D649-AF79-61D889170CEC}"/>
  </bookViews>
  <sheets>
    <sheet name="CommissionData_1" sheetId="1" r:id="rId1"/>
    <sheet name="Sheet1" sheetId="2" r:id="rId2"/>
    <sheet name="Sheet3" sheetId="4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3" l="1"/>
  <c r="H38" i="3"/>
  <c r="H35" i="3"/>
  <c r="H34" i="3"/>
  <c r="H33" i="3"/>
  <c r="H32" i="3"/>
  <c r="H31" i="3"/>
  <c r="H26" i="3"/>
  <c r="H25" i="3"/>
  <c r="H24" i="3"/>
  <c r="H23" i="3"/>
  <c r="H22" i="3"/>
  <c r="H21" i="3"/>
  <c r="H20" i="3"/>
  <c r="H1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" i="3"/>
  <c r="B37" i="3"/>
  <c r="B36" i="3"/>
  <c r="B30" i="3"/>
  <c r="B29" i="3"/>
  <c r="B28" i="3"/>
  <c r="B27" i="3"/>
  <c r="B18" i="3"/>
  <c r="B17" i="3"/>
  <c r="B16" i="3"/>
  <c r="B8" i="3"/>
  <c r="B6" i="3"/>
  <c r="B5" i="3"/>
  <c r="B4" i="3"/>
  <c r="B3" i="3"/>
  <c r="B39" i="3"/>
  <c r="B38" i="3"/>
  <c r="B35" i="3"/>
  <c r="B34" i="3"/>
  <c r="B33" i="3"/>
  <c r="B32" i="3"/>
  <c r="B31" i="3"/>
  <c r="B24" i="3"/>
  <c r="B23" i="3"/>
  <c r="B22" i="3"/>
  <c r="B21" i="3"/>
  <c r="B20" i="3"/>
  <c r="B15" i="3"/>
  <c r="B14" i="3"/>
  <c r="B13" i="3"/>
  <c r="B12" i="3"/>
  <c r="B11" i="3"/>
  <c r="B10" i="3"/>
  <c r="B9" i="3"/>
  <c r="B7" i="3"/>
  <c r="B2" i="3"/>
  <c r="B1" i="3"/>
</calcChain>
</file>

<file path=xl/sharedStrings.xml><?xml version="1.0" encoding="utf-8"?>
<sst xmlns="http://schemas.openxmlformats.org/spreadsheetml/2006/main" count="1812" uniqueCount="315">
  <si>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</si>
  <si>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</si>
  <si>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</si>
  <si>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</si>
  <si>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</si>
  <si>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</si>
  <si>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</si>
  <si>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</si>
  <si>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</si>
  <si>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</si>
  <si>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</si>
  <si>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</si>
  <si>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</si>
  <si>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</si>
  <si>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</si>
  <si>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</si>
  <si>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</si>
  <si>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</si>
  <si>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</si>
  <si>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</si>
  <si>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</si>
  <si>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</si>
  <si>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</si>
  <si>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</si>
  <si>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</si>
  <si>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</si>
  <si>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</si>
  <si>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</si>
  <si>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</si>
  <si>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</si>
  <si>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</si>
  <si>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</si>
  <si>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</si>
  <si>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</si>
  <si>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</si>
  <si>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</si>
  <si>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</si>
  <si>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</si>
  <si>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</si>
  <si>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</si>
  <si>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</si>
  <si>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</si>
  <si>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</si>
  <si>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BEDARD JANICE F</t>
  </si>
  <si>
    <t>00023090352K</t>
  </si>
  <si>
    <t>8UG6WW3QF48</t>
  </si>
  <si>
    <t/>
  </si>
  <si>
    <t>MA</t>
  </si>
  <si>
    <t>LV</t>
  </si>
  <si>
    <t>MAR</t>
  </si>
  <si>
    <t>F</t>
  </si>
  <si>
    <t>MEDICARE</t>
  </si>
  <si>
    <t>MER</t>
  </si>
  <si>
    <t>FIRST YEAR COMMISSIONS</t>
  </si>
  <si>
    <t>ARCF</t>
  </si>
  <si>
    <t>H1468</t>
  </si>
  <si>
    <t>TEIPEL GREGORY K</t>
  </si>
  <si>
    <t>STANGL MARLA Y</t>
  </si>
  <si>
    <t>00023070047K</t>
  </si>
  <si>
    <t>8VC7VW6RP31</t>
  </si>
  <si>
    <t>MAY</t>
  </si>
  <si>
    <t>MEP</t>
  </si>
  <si>
    <t>H5216</t>
  </si>
  <si>
    <t>ESTELLE JERRI</t>
  </si>
  <si>
    <t>00023070900K</t>
  </si>
  <si>
    <t>6KY6WF9XG73</t>
  </si>
  <si>
    <t>APR</t>
  </si>
  <si>
    <t>BARNETT SUSAN S</t>
  </si>
  <si>
    <t>00023087793K</t>
  </si>
  <si>
    <t>9NX3KV9UJ83</t>
  </si>
  <si>
    <t>HUNSBERGER ANTHONY J</t>
  </si>
  <si>
    <t>SHYAM PRINCY</t>
  </si>
  <si>
    <t>00022542308K</t>
  </si>
  <si>
    <t>7FD7GD5AX59</t>
  </si>
  <si>
    <t>JAN</t>
  </si>
  <si>
    <t>WALENGA DALE J</t>
  </si>
  <si>
    <t>DUPUIS SUSAN</t>
  </si>
  <si>
    <t>00022575947K</t>
  </si>
  <si>
    <t>5XN9R79GJ26</t>
  </si>
  <si>
    <t>YALE RICHARD A A</t>
  </si>
  <si>
    <t>FOSTER ROBERT D</t>
  </si>
  <si>
    <t>00022502198K</t>
  </si>
  <si>
    <t>8FQ6QG4VG46</t>
  </si>
  <si>
    <t>FOSTER LEONA M</t>
  </si>
  <si>
    <t>00022512039K</t>
  </si>
  <si>
    <t>2YV1M15MV91</t>
  </si>
  <si>
    <t>HANSFORD GREGORY</t>
  </si>
  <si>
    <t>HAMPTON JOHN O</t>
  </si>
  <si>
    <t>00023073086K</t>
  </si>
  <si>
    <t>1J97AV7MG33</t>
  </si>
  <si>
    <t>FEB</t>
  </si>
  <si>
    <t>JONES JACQUALINE M</t>
  </si>
  <si>
    <t>00023077340K</t>
  </si>
  <si>
    <t>9N39JK4KF36</t>
  </si>
  <si>
    <t>HERRERA-LARSEN ESTHER M</t>
  </si>
  <si>
    <t>ABDUL FARMER KAREEMA</t>
  </si>
  <si>
    <t>00021880649K</t>
  </si>
  <si>
    <t>2KE5KW0XQ64</t>
  </si>
  <si>
    <t>FOLEY CAROL</t>
  </si>
  <si>
    <t>WEISSMAN TERI A</t>
  </si>
  <si>
    <t>00022123171K</t>
  </si>
  <si>
    <t>2C85M69VF81</t>
  </si>
  <si>
    <t>HENRY MARGARET A</t>
  </si>
  <si>
    <t>00022208015K</t>
  </si>
  <si>
    <t>3AF7PR4RT66</t>
  </si>
  <si>
    <t>PORTUGAL GARY</t>
  </si>
  <si>
    <t>LOPOTKO NANCY E</t>
  </si>
  <si>
    <t>00019923594K</t>
  </si>
  <si>
    <t>2YA2E84RH05</t>
  </si>
  <si>
    <t>ZAFIRIADIS PIEDAD</t>
  </si>
  <si>
    <t>00022005272K</t>
  </si>
  <si>
    <t>8G47WT0AK41</t>
  </si>
  <si>
    <t>WILLIES KAY F</t>
  </si>
  <si>
    <t>00023072316K</t>
  </si>
  <si>
    <t>5DG0MR3NQ26</t>
  </si>
  <si>
    <t>STOLTZ JENNIFER L</t>
  </si>
  <si>
    <t>00023083207K</t>
  </si>
  <si>
    <t>3QY3H31EH94</t>
  </si>
  <si>
    <t>YALE JACOB D</t>
  </si>
  <si>
    <t>LAPETINA JULIANNE</t>
  </si>
  <si>
    <t>00023086320K</t>
  </si>
  <si>
    <t>5C43NM2XP03</t>
  </si>
  <si>
    <t>ABDUL SAADIA S</t>
  </si>
  <si>
    <t>HUSSAINI ZAREEFUNNISA S</t>
  </si>
  <si>
    <t>00021502269K</t>
  </si>
  <si>
    <t>7CP2CM1DW07</t>
  </si>
  <si>
    <t>HUSSAINI SYED S</t>
  </si>
  <si>
    <t>00021505553K</t>
  </si>
  <si>
    <t>8YU3GE0UR87</t>
  </si>
  <si>
    <t>DUNAVANT MICHAEL</t>
  </si>
  <si>
    <t>PHILLIPS DEBRA S</t>
  </si>
  <si>
    <t>00023071289K</t>
  </si>
  <si>
    <t>8NQ7J58EN31</t>
  </si>
  <si>
    <t>PORTUGAL STACEY A</t>
  </si>
  <si>
    <t>POLLARD MICHAEL D</t>
  </si>
  <si>
    <t>00023069230K</t>
  </si>
  <si>
    <t>7PJ1WT5KD08</t>
  </si>
  <si>
    <t>DEATON PAMELA S</t>
  </si>
  <si>
    <t>Young Joanna</t>
  </si>
  <si>
    <t>9028406240</t>
  </si>
  <si>
    <t>IN</t>
  </si>
  <si>
    <t>CB</t>
  </si>
  <si>
    <t>R</t>
  </si>
  <si>
    <t>VISION</t>
  </si>
  <si>
    <t>COMPBENEFITS RENEWAL COMMISSION</t>
  </si>
  <si>
    <t>CRCM</t>
  </si>
  <si>
    <t>Dornbierer Christie</t>
  </si>
  <si>
    <t>9029611520</t>
  </si>
  <si>
    <t>COMPBENEFITS FIRST YEAR COMMISSION</t>
  </si>
  <si>
    <t>CRCF</t>
  </si>
  <si>
    <t>Ward Christopher</t>
  </si>
  <si>
    <t>9029691910</t>
  </si>
  <si>
    <t>DENTAL</t>
  </si>
  <si>
    <t>9029691920</t>
  </si>
  <si>
    <t>TATRO MELISSA</t>
  </si>
  <si>
    <t>KOGUT  AND WILSON LLC</t>
  </si>
  <si>
    <t>000000416672</t>
  </si>
  <si>
    <t>GR</t>
  </si>
  <si>
    <t>EM</t>
  </si>
  <si>
    <t>LEE JOEL N</t>
  </si>
  <si>
    <t>WORLDWIDE SOURCING AND SO</t>
  </si>
  <si>
    <t>000000853911</t>
  </si>
  <si>
    <t>RENEWAL COMMISSIONS</t>
  </si>
  <si>
    <t>ARCM</t>
  </si>
  <si>
    <t>RICHTER ADAM J</t>
  </si>
  <si>
    <t>SIMS CHARLES</t>
  </si>
  <si>
    <t>00000957662A</t>
  </si>
  <si>
    <t>MS</t>
  </si>
  <si>
    <t>MED SUPP ANNUALIZED STANDARD</t>
  </si>
  <si>
    <t>MSAS</t>
  </si>
  <si>
    <t>WHITE BRUCE</t>
  </si>
  <si>
    <t>00000959227A</t>
  </si>
  <si>
    <t>NC CAPITAL PARTERS LLC</t>
  </si>
  <si>
    <t>000000413180</t>
  </si>
  <si>
    <t>BASIC LIFE</t>
  </si>
  <si>
    <t>BASIC AD&amp;D</t>
  </si>
  <si>
    <t>MAX RONALD J</t>
  </si>
  <si>
    <t>MISKIMON KAREN L</t>
  </si>
  <si>
    <t>00000957015A</t>
  </si>
  <si>
    <t>Green Patti</t>
  </si>
  <si>
    <t>9029455080</t>
  </si>
  <si>
    <t>KOZACHECK ANNE MARIE</t>
  </si>
  <si>
    <t>Ferrari Massimo</t>
  </si>
  <si>
    <t>9030047190</t>
  </si>
  <si>
    <t>[%/$=313][prorate=12/12]</t>
  </si>
  <si>
    <t>[%/$=313][prorate=10/12]</t>
  </si>
  <si>
    <t>[%/$=313][prorate=11/12]</t>
  </si>
  <si>
    <t>[%/$=313][prorate=9/12]</t>
  </si>
  <si>
    <t>[%/$=313][prorate=8/12]</t>
  </si>
  <si>
    <t>Humana MAPD 2025*</t>
  </si>
  <si>
    <t>Humana Dental &amp; Vision</t>
  </si>
  <si>
    <t>Humana 81+ AL, AZ, AR, GA, etc. All Except N OE &amp; UW</t>
  </si>
  <si>
    <t>Humana 65-80 AL, AZ, AR, GA, etc. All Except N OE &amp; UW</t>
  </si>
  <si>
    <t>Humana PA STD Core &amp; Value OE and UW U65</t>
  </si>
  <si>
    <t>18828278SUB2</t>
  </si>
  <si>
    <t>00021502269K6</t>
  </si>
  <si>
    <t>00021505553K6</t>
  </si>
  <si>
    <t>00023071289K6</t>
  </si>
  <si>
    <t>00022208015K6</t>
  </si>
  <si>
    <t>00022123171K6</t>
  </si>
  <si>
    <t>00023073086K6</t>
  </si>
  <si>
    <t>00023077340K6</t>
  </si>
  <si>
    <t>00021880649K6</t>
  </si>
  <si>
    <t>00023090352K6</t>
  </si>
  <si>
    <t>00022542308K6</t>
  </si>
  <si>
    <t>00022005272K6</t>
  </si>
  <si>
    <t>00023072316K6</t>
  </si>
  <si>
    <t>00023083207K6</t>
  </si>
  <si>
    <t>00019923594K6</t>
  </si>
  <si>
    <t>00023069230K6</t>
  </si>
  <si>
    <t>00023070047K6</t>
  </si>
  <si>
    <t>00023070900K6</t>
  </si>
  <si>
    <t>00023087793K6</t>
  </si>
  <si>
    <t>00022575947K6</t>
  </si>
  <si>
    <t>00023086320K6</t>
  </si>
  <si>
    <t>00022502198K6</t>
  </si>
  <si>
    <t>00022512039K6</t>
  </si>
  <si>
    <t>HUSSAINI</t>
  </si>
  <si>
    <t>ZAREEFUNNISA</t>
  </si>
  <si>
    <t>SYED</t>
  </si>
  <si>
    <t>Young</t>
  </si>
  <si>
    <t>Joanna</t>
  </si>
  <si>
    <t>Dornbierer</t>
  </si>
  <si>
    <t>Christie</t>
  </si>
  <si>
    <t>Ward</t>
  </si>
  <si>
    <t>Christopher</t>
  </si>
  <si>
    <t>PHILLIPS</t>
  </si>
  <si>
    <t>DEBRA</t>
  </si>
  <si>
    <t>Green</t>
  </si>
  <si>
    <t>Patti</t>
  </si>
  <si>
    <t>HENRY</t>
  </si>
  <si>
    <t>MARGARET</t>
  </si>
  <si>
    <t>WEISSMAN</t>
  </si>
  <si>
    <t>TERI</t>
  </si>
  <si>
    <t>HAMPTON</t>
  </si>
  <si>
    <t>JOHN</t>
  </si>
  <si>
    <t>JONES</t>
  </si>
  <si>
    <t>JACQUALINE</t>
  </si>
  <si>
    <t>ABDUL</t>
  </si>
  <si>
    <t>KAREEMA</t>
  </si>
  <si>
    <t>BEDARD</t>
  </si>
  <si>
    <t>JANICE</t>
  </si>
  <si>
    <t>SHYAM</t>
  </si>
  <si>
    <t>PRINCY</t>
  </si>
  <si>
    <t>Ferrari</t>
  </si>
  <si>
    <t>Massimo</t>
  </si>
  <si>
    <t>WORLDWIDE</t>
  </si>
  <si>
    <t>SOURCING</t>
  </si>
  <si>
    <t>AND</t>
  </si>
  <si>
    <t>SO</t>
  </si>
  <si>
    <t>MISKIMON</t>
  </si>
  <si>
    <t>KAREN</t>
  </si>
  <si>
    <t>ZAFIRIADIS</t>
  </si>
  <si>
    <t>PIEDAD</t>
  </si>
  <si>
    <t>WILLIES</t>
  </si>
  <si>
    <t>KAY</t>
  </si>
  <si>
    <t>STOLTZ</t>
  </si>
  <si>
    <t>JENNIFER</t>
  </si>
  <si>
    <t>LOPOTKO</t>
  </si>
  <si>
    <t>NANCY</t>
  </si>
  <si>
    <t>POLLARD</t>
  </si>
  <si>
    <t>MICHAEL</t>
  </si>
  <si>
    <t>SIMS</t>
  </si>
  <si>
    <t>CHARLES</t>
  </si>
  <si>
    <t>WHITE</t>
  </si>
  <si>
    <t>BRUCE</t>
  </si>
  <si>
    <t>KOGUT</t>
  </si>
  <si>
    <t>WILSON</t>
  </si>
  <si>
    <t>LLC</t>
  </si>
  <si>
    <t>STANGL</t>
  </si>
  <si>
    <t>MARLA</t>
  </si>
  <si>
    <t>ESTELLE</t>
  </si>
  <si>
    <t>JERRI</t>
  </si>
  <si>
    <t>BARNETT</t>
  </si>
  <si>
    <t>SUSAN</t>
  </si>
  <si>
    <t>DUPUIS</t>
  </si>
  <si>
    <t>LAPETINA</t>
  </si>
  <si>
    <t>JULIANNE</t>
  </si>
  <si>
    <t>NC</t>
  </si>
  <si>
    <t>CAPITAL</t>
  </si>
  <si>
    <t>PARTERS</t>
  </si>
  <si>
    <t>FOSTER</t>
  </si>
  <si>
    <t>ROBERT</t>
  </si>
  <si>
    <t>LEONA</t>
  </si>
  <si>
    <t>ZAREEFUNNISA HUSSAINI</t>
  </si>
  <si>
    <t>SYED HUSSAINI</t>
  </si>
  <si>
    <t>Joanna Young</t>
  </si>
  <si>
    <t>Christie Dornbierer</t>
  </si>
  <si>
    <t>Christopher Ward</t>
  </si>
  <si>
    <t>DEBRA PHILLIPS</t>
  </si>
  <si>
    <t>Patti Green</t>
  </si>
  <si>
    <t>MARGARET HENRY</t>
  </si>
  <si>
    <t>TERI WEISSMAN</t>
  </si>
  <si>
    <t>JOHN HAMPTON</t>
  </si>
  <si>
    <t>JACQUALINE JONES</t>
  </si>
  <si>
    <t>KAREEMA ABDUL</t>
  </si>
  <si>
    <t>JANICE BEDARD</t>
  </si>
  <si>
    <t>PRINCY SHYAM</t>
  </si>
  <si>
    <t>Massimo Ferrari</t>
  </si>
  <si>
    <t>KAREN MISKIMON</t>
  </si>
  <si>
    <t>PIEDAD ZAFIRIADIS</t>
  </si>
  <si>
    <t>KAY WILLIES</t>
  </si>
  <si>
    <t>JENNIFER STOLTZ</t>
  </si>
  <si>
    <t>NANCY LOPOTKO</t>
  </si>
  <si>
    <t>MICHAEL POLLARD</t>
  </si>
  <si>
    <t>CHARLES SIMS</t>
  </si>
  <si>
    <t>BRUCE WHITE</t>
  </si>
  <si>
    <t>MARLA STANGL</t>
  </si>
  <si>
    <t>JERRI ESTELLE</t>
  </si>
  <si>
    <t>SUSAN BARNETT</t>
  </si>
  <si>
    <t>SUSAN DUPUIS</t>
  </si>
  <si>
    <t>JULIANNE LAPETINA</t>
  </si>
  <si>
    <t>ROBERT FOSTER</t>
  </si>
  <si>
    <t>LEONA FOSTER</t>
  </si>
  <si>
    <t>00022502198K7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</si>
</sst>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19" fillId="33" borderId="0" xfId="0" applyNumberFormat="1" applyFont="1" applyFill="1" applyAlignment="1">
      <alignment horizontal="left" vertical="top"/>
    </xf>
    <xf numFmtId="1" fontId="19" fillId="33" borderId="0" xfId="0" applyNumberFormat="1" applyFont="1" applyFill="1"/>
    <xf numFmtId="14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  <xf numFmtId="0" fontId="0" fillId="33" borderId="0" xfId="0" applyNumberFormat="1" applyFill="1" applyAlignment="1">
      <alignment horizontal="left" vertical="top"/>
    </xf>
    <xf numFmtId="0" fontId="19" fillId="33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19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1B62-0643-0E4D-B985-4E65D3A177D4}">
  <dimension ref="A1:AP42"/>
  <sheetViews>
    <sheetView workbookViewId="0">
      <selection activeCell="E44" sqref="E44"/>
    </sheetView>
  </sheetViews>
  <sheetFormatPr defaultColWidth="11.42578125" defaultRowHeight="12.75" x14ac:dyDescent="0.2"/>
  <cols>
    <col min="1" max="1" width="8.140625" bestFit="1" customWidth="1"/>
    <col min="2" max="2" width="11" bestFit="1" customWidth="1"/>
    <col min="3" max="3" width="21.7109375" bestFit="1" customWidth="1"/>
    <col min="4" max="4" width="8.140625" bestFit="1" customWidth="1"/>
    <col min="5" max="5" width="25" bestFit="1" customWidth="1"/>
    <col min="6" max="6" width="11.7109375" bestFit="1" customWidth="1"/>
    <col min="7" max="7" width="11" bestFit="1" customWidth="1"/>
    <col min="8" max="8" width="9.140625" bestFit="1" customWidth="1"/>
    <col min="9" max="10" width="8.28515625" bestFit="1" customWidth="1"/>
    <col min="11" max="11" width="9.140625" bestFit="1" customWidth="1"/>
    <col min="12" max="12" width="10.140625" bestFit="1" customWidth="1"/>
    <col min="13" max="14" width="10" bestFit="1" customWidth="1"/>
    <col min="15" max="16" width="9.140625" bestFit="1" customWidth="1"/>
    <col min="17" max="17" width="5.140625" bestFit="1" customWidth="1"/>
    <col min="18" max="18" width="13.42578125" bestFit="1" customWidth="1"/>
    <col min="19" max="20" width="13.28515625" bestFit="1" customWidth="1"/>
    <col min="21" max="21" width="10" bestFit="1" customWidth="1"/>
    <col min="22" max="22" width="12.140625" bestFit="1" customWidth="1"/>
    <col min="23" max="23" width="8.42578125" bestFit="1" customWidth="1"/>
    <col min="24" max="24" width="11" bestFit="1" customWidth="1"/>
    <col min="25" max="25" width="13.42578125" bestFit="1" customWidth="1"/>
    <col min="26" max="26" width="12.140625" bestFit="1" customWidth="1"/>
    <col min="27" max="27" width="26.85546875" bestFit="1" customWidth="1"/>
    <col min="28" max="28" width="10" bestFit="1" customWidth="1"/>
    <col min="29" max="29" width="11" bestFit="1" customWidth="1"/>
    <col min="30" max="30" width="9.42578125" bestFit="1" customWidth="1"/>
    <col min="31" max="31" width="8.42578125" bestFit="1" customWidth="1"/>
    <col min="32" max="32" width="12.140625" bestFit="1" customWidth="1"/>
    <col min="33" max="33" width="11.7109375" bestFit="1" customWidth="1"/>
    <col min="34" max="34" width="25" bestFit="1" customWidth="1"/>
    <col min="35" max="35" width="11.7109375" bestFit="1" customWidth="1"/>
    <col min="36" max="36" width="14.140625" bestFit="1" customWidth="1"/>
    <col min="37" max="37" width="14" bestFit="1" customWidth="1"/>
    <col min="38" max="38" width="13.85546875" bestFit="1" customWidth="1"/>
    <col min="39" max="39" width="10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45700</v>
      </c>
      <c r="C2" s="4" t="s">
        <v>42</v>
      </c>
      <c r="D2" s="2">
        <v>1267028</v>
      </c>
      <c r="E2" s="4" t="s">
        <v>43</v>
      </c>
      <c r="F2" s="4" t="s">
        <v>44</v>
      </c>
      <c r="G2" s="2">
        <v>851377293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45717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0.83</v>
      </c>
      <c r="W2" s="5">
        <v>0</v>
      </c>
      <c r="X2" s="5">
        <v>100</v>
      </c>
      <c r="Y2" s="5">
        <v>260.83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45717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45700</v>
      </c>
      <c r="C3" s="4" t="s">
        <v>56</v>
      </c>
      <c r="D3" s="2">
        <v>1509770</v>
      </c>
      <c r="E3" s="4" t="s">
        <v>57</v>
      </c>
      <c r="F3" s="4" t="s">
        <v>58</v>
      </c>
      <c r="G3" s="2">
        <v>339825314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45778</v>
      </c>
      <c r="M3" s="4" t="s">
        <v>60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61</v>
      </c>
      <c r="U3" s="4" t="s">
        <v>46</v>
      </c>
      <c r="V3" s="5">
        <v>0.67</v>
      </c>
      <c r="W3" s="5">
        <v>0</v>
      </c>
      <c r="X3" s="5">
        <v>100</v>
      </c>
      <c r="Y3" s="5">
        <v>208.67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45778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62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45700</v>
      </c>
      <c r="C4" s="4" t="s">
        <v>56</v>
      </c>
      <c r="D4" s="2">
        <v>1509770</v>
      </c>
      <c r="E4" s="4" t="s">
        <v>63</v>
      </c>
      <c r="F4" s="4" t="s">
        <v>64</v>
      </c>
      <c r="G4" s="2">
        <v>558660415</v>
      </c>
      <c r="H4" s="4" t="s">
        <v>65</v>
      </c>
      <c r="I4" s="4" t="s">
        <v>46</v>
      </c>
      <c r="J4" s="4" t="s">
        <v>47</v>
      </c>
      <c r="K4" s="4" t="s">
        <v>48</v>
      </c>
      <c r="L4" s="3">
        <v>45748</v>
      </c>
      <c r="M4" s="4" t="s">
        <v>66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61</v>
      </c>
      <c r="U4" s="4" t="s">
        <v>46</v>
      </c>
      <c r="V4" s="5">
        <v>0.75</v>
      </c>
      <c r="W4" s="5">
        <v>0</v>
      </c>
      <c r="X4" s="5">
        <v>100</v>
      </c>
      <c r="Y4" s="5">
        <v>234.75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45748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62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45700</v>
      </c>
      <c r="C5" s="4" t="s">
        <v>56</v>
      </c>
      <c r="D5" s="2">
        <v>1509770</v>
      </c>
      <c r="E5" s="4" t="s">
        <v>67</v>
      </c>
      <c r="F5" s="4" t="s">
        <v>68</v>
      </c>
      <c r="G5" s="2">
        <v>751643070</v>
      </c>
      <c r="H5" s="4" t="s">
        <v>69</v>
      </c>
      <c r="I5" s="4" t="s">
        <v>46</v>
      </c>
      <c r="J5" s="4" t="s">
        <v>47</v>
      </c>
      <c r="K5" s="4" t="s">
        <v>48</v>
      </c>
      <c r="L5" s="3">
        <v>45717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61</v>
      </c>
      <c r="U5" s="4" t="s">
        <v>46</v>
      </c>
      <c r="V5" s="5">
        <v>0.83</v>
      </c>
      <c r="W5" s="5">
        <v>0</v>
      </c>
      <c r="X5" s="5">
        <v>100</v>
      </c>
      <c r="Y5" s="5">
        <v>260.83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45717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62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45700</v>
      </c>
      <c r="C6" s="4" t="s">
        <v>70</v>
      </c>
      <c r="D6" s="2">
        <v>1510420</v>
      </c>
      <c r="E6" s="4" t="s">
        <v>71</v>
      </c>
      <c r="F6" s="4" t="s">
        <v>72</v>
      </c>
      <c r="G6" s="2">
        <v>835897401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45658</v>
      </c>
      <c r="M6" s="4" t="s">
        <v>74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61</v>
      </c>
      <c r="U6" s="4" t="s">
        <v>46</v>
      </c>
      <c r="V6" s="5">
        <v>1</v>
      </c>
      <c r="W6" s="5">
        <v>0</v>
      </c>
      <c r="X6" s="5">
        <v>100</v>
      </c>
      <c r="Y6" s="5">
        <v>313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45658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62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45700</v>
      </c>
      <c r="C7" s="4" t="s">
        <v>75</v>
      </c>
      <c r="D7" s="2">
        <v>1535078</v>
      </c>
      <c r="E7" s="4" t="s">
        <v>76</v>
      </c>
      <c r="F7" s="4" t="s">
        <v>77</v>
      </c>
      <c r="G7" s="2">
        <v>400696001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74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61</v>
      </c>
      <c r="U7" s="4" t="s">
        <v>46</v>
      </c>
      <c r="V7" s="5">
        <v>-0.92</v>
      </c>
      <c r="W7" s="5">
        <v>0</v>
      </c>
      <c r="X7" s="5">
        <v>100</v>
      </c>
      <c r="Y7" s="5">
        <v>-286.92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62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45700</v>
      </c>
      <c r="C8" s="4" t="s">
        <v>79</v>
      </c>
      <c r="D8" s="2">
        <v>1573279</v>
      </c>
      <c r="E8" s="4" t="s">
        <v>80</v>
      </c>
      <c r="F8" s="4" t="s">
        <v>81</v>
      </c>
      <c r="G8" s="2">
        <v>111511281</v>
      </c>
      <c r="H8" s="4" t="s">
        <v>82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74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61</v>
      </c>
      <c r="U8" s="4" t="s">
        <v>46</v>
      </c>
      <c r="V8" s="5">
        <v>-1</v>
      </c>
      <c r="W8" s="5">
        <v>0</v>
      </c>
      <c r="X8" s="5">
        <v>100</v>
      </c>
      <c r="Y8" s="5">
        <v>-313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62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45700</v>
      </c>
      <c r="C9" s="4" t="s">
        <v>79</v>
      </c>
      <c r="D9" s="2">
        <v>1573279</v>
      </c>
      <c r="E9" s="4" t="s">
        <v>83</v>
      </c>
      <c r="F9" s="4" t="s">
        <v>84</v>
      </c>
      <c r="G9" s="2">
        <v>789498311</v>
      </c>
      <c r="H9" s="4" t="s">
        <v>85</v>
      </c>
      <c r="I9" s="4" t="s">
        <v>46</v>
      </c>
      <c r="J9" s="4" t="s">
        <v>47</v>
      </c>
      <c r="K9" s="4" t="s">
        <v>48</v>
      </c>
      <c r="L9" s="3">
        <v>45658</v>
      </c>
      <c r="M9" s="4" t="s">
        <v>74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61</v>
      </c>
      <c r="U9" s="4" t="s">
        <v>46</v>
      </c>
      <c r="V9" s="5">
        <v>-1</v>
      </c>
      <c r="W9" s="5">
        <v>0</v>
      </c>
      <c r="X9" s="5">
        <v>100</v>
      </c>
      <c r="Y9" s="5">
        <v>-313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62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45700</v>
      </c>
      <c r="C10" s="4" t="s">
        <v>86</v>
      </c>
      <c r="D10" s="2">
        <v>1639670</v>
      </c>
      <c r="E10" s="4" t="s">
        <v>87</v>
      </c>
      <c r="F10" s="4" t="s">
        <v>88</v>
      </c>
      <c r="G10" s="2">
        <v>69141162</v>
      </c>
      <c r="H10" s="4" t="s">
        <v>89</v>
      </c>
      <c r="I10" s="4" t="s">
        <v>46</v>
      </c>
      <c r="J10" s="4" t="s">
        <v>47</v>
      </c>
      <c r="K10" s="4" t="s">
        <v>48</v>
      </c>
      <c r="L10" s="3">
        <v>45689</v>
      </c>
      <c r="M10" s="4" t="s">
        <v>90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0.92</v>
      </c>
      <c r="W10" s="5">
        <v>0</v>
      </c>
      <c r="X10" s="5">
        <v>100</v>
      </c>
      <c r="Y10" s="5">
        <v>286.92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45689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45700</v>
      </c>
      <c r="C11" s="4" t="s">
        <v>86</v>
      </c>
      <c r="D11" s="2">
        <v>1639670</v>
      </c>
      <c r="E11" s="4" t="s">
        <v>91</v>
      </c>
      <c r="F11" s="4" t="s">
        <v>92</v>
      </c>
      <c r="G11" s="2">
        <v>77861145</v>
      </c>
      <c r="H11" s="4" t="s">
        <v>93</v>
      </c>
      <c r="I11" s="4" t="s">
        <v>46</v>
      </c>
      <c r="J11" s="4" t="s">
        <v>47</v>
      </c>
      <c r="K11" s="4" t="s">
        <v>48</v>
      </c>
      <c r="L11" s="3">
        <v>45689</v>
      </c>
      <c r="M11" s="4" t="s">
        <v>90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0.92</v>
      </c>
      <c r="W11" s="5">
        <v>0</v>
      </c>
      <c r="X11" s="5">
        <v>100</v>
      </c>
      <c r="Y11" s="5">
        <v>286.92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45689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45700</v>
      </c>
      <c r="C12" s="4" t="s">
        <v>94</v>
      </c>
      <c r="D12" s="2">
        <v>1646082</v>
      </c>
      <c r="E12" s="4" t="s">
        <v>95</v>
      </c>
      <c r="F12" s="4" t="s">
        <v>96</v>
      </c>
      <c r="G12" s="2">
        <v>456341403</v>
      </c>
      <c r="H12" s="4" t="s">
        <v>97</v>
      </c>
      <c r="I12" s="4" t="s">
        <v>46</v>
      </c>
      <c r="J12" s="4" t="s">
        <v>47</v>
      </c>
      <c r="K12" s="4" t="s">
        <v>48</v>
      </c>
      <c r="L12" s="3">
        <v>45689</v>
      </c>
      <c r="M12" s="4" t="s">
        <v>90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0.92</v>
      </c>
      <c r="W12" s="5">
        <v>0</v>
      </c>
      <c r="X12" s="5">
        <v>100</v>
      </c>
      <c r="Y12" s="5">
        <v>286.92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45689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45700</v>
      </c>
      <c r="C13" s="4" t="s">
        <v>98</v>
      </c>
      <c r="D13" s="2">
        <v>1673202</v>
      </c>
      <c r="E13" s="4" t="s">
        <v>99</v>
      </c>
      <c r="F13" s="4" t="s">
        <v>100</v>
      </c>
      <c r="G13" s="2">
        <v>355784425</v>
      </c>
      <c r="H13" s="4" t="s">
        <v>101</v>
      </c>
      <c r="I13" s="4" t="s">
        <v>46</v>
      </c>
      <c r="J13" s="4" t="s">
        <v>47</v>
      </c>
      <c r="K13" s="4" t="s">
        <v>48</v>
      </c>
      <c r="L13" s="3">
        <v>45658</v>
      </c>
      <c r="M13" s="4" t="s">
        <v>74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61</v>
      </c>
      <c r="U13" s="4" t="s">
        <v>46</v>
      </c>
      <c r="V13" s="5">
        <v>-0.83</v>
      </c>
      <c r="W13" s="5">
        <v>0</v>
      </c>
      <c r="X13" s="5">
        <v>100</v>
      </c>
      <c r="Y13" s="5">
        <v>-260.83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45658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62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45700</v>
      </c>
      <c r="C14" s="4" t="s">
        <v>98</v>
      </c>
      <c r="D14" s="2">
        <v>1673202</v>
      </c>
      <c r="E14" s="4" t="s">
        <v>102</v>
      </c>
      <c r="F14" s="4" t="s">
        <v>103</v>
      </c>
      <c r="G14" s="2">
        <v>364846424</v>
      </c>
      <c r="H14" s="4" t="s">
        <v>104</v>
      </c>
      <c r="I14" s="4" t="s">
        <v>46</v>
      </c>
      <c r="J14" s="4" t="s">
        <v>47</v>
      </c>
      <c r="K14" s="4" t="s">
        <v>48</v>
      </c>
      <c r="L14" s="3">
        <v>45658</v>
      </c>
      <c r="M14" s="4" t="s">
        <v>74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61</v>
      </c>
      <c r="U14" s="4" t="s">
        <v>46</v>
      </c>
      <c r="V14" s="5">
        <v>-0.92</v>
      </c>
      <c r="W14" s="5">
        <v>0</v>
      </c>
      <c r="X14" s="5">
        <v>100</v>
      </c>
      <c r="Y14" s="5">
        <v>-286.92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62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45700</v>
      </c>
      <c r="C15" s="4" t="s">
        <v>105</v>
      </c>
      <c r="D15" s="2">
        <v>1703942</v>
      </c>
      <c r="E15" s="4" t="s">
        <v>106</v>
      </c>
      <c r="F15" s="4" t="s">
        <v>107</v>
      </c>
      <c r="G15" s="2">
        <v>304214561</v>
      </c>
      <c r="H15" s="4" t="s">
        <v>108</v>
      </c>
      <c r="I15" s="4" t="s">
        <v>46</v>
      </c>
      <c r="J15" s="4" t="s">
        <v>47</v>
      </c>
      <c r="K15" s="4" t="s">
        <v>48</v>
      </c>
      <c r="L15" s="3">
        <v>45689</v>
      </c>
      <c r="M15" s="4" t="s">
        <v>90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0.92</v>
      </c>
      <c r="W15" s="5">
        <v>0</v>
      </c>
      <c r="X15" s="5">
        <v>100</v>
      </c>
      <c r="Y15" s="5">
        <v>286.92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45689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45700</v>
      </c>
      <c r="C16" s="4" t="s">
        <v>105</v>
      </c>
      <c r="D16" s="2">
        <v>1703942</v>
      </c>
      <c r="E16" s="4" t="s">
        <v>109</v>
      </c>
      <c r="F16" s="4" t="s">
        <v>110</v>
      </c>
      <c r="G16" s="2">
        <v>621981353</v>
      </c>
      <c r="H16" s="4" t="s">
        <v>111</v>
      </c>
      <c r="I16" s="4" t="s">
        <v>46</v>
      </c>
      <c r="J16" s="4" t="s">
        <v>47</v>
      </c>
      <c r="K16" s="4" t="s">
        <v>48</v>
      </c>
      <c r="L16" s="3">
        <v>45658</v>
      </c>
      <c r="M16" s="4" t="s">
        <v>74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61</v>
      </c>
      <c r="U16" s="4" t="s">
        <v>46</v>
      </c>
      <c r="V16" s="5">
        <v>-0.83</v>
      </c>
      <c r="W16" s="5">
        <v>0</v>
      </c>
      <c r="X16" s="5">
        <v>100</v>
      </c>
      <c r="Y16" s="5">
        <v>-260.83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62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45700</v>
      </c>
      <c r="C17" s="4" t="s">
        <v>105</v>
      </c>
      <c r="D17" s="2">
        <v>1703942</v>
      </c>
      <c r="E17" s="4" t="s">
        <v>112</v>
      </c>
      <c r="F17" s="4" t="s">
        <v>113</v>
      </c>
      <c r="G17" s="2">
        <v>911856524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45778</v>
      </c>
      <c r="M17" s="4" t="s">
        <v>60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0.67</v>
      </c>
      <c r="W17" s="5">
        <v>0</v>
      </c>
      <c r="X17" s="5">
        <v>100</v>
      </c>
      <c r="Y17" s="5">
        <v>208.67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45778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45700</v>
      </c>
      <c r="C18" s="4" t="s">
        <v>105</v>
      </c>
      <c r="D18" s="2">
        <v>1703942</v>
      </c>
      <c r="E18" s="4" t="s">
        <v>115</v>
      </c>
      <c r="F18" s="4" t="s">
        <v>116</v>
      </c>
      <c r="G18" s="2">
        <v>642659020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45778</v>
      </c>
      <c r="M18" s="4" t="s">
        <v>60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0.67</v>
      </c>
      <c r="W18" s="5">
        <v>0</v>
      </c>
      <c r="X18" s="5">
        <v>100</v>
      </c>
      <c r="Y18" s="5">
        <v>208.67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45778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45700</v>
      </c>
      <c r="C19" s="4" t="s">
        <v>118</v>
      </c>
      <c r="D19" s="2">
        <v>1773696</v>
      </c>
      <c r="E19" s="4" t="s">
        <v>119</v>
      </c>
      <c r="F19" s="4" t="s">
        <v>120</v>
      </c>
      <c r="G19" s="2">
        <v>401815134</v>
      </c>
      <c r="H19" s="4" t="s">
        <v>121</v>
      </c>
      <c r="I19" s="4" t="s">
        <v>46</v>
      </c>
      <c r="J19" s="4" t="s">
        <v>47</v>
      </c>
      <c r="K19" s="4" t="s">
        <v>48</v>
      </c>
      <c r="L19" s="3">
        <v>45748</v>
      </c>
      <c r="M19" s="4" t="s">
        <v>66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61</v>
      </c>
      <c r="U19" s="4" t="s">
        <v>46</v>
      </c>
      <c r="V19" s="5">
        <v>0.75</v>
      </c>
      <c r="W19" s="5">
        <v>0</v>
      </c>
      <c r="X19" s="5">
        <v>100</v>
      </c>
      <c r="Y19" s="5">
        <v>234.75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45748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62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45700</v>
      </c>
      <c r="C20" s="4" t="s">
        <v>122</v>
      </c>
      <c r="D20" s="2">
        <v>1800759</v>
      </c>
      <c r="E20" s="4" t="s">
        <v>123</v>
      </c>
      <c r="F20" s="4" t="s">
        <v>124</v>
      </c>
      <c r="G20" s="2">
        <v>9854581</v>
      </c>
      <c r="H20" s="4" t="s">
        <v>125</v>
      </c>
      <c r="I20" s="4" t="s">
        <v>46</v>
      </c>
      <c r="J20" s="4" t="s">
        <v>47</v>
      </c>
      <c r="K20" s="4" t="s">
        <v>48</v>
      </c>
      <c r="L20" s="3">
        <v>45689</v>
      </c>
      <c r="M20" s="4" t="s">
        <v>90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0.92</v>
      </c>
      <c r="W20" s="5">
        <v>0</v>
      </c>
      <c r="X20" s="5">
        <v>100</v>
      </c>
      <c r="Y20" s="5">
        <v>286.92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45689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45700</v>
      </c>
      <c r="C21" s="4" t="s">
        <v>122</v>
      </c>
      <c r="D21" s="2">
        <v>1800759</v>
      </c>
      <c r="E21" s="4" t="s">
        <v>126</v>
      </c>
      <c r="F21" s="4" t="s">
        <v>127</v>
      </c>
      <c r="G21" s="2">
        <v>840656151</v>
      </c>
      <c r="H21" s="4" t="s">
        <v>128</v>
      </c>
      <c r="I21" s="4" t="s">
        <v>46</v>
      </c>
      <c r="J21" s="4" t="s">
        <v>47</v>
      </c>
      <c r="K21" s="4" t="s">
        <v>48</v>
      </c>
      <c r="L21" s="3">
        <v>45689</v>
      </c>
      <c r="M21" s="4" t="s">
        <v>90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0.92</v>
      </c>
      <c r="W21" s="5">
        <v>0</v>
      </c>
      <c r="X21" s="5">
        <v>100</v>
      </c>
      <c r="Y21" s="5">
        <v>286.92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45689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45700</v>
      </c>
      <c r="C22" s="4" t="s">
        <v>129</v>
      </c>
      <c r="D22" s="2">
        <v>1831491</v>
      </c>
      <c r="E22" s="4" t="s">
        <v>130</v>
      </c>
      <c r="F22" s="4" t="s">
        <v>131</v>
      </c>
      <c r="G22" s="2">
        <v>662877143</v>
      </c>
      <c r="H22" s="4" t="s">
        <v>132</v>
      </c>
      <c r="I22" s="4" t="s">
        <v>46</v>
      </c>
      <c r="J22" s="4" t="s">
        <v>47</v>
      </c>
      <c r="K22" s="4" t="s">
        <v>48</v>
      </c>
      <c r="L22" s="3">
        <v>45717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61</v>
      </c>
      <c r="U22" s="4" t="s">
        <v>46</v>
      </c>
      <c r="V22" s="5">
        <v>0.83</v>
      </c>
      <c r="W22" s="5">
        <v>0</v>
      </c>
      <c r="X22" s="5">
        <v>100</v>
      </c>
      <c r="Y22" s="5">
        <v>260.83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45717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62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45700</v>
      </c>
      <c r="C23" s="4" t="s">
        <v>133</v>
      </c>
      <c r="D23" s="2">
        <v>1855975</v>
      </c>
      <c r="E23" s="4" t="s">
        <v>134</v>
      </c>
      <c r="F23" s="4" t="s">
        <v>135</v>
      </c>
      <c r="G23" s="2">
        <v>131179025</v>
      </c>
      <c r="H23" s="4" t="s">
        <v>136</v>
      </c>
      <c r="I23" s="4" t="s">
        <v>46</v>
      </c>
      <c r="J23" s="4" t="s">
        <v>47</v>
      </c>
      <c r="K23" s="4" t="s">
        <v>48</v>
      </c>
      <c r="L23" s="3">
        <v>45689</v>
      </c>
      <c r="M23" s="4" t="s">
        <v>90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61</v>
      </c>
      <c r="U23" s="4" t="s">
        <v>46</v>
      </c>
      <c r="V23" s="5">
        <v>0.92</v>
      </c>
      <c r="W23" s="5">
        <v>0</v>
      </c>
      <c r="X23" s="5">
        <v>100</v>
      </c>
      <c r="Y23" s="5">
        <v>286.92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45689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62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45700</v>
      </c>
      <c r="C24" s="4" t="s">
        <v>137</v>
      </c>
      <c r="D24" s="2">
        <v>1509744</v>
      </c>
      <c r="E24" s="4" t="s">
        <v>138</v>
      </c>
      <c r="F24" s="4" t="s">
        <v>139</v>
      </c>
      <c r="G24" s="4" t="s">
        <v>46</v>
      </c>
      <c r="H24" s="4" t="s">
        <v>46</v>
      </c>
      <c r="I24" s="4" t="s">
        <v>46</v>
      </c>
      <c r="J24" s="4" t="s">
        <v>140</v>
      </c>
      <c r="K24" s="4" t="s">
        <v>141</v>
      </c>
      <c r="L24" s="3">
        <v>45717</v>
      </c>
      <c r="M24" s="4" t="s">
        <v>49</v>
      </c>
      <c r="N24" s="4" t="s">
        <v>46</v>
      </c>
      <c r="O24" s="4" t="s">
        <v>142</v>
      </c>
      <c r="P24" s="4" t="s">
        <v>142</v>
      </c>
      <c r="Q24" s="2">
        <v>2</v>
      </c>
      <c r="R24" s="2">
        <v>60</v>
      </c>
      <c r="S24" s="4" t="s">
        <v>143</v>
      </c>
      <c r="T24" s="4" t="s">
        <v>46</v>
      </c>
      <c r="U24" s="4" t="s">
        <v>46</v>
      </c>
      <c r="V24" s="5">
        <v>10</v>
      </c>
      <c r="W24" s="5">
        <v>26.88</v>
      </c>
      <c r="X24" s="5">
        <v>100</v>
      </c>
      <c r="Y24" s="5">
        <v>2.69</v>
      </c>
      <c r="Z24" s="4" t="s">
        <v>46</v>
      </c>
      <c r="AA24" s="5" t="s">
        <v>46</v>
      </c>
      <c r="AB24" s="4" t="s">
        <v>144</v>
      </c>
      <c r="AC24" s="4" t="s">
        <v>46</v>
      </c>
      <c r="AD24" s="5">
        <v>0</v>
      </c>
      <c r="AE24" s="4" t="s">
        <v>145</v>
      </c>
      <c r="AF24" s="3">
        <v>45323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45700</v>
      </c>
      <c r="C25" s="4" t="s">
        <v>137</v>
      </c>
      <c r="D25" s="2">
        <v>1509744</v>
      </c>
      <c r="E25" s="4" t="s">
        <v>146</v>
      </c>
      <c r="F25" s="4" t="s">
        <v>147</v>
      </c>
      <c r="G25" s="4" t="s">
        <v>46</v>
      </c>
      <c r="H25" s="4" t="s">
        <v>46</v>
      </c>
      <c r="I25" s="4" t="s">
        <v>46</v>
      </c>
      <c r="J25" s="4" t="s">
        <v>140</v>
      </c>
      <c r="K25" s="4" t="s">
        <v>141</v>
      </c>
      <c r="L25" s="3">
        <v>45717</v>
      </c>
      <c r="M25" s="4" t="s">
        <v>49</v>
      </c>
      <c r="N25" s="4" t="s">
        <v>46</v>
      </c>
      <c r="O25" s="4" t="s">
        <v>50</v>
      </c>
      <c r="P25" s="4" t="s">
        <v>142</v>
      </c>
      <c r="Q25" s="2">
        <v>1</v>
      </c>
      <c r="R25" s="2">
        <v>60</v>
      </c>
      <c r="S25" s="4" t="s">
        <v>143</v>
      </c>
      <c r="T25" s="4" t="s">
        <v>46</v>
      </c>
      <c r="U25" s="4" t="s">
        <v>46</v>
      </c>
      <c r="V25" s="5">
        <v>10</v>
      </c>
      <c r="W25" s="5">
        <v>13.93</v>
      </c>
      <c r="X25" s="5">
        <v>100</v>
      </c>
      <c r="Y25" s="5">
        <v>1.39</v>
      </c>
      <c r="Z25" s="4" t="s">
        <v>46</v>
      </c>
      <c r="AA25" s="5" t="s">
        <v>46</v>
      </c>
      <c r="AB25" s="4" t="s">
        <v>148</v>
      </c>
      <c r="AC25" s="4" t="s">
        <v>46</v>
      </c>
      <c r="AD25" s="5">
        <v>0</v>
      </c>
      <c r="AE25" s="4" t="s">
        <v>149</v>
      </c>
      <c r="AF25" s="3">
        <v>45622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45700</v>
      </c>
      <c r="C26" s="4" t="s">
        <v>137</v>
      </c>
      <c r="D26" s="2">
        <v>1509744</v>
      </c>
      <c r="E26" s="4" t="s">
        <v>150</v>
      </c>
      <c r="F26" s="4" t="s">
        <v>151</v>
      </c>
      <c r="G26" s="4" t="s">
        <v>46</v>
      </c>
      <c r="H26" s="4" t="s">
        <v>46</v>
      </c>
      <c r="I26" s="4" t="s">
        <v>46</v>
      </c>
      <c r="J26" s="4" t="s">
        <v>140</v>
      </c>
      <c r="K26" s="4" t="s">
        <v>141</v>
      </c>
      <c r="L26" s="3">
        <v>45717</v>
      </c>
      <c r="M26" s="4" t="s">
        <v>49</v>
      </c>
      <c r="N26" s="4" t="s">
        <v>46</v>
      </c>
      <c r="O26" s="4" t="s">
        <v>50</v>
      </c>
      <c r="P26" s="4" t="s">
        <v>142</v>
      </c>
      <c r="Q26" s="2">
        <v>2</v>
      </c>
      <c r="R26" s="2">
        <v>3</v>
      </c>
      <c r="S26" s="4" t="s">
        <v>152</v>
      </c>
      <c r="T26" s="4" t="s">
        <v>46</v>
      </c>
      <c r="U26" s="4" t="s">
        <v>46</v>
      </c>
      <c r="V26" s="5">
        <v>10</v>
      </c>
      <c r="W26" s="5">
        <v>97.6</v>
      </c>
      <c r="X26" s="5">
        <v>100</v>
      </c>
      <c r="Y26" s="5">
        <v>9.76</v>
      </c>
      <c r="Z26" s="4" t="s">
        <v>46</v>
      </c>
      <c r="AA26" s="5" t="s">
        <v>46</v>
      </c>
      <c r="AB26" s="4" t="s">
        <v>148</v>
      </c>
      <c r="AC26" s="4" t="s">
        <v>46</v>
      </c>
      <c r="AD26" s="5">
        <v>0</v>
      </c>
      <c r="AE26" s="4" t="s">
        <v>149</v>
      </c>
      <c r="AF26" s="3">
        <v>45644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45700</v>
      </c>
      <c r="C27" s="4" t="s">
        <v>137</v>
      </c>
      <c r="D27" s="2">
        <v>1509744</v>
      </c>
      <c r="E27" s="4" t="s">
        <v>150</v>
      </c>
      <c r="F27" s="4" t="s">
        <v>153</v>
      </c>
      <c r="G27" s="4" t="s">
        <v>46</v>
      </c>
      <c r="H27" s="4" t="s">
        <v>46</v>
      </c>
      <c r="I27" s="4" t="s">
        <v>46</v>
      </c>
      <c r="J27" s="4" t="s">
        <v>140</v>
      </c>
      <c r="K27" s="4" t="s">
        <v>141</v>
      </c>
      <c r="L27" s="3">
        <v>45717</v>
      </c>
      <c r="M27" s="4" t="s">
        <v>49</v>
      </c>
      <c r="N27" s="4" t="s">
        <v>46</v>
      </c>
      <c r="O27" s="4" t="s">
        <v>50</v>
      </c>
      <c r="P27" s="4" t="s">
        <v>142</v>
      </c>
      <c r="Q27" s="2">
        <v>2</v>
      </c>
      <c r="R27" s="2">
        <v>60</v>
      </c>
      <c r="S27" s="4" t="s">
        <v>143</v>
      </c>
      <c r="T27" s="4" t="s">
        <v>46</v>
      </c>
      <c r="U27" s="4" t="s">
        <v>46</v>
      </c>
      <c r="V27" s="5">
        <v>10</v>
      </c>
      <c r="W27" s="5">
        <v>26.88</v>
      </c>
      <c r="X27" s="5">
        <v>100</v>
      </c>
      <c r="Y27" s="5">
        <v>2.69</v>
      </c>
      <c r="Z27" s="4" t="s">
        <v>46</v>
      </c>
      <c r="AA27" s="5" t="s">
        <v>46</v>
      </c>
      <c r="AB27" s="4" t="s">
        <v>148</v>
      </c>
      <c r="AC27" s="4" t="s">
        <v>46</v>
      </c>
      <c r="AD27" s="5">
        <v>0</v>
      </c>
      <c r="AE27" s="4" t="s">
        <v>149</v>
      </c>
      <c r="AF27" s="3">
        <v>45644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45700</v>
      </c>
      <c r="C28" s="4" t="s">
        <v>154</v>
      </c>
      <c r="D28" s="2">
        <v>1509841</v>
      </c>
      <c r="E28" s="4" t="s">
        <v>155</v>
      </c>
      <c r="F28" s="4" t="s">
        <v>156</v>
      </c>
      <c r="G28" s="4" t="s">
        <v>46</v>
      </c>
      <c r="H28" s="4" t="s">
        <v>46</v>
      </c>
      <c r="I28" s="4" t="s">
        <v>46</v>
      </c>
      <c r="J28" s="4" t="s">
        <v>157</v>
      </c>
      <c r="K28" s="4" t="s">
        <v>158</v>
      </c>
      <c r="L28" s="3">
        <v>45658</v>
      </c>
      <c r="M28" s="4" t="s">
        <v>74</v>
      </c>
      <c r="N28" s="4" t="s">
        <v>46</v>
      </c>
      <c r="O28" s="4" t="s">
        <v>50</v>
      </c>
      <c r="P28" s="4" t="s">
        <v>142</v>
      </c>
      <c r="Q28" s="2">
        <v>6</v>
      </c>
      <c r="R28" s="2">
        <v>3</v>
      </c>
      <c r="S28" s="4" t="s">
        <v>152</v>
      </c>
      <c r="T28" s="4" t="s">
        <v>46</v>
      </c>
      <c r="U28" s="4" t="s">
        <v>46</v>
      </c>
      <c r="V28" s="5">
        <v>10</v>
      </c>
      <c r="W28" s="5">
        <v>414.6</v>
      </c>
      <c r="X28" s="5">
        <v>100</v>
      </c>
      <c r="Y28" s="5">
        <v>41.46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45700</v>
      </c>
      <c r="C29" s="4" t="s">
        <v>154</v>
      </c>
      <c r="D29" s="2">
        <v>1509841</v>
      </c>
      <c r="E29" s="4" t="s">
        <v>155</v>
      </c>
      <c r="F29" s="4" t="s">
        <v>156</v>
      </c>
      <c r="G29" s="4" t="s">
        <v>46</v>
      </c>
      <c r="H29" s="4" t="s">
        <v>46</v>
      </c>
      <c r="I29" s="4" t="s">
        <v>46</v>
      </c>
      <c r="J29" s="4" t="s">
        <v>157</v>
      </c>
      <c r="K29" s="4" t="s">
        <v>158</v>
      </c>
      <c r="L29" s="3">
        <v>45689</v>
      </c>
      <c r="M29" s="4" t="s">
        <v>90</v>
      </c>
      <c r="N29" s="4" t="s">
        <v>46</v>
      </c>
      <c r="O29" s="4" t="s">
        <v>50</v>
      </c>
      <c r="P29" s="4" t="s">
        <v>142</v>
      </c>
      <c r="Q29" s="2">
        <v>6</v>
      </c>
      <c r="R29" s="2">
        <v>3</v>
      </c>
      <c r="S29" s="4" t="s">
        <v>152</v>
      </c>
      <c r="T29" s="4" t="s">
        <v>46</v>
      </c>
      <c r="U29" s="4" t="s">
        <v>46</v>
      </c>
      <c r="V29" s="5">
        <v>10</v>
      </c>
      <c r="W29" s="5">
        <v>414.6</v>
      </c>
      <c r="X29" s="5">
        <v>100</v>
      </c>
      <c r="Y29" s="5">
        <v>41.46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45700</v>
      </c>
      <c r="C30" s="4" t="s">
        <v>154</v>
      </c>
      <c r="D30" s="2">
        <v>1509841</v>
      </c>
      <c r="E30" s="4" t="s">
        <v>155</v>
      </c>
      <c r="F30" s="4" t="s">
        <v>156</v>
      </c>
      <c r="G30" s="4" t="s">
        <v>46</v>
      </c>
      <c r="H30" s="4" t="s">
        <v>46</v>
      </c>
      <c r="I30" s="4" t="s">
        <v>46</v>
      </c>
      <c r="J30" s="4" t="s">
        <v>157</v>
      </c>
      <c r="K30" s="4" t="s">
        <v>158</v>
      </c>
      <c r="L30" s="3">
        <v>45658</v>
      </c>
      <c r="M30" s="4" t="s">
        <v>74</v>
      </c>
      <c r="N30" s="4" t="s">
        <v>46</v>
      </c>
      <c r="O30" s="4" t="s">
        <v>50</v>
      </c>
      <c r="P30" s="4" t="s">
        <v>142</v>
      </c>
      <c r="Q30" s="2">
        <v>5</v>
      </c>
      <c r="R30" s="2">
        <v>60</v>
      </c>
      <c r="S30" s="4" t="s">
        <v>143</v>
      </c>
      <c r="T30" s="4" t="s">
        <v>46</v>
      </c>
      <c r="U30" s="4" t="s">
        <v>46</v>
      </c>
      <c r="V30" s="5">
        <v>10</v>
      </c>
      <c r="W30" s="5">
        <v>49.38</v>
      </c>
      <c r="X30" s="5">
        <v>100</v>
      </c>
      <c r="Y30" s="5">
        <v>4.9400000000000004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45700</v>
      </c>
      <c r="C31" s="4" t="s">
        <v>154</v>
      </c>
      <c r="D31" s="2">
        <v>1509841</v>
      </c>
      <c r="E31" s="4" t="s">
        <v>155</v>
      </c>
      <c r="F31" s="4" t="s">
        <v>156</v>
      </c>
      <c r="G31" s="4" t="s">
        <v>46</v>
      </c>
      <c r="H31" s="4" t="s">
        <v>46</v>
      </c>
      <c r="I31" s="4" t="s">
        <v>46</v>
      </c>
      <c r="J31" s="4" t="s">
        <v>157</v>
      </c>
      <c r="K31" s="4" t="s">
        <v>158</v>
      </c>
      <c r="L31" s="3">
        <v>45689</v>
      </c>
      <c r="M31" s="4" t="s">
        <v>90</v>
      </c>
      <c r="N31" s="4" t="s">
        <v>46</v>
      </c>
      <c r="O31" s="4" t="s">
        <v>50</v>
      </c>
      <c r="P31" s="4" t="s">
        <v>142</v>
      </c>
      <c r="Q31" s="2">
        <v>5</v>
      </c>
      <c r="R31" s="2">
        <v>60</v>
      </c>
      <c r="S31" s="4" t="s">
        <v>143</v>
      </c>
      <c r="T31" s="4" t="s">
        <v>46</v>
      </c>
      <c r="U31" s="4" t="s">
        <v>46</v>
      </c>
      <c r="V31" s="5">
        <v>10</v>
      </c>
      <c r="W31" s="5">
        <v>49.38</v>
      </c>
      <c r="X31" s="5">
        <v>100</v>
      </c>
      <c r="Y31" s="5">
        <v>4.9400000000000004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45700</v>
      </c>
      <c r="C32" s="4" t="s">
        <v>159</v>
      </c>
      <c r="D32" s="2">
        <v>1510085</v>
      </c>
      <c r="E32" s="4" t="s">
        <v>160</v>
      </c>
      <c r="F32" s="4" t="s">
        <v>161</v>
      </c>
      <c r="G32" s="4" t="s">
        <v>46</v>
      </c>
      <c r="H32" s="4" t="s">
        <v>46</v>
      </c>
      <c r="I32" s="4" t="s">
        <v>46</v>
      </c>
      <c r="J32" s="4" t="s">
        <v>157</v>
      </c>
      <c r="K32" s="4" t="s">
        <v>158</v>
      </c>
      <c r="L32" s="3">
        <v>45689</v>
      </c>
      <c r="M32" s="4" t="s">
        <v>90</v>
      </c>
      <c r="N32" s="4" t="s">
        <v>46</v>
      </c>
      <c r="O32" s="4" t="s">
        <v>142</v>
      </c>
      <c r="P32" s="4" t="s">
        <v>142</v>
      </c>
      <c r="Q32" s="2">
        <v>2</v>
      </c>
      <c r="R32" s="2">
        <v>3</v>
      </c>
      <c r="S32" s="4" t="s">
        <v>152</v>
      </c>
      <c r="T32" s="4" t="s">
        <v>46</v>
      </c>
      <c r="U32" s="4" t="s">
        <v>46</v>
      </c>
      <c r="V32" s="5">
        <v>10</v>
      </c>
      <c r="W32" s="5">
        <v>503.08</v>
      </c>
      <c r="X32" s="5">
        <v>100</v>
      </c>
      <c r="Y32" s="5">
        <v>50.31</v>
      </c>
      <c r="Z32" s="4" t="s">
        <v>46</v>
      </c>
      <c r="AA32" s="5" t="s">
        <v>46</v>
      </c>
      <c r="AB32" s="4" t="s">
        <v>162</v>
      </c>
      <c r="AC32" s="4" t="s">
        <v>46</v>
      </c>
      <c r="AD32" s="5">
        <v>0</v>
      </c>
      <c r="AE32" s="4" t="s">
        <v>163</v>
      </c>
      <c r="AF32" s="3">
        <v>44562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45700</v>
      </c>
      <c r="C33" s="4" t="s">
        <v>159</v>
      </c>
      <c r="D33" s="2">
        <v>1510085</v>
      </c>
      <c r="E33" s="4" t="s">
        <v>160</v>
      </c>
      <c r="F33" s="4" t="s">
        <v>161</v>
      </c>
      <c r="G33" s="4" t="s">
        <v>46</v>
      </c>
      <c r="H33" s="4" t="s">
        <v>46</v>
      </c>
      <c r="I33" s="4" t="s">
        <v>46</v>
      </c>
      <c r="J33" s="4" t="s">
        <v>157</v>
      </c>
      <c r="K33" s="4" t="s">
        <v>158</v>
      </c>
      <c r="L33" s="3">
        <v>45689</v>
      </c>
      <c r="M33" s="4" t="s">
        <v>90</v>
      </c>
      <c r="N33" s="4" t="s">
        <v>46</v>
      </c>
      <c r="O33" s="4" t="s">
        <v>142</v>
      </c>
      <c r="P33" s="4" t="s">
        <v>142</v>
      </c>
      <c r="Q33" s="2">
        <v>2</v>
      </c>
      <c r="R33" s="2">
        <v>60</v>
      </c>
      <c r="S33" s="4" t="s">
        <v>143</v>
      </c>
      <c r="T33" s="4" t="s">
        <v>46</v>
      </c>
      <c r="U33" s="4" t="s">
        <v>46</v>
      </c>
      <c r="V33" s="5">
        <v>10</v>
      </c>
      <c r="W33" s="5">
        <v>50.98</v>
      </c>
      <c r="X33" s="5">
        <v>100</v>
      </c>
      <c r="Y33" s="5">
        <v>5.0999999999999996</v>
      </c>
      <c r="Z33" s="4" t="s">
        <v>46</v>
      </c>
      <c r="AA33" s="5" t="s">
        <v>46</v>
      </c>
      <c r="AB33" s="4" t="s">
        <v>162</v>
      </c>
      <c r="AC33" s="4" t="s">
        <v>46</v>
      </c>
      <c r="AD33" s="5">
        <v>0</v>
      </c>
      <c r="AE33" s="4" t="s">
        <v>163</v>
      </c>
      <c r="AF33" s="3">
        <v>44562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45700</v>
      </c>
      <c r="C34" s="4" t="s">
        <v>164</v>
      </c>
      <c r="D34" s="2">
        <v>1545980</v>
      </c>
      <c r="E34" s="4" t="s">
        <v>165</v>
      </c>
      <c r="F34" s="4" t="s">
        <v>166</v>
      </c>
      <c r="G34" s="4" t="s">
        <v>46</v>
      </c>
      <c r="H34" s="4" t="s">
        <v>46</v>
      </c>
      <c r="I34" s="4" t="s">
        <v>46</v>
      </c>
      <c r="J34" s="4" t="s">
        <v>167</v>
      </c>
      <c r="K34" s="4" t="s">
        <v>48</v>
      </c>
      <c r="L34" s="3">
        <v>45689</v>
      </c>
      <c r="M34" s="4" t="s">
        <v>90</v>
      </c>
      <c r="N34" s="4" t="s">
        <v>46</v>
      </c>
      <c r="O34" s="4" t="s">
        <v>50</v>
      </c>
      <c r="P34" s="4" t="s">
        <v>142</v>
      </c>
      <c r="Q34" s="2">
        <v>1</v>
      </c>
      <c r="R34" s="2">
        <v>17</v>
      </c>
      <c r="S34" s="4" t="s">
        <v>51</v>
      </c>
      <c r="T34" s="4" t="s">
        <v>46</v>
      </c>
      <c r="U34" s="4" t="s">
        <v>46</v>
      </c>
      <c r="V34" s="5">
        <v>22</v>
      </c>
      <c r="W34" s="5">
        <v>1590.6</v>
      </c>
      <c r="X34" s="5">
        <v>100</v>
      </c>
      <c r="Y34" s="5">
        <v>349.92</v>
      </c>
      <c r="Z34" s="5">
        <v>0</v>
      </c>
      <c r="AA34" s="5">
        <v>0</v>
      </c>
      <c r="AB34" s="4" t="s">
        <v>168</v>
      </c>
      <c r="AC34" s="4" t="s">
        <v>46</v>
      </c>
      <c r="AD34" s="5">
        <v>0</v>
      </c>
      <c r="AE34" s="4" t="s">
        <v>169</v>
      </c>
      <c r="AF34" s="3">
        <v>45689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45700</v>
      </c>
      <c r="C35" s="4" t="s">
        <v>164</v>
      </c>
      <c r="D35" s="2">
        <v>1545980</v>
      </c>
      <c r="E35" s="4" t="s">
        <v>170</v>
      </c>
      <c r="F35" s="4" t="s">
        <v>171</v>
      </c>
      <c r="G35" s="4" t="s">
        <v>46</v>
      </c>
      <c r="H35" s="4" t="s">
        <v>46</v>
      </c>
      <c r="I35" s="4" t="s">
        <v>46</v>
      </c>
      <c r="J35" s="4" t="s">
        <v>167</v>
      </c>
      <c r="K35" s="4" t="s">
        <v>48</v>
      </c>
      <c r="L35" s="3">
        <v>45689</v>
      </c>
      <c r="M35" s="4" t="s">
        <v>90</v>
      </c>
      <c r="N35" s="4" t="s">
        <v>46</v>
      </c>
      <c r="O35" s="4" t="s">
        <v>50</v>
      </c>
      <c r="P35" s="4" t="s">
        <v>142</v>
      </c>
      <c r="Q35" s="2">
        <v>1</v>
      </c>
      <c r="R35" s="2">
        <v>17</v>
      </c>
      <c r="S35" s="4" t="s">
        <v>51</v>
      </c>
      <c r="T35" s="4" t="s">
        <v>46</v>
      </c>
      <c r="U35" s="4" t="s">
        <v>46</v>
      </c>
      <c r="V35" s="5">
        <v>11</v>
      </c>
      <c r="W35" s="5">
        <v>1697.76</v>
      </c>
      <c r="X35" s="5">
        <v>100</v>
      </c>
      <c r="Y35" s="5">
        <v>186.72</v>
      </c>
      <c r="Z35" s="5">
        <v>0</v>
      </c>
      <c r="AA35" s="5">
        <v>0</v>
      </c>
      <c r="AB35" s="4" t="s">
        <v>168</v>
      </c>
      <c r="AC35" s="4" t="s">
        <v>46</v>
      </c>
      <c r="AD35" s="5">
        <v>0</v>
      </c>
      <c r="AE35" s="4" t="s">
        <v>169</v>
      </c>
      <c r="AF35" s="3">
        <v>45689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45700</v>
      </c>
      <c r="C36" s="4" t="s">
        <v>118</v>
      </c>
      <c r="D36" s="2">
        <v>1773696</v>
      </c>
      <c r="E36" s="4" t="s">
        <v>172</v>
      </c>
      <c r="F36" s="4" t="s">
        <v>173</v>
      </c>
      <c r="G36" s="4" t="s">
        <v>46</v>
      </c>
      <c r="H36" s="4" t="s">
        <v>46</v>
      </c>
      <c r="I36" s="4" t="s">
        <v>46</v>
      </c>
      <c r="J36" s="4" t="s">
        <v>157</v>
      </c>
      <c r="K36" s="4" t="s">
        <v>158</v>
      </c>
      <c r="L36" s="3">
        <v>45689</v>
      </c>
      <c r="M36" s="4" t="s">
        <v>90</v>
      </c>
      <c r="N36" s="4" t="s">
        <v>46</v>
      </c>
      <c r="O36" s="4" t="s">
        <v>50</v>
      </c>
      <c r="P36" s="4" t="s">
        <v>142</v>
      </c>
      <c r="Q36" s="2">
        <v>18</v>
      </c>
      <c r="R36" s="2">
        <v>3</v>
      </c>
      <c r="S36" s="4" t="s">
        <v>152</v>
      </c>
      <c r="T36" s="4" t="s">
        <v>46</v>
      </c>
      <c r="U36" s="4" t="s">
        <v>46</v>
      </c>
      <c r="V36" s="5">
        <v>10</v>
      </c>
      <c r="W36" s="5">
        <v>486.74</v>
      </c>
      <c r="X36" s="5">
        <v>100</v>
      </c>
      <c r="Y36" s="5">
        <v>48.67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45474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45700</v>
      </c>
      <c r="C37" s="4" t="s">
        <v>118</v>
      </c>
      <c r="D37" s="2">
        <v>1773696</v>
      </c>
      <c r="E37" s="4" t="s">
        <v>172</v>
      </c>
      <c r="F37" s="4" t="s">
        <v>173</v>
      </c>
      <c r="G37" s="4" t="s">
        <v>46</v>
      </c>
      <c r="H37" s="4" t="s">
        <v>46</v>
      </c>
      <c r="I37" s="4" t="s">
        <v>46</v>
      </c>
      <c r="J37" s="4" t="s">
        <v>157</v>
      </c>
      <c r="K37" s="4" t="s">
        <v>158</v>
      </c>
      <c r="L37" s="3">
        <v>45689</v>
      </c>
      <c r="M37" s="4" t="s">
        <v>90</v>
      </c>
      <c r="N37" s="4" t="s">
        <v>46</v>
      </c>
      <c r="O37" s="4" t="s">
        <v>50</v>
      </c>
      <c r="P37" s="4" t="s">
        <v>142</v>
      </c>
      <c r="Q37" s="2">
        <v>24</v>
      </c>
      <c r="R37" s="2">
        <v>5</v>
      </c>
      <c r="S37" s="4" t="s">
        <v>174</v>
      </c>
      <c r="T37" s="4" t="s">
        <v>46</v>
      </c>
      <c r="U37" s="4" t="s">
        <v>46</v>
      </c>
      <c r="V37" s="5">
        <v>10</v>
      </c>
      <c r="W37" s="5">
        <v>46.8</v>
      </c>
      <c r="X37" s="5">
        <v>100</v>
      </c>
      <c r="Y37" s="5">
        <v>4.68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45474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45700</v>
      </c>
      <c r="C38" s="4" t="s">
        <v>118</v>
      </c>
      <c r="D38" s="2">
        <v>1773696</v>
      </c>
      <c r="E38" s="4" t="s">
        <v>172</v>
      </c>
      <c r="F38" s="4" t="s">
        <v>173</v>
      </c>
      <c r="G38" s="4" t="s">
        <v>46</v>
      </c>
      <c r="H38" s="4" t="s">
        <v>46</v>
      </c>
      <c r="I38" s="4" t="s">
        <v>46</v>
      </c>
      <c r="J38" s="4" t="s">
        <v>157</v>
      </c>
      <c r="K38" s="4" t="s">
        <v>158</v>
      </c>
      <c r="L38" s="3">
        <v>45689</v>
      </c>
      <c r="M38" s="4" t="s">
        <v>90</v>
      </c>
      <c r="N38" s="4" t="s">
        <v>46</v>
      </c>
      <c r="O38" s="4" t="s">
        <v>50</v>
      </c>
      <c r="P38" s="4" t="s">
        <v>142</v>
      </c>
      <c r="Q38" s="2">
        <v>24</v>
      </c>
      <c r="R38" s="2">
        <v>10</v>
      </c>
      <c r="S38" s="4" t="s">
        <v>175</v>
      </c>
      <c r="T38" s="4" t="s">
        <v>46</v>
      </c>
      <c r="U38" s="4" t="s">
        <v>46</v>
      </c>
      <c r="V38" s="5">
        <v>10</v>
      </c>
      <c r="W38" s="5">
        <v>10.8</v>
      </c>
      <c r="X38" s="5">
        <v>100</v>
      </c>
      <c r="Y38" s="5">
        <v>1.08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45474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45700</v>
      </c>
      <c r="C39" s="4" t="s">
        <v>118</v>
      </c>
      <c r="D39" s="2">
        <v>1773696</v>
      </c>
      <c r="E39" s="4" t="s">
        <v>172</v>
      </c>
      <c r="F39" s="4" t="s">
        <v>173</v>
      </c>
      <c r="G39" s="4" t="s">
        <v>46</v>
      </c>
      <c r="H39" s="4" t="s">
        <v>46</v>
      </c>
      <c r="I39" s="4" t="s">
        <v>46</v>
      </c>
      <c r="J39" s="4" t="s">
        <v>157</v>
      </c>
      <c r="K39" s="4" t="s">
        <v>158</v>
      </c>
      <c r="L39" s="3">
        <v>45689</v>
      </c>
      <c r="M39" s="4" t="s">
        <v>90</v>
      </c>
      <c r="N39" s="4" t="s">
        <v>46</v>
      </c>
      <c r="O39" s="4" t="s">
        <v>50</v>
      </c>
      <c r="P39" s="4" t="s">
        <v>142</v>
      </c>
      <c r="Q39" s="2">
        <v>14</v>
      </c>
      <c r="R39" s="2">
        <v>60</v>
      </c>
      <c r="S39" s="4" t="s">
        <v>143</v>
      </c>
      <c r="T39" s="4" t="s">
        <v>46</v>
      </c>
      <c r="U39" s="4" t="s">
        <v>46</v>
      </c>
      <c r="V39" s="5">
        <v>10</v>
      </c>
      <c r="W39" s="5">
        <v>97.7</v>
      </c>
      <c r="X39" s="5">
        <v>100</v>
      </c>
      <c r="Y39" s="5">
        <v>9.77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45474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45700</v>
      </c>
      <c r="C40" s="4" t="s">
        <v>176</v>
      </c>
      <c r="D40" s="2">
        <v>1775329</v>
      </c>
      <c r="E40" s="4" t="s">
        <v>177</v>
      </c>
      <c r="F40" s="4" t="s">
        <v>178</v>
      </c>
      <c r="G40" s="4" t="s">
        <v>46</v>
      </c>
      <c r="H40" s="4" t="s">
        <v>46</v>
      </c>
      <c r="I40" s="4" t="s">
        <v>46</v>
      </c>
      <c r="J40" s="4" t="s">
        <v>167</v>
      </c>
      <c r="K40" s="4" t="s">
        <v>48</v>
      </c>
      <c r="L40" s="3">
        <v>45689</v>
      </c>
      <c r="M40" s="4" t="s">
        <v>90</v>
      </c>
      <c r="N40" s="4" t="s">
        <v>46</v>
      </c>
      <c r="O40" s="4" t="s">
        <v>50</v>
      </c>
      <c r="P40" s="4" t="s">
        <v>142</v>
      </c>
      <c r="Q40" s="2">
        <v>1</v>
      </c>
      <c r="R40" s="2">
        <v>17</v>
      </c>
      <c r="S40" s="4" t="s">
        <v>51</v>
      </c>
      <c r="T40" s="4" t="s">
        <v>46</v>
      </c>
      <c r="U40" s="4" t="s">
        <v>46</v>
      </c>
      <c r="V40" s="5">
        <v>11</v>
      </c>
      <c r="W40" s="5">
        <v>1622.64</v>
      </c>
      <c r="X40" s="5">
        <v>100</v>
      </c>
      <c r="Y40" s="5">
        <v>178.44</v>
      </c>
      <c r="Z40" s="5">
        <v>0</v>
      </c>
      <c r="AA40" s="5">
        <v>0</v>
      </c>
      <c r="AB40" s="4" t="s">
        <v>168</v>
      </c>
      <c r="AC40" s="4" t="s">
        <v>46</v>
      </c>
      <c r="AD40" s="5">
        <v>0</v>
      </c>
      <c r="AE40" s="4" t="s">
        <v>169</v>
      </c>
      <c r="AF40" s="3">
        <v>45689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45700</v>
      </c>
      <c r="C41" s="4" t="s">
        <v>129</v>
      </c>
      <c r="D41" s="2">
        <v>1831491</v>
      </c>
      <c r="E41" s="4" t="s">
        <v>179</v>
      </c>
      <c r="F41" s="4" t="s">
        <v>180</v>
      </c>
      <c r="G41" s="4" t="s">
        <v>46</v>
      </c>
      <c r="H41" s="4" t="s">
        <v>46</v>
      </c>
      <c r="I41" s="4" t="s">
        <v>46</v>
      </c>
      <c r="J41" s="4" t="s">
        <v>140</v>
      </c>
      <c r="K41" s="4" t="s">
        <v>141</v>
      </c>
      <c r="L41" s="3">
        <v>45717</v>
      </c>
      <c r="M41" s="4" t="s">
        <v>49</v>
      </c>
      <c r="N41" s="4" t="s">
        <v>46</v>
      </c>
      <c r="O41" s="4" t="s">
        <v>50</v>
      </c>
      <c r="P41" s="4" t="s">
        <v>142</v>
      </c>
      <c r="Q41" s="2">
        <v>1</v>
      </c>
      <c r="R41" s="2">
        <v>3</v>
      </c>
      <c r="S41" s="4" t="s">
        <v>152</v>
      </c>
      <c r="T41" s="4" t="s">
        <v>46</v>
      </c>
      <c r="U41" s="4" t="s">
        <v>46</v>
      </c>
      <c r="V41" s="5">
        <v>10</v>
      </c>
      <c r="W41" s="5">
        <v>41.82</v>
      </c>
      <c r="X41" s="5">
        <v>100</v>
      </c>
      <c r="Y41" s="5">
        <v>4.18</v>
      </c>
      <c r="Z41" s="4" t="s">
        <v>46</v>
      </c>
      <c r="AA41" s="5" t="s">
        <v>46</v>
      </c>
      <c r="AB41" s="4" t="s">
        <v>148</v>
      </c>
      <c r="AC41" s="4" t="s">
        <v>46</v>
      </c>
      <c r="AD41" s="5">
        <v>0</v>
      </c>
      <c r="AE41" s="4" t="s">
        <v>149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45700</v>
      </c>
      <c r="C42" s="4" t="s">
        <v>181</v>
      </c>
      <c r="D42" s="2">
        <v>1875462</v>
      </c>
      <c r="E42" s="4" t="s">
        <v>182</v>
      </c>
      <c r="F42" s="4" t="s">
        <v>183</v>
      </c>
      <c r="G42" s="4" t="s">
        <v>46</v>
      </c>
      <c r="H42" s="4" t="s">
        <v>46</v>
      </c>
      <c r="I42" s="4" t="s">
        <v>46</v>
      </c>
      <c r="J42" s="4" t="s">
        <v>140</v>
      </c>
      <c r="K42" s="4" t="s">
        <v>141</v>
      </c>
      <c r="L42" s="3">
        <v>45689</v>
      </c>
      <c r="M42" s="4" t="s">
        <v>90</v>
      </c>
      <c r="N42" s="4" t="s">
        <v>46</v>
      </c>
      <c r="O42" s="4" t="s">
        <v>50</v>
      </c>
      <c r="P42" s="4" t="s">
        <v>142</v>
      </c>
      <c r="Q42" s="2">
        <v>4</v>
      </c>
      <c r="R42" s="2">
        <v>60</v>
      </c>
      <c r="S42" s="4" t="s">
        <v>143</v>
      </c>
      <c r="T42" s="4" t="s">
        <v>46</v>
      </c>
      <c r="U42" s="4" t="s">
        <v>46</v>
      </c>
      <c r="V42" s="5">
        <v>10</v>
      </c>
      <c r="W42" s="5">
        <v>36.99</v>
      </c>
      <c r="X42" s="5">
        <v>100</v>
      </c>
      <c r="Y42" s="5">
        <v>38.700000000000003</v>
      </c>
      <c r="Z42" s="4" t="s">
        <v>46</v>
      </c>
      <c r="AA42" s="5" t="s">
        <v>46</v>
      </c>
      <c r="AB42" s="4" t="s">
        <v>148</v>
      </c>
      <c r="AC42" s="4" t="s">
        <v>46</v>
      </c>
      <c r="AD42" s="5">
        <v>0</v>
      </c>
      <c r="AE42" s="4" t="s">
        <v>149</v>
      </c>
      <c r="AF42" s="3">
        <v>45700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2D31-7199-4A88-A6F1-A273C465DB8F}">
  <dimension ref="A1:AR42"/>
  <sheetViews>
    <sheetView tabSelected="1" topLeftCell="E1" workbookViewId="0">
      <selection activeCell="F17" sqref="F17"/>
    </sheetView>
  </sheetViews>
  <sheetFormatPr defaultColWidth="11.42578125" defaultRowHeight="12.75" x14ac:dyDescent="0.2"/>
  <cols>
    <col min="1" max="1" width="21.7109375" bestFit="1" customWidth="1"/>
    <col min="2" max="2" width="14" bestFit="1" customWidth="1"/>
    <col min="3" max="3" width="25" bestFit="1" customWidth="1"/>
    <col min="4" max="4" width="31.42578125" bestFit="1" customWidth="1"/>
    <col min="5" max="5" width="21.140625" bestFit="1" customWidth="1"/>
    <col min="6" max="6" width="14.42578125" bestFit="1" customWidth="1"/>
    <col min="7" max="7" width="10.140625" bestFit="1" customWidth="1"/>
    <col min="8" max="8" width="10" bestFit="1" customWidth="1"/>
    <col min="9" max="9" width="5.140625" bestFit="1" customWidth="1"/>
    <col min="10" max="10" width="13.42578125" bestFit="1" customWidth="1"/>
    <col min="11" max="11" width="13.28515625" bestFit="1" customWidth="1"/>
    <col min="12" max="12" width="12.140625" bestFit="1" customWidth="1"/>
    <col min="13" max="13" width="8.42578125" bestFit="1" customWidth="1"/>
    <col min="14" max="14" width="11" bestFit="1" customWidth="1"/>
    <col min="15" max="15" width="13.42578125" bestFit="1" customWidth="1"/>
    <col min="16" max="16" width="40.5703125" bestFit="1" customWidth="1"/>
    <col min="17" max="17" width="12.14062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/>
      <c r="E1" s="1" t="s">
        <v>5</v>
      </c>
      <c r="F1" s="1"/>
      <c r="G1" s="1" t="s">
        <v>9</v>
      </c>
      <c r="H1" s="1" t="s">
        <v>11</v>
      </c>
      <c r="I1" s="1" t="s">
        <v>12</v>
      </c>
      <c r="J1" s="1" t="s">
        <v>16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27</v>
      </c>
      <c r="R1" s="1" t="s">
        <v>31</v>
      </c>
    </row>
    <row r="2" spans="1:44" x14ac:dyDescent="0.2">
      <c r="A2" s="4" t="s">
        <v>122</v>
      </c>
      <c r="B2" s="2">
        <v>19396223</v>
      </c>
      <c r="C2" s="4" t="s">
        <v>123</v>
      </c>
      <c r="D2" s="18" t="s">
        <v>284</v>
      </c>
      <c r="E2" s="4" t="s">
        <v>124</v>
      </c>
      <c r="F2" s="18" t="s">
        <v>195</v>
      </c>
      <c r="G2" s="4" t="s">
        <v>47</v>
      </c>
      <c r="H2" s="3">
        <v>45689</v>
      </c>
      <c r="I2" s="4" t="s">
        <v>90</v>
      </c>
      <c r="J2" s="2">
        <v>1</v>
      </c>
      <c r="K2" s="2">
        <v>17</v>
      </c>
      <c r="L2" s="4" t="s">
        <v>51</v>
      </c>
      <c r="M2" s="5">
        <v>0.92</v>
      </c>
      <c r="N2" s="5">
        <v>0</v>
      </c>
      <c r="O2" s="5">
        <v>100</v>
      </c>
      <c r="P2" s="5">
        <v>286.92</v>
      </c>
      <c r="Q2" s="4" t="s">
        <v>53</v>
      </c>
      <c r="R2" s="3">
        <v>45689</v>
      </c>
      <c r="S2" t="s">
        <v>186</v>
      </c>
      <c r="U2" t="s">
        <v>189</v>
      </c>
    </row>
    <row r="3" spans="1:44" x14ac:dyDescent="0.2">
      <c r="A3" s="4" t="s">
        <v>122</v>
      </c>
      <c r="B3" s="2">
        <v>19396223</v>
      </c>
      <c r="C3" s="4" t="s">
        <v>126</v>
      </c>
      <c r="D3" s="18" t="s">
        <v>285</v>
      </c>
      <c r="E3" s="4" t="s">
        <v>127</v>
      </c>
      <c r="F3" s="18" t="s">
        <v>196</v>
      </c>
      <c r="G3" s="4" t="s">
        <v>47</v>
      </c>
      <c r="H3" s="3">
        <v>45689</v>
      </c>
      <c r="I3" s="4" t="s">
        <v>90</v>
      </c>
      <c r="J3" s="2">
        <v>1</v>
      </c>
      <c r="K3" s="2">
        <v>17</v>
      </c>
      <c r="L3" s="4" t="s">
        <v>51</v>
      </c>
      <c r="M3" s="5">
        <v>0.92</v>
      </c>
      <c r="N3" s="5">
        <v>0</v>
      </c>
      <c r="O3" s="5">
        <v>100</v>
      </c>
      <c r="P3" s="5">
        <v>286.92</v>
      </c>
      <c r="Q3" s="4" t="s">
        <v>53</v>
      </c>
      <c r="R3" s="3">
        <v>45689</v>
      </c>
      <c r="S3" t="s">
        <v>186</v>
      </c>
      <c r="U3" t="s">
        <v>189</v>
      </c>
    </row>
    <row r="4" spans="1:44" x14ac:dyDescent="0.2">
      <c r="A4" s="6" t="s">
        <v>137</v>
      </c>
      <c r="B4" s="7">
        <v>8244481</v>
      </c>
      <c r="C4" s="6" t="s">
        <v>138</v>
      </c>
      <c r="D4" s="19" t="s">
        <v>286</v>
      </c>
      <c r="E4" s="16">
        <v>9028406240</v>
      </c>
      <c r="F4" s="16">
        <v>90284062404</v>
      </c>
      <c r="G4" s="6" t="s">
        <v>140</v>
      </c>
      <c r="H4" s="8">
        <v>45717</v>
      </c>
      <c r="I4" s="6" t="s">
        <v>49</v>
      </c>
      <c r="J4" s="7">
        <v>2</v>
      </c>
      <c r="K4" s="7">
        <v>60</v>
      </c>
      <c r="L4" s="6" t="s">
        <v>143</v>
      </c>
      <c r="M4" s="9">
        <v>10</v>
      </c>
      <c r="N4" s="9">
        <v>26.88</v>
      </c>
      <c r="O4" s="9">
        <v>100</v>
      </c>
      <c r="P4" s="9">
        <v>2.69</v>
      </c>
      <c r="Q4" s="6" t="s">
        <v>144</v>
      </c>
      <c r="R4" s="8">
        <v>45323</v>
      </c>
      <c r="S4" s="10"/>
      <c r="T4" s="10"/>
      <c r="U4" s="10" t="s">
        <v>190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1:44" x14ac:dyDescent="0.2">
      <c r="A5" s="6" t="s">
        <v>137</v>
      </c>
      <c r="B5" s="7">
        <v>8244481</v>
      </c>
      <c r="C5" s="6" t="s">
        <v>146</v>
      </c>
      <c r="D5" s="19" t="s">
        <v>287</v>
      </c>
      <c r="E5" s="16">
        <v>9029611520</v>
      </c>
      <c r="F5" s="16">
        <v>90296115204</v>
      </c>
      <c r="G5" s="6" t="s">
        <v>140</v>
      </c>
      <c r="H5" s="8">
        <v>45717</v>
      </c>
      <c r="I5" s="6" t="s">
        <v>49</v>
      </c>
      <c r="J5" s="7">
        <v>1</v>
      </c>
      <c r="K5" s="7">
        <v>60</v>
      </c>
      <c r="L5" s="6" t="s">
        <v>143</v>
      </c>
      <c r="M5" s="9">
        <v>10</v>
      </c>
      <c r="N5" s="9">
        <v>13.93</v>
      </c>
      <c r="O5" s="9">
        <v>100</v>
      </c>
      <c r="P5" s="9">
        <v>1.39</v>
      </c>
      <c r="Q5" s="6" t="s">
        <v>148</v>
      </c>
      <c r="R5" s="8">
        <v>45597</v>
      </c>
      <c r="S5" s="10"/>
      <c r="T5" s="10"/>
      <c r="U5" s="10" t="s">
        <v>190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x14ac:dyDescent="0.2">
      <c r="A6" s="6" t="s">
        <v>137</v>
      </c>
      <c r="B6" s="7">
        <v>8244481</v>
      </c>
      <c r="C6" s="6" t="s">
        <v>150</v>
      </c>
      <c r="D6" s="19" t="s">
        <v>288</v>
      </c>
      <c r="E6" s="16">
        <v>9029691910</v>
      </c>
      <c r="F6" s="16">
        <v>90296919104</v>
      </c>
      <c r="G6" s="6" t="s">
        <v>140</v>
      </c>
      <c r="H6" s="8">
        <v>45717</v>
      </c>
      <c r="I6" s="6" t="s">
        <v>49</v>
      </c>
      <c r="J6" s="7">
        <v>2</v>
      </c>
      <c r="K6" s="7">
        <v>3</v>
      </c>
      <c r="L6" s="6" t="s">
        <v>152</v>
      </c>
      <c r="M6" s="9">
        <v>10</v>
      </c>
      <c r="N6" s="9">
        <v>97.6</v>
      </c>
      <c r="O6" s="9">
        <v>100</v>
      </c>
      <c r="P6" s="9">
        <v>9.76</v>
      </c>
      <c r="Q6" s="6" t="s">
        <v>148</v>
      </c>
      <c r="R6" s="8">
        <v>45627</v>
      </c>
      <c r="S6" s="10"/>
      <c r="T6" s="10"/>
      <c r="U6" s="10" t="s">
        <v>190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1:44" x14ac:dyDescent="0.2">
      <c r="A7" s="6" t="s">
        <v>137</v>
      </c>
      <c r="B7" s="7">
        <v>8244481</v>
      </c>
      <c r="C7" s="6" t="s">
        <v>150</v>
      </c>
      <c r="D7" s="19" t="s">
        <v>288</v>
      </c>
      <c r="E7" s="16">
        <v>9029691920</v>
      </c>
      <c r="F7" s="16">
        <v>90296919204</v>
      </c>
      <c r="G7" s="6" t="s">
        <v>140</v>
      </c>
      <c r="H7" s="8">
        <v>45717</v>
      </c>
      <c r="I7" s="6" t="s">
        <v>49</v>
      </c>
      <c r="J7" s="7">
        <v>2</v>
      </c>
      <c r="K7" s="7">
        <v>60</v>
      </c>
      <c r="L7" s="6" t="s">
        <v>143</v>
      </c>
      <c r="M7" s="9">
        <v>10</v>
      </c>
      <c r="N7" s="9">
        <v>26.88</v>
      </c>
      <c r="O7" s="9">
        <v>100</v>
      </c>
      <c r="P7" s="9">
        <v>2.69</v>
      </c>
      <c r="Q7" s="6" t="s">
        <v>148</v>
      </c>
      <c r="R7" s="8">
        <v>45627</v>
      </c>
      <c r="S7" s="10"/>
      <c r="T7" s="10"/>
      <c r="U7" s="10" t="s">
        <v>190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x14ac:dyDescent="0.2">
      <c r="A8" s="4" t="s">
        <v>129</v>
      </c>
      <c r="B8" s="2" t="s">
        <v>194</v>
      </c>
      <c r="C8" s="4" t="s">
        <v>130</v>
      </c>
      <c r="D8" s="18" t="s">
        <v>289</v>
      </c>
      <c r="E8" s="4" t="s">
        <v>131</v>
      </c>
      <c r="F8" s="18" t="s">
        <v>197</v>
      </c>
      <c r="G8" s="4" t="s">
        <v>47</v>
      </c>
      <c r="H8" s="3">
        <v>45717</v>
      </c>
      <c r="I8" s="4" t="s">
        <v>49</v>
      </c>
      <c r="J8" s="2">
        <v>1</v>
      </c>
      <c r="K8" s="2">
        <v>17</v>
      </c>
      <c r="L8" s="4" t="s">
        <v>51</v>
      </c>
      <c r="M8" s="5">
        <v>0.83</v>
      </c>
      <c r="N8" s="5">
        <v>0</v>
      </c>
      <c r="O8" s="5">
        <v>100</v>
      </c>
      <c r="P8" s="5">
        <v>260.83</v>
      </c>
      <c r="Q8" s="4" t="s">
        <v>53</v>
      </c>
      <c r="R8" s="3">
        <v>45717</v>
      </c>
      <c r="S8" t="s">
        <v>185</v>
      </c>
      <c r="U8" t="s">
        <v>189</v>
      </c>
    </row>
    <row r="9" spans="1:44" x14ac:dyDescent="0.2">
      <c r="A9" s="6" t="s">
        <v>129</v>
      </c>
      <c r="B9" s="2" t="s">
        <v>194</v>
      </c>
      <c r="C9" s="6" t="s">
        <v>179</v>
      </c>
      <c r="D9" s="19" t="s">
        <v>290</v>
      </c>
      <c r="E9" s="16">
        <v>9029455080</v>
      </c>
      <c r="F9" s="16">
        <v>90294550804</v>
      </c>
      <c r="G9" s="6" t="s">
        <v>140</v>
      </c>
      <c r="H9" s="8">
        <v>45717</v>
      </c>
      <c r="I9" s="6" t="s">
        <v>49</v>
      </c>
      <c r="J9" s="7">
        <v>1</v>
      </c>
      <c r="K9" s="7">
        <v>3</v>
      </c>
      <c r="L9" s="6" t="s">
        <v>152</v>
      </c>
      <c r="M9" s="9">
        <v>10</v>
      </c>
      <c r="N9" s="9">
        <v>41.82</v>
      </c>
      <c r="O9" s="9">
        <v>100</v>
      </c>
      <c r="P9" s="9">
        <v>4.18</v>
      </c>
      <c r="Q9" s="6" t="s">
        <v>148</v>
      </c>
      <c r="R9" s="8">
        <v>45658</v>
      </c>
      <c r="S9" s="10"/>
      <c r="T9" s="10"/>
      <c r="U9" s="10" t="s">
        <v>190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x14ac:dyDescent="0.2">
      <c r="A10" s="4" t="s">
        <v>98</v>
      </c>
      <c r="B10" s="2">
        <v>17425766</v>
      </c>
      <c r="C10" s="4" t="s">
        <v>102</v>
      </c>
      <c r="D10" s="18" t="s">
        <v>291</v>
      </c>
      <c r="E10" s="4" t="s">
        <v>103</v>
      </c>
      <c r="F10" s="18" t="s">
        <v>198</v>
      </c>
      <c r="G10" s="4" t="s">
        <v>47</v>
      </c>
      <c r="H10" s="3">
        <v>45658</v>
      </c>
      <c r="I10" s="4" t="s">
        <v>74</v>
      </c>
      <c r="J10" s="2">
        <v>1</v>
      </c>
      <c r="K10" s="2">
        <v>17</v>
      </c>
      <c r="L10" s="4" t="s">
        <v>51</v>
      </c>
      <c r="M10" s="5">
        <v>-0.92</v>
      </c>
      <c r="N10" s="5">
        <v>0</v>
      </c>
      <c r="O10" s="5">
        <v>100</v>
      </c>
      <c r="P10" s="5">
        <v>-286.92</v>
      </c>
      <c r="Q10" s="4" t="s">
        <v>53</v>
      </c>
      <c r="R10" s="3">
        <v>45658</v>
      </c>
      <c r="S10" t="s">
        <v>186</v>
      </c>
      <c r="U10" t="s">
        <v>189</v>
      </c>
    </row>
    <row r="11" spans="1:44" x14ac:dyDescent="0.2">
      <c r="A11" s="4" t="s">
        <v>98</v>
      </c>
      <c r="B11" s="2">
        <v>17425766</v>
      </c>
      <c r="C11" s="4" t="s">
        <v>99</v>
      </c>
      <c r="D11" s="18" t="s">
        <v>292</v>
      </c>
      <c r="E11" s="4" t="s">
        <v>100</v>
      </c>
      <c r="F11" s="18" t="s">
        <v>199</v>
      </c>
      <c r="G11" s="4" t="s">
        <v>47</v>
      </c>
      <c r="H11" s="3">
        <v>45658</v>
      </c>
      <c r="I11" s="4" t="s">
        <v>74</v>
      </c>
      <c r="J11" s="2">
        <v>1</v>
      </c>
      <c r="K11" s="2">
        <v>17</v>
      </c>
      <c r="L11" s="4" t="s">
        <v>51</v>
      </c>
      <c r="M11" s="5">
        <v>-0.83</v>
      </c>
      <c r="N11" s="5">
        <v>0</v>
      </c>
      <c r="O11" s="5">
        <v>100</v>
      </c>
      <c r="P11" s="5">
        <v>-260.83</v>
      </c>
      <c r="Q11" s="4" t="s">
        <v>53</v>
      </c>
      <c r="R11" s="3">
        <v>45658</v>
      </c>
      <c r="S11" t="s">
        <v>185</v>
      </c>
      <c r="U11" t="s">
        <v>189</v>
      </c>
    </row>
    <row r="12" spans="1:44" x14ac:dyDescent="0.2">
      <c r="A12" s="4" t="s">
        <v>86</v>
      </c>
      <c r="B12" s="2">
        <v>17094718</v>
      </c>
      <c r="C12" s="4" t="s">
        <v>87</v>
      </c>
      <c r="D12" s="18" t="s">
        <v>293</v>
      </c>
      <c r="E12" s="4" t="s">
        <v>88</v>
      </c>
      <c r="F12" s="18" t="s">
        <v>200</v>
      </c>
      <c r="G12" s="4" t="s">
        <v>47</v>
      </c>
      <c r="H12" s="3">
        <v>45689</v>
      </c>
      <c r="I12" s="4" t="s">
        <v>90</v>
      </c>
      <c r="J12" s="2">
        <v>1</v>
      </c>
      <c r="K12" s="2">
        <v>17</v>
      </c>
      <c r="L12" s="4" t="s">
        <v>51</v>
      </c>
      <c r="M12" s="5">
        <v>0.92</v>
      </c>
      <c r="N12" s="5">
        <v>0</v>
      </c>
      <c r="O12" s="5">
        <v>100</v>
      </c>
      <c r="P12" s="5">
        <v>286.92</v>
      </c>
      <c r="Q12" s="4" t="s">
        <v>53</v>
      </c>
      <c r="R12" s="3">
        <v>45689</v>
      </c>
      <c r="S12" t="s">
        <v>186</v>
      </c>
      <c r="U12" t="s">
        <v>189</v>
      </c>
    </row>
    <row r="13" spans="1:44" x14ac:dyDescent="0.2">
      <c r="A13" s="4" t="s">
        <v>86</v>
      </c>
      <c r="B13" s="2">
        <v>17094718</v>
      </c>
      <c r="C13" s="4" t="s">
        <v>91</v>
      </c>
      <c r="D13" s="18" t="s">
        <v>294</v>
      </c>
      <c r="E13" s="4" t="s">
        <v>92</v>
      </c>
      <c r="F13" s="18" t="s">
        <v>201</v>
      </c>
      <c r="G13" s="4" t="s">
        <v>47</v>
      </c>
      <c r="H13" s="3">
        <v>45689</v>
      </c>
      <c r="I13" s="4" t="s">
        <v>90</v>
      </c>
      <c r="J13" s="2">
        <v>1</v>
      </c>
      <c r="K13" s="2">
        <v>17</v>
      </c>
      <c r="L13" s="4" t="s">
        <v>51</v>
      </c>
      <c r="M13" s="5">
        <v>0.92</v>
      </c>
      <c r="N13" s="5">
        <v>0</v>
      </c>
      <c r="O13" s="5">
        <v>100</v>
      </c>
      <c r="P13" s="5">
        <v>286.92</v>
      </c>
      <c r="Q13" s="4" t="s">
        <v>53</v>
      </c>
      <c r="R13" s="3">
        <v>45689</v>
      </c>
      <c r="S13" t="s">
        <v>186</v>
      </c>
      <c r="U13" t="s">
        <v>189</v>
      </c>
    </row>
    <row r="14" spans="1:44" x14ac:dyDescent="0.2">
      <c r="A14" s="4" t="s">
        <v>94</v>
      </c>
      <c r="B14" s="2">
        <v>17301495</v>
      </c>
      <c r="C14" s="4" t="s">
        <v>95</v>
      </c>
      <c r="D14" s="18" t="s">
        <v>295</v>
      </c>
      <c r="E14" s="4" t="s">
        <v>96</v>
      </c>
      <c r="F14" s="18" t="s">
        <v>202</v>
      </c>
      <c r="G14" s="4" t="s">
        <v>47</v>
      </c>
      <c r="H14" s="3">
        <v>45689</v>
      </c>
      <c r="I14" s="4" t="s">
        <v>90</v>
      </c>
      <c r="J14" s="2">
        <v>1</v>
      </c>
      <c r="K14" s="2">
        <v>17</v>
      </c>
      <c r="L14" s="4" t="s">
        <v>51</v>
      </c>
      <c r="M14" s="5">
        <v>0.92</v>
      </c>
      <c r="N14" s="5">
        <v>0</v>
      </c>
      <c r="O14" s="5">
        <v>100</v>
      </c>
      <c r="P14" s="5">
        <v>286.92</v>
      </c>
      <c r="Q14" s="4" t="s">
        <v>53</v>
      </c>
      <c r="R14" s="3">
        <v>45689</v>
      </c>
      <c r="S14" t="s">
        <v>186</v>
      </c>
      <c r="U14" t="s">
        <v>189</v>
      </c>
    </row>
    <row r="15" spans="1:44" x14ac:dyDescent="0.2">
      <c r="A15" s="4" t="s">
        <v>42</v>
      </c>
      <c r="B15" s="2">
        <v>2158366</v>
      </c>
      <c r="C15" s="4" t="s">
        <v>43</v>
      </c>
      <c r="D15" s="18" t="s">
        <v>296</v>
      </c>
      <c r="E15" s="4" t="s">
        <v>44</v>
      </c>
      <c r="F15" s="18" t="s">
        <v>203</v>
      </c>
      <c r="G15" s="4" t="s">
        <v>47</v>
      </c>
      <c r="H15" s="3">
        <v>45717</v>
      </c>
      <c r="I15" s="4" t="s">
        <v>49</v>
      </c>
      <c r="J15" s="2">
        <v>1</v>
      </c>
      <c r="K15" s="2">
        <v>17</v>
      </c>
      <c r="L15" s="4" t="s">
        <v>51</v>
      </c>
      <c r="M15" s="5">
        <v>0.83</v>
      </c>
      <c r="N15" s="5">
        <v>0</v>
      </c>
      <c r="O15" s="5">
        <v>100</v>
      </c>
      <c r="P15" s="5">
        <v>260.83</v>
      </c>
      <c r="Q15" s="4" t="s">
        <v>53</v>
      </c>
      <c r="R15" s="3">
        <v>45717</v>
      </c>
      <c r="S15" t="s">
        <v>185</v>
      </c>
      <c r="U15" t="s">
        <v>189</v>
      </c>
    </row>
    <row r="16" spans="1:44" x14ac:dyDescent="0.2">
      <c r="A16" s="4" t="s">
        <v>70</v>
      </c>
      <c r="B16" s="2">
        <v>7146581</v>
      </c>
      <c r="C16" s="4" t="s">
        <v>71</v>
      </c>
      <c r="D16" s="18" t="s">
        <v>297</v>
      </c>
      <c r="E16" s="4" t="s">
        <v>72</v>
      </c>
      <c r="F16" s="18" t="s">
        <v>204</v>
      </c>
      <c r="G16" s="4" t="s">
        <v>47</v>
      </c>
      <c r="H16" s="3">
        <v>45658</v>
      </c>
      <c r="I16" s="4" t="s">
        <v>74</v>
      </c>
      <c r="J16" s="2">
        <v>1</v>
      </c>
      <c r="K16" s="2">
        <v>17</v>
      </c>
      <c r="L16" s="4" t="s">
        <v>51</v>
      </c>
      <c r="M16" s="5">
        <v>1</v>
      </c>
      <c r="N16" s="5">
        <v>0</v>
      </c>
      <c r="O16" s="5">
        <v>100</v>
      </c>
      <c r="P16" s="5">
        <v>313</v>
      </c>
      <c r="Q16" s="4" t="s">
        <v>53</v>
      </c>
      <c r="R16" s="3">
        <v>45658</v>
      </c>
      <c r="S16" t="s">
        <v>184</v>
      </c>
      <c r="U16" t="s">
        <v>189</v>
      </c>
    </row>
    <row r="17" spans="1:44" x14ac:dyDescent="0.2">
      <c r="A17" s="6" t="s">
        <v>181</v>
      </c>
      <c r="B17" s="7">
        <v>19278370</v>
      </c>
      <c r="C17" s="6" t="s">
        <v>182</v>
      </c>
      <c r="D17" s="19" t="s">
        <v>298</v>
      </c>
      <c r="E17" s="16">
        <v>9030047190</v>
      </c>
      <c r="F17" s="16">
        <v>90300471904</v>
      </c>
      <c r="G17" s="6" t="s">
        <v>140</v>
      </c>
      <c r="H17" s="8">
        <v>45689</v>
      </c>
      <c r="I17" s="6" t="s">
        <v>90</v>
      </c>
      <c r="J17" s="7">
        <v>4</v>
      </c>
      <c r="K17" s="7">
        <v>60</v>
      </c>
      <c r="L17" s="6" t="s">
        <v>143</v>
      </c>
      <c r="M17" s="9">
        <v>10</v>
      </c>
      <c r="N17" s="9">
        <v>36.99</v>
      </c>
      <c r="O17" s="9">
        <v>100</v>
      </c>
      <c r="P17" s="9">
        <v>38.700000000000003</v>
      </c>
      <c r="Q17" s="6" t="s">
        <v>148</v>
      </c>
      <c r="R17" s="8">
        <v>45689</v>
      </c>
      <c r="S17" s="10"/>
      <c r="T17" s="10"/>
      <c r="U17" s="10" t="s">
        <v>190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x14ac:dyDescent="0.2">
      <c r="A18" s="6" t="s">
        <v>159</v>
      </c>
      <c r="B18" s="7">
        <v>6634327</v>
      </c>
      <c r="C18" s="6" t="s">
        <v>160</v>
      </c>
      <c r="D18" s="6" t="s">
        <v>160</v>
      </c>
      <c r="E18" s="16">
        <v>853911</v>
      </c>
      <c r="F18" s="16">
        <v>8539114</v>
      </c>
      <c r="G18" s="6" t="s">
        <v>157</v>
      </c>
      <c r="H18" s="8">
        <v>45689</v>
      </c>
      <c r="I18" s="6" t="s">
        <v>90</v>
      </c>
      <c r="J18" s="7">
        <v>2</v>
      </c>
      <c r="K18" s="7">
        <v>3</v>
      </c>
      <c r="L18" s="6" t="s">
        <v>152</v>
      </c>
      <c r="M18" s="9">
        <v>10</v>
      </c>
      <c r="N18" s="9">
        <v>503.08</v>
      </c>
      <c r="O18" s="9">
        <v>100</v>
      </c>
      <c r="P18" s="9">
        <v>50.31</v>
      </c>
      <c r="Q18" s="6" t="s">
        <v>162</v>
      </c>
      <c r="R18" s="8">
        <v>44562</v>
      </c>
      <c r="S18" s="10"/>
      <c r="T18" s="10"/>
      <c r="U18" s="10" t="s">
        <v>190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x14ac:dyDescent="0.2">
      <c r="A19" s="6" t="s">
        <v>159</v>
      </c>
      <c r="B19" s="7">
        <v>6634327</v>
      </c>
      <c r="C19" s="6" t="s">
        <v>160</v>
      </c>
      <c r="D19" s="6" t="s">
        <v>160</v>
      </c>
      <c r="E19" s="16">
        <v>853911</v>
      </c>
      <c r="F19" s="16">
        <v>8539114</v>
      </c>
      <c r="G19" s="6" t="s">
        <v>157</v>
      </c>
      <c r="H19" s="8">
        <v>45689</v>
      </c>
      <c r="I19" s="6" t="s">
        <v>90</v>
      </c>
      <c r="J19" s="7">
        <v>2</v>
      </c>
      <c r="K19" s="7">
        <v>60</v>
      </c>
      <c r="L19" s="6" t="s">
        <v>143</v>
      </c>
      <c r="M19" s="9">
        <v>10</v>
      </c>
      <c r="N19" s="9">
        <v>50.98</v>
      </c>
      <c r="O19" s="9">
        <v>100</v>
      </c>
      <c r="P19" s="9">
        <v>5.0999999999999996</v>
      </c>
      <c r="Q19" s="6" t="s">
        <v>162</v>
      </c>
      <c r="R19" s="8">
        <v>44562</v>
      </c>
      <c r="S19" s="10"/>
      <c r="T19" s="10"/>
      <c r="U19" s="10" t="s">
        <v>190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x14ac:dyDescent="0.2">
      <c r="A20" s="11" t="s">
        <v>176</v>
      </c>
      <c r="B20" s="12">
        <v>5442438</v>
      </c>
      <c r="C20" s="11" t="s">
        <v>177</v>
      </c>
      <c r="D20" s="20" t="s">
        <v>299</v>
      </c>
      <c r="E20" s="11" t="s">
        <v>178</v>
      </c>
      <c r="F20" s="11" t="s">
        <v>178</v>
      </c>
      <c r="G20" s="11" t="s">
        <v>167</v>
      </c>
      <c r="H20" s="13">
        <v>45689</v>
      </c>
      <c r="I20" s="11" t="s">
        <v>90</v>
      </c>
      <c r="J20" s="12">
        <v>1</v>
      </c>
      <c r="K20" s="12">
        <v>17</v>
      </c>
      <c r="L20" s="11" t="s">
        <v>51</v>
      </c>
      <c r="M20" s="14">
        <v>11</v>
      </c>
      <c r="N20" s="14">
        <v>1622.64</v>
      </c>
      <c r="O20" s="14">
        <v>100</v>
      </c>
      <c r="P20" s="14">
        <v>178.44</v>
      </c>
      <c r="Q20" s="11" t="s">
        <v>168</v>
      </c>
      <c r="R20" s="13">
        <v>45689</v>
      </c>
      <c r="S20" s="15"/>
      <c r="T20" s="15"/>
      <c r="U20" s="15" t="s">
        <v>191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1:44" x14ac:dyDescent="0.2">
      <c r="A21" s="4" t="s">
        <v>105</v>
      </c>
      <c r="B21" s="2">
        <v>9213293</v>
      </c>
      <c r="C21" s="4" t="s">
        <v>109</v>
      </c>
      <c r="D21" s="18" t="s">
        <v>300</v>
      </c>
      <c r="E21" s="4" t="s">
        <v>110</v>
      </c>
      <c r="F21" s="18" t="s">
        <v>205</v>
      </c>
      <c r="G21" s="4" t="s">
        <v>47</v>
      </c>
      <c r="H21" s="3">
        <v>45658</v>
      </c>
      <c r="I21" s="4" t="s">
        <v>74</v>
      </c>
      <c r="J21" s="2">
        <v>1</v>
      </c>
      <c r="K21" s="2">
        <v>17</v>
      </c>
      <c r="L21" s="4" t="s">
        <v>51</v>
      </c>
      <c r="M21" s="5">
        <v>-0.83</v>
      </c>
      <c r="N21" s="5">
        <v>0</v>
      </c>
      <c r="O21" s="5">
        <v>100</v>
      </c>
      <c r="P21" s="5">
        <v>-260.83</v>
      </c>
      <c r="Q21" s="4" t="s">
        <v>53</v>
      </c>
      <c r="R21" s="3">
        <v>45658</v>
      </c>
      <c r="S21" t="s">
        <v>185</v>
      </c>
      <c r="U21" t="s">
        <v>189</v>
      </c>
    </row>
    <row r="22" spans="1:44" x14ac:dyDescent="0.2">
      <c r="A22" s="4" t="s">
        <v>105</v>
      </c>
      <c r="B22" s="2">
        <v>9213293</v>
      </c>
      <c r="C22" s="4" t="s">
        <v>112</v>
      </c>
      <c r="D22" s="18" t="s">
        <v>301</v>
      </c>
      <c r="E22" s="4" t="s">
        <v>113</v>
      </c>
      <c r="F22" s="18" t="s">
        <v>206</v>
      </c>
      <c r="G22" s="4" t="s">
        <v>47</v>
      </c>
      <c r="H22" s="3">
        <v>45778</v>
      </c>
      <c r="I22" s="4" t="s">
        <v>60</v>
      </c>
      <c r="J22" s="2">
        <v>1</v>
      </c>
      <c r="K22" s="2">
        <v>17</v>
      </c>
      <c r="L22" s="4" t="s">
        <v>51</v>
      </c>
      <c r="M22" s="5">
        <v>0.67</v>
      </c>
      <c r="N22" s="5">
        <v>0</v>
      </c>
      <c r="O22" s="5">
        <v>100</v>
      </c>
      <c r="P22" s="5">
        <v>208.67</v>
      </c>
      <c r="Q22" s="4" t="s">
        <v>53</v>
      </c>
      <c r="R22" s="3">
        <v>45778</v>
      </c>
      <c r="S22" t="s">
        <v>188</v>
      </c>
      <c r="U22" t="s">
        <v>189</v>
      </c>
    </row>
    <row r="23" spans="1:44" x14ac:dyDescent="0.2">
      <c r="A23" s="4" t="s">
        <v>105</v>
      </c>
      <c r="B23" s="2">
        <v>9213293</v>
      </c>
      <c r="C23" s="4" t="s">
        <v>115</v>
      </c>
      <c r="D23" s="18" t="s">
        <v>302</v>
      </c>
      <c r="E23" s="4" t="s">
        <v>116</v>
      </c>
      <c r="F23" s="18" t="s">
        <v>207</v>
      </c>
      <c r="G23" s="4" t="s">
        <v>47</v>
      </c>
      <c r="H23" s="3">
        <v>45778</v>
      </c>
      <c r="I23" s="4" t="s">
        <v>60</v>
      </c>
      <c r="J23" s="2">
        <v>1</v>
      </c>
      <c r="K23" s="2">
        <v>17</v>
      </c>
      <c r="L23" s="4" t="s">
        <v>51</v>
      </c>
      <c r="M23" s="5">
        <v>0.67</v>
      </c>
      <c r="N23" s="5">
        <v>0</v>
      </c>
      <c r="O23" s="5">
        <v>100</v>
      </c>
      <c r="P23" s="5">
        <v>208.67</v>
      </c>
      <c r="Q23" s="4" t="s">
        <v>53</v>
      </c>
      <c r="R23" s="3">
        <v>45778</v>
      </c>
      <c r="S23" t="s">
        <v>188</v>
      </c>
      <c r="U23" t="s">
        <v>189</v>
      </c>
    </row>
    <row r="24" spans="1:44" s="10" customFormat="1" x14ac:dyDescent="0.2">
      <c r="A24" s="4" t="s">
        <v>105</v>
      </c>
      <c r="B24" s="2">
        <v>9213293</v>
      </c>
      <c r="C24" s="4" t="s">
        <v>106</v>
      </c>
      <c r="D24" s="18" t="s">
        <v>303</v>
      </c>
      <c r="E24" s="4" t="s">
        <v>107</v>
      </c>
      <c r="F24" s="18" t="s">
        <v>208</v>
      </c>
      <c r="G24" s="4" t="s">
        <v>47</v>
      </c>
      <c r="H24" s="3">
        <v>45689</v>
      </c>
      <c r="I24" s="4" t="s">
        <v>90</v>
      </c>
      <c r="J24" s="2">
        <v>1</v>
      </c>
      <c r="K24" s="2">
        <v>17</v>
      </c>
      <c r="L24" s="4" t="s">
        <v>51</v>
      </c>
      <c r="M24" s="5">
        <v>0.92</v>
      </c>
      <c r="N24" s="5">
        <v>0</v>
      </c>
      <c r="O24" s="5">
        <v>100</v>
      </c>
      <c r="P24" s="5">
        <v>286.92</v>
      </c>
      <c r="Q24" s="4" t="s">
        <v>53</v>
      </c>
      <c r="R24" s="3">
        <v>45689</v>
      </c>
      <c r="S24" t="s">
        <v>186</v>
      </c>
      <c r="T24"/>
      <c r="U24" t="s">
        <v>189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10" customFormat="1" x14ac:dyDescent="0.2">
      <c r="A25" s="4" t="s">
        <v>133</v>
      </c>
      <c r="B25" s="2">
        <v>19645587</v>
      </c>
      <c r="C25" s="4" t="s">
        <v>134</v>
      </c>
      <c r="D25" s="18" t="s">
        <v>304</v>
      </c>
      <c r="E25" s="4" t="s">
        <v>135</v>
      </c>
      <c r="F25" s="18" t="s">
        <v>209</v>
      </c>
      <c r="G25" s="4" t="s">
        <v>47</v>
      </c>
      <c r="H25" s="3">
        <v>45689</v>
      </c>
      <c r="I25" s="4" t="s">
        <v>90</v>
      </c>
      <c r="J25" s="2">
        <v>1</v>
      </c>
      <c r="K25" s="2">
        <v>17</v>
      </c>
      <c r="L25" s="4" t="s">
        <v>51</v>
      </c>
      <c r="M25" s="5">
        <v>0.92</v>
      </c>
      <c r="N25" s="5">
        <v>0</v>
      </c>
      <c r="O25" s="5">
        <v>100</v>
      </c>
      <c r="P25" s="5">
        <v>286.92</v>
      </c>
      <c r="Q25" s="4" t="s">
        <v>53</v>
      </c>
      <c r="R25" s="3">
        <v>45689</v>
      </c>
      <c r="S25" t="s">
        <v>186</v>
      </c>
      <c r="T25"/>
      <c r="U25" t="s">
        <v>189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10" customFormat="1" x14ac:dyDescent="0.2">
      <c r="A26" s="11" t="s">
        <v>164</v>
      </c>
      <c r="B26" s="12">
        <v>9079571</v>
      </c>
      <c r="C26" s="11" t="s">
        <v>165</v>
      </c>
      <c r="D26" s="20" t="s">
        <v>305</v>
      </c>
      <c r="E26" s="11" t="s">
        <v>166</v>
      </c>
      <c r="F26" s="11" t="s">
        <v>166</v>
      </c>
      <c r="G26" s="11" t="s">
        <v>167</v>
      </c>
      <c r="H26" s="13">
        <v>45689</v>
      </c>
      <c r="I26" s="11" t="s">
        <v>90</v>
      </c>
      <c r="J26" s="12">
        <v>1</v>
      </c>
      <c r="K26" s="12">
        <v>17</v>
      </c>
      <c r="L26" s="11" t="s">
        <v>51</v>
      </c>
      <c r="M26" s="14">
        <v>22</v>
      </c>
      <c r="N26" s="14">
        <v>1590.6</v>
      </c>
      <c r="O26" s="14">
        <v>100</v>
      </c>
      <c r="P26" s="14">
        <v>349.92</v>
      </c>
      <c r="Q26" s="11" t="s">
        <v>168</v>
      </c>
      <c r="R26" s="13">
        <v>45689</v>
      </c>
      <c r="S26" s="15"/>
      <c r="T26" s="15"/>
      <c r="U26" s="15" t="s">
        <v>192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</row>
    <row r="27" spans="1:44" s="10" customFormat="1" x14ac:dyDescent="0.2">
      <c r="A27" s="11" t="s">
        <v>164</v>
      </c>
      <c r="B27" s="12">
        <v>9079571</v>
      </c>
      <c r="C27" s="11" t="s">
        <v>170</v>
      </c>
      <c r="D27" s="20" t="s">
        <v>306</v>
      </c>
      <c r="E27" s="11" t="s">
        <v>171</v>
      </c>
      <c r="F27" s="11" t="s">
        <v>171</v>
      </c>
      <c r="G27" s="11" t="s">
        <v>167</v>
      </c>
      <c r="H27" s="13">
        <v>45689</v>
      </c>
      <c r="I27" s="11" t="s">
        <v>90</v>
      </c>
      <c r="J27" s="12">
        <v>1</v>
      </c>
      <c r="K27" s="12">
        <v>17</v>
      </c>
      <c r="L27" s="11" t="s">
        <v>51</v>
      </c>
      <c r="M27" s="14">
        <v>11</v>
      </c>
      <c r="N27" s="14">
        <v>1697.76</v>
      </c>
      <c r="O27" s="14">
        <v>100</v>
      </c>
      <c r="P27" s="14">
        <v>186.72</v>
      </c>
      <c r="Q27" s="11" t="s">
        <v>168</v>
      </c>
      <c r="R27" s="13">
        <v>45689</v>
      </c>
      <c r="S27" s="15"/>
      <c r="T27" s="15"/>
      <c r="U27" s="15" t="s">
        <v>191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</row>
    <row r="28" spans="1:44" s="10" customFormat="1" x14ac:dyDescent="0.2">
      <c r="A28" s="6" t="s">
        <v>154</v>
      </c>
      <c r="B28" s="7">
        <v>14177521</v>
      </c>
      <c r="C28" s="6" t="s">
        <v>155</v>
      </c>
      <c r="D28" s="6" t="s">
        <v>155</v>
      </c>
      <c r="E28" s="16">
        <v>416672</v>
      </c>
      <c r="F28" s="16">
        <v>4166724</v>
      </c>
      <c r="G28" s="6" t="s">
        <v>157</v>
      </c>
      <c r="H28" s="8">
        <v>45658</v>
      </c>
      <c r="I28" s="6" t="s">
        <v>74</v>
      </c>
      <c r="J28" s="7">
        <v>6</v>
      </c>
      <c r="K28" s="7">
        <v>3</v>
      </c>
      <c r="L28" s="6" t="s">
        <v>152</v>
      </c>
      <c r="M28" s="9">
        <v>10</v>
      </c>
      <c r="N28" s="9">
        <v>414.6</v>
      </c>
      <c r="O28" s="9">
        <v>100</v>
      </c>
      <c r="P28" s="9">
        <v>41.46</v>
      </c>
      <c r="Q28" s="6" t="s">
        <v>53</v>
      </c>
      <c r="R28" s="8">
        <v>45658</v>
      </c>
      <c r="U28" s="10" t="s">
        <v>190</v>
      </c>
    </row>
    <row r="29" spans="1:44" s="10" customFormat="1" x14ac:dyDescent="0.2">
      <c r="A29" s="6" t="s">
        <v>154</v>
      </c>
      <c r="B29" s="7">
        <v>14177521</v>
      </c>
      <c r="C29" s="6" t="s">
        <v>155</v>
      </c>
      <c r="D29" s="6" t="s">
        <v>155</v>
      </c>
      <c r="E29" s="16">
        <v>416672</v>
      </c>
      <c r="F29" s="16">
        <v>4166724</v>
      </c>
      <c r="G29" s="6" t="s">
        <v>157</v>
      </c>
      <c r="H29" s="8">
        <v>45689</v>
      </c>
      <c r="I29" s="6" t="s">
        <v>90</v>
      </c>
      <c r="J29" s="7">
        <v>6</v>
      </c>
      <c r="K29" s="7">
        <v>3</v>
      </c>
      <c r="L29" s="6" t="s">
        <v>152</v>
      </c>
      <c r="M29" s="9">
        <v>10</v>
      </c>
      <c r="N29" s="9">
        <v>414.6</v>
      </c>
      <c r="O29" s="9">
        <v>100</v>
      </c>
      <c r="P29" s="9">
        <v>41.46</v>
      </c>
      <c r="Q29" s="6" t="s">
        <v>53</v>
      </c>
      <c r="R29" s="8">
        <v>45658</v>
      </c>
      <c r="U29" s="10" t="s">
        <v>190</v>
      </c>
    </row>
    <row r="30" spans="1:44" s="10" customFormat="1" x14ac:dyDescent="0.2">
      <c r="A30" s="6" t="s">
        <v>154</v>
      </c>
      <c r="B30" s="7">
        <v>14177521</v>
      </c>
      <c r="C30" s="6" t="s">
        <v>155</v>
      </c>
      <c r="D30" s="6" t="s">
        <v>155</v>
      </c>
      <c r="E30" s="16">
        <v>416672</v>
      </c>
      <c r="F30" s="16">
        <v>4166724</v>
      </c>
      <c r="G30" s="6" t="s">
        <v>157</v>
      </c>
      <c r="H30" s="8">
        <v>45658</v>
      </c>
      <c r="I30" s="6" t="s">
        <v>74</v>
      </c>
      <c r="J30" s="7">
        <v>5</v>
      </c>
      <c r="K30" s="7">
        <v>60</v>
      </c>
      <c r="L30" s="6" t="s">
        <v>143</v>
      </c>
      <c r="M30" s="9">
        <v>10</v>
      </c>
      <c r="N30" s="9">
        <v>49.38</v>
      </c>
      <c r="O30" s="9">
        <v>100</v>
      </c>
      <c r="P30" s="9">
        <v>4.9400000000000004</v>
      </c>
      <c r="Q30" s="6" t="s">
        <v>53</v>
      </c>
      <c r="R30" s="8">
        <v>45658</v>
      </c>
      <c r="U30" s="10" t="s">
        <v>190</v>
      </c>
    </row>
    <row r="31" spans="1:44" s="10" customFormat="1" x14ac:dyDescent="0.2">
      <c r="A31" s="6" t="s">
        <v>154</v>
      </c>
      <c r="B31" s="7">
        <v>14177521</v>
      </c>
      <c r="C31" s="6" t="s">
        <v>155</v>
      </c>
      <c r="D31" s="6" t="s">
        <v>155</v>
      </c>
      <c r="E31" s="16">
        <v>416672</v>
      </c>
      <c r="F31" s="16">
        <v>4166724</v>
      </c>
      <c r="G31" s="6" t="s">
        <v>157</v>
      </c>
      <c r="H31" s="8">
        <v>45689</v>
      </c>
      <c r="I31" s="6" t="s">
        <v>90</v>
      </c>
      <c r="J31" s="7">
        <v>5</v>
      </c>
      <c r="K31" s="7">
        <v>60</v>
      </c>
      <c r="L31" s="6" t="s">
        <v>143</v>
      </c>
      <c r="M31" s="9">
        <v>10</v>
      </c>
      <c r="N31" s="9">
        <v>49.38</v>
      </c>
      <c r="O31" s="9">
        <v>100</v>
      </c>
      <c r="P31" s="9">
        <v>4.9400000000000004</v>
      </c>
      <c r="Q31" s="6" t="s">
        <v>53</v>
      </c>
      <c r="R31" s="8">
        <v>45658</v>
      </c>
      <c r="U31" s="10" t="s">
        <v>190</v>
      </c>
    </row>
    <row r="32" spans="1:44" s="10" customFormat="1" x14ac:dyDescent="0.2">
      <c r="A32" s="4" t="s">
        <v>56</v>
      </c>
      <c r="B32" s="2">
        <v>8307933</v>
      </c>
      <c r="C32" s="4" t="s">
        <v>57</v>
      </c>
      <c r="D32" s="18" t="s">
        <v>307</v>
      </c>
      <c r="E32" s="4" t="s">
        <v>58</v>
      </c>
      <c r="F32" s="18" t="s">
        <v>210</v>
      </c>
      <c r="G32" s="4" t="s">
        <v>47</v>
      </c>
      <c r="H32" s="3">
        <v>45778</v>
      </c>
      <c r="I32" s="4" t="s">
        <v>60</v>
      </c>
      <c r="J32" s="2">
        <v>1</v>
      </c>
      <c r="K32" s="2">
        <v>17</v>
      </c>
      <c r="L32" s="4" t="s">
        <v>51</v>
      </c>
      <c r="M32" s="5">
        <v>0.67</v>
      </c>
      <c r="N32" s="5">
        <v>0</v>
      </c>
      <c r="O32" s="5">
        <v>100</v>
      </c>
      <c r="P32" s="5">
        <v>208.67</v>
      </c>
      <c r="Q32" s="4" t="s">
        <v>53</v>
      </c>
      <c r="R32" s="3">
        <v>45778</v>
      </c>
      <c r="S32" t="s">
        <v>188</v>
      </c>
      <c r="T32"/>
      <c r="U32" t="s">
        <v>189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s="10" customFormat="1" x14ac:dyDescent="0.2">
      <c r="A33" s="4" t="s">
        <v>56</v>
      </c>
      <c r="B33" s="2">
        <v>8307933</v>
      </c>
      <c r="C33" s="4" t="s">
        <v>63</v>
      </c>
      <c r="D33" s="18" t="s">
        <v>308</v>
      </c>
      <c r="E33" s="4" t="s">
        <v>64</v>
      </c>
      <c r="F33" s="18" t="s">
        <v>211</v>
      </c>
      <c r="G33" s="4" t="s">
        <v>47</v>
      </c>
      <c r="H33" s="3">
        <v>45748</v>
      </c>
      <c r="I33" s="4" t="s">
        <v>66</v>
      </c>
      <c r="J33" s="2">
        <v>1</v>
      </c>
      <c r="K33" s="2">
        <v>17</v>
      </c>
      <c r="L33" s="4" t="s">
        <v>51</v>
      </c>
      <c r="M33" s="5">
        <v>0.75</v>
      </c>
      <c r="N33" s="5">
        <v>0</v>
      </c>
      <c r="O33" s="5">
        <v>100</v>
      </c>
      <c r="P33" s="5">
        <v>234.75</v>
      </c>
      <c r="Q33" s="4" t="s">
        <v>53</v>
      </c>
      <c r="R33" s="3">
        <v>45748</v>
      </c>
      <c r="S33" t="s">
        <v>187</v>
      </c>
      <c r="T33"/>
      <c r="U33" t="s">
        <v>189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15" customFormat="1" x14ac:dyDescent="0.2">
      <c r="A34" s="4" t="s">
        <v>56</v>
      </c>
      <c r="B34" s="2">
        <v>8307933</v>
      </c>
      <c r="C34" s="4" t="s">
        <v>67</v>
      </c>
      <c r="D34" s="18" t="s">
        <v>309</v>
      </c>
      <c r="E34" s="4" t="s">
        <v>68</v>
      </c>
      <c r="F34" s="18" t="s">
        <v>212</v>
      </c>
      <c r="G34" s="4" t="s">
        <v>47</v>
      </c>
      <c r="H34" s="3">
        <v>45717</v>
      </c>
      <c r="I34" s="4" t="s">
        <v>49</v>
      </c>
      <c r="J34" s="2">
        <v>1</v>
      </c>
      <c r="K34" s="2">
        <v>17</v>
      </c>
      <c r="L34" s="4" t="s">
        <v>51</v>
      </c>
      <c r="M34" s="5">
        <v>0.83</v>
      </c>
      <c r="N34" s="5">
        <v>0</v>
      </c>
      <c r="O34" s="5">
        <v>100</v>
      </c>
      <c r="P34" s="5">
        <v>260.83</v>
      </c>
      <c r="Q34" s="4" t="s">
        <v>53</v>
      </c>
      <c r="R34" s="3">
        <v>45717</v>
      </c>
      <c r="S34" t="s">
        <v>185</v>
      </c>
      <c r="T34"/>
      <c r="U34" t="s">
        <v>189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s="15" customFormat="1" x14ac:dyDescent="0.2">
      <c r="A35" s="4" t="s">
        <v>75</v>
      </c>
      <c r="B35" s="2">
        <v>8325282</v>
      </c>
      <c r="C35" s="4" t="s">
        <v>76</v>
      </c>
      <c r="D35" s="18" t="s">
        <v>310</v>
      </c>
      <c r="E35" s="4" t="s">
        <v>77</v>
      </c>
      <c r="F35" s="18" t="s">
        <v>213</v>
      </c>
      <c r="G35" s="4" t="s">
        <v>47</v>
      </c>
      <c r="H35" s="3">
        <v>45658</v>
      </c>
      <c r="I35" s="4" t="s">
        <v>74</v>
      </c>
      <c r="J35" s="2">
        <v>1</v>
      </c>
      <c r="K35" s="2">
        <v>17</v>
      </c>
      <c r="L35" s="4" t="s">
        <v>51</v>
      </c>
      <c r="M35" s="5">
        <v>-0.92</v>
      </c>
      <c r="N35" s="5">
        <v>0</v>
      </c>
      <c r="O35" s="5">
        <v>100</v>
      </c>
      <c r="P35" s="5">
        <v>-286.92</v>
      </c>
      <c r="Q35" s="4" t="s">
        <v>53</v>
      </c>
      <c r="R35" s="3">
        <v>45658</v>
      </c>
      <c r="S35" t="s">
        <v>186</v>
      </c>
      <c r="T35"/>
      <c r="U35" t="s">
        <v>189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s="10" customFormat="1" x14ac:dyDescent="0.2">
      <c r="A36" s="4" t="s">
        <v>118</v>
      </c>
      <c r="B36" s="2">
        <v>18754354</v>
      </c>
      <c r="C36" s="4" t="s">
        <v>119</v>
      </c>
      <c r="D36" s="18" t="s">
        <v>311</v>
      </c>
      <c r="E36" s="4" t="s">
        <v>120</v>
      </c>
      <c r="F36" s="18" t="s">
        <v>214</v>
      </c>
      <c r="G36" s="4" t="s">
        <v>47</v>
      </c>
      <c r="H36" s="3">
        <v>45748</v>
      </c>
      <c r="I36" s="4" t="s">
        <v>66</v>
      </c>
      <c r="J36" s="2">
        <v>1</v>
      </c>
      <c r="K36" s="2">
        <v>17</v>
      </c>
      <c r="L36" s="4" t="s">
        <v>51</v>
      </c>
      <c r="M36" s="5">
        <v>0.75</v>
      </c>
      <c r="N36" s="5">
        <v>0</v>
      </c>
      <c r="O36" s="5">
        <v>100</v>
      </c>
      <c r="P36" s="5">
        <v>234.75</v>
      </c>
      <c r="Q36" s="4" t="s">
        <v>53</v>
      </c>
      <c r="R36" s="3">
        <v>45748</v>
      </c>
      <c r="S36" t="s">
        <v>187</v>
      </c>
      <c r="T36"/>
      <c r="U36" t="s">
        <v>189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15" customFormat="1" x14ac:dyDescent="0.2">
      <c r="A37" s="6" t="s">
        <v>118</v>
      </c>
      <c r="B37" s="2">
        <v>18754354</v>
      </c>
      <c r="C37" s="6" t="s">
        <v>172</v>
      </c>
      <c r="D37" s="6" t="s">
        <v>172</v>
      </c>
      <c r="E37" s="16">
        <v>413180</v>
      </c>
      <c r="F37" s="16">
        <v>4131804</v>
      </c>
      <c r="G37" s="6" t="s">
        <v>157</v>
      </c>
      <c r="H37" s="8">
        <v>45689</v>
      </c>
      <c r="I37" s="6" t="s">
        <v>90</v>
      </c>
      <c r="J37" s="7">
        <v>18</v>
      </c>
      <c r="K37" s="7">
        <v>3</v>
      </c>
      <c r="L37" s="6" t="s">
        <v>152</v>
      </c>
      <c r="M37" s="9">
        <v>10</v>
      </c>
      <c r="N37" s="9">
        <v>486.74</v>
      </c>
      <c r="O37" s="9">
        <v>100</v>
      </c>
      <c r="P37" s="9">
        <v>48.67</v>
      </c>
      <c r="Q37" s="6" t="s">
        <v>53</v>
      </c>
      <c r="R37" s="8">
        <v>45474</v>
      </c>
      <c r="S37" s="10"/>
      <c r="T37" s="10"/>
      <c r="U37" s="10" t="s">
        <v>190</v>
      </c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s="15" customFormat="1" x14ac:dyDescent="0.2">
      <c r="A38" s="6" t="s">
        <v>118</v>
      </c>
      <c r="B38" s="2">
        <v>18754354</v>
      </c>
      <c r="C38" s="6" t="s">
        <v>172</v>
      </c>
      <c r="D38" s="6" t="s">
        <v>172</v>
      </c>
      <c r="E38" s="16">
        <v>413180</v>
      </c>
      <c r="F38" s="16">
        <v>4131804</v>
      </c>
      <c r="G38" s="6" t="s">
        <v>157</v>
      </c>
      <c r="H38" s="8">
        <v>45689</v>
      </c>
      <c r="I38" s="6" t="s">
        <v>90</v>
      </c>
      <c r="J38" s="7">
        <v>14</v>
      </c>
      <c r="K38" s="7">
        <v>60</v>
      </c>
      <c r="L38" s="6" t="s">
        <v>143</v>
      </c>
      <c r="M38" s="9">
        <v>10</v>
      </c>
      <c r="N38" s="9">
        <v>97.7</v>
      </c>
      <c r="O38" s="9">
        <v>100</v>
      </c>
      <c r="P38" s="9">
        <v>9.77</v>
      </c>
      <c r="Q38" s="6" t="s">
        <v>53</v>
      </c>
      <c r="R38" s="8">
        <v>45474</v>
      </c>
      <c r="S38" s="10"/>
      <c r="T38" s="10"/>
      <c r="U38" s="10" t="s">
        <v>190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s="10" customFormat="1" x14ac:dyDescent="0.2">
      <c r="A39" s="4" t="s">
        <v>79</v>
      </c>
      <c r="B39" s="2">
        <v>16633294</v>
      </c>
      <c r="C39" s="4" t="s">
        <v>80</v>
      </c>
      <c r="D39" s="18" t="s">
        <v>312</v>
      </c>
      <c r="E39" s="4" t="s">
        <v>81</v>
      </c>
      <c r="F39" s="18" t="s">
        <v>215</v>
      </c>
      <c r="G39" s="4" t="s">
        <v>47</v>
      </c>
      <c r="H39" s="3">
        <v>45658</v>
      </c>
      <c r="I39" s="4" t="s">
        <v>74</v>
      </c>
      <c r="J39" s="2">
        <v>1</v>
      </c>
      <c r="K39" s="2">
        <v>17</v>
      </c>
      <c r="L39" s="4" t="s">
        <v>51</v>
      </c>
      <c r="M39" s="5">
        <v>-1</v>
      </c>
      <c r="N39" s="5">
        <v>0</v>
      </c>
      <c r="O39" s="5">
        <v>100</v>
      </c>
      <c r="P39" s="5">
        <v>-313</v>
      </c>
      <c r="Q39" s="4" t="s">
        <v>53</v>
      </c>
      <c r="R39" s="3">
        <v>45658</v>
      </c>
      <c r="S39" t="s">
        <v>184</v>
      </c>
      <c r="T39"/>
      <c r="U39" t="s">
        <v>189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s="10" customFormat="1" x14ac:dyDescent="0.2">
      <c r="A40" s="4" t="s">
        <v>79</v>
      </c>
      <c r="B40" s="2">
        <v>16633294</v>
      </c>
      <c r="C40" s="4" t="s">
        <v>83</v>
      </c>
      <c r="D40" s="18" t="s">
        <v>313</v>
      </c>
      <c r="E40" s="18" t="s">
        <v>216</v>
      </c>
      <c r="F40" s="18" t="s">
        <v>314</v>
      </c>
      <c r="G40" s="4" t="s">
        <v>47</v>
      </c>
      <c r="H40" s="3">
        <v>45658</v>
      </c>
      <c r="I40" s="4" t="s">
        <v>74</v>
      </c>
      <c r="J40" s="2">
        <v>1</v>
      </c>
      <c r="K40" s="2">
        <v>17</v>
      </c>
      <c r="L40" s="4" t="s">
        <v>51</v>
      </c>
      <c r="M40" s="5">
        <v>-1</v>
      </c>
      <c r="N40" s="5">
        <v>0</v>
      </c>
      <c r="O40" s="5">
        <v>100</v>
      </c>
      <c r="P40" s="5">
        <v>-313</v>
      </c>
      <c r="Q40" s="4" t="s">
        <v>53</v>
      </c>
      <c r="R40" s="3">
        <v>45658</v>
      </c>
      <c r="S40" t="s">
        <v>184</v>
      </c>
      <c r="T40"/>
      <c r="U40" t="s">
        <v>189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4" s="15" customFormat="1" x14ac:dyDescent="0.2">
      <c r="A41" s="11" t="s">
        <v>118</v>
      </c>
      <c r="B41" s="2">
        <v>18754354</v>
      </c>
      <c r="C41" s="11" t="s">
        <v>172</v>
      </c>
      <c r="E41" s="17">
        <v>413180</v>
      </c>
      <c r="F41" s="17"/>
      <c r="G41" s="11" t="s">
        <v>157</v>
      </c>
      <c r="H41" s="13">
        <v>45689</v>
      </c>
      <c r="I41" s="11" t="s">
        <v>90</v>
      </c>
      <c r="J41" s="12">
        <v>24</v>
      </c>
      <c r="K41" s="12">
        <v>5</v>
      </c>
      <c r="L41" s="11" t="s">
        <v>174</v>
      </c>
      <c r="M41" s="14">
        <v>10</v>
      </c>
      <c r="N41" s="14">
        <v>46.8</v>
      </c>
      <c r="O41" s="14">
        <v>100</v>
      </c>
      <c r="P41" s="14">
        <v>4.68</v>
      </c>
      <c r="Q41" s="11" t="s">
        <v>53</v>
      </c>
      <c r="R41" s="13">
        <v>45474</v>
      </c>
      <c r="U41" s="15" t="s">
        <v>193</v>
      </c>
    </row>
    <row r="42" spans="1:44" s="10" customFormat="1" x14ac:dyDescent="0.2">
      <c r="A42" s="11" t="s">
        <v>118</v>
      </c>
      <c r="B42" s="2">
        <v>18754354</v>
      </c>
      <c r="C42" s="11" t="s">
        <v>172</v>
      </c>
      <c r="E42" s="17">
        <v>413180</v>
      </c>
      <c r="F42" s="17"/>
      <c r="G42" s="11" t="s">
        <v>157</v>
      </c>
      <c r="H42" s="13">
        <v>45689</v>
      </c>
      <c r="I42" s="11" t="s">
        <v>90</v>
      </c>
      <c r="J42" s="12">
        <v>24</v>
      </c>
      <c r="K42" s="12">
        <v>10</v>
      </c>
      <c r="L42" s="11" t="s">
        <v>175</v>
      </c>
      <c r="M42" s="14">
        <v>10</v>
      </c>
      <c r="N42" s="14">
        <v>10.8</v>
      </c>
      <c r="O42" s="14">
        <v>100</v>
      </c>
      <c r="P42" s="14">
        <v>1.08</v>
      </c>
      <c r="Q42" s="11" t="s">
        <v>53</v>
      </c>
      <c r="R42" s="13">
        <v>45474</v>
      </c>
      <c r="S42" s="15"/>
      <c r="T42" s="15"/>
      <c r="U42" s="15" t="s">
        <v>193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</row>
  </sheetData>
  <sortState xmlns:xlrd2="http://schemas.microsoft.com/office/spreadsheetml/2017/richdata2" ref="A2:AQ40">
    <sortCondition ref="A2:A40"/>
  </sortState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7273-0C07-4642-B1E3-F8DABA14FB8F}">
  <dimension ref="A1:AQ4"/>
  <sheetViews>
    <sheetView workbookViewId="0">
      <selection activeCell="A2" sqref="A2:XFD3"/>
    </sheetView>
  </sheetViews>
  <sheetFormatPr defaultRowHeight="12.75" x14ac:dyDescent="0.2"/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9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18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27</v>
      </c>
      <c r="Q1" s="1" t="s">
        <v>31</v>
      </c>
    </row>
    <row r="2" spans="1:43" s="15" customFormat="1" x14ac:dyDescent="0.2">
      <c r="A2" s="11" t="s">
        <v>118</v>
      </c>
      <c r="B2" s="2">
        <v>18754354</v>
      </c>
      <c r="C2" s="11" t="s">
        <v>172</v>
      </c>
      <c r="D2" s="17">
        <v>413180</v>
      </c>
      <c r="E2" s="17"/>
      <c r="F2" s="11" t="s">
        <v>157</v>
      </c>
      <c r="G2" s="13">
        <v>45689</v>
      </c>
      <c r="H2" s="11" t="s">
        <v>90</v>
      </c>
      <c r="I2" s="12">
        <v>24</v>
      </c>
      <c r="J2" s="12">
        <v>5</v>
      </c>
      <c r="K2" s="11" t="s">
        <v>174</v>
      </c>
      <c r="L2" s="14">
        <v>10</v>
      </c>
      <c r="M2" s="14">
        <v>46.8</v>
      </c>
      <c r="N2" s="14">
        <v>100</v>
      </c>
      <c r="O2" s="14">
        <v>4.68</v>
      </c>
      <c r="P2" s="11" t="s">
        <v>53</v>
      </c>
      <c r="Q2" s="13">
        <v>45474</v>
      </c>
      <c r="T2" s="15" t="s">
        <v>193</v>
      </c>
    </row>
    <row r="3" spans="1:43" s="10" customFormat="1" x14ac:dyDescent="0.2">
      <c r="A3" s="11" t="s">
        <v>118</v>
      </c>
      <c r="B3" s="2">
        <v>18754354</v>
      </c>
      <c r="C3" s="11" t="s">
        <v>172</v>
      </c>
      <c r="D3" s="17">
        <v>413180</v>
      </c>
      <c r="E3" s="17"/>
      <c r="F3" s="11" t="s">
        <v>157</v>
      </c>
      <c r="G3" s="13">
        <v>45689</v>
      </c>
      <c r="H3" s="11" t="s">
        <v>90</v>
      </c>
      <c r="I3" s="12">
        <v>24</v>
      </c>
      <c r="J3" s="12">
        <v>10</v>
      </c>
      <c r="K3" s="11" t="s">
        <v>175</v>
      </c>
      <c r="L3" s="14">
        <v>10</v>
      </c>
      <c r="M3" s="14">
        <v>10.8</v>
      </c>
      <c r="N3" s="14">
        <v>100</v>
      </c>
      <c r="O3" s="14">
        <v>1.08</v>
      </c>
      <c r="P3" s="11" t="s">
        <v>53</v>
      </c>
      <c r="Q3" s="13">
        <v>45474</v>
      </c>
      <c r="R3" s="15"/>
      <c r="S3" s="15"/>
      <c r="T3" s="15" t="s">
        <v>193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3" x14ac:dyDescent="0.2">
      <c r="O4">
        <v>5.76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680E-BF3C-4236-8EAC-AEDF937BBD94}">
  <dimension ref="A1:H39"/>
  <sheetViews>
    <sheetView workbookViewId="0">
      <selection activeCell="B17" sqref="B17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12.7109375" bestFit="1" customWidth="1"/>
    <col min="5" max="5" width="15.28515625" bestFit="1" customWidth="1"/>
    <col min="6" max="6" width="9.7109375" bestFit="1" customWidth="1"/>
    <col min="8" max="8" width="15.85546875" bestFit="1" customWidth="1"/>
  </cols>
  <sheetData>
    <row r="1" spans="1:8" x14ac:dyDescent="0.2">
      <c r="A1" s="4" t="s">
        <v>124</v>
      </c>
      <c r="B1" t="str">
        <f>CONCATENATE(A1,6)</f>
        <v>00021502269K6</v>
      </c>
      <c r="D1" s="4" t="s">
        <v>217</v>
      </c>
      <c r="E1" t="s">
        <v>218</v>
      </c>
      <c r="H1" t="str">
        <f>CONCATENATE(E1, " ",D1)</f>
        <v>ZAREEFUNNISA HUSSAINI</v>
      </c>
    </row>
    <row r="2" spans="1:8" x14ac:dyDescent="0.2">
      <c r="A2" s="4" t="s">
        <v>127</v>
      </c>
      <c r="B2" t="str">
        <f>CONCATENATE(A2,6)</f>
        <v>00021505553K6</v>
      </c>
      <c r="D2" s="4" t="s">
        <v>217</v>
      </c>
      <c r="E2" t="s">
        <v>219</v>
      </c>
      <c r="H2" t="str">
        <f t="shared" ref="H2:H16" si="0">CONCATENATE(E2, " ",D2)</f>
        <v>SYED HUSSAINI</v>
      </c>
    </row>
    <row r="3" spans="1:8" x14ac:dyDescent="0.2">
      <c r="A3" s="16">
        <v>9028406240</v>
      </c>
      <c r="B3" t="str">
        <f>CONCATENATE(A3,4)</f>
        <v>90284062404</v>
      </c>
      <c r="D3" s="6" t="s">
        <v>220</v>
      </c>
      <c r="E3" t="s">
        <v>221</v>
      </c>
      <c r="H3" t="str">
        <f t="shared" si="0"/>
        <v>Joanna Young</v>
      </c>
    </row>
    <row r="4" spans="1:8" x14ac:dyDescent="0.2">
      <c r="A4" s="16">
        <v>9029611520</v>
      </c>
      <c r="B4" t="str">
        <f t="shared" ref="B4:B6" si="1">CONCATENATE(A4,4)</f>
        <v>90296115204</v>
      </c>
      <c r="D4" s="6" t="s">
        <v>222</v>
      </c>
      <c r="E4" t="s">
        <v>223</v>
      </c>
      <c r="H4" t="str">
        <f t="shared" si="0"/>
        <v>Christie Dornbierer</v>
      </c>
    </row>
    <row r="5" spans="1:8" x14ac:dyDescent="0.2">
      <c r="A5" s="16">
        <v>9029691910</v>
      </c>
      <c r="B5" t="str">
        <f t="shared" si="1"/>
        <v>90296919104</v>
      </c>
      <c r="D5" s="6" t="s">
        <v>224</v>
      </c>
      <c r="E5" t="s">
        <v>225</v>
      </c>
      <c r="H5" t="str">
        <f t="shared" si="0"/>
        <v>Christopher Ward</v>
      </c>
    </row>
    <row r="6" spans="1:8" x14ac:dyDescent="0.2">
      <c r="A6" s="16">
        <v>9029691920</v>
      </c>
      <c r="B6" t="str">
        <f t="shared" si="1"/>
        <v>90296919204</v>
      </c>
      <c r="D6" s="6" t="s">
        <v>224</v>
      </c>
      <c r="E6" t="s">
        <v>225</v>
      </c>
      <c r="H6" t="str">
        <f t="shared" si="0"/>
        <v>Christopher Ward</v>
      </c>
    </row>
    <row r="7" spans="1:8" x14ac:dyDescent="0.2">
      <c r="A7" s="4" t="s">
        <v>131</v>
      </c>
      <c r="B7" t="str">
        <f>CONCATENATE(A7,6)</f>
        <v>00023071289K6</v>
      </c>
      <c r="D7" s="4" t="s">
        <v>226</v>
      </c>
      <c r="E7" t="s">
        <v>227</v>
      </c>
      <c r="H7" t="str">
        <f t="shared" si="0"/>
        <v>DEBRA PHILLIPS</v>
      </c>
    </row>
    <row r="8" spans="1:8" x14ac:dyDescent="0.2">
      <c r="A8" s="16">
        <v>9029455080</v>
      </c>
      <c r="B8" t="str">
        <f>CONCATENATE(A8,4)</f>
        <v>90294550804</v>
      </c>
      <c r="D8" s="6" t="s">
        <v>228</v>
      </c>
      <c r="E8" t="s">
        <v>229</v>
      </c>
      <c r="H8" t="str">
        <f t="shared" si="0"/>
        <v>Patti Green</v>
      </c>
    </row>
    <row r="9" spans="1:8" x14ac:dyDescent="0.2">
      <c r="A9" s="4" t="s">
        <v>103</v>
      </c>
      <c r="B9" t="str">
        <f t="shared" ref="B9:B15" si="2">CONCATENATE(A9,6)</f>
        <v>00022208015K6</v>
      </c>
      <c r="D9" s="4" t="s">
        <v>230</v>
      </c>
      <c r="E9" t="s">
        <v>231</v>
      </c>
      <c r="H9" t="str">
        <f t="shared" si="0"/>
        <v>MARGARET HENRY</v>
      </c>
    </row>
    <row r="10" spans="1:8" x14ac:dyDescent="0.2">
      <c r="A10" s="4" t="s">
        <v>100</v>
      </c>
      <c r="B10" t="str">
        <f t="shared" si="2"/>
        <v>00022123171K6</v>
      </c>
      <c r="D10" s="4" t="s">
        <v>232</v>
      </c>
      <c r="E10" t="s">
        <v>233</v>
      </c>
      <c r="H10" t="str">
        <f t="shared" si="0"/>
        <v>TERI WEISSMAN</v>
      </c>
    </row>
    <row r="11" spans="1:8" x14ac:dyDescent="0.2">
      <c r="A11" s="4" t="s">
        <v>88</v>
      </c>
      <c r="B11" t="str">
        <f t="shared" si="2"/>
        <v>00023073086K6</v>
      </c>
      <c r="D11" s="4" t="s">
        <v>234</v>
      </c>
      <c r="E11" t="s">
        <v>235</v>
      </c>
      <c r="H11" t="str">
        <f t="shared" si="0"/>
        <v>JOHN HAMPTON</v>
      </c>
    </row>
    <row r="12" spans="1:8" x14ac:dyDescent="0.2">
      <c r="A12" s="4" t="s">
        <v>92</v>
      </c>
      <c r="B12" t="str">
        <f t="shared" si="2"/>
        <v>00023077340K6</v>
      </c>
      <c r="D12" s="4" t="s">
        <v>236</v>
      </c>
      <c r="E12" t="s">
        <v>237</v>
      </c>
      <c r="H12" t="str">
        <f t="shared" si="0"/>
        <v>JACQUALINE JONES</v>
      </c>
    </row>
    <row r="13" spans="1:8" x14ac:dyDescent="0.2">
      <c r="A13" s="4" t="s">
        <v>96</v>
      </c>
      <c r="B13" t="str">
        <f t="shared" si="2"/>
        <v>00021880649K6</v>
      </c>
      <c r="D13" s="4" t="s">
        <v>238</v>
      </c>
      <c r="E13" t="s">
        <v>239</v>
      </c>
      <c r="H13" t="str">
        <f t="shared" si="0"/>
        <v>KAREEMA ABDUL</v>
      </c>
    </row>
    <row r="14" spans="1:8" x14ac:dyDescent="0.2">
      <c r="A14" s="4" t="s">
        <v>44</v>
      </c>
      <c r="B14" t="str">
        <f t="shared" si="2"/>
        <v>00023090352K6</v>
      </c>
      <c r="D14" s="4" t="s">
        <v>240</v>
      </c>
      <c r="E14" t="s">
        <v>241</v>
      </c>
      <c r="H14" t="str">
        <f t="shared" si="0"/>
        <v>JANICE BEDARD</v>
      </c>
    </row>
    <row r="15" spans="1:8" x14ac:dyDescent="0.2">
      <c r="A15" s="4" t="s">
        <v>72</v>
      </c>
      <c r="B15" t="str">
        <f t="shared" si="2"/>
        <v>00022542308K6</v>
      </c>
      <c r="D15" s="4" t="s">
        <v>242</v>
      </c>
      <c r="E15" t="s">
        <v>243</v>
      </c>
      <c r="H15" t="str">
        <f t="shared" si="0"/>
        <v>PRINCY SHYAM</v>
      </c>
    </row>
    <row r="16" spans="1:8" x14ac:dyDescent="0.2">
      <c r="A16" s="16">
        <v>9030047190</v>
      </c>
      <c r="B16" t="str">
        <f t="shared" ref="B16:B18" si="3">CONCATENATE(A16,4)</f>
        <v>90300471904</v>
      </c>
      <c r="D16" s="6" t="s">
        <v>244</v>
      </c>
      <c r="E16" t="s">
        <v>245</v>
      </c>
      <c r="H16" t="str">
        <f t="shared" si="0"/>
        <v>Massimo Ferrari</v>
      </c>
    </row>
    <row r="17" spans="1:8" x14ac:dyDescent="0.2">
      <c r="A17" s="16">
        <v>853911</v>
      </c>
      <c r="B17" t="str">
        <f t="shared" si="3"/>
        <v>8539114</v>
      </c>
      <c r="D17" s="6" t="s">
        <v>246</v>
      </c>
      <c r="E17" t="s">
        <v>247</v>
      </c>
      <c r="F17" t="s">
        <v>248</v>
      </c>
      <c r="G17" t="s">
        <v>249</v>
      </c>
    </row>
    <row r="18" spans="1:8" x14ac:dyDescent="0.2">
      <c r="A18" s="16">
        <v>853911</v>
      </c>
      <c r="B18" t="str">
        <f t="shared" si="3"/>
        <v>8539114</v>
      </c>
      <c r="D18" s="6" t="s">
        <v>246</v>
      </c>
      <c r="E18" t="s">
        <v>247</v>
      </c>
      <c r="F18" t="s">
        <v>248</v>
      </c>
      <c r="G18" t="s">
        <v>249</v>
      </c>
    </row>
    <row r="19" spans="1:8" x14ac:dyDescent="0.2">
      <c r="A19" s="11" t="s">
        <v>178</v>
      </c>
      <c r="B19" s="11" t="s">
        <v>178</v>
      </c>
      <c r="D19" s="11" t="s">
        <v>250</v>
      </c>
      <c r="E19" t="s">
        <v>251</v>
      </c>
      <c r="H19" t="str">
        <f t="shared" ref="H19:H26" si="4">CONCATENATE(E19, " ",D19)</f>
        <v>KAREN MISKIMON</v>
      </c>
    </row>
    <row r="20" spans="1:8" x14ac:dyDescent="0.2">
      <c r="A20" s="4" t="s">
        <v>110</v>
      </c>
      <c r="B20" t="str">
        <f t="shared" ref="B20:B24" si="5">CONCATENATE(A20,6)</f>
        <v>00022005272K6</v>
      </c>
      <c r="D20" s="4" t="s">
        <v>252</v>
      </c>
      <c r="E20" t="s">
        <v>253</v>
      </c>
      <c r="H20" t="str">
        <f t="shared" si="4"/>
        <v>PIEDAD ZAFIRIADIS</v>
      </c>
    </row>
    <row r="21" spans="1:8" x14ac:dyDescent="0.2">
      <c r="A21" s="4" t="s">
        <v>113</v>
      </c>
      <c r="B21" t="str">
        <f t="shared" si="5"/>
        <v>00023072316K6</v>
      </c>
      <c r="D21" s="4" t="s">
        <v>254</v>
      </c>
      <c r="E21" t="s">
        <v>255</v>
      </c>
      <c r="H21" t="str">
        <f t="shared" si="4"/>
        <v>KAY WILLIES</v>
      </c>
    </row>
    <row r="22" spans="1:8" x14ac:dyDescent="0.2">
      <c r="A22" s="4" t="s">
        <v>116</v>
      </c>
      <c r="B22" t="str">
        <f t="shared" si="5"/>
        <v>00023083207K6</v>
      </c>
      <c r="D22" s="4" t="s">
        <v>256</v>
      </c>
      <c r="E22" t="s">
        <v>257</v>
      </c>
      <c r="H22" t="str">
        <f t="shared" si="4"/>
        <v>JENNIFER STOLTZ</v>
      </c>
    </row>
    <row r="23" spans="1:8" x14ac:dyDescent="0.2">
      <c r="A23" s="4" t="s">
        <v>107</v>
      </c>
      <c r="B23" t="str">
        <f t="shared" si="5"/>
        <v>00019923594K6</v>
      </c>
      <c r="D23" s="4" t="s">
        <v>258</v>
      </c>
      <c r="E23" t="s">
        <v>259</v>
      </c>
      <c r="H23" t="str">
        <f t="shared" si="4"/>
        <v>NANCY LOPOTKO</v>
      </c>
    </row>
    <row r="24" spans="1:8" x14ac:dyDescent="0.2">
      <c r="A24" s="4" t="s">
        <v>135</v>
      </c>
      <c r="B24" t="str">
        <f t="shared" si="5"/>
        <v>00023069230K6</v>
      </c>
      <c r="D24" s="4" t="s">
        <v>260</v>
      </c>
      <c r="E24" t="s">
        <v>261</v>
      </c>
      <c r="H24" t="str">
        <f t="shared" si="4"/>
        <v>MICHAEL POLLARD</v>
      </c>
    </row>
    <row r="25" spans="1:8" x14ac:dyDescent="0.2">
      <c r="A25" s="11" t="s">
        <v>166</v>
      </c>
      <c r="B25" s="11" t="s">
        <v>166</v>
      </c>
      <c r="D25" s="11" t="s">
        <v>262</v>
      </c>
      <c r="E25" t="s">
        <v>263</v>
      </c>
      <c r="H25" t="str">
        <f t="shared" si="4"/>
        <v>CHARLES SIMS</v>
      </c>
    </row>
    <row r="26" spans="1:8" x14ac:dyDescent="0.2">
      <c r="A26" s="11" t="s">
        <v>171</v>
      </c>
      <c r="B26" s="11" t="s">
        <v>171</v>
      </c>
      <c r="D26" s="11" t="s">
        <v>264</v>
      </c>
      <c r="E26" t="s">
        <v>265</v>
      </c>
      <c r="H26" t="str">
        <f t="shared" si="4"/>
        <v>BRUCE WHITE</v>
      </c>
    </row>
    <row r="27" spans="1:8" x14ac:dyDescent="0.2">
      <c r="A27" s="16">
        <v>416672</v>
      </c>
      <c r="B27" t="str">
        <f t="shared" ref="B27:B30" si="6">CONCATENATE(A27,4)</f>
        <v>4166724</v>
      </c>
      <c r="D27" s="6" t="s">
        <v>266</v>
      </c>
      <c r="E27" t="s">
        <v>248</v>
      </c>
      <c r="F27" t="s">
        <v>267</v>
      </c>
      <c r="G27" t="s">
        <v>268</v>
      </c>
    </row>
    <row r="28" spans="1:8" x14ac:dyDescent="0.2">
      <c r="A28" s="16">
        <v>416672</v>
      </c>
      <c r="B28" t="str">
        <f t="shared" si="6"/>
        <v>4166724</v>
      </c>
      <c r="D28" s="6" t="s">
        <v>266</v>
      </c>
      <c r="E28" t="s">
        <v>248</v>
      </c>
      <c r="F28" t="s">
        <v>267</v>
      </c>
      <c r="G28" t="s">
        <v>268</v>
      </c>
    </row>
    <row r="29" spans="1:8" x14ac:dyDescent="0.2">
      <c r="A29" s="16">
        <v>416672</v>
      </c>
      <c r="B29" t="str">
        <f t="shared" si="6"/>
        <v>4166724</v>
      </c>
      <c r="D29" s="6" t="s">
        <v>266</v>
      </c>
      <c r="E29" t="s">
        <v>248</v>
      </c>
      <c r="F29" t="s">
        <v>267</v>
      </c>
      <c r="G29" t="s">
        <v>268</v>
      </c>
    </row>
    <row r="30" spans="1:8" x14ac:dyDescent="0.2">
      <c r="A30" s="16">
        <v>416672</v>
      </c>
      <c r="B30" t="str">
        <f t="shared" si="6"/>
        <v>4166724</v>
      </c>
      <c r="D30" s="6" t="s">
        <v>266</v>
      </c>
      <c r="E30" t="s">
        <v>248</v>
      </c>
      <c r="F30" t="s">
        <v>267</v>
      </c>
      <c r="G30" t="s">
        <v>268</v>
      </c>
    </row>
    <row r="31" spans="1:8" x14ac:dyDescent="0.2">
      <c r="A31" s="4" t="s">
        <v>58</v>
      </c>
      <c r="B31" t="str">
        <f t="shared" ref="B31:B35" si="7">CONCATENATE(A31,6)</f>
        <v>00023070047K6</v>
      </c>
      <c r="D31" s="4" t="s">
        <v>269</v>
      </c>
      <c r="E31" t="s">
        <v>270</v>
      </c>
      <c r="H31" t="str">
        <f t="shared" ref="H31:H35" si="8">CONCATENATE(E31, " ",D31)</f>
        <v>MARLA STANGL</v>
      </c>
    </row>
    <row r="32" spans="1:8" x14ac:dyDescent="0.2">
      <c r="A32" s="4" t="s">
        <v>64</v>
      </c>
      <c r="B32" t="str">
        <f t="shared" si="7"/>
        <v>00023070900K6</v>
      </c>
      <c r="D32" s="4" t="s">
        <v>271</v>
      </c>
      <c r="E32" t="s">
        <v>272</v>
      </c>
      <c r="H32" t="str">
        <f t="shared" si="8"/>
        <v>JERRI ESTELLE</v>
      </c>
    </row>
    <row r="33" spans="1:8" x14ac:dyDescent="0.2">
      <c r="A33" s="4" t="s">
        <v>68</v>
      </c>
      <c r="B33" t="str">
        <f t="shared" si="7"/>
        <v>00023087793K6</v>
      </c>
      <c r="D33" s="4" t="s">
        <v>273</v>
      </c>
      <c r="E33" t="s">
        <v>274</v>
      </c>
      <c r="H33" t="str">
        <f t="shared" si="8"/>
        <v>SUSAN BARNETT</v>
      </c>
    </row>
    <row r="34" spans="1:8" x14ac:dyDescent="0.2">
      <c r="A34" s="4" t="s">
        <v>77</v>
      </c>
      <c r="B34" t="str">
        <f t="shared" si="7"/>
        <v>00022575947K6</v>
      </c>
      <c r="D34" s="4" t="s">
        <v>275</v>
      </c>
      <c r="E34" t="s">
        <v>274</v>
      </c>
      <c r="H34" t="str">
        <f t="shared" si="8"/>
        <v>SUSAN DUPUIS</v>
      </c>
    </row>
    <row r="35" spans="1:8" x14ac:dyDescent="0.2">
      <c r="A35" s="4" t="s">
        <v>120</v>
      </c>
      <c r="B35" t="str">
        <f t="shared" si="7"/>
        <v>00023086320K6</v>
      </c>
      <c r="D35" s="4" t="s">
        <v>276</v>
      </c>
      <c r="E35" t="s">
        <v>277</v>
      </c>
      <c r="H35" t="str">
        <f t="shared" si="8"/>
        <v>JULIANNE LAPETINA</v>
      </c>
    </row>
    <row r="36" spans="1:8" x14ac:dyDescent="0.2">
      <c r="A36" s="16">
        <v>413180</v>
      </c>
      <c r="B36" t="str">
        <f>CONCATENATE(A36,4)</f>
        <v>4131804</v>
      </c>
      <c r="D36" s="6" t="s">
        <v>278</v>
      </c>
      <c r="E36" t="s">
        <v>279</v>
      </c>
      <c r="F36" t="s">
        <v>280</v>
      </c>
      <c r="G36" t="s">
        <v>268</v>
      </c>
    </row>
    <row r="37" spans="1:8" x14ac:dyDescent="0.2">
      <c r="A37" s="16">
        <v>413180</v>
      </c>
      <c r="B37" t="str">
        <f>CONCATENATE(A37,4)</f>
        <v>4131804</v>
      </c>
      <c r="D37" s="6" t="s">
        <v>278</v>
      </c>
      <c r="E37" t="s">
        <v>279</v>
      </c>
      <c r="F37" t="s">
        <v>280</v>
      </c>
      <c r="G37" t="s">
        <v>268</v>
      </c>
    </row>
    <row r="38" spans="1:8" x14ac:dyDescent="0.2">
      <c r="A38" s="4" t="s">
        <v>81</v>
      </c>
      <c r="B38" t="str">
        <f t="shared" ref="B38:B39" si="9">CONCATENATE(A38,6)</f>
        <v>00022502198K6</v>
      </c>
      <c r="D38" s="4" t="s">
        <v>281</v>
      </c>
      <c r="E38" t="s">
        <v>282</v>
      </c>
      <c r="H38" t="str">
        <f t="shared" ref="H38:H39" si="10">CONCATENATE(E38, " ",D38)</f>
        <v>ROBERT FOSTER</v>
      </c>
    </row>
    <row r="39" spans="1:8" x14ac:dyDescent="0.2">
      <c r="A39" s="4" t="s">
        <v>84</v>
      </c>
      <c r="B39" t="str">
        <f t="shared" si="9"/>
        <v>00022512039K6</v>
      </c>
      <c r="D39" s="4" t="s">
        <v>281</v>
      </c>
      <c r="E39" t="s">
        <v>283</v>
      </c>
      <c r="H39" t="str">
        <f t="shared" si="10"/>
        <v>LEONA FOSTER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CommissionData_1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2025-02-13T14:00:10Z</dcterms:created>
  <dcterms:modified xsi:type="dcterms:W3CDTF">2025-02-14T18:23:21Z</dcterms:modified>
</cp:coreProperties>
</file>