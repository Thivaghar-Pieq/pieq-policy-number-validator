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3-05-25\"/>
    </mc:Choice>
  </mc:AlternateContent>
  <xr:revisionPtr revIDLastSave="0" documentId="13_ncr:1_{EFB417A7-31C3-40F1-B5A2-FBAB4B5D8BD4}" xr6:coauthVersionLast="47" xr6:coauthVersionMax="47" xr10:uidLastSave="{00000000-0000-0000-0000-000000000000}"/>
  <bookViews>
    <workbookView xWindow="28680" yWindow="-120" windowWidth="29040" windowHeight="16440" activeTab="2" xr2:uid="{DA22428F-AC58-4AF3-AD38-09E41EA72634}"/>
  </bookViews>
  <sheets>
    <sheet name="CommissionData_1" sheetId="1" r:id="rId1"/>
    <sheet name="Sheet2" sheetId="2" r:id="rId2"/>
    <sheet name="On hold" sheetId="3" r:id="rId3"/>
    <sheet name="Sheet4" sheetId="4" r:id="rId4"/>
  </sheets>
  <calcPr calcId="181029"/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" i="4"/>
  <c r="E18" i="2"/>
  <c r="E122" i="2"/>
  <c r="E149" i="2"/>
  <c r="E90" i="2"/>
  <c r="E63" i="2"/>
  <c r="E44" i="2"/>
  <c r="E127" i="2"/>
  <c r="E105" i="2"/>
  <c r="E106" i="2"/>
  <c r="E156" i="2"/>
  <c r="E157" i="2"/>
  <c r="E23" i="2"/>
  <c r="E24" i="2"/>
  <c r="E73" i="2"/>
  <c r="E74" i="2"/>
  <c r="E55" i="2"/>
  <c r="E56" i="2"/>
  <c r="E14" i="2"/>
  <c r="E15" i="2"/>
  <c r="E118" i="2"/>
  <c r="E119" i="2"/>
  <c r="E145" i="2"/>
  <c r="E146" i="2"/>
  <c r="E60" i="2"/>
  <c r="E61" i="2"/>
  <c r="E107" i="2"/>
  <c r="E108" i="2"/>
  <c r="E142" i="2"/>
  <c r="E143" i="2"/>
  <c r="E83" i="2"/>
  <c r="E84" i="2"/>
  <c r="E94" i="2"/>
  <c r="E95" i="2"/>
  <c r="E152" i="2"/>
  <c r="E153" i="2"/>
  <c r="E81" i="2"/>
  <c r="E82" i="2"/>
  <c r="E114" i="2"/>
  <c r="E115" i="2"/>
  <c r="E20" i="2"/>
  <c r="E21" i="2"/>
  <c r="E3" i="2"/>
  <c r="E4" i="2"/>
  <c r="E103" i="2"/>
  <c r="E104" i="2"/>
  <c r="E27" i="2"/>
  <c r="E28" i="2"/>
  <c r="E31" i="2"/>
  <c r="E32" i="2"/>
  <c r="E68" i="2"/>
  <c r="E69" i="2"/>
  <c r="E138" i="2"/>
  <c r="E139" i="2"/>
  <c r="E78" i="2"/>
  <c r="E79" i="2"/>
  <c r="E133" i="2"/>
  <c r="E134" i="2"/>
  <c r="E110" i="2"/>
  <c r="E111" i="2"/>
  <c r="E125" i="2"/>
  <c r="E126" i="2"/>
  <c r="E5" i="2"/>
  <c r="E6" i="2"/>
  <c r="E112" i="2"/>
  <c r="E113" i="2"/>
  <c r="E65" i="2"/>
  <c r="E66" i="2"/>
  <c r="E86" i="2"/>
  <c r="E87" i="2"/>
  <c r="E36" i="2"/>
  <c r="E39" i="2"/>
  <c r="E13" i="2"/>
  <c r="E33" i="2"/>
  <c r="E48" i="2"/>
  <c r="E91" i="2"/>
  <c r="E67" i="2"/>
  <c r="E101" i="2"/>
  <c r="E147" i="2"/>
  <c r="E88" i="2"/>
  <c r="E141" i="2"/>
  <c r="E38" i="2"/>
  <c r="E59" i="2"/>
  <c r="E12" i="2"/>
  <c r="E9" i="2"/>
  <c r="E37" i="2"/>
  <c r="E35" i="2"/>
  <c r="E29" i="2"/>
  <c r="E102" i="2"/>
  <c r="E136" i="2"/>
  <c r="E116" i="2"/>
  <c r="E41" i="2"/>
  <c r="E30" i="2"/>
  <c r="E34" i="2"/>
  <c r="E99" i="2"/>
  <c r="E98" i="2"/>
  <c r="E46" i="2"/>
  <c r="E25" i="2"/>
  <c r="E77" i="2"/>
  <c r="E57" i="2"/>
  <c r="E144" i="2"/>
  <c r="E123" i="2"/>
  <c r="E49" i="2"/>
  <c r="E75" i="2"/>
  <c r="E51" i="2"/>
  <c r="E52" i="2"/>
  <c r="E80" i="2"/>
  <c r="E151" i="2"/>
  <c r="E93" i="2"/>
  <c r="E135" i="2"/>
  <c r="E148" i="2"/>
  <c r="E50" i="2"/>
  <c r="E132" i="2"/>
  <c r="E128" i="2"/>
  <c r="E43" i="2"/>
  <c r="E42" i="2"/>
  <c r="E58" i="2"/>
  <c r="E155" i="2"/>
  <c r="E109" i="2"/>
  <c r="E154" i="2"/>
  <c r="E11" i="2"/>
  <c r="E22" i="2"/>
  <c r="E76" i="2"/>
  <c r="E137" i="2"/>
  <c r="E40" i="2"/>
  <c r="E89" i="2"/>
  <c r="E62" i="2"/>
  <c r="E140" i="2"/>
  <c r="E2" i="2"/>
  <c r="E26" i="2"/>
  <c r="E47" i="2"/>
  <c r="E124" i="2"/>
  <c r="E45" i="2"/>
  <c r="E8" i="2"/>
  <c r="E64" i="2"/>
  <c r="E17" i="2"/>
  <c r="E97" i="2"/>
  <c r="E7" i="2"/>
  <c r="E72" i="2"/>
  <c r="E54" i="2"/>
  <c r="E131" i="2"/>
  <c r="E129" i="2"/>
  <c r="E121" i="2"/>
  <c r="E19" i="2"/>
  <c r="E70" i="2"/>
  <c r="E150" i="2"/>
  <c r="E16" i="2"/>
  <c r="E96" i="2"/>
  <c r="E92" i="2"/>
  <c r="E71" i="2"/>
  <c r="E53" i="2"/>
  <c r="E130" i="2"/>
  <c r="E100" i="2"/>
  <c r="E85" i="2"/>
  <c r="E10" i="2"/>
  <c r="E120" i="2"/>
  <c r="E117" i="2"/>
</calcChain>
</file>

<file path=xl/sharedStrings.xml><?xml version="1.0" encoding="utf-8"?>
<sst xmlns="http://schemas.openxmlformats.org/spreadsheetml/2006/main" count="5522" uniqueCount="736">
  <si>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</si>
  <si>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</si>
  <si>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</si>
  <si>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</si>
  <si>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</si>
  <si>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</si>
  <si>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</si>
  <si>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</si>
  <si>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</si>
  <si>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</si>
  <si>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</si>
  <si>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</si>
  <si>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</si>
  <si>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</si>
  <si>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</si>
  <si>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</si>
  <si>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</si>
  <si>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</si>
  <si>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</si>
  <si>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</si>
  <si>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</si>
  <si>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</si>
  <si>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</si>
  <si>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</si>
  <si>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</si>
  <si>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</si>
  <si>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</si>
  <si>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</si>
  <si>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</si>
  <si>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</si>
  <si>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</si>
  <si>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</si>
  <si>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</si>
  <si>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</si>
  <si>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</si>
  <si>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</si>
  <si>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</si>
  <si>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</si>
  <si>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</si>
  <si>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</si>
  <si>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</si>
  <si>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</si>
  <si>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</si>
  <si>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THORPE CHANG K</t>
  </si>
  <si>
    <t>00023094349K</t>
  </si>
  <si>
    <t>5R09KY6GN58</t>
  </si>
  <si>
    <t/>
  </si>
  <si>
    <t>MA</t>
  </si>
  <si>
    <t>LV</t>
  </si>
  <si>
    <t>MAR</t>
  </si>
  <si>
    <t>F</t>
  </si>
  <si>
    <t>MEDICARE</t>
  </si>
  <si>
    <t>MER</t>
  </si>
  <si>
    <t>MEDICARE 2ND HALF FIRST YEAR COMM</t>
  </si>
  <si>
    <t>MED2</t>
  </si>
  <si>
    <t>H1036</t>
  </si>
  <si>
    <t>HORN JEFFREY E</t>
  </si>
  <si>
    <t>BEDARD JANICE F</t>
  </si>
  <si>
    <t>00023090352K</t>
  </si>
  <si>
    <t>8UG6WW3QF48</t>
  </si>
  <si>
    <t>H1468</t>
  </si>
  <si>
    <t>LISKOVEC FRANK E</t>
  </si>
  <si>
    <t>FRANCIERE KAREN</t>
  </si>
  <si>
    <t>00023133292K</t>
  </si>
  <si>
    <t>8DW0VW7PE38</t>
  </si>
  <si>
    <t>MEP</t>
  </si>
  <si>
    <t>FIRST YEAR COMMISSIONS</t>
  </si>
  <si>
    <t>ARCF</t>
  </si>
  <si>
    <t>H5216</t>
  </si>
  <si>
    <t>CHOI ANDREW J</t>
  </si>
  <si>
    <t>CHOI TIMOTHY S</t>
  </si>
  <si>
    <t>00022188436K</t>
  </si>
  <si>
    <t>5FQ9FC1RP32</t>
  </si>
  <si>
    <t>CHOI KYUNG H</t>
  </si>
  <si>
    <t>00022188500K</t>
  </si>
  <si>
    <t>4NW8T66FH32</t>
  </si>
  <si>
    <t>TEIPEL GREGORY K</t>
  </si>
  <si>
    <t>VANDRE SUSAN M</t>
  </si>
  <si>
    <t>00006061459K</t>
  </si>
  <si>
    <t>8EK0F13TF21</t>
  </si>
  <si>
    <t>STANGL MARLA Y</t>
  </si>
  <si>
    <t>00023070047K</t>
  </si>
  <si>
    <t>8VC7VW6RP31</t>
  </si>
  <si>
    <t>MAY</t>
  </si>
  <si>
    <t>ESTELLE JERRI</t>
  </si>
  <si>
    <t>00023070900K</t>
  </si>
  <si>
    <t>6KY6WF9XG73</t>
  </si>
  <si>
    <t>APR</t>
  </si>
  <si>
    <t>BARNETT SUSAN S</t>
  </si>
  <si>
    <t>00023087793K</t>
  </si>
  <si>
    <t>9NX3KV9UJ83</t>
  </si>
  <si>
    <t>YAKULIS MARGUERITE</t>
  </si>
  <si>
    <t>00023126234K</t>
  </si>
  <si>
    <t>2WR0MA1HD14</t>
  </si>
  <si>
    <t>LEE JOEL N</t>
  </si>
  <si>
    <t>ORTEZ RHONDA L</t>
  </si>
  <si>
    <t>00023105150K</t>
  </si>
  <si>
    <t>9G73WG6QJ73</t>
  </si>
  <si>
    <t>H0028</t>
  </si>
  <si>
    <t>HUNSBERGER ANTHONY J</t>
  </si>
  <si>
    <t>MEISNER RICKY D</t>
  </si>
  <si>
    <t>00021086243K</t>
  </si>
  <si>
    <t>6HE3HX0VV98</t>
  </si>
  <si>
    <t>SHYAM PRINCY</t>
  </si>
  <si>
    <t>00022542308K</t>
  </si>
  <si>
    <t>7FD7GD5AX59</t>
  </si>
  <si>
    <t>JAN</t>
  </si>
  <si>
    <t>BUTLER STANLEY M</t>
  </si>
  <si>
    <t>00023094767K</t>
  </si>
  <si>
    <t>3NV9C33VM54</t>
  </si>
  <si>
    <t>COHEN ANGEL M</t>
  </si>
  <si>
    <t>00023106039K</t>
  </si>
  <si>
    <t>4KH4T64WM83</t>
  </si>
  <si>
    <t>MILLER NESHER SUSAN L</t>
  </si>
  <si>
    <t>00023140852K</t>
  </si>
  <si>
    <t>9VT2VD1DH09</t>
  </si>
  <si>
    <t>LATZKE GERALD</t>
  </si>
  <si>
    <t>00023151397K</t>
  </si>
  <si>
    <t>7A16TY0UY79</t>
  </si>
  <si>
    <t>JUN</t>
  </si>
  <si>
    <t>LATZKE RENE M</t>
  </si>
  <si>
    <t>00023151464K</t>
  </si>
  <si>
    <t>9PK3MN2RW83</t>
  </si>
  <si>
    <t>BLANK RANDY O</t>
  </si>
  <si>
    <t>00023151593K</t>
  </si>
  <si>
    <t>1P16C86KK78</t>
  </si>
  <si>
    <t>YALE RICHARD A A</t>
  </si>
  <si>
    <t>DUNCAN DOLORES M</t>
  </si>
  <si>
    <t>00022688863K</t>
  </si>
  <si>
    <t>6P46JD0DG30</t>
  </si>
  <si>
    <t>R</t>
  </si>
  <si>
    <t>RENEWAL COMMISSIONS</t>
  </si>
  <si>
    <t>ARCM</t>
  </si>
  <si>
    <t>JORDAN BRUCE E</t>
  </si>
  <si>
    <t>00023003474K</t>
  </si>
  <si>
    <t>5P03CT1MN89</t>
  </si>
  <si>
    <t>FEB</t>
  </si>
  <si>
    <t>BIEGEL MARILYN</t>
  </si>
  <si>
    <t>00023103271K</t>
  </si>
  <si>
    <t>1KJ2J51EQ18</t>
  </si>
  <si>
    <t>KUCAN THOMAS</t>
  </si>
  <si>
    <t>DELLARCO ANN E</t>
  </si>
  <si>
    <t>00023103392K</t>
  </si>
  <si>
    <t>3KF1N87FV19</t>
  </si>
  <si>
    <t>PDP</t>
  </si>
  <si>
    <t>S5884</t>
  </si>
  <si>
    <t>DRAPAC STEPHANIE E</t>
  </si>
  <si>
    <t>CECHOTA EILEEN E</t>
  </si>
  <si>
    <t>00007672778K</t>
  </si>
  <si>
    <t>2UE6TX6YE45</t>
  </si>
  <si>
    <t>HANSFORD GREGORY</t>
  </si>
  <si>
    <t>HAMPTON JOHN O</t>
  </si>
  <si>
    <t>00023073086K</t>
  </si>
  <si>
    <t>1J97AV7MG33</t>
  </si>
  <si>
    <t>JONES JACQUALINE M</t>
  </si>
  <si>
    <t>00023077340K</t>
  </si>
  <si>
    <t>9N39JK4KF36</t>
  </si>
  <si>
    <t>HERRERA-LARSEN ESTHER M</t>
  </si>
  <si>
    <t>FERRER ELIA</t>
  </si>
  <si>
    <t>00010225769K</t>
  </si>
  <si>
    <t>6KY5G39EC89</t>
  </si>
  <si>
    <t>FERRER EFRAIN</t>
  </si>
  <si>
    <t>00014158510K</t>
  </si>
  <si>
    <t>3EW9YX7AR58</t>
  </si>
  <si>
    <t>INSKIPT DEBORAH L</t>
  </si>
  <si>
    <t>MISSENDA JAMES T</t>
  </si>
  <si>
    <t>00023132160K</t>
  </si>
  <si>
    <t>4ER5WN9MU97</t>
  </si>
  <si>
    <t>H5525</t>
  </si>
  <si>
    <t>DUNBAR DOLORES V</t>
  </si>
  <si>
    <t>CARLSON KATHLEEN F</t>
  </si>
  <si>
    <t>00023115513K</t>
  </si>
  <si>
    <t>1CX3M23JP90</t>
  </si>
  <si>
    <t>PORTUGAL GARY</t>
  </si>
  <si>
    <t>DOWNS VICKY S</t>
  </si>
  <si>
    <t>00012290150K</t>
  </si>
  <si>
    <t>2FP3FK3DQ11</t>
  </si>
  <si>
    <t>COX MARILYN</t>
  </si>
  <si>
    <t>00021195864K</t>
  </si>
  <si>
    <t>5FT3GU7AH09</t>
  </si>
  <si>
    <t>LAGUIMON CAROLINE S</t>
  </si>
  <si>
    <t>00022253745K</t>
  </si>
  <si>
    <t>7R62YU7TP86</t>
  </si>
  <si>
    <t>BIBIAN MARIA E</t>
  </si>
  <si>
    <t>00023059876K</t>
  </si>
  <si>
    <t>9DK6GT5WJ44</t>
  </si>
  <si>
    <t>WILLIES KAY F</t>
  </si>
  <si>
    <t>00023072316K</t>
  </si>
  <si>
    <t>5DG0MR3NQ26</t>
  </si>
  <si>
    <t>STOLTZ JENNIFER L</t>
  </si>
  <si>
    <t>00023083207K</t>
  </si>
  <si>
    <t>3QY3H31EH94</t>
  </si>
  <si>
    <t>TRIEU TRINH LE M</t>
  </si>
  <si>
    <t>00023140342K</t>
  </si>
  <si>
    <t>8F87CP5UW44</t>
  </si>
  <si>
    <t>MCCORKLE MICHELLE</t>
  </si>
  <si>
    <t>BUSH DAWN D</t>
  </si>
  <si>
    <t>00023109806K</t>
  </si>
  <si>
    <t>5MX9P22UP00</t>
  </si>
  <si>
    <t>YALE JACOB D</t>
  </si>
  <si>
    <t>LAPETINA JULIANNE</t>
  </si>
  <si>
    <t>00023086320K</t>
  </si>
  <si>
    <t>5C43NM2XP03</t>
  </si>
  <si>
    <t>HUANG ROSEMARIE O</t>
  </si>
  <si>
    <t>00023090788K</t>
  </si>
  <si>
    <t>8GU8YX0HT57</t>
  </si>
  <si>
    <t>ABDUL SAADIA S</t>
  </si>
  <si>
    <t>SHAH BHARAT</t>
  </si>
  <si>
    <t>00019839193K</t>
  </si>
  <si>
    <t>9TT2C67QF07</t>
  </si>
  <si>
    <t>DAVIS CINDY L</t>
  </si>
  <si>
    <t>00023057034K</t>
  </si>
  <si>
    <t>4RW6AD4MQ40</t>
  </si>
  <si>
    <t>BRO WILLIAM J</t>
  </si>
  <si>
    <t>00023061850K</t>
  </si>
  <si>
    <t>3WT2JD6TA92</t>
  </si>
  <si>
    <t>NESTEROWICZ CHERYL L</t>
  </si>
  <si>
    <t>00023146640K</t>
  </si>
  <si>
    <t>9GA7R23DM50</t>
  </si>
  <si>
    <t>NESTEROWICZ JOHN F</t>
  </si>
  <si>
    <t>00023146818K</t>
  </si>
  <si>
    <t>1UC5CY9HD82</t>
  </si>
  <si>
    <t>SANTOS RICARDO D</t>
  </si>
  <si>
    <t>GRAY ROSEANN A</t>
  </si>
  <si>
    <t>00015861123K</t>
  </si>
  <si>
    <t>6M49W36YQ25</t>
  </si>
  <si>
    <t>SILVA NICOMEDES C</t>
  </si>
  <si>
    <t>00022406995K</t>
  </si>
  <si>
    <t>1J07R91XM30</t>
  </si>
  <si>
    <t>TAUGNER CHRISTIAN</t>
  </si>
  <si>
    <t>DEUSTER DONNA M</t>
  </si>
  <si>
    <t>00018040701K</t>
  </si>
  <si>
    <t>9X78X23FX44</t>
  </si>
  <si>
    <t>ROLINSKAS EILEEN R</t>
  </si>
  <si>
    <t>00022918801K</t>
  </si>
  <si>
    <t>2HU4KM8YJ61</t>
  </si>
  <si>
    <t>RUSTEMEYER MARK G</t>
  </si>
  <si>
    <t>00023111991K</t>
  </si>
  <si>
    <t>2X85RH0CU62</t>
  </si>
  <si>
    <t>MILLER MATTHEW G</t>
  </si>
  <si>
    <t>00023120858K</t>
  </si>
  <si>
    <t>6JT6NE0JX81</t>
  </si>
  <si>
    <t>WEBER KENNETH C</t>
  </si>
  <si>
    <t>00023140550K</t>
  </si>
  <si>
    <t>7E15RR5TQ82</t>
  </si>
  <si>
    <t>WEBER JANICE R</t>
  </si>
  <si>
    <t>00023140575K</t>
  </si>
  <si>
    <t>7M57K99XP45</t>
  </si>
  <si>
    <t>DUNAVANT MICHAEL</t>
  </si>
  <si>
    <t>TRIMBLE AMY</t>
  </si>
  <si>
    <t>00023056836K</t>
  </si>
  <si>
    <t>9PP3M28TT14</t>
  </si>
  <si>
    <t>CRAIG SHARON Y</t>
  </si>
  <si>
    <t>00023146576K</t>
  </si>
  <si>
    <t>1PY9FK1CR31</t>
  </si>
  <si>
    <t>PORTUGAL STACEY A</t>
  </si>
  <si>
    <t>ELLIOTT ABIGAIL L</t>
  </si>
  <si>
    <t>00021664199K</t>
  </si>
  <si>
    <t>8XC3XU1QX90</t>
  </si>
  <si>
    <t>POLLARD MICHAEL D</t>
  </si>
  <si>
    <t>00023069230K</t>
  </si>
  <si>
    <t>7PJ1WT5KD08</t>
  </si>
  <si>
    <t>KOZACHECK ANNE MARIE</t>
  </si>
  <si>
    <t>SCHOCH HAROLD G</t>
  </si>
  <si>
    <t>00023132285K</t>
  </si>
  <si>
    <t>4M17MJ5CX77</t>
  </si>
  <si>
    <t>ZANA NASANDELGER M</t>
  </si>
  <si>
    <t>CHOIJILSUREN OYUNCHIMEG</t>
  </si>
  <si>
    <t>00023144851K</t>
  </si>
  <si>
    <t>4VT9FR7XE26</t>
  </si>
  <si>
    <t>TORRES JOSE</t>
  </si>
  <si>
    <t>GREER LOCKE ELAINE J</t>
  </si>
  <si>
    <t>00017775058K</t>
  </si>
  <si>
    <t>5K50AG5KY13</t>
  </si>
  <si>
    <t>STROHMAN BRIAN C</t>
  </si>
  <si>
    <t>ZERBY DANIEL D</t>
  </si>
  <si>
    <t>00023140938K</t>
  </si>
  <si>
    <t>9MF2R14UK81</t>
  </si>
  <si>
    <t>DEATON PAMELA S</t>
  </si>
  <si>
    <t>Schmidt Rebekah</t>
  </si>
  <si>
    <t>3208409570</t>
  </si>
  <si>
    <t>IN</t>
  </si>
  <si>
    <t>CB</t>
  </si>
  <si>
    <t>VISION</t>
  </si>
  <si>
    <t>COMPBENEFITS FIRST YEAR COMMISSION</t>
  </si>
  <si>
    <t>CRCF</t>
  </si>
  <si>
    <t>Baker Michael</t>
  </si>
  <si>
    <t>3249034970</t>
  </si>
  <si>
    <t>DENTAL</t>
  </si>
  <si>
    <t>COMPBENEFITS RENEWAL COMMISSION</t>
  </si>
  <si>
    <t>CRCM</t>
  </si>
  <si>
    <t>Philipsen Nancy</t>
  </si>
  <si>
    <t>9028212430</t>
  </si>
  <si>
    <t>Taber Carrie</t>
  </si>
  <si>
    <t>9028342740</t>
  </si>
  <si>
    <t>McClure Jessica</t>
  </si>
  <si>
    <t>9028454930</t>
  </si>
  <si>
    <t>Thompson Therese</t>
  </si>
  <si>
    <t>9029564860</t>
  </si>
  <si>
    <t>Petrovic Janine</t>
  </si>
  <si>
    <t>9029660210</t>
  </si>
  <si>
    <t>Finlen Carla</t>
  </si>
  <si>
    <t>9029685590</t>
  </si>
  <si>
    <t>9029685600</t>
  </si>
  <si>
    <t>Taylor Larry</t>
  </si>
  <si>
    <t>9029700250</t>
  </si>
  <si>
    <t>9029700260</t>
  </si>
  <si>
    <t>Larimer Angela</t>
  </si>
  <si>
    <t>9029715470</t>
  </si>
  <si>
    <t>Davison Kimberly</t>
  </si>
  <si>
    <t>9029766060</t>
  </si>
  <si>
    <t>TATRO MELISSA</t>
  </si>
  <si>
    <t>JMM COUNSELING PLLC</t>
  </si>
  <si>
    <t>000000416402</t>
  </si>
  <si>
    <t>GR</t>
  </si>
  <si>
    <t>EM</t>
  </si>
  <si>
    <t>HEAD HEART THERAPY</t>
  </si>
  <si>
    <t>000000416583</t>
  </si>
  <si>
    <t>RELATIONAL PSYCHOLOGY GRO</t>
  </si>
  <si>
    <t>000000416700</t>
  </si>
  <si>
    <t>DIMEX LLC</t>
  </si>
  <si>
    <t>000000845819</t>
  </si>
  <si>
    <t>HOFFMANN JASON R</t>
  </si>
  <si>
    <t>TRAINOR JACQUELINE M</t>
  </si>
  <si>
    <t>00000106089A</t>
  </si>
  <si>
    <t>MS</t>
  </si>
  <si>
    <t>MED SUPP RENEWAL ACHIEVE</t>
  </si>
  <si>
    <t>MSRA</t>
  </si>
  <si>
    <t>VAGNONI BONNIE M</t>
  </si>
  <si>
    <t>00000770493A</t>
  </si>
  <si>
    <t>MOFFAT STEVE C</t>
  </si>
  <si>
    <t>00000779014A</t>
  </si>
  <si>
    <t>FATSIS CINDY L</t>
  </si>
  <si>
    <t>00000795448A</t>
  </si>
  <si>
    <t>KEPHART NORMA K</t>
  </si>
  <si>
    <t>00000808018A</t>
  </si>
  <si>
    <t>PARKER DONALD W</t>
  </si>
  <si>
    <t>00000935298A</t>
  </si>
  <si>
    <t>MED SUPP ANNUALIZED STANDARD</t>
  </si>
  <si>
    <t>MSAS</t>
  </si>
  <si>
    <t>GRANDE JOSEPH T</t>
  </si>
  <si>
    <t>00000960221A</t>
  </si>
  <si>
    <t>MED SUPP ANNUALIZED ACHIEVE</t>
  </si>
  <si>
    <t>MSAA</t>
  </si>
  <si>
    <t>WALENGA DALE J</t>
  </si>
  <si>
    <t>TOWLE JANET D</t>
  </si>
  <si>
    <t>00000965684A</t>
  </si>
  <si>
    <t>RICHTER ADAM J</t>
  </si>
  <si>
    <t>SPROCK ELIZABETH A</t>
  </si>
  <si>
    <t>00000960421A</t>
  </si>
  <si>
    <t>BECK DEBRA A</t>
  </si>
  <si>
    <t>00000776552A</t>
  </si>
  <si>
    <t>PARADIS ELIZABETH A</t>
  </si>
  <si>
    <t>00000782684A</t>
  </si>
  <si>
    <t>SPROUSE DONALD E</t>
  </si>
  <si>
    <t>00000754585A</t>
  </si>
  <si>
    <t>CRAIG BARBARA J</t>
  </si>
  <si>
    <t>00000770425A</t>
  </si>
  <si>
    <t>CRAIG DONALD H</t>
  </si>
  <si>
    <t>00000770562A</t>
  </si>
  <si>
    <t>BARNER DENISE A</t>
  </si>
  <si>
    <t>00000770807A</t>
  </si>
  <si>
    <t>KELLY DARCY L</t>
  </si>
  <si>
    <t>00000775340A</t>
  </si>
  <si>
    <t>HARPER LYNNE E</t>
  </si>
  <si>
    <t>00000776436A</t>
  </si>
  <si>
    <t>GILDEN ROBIN E</t>
  </si>
  <si>
    <t>00000777658A</t>
  </si>
  <si>
    <t>REBMANN MAUREEN M</t>
  </si>
  <si>
    <t>00000784750A</t>
  </si>
  <si>
    <t>REBMANN EDWARD C</t>
  </si>
  <si>
    <t>00000786056A</t>
  </si>
  <si>
    <t>SCISCIANI DAVID A</t>
  </si>
  <si>
    <t>00000790321A</t>
  </si>
  <si>
    <t>KELLY JOHN R</t>
  </si>
  <si>
    <t>00000801899A</t>
  </si>
  <si>
    <t>COFFMAN BRIAN D</t>
  </si>
  <si>
    <t>00000804864A</t>
  </si>
  <si>
    <t>WILLIAMS DEBRA A</t>
  </si>
  <si>
    <t>00000809128A</t>
  </si>
  <si>
    <t>GRESS LISA M</t>
  </si>
  <si>
    <t>00000810902A</t>
  </si>
  <si>
    <t>CARTER LORI S</t>
  </si>
  <si>
    <t>00000963205A</t>
  </si>
  <si>
    <t>CHANG SUSAN</t>
  </si>
  <si>
    <t>00000964708A</t>
  </si>
  <si>
    <t>Madigan Kathleen</t>
  </si>
  <si>
    <t>9029971470</t>
  </si>
  <si>
    <t>CARBAJAL ESTEBAN</t>
  </si>
  <si>
    <t>00000817901A</t>
  </si>
  <si>
    <t>Johnston Barbara A</t>
  </si>
  <si>
    <t>9030005380</t>
  </si>
  <si>
    <t>McCorkle Michelle M</t>
  </si>
  <si>
    <t>9030108580</t>
  </si>
  <si>
    <t>LONG PATRICIA M</t>
  </si>
  <si>
    <t>NEWMAN LESLIE J</t>
  </si>
  <si>
    <t>00000803303A</t>
  </si>
  <si>
    <t>GREGORY ELAINE P</t>
  </si>
  <si>
    <t>00000803433A</t>
  </si>
  <si>
    <t>REAM KENNETH P</t>
  </si>
  <si>
    <t>00000954733A</t>
  </si>
  <si>
    <t>STOUDT SHARON L</t>
  </si>
  <si>
    <t>00000957217A</t>
  </si>
  <si>
    <t>MAX RONALD J</t>
  </si>
  <si>
    <t>THOMPSON KEVIN M</t>
  </si>
  <si>
    <t>00000858729A</t>
  </si>
  <si>
    <t>EDWARDS JEROME A</t>
  </si>
  <si>
    <t>00000858732A</t>
  </si>
  <si>
    <t>Humana Dental &amp; Vision</t>
  </si>
  <si>
    <t>Humana PDP 2025!</t>
  </si>
  <si>
    <t>Humana 65-80 AL, AZ, AR, GA, etc. All Except N OE &amp; UW</t>
  </si>
  <si>
    <t>Humana MedSupp U65</t>
  </si>
  <si>
    <t>Humana 81+ AL, AZ, AR, GA, etc. All Except N OE &amp; UW</t>
  </si>
  <si>
    <t>Humana AL, AZ, AR, GA, etc. Plan N OE &amp; UW</t>
  </si>
  <si>
    <t>Humana MAPD 2025*</t>
  </si>
  <si>
    <t>[%/$=313][prorate=12/12]</t>
  </si>
  <si>
    <t>[%/$=313][prorate=10/12]</t>
  </si>
  <si>
    <t>[%/$=313][prorate=7/12]</t>
  </si>
  <si>
    <t>[%/$=313][prorate=9/12]</t>
  </si>
  <si>
    <t>[%/$=353][prorate=10/12]</t>
  </si>
  <si>
    <t>Humana 2025 CT, PA, DC *</t>
  </si>
  <si>
    <t>[%/$=313][prorate=8/12]</t>
  </si>
  <si>
    <t>[%/$=313][prorate=1/12]</t>
  </si>
  <si>
    <t>[%/$=313][prorate=11/12]</t>
  </si>
  <si>
    <t>[%/$=313][prorate=2/12]</t>
  </si>
  <si>
    <t>[%/$=313][prorate=3/12]</t>
  </si>
  <si>
    <t>[%/$=313][prorate=4/12]</t>
  </si>
  <si>
    <t>18828278SUB2 </t>
  </si>
  <si>
    <t>17528908N</t>
  </si>
  <si>
    <t>SHAH</t>
  </si>
  <si>
    <t>BHARAT</t>
  </si>
  <si>
    <t>NESTEROWICZ</t>
  </si>
  <si>
    <t>CHERYL</t>
  </si>
  <si>
    <t>JOHN</t>
  </si>
  <si>
    <t>BRO</t>
  </si>
  <si>
    <t>WILLIAM</t>
  </si>
  <si>
    <t>DAVIS</t>
  </si>
  <si>
    <t>CINDY</t>
  </si>
  <si>
    <t>CHOI</t>
  </si>
  <si>
    <t>TIMOTHY</t>
  </si>
  <si>
    <t>KYUNG</t>
  </si>
  <si>
    <t>Baker</t>
  </si>
  <si>
    <t>Michael</t>
  </si>
  <si>
    <t>Petrovic</t>
  </si>
  <si>
    <t>Janine</t>
  </si>
  <si>
    <t>Finlen</t>
  </si>
  <si>
    <t>Carla</t>
  </si>
  <si>
    <t>Taylor</t>
  </si>
  <si>
    <t>Larry</t>
  </si>
  <si>
    <t>Larimer</t>
  </si>
  <si>
    <t>Angela</t>
  </si>
  <si>
    <t>Schmidt</t>
  </si>
  <si>
    <t>Rebekah</t>
  </si>
  <si>
    <t>Philipsen</t>
  </si>
  <si>
    <t>Nancy</t>
  </si>
  <si>
    <t>Taber</t>
  </si>
  <si>
    <t>Carrie</t>
  </si>
  <si>
    <t>McClure</t>
  </si>
  <si>
    <t>Jessica</t>
  </si>
  <si>
    <t>Thompson</t>
  </si>
  <si>
    <t>Therese</t>
  </si>
  <si>
    <t>Davison</t>
  </si>
  <si>
    <t>Kimberly</t>
  </si>
  <si>
    <t>CECHOTA</t>
  </si>
  <si>
    <t>EILEEN</t>
  </si>
  <si>
    <t>CRAIG</t>
  </si>
  <si>
    <t>SHARON</t>
  </si>
  <si>
    <t>TRIMBLE</t>
  </si>
  <si>
    <t>AMY</t>
  </si>
  <si>
    <t>CARBAJAL</t>
  </si>
  <si>
    <t>ESTEBAN</t>
  </si>
  <si>
    <t>CARLSON</t>
  </si>
  <si>
    <t>KATHLEEN</t>
  </si>
  <si>
    <t>HAMPTON</t>
  </si>
  <si>
    <t>JONES</t>
  </si>
  <si>
    <t>JACQUALINE</t>
  </si>
  <si>
    <t>FERRER</t>
  </si>
  <si>
    <t>EFRAIN</t>
  </si>
  <si>
    <t>ELIA</t>
  </si>
  <si>
    <t>PARKER</t>
  </si>
  <si>
    <t>DONALD</t>
  </si>
  <si>
    <t>VAGNONI</t>
  </si>
  <si>
    <t>BONNIE</t>
  </si>
  <si>
    <t>FATSIS</t>
  </si>
  <si>
    <t>GRANDE</t>
  </si>
  <si>
    <t>JOSEPH</t>
  </si>
  <si>
    <t>TRAINOR</t>
  </si>
  <si>
    <t>JACQUELINE</t>
  </si>
  <si>
    <t>MOFFAT</t>
  </si>
  <si>
    <t>STEVE</t>
  </si>
  <si>
    <t>KEPHART</t>
  </si>
  <si>
    <t>NORMA</t>
  </si>
  <si>
    <t>BEDARD</t>
  </si>
  <si>
    <t>JANICE</t>
  </si>
  <si>
    <t>MEISNER</t>
  </si>
  <si>
    <t>RICKY</t>
  </si>
  <si>
    <t>MILLER</t>
  </si>
  <si>
    <t>SUSAN</t>
  </si>
  <si>
    <t>LATZKE</t>
  </si>
  <si>
    <t>GERALD</t>
  </si>
  <si>
    <t>RENE</t>
  </si>
  <si>
    <t>BLANK</t>
  </si>
  <si>
    <t>RANDY</t>
  </si>
  <si>
    <t>SHYAM</t>
  </si>
  <si>
    <t>PRINCY</t>
  </si>
  <si>
    <t>BUTLER</t>
  </si>
  <si>
    <t>STANLEY</t>
  </si>
  <si>
    <t>COHEN</t>
  </si>
  <si>
    <t>ANGEL</t>
  </si>
  <si>
    <t>Madigan</t>
  </si>
  <si>
    <t>Kathleen</t>
  </si>
  <si>
    <t>MISSENDA</t>
  </si>
  <si>
    <t>JAMES</t>
  </si>
  <si>
    <t>KELLY</t>
  </si>
  <si>
    <t>SPROUSE</t>
  </si>
  <si>
    <t>COFFMAN</t>
  </si>
  <si>
    <t>BRIAN</t>
  </si>
  <si>
    <t>CARTER</t>
  </si>
  <si>
    <t>LORI</t>
  </si>
  <si>
    <t>CHANG</t>
  </si>
  <si>
    <t>BARBARA</t>
  </si>
  <si>
    <t>BARNER</t>
  </si>
  <si>
    <t>DENISE</t>
  </si>
  <si>
    <t>DARCY</t>
  </si>
  <si>
    <t>HARPER</t>
  </si>
  <si>
    <t>LYNNE</t>
  </si>
  <si>
    <t>GILDEN</t>
  </si>
  <si>
    <t>ROBIN</t>
  </si>
  <si>
    <t>REBMANN</t>
  </si>
  <si>
    <t>MAUREEN</t>
  </si>
  <si>
    <t>EDWARD</t>
  </si>
  <si>
    <t>SCISCIANI</t>
  </si>
  <si>
    <t>DAVID</t>
  </si>
  <si>
    <t>WILLIAMS</t>
  </si>
  <si>
    <t>DEBRA</t>
  </si>
  <si>
    <t>GRESS</t>
  </si>
  <si>
    <t>LISA</t>
  </si>
  <si>
    <t>SCHOCH</t>
  </si>
  <si>
    <t>HAROLD</t>
  </si>
  <si>
    <t>DELLARCO</t>
  </si>
  <si>
    <t>ANN</t>
  </si>
  <si>
    <t>BECK</t>
  </si>
  <si>
    <t>PARADIS</t>
  </si>
  <si>
    <t>ELIZABETH</t>
  </si>
  <si>
    <t>DIMEX</t>
  </si>
  <si>
    <t>LLC</t>
  </si>
  <si>
    <t>ORTEZ</t>
  </si>
  <si>
    <t>RHONDA</t>
  </si>
  <si>
    <t>FRANCIERE</t>
  </si>
  <si>
    <t>KAREN</t>
  </si>
  <si>
    <t>REAM</t>
  </si>
  <si>
    <t>KENNETH</t>
  </si>
  <si>
    <t>STOUDT</t>
  </si>
  <si>
    <t>NEWMAN</t>
  </si>
  <si>
    <t>LESLIE</t>
  </si>
  <si>
    <t>GREGORY</t>
  </si>
  <si>
    <t>ELAINE</t>
  </si>
  <si>
    <t>THOMPSON</t>
  </si>
  <si>
    <t>KEVIN</t>
  </si>
  <si>
    <t>EDWARDS</t>
  </si>
  <si>
    <t>JEROME</t>
  </si>
  <si>
    <t>Johnston</t>
  </si>
  <si>
    <t>Barbara</t>
  </si>
  <si>
    <t>McCorkle</t>
  </si>
  <si>
    <t>Michelle</t>
  </si>
  <si>
    <t>BUSH</t>
  </si>
  <si>
    <t>DAWN</t>
  </si>
  <si>
    <t>THORPE</t>
  </si>
  <si>
    <t>DOWNS</t>
  </si>
  <si>
    <t>VICKY</t>
  </si>
  <si>
    <t>COX</t>
  </si>
  <si>
    <t>MARILYN</t>
  </si>
  <si>
    <t>TRIEU</t>
  </si>
  <si>
    <t>TRINH</t>
  </si>
  <si>
    <t>LAGUIMON</t>
  </si>
  <si>
    <t>CAROLINE</t>
  </si>
  <si>
    <t>BIBIAN</t>
  </si>
  <si>
    <t>MARIA</t>
  </si>
  <si>
    <t>STOLTZ</t>
  </si>
  <si>
    <t>JENNIFER</t>
  </si>
  <si>
    <t>WILLIES</t>
  </si>
  <si>
    <t>KAY</t>
  </si>
  <si>
    <t>ELLIOTT</t>
  </si>
  <si>
    <t>ABIGAIL</t>
  </si>
  <si>
    <t>POLLARD</t>
  </si>
  <si>
    <t>MICHAEL</t>
  </si>
  <si>
    <t>GRAY</t>
  </si>
  <si>
    <t>ROSEANN</t>
  </si>
  <si>
    <t>SILVA</t>
  </si>
  <si>
    <t>NICOMEDES</t>
  </si>
  <si>
    <t>ZERBY</t>
  </si>
  <si>
    <t>DANIEL</t>
  </si>
  <si>
    <t>JMM</t>
  </si>
  <si>
    <t>COUNSELING</t>
  </si>
  <si>
    <t>HEAD</t>
  </si>
  <si>
    <t>HEART</t>
  </si>
  <si>
    <t>RELATIONAL</t>
  </si>
  <si>
    <t>PSYCHOLOGY</t>
  </si>
  <si>
    <t>DEUSTER</t>
  </si>
  <si>
    <t>DONNA</t>
  </si>
  <si>
    <t>WEBER</t>
  </si>
  <si>
    <t>ROLINSKAS</t>
  </si>
  <si>
    <t>MATTHEW</t>
  </si>
  <si>
    <t>RUSTEMEYER</t>
  </si>
  <si>
    <t>MARK</t>
  </si>
  <si>
    <t>VANDRE</t>
  </si>
  <si>
    <t>BARNETT</t>
  </si>
  <si>
    <t>YAKULIS</t>
  </si>
  <si>
    <t>MARGUERITE</t>
  </si>
  <si>
    <t>ESTELLE</t>
  </si>
  <si>
    <t>JERRI</t>
  </si>
  <si>
    <t>STANGL</t>
  </si>
  <si>
    <t>MARLA</t>
  </si>
  <si>
    <t>GREER</t>
  </si>
  <si>
    <t>TOWLE</t>
  </si>
  <si>
    <t>JANET</t>
  </si>
  <si>
    <t>HUANG</t>
  </si>
  <si>
    <t>ROSEMARIE</t>
  </si>
  <si>
    <t>LAPETINA</t>
  </si>
  <si>
    <t>JULIANNE</t>
  </si>
  <si>
    <t>DUNCAN</t>
  </si>
  <si>
    <t>DOLORES</t>
  </si>
  <si>
    <t>JORDAN</t>
  </si>
  <si>
    <t>BRUCE</t>
  </si>
  <si>
    <t>BIEGEL</t>
  </si>
  <si>
    <t>CHOIJILSUREN</t>
  </si>
  <si>
    <t>OYUNCHIMEG</t>
  </si>
  <si>
    <t>BHARAT SHAH</t>
  </si>
  <si>
    <t>CHERYL NESTEROWICZ</t>
  </si>
  <si>
    <t>JOHN NESTEROWICZ</t>
  </si>
  <si>
    <t>WILLIAM BRO</t>
  </si>
  <si>
    <t>CINDY DAVIS</t>
  </si>
  <si>
    <t>TIMOTHY CHOI</t>
  </si>
  <si>
    <t>KYUNG CHOI</t>
  </si>
  <si>
    <t>Michael Baker</t>
  </si>
  <si>
    <t>Janine Petrovic</t>
  </si>
  <si>
    <t>Carla Finlen</t>
  </si>
  <si>
    <t>Larry Taylor</t>
  </si>
  <si>
    <t>Angela Larimer</t>
  </si>
  <si>
    <t>Rebekah Schmidt</t>
  </si>
  <si>
    <t>Nancy Philipsen</t>
  </si>
  <si>
    <t>Carrie Taber</t>
  </si>
  <si>
    <t>Jessica McClure</t>
  </si>
  <si>
    <t>Therese Thompson</t>
  </si>
  <si>
    <t>Kimberly Davison</t>
  </si>
  <si>
    <t>EILEEN CECHOTA</t>
  </si>
  <si>
    <t>SHARON CRAIG</t>
  </si>
  <si>
    <t>AMY TRIMBLE</t>
  </si>
  <si>
    <t>ESTEBAN CARBAJAL</t>
  </si>
  <si>
    <t>KATHLEEN CARLSON</t>
  </si>
  <si>
    <t>JOHN HAMPTON</t>
  </si>
  <si>
    <t>JACQUALINE JONES</t>
  </si>
  <si>
    <t>EFRAIN FERRER</t>
  </si>
  <si>
    <t>ELIA FERRER</t>
  </si>
  <si>
    <t>DONALD PARKER</t>
  </si>
  <si>
    <t>BONNIE VAGNONI</t>
  </si>
  <si>
    <t>CINDY FATSIS</t>
  </si>
  <si>
    <t>JOSEPH GRANDE</t>
  </si>
  <si>
    <t>JACQUELINE TRAINOR</t>
  </si>
  <si>
    <t>STEVE MOFFAT</t>
  </si>
  <si>
    <t>NORMA KEPHART</t>
  </si>
  <si>
    <t>JANICE BEDARD</t>
  </si>
  <si>
    <t>RICKY MEISNER</t>
  </si>
  <si>
    <t>SUSAN MILLER</t>
  </si>
  <si>
    <t>GERALD LATZKE</t>
  </si>
  <si>
    <t>RENE LATZKE</t>
  </si>
  <si>
    <t>RANDY BLANK</t>
  </si>
  <si>
    <t>PRINCY SHYAM</t>
  </si>
  <si>
    <t>STANLEY BUTLER</t>
  </si>
  <si>
    <t>ANGEL COHEN</t>
  </si>
  <si>
    <t>Kathleen Madigan</t>
  </si>
  <si>
    <t>JAMES MISSENDA</t>
  </si>
  <si>
    <t>JOHN KELLY</t>
  </si>
  <si>
    <t>DONALD SPROUSE</t>
  </si>
  <si>
    <t>BRIAN COFFMAN</t>
  </si>
  <si>
    <t>LORI CARTER</t>
  </si>
  <si>
    <t>SUSAN CHANG</t>
  </si>
  <si>
    <t>BARBARA CRAIG</t>
  </si>
  <si>
    <t>DONALD CRAIG</t>
  </si>
  <si>
    <t>DENISE BARNER</t>
  </si>
  <si>
    <t>DARCY KELLY</t>
  </si>
  <si>
    <t>LYNNE HARPER</t>
  </si>
  <si>
    <t>ROBIN GILDEN</t>
  </si>
  <si>
    <t>MAUREEN REBMANN</t>
  </si>
  <si>
    <t>EDWARD REBMANN</t>
  </si>
  <si>
    <t>DAVID SCISCIANI</t>
  </si>
  <si>
    <t>DEBRA WILLIAMS</t>
  </si>
  <si>
    <t>LISA GRESS</t>
  </si>
  <si>
    <t>HAROLD SCHOCH</t>
  </si>
  <si>
    <t>ANN DELLARCO</t>
  </si>
  <si>
    <t>DEBRA BECK</t>
  </si>
  <si>
    <t>ELIZABETH PARADIS</t>
  </si>
  <si>
    <t>LLC DIMEX</t>
  </si>
  <si>
    <t>RHONDA ORTEZ</t>
  </si>
  <si>
    <t>KAREN FRANCIERE</t>
  </si>
  <si>
    <t>KENNETH REAM</t>
  </si>
  <si>
    <t>SHARON STOUDT</t>
  </si>
  <si>
    <t>LESLIE NEWMAN</t>
  </si>
  <si>
    <t>ELAINE GREGORY</t>
  </si>
  <si>
    <t>KEVIN THOMPSON</t>
  </si>
  <si>
    <t>JEROME EDWARDS</t>
  </si>
  <si>
    <t>Barbara Johnston</t>
  </si>
  <si>
    <t>Michelle McCorkle</t>
  </si>
  <si>
    <t>DAWN BUSH</t>
  </si>
  <si>
    <t>CHANG THORPE</t>
  </si>
  <si>
    <t>VICKY DOWNS</t>
  </si>
  <si>
    <t>MARILYN COX</t>
  </si>
  <si>
    <t>TRINH TRIEU</t>
  </si>
  <si>
    <t>CAROLINE LAGUIMON</t>
  </si>
  <si>
    <t>MARIA BIBIAN</t>
  </si>
  <si>
    <t>JENNIFER STOLTZ</t>
  </si>
  <si>
    <t>KAY WILLIES</t>
  </si>
  <si>
    <t>ABIGAIL ELLIOTT</t>
  </si>
  <si>
    <t>MICHAEL POLLARD</t>
  </si>
  <si>
    <t>ROSEANN GRAY</t>
  </si>
  <si>
    <t>NICOMEDES SILVA</t>
  </si>
  <si>
    <t>DANIEL ZERBY</t>
  </si>
  <si>
    <t>DONNA DEUSTER</t>
  </si>
  <si>
    <t>KENNETH WEBER</t>
  </si>
  <si>
    <t>JANICE WEBER</t>
  </si>
  <si>
    <t>EILEEN ROLINSKAS</t>
  </si>
  <si>
    <t>MATTHEW MILLER</t>
  </si>
  <si>
    <t>MARK RUSTEMEYER</t>
  </si>
  <si>
    <t>SUSAN VANDRE</t>
  </si>
  <si>
    <t>SUSAN BARNETT</t>
  </si>
  <si>
    <t>MARGUERITE YAKULIS</t>
  </si>
  <si>
    <t>JERRI ESTELLE</t>
  </si>
  <si>
    <t>MARLA STANGL</t>
  </si>
  <si>
    <t>ELAINE GREER</t>
  </si>
  <si>
    <t>JANET TOWLE</t>
  </si>
  <si>
    <t>ROSEMARIE HUANG</t>
  </si>
  <si>
    <t>JULIANNE LAPETINA</t>
  </si>
  <si>
    <t>DOLORES DUNCAN</t>
  </si>
  <si>
    <t>BRUCE JORDAN</t>
  </si>
  <si>
    <t>MARILYN BIEGEL</t>
  </si>
  <si>
    <t>OYUNCHIMEG CHOIJILSUREN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</si>
</sst>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2" fontId="19" fillId="0" borderId="0" xfId="0" applyNumberFormat="1" applyFont="1"/>
    <xf numFmtId="49" fontId="20" fillId="0" borderId="0" xfId="0" applyNumberFormat="1" applyFont="1" applyAlignment="1">
      <alignment horizontal="left" vertical="top"/>
    </xf>
    <xf numFmtId="49" fontId="20" fillId="33" borderId="0" xfId="0" applyNumberFormat="1" applyFont="1" applyFill="1" applyAlignment="1">
      <alignment horizontal="left" vertical="top"/>
    </xf>
    <xf numFmtId="0" fontId="20" fillId="33" borderId="0" xfId="0" applyFont="1" applyFill="1"/>
    <xf numFmtId="49" fontId="19" fillId="0" borderId="0" xfId="0" applyNumberFormat="1" applyFont="1" applyAlignment="1">
      <alignment horizontal="left" vertical="top"/>
    </xf>
    <xf numFmtId="1" fontId="19" fillId="0" borderId="0" xfId="0" applyNumberFormat="1" applyFont="1"/>
    <xf numFmtId="0" fontId="19" fillId="0" borderId="0" xfId="0" applyFont="1" applyAlignment="1">
      <alignment horizontal="left" vertical="top"/>
    </xf>
    <xf numFmtId="14" fontId="19" fillId="0" borderId="0" xfId="0" applyNumberFormat="1" applyFont="1"/>
    <xf numFmtId="0" fontId="19" fillId="0" borderId="0" xfId="0" applyFont="1"/>
    <xf numFmtId="0" fontId="21" fillId="0" borderId="0" xfId="0" applyFont="1" applyAlignment="1">
      <alignment horizontal="center" vertical="top"/>
    </xf>
    <xf numFmtId="1" fontId="19" fillId="0" borderId="0" xfId="0" applyNumberFormat="1" applyFont="1" applyAlignment="1">
      <alignment horizontal="right"/>
    </xf>
    <xf numFmtId="49" fontId="19" fillId="33" borderId="0" xfId="0" applyNumberFormat="1" applyFont="1" applyFill="1" applyAlignment="1">
      <alignment horizontal="left" vertical="top"/>
    </xf>
    <xf numFmtId="0" fontId="19" fillId="33" borderId="0" xfId="0" applyFont="1" applyFill="1" applyAlignment="1">
      <alignment horizontal="left" vertical="top"/>
    </xf>
    <xf numFmtId="14" fontId="19" fillId="33" borderId="0" xfId="0" applyNumberFormat="1" applyFont="1" applyFill="1"/>
    <xf numFmtId="1" fontId="19" fillId="33" borderId="0" xfId="0" applyNumberFormat="1" applyFont="1" applyFill="1"/>
    <xf numFmtId="2" fontId="19" fillId="33" borderId="0" xfId="0" applyNumberFormat="1" applyFont="1" applyFill="1"/>
    <xf numFmtId="0" fontId="19" fillId="33" borderId="0" xfId="0" applyFont="1" applyFill="1"/>
    <xf numFmtId="1" fontId="19" fillId="33" borderId="0" xfId="0" applyNumberFormat="1" applyFont="1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9658-5EDE-433C-A711-1BAFE0FFEE28}">
  <dimension ref="A1:AP127"/>
  <sheetViews>
    <sheetView topLeftCell="L85" workbookViewId="0">
      <selection activeCell="Y85" sqref="Y1:Y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40.5703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45721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210685395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45717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</v>
      </c>
      <c r="W2" s="5">
        <v>0</v>
      </c>
      <c r="X2" s="5">
        <v>100</v>
      </c>
      <c r="Y2" s="5">
        <v>365.17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45717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45721</v>
      </c>
      <c r="C3" s="4" t="s">
        <v>56</v>
      </c>
      <c r="D3" s="2">
        <v>1267028</v>
      </c>
      <c r="E3" s="4" t="s">
        <v>57</v>
      </c>
      <c r="F3" s="4" t="s">
        <v>58</v>
      </c>
      <c r="G3" s="2">
        <v>851377293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45717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</v>
      </c>
      <c r="W3" s="5">
        <v>0</v>
      </c>
      <c r="X3" s="5">
        <v>100</v>
      </c>
      <c r="Y3" s="5">
        <v>365.17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45717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60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45721</v>
      </c>
      <c r="C4" s="4" t="s">
        <v>61</v>
      </c>
      <c r="D4" s="2">
        <v>1427681</v>
      </c>
      <c r="E4" s="4" t="s">
        <v>62</v>
      </c>
      <c r="F4" s="4" t="s">
        <v>63</v>
      </c>
      <c r="G4" s="2">
        <v>408820518</v>
      </c>
      <c r="H4" s="4" t="s">
        <v>64</v>
      </c>
      <c r="I4" s="4" t="s">
        <v>46</v>
      </c>
      <c r="J4" s="4" t="s">
        <v>47</v>
      </c>
      <c r="K4" s="4" t="s">
        <v>48</v>
      </c>
      <c r="L4" s="3">
        <v>45717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65</v>
      </c>
      <c r="U4" s="4" t="s">
        <v>46</v>
      </c>
      <c r="V4" s="5">
        <v>0.83</v>
      </c>
      <c r="W4" s="5">
        <v>0</v>
      </c>
      <c r="X4" s="5">
        <v>100</v>
      </c>
      <c r="Y4" s="5">
        <v>260.83</v>
      </c>
      <c r="Z4" s="4" t="s">
        <v>46</v>
      </c>
      <c r="AA4" s="5" t="s">
        <v>46</v>
      </c>
      <c r="AB4" s="4" t="s">
        <v>66</v>
      </c>
      <c r="AC4" s="4" t="s">
        <v>46</v>
      </c>
      <c r="AD4" s="5">
        <v>0</v>
      </c>
      <c r="AE4" s="4" t="s">
        <v>67</v>
      </c>
      <c r="AF4" s="3">
        <v>45717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68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45721</v>
      </c>
      <c r="C5" s="4" t="s">
        <v>61</v>
      </c>
      <c r="D5" s="2">
        <v>1427681</v>
      </c>
      <c r="E5" s="4" t="s">
        <v>62</v>
      </c>
      <c r="F5" s="4" t="s">
        <v>63</v>
      </c>
      <c r="G5" s="2">
        <v>408820518</v>
      </c>
      <c r="H5" s="4" t="s">
        <v>64</v>
      </c>
      <c r="I5" s="4" t="s">
        <v>46</v>
      </c>
      <c r="J5" s="4" t="s">
        <v>47</v>
      </c>
      <c r="K5" s="4" t="s">
        <v>48</v>
      </c>
      <c r="L5" s="3">
        <v>45717</v>
      </c>
      <c r="M5" s="4" t="s">
        <v>49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65</v>
      </c>
      <c r="U5" s="4" t="s">
        <v>46</v>
      </c>
      <c r="V5" s="5">
        <v>0</v>
      </c>
      <c r="W5" s="5">
        <v>0</v>
      </c>
      <c r="X5" s="5">
        <v>100</v>
      </c>
      <c r="Y5" s="5">
        <v>365.17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45717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68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45721</v>
      </c>
      <c r="C6" s="4" t="s">
        <v>69</v>
      </c>
      <c r="D6" s="2">
        <v>1466196</v>
      </c>
      <c r="E6" s="4" t="s">
        <v>70</v>
      </c>
      <c r="F6" s="4" t="s">
        <v>71</v>
      </c>
      <c r="G6" s="2">
        <v>746344220</v>
      </c>
      <c r="H6" s="4" t="s">
        <v>72</v>
      </c>
      <c r="I6" s="4" t="s">
        <v>46</v>
      </c>
      <c r="J6" s="4" t="s">
        <v>47</v>
      </c>
      <c r="K6" s="4" t="s">
        <v>48</v>
      </c>
      <c r="L6" s="3">
        <v>45717</v>
      </c>
      <c r="M6" s="4" t="s">
        <v>49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65</v>
      </c>
      <c r="U6" s="4" t="s">
        <v>46</v>
      </c>
      <c r="V6" s="5">
        <v>0.83</v>
      </c>
      <c r="W6" s="5">
        <v>0</v>
      </c>
      <c r="X6" s="5">
        <v>100</v>
      </c>
      <c r="Y6" s="5">
        <v>260.83</v>
      </c>
      <c r="Z6" s="4" t="s">
        <v>46</v>
      </c>
      <c r="AA6" s="5" t="s">
        <v>46</v>
      </c>
      <c r="AB6" s="4" t="s">
        <v>66</v>
      </c>
      <c r="AC6" s="4" t="s">
        <v>46</v>
      </c>
      <c r="AD6" s="5">
        <v>0</v>
      </c>
      <c r="AE6" s="4" t="s">
        <v>67</v>
      </c>
      <c r="AF6" s="3">
        <v>45717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68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45721</v>
      </c>
      <c r="C7" s="4" t="s">
        <v>69</v>
      </c>
      <c r="D7" s="2">
        <v>1466196</v>
      </c>
      <c r="E7" s="4" t="s">
        <v>70</v>
      </c>
      <c r="F7" s="4" t="s">
        <v>71</v>
      </c>
      <c r="G7" s="2">
        <v>746344220</v>
      </c>
      <c r="H7" s="4" t="s">
        <v>72</v>
      </c>
      <c r="I7" s="4" t="s">
        <v>46</v>
      </c>
      <c r="J7" s="4" t="s">
        <v>47</v>
      </c>
      <c r="K7" s="4" t="s">
        <v>48</v>
      </c>
      <c r="L7" s="3">
        <v>45717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65</v>
      </c>
      <c r="U7" s="4" t="s">
        <v>46</v>
      </c>
      <c r="V7" s="5">
        <v>0</v>
      </c>
      <c r="W7" s="5">
        <v>0</v>
      </c>
      <c r="X7" s="5">
        <v>100</v>
      </c>
      <c r="Y7" s="5">
        <v>365.17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45717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68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45721</v>
      </c>
      <c r="C8" s="4" t="s">
        <v>69</v>
      </c>
      <c r="D8" s="2">
        <v>1466196</v>
      </c>
      <c r="E8" s="4" t="s">
        <v>73</v>
      </c>
      <c r="F8" s="4" t="s">
        <v>74</v>
      </c>
      <c r="G8" s="2">
        <v>751643220</v>
      </c>
      <c r="H8" s="4" t="s">
        <v>75</v>
      </c>
      <c r="I8" s="4" t="s">
        <v>46</v>
      </c>
      <c r="J8" s="4" t="s">
        <v>47</v>
      </c>
      <c r="K8" s="4" t="s">
        <v>48</v>
      </c>
      <c r="L8" s="3">
        <v>45717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65</v>
      </c>
      <c r="U8" s="4" t="s">
        <v>46</v>
      </c>
      <c r="V8" s="5">
        <v>0.83</v>
      </c>
      <c r="W8" s="5">
        <v>0</v>
      </c>
      <c r="X8" s="5">
        <v>100</v>
      </c>
      <c r="Y8" s="5">
        <v>260.83</v>
      </c>
      <c r="Z8" s="4" t="s">
        <v>46</v>
      </c>
      <c r="AA8" s="5" t="s">
        <v>46</v>
      </c>
      <c r="AB8" s="4" t="s">
        <v>66</v>
      </c>
      <c r="AC8" s="4" t="s">
        <v>46</v>
      </c>
      <c r="AD8" s="5">
        <v>0</v>
      </c>
      <c r="AE8" s="4" t="s">
        <v>67</v>
      </c>
      <c r="AF8" s="3">
        <v>45717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68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45721</v>
      </c>
      <c r="C9" s="4" t="s">
        <v>69</v>
      </c>
      <c r="D9" s="2">
        <v>1466196</v>
      </c>
      <c r="E9" s="4" t="s">
        <v>73</v>
      </c>
      <c r="F9" s="4" t="s">
        <v>74</v>
      </c>
      <c r="G9" s="2">
        <v>751643220</v>
      </c>
      <c r="H9" s="4" t="s">
        <v>75</v>
      </c>
      <c r="I9" s="4" t="s">
        <v>46</v>
      </c>
      <c r="J9" s="4" t="s">
        <v>47</v>
      </c>
      <c r="K9" s="4" t="s">
        <v>48</v>
      </c>
      <c r="L9" s="3">
        <v>45717</v>
      </c>
      <c r="M9" s="4" t="s">
        <v>49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65</v>
      </c>
      <c r="U9" s="4" t="s">
        <v>46</v>
      </c>
      <c r="V9" s="5">
        <v>0</v>
      </c>
      <c r="W9" s="5">
        <v>0</v>
      </c>
      <c r="X9" s="5">
        <v>100</v>
      </c>
      <c r="Y9" s="5">
        <v>365.17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45717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68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45721</v>
      </c>
      <c r="C10" s="4" t="s">
        <v>76</v>
      </c>
      <c r="D10" s="2">
        <v>1509770</v>
      </c>
      <c r="E10" s="4" t="s">
        <v>77</v>
      </c>
      <c r="F10" s="4" t="s">
        <v>78</v>
      </c>
      <c r="G10" s="2">
        <v>151061225</v>
      </c>
      <c r="H10" s="4" t="s">
        <v>79</v>
      </c>
      <c r="I10" s="4" t="s">
        <v>46</v>
      </c>
      <c r="J10" s="4" t="s">
        <v>47</v>
      </c>
      <c r="K10" s="4" t="s">
        <v>48</v>
      </c>
      <c r="L10" s="3">
        <v>45717</v>
      </c>
      <c r="M10" s="4" t="s">
        <v>49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65</v>
      </c>
      <c r="U10" s="4" t="s">
        <v>46</v>
      </c>
      <c r="V10" s="5">
        <v>0</v>
      </c>
      <c r="W10" s="5">
        <v>0</v>
      </c>
      <c r="X10" s="5">
        <v>100</v>
      </c>
      <c r="Y10" s="5">
        <v>260.83999999999997</v>
      </c>
      <c r="Z10" s="4" t="s">
        <v>46</v>
      </c>
      <c r="AA10" s="5" t="s">
        <v>46</v>
      </c>
      <c r="AB10" s="4" t="s">
        <v>53</v>
      </c>
      <c r="AC10" s="4" t="s">
        <v>46</v>
      </c>
      <c r="AD10" s="5">
        <v>0</v>
      </c>
      <c r="AE10" s="4" t="s">
        <v>54</v>
      </c>
      <c r="AF10" s="3">
        <v>45717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68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45721</v>
      </c>
      <c r="C11" s="4" t="s">
        <v>76</v>
      </c>
      <c r="D11" s="2">
        <v>1509770</v>
      </c>
      <c r="E11" s="4" t="s">
        <v>80</v>
      </c>
      <c r="F11" s="4" t="s">
        <v>81</v>
      </c>
      <c r="G11" s="2">
        <v>339825314</v>
      </c>
      <c r="H11" s="4" t="s">
        <v>82</v>
      </c>
      <c r="I11" s="4" t="s">
        <v>46</v>
      </c>
      <c r="J11" s="4" t="s">
        <v>47</v>
      </c>
      <c r="K11" s="4" t="s">
        <v>48</v>
      </c>
      <c r="L11" s="3">
        <v>45778</v>
      </c>
      <c r="M11" s="4" t="s">
        <v>83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65</v>
      </c>
      <c r="U11" s="4" t="s">
        <v>46</v>
      </c>
      <c r="V11" s="5">
        <v>0</v>
      </c>
      <c r="W11" s="5">
        <v>0</v>
      </c>
      <c r="X11" s="5">
        <v>100</v>
      </c>
      <c r="Y11" s="5">
        <v>417.33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45778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68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45721</v>
      </c>
      <c r="C12" s="4" t="s">
        <v>76</v>
      </c>
      <c r="D12" s="2">
        <v>1509770</v>
      </c>
      <c r="E12" s="4" t="s">
        <v>84</v>
      </c>
      <c r="F12" s="4" t="s">
        <v>85</v>
      </c>
      <c r="G12" s="2">
        <v>558660415</v>
      </c>
      <c r="H12" s="4" t="s">
        <v>86</v>
      </c>
      <c r="I12" s="4" t="s">
        <v>46</v>
      </c>
      <c r="J12" s="4" t="s">
        <v>47</v>
      </c>
      <c r="K12" s="4" t="s">
        <v>48</v>
      </c>
      <c r="L12" s="3">
        <v>45748</v>
      </c>
      <c r="M12" s="4" t="s">
        <v>87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65</v>
      </c>
      <c r="U12" s="4" t="s">
        <v>46</v>
      </c>
      <c r="V12" s="5">
        <v>0</v>
      </c>
      <c r="W12" s="5">
        <v>0</v>
      </c>
      <c r="X12" s="5">
        <v>100</v>
      </c>
      <c r="Y12" s="5">
        <v>391.25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45748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68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45721</v>
      </c>
      <c r="C13" s="4" t="s">
        <v>76</v>
      </c>
      <c r="D13" s="2">
        <v>1509770</v>
      </c>
      <c r="E13" s="4" t="s">
        <v>88</v>
      </c>
      <c r="F13" s="4" t="s">
        <v>89</v>
      </c>
      <c r="G13" s="2">
        <v>751643070</v>
      </c>
      <c r="H13" s="4" t="s">
        <v>90</v>
      </c>
      <c r="I13" s="4" t="s">
        <v>46</v>
      </c>
      <c r="J13" s="4" t="s">
        <v>47</v>
      </c>
      <c r="K13" s="4" t="s">
        <v>48</v>
      </c>
      <c r="L13" s="3">
        <v>45717</v>
      </c>
      <c r="M13" s="4" t="s">
        <v>49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65</v>
      </c>
      <c r="U13" s="4" t="s">
        <v>46</v>
      </c>
      <c r="V13" s="5">
        <v>0</v>
      </c>
      <c r="W13" s="5">
        <v>0</v>
      </c>
      <c r="X13" s="5">
        <v>100</v>
      </c>
      <c r="Y13" s="5">
        <v>365.17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45717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68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45721</v>
      </c>
      <c r="C14" s="4" t="s">
        <v>76</v>
      </c>
      <c r="D14" s="2">
        <v>1509770</v>
      </c>
      <c r="E14" s="4" t="s">
        <v>91</v>
      </c>
      <c r="F14" s="4" t="s">
        <v>92</v>
      </c>
      <c r="G14" s="2">
        <v>59631340</v>
      </c>
      <c r="H14" s="4" t="s">
        <v>93</v>
      </c>
      <c r="I14" s="4" t="s">
        <v>46</v>
      </c>
      <c r="J14" s="4" t="s">
        <v>47</v>
      </c>
      <c r="K14" s="4" t="s">
        <v>48</v>
      </c>
      <c r="L14" s="3">
        <v>45717</v>
      </c>
      <c r="M14" s="4" t="s">
        <v>49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65</v>
      </c>
      <c r="U14" s="4" t="s">
        <v>46</v>
      </c>
      <c r="V14" s="5">
        <v>0</v>
      </c>
      <c r="W14" s="5">
        <v>0</v>
      </c>
      <c r="X14" s="5">
        <v>100</v>
      </c>
      <c r="Y14" s="5">
        <v>365.17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45717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68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45721</v>
      </c>
      <c r="C15" s="4" t="s">
        <v>94</v>
      </c>
      <c r="D15" s="2">
        <v>1510085</v>
      </c>
      <c r="E15" s="4" t="s">
        <v>95</v>
      </c>
      <c r="F15" s="4" t="s">
        <v>96</v>
      </c>
      <c r="G15" s="2">
        <v>989047340</v>
      </c>
      <c r="H15" s="4" t="s">
        <v>97</v>
      </c>
      <c r="I15" s="4" t="s">
        <v>46</v>
      </c>
      <c r="J15" s="4" t="s">
        <v>47</v>
      </c>
      <c r="K15" s="4" t="s">
        <v>48</v>
      </c>
      <c r="L15" s="3">
        <v>45748</v>
      </c>
      <c r="M15" s="4" t="s">
        <v>87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</v>
      </c>
      <c r="W15" s="5">
        <v>0</v>
      </c>
      <c r="X15" s="5">
        <v>100</v>
      </c>
      <c r="Y15" s="5">
        <v>391.25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45748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98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45721</v>
      </c>
      <c r="C16" s="4" t="s">
        <v>99</v>
      </c>
      <c r="D16" s="2">
        <v>1510420</v>
      </c>
      <c r="E16" s="4" t="s">
        <v>100</v>
      </c>
      <c r="F16" s="4" t="s">
        <v>101</v>
      </c>
      <c r="G16" s="2">
        <v>776383554</v>
      </c>
      <c r="H16" s="4" t="s">
        <v>102</v>
      </c>
      <c r="I16" s="4" t="s">
        <v>46</v>
      </c>
      <c r="J16" s="4" t="s">
        <v>47</v>
      </c>
      <c r="K16" s="4" t="s">
        <v>48</v>
      </c>
      <c r="L16" s="3">
        <v>45717</v>
      </c>
      <c r="M16" s="4" t="s">
        <v>49</v>
      </c>
      <c r="N16" s="4" t="s">
        <v>46</v>
      </c>
      <c r="O16" s="4" t="s">
        <v>50</v>
      </c>
      <c r="P16" s="4" t="s">
        <v>46</v>
      </c>
      <c r="Q16" s="2">
        <v>1</v>
      </c>
      <c r="R16" s="2">
        <v>17</v>
      </c>
      <c r="S16" s="4" t="s">
        <v>51</v>
      </c>
      <c r="T16" s="4" t="s">
        <v>65</v>
      </c>
      <c r="U16" s="4" t="s">
        <v>46</v>
      </c>
      <c r="V16" s="5">
        <v>0.83</v>
      </c>
      <c r="W16" s="5">
        <v>0</v>
      </c>
      <c r="X16" s="5">
        <v>100</v>
      </c>
      <c r="Y16" s="5">
        <v>260.83</v>
      </c>
      <c r="Z16" s="4" t="s">
        <v>46</v>
      </c>
      <c r="AA16" s="5" t="s">
        <v>46</v>
      </c>
      <c r="AB16" s="4" t="s">
        <v>66</v>
      </c>
      <c r="AC16" s="4" t="s">
        <v>46</v>
      </c>
      <c r="AD16" s="5">
        <v>0</v>
      </c>
      <c r="AE16" s="4" t="s">
        <v>67</v>
      </c>
      <c r="AF16" s="3">
        <v>45717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68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45721</v>
      </c>
      <c r="C17" s="4" t="s">
        <v>99</v>
      </c>
      <c r="D17" s="2">
        <v>1510420</v>
      </c>
      <c r="E17" s="4" t="s">
        <v>103</v>
      </c>
      <c r="F17" s="4" t="s">
        <v>104</v>
      </c>
      <c r="G17" s="2">
        <v>835897401</v>
      </c>
      <c r="H17" s="4" t="s">
        <v>105</v>
      </c>
      <c r="I17" s="4" t="s">
        <v>46</v>
      </c>
      <c r="J17" s="4" t="s">
        <v>47</v>
      </c>
      <c r="K17" s="4" t="s">
        <v>48</v>
      </c>
      <c r="L17" s="3">
        <v>45658</v>
      </c>
      <c r="M17" s="4" t="s">
        <v>106</v>
      </c>
      <c r="N17" s="4" t="s">
        <v>46</v>
      </c>
      <c r="O17" s="4" t="s">
        <v>50</v>
      </c>
      <c r="P17" s="4" t="s">
        <v>46</v>
      </c>
      <c r="Q17" s="2">
        <v>1</v>
      </c>
      <c r="R17" s="2">
        <v>17</v>
      </c>
      <c r="S17" s="4" t="s">
        <v>51</v>
      </c>
      <c r="T17" s="4" t="s">
        <v>65</v>
      </c>
      <c r="U17" s="4" t="s">
        <v>46</v>
      </c>
      <c r="V17" s="5">
        <v>0</v>
      </c>
      <c r="W17" s="5">
        <v>0</v>
      </c>
      <c r="X17" s="5">
        <v>100</v>
      </c>
      <c r="Y17" s="5">
        <v>313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68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45721</v>
      </c>
      <c r="C18" s="4" t="s">
        <v>99</v>
      </c>
      <c r="D18" s="2">
        <v>1510420</v>
      </c>
      <c r="E18" s="4" t="s">
        <v>107</v>
      </c>
      <c r="F18" s="4" t="s">
        <v>108</v>
      </c>
      <c r="G18" s="2">
        <v>335907125</v>
      </c>
      <c r="H18" s="4" t="s">
        <v>109</v>
      </c>
      <c r="I18" s="4" t="s">
        <v>46</v>
      </c>
      <c r="J18" s="4" t="s">
        <v>47</v>
      </c>
      <c r="K18" s="4" t="s">
        <v>48</v>
      </c>
      <c r="L18" s="3">
        <v>45717</v>
      </c>
      <c r="M18" s="4" t="s">
        <v>49</v>
      </c>
      <c r="N18" s="4" t="s">
        <v>46</v>
      </c>
      <c r="O18" s="4" t="s">
        <v>50</v>
      </c>
      <c r="P18" s="4" t="s">
        <v>46</v>
      </c>
      <c r="Q18" s="2">
        <v>1</v>
      </c>
      <c r="R18" s="2">
        <v>17</v>
      </c>
      <c r="S18" s="4" t="s">
        <v>51</v>
      </c>
      <c r="T18" s="4" t="s">
        <v>65</v>
      </c>
      <c r="U18" s="4" t="s">
        <v>46</v>
      </c>
      <c r="V18" s="5">
        <v>0</v>
      </c>
      <c r="W18" s="5">
        <v>0</v>
      </c>
      <c r="X18" s="5">
        <v>100</v>
      </c>
      <c r="Y18" s="5">
        <v>365.17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45717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68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45721</v>
      </c>
      <c r="C19" s="4" t="s">
        <v>99</v>
      </c>
      <c r="D19" s="2">
        <v>1510420</v>
      </c>
      <c r="E19" s="4" t="s">
        <v>110</v>
      </c>
      <c r="F19" s="4" t="s">
        <v>111</v>
      </c>
      <c r="G19" s="2">
        <v>150616034</v>
      </c>
      <c r="H19" s="4" t="s">
        <v>112</v>
      </c>
      <c r="I19" s="4" t="s">
        <v>46</v>
      </c>
      <c r="J19" s="4" t="s">
        <v>47</v>
      </c>
      <c r="K19" s="4" t="s">
        <v>48</v>
      </c>
      <c r="L19" s="3">
        <v>45778</v>
      </c>
      <c r="M19" s="4" t="s">
        <v>83</v>
      </c>
      <c r="N19" s="4" t="s">
        <v>46</v>
      </c>
      <c r="O19" s="4" t="s">
        <v>50</v>
      </c>
      <c r="P19" s="4" t="s">
        <v>46</v>
      </c>
      <c r="Q19" s="2">
        <v>1</v>
      </c>
      <c r="R19" s="2">
        <v>17</v>
      </c>
      <c r="S19" s="4" t="s">
        <v>51</v>
      </c>
      <c r="T19" s="4" t="s">
        <v>65</v>
      </c>
      <c r="U19" s="4" t="s">
        <v>46</v>
      </c>
      <c r="V19" s="5">
        <v>0</v>
      </c>
      <c r="W19" s="5">
        <v>0</v>
      </c>
      <c r="X19" s="5">
        <v>100</v>
      </c>
      <c r="Y19" s="5">
        <v>417.33</v>
      </c>
      <c r="Z19" s="4" t="s">
        <v>46</v>
      </c>
      <c r="AA19" s="5" t="s">
        <v>46</v>
      </c>
      <c r="AB19" s="4" t="s">
        <v>53</v>
      </c>
      <c r="AC19" s="4" t="s">
        <v>46</v>
      </c>
      <c r="AD19" s="5">
        <v>0</v>
      </c>
      <c r="AE19" s="4" t="s">
        <v>54</v>
      </c>
      <c r="AF19" s="3">
        <v>45778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68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45721</v>
      </c>
      <c r="C20" s="4" t="s">
        <v>99</v>
      </c>
      <c r="D20" s="2">
        <v>1510420</v>
      </c>
      <c r="E20" s="4" t="s">
        <v>113</v>
      </c>
      <c r="F20" s="4" t="s">
        <v>114</v>
      </c>
      <c r="G20" s="2">
        <v>325696185</v>
      </c>
      <c r="H20" s="4" t="s">
        <v>115</v>
      </c>
      <c r="I20" s="4" t="s">
        <v>46</v>
      </c>
      <c r="J20" s="4" t="s">
        <v>47</v>
      </c>
      <c r="K20" s="4" t="s">
        <v>48</v>
      </c>
      <c r="L20" s="3">
        <v>45717</v>
      </c>
      <c r="M20" s="4" t="s">
        <v>49</v>
      </c>
      <c r="N20" s="4" t="s">
        <v>46</v>
      </c>
      <c r="O20" s="4" t="s">
        <v>50</v>
      </c>
      <c r="P20" s="4" t="s">
        <v>46</v>
      </c>
      <c r="Q20" s="2">
        <v>1</v>
      </c>
      <c r="R20" s="2">
        <v>17</v>
      </c>
      <c r="S20" s="4" t="s">
        <v>51</v>
      </c>
      <c r="T20" s="4" t="s">
        <v>65</v>
      </c>
      <c r="U20" s="4" t="s">
        <v>46</v>
      </c>
      <c r="V20" s="5">
        <v>0.83</v>
      </c>
      <c r="W20" s="5">
        <v>0</v>
      </c>
      <c r="X20" s="5">
        <v>100</v>
      </c>
      <c r="Y20" s="5">
        <v>260.83</v>
      </c>
      <c r="Z20" s="4" t="s">
        <v>46</v>
      </c>
      <c r="AA20" s="5" t="s">
        <v>46</v>
      </c>
      <c r="AB20" s="4" t="s">
        <v>66</v>
      </c>
      <c r="AC20" s="4" t="s">
        <v>46</v>
      </c>
      <c r="AD20" s="5">
        <v>0</v>
      </c>
      <c r="AE20" s="4" t="s">
        <v>67</v>
      </c>
      <c r="AF20" s="3">
        <v>45717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68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45721</v>
      </c>
      <c r="C21" s="4" t="s">
        <v>99</v>
      </c>
      <c r="D21" s="2">
        <v>1510420</v>
      </c>
      <c r="E21" s="4" t="s">
        <v>116</v>
      </c>
      <c r="F21" s="4" t="s">
        <v>117</v>
      </c>
      <c r="G21" s="2">
        <v>922969335</v>
      </c>
      <c r="H21" s="4" t="s">
        <v>118</v>
      </c>
      <c r="I21" s="4" t="s">
        <v>46</v>
      </c>
      <c r="J21" s="4" t="s">
        <v>47</v>
      </c>
      <c r="K21" s="4" t="s">
        <v>48</v>
      </c>
      <c r="L21" s="3">
        <v>45809</v>
      </c>
      <c r="M21" s="4" t="s">
        <v>119</v>
      </c>
      <c r="N21" s="4" t="s">
        <v>46</v>
      </c>
      <c r="O21" s="4" t="s">
        <v>50</v>
      </c>
      <c r="P21" s="4" t="s">
        <v>46</v>
      </c>
      <c r="Q21" s="2">
        <v>1</v>
      </c>
      <c r="R21" s="2">
        <v>17</v>
      </c>
      <c r="S21" s="4" t="s">
        <v>51</v>
      </c>
      <c r="T21" s="4" t="s">
        <v>65</v>
      </c>
      <c r="U21" s="4" t="s">
        <v>46</v>
      </c>
      <c r="V21" s="5">
        <v>0.57999999999999996</v>
      </c>
      <c r="W21" s="5">
        <v>0</v>
      </c>
      <c r="X21" s="5">
        <v>100</v>
      </c>
      <c r="Y21" s="5">
        <v>182.58</v>
      </c>
      <c r="Z21" s="4" t="s">
        <v>46</v>
      </c>
      <c r="AA21" s="5" t="s">
        <v>46</v>
      </c>
      <c r="AB21" s="4" t="s">
        <v>66</v>
      </c>
      <c r="AC21" s="4" t="s">
        <v>46</v>
      </c>
      <c r="AD21" s="5">
        <v>0</v>
      </c>
      <c r="AE21" s="4" t="s">
        <v>67</v>
      </c>
      <c r="AF21" s="3">
        <v>45809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68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45721</v>
      </c>
      <c r="C22" s="4" t="s">
        <v>99</v>
      </c>
      <c r="D22" s="2">
        <v>1510420</v>
      </c>
      <c r="E22" s="4" t="s">
        <v>120</v>
      </c>
      <c r="F22" s="4" t="s">
        <v>121</v>
      </c>
      <c r="G22" s="2">
        <v>950986335</v>
      </c>
      <c r="H22" s="4" t="s">
        <v>122</v>
      </c>
      <c r="I22" s="4" t="s">
        <v>46</v>
      </c>
      <c r="J22" s="4" t="s">
        <v>47</v>
      </c>
      <c r="K22" s="4" t="s">
        <v>48</v>
      </c>
      <c r="L22" s="3">
        <v>45748</v>
      </c>
      <c r="M22" s="4" t="s">
        <v>87</v>
      </c>
      <c r="N22" s="4" t="s">
        <v>46</v>
      </c>
      <c r="O22" s="4" t="s">
        <v>50</v>
      </c>
      <c r="P22" s="4" t="s">
        <v>46</v>
      </c>
      <c r="Q22" s="2">
        <v>1</v>
      </c>
      <c r="R22" s="2">
        <v>17</v>
      </c>
      <c r="S22" s="4" t="s">
        <v>51</v>
      </c>
      <c r="T22" s="4" t="s">
        <v>65</v>
      </c>
      <c r="U22" s="4" t="s">
        <v>46</v>
      </c>
      <c r="V22" s="5">
        <v>0.75</v>
      </c>
      <c r="W22" s="5">
        <v>0</v>
      </c>
      <c r="X22" s="5">
        <v>100</v>
      </c>
      <c r="Y22" s="5">
        <v>234.75</v>
      </c>
      <c r="Z22" s="4" t="s">
        <v>46</v>
      </c>
      <c r="AA22" s="5" t="s">
        <v>46</v>
      </c>
      <c r="AB22" s="4" t="s">
        <v>66</v>
      </c>
      <c r="AC22" s="4" t="s">
        <v>46</v>
      </c>
      <c r="AD22" s="5">
        <v>0</v>
      </c>
      <c r="AE22" s="4" t="s">
        <v>67</v>
      </c>
      <c r="AF22" s="3">
        <v>45748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68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45721</v>
      </c>
      <c r="C23" s="4" t="s">
        <v>99</v>
      </c>
      <c r="D23" s="2">
        <v>1510420</v>
      </c>
      <c r="E23" s="4" t="s">
        <v>123</v>
      </c>
      <c r="F23" s="4" t="s">
        <v>124</v>
      </c>
      <c r="G23" s="2">
        <v>994344175</v>
      </c>
      <c r="H23" s="4" t="s">
        <v>125</v>
      </c>
      <c r="I23" s="4" t="s">
        <v>46</v>
      </c>
      <c r="J23" s="4" t="s">
        <v>47</v>
      </c>
      <c r="K23" s="4" t="s">
        <v>48</v>
      </c>
      <c r="L23" s="3">
        <v>45717</v>
      </c>
      <c r="M23" s="4" t="s">
        <v>49</v>
      </c>
      <c r="N23" s="4" t="s">
        <v>46</v>
      </c>
      <c r="O23" s="4" t="s">
        <v>50</v>
      </c>
      <c r="P23" s="4" t="s">
        <v>46</v>
      </c>
      <c r="Q23" s="2">
        <v>1</v>
      </c>
      <c r="R23" s="2">
        <v>17</v>
      </c>
      <c r="S23" s="4" t="s">
        <v>51</v>
      </c>
      <c r="T23" s="4" t="s">
        <v>65</v>
      </c>
      <c r="U23" s="4" t="s">
        <v>46</v>
      </c>
      <c r="V23" s="5">
        <v>0.83</v>
      </c>
      <c r="W23" s="5">
        <v>0</v>
      </c>
      <c r="X23" s="5">
        <v>100</v>
      </c>
      <c r="Y23" s="5">
        <v>260.83</v>
      </c>
      <c r="Z23" s="4" t="s">
        <v>46</v>
      </c>
      <c r="AA23" s="5" t="s">
        <v>46</v>
      </c>
      <c r="AB23" s="4" t="s">
        <v>66</v>
      </c>
      <c r="AC23" s="4" t="s">
        <v>46</v>
      </c>
      <c r="AD23" s="5">
        <v>0</v>
      </c>
      <c r="AE23" s="4" t="s">
        <v>67</v>
      </c>
      <c r="AF23" s="3">
        <v>45717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68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45721</v>
      </c>
      <c r="C24" s="4" t="s">
        <v>126</v>
      </c>
      <c r="D24" s="2">
        <v>1573279</v>
      </c>
      <c r="E24" s="4" t="s">
        <v>127</v>
      </c>
      <c r="F24" s="4" t="s">
        <v>128</v>
      </c>
      <c r="G24" s="2">
        <v>588828435</v>
      </c>
      <c r="H24" s="4" t="s">
        <v>129</v>
      </c>
      <c r="I24" s="4" t="s">
        <v>46</v>
      </c>
      <c r="J24" s="4" t="s">
        <v>47</v>
      </c>
      <c r="K24" s="4" t="s">
        <v>48</v>
      </c>
      <c r="L24" s="3">
        <v>45717</v>
      </c>
      <c r="M24" s="4" t="s">
        <v>49</v>
      </c>
      <c r="N24" s="4" t="s">
        <v>46</v>
      </c>
      <c r="O24" s="4" t="s">
        <v>130</v>
      </c>
      <c r="P24" s="4" t="s">
        <v>46</v>
      </c>
      <c r="Q24" s="2">
        <v>1</v>
      </c>
      <c r="R24" s="2">
        <v>17</v>
      </c>
      <c r="S24" s="4" t="s">
        <v>51</v>
      </c>
      <c r="T24" s="4" t="s">
        <v>65</v>
      </c>
      <c r="U24" s="4" t="s">
        <v>46</v>
      </c>
      <c r="V24" s="5">
        <v>1</v>
      </c>
      <c r="W24" s="5">
        <v>0</v>
      </c>
      <c r="X24" s="5">
        <v>100</v>
      </c>
      <c r="Y24" s="5">
        <v>26.08</v>
      </c>
      <c r="Z24" s="4" t="s">
        <v>46</v>
      </c>
      <c r="AA24" s="5" t="s">
        <v>46</v>
      </c>
      <c r="AB24" s="4" t="s">
        <v>131</v>
      </c>
      <c r="AC24" s="4" t="s">
        <v>46</v>
      </c>
      <c r="AD24" s="5">
        <v>0</v>
      </c>
      <c r="AE24" s="4" t="s">
        <v>132</v>
      </c>
      <c r="AF24" s="3">
        <v>45627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68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45721</v>
      </c>
      <c r="C25" s="4" t="s">
        <v>126</v>
      </c>
      <c r="D25" s="2">
        <v>1573279</v>
      </c>
      <c r="E25" s="4" t="s">
        <v>133</v>
      </c>
      <c r="F25" s="4" t="s">
        <v>134</v>
      </c>
      <c r="G25" s="2">
        <v>99880474</v>
      </c>
      <c r="H25" s="4" t="s">
        <v>135</v>
      </c>
      <c r="I25" s="4" t="s">
        <v>46</v>
      </c>
      <c r="J25" s="4" t="s">
        <v>47</v>
      </c>
      <c r="K25" s="4" t="s">
        <v>48</v>
      </c>
      <c r="L25" s="3">
        <v>45689</v>
      </c>
      <c r="M25" s="4" t="s">
        <v>136</v>
      </c>
      <c r="N25" s="4" t="s">
        <v>46</v>
      </c>
      <c r="O25" s="4" t="s">
        <v>50</v>
      </c>
      <c r="P25" s="4" t="s">
        <v>46</v>
      </c>
      <c r="Q25" s="2">
        <v>1</v>
      </c>
      <c r="R25" s="2">
        <v>17</v>
      </c>
      <c r="S25" s="4" t="s">
        <v>51</v>
      </c>
      <c r="T25" s="4" t="s">
        <v>52</v>
      </c>
      <c r="U25" s="4" t="s">
        <v>46</v>
      </c>
      <c r="V25" s="5">
        <v>0</v>
      </c>
      <c r="W25" s="5">
        <v>0</v>
      </c>
      <c r="X25" s="5">
        <v>100</v>
      </c>
      <c r="Y25" s="5">
        <v>339.08</v>
      </c>
      <c r="Z25" s="4" t="s">
        <v>46</v>
      </c>
      <c r="AA25" s="5" t="s">
        <v>46</v>
      </c>
      <c r="AB25" s="4" t="s">
        <v>53</v>
      </c>
      <c r="AC25" s="4" t="s">
        <v>46</v>
      </c>
      <c r="AD25" s="5">
        <v>0</v>
      </c>
      <c r="AE25" s="4" t="s">
        <v>54</v>
      </c>
      <c r="AF25" s="3">
        <v>45689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60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45721</v>
      </c>
      <c r="C26" s="4" t="s">
        <v>126</v>
      </c>
      <c r="D26" s="2">
        <v>1573279</v>
      </c>
      <c r="E26" s="4" t="s">
        <v>137</v>
      </c>
      <c r="F26" s="4" t="s">
        <v>138</v>
      </c>
      <c r="G26" s="2">
        <v>471581505</v>
      </c>
      <c r="H26" s="4" t="s">
        <v>139</v>
      </c>
      <c r="I26" s="4" t="s">
        <v>46</v>
      </c>
      <c r="J26" s="4" t="s">
        <v>47</v>
      </c>
      <c r="K26" s="4" t="s">
        <v>48</v>
      </c>
      <c r="L26" s="3">
        <v>45717</v>
      </c>
      <c r="M26" s="4" t="s">
        <v>49</v>
      </c>
      <c r="N26" s="4" t="s">
        <v>46</v>
      </c>
      <c r="O26" s="4" t="s">
        <v>50</v>
      </c>
      <c r="P26" s="4" t="s">
        <v>46</v>
      </c>
      <c r="Q26" s="2">
        <v>1</v>
      </c>
      <c r="R26" s="2">
        <v>17</v>
      </c>
      <c r="S26" s="4" t="s">
        <v>51</v>
      </c>
      <c r="T26" s="4" t="s">
        <v>65</v>
      </c>
      <c r="U26" s="4" t="s">
        <v>46</v>
      </c>
      <c r="V26" s="5">
        <v>0</v>
      </c>
      <c r="W26" s="5">
        <v>0</v>
      </c>
      <c r="X26" s="5">
        <v>100</v>
      </c>
      <c r="Y26" s="5">
        <v>365.17</v>
      </c>
      <c r="Z26" s="4" t="s">
        <v>46</v>
      </c>
      <c r="AA26" s="5" t="s">
        <v>46</v>
      </c>
      <c r="AB26" s="4" t="s">
        <v>53</v>
      </c>
      <c r="AC26" s="4" t="s">
        <v>46</v>
      </c>
      <c r="AD26" s="5">
        <v>0</v>
      </c>
      <c r="AE26" s="4" t="s">
        <v>54</v>
      </c>
      <c r="AF26" s="3">
        <v>45717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68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45721</v>
      </c>
      <c r="C27" s="4" t="s">
        <v>140</v>
      </c>
      <c r="D27" s="2">
        <v>1581327</v>
      </c>
      <c r="E27" s="4" t="s">
        <v>141</v>
      </c>
      <c r="F27" s="4" t="s">
        <v>142</v>
      </c>
      <c r="G27" s="2">
        <v>502800073</v>
      </c>
      <c r="H27" s="4" t="s">
        <v>143</v>
      </c>
      <c r="I27" s="4" t="s">
        <v>46</v>
      </c>
      <c r="J27" s="4" t="s">
        <v>47</v>
      </c>
      <c r="K27" s="4" t="s">
        <v>48</v>
      </c>
      <c r="L27" s="3">
        <v>45717</v>
      </c>
      <c r="M27" s="4" t="s">
        <v>49</v>
      </c>
      <c r="N27" s="4" t="s">
        <v>46</v>
      </c>
      <c r="O27" s="4" t="s">
        <v>50</v>
      </c>
      <c r="P27" s="4" t="s">
        <v>46</v>
      </c>
      <c r="Q27" s="2">
        <v>1</v>
      </c>
      <c r="R27" s="2">
        <v>17</v>
      </c>
      <c r="S27" s="4" t="s">
        <v>51</v>
      </c>
      <c r="T27" s="4" t="s">
        <v>144</v>
      </c>
      <c r="U27" s="4" t="s">
        <v>46</v>
      </c>
      <c r="V27" s="5">
        <v>0</v>
      </c>
      <c r="W27" s="5">
        <v>0</v>
      </c>
      <c r="X27" s="5">
        <v>100</v>
      </c>
      <c r="Y27" s="5">
        <v>63.17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45717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145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45721</v>
      </c>
      <c r="C28" s="4" t="s">
        <v>146</v>
      </c>
      <c r="D28" s="2">
        <v>1626475</v>
      </c>
      <c r="E28" s="4" t="s">
        <v>147</v>
      </c>
      <c r="F28" s="4" t="s">
        <v>148</v>
      </c>
      <c r="G28" s="2">
        <v>664472343</v>
      </c>
      <c r="H28" s="4" t="s">
        <v>149</v>
      </c>
      <c r="I28" s="4" t="s">
        <v>46</v>
      </c>
      <c r="J28" s="4" t="s">
        <v>47</v>
      </c>
      <c r="K28" s="4" t="s">
        <v>48</v>
      </c>
      <c r="L28" s="3">
        <v>45717</v>
      </c>
      <c r="M28" s="4" t="s">
        <v>49</v>
      </c>
      <c r="N28" s="4" t="s">
        <v>46</v>
      </c>
      <c r="O28" s="4" t="s">
        <v>50</v>
      </c>
      <c r="P28" s="4" t="s">
        <v>46</v>
      </c>
      <c r="Q28" s="2">
        <v>1</v>
      </c>
      <c r="R28" s="2">
        <v>17</v>
      </c>
      <c r="S28" s="4" t="s">
        <v>51</v>
      </c>
      <c r="T28" s="4" t="s">
        <v>65</v>
      </c>
      <c r="U28" s="4" t="s">
        <v>46</v>
      </c>
      <c r="V28" s="5">
        <v>0.83</v>
      </c>
      <c r="W28" s="5">
        <v>0</v>
      </c>
      <c r="X28" s="5">
        <v>100</v>
      </c>
      <c r="Y28" s="5">
        <v>260.83</v>
      </c>
      <c r="Z28" s="4" t="s">
        <v>46</v>
      </c>
      <c r="AA28" s="5" t="s">
        <v>46</v>
      </c>
      <c r="AB28" s="4" t="s">
        <v>66</v>
      </c>
      <c r="AC28" s="4" t="s">
        <v>46</v>
      </c>
      <c r="AD28" s="5">
        <v>0</v>
      </c>
      <c r="AE28" s="4" t="s">
        <v>67</v>
      </c>
      <c r="AF28" s="3">
        <v>45717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68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45721</v>
      </c>
      <c r="C29" s="4" t="s">
        <v>150</v>
      </c>
      <c r="D29" s="2">
        <v>1639670</v>
      </c>
      <c r="E29" s="4" t="s">
        <v>151</v>
      </c>
      <c r="F29" s="4" t="s">
        <v>152</v>
      </c>
      <c r="G29" s="2">
        <v>69141162</v>
      </c>
      <c r="H29" s="4" t="s">
        <v>153</v>
      </c>
      <c r="I29" s="4" t="s">
        <v>46</v>
      </c>
      <c r="J29" s="4" t="s">
        <v>47</v>
      </c>
      <c r="K29" s="4" t="s">
        <v>48</v>
      </c>
      <c r="L29" s="3">
        <v>45689</v>
      </c>
      <c r="M29" s="4" t="s">
        <v>136</v>
      </c>
      <c r="N29" s="4" t="s">
        <v>46</v>
      </c>
      <c r="O29" s="4" t="s">
        <v>50</v>
      </c>
      <c r="P29" s="4" t="s">
        <v>46</v>
      </c>
      <c r="Q29" s="2">
        <v>1</v>
      </c>
      <c r="R29" s="2">
        <v>17</v>
      </c>
      <c r="S29" s="4" t="s">
        <v>51</v>
      </c>
      <c r="T29" s="4" t="s">
        <v>52</v>
      </c>
      <c r="U29" s="4" t="s">
        <v>46</v>
      </c>
      <c r="V29" s="5">
        <v>0</v>
      </c>
      <c r="W29" s="5">
        <v>0</v>
      </c>
      <c r="X29" s="5">
        <v>100</v>
      </c>
      <c r="Y29" s="5">
        <v>339.08</v>
      </c>
      <c r="Z29" s="4" t="s">
        <v>46</v>
      </c>
      <c r="AA29" s="5" t="s">
        <v>46</v>
      </c>
      <c r="AB29" s="4" t="s">
        <v>53</v>
      </c>
      <c r="AC29" s="4" t="s">
        <v>46</v>
      </c>
      <c r="AD29" s="5">
        <v>0</v>
      </c>
      <c r="AE29" s="4" t="s">
        <v>54</v>
      </c>
      <c r="AF29" s="3">
        <v>45689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60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45721</v>
      </c>
      <c r="C30" s="4" t="s">
        <v>150</v>
      </c>
      <c r="D30" s="2">
        <v>1639670</v>
      </c>
      <c r="E30" s="4" t="s">
        <v>154</v>
      </c>
      <c r="F30" s="4" t="s">
        <v>155</v>
      </c>
      <c r="G30" s="2">
        <v>77861145</v>
      </c>
      <c r="H30" s="4" t="s">
        <v>156</v>
      </c>
      <c r="I30" s="4" t="s">
        <v>46</v>
      </c>
      <c r="J30" s="4" t="s">
        <v>47</v>
      </c>
      <c r="K30" s="4" t="s">
        <v>48</v>
      </c>
      <c r="L30" s="3">
        <v>45689</v>
      </c>
      <c r="M30" s="4" t="s">
        <v>136</v>
      </c>
      <c r="N30" s="4" t="s">
        <v>46</v>
      </c>
      <c r="O30" s="4" t="s">
        <v>50</v>
      </c>
      <c r="P30" s="4" t="s">
        <v>46</v>
      </c>
      <c r="Q30" s="2">
        <v>1</v>
      </c>
      <c r="R30" s="2">
        <v>17</v>
      </c>
      <c r="S30" s="4" t="s">
        <v>51</v>
      </c>
      <c r="T30" s="4" t="s">
        <v>52</v>
      </c>
      <c r="U30" s="4" t="s">
        <v>46</v>
      </c>
      <c r="V30" s="5">
        <v>0</v>
      </c>
      <c r="W30" s="5">
        <v>0</v>
      </c>
      <c r="X30" s="5">
        <v>100</v>
      </c>
      <c r="Y30" s="5">
        <v>339.08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45689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60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45721</v>
      </c>
      <c r="C31" s="4" t="s">
        <v>157</v>
      </c>
      <c r="D31" s="2">
        <v>1646082</v>
      </c>
      <c r="E31" s="4" t="s">
        <v>158</v>
      </c>
      <c r="F31" s="4" t="s">
        <v>159</v>
      </c>
      <c r="G31" s="2">
        <v>61441553</v>
      </c>
      <c r="H31" s="4" t="s">
        <v>160</v>
      </c>
      <c r="I31" s="4" t="s">
        <v>46</v>
      </c>
      <c r="J31" s="4" t="s">
        <v>47</v>
      </c>
      <c r="K31" s="4" t="s">
        <v>48</v>
      </c>
      <c r="L31" s="3">
        <v>45717</v>
      </c>
      <c r="M31" s="4" t="s">
        <v>49</v>
      </c>
      <c r="N31" s="4" t="s">
        <v>46</v>
      </c>
      <c r="O31" s="4" t="s">
        <v>50</v>
      </c>
      <c r="P31" s="4" t="s">
        <v>46</v>
      </c>
      <c r="Q31" s="2">
        <v>1</v>
      </c>
      <c r="R31" s="2">
        <v>17</v>
      </c>
      <c r="S31" s="4" t="s">
        <v>51</v>
      </c>
      <c r="T31" s="4" t="s">
        <v>52</v>
      </c>
      <c r="U31" s="4" t="s">
        <v>46</v>
      </c>
      <c r="V31" s="5">
        <v>0.83</v>
      </c>
      <c r="W31" s="5">
        <v>0</v>
      </c>
      <c r="X31" s="5">
        <v>100</v>
      </c>
      <c r="Y31" s="5">
        <v>260.83</v>
      </c>
      <c r="Z31" s="4" t="s">
        <v>46</v>
      </c>
      <c r="AA31" s="5" t="s">
        <v>46</v>
      </c>
      <c r="AB31" s="4" t="s">
        <v>66</v>
      </c>
      <c r="AC31" s="4" t="s">
        <v>46</v>
      </c>
      <c r="AD31" s="5">
        <v>0</v>
      </c>
      <c r="AE31" s="4" t="s">
        <v>67</v>
      </c>
      <c r="AF31" s="3">
        <v>45717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60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45721</v>
      </c>
      <c r="C32" s="4" t="s">
        <v>157</v>
      </c>
      <c r="D32" s="2">
        <v>1646082</v>
      </c>
      <c r="E32" s="4" t="s">
        <v>161</v>
      </c>
      <c r="F32" s="4" t="s">
        <v>162</v>
      </c>
      <c r="G32" s="2">
        <v>883400015</v>
      </c>
      <c r="H32" s="4" t="s">
        <v>163</v>
      </c>
      <c r="I32" s="4" t="s">
        <v>46</v>
      </c>
      <c r="J32" s="4" t="s">
        <v>47</v>
      </c>
      <c r="K32" s="4" t="s">
        <v>48</v>
      </c>
      <c r="L32" s="3">
        <v>45717</v>
      </c>
      <c r="M32" s="4" t="s">
        <v>49</v>
      </c>
      <c r="N32" s="4" t="s">
        <v>46</v>
      </c>
      <c r="O32" s="4" t="s">
        <v>50</v>
      </c>
      <c r="P32" s="4" t="s">
        <v>46</v>
      </c>
      <c r="Q32" s="2">
        <v>1</v>
      </c>
      <c r="R32" s="2">
        <v>17</v>
      </c>
      <c r="S32" s="4" t="s">
        <v>51</v>
      </c>
      <c r="T32" s="4" t="s">
        <v>65</v>
      </c>
      <c r="U32" s="4" t="s">
        <v>46</v>
      </c>
      <c r="V32" s="5">
        <v>0.83</v>
      </c>
      <c r="W32" s="5">
        <v>0</v>
      </c>
      <c r="X32" s="5">
        <v>100</v>
      </c>
      <c r="Y32" s="5">
        <v>260.83</v>
      </c>
      <c r="Z32" s="4" t="s">
        <v>46</v>
      </c>
      <c r="AA32" s="5" t="s">
        <v>46</v>
      </c>
      <c r="AB32" s="4" t="s">
        <v>66</v>
      </c>
      <c r="AC32" s="4" t="s">
        <v>46</v>
      </c>
      <c r="AD32" s="5">
        <v>0</v>
      </c>
      <c r="AE32" s="4" t="s">
        <v>67</v>
      </c>
      <c r="AF32" s="3">
        <v>45717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68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45721</v>
      </c>
      <c r="C33" s="4" t="s">
        <v>164</v>
      </c>
      <c r="D33" s="2">
        <v>1673763</v>
      </c>
      <c r="E33" s="4" t="s">
        <v>165</v>
      </c>
      <c r="F33" s="4" t="s">
        <v>166</v>
      </c>
      <c r="G33" s="2">
        <v>63572401</v>
      </c>
      <c r="H33" s="4" t="s">
        <v>167</v>
      </c>
      <c r="I33" s="4" t="s">
        <v>46</v>
      </c>
      <c r="J33" s="4" t="s">
        <v>47</v>
      </c>
      <c r="K33" s="4" t="s">
        <v>48</v>
      </c>
      <c r="L33" s="3">
        <v>45717</v>
      </c>
      <c r="M33" s="4" t="s">
        <v>49</v>
      </c>
      <c r="N33" s="4" t="s">
        <v>46</v>
      </c>
      <c r="O33" s="4" t="s">
        <v>50</v>
      </c>
      <c r="P33" s="4" t="s">
        <v>46</v>
      </c>
      <c r="Q33" s="2">
        <v>1</v>
      </c>
      <c r="R33" s="2">
        <v>17</v>
      </c>
      <c r="S33" s="4" t="s">
        <v>51</v>
      </c>
      <c r="T33" s="4" t="s">
        <v>65</v>
      </c>
      <c r="U33" s="4" t="s">
        <v>46</v>
      </c>
      <c r="V33" s="5">
        <v>0.83</v>
      </c>
      <c r="W33" s="5">
        <v>0</v>
      </c>
      <c r="X33" s="5">
        <v>100</v>
      </c>
      <c r="Y33" s="5">
        <v>294.17</v>
      </c>
      <c r="Z33" s="4" t="s">
        <v>46</v>
      </c>
      <c r="AA33" s="5" t="s">
        <v>46</v>
      </c>
      <c r="AB33" s="4" t="s">
        <v>66</v>
      </c>
      <c r="AC33" s="4" t="s">
        <v>46</v>
      </c>
      <c r="AD33" s="5">
        <v>0</v>
      </c>
      <c r="AE33" s="4" t="s">
        <v>67</v>
      </c>
      <c r="AF33" s="3">
        <v>45717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168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45721</v>
      </c>
      <c r="C34" s="4" t="s">
        <v>169</v>
      </c>
      <c r="D34" s="2">
        <v>1703723</v>
      </c>
      <c r="E34" s="4" t="s">
        <v>170</v>
      </c>
      <c r="F34" s="4" t="s">
        <v>171</v>
      </c>
      <c r="G34" s="2">
        <v>496857410</v>
      </c>
      <c r="H34" s="4" t="s">
        <v>172</v>
      </c>
      <c r="I34" s="4" t="s">
        <v>46</v>
      </c>
      <c r="J34" s="4" t="s">
        <v>47</v>
      </c>
      <c r="K34" s="4" t="s">
        <v>48</v>
      </c>
      <c r="L34" s="3">
        <v>45717</v>
      </c>
      <c r="M34" s="4" t="s">
        <v>49</v>
      </c>
      <c r="N34" s="4" t="s">
        <v>46</v>
      </c>
      <c r="O34" s="4" t="s">
        <v>50</v>
      </c>
      <c r="P34" s="4" t="s">
        <v>46</v>
      </c>
      <c r="Q34" s="2">
        <v>1</v>
      </c>
      <c r="R34" s="2">
        <v>17</v>
      </c>
      <c r="S34" s="4" t="s">
        <v>51</v>
      </c>
      <c r="T34" s="4" t="s">
        <v>65</v>
      </c>
      <c r="U34" s="4" t="s">
        <v>46</v>
      </c>
      <c r="V34" s="5">
        <v>0</v>
      </c>
      <c r="W34" s="5">
        <v>0</v>
      </c>
      <c r="X34" s="5">
        <v>100</v>
      </c>
      <c r="Y34" s="5">
        <v>365.17</v>
      </c>
      <c r="Z34" s="4" t="s">
        <v>46</v>
      </c>
      <c r="AA34" s="5" t="s">
        <v>46</v>
      </c>
      <c r="AB34" s="4" t="s">
        <v>53</v>
      </c>
      <c r="AC34" s="4" t="s">
        <v>46</v>
      </c>
      <c r="AD34" s="5">
        <v>0</v>
      </c>
      <c r="AE34" s="4" t="s">
        <v>54</v>
      </c>
      <c r="AF34" s="3">
        <v>45717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68</v>
      </c>
      <c r="AO34" s="4" t="s">
        <v>46</v>
      </c>
      <c r="AP34" s="4" t="s">
        <v>46</v>
      </c>
    </row>
    <row r="35" spans="1:42" x14ac:dyDescent="0.2">
      <c r="A35" s="2">
        <v>1891456</v>
      </c>
      <c r="B35" s="3">
        <v>45721</v>
      </c>
      <c r="C35" s="4" t="s">
        <v>173</v>
      </c>
      <c r="D35" s="2">
        <v>1703942</v>
      </c>
      <c r="E35" s="4" t="s">
        <v>174</v>
      </c>
      <c r="F35" s="4" t="s">
        <v>175</v>
      </c>
      <c r="G35" s="2">
        <v>287917444</v>
      </c>
      <c r="H35" s="4" t="s">
        <v>176</v>
      </c>
      <c r="I35" s="4" t="s">
        <v>46</v>
      </c>
      <c r="J35" s="4" t="s">
        <v>47</v>
      </c>
      <c r="K35" s="4" t="s">
        <v>48</v>
      </c>
      <c r="L35" s="3">
        <v>45658</v>
      </c>
      <c r="M35" s="4" t="s">
        <v>106</v>
      </c>
      <c r="N35" s="4" t="s">
        <v>46</v>
      </c>
      <c r="O35" s="4" t="s">
        <v>50</v>
      </c>
      <c r="P35" s="4" t="s">
        <v>46</v>
      </c>
      <c r="Q35" s="2">
        <v>1</v>
      </c>
      <c r="R35" s="2">
        <v>17</v>
      </c>
      <c r="S35" s="4" t="s">
        <v>51</v>
      </c>
      <c r="T35" s="4" t="s">
        <v>65</v>
      </c>
      <c r="U35" s="4" t="s">
        <v>46</v>
      </c>
      <c r="V35" s="5">
        <v>0.83</v>
      </c>
      <c r="W35" s="5">
        <v>0</v>
      </c>
      <c r="X35" s="5">
        <v>100</v>
      </c>
      <c r="Y35" s="5">
        <v>260.83</v>
      </c>
      <c r="Z35" s="4" t="s">
        <v>46</v>
      </c>
      <c r="AA35" s="5" t="s">
        <v>46</v>
      </c>
      <c r="AB35" s="4" t="s">
        <v>66</v>
      </c>
      <c r="AC35" s="4" t="s">
        <v>46</v>
      </c>
      <c r="AD35" s="5">
        <v>0</v>
      </c>
      <c r="AE35" s="4" t="s">
        <v>67</v>
      </c>
      <c r="AF35" s="3">
        <v>45658</v>
      </c>
      <c r="AG35" s="4" t="s">
        <v>46</v>
      </c>
      <c r="AH35" s="4" t="s">
        <v>46</v>
      </c>
      <c r="AI35" s="4" t="s">
        <v>46</v>
      </c>
      <c r="AJ35" s="4" t="s">
        <v>46</v>
      </c>
      <c r="AK35" s="4" t="s">
        <v>46</v>
      </c>
      <c r="AL35" s="4" t="s">
        <v>46</v>
      </c>
      <c r="AM35" s="4" t="s">
        <v>46</v>
      </c>
      <c r="AN35" s="4" t="s">
        <v>68</v>
      </c>
      <c r="AO35" s="4" t="s">
        <v>46</v>
      </c>
      <c r="AP35" s="4" t="s">
        <v>46</v>
      </c>
    </row>
    <row r="36" spans="1:42" x14ac:dyDescent="0.2">
      <c r="A36" s="2">
        <v>1891456</v>
      </c>
      <c r="B36" s="3">
        <v>45721</v>
      </c>
      <c r="C36" s="4" t="s">
        <v>173</v>
      </c>
      <c r="D36" s="2">
        <v>1703942</v>
      </c>
      <c r="E36" s="4" t="s">
        <v>177</v>
      </c>
      <c r="F36" s="4" t="s">
        <v>178</v>
      </c>
      <c r="G36" s="2">
        <v>130662064</v>
      </c>
      <c r="H36" s="4" t="s">
        <v>179</v>
      </c>
      <c r="I36" s="4" t="s">
        <v>46</v>
      </c>
      <c r="J36" s="4" t="s">
        <v>47</v>
      </c>
      <c r="K36" s="4" t="s">
        <v>48</v>
      </c>
      <c r="L36" s="3">
        <v>45717</v>
      </c>
      <c r="M36" s="4" t="s">
        <v>49</v>
      </c>
      <c r="N36" s="4" t="s">
        <v>46</v>
      </c>
      <c r="O36" s="4" t="s">
        <v>50</v>
      </c>
      <c r="P36" s="4" t="s">
        <v>46</v>
      </c>
      <c r="Q36" s="2">
        <v>1</v>
      </c>
      <c r="R36" s="2">
        <v>17</v>
      </c>
      <c r="S36" s="4" t="s">
        <v>51</v>
      </c>
      <c r="T36" s="4" t="s">
        <v>65</v>
      </c>
      <c r="U36" s="4" t="s">
        <v>46</v>
      </c>
      <c r="V36" s="5">
        <v>0.83</v>
      </c>
      <c r="W36" s="5">
        <v>0</v>
      </c>
      <c r="X36" s="5">
        <v>100</v>
      </c>
      <c r="Y36" s="5">
        <v>260.83</v>
      </c>
      <c r="Z36" s="4" t="s">
        <v>46</v>
      </c>
      <c r="AA36" s="5" t="s">
        <v>46</v>
      </c>
      <c r="AB36" s="4" t="s">
        <v>66</v>
      </c>
      <c r="AC36" s="4" t="s">
        <v>46</v>
      </c>
      <c r="AD36" s="5">
        <v>0</v>
      </c>
      <c r="AE36" s="4" t="s">
        <v>67</v>
      </c>
      <c r="AF36" s="3">
        <v>45717</v>
      </c>
      <c r="AG36" s="4" t="s">
        <v>46</v>
      </c>
      <c r="AH36" s="4" t="s">
        <v>46</v>
      </c>
      <c r="AI36" s="4" t="s">
        <v>46</v>
      </c>
      <c r="AJ36" s="4" t="s">
        <v>46</v>
      </c>
      <c r="AK36" s="4" t="s">
        <v>46</v>
      </c>
      <c r="AL36" s="4" t="s">
        <v>46</v>
      </c>
      <c r="AM36" s="4" t="s">
        <v>46</v>
      </c>
      <c r="AN36" s="4" t="s">
        <v>68</v>
      </c>
      <c r="AO36" s="4" t="s">
        <v>46</v>
      </c>
      <c r="AP36" s="4" t="s">
        <v>46</v>
      </c>
    </row>
    <row r="37" spans="1:42" x14ac:dyDescent="0.2">
      <c r="A37" s="2">
        <v>1891456</v>
      </c>
      <c r="B37" s="3">
        <v>45721</v>
      </c>
      <c r="C37" s="4" t="s">
        <v>173</v>
      </c>
      <c r="D37" s="2">
        <v>1703942</v>
      </c>
      <c r="E37" s="4" t="s">
        <v>180</v>
      </c>
      <c r="F37" s="4" t="s">
        <v>181</v>
      </c>
      <c r="G37" s="2">
        <v>547263124</v>
      </c>
      <c r="H37" s="4" t="s">
        <v>182</v>
      </c>
      <c r="I37" s="4" t="s">
        <v>46</v>
      </c>
      <c r="J37" s="4" t="s">
        <v>47</v>
      </c>
      <c r="K37" s="4" t="s">
        <v>48</v>
      </c>
      <c r="L37" s="3">
        <v>45717</v>
      </c>
      <c r="M37" s="4" t="s">
        <v>49</v>
      </c>
      <c r="N37" s="4" t="s">
        <v>46</v>
      </c>
      <c r="O37" s="4" t="s">
        <v>130</v>
      </c>
      <c r="P37" s="4" t="s">
        <v>46</v>
      </c>
      <c r="Q37" s="2">
        <v>1</v>
      </c>
      <c r="R37" s="2">
        <v>17</v>
      </c>
      <c r="S37" s="4" t="s">
        <v>51</v>
      </c>
      <c r="T37" s="4" t="s">
        <v>65</v>
      </c>
      <c r="U37" s="4" t="s">
        <v>46</v>
      </c>
      <c r="V37" s="5">
        <v>1</v>
      </c>
      <c r="W37" s="5">
        <v>0</v>
      </c>
      <c r="X37" s="5">
        <v>100</v>
      </c>
      <c r="Y37" s="5">
        <v>26.08</v>
      </c>
      <c r="Z37" s="4" t="s">
        <v>46</v>
      </c>
      <c r="AA37" s="5" t="s">
        <v>46</v>
      </c>
      <c r="AB37" s="4" t="s">
        <v>131</v>
      </c>
      <c r="AC37" s="4" t="s">
        <v>46</v>
      </c>
      <c r="AD37" s="5">
        <v>0</v>
      </c>
      <c r="AE37" s="4" t="s">
        <v>132</v>
      </c>
      <c r="AF37" s="3">
        <v>45597</v>
      </c>
      <c r="AG37" s="4" t="s">
        <v>46</v>
      </c>
      <c r="AH37" s="4" t="s">
        <v>46</v>
      </c>
      <c r="AI37" s="4" t="s">
        <v>46</v>
      </c>
      <c r="AJ37" s="4" t="s">
        <v>46</v>
      </c>
      <c r="AK37" s="4" t="s">
        <v>46</v>
      </c>
      <c r="AL37" s="4" t="s">
        <v>46</v>
      </c>
      <c r="AM37" s="4" t="s">
        <v>46</v>
      </c>
      <c r="AN37" s="4" t="s">
        <v>68</v>
      </c>
      <c r="AO37" s="4" t="s">
        <v>46</v>
      </c>
      <c r="AP37" s="4" t="s">
        <v>46</v>
      </c>
    </row>
    <row r="38" spans="1:42" x14ac:dyDescent="0.2">
      <c r="A38" s="2">
        <v>1891456</v>
      </c>
      <c r="B38" s="3">
        <v>45721</v>
      </c>
      <c r="C38" s="4" t="s">
        <v>173</v>
      </c>
      <c r="D38" s="2">
        <v>1703942</v>
      </c>
      <c r="E38" s="4" t="s">
        <v>183</v>
      </c>
      <c r="F38" s="4" t="s">
        <v>184</v>
      </c>
      <c r="G38" s="2">
        <v>993141244</v>
      </c>
      <c r="H38" s="4" t="s">
        <v>185</v>
      </c>
      <c r="I38" s="4" t="s">
        <v>46</v>
      </c>
      <c r="J38" s="4" t="s">
        <v>47</v>
      </c>
      <c r="K38" s="4" t="s">
        <v>48</v>
      </c>
      <c r="L38" s="3">
        <v>45689</v>
      </c>
      <c r="M38" s="4" t="s">
        <v>136</v>
      </c>
      <c r="N38" s="4" t="s">
        <v>46</v>
      </c>
      <c r="O38" s="4" t="s">
        <v>50</v>
      </c>
      <c r="P38" s="4" t="s">
        <v>46</v>
      </c>
      <c r="Q38" s="2">
        <v>1</v>
      </c>
      <c r="R38" s="2">
        <v>17</v>
      </c>
      <c r="S38" s="4" t="s">
        <v>51</v>
      </c>
      <c r="T38" s="4" t="s">
        <v>65</v>
      </c>
      <c r="U38" s="4" t="s">
        <v>46</v>
      </c>
      <c r="V38" s="5">
        <v>0</v>
      </c>
      <c r="W38" s="5">
        <v>0</v>
      </c>
      <c r="X38" s="5">
        <v>100</v>
      </c>
      <c r="Y38" s="5">
        <v>339.08</v>
      </c>
      <c r="Z38" s="4" t="s">
        <v>46</v>
      </c>
      <c r="AA38" s="5" t="s">
        <v>46</v>
      </c>
      <c r="AB38" s="4" t="s">
        <v>53</v>
      </c>
      <c r="AC38" s="4" t="s">
        <v>46</v>
      </c>
      <c r="AD38" s="5">
        <v>0</v>
      </c>
      <c r="AE38" s="4" t="s">
        <v>54</v>
      </c>
      <c r="AF38" s="3">
        <v>45689</v>
      </c>
      <c r="AG38" s="4" t="s">
        <v>46</v>
      </c>
      <c r="AH38" s="4" t="s">
        <v>46</v>
      </c>
      <c r="AI38" s="4" t="s">
        <v>46</v>
      </c>
      <c r="AJ38" s="4" t="s">
        <v>46</v>
      </c>
      <c r="AK38" s="4" t="s">
        <v>46</v>
      </c>
      <c r="AL38" s="4" t="s">
        <v>46</v>
      </c>
      <c r="AM38" s="4" t="s">
        <v>46</v>
      </c>
      <c r="AN38" s="4" t="s">
        <v>68</v>
      </c>
      <c r="AO38" s="4" t="s">
        <v>46</v>
      </c>
      <c r="AP38" s="4" t="s">
        <v>46</v>
      </c>
    </row>
    <row r="39" spans="1:42" x14ac:dyDescent="0.2">
      <c r="A39" s="2">
        <v>1891456</v>
      </c>
      <c r="B39" s="3">
        <v>45721</v>
      </c>
      <c r="C39" s="4" t="s">
        <v>173</v>
      </c>
      <c r="D39" s="2">
        <v>1703942</v>
      </c>
      <c r="E39" s="4" t="s">
        <v>186</v>
      </c>
      <c r="F39" s="4" t="s">
        <v>187</v>
      </c>
      <c r="G39" s="2">
        <v>911856524</v>
      </c>
      <c r="H39" s="4" t="s">
        <v>188</v>
      </c>
      <c r="I39" s="4" t="s">
        <v>46</v>
      </c>
      <c r="J39" s="4" t="s">
        <v>47</v>
      </c>
      <c r="K39" s="4" t="s">
        <v>48</v>
      </c>
      <c r="L39" s="3">
        <v>45778</v>
      </c>
      <c r="M39" s="4" t="s">
        <v>83</v>
      </c>
      <c r="N39" s="4" t="s">
        <v>46</v>
      </c>
      <c r="O39" s="4" t="s">
        <v>50</v>
      </c>
      <c r="P39" s="4" t="s">
        <v>46</v>
      </c>
      <c r="Q39" s="2">
        <v>1</v>
      </c>
      <c r="R39" s="2">
        <v>17</v>
      </c>
      <c r="S39" s="4" t="s">
        <v>51</v>
      </c>
      <c r="T39" s="4" t="s">
        <v>52</v>
      </c>
      <c r="U39" s="4" t="s">
        <v>46</v>
      </c>
      <c r="V39" s="5">
        <v>0</v>
      </c>
      <c r="W39" s="5">
        <v>0</v>
      </c>
      <c r="X39" s="5">
        <v>100</v>
      </c>
      <c r="Y39" s="5">
        <v>417.33</v>
      </c>
      <c r="Z39" s="4" t="s">
        <v>46</v>
      </c>
      <c r="AA39" s="5" t="s">
        <v>46</v>
      </c>
      <c r="AB39" s="4" t="s">
        <v>53</v>
      </c>
      <c r="AC39" s="4" t="s">
        <v>46</v>
      </c>
      <c r="AD39" s="5">
        <v>0</v>
      </c>
      <c r="AE39" s="4" t="s">
        <v>54</v>
      </c>
      <c r="AF39" s="3">
        <v>45778</v>
      </c>
      <c r="AG39" s="4" t="s">
        <v>46</v>
      </c>
      <c r="AH39" s="4" t="s">
        <v>46</v>
      </c>
      <c r="AI39" s="4" t="s">
        <v>46</v>
      </c>
      <c r="AJ39" s="4" t="s">
        <v>46</v>
      </c>
      <c r="AK39" s="4" t="s">
        <v>46</v>
      </c>
      <c r="AL39" s="4" t="s">
        <v>46</v>
      </c>
      <c r="AM39" s="4" t="s">
        <v>46</v>
      </c>
      <c r="AN39" s="4" t="s">
        <v>60</v>
      </c>
      <c r="AO39" s="4" t="s">
        <v>46</v>
      </c>
      <c r="AP39" s="4" t="s">
        <v>46</v>
      </c>
    </row>
    <row r="40" spans="1:42" x14ac:dyDescent="0.2">
      <c r="A40" s="2">
        <v>1891456</v>
      </c>
      <c r="B40" s="3">
        <v>45721</v>
      </c>
      <c r="C40" s="4" t="s">
        <v>173</v>
      </c>
      <c r="D40" s="2">
        <v>1703942</v>
      </c>
      <c r="E40" s="4" t="s">
        <v>189</v>
      </c>
      <c r="F40" s="4" t="s">
        <v>190</v>
      </c>
      <c r="G40" s="2">
        <v>642659020</v>
      </c>
      <c r="H40" s="4" t="s">
        <v>191</v>
      </c>
      <c r="I40" s="4" t="s">
        <v>46</v>
      </c>
      <c r="J40" s="4" t="s">
        <v>47</v>
      </c>
      <c r="K40" s="4" t="s">
        <v>48</v>
      </c>
      <c r="L40" s="3">
        <v>45778</v>
      </c>
      <c r="M40" s="4" t="s">
        <v>83</v>
      </c>
      <c r="N40" s="4" t="s">
        <v>46</v>
      </c>
      <c r="O40" s="4" t="s">
        <v>50</v>
      </c>
      <c r="P40" s="4" t="s">
        <v>46</v>
      </c>
      <c r="Q40" s="2">
        <v>1</v>
      </c>
      <c r="R40" s="2">
        <v>17</v>
      </c>
      <c r="S40" s="4" t="s">
        <v>51</v>
      </c>
      <c r="T40" s="4" t="s">
        <v>52</v>
      </c>
      <c r="U40" s="4" t="s">
        <v>46</v>
      </c>
      <c r="V40" s="5">
        <v>0</v>
      </c>
      <c r="W40" s="5">
        <v>0</v>
      </c>
      <c r="X40" s="5">
        <v>100</v>
      </c>
      <c r="Y40" s="5">
        <v>417.33</v>
      </c>
      <c r="Z40" s="4" t="s">
        <v>46</v>
      </c>
      <c r="AA40" s="5" t="s">
        <v>46</v>
      </c>
      <c r="AB40" s="4" t="s">
        <v>53</v>
      </c>
      <c r="AC40" s="4" t="s">
        <v>46</v>
      </c>
      <c r="AD40" s="5">
        <v>0</v>
      </c>
      <c r="AE40" s="4" t="s">
        <v>54</v>
      </c>
      <c r="AF40" s="3">
        <v>45778</v>
      </c>
      <c r="AG40" s="4" t="s">
        <v>46</v>
      </c>
      <c r="AH40" s="4" t="s">
        <v>46</v>
      </c>
      <c r="AI40" s="4" t="s">
        <v>46</v>
      </c>
      <c r="AJ40" s="4" t="s">
        <v>46</v>
      </c>
      <c r="AK40" s="4" t="s">
        <v>46</v>
      </c>
      <c r="AL40" s="4" t="s">
        <v>46</v>
      </c>
      <c r="AM40" s="4" t="s">
        <v>46</v>
      </c>
      <c r="AN40" s="4" t="s">
        <v>60</v>
      </c>
      <c r="AO40" s="4" t="s">
        <v>46</v>
      </c>
      <c r="AP40" s="4" t="s">
        <v>46</v>
      </c>
    </row>
    <row r="41" spans="1:42" x14ac:dyDescent="0.2">
      <c r="A41" s="2">
        <v>1891456</v>
      </c>
      <c r="B41" s="3">
        <v>45721</v>
      </c>
      <c r="C41" s="4" t="s">
        <v>173</v>
      </c>
      <c r="D41" s="2">
        <v>1703942</v>
      </c>
      <c r="E41" s="4" t="s">
        <v>192</v>
      </c>
      <c r="F41" s="4" t="s">
        <v>193</v>
      </c>
      <c r="G41" s="2">
        <v>241042545</v>
      </c>
      <c r="H41" s="4" t="s">
        <v>194</v>
      </c>
      <c r="I41" s="4" t="s">
        <v>46</v>
      </c>
      <c r="J41" s="4" t="s">
        <v>47</v>
      </c>
      <c r="K41" s="4" t="s">
        <v>48</v>
      </c>
      <c r="L41" s="3">
        <v>45717</v>
      </c>
      <c r="M41" s="4" t="s">
        <v>49</v>
      </c>
      <c r="N41" s="4" t="s">
        <v>46</v>
      </c>
      <c r="O41" s="4" t="s">
        <v>50</v>
      </c>
      <c r="P41" s="4" t="s">
        <v>46</v>
      </c>
      <c r="Q41" s="2">
        <v>1</v>
      </c>
      <c r="R41" s="2">
        <v>17</v>
      </c>
      <c r="S41" s="4" t="s">
        <v>51</v>
      </c>
      <c r="T41" s="4" t="s">
        <v>65</v>
      </c>
      <c r="U41" s="4" t="s">
        <v>46</v>
      </c>
      <c r="V41" s="5">
        <v>0.83</v>
      </c>
      <c r="W41" s="5">
        <v>0</v>
      </c>
      <c r="X41" s="5">
        <v>100</v>
      </c>
      <c r="Y41" s="5">
        <v>260.83</v>
      </c>
      <c r="Z41" s="4" t="s">
        <v>46</v>
      </c>
      <c r="AA41" s="5" t="s">
        <v>46</v>
      </c>
      <c r="AB41" s="4" t="s">
        <v>66</v>
      </c>
      <c r="AC41" s="4" t="s">
        <v>46</v>
      </c>
      <c r="AD41" s="5">
        <v>0</v>
      </c>
      <c r="AE41" s="4" t="s">
        <v>67</v>
      </c>
      <c r="AF41" s="3">
        <v>45717</v>
      </c>
      <c r="AG41" s="4" t="s">
        <v>46</v>
      </c>
      <c r="AH41" s="4" t="s">
        <v>46</v>
      </c>
      <c r="AI41" s="4" t="s">
        <v>46</v>
      </c>
      <c r="AJ41" s="4" t="s">
        <v>46</v>
      </c>
      <c r="AK41" s="4" t="s">
        <v>46</v>
      </c>
      <c r="AL41" s="4" t="s">
        <v>46</v>
      </c>
      <c r="AM41" s="4" t="s">
        <v>46</v>
      </c>
      <c r="AN41" s="4" t="s">
        <v>68</v>
      </c>
      <c r="AO41" s="4" t="s">
        <v>46</v>
      </c>
      <c r="AP41" s="4" t="s">
        <v>46</v>
      </c>
    </row>
    <row r="42" spans="1:42" x14ac:dyDescent="0.2">
      <c r="A42" s="2">
        <v>1891456</v>
      </c>
      <c r="B42" s="3">
        <v>45721</v>
      </c>
      <c r="C42" s="4" t="s">
        <v>195</v>
      </c>
      <c r="D42" s="2">
        <v>1755893</v>
      </c>
      <c r="E42" s="4" t="s">
        <v>196</v>
      </c>
      <c r="F42" s="4" t="s">
        <v>197</v>
      </c>
      <c r="G42" s="2">
        <v>968756525</v>
      </c>
      <c r="H42" s="4" t="s">
        <v>198</v>
      </c>
      <c r="I42" s="4" t="s">
        <v>46</v>
      </c>
      <c r="J42" s="4" t="s">
        <v>47</v>
      </c>
      <c r="K42" s="4" t="s">
        <v>48</v>
      </c>
      <c r="L42" s="3">
        <v>45748</v>
      </c>
      <c r="M42" s="4" t="s">
        <v>87</v>
      </c>
      <c r="N42" s="4" t="s">
        <v>46</v>
      </c>
      <c r="O42" s="4" t="s">
        <v>50</v>
      </c>
      <c r="P42" s="4" t="s">
        <v>46</v>
      </c>
      <c r="Q42" s="2">
        <v>1</v>
      </c>
      <c r="R42" s="2">
        <v>17</v>
      </c>
      <c r="S42" s="4" t="s">
        <v>51</v>
      </c>
      <c r="T42" s="4" t="s">
        <v>52</v>
      </c>
      <c r="U42" s="4" t="s">
        <v>46</v>
      </c>
      <c r="V42" s="5">
        <v>0</v>
      </c>
      <c r="W42" s="5">
        <v>0</v>
      </c>
      <c r="X42" s="5">
        <v>100</v>
      </c>
      <c r="Y42" s="5">
        <v>391.25</v>
      </c>
      <c r="Z42" s="4" t="s">
        <v>46</v>
      </c>
      <c r="AA42" s="5" t="s">
        <v>46</v>
      </c>
      <c r="AB42" s="4" t="s">
        <v>53</v>
      </c>
      <c r="AC42" s="4" t="s">
        <v>46</v>
      </c>
      <c r="AD42" s="5">
        <v>0</v>
      </c>
      <c r="AE42" s="4" t="s">
        <v>54</v>
      </c>
      <c r="AF42" s="3">
        <v>45748</v>
      </c>
      <c r="AG42" s="4" t="s">
        <v>46</v>
      </c>
      <c r="AH42" s="4" t="s">
        <v>46</v>
      </c>
      <c r="AI42" s="4" t="s">
        <v>46</v>
      </c>
      <c r="AJ42" s="4" t="s">
        <v>46</v>
      </c>
      <c r="AK42" s="4" t="s">
        <v>46</v>
      </c>
      <c r="AL42" s="4" t="s">
        <v>46</v>
      </c>
      <c r="AM42" s="4" t="s">
        <v>46</v>
      </c>
      <c r="AN42" s="4" t="s">
        <v>55</v>
      </c>
      <c r="AO42" s="4" t="s">
        <v>46</v>
      </c>
      <c r="AP42" s="4" t="s">
        <v>46</v>
      </c>
    </row>
    <row r="43" spans="1:42" x14ac:dyDescent="0.2">
      <c r="A43" s="2">
        <v>1891456</v>
      </c>
      <c r="B43" s="3">
        <v>45721</v>
      </c>
      <c r="C43" s="4" t="s">
        <v>199</v>
      </c>
      <c r="D43" s="2">
        <v>1773696</v>
      </c>
      <c r="E43" s="4" t="s">
        <v>200</v>
      </c>
      <c r="F43" s="4" t="s">
        <v>201</v>
      </c>
      <c r="G43" s="2">
        <v>401815134</v>
      </c>
      <c r="H43" s="4" t="s">
        <v>202</v>
      </c>
      <c r="I43" s="4" t="s">
        <v>46</v>
      </c>
      <c r="J43" s="4" t="s">
        <v>47</v>
      </c>
      <c r="K43" s="4" t="s">
        <v>48</v>
      </c>
      <c r="L43" s="3">
        <v>45748</v>
      </c>
      <c r="M43" s="4" t="s">
        <v>87</v>
      </c>
      <c r="N43" s="4" t="s">
        <v>46</v>
      </c>
      <c r="O43" s="4" t="s">
        <v>50</v>
      </c>
      <c r="P43" s="4" t="s">
        <v>46</v>
      </c>
      <c r="Q43" s="2">
        <v>1</v>
      </c>
      <c r="R43" s="2">
        <v>17</v>
      </c>
      <c r="S43" s="4" t="s">
        <v>51</v>
      </c>
      <c r="T43" s="4" t="s">
        <v>65</v>
      </c>
      <c r="U43" s="4" t="s">
        <v>46</v>
      </c>
      <c r="V43" s="5">
        <v>0</v>
      </c>
      <c r="W43" s="5">
        <v>0</v>
      </c>
      <c r="X43" s="5">
        <v>100</v>
      </c>
      <c r="Y43" s="5">
        <v>391.25</v>
      </c>
      <c r="Z43" s="4" t="s">
        <v>46</v>
      </c>
      <c r="AA43" s="5" t="s">
        <v>46</v>
      </c>
      <c r="AB43" s="4" t="s">
        <v>53</v>
      </c>
      <c r="AC43" s="4" t="s">
        <v>46</v>
      </c>
      <c r="AD43" s="5">
        <v>0</v>
      </c>
      <c r="AE43" s="4" t="s">
        <v>54</v>
      </c>
      <c r="AF43" s="3">
        <v>45748</v>
      </c>
      <c r="AG43" s="4" t="s">
        <v>46</v>
      </c>
      <c r="AH43" s="4" t="s">
        <v>46</v>
      </c>
      <c r="AI43" s="4" t="s">
        <v>46</v>
      </c>
      <c r="AJ43" s="4" t="s">
        <v>46</v>
      </c>
      <c r="AK43" s="4" t="s">
        <v>46</v>
      </c>
      <c r="AL43" s="4" t="s">
        <v>46</v>
      </c>
      <c r="AM43" s="4" t="s">
        <v>46</v>
      </c>
      <c r="AN43" s="4" t="s">
        <v>68</v>
      </c>
      <c r="AO43" s="4" t="s">
        <v>46</v>
      </c>
      <c r="AP43" s="4" t="s">
        <v>46</v>
      </c>
    </row>
    <row r="44" spans="1:42" x14ac:dyDescent="0.2">
      <c r="A44" s="2">
        <v>1891456</v>
      </c>
      <c r="B44" s="3">
        <v>45721</v>
      </c>
      <c r="C44" s="4" t="s">
        <v>199</v>
      </c>
      <c r="D44" s="2">
        <v>1773696</v>
      </c>
      <c r="E44" s="4" t="s">
        <v>203</v>
      </c>
      <c r="F44" s="4" t="s">
        <v>204</v>
      </c>
      <c r="G44" s="2">
        <v>19719143</v>
      </c>
      <c r="H44" s="4" t="s">
        <v>205</v>
      </c>
      <c r="I44" s="4" t="s">
        <v>46</v>
      </c>
      <c r="J44" s="4" t="s">
        <v>47</v>
      </c>
      <c r="K44" s="4" t="s">
        <v>48</v>
      </c>
      <c r="L44" s="3">
        <v>45748</v>
      </c>
      <c r="M44" s="4" t="s">
        <v>87</v>
      </c>
      <c r="N44" s="4" t="s">
        <v>46</v>
      </c>
      <c r="O44" s="4" t="s">
        <v>50</v>
      </c>
      <c r="P44" s="4" t="s">
        <v>46</v>
      </c>
      <c r="Q44" s="2">
        <v>1</v>
      </c>
      <c r="R44" s="2">
        <v>17</v>
      </c>
      <c r="S44" s="4" t="s">
        <v>51</v>
      </c>
      <c r="T44" s="4" t="s">
        <v>65</v>
      </c>
      <c r="U44" s="4" t="s">
        <v>46</v>
      </c>
      <c r="V44" s="5">
        <v>0</v>
      </c>
      <c r="W44" s="5">
        <v>0</v>
      </c>
      <c r="X44" s="5">
        <v>100</v>
      </c>
      <c r="Y44" s="5">
        <v>391.25</v>
      </c>
      <c r="Z44" s="4" t="s">
        <v>46</v>
      </c>
      <c r="AA44" s="5" t="s">
        <v>46</v>
      </c>
      <c r="AB44" s="4" t="s">
        <v>53</v>
      </c>
      <c r="AC44" s="4" t="s">
        <v>46</v>
      </c>
      <c r="AD44" s="5">
        <v>0</v>
      </c>
      <c r="AE44" s="4" t="s">
        <v>54</v>
      </c>
      <c r="AF44" s="3">
        <v>45748</v>
      </c>
      <c r="AG44" s="4" t="s">
        <v>46</v>
      </c>
      <c r="AH44" s="4" t="s">
        <v>46</v>
      </c>
      <c r="AI44" s="4" t="s">
        <v>46</v>
      </c>
      <c r="AJ44" s="4" t="s">
        <v>46</v>
      </c>
      <c r="AK44" s="4" t="s">
        <v>46</v>
      </c>
      <c r="AL44" s="4" t="s">
        <v>46</v>
      </c>
      <c r="AM44" s="4" t="s">
        <v>46</v>
      </c>
      <c r="AN44" s="4" t="s">
        <v>68</v>
      </c>
      <c r="AO44" s="4" t="s">
        <v>46</v>
      </c>
      <c r="AP44" s="4" t="s">
        <v>46</v>
      </c>
    </row>
    <row r="45" spans="1:42" x14ac:dyDescent="0.2">
      <c r="A45" s="2">
        <v>1891456</v>
      </c>
      <c r="B45" s="3">
        <v>45721</v>
      </c>
      <c r="C45" s="4" t="s">
        <v>206</v>
      </c>
      <c r="D45" s="2">
        <v>1800759</v>
      </c>
      <c r="E45" s="4" t="s">
        <v>207</v>
      </c>
      <c r="F45" s="4" t="s">
        <v>208</v>
      </c>
      <c r="G45" s="2">
        <v>674573431</v>
      </c>
      <c r="H45" s="4" t="s">
        <v>209</v>
      </c>
      <c r="I45" s="4" t="s">
        <v>46</v>
      </c>
      <c r="J45" s="4" t="s">
        <v>47</v>
      </c>
      <c r="K45" s="4" t="s">
        <v>48</v>
      </c>
      <c r="L45" s="3">
        <v>45658</v>
      </c>
      <c r="M45" s="4" t="s">
        <v>106</v>
      </c>
      <c r="N45" s="4" t="s">
        <v>46</v>
      </c>
      <c r="O45" s="4" t="s">
        <v>50</v>
      </c>
      <c r="P45" s="4" t="s">
        <v>46</v>
      </c>
      <c r="Q45" s="2">
        <v>1</v>
      </c>
      <c r="R45" s="2">
        <v>17</v>
      </c>
      <c r="S45" s="4" t="s">
        <v>51</v>
      </c>
      <c r="T45" s="4" t="s">
        <v>65</v>
      </c>
      <c r="U45" s="4" t="s">
        <v>46</v>
      </c>
      <c r="V45" s="5">
        <v>-0.83</v>
      </c>
      <c r="W45" s="5">
        <v>0</v>
      </c>
      <c r="X45" s="5">
        <v>100</v>
      </c>
      <c r="Y45" s="5">
        <v>-260.83</v>
      </c>
      <c r="Z45" s="4" t="s">
        <v>46</v>
      </c>
      <c r="AA45" s="5" t="s">
        <v>46</v>
      </c>
      <c r="AB45" s="4" t="s">
        <v>66</v>
      </c>
      <c r="AC45" s="4" t="s">
        <v>46</v>
      </c>
      <c r="AD45" s="5">
        <v>0</v>
      </c>
      <c r="AE45" s="4" t="s">
        <v>67</v>
      </c>
      <c r="AF45" s="3">
        <v>45658</v>
      </c>
      <c r="AG45" s="4" t="s">
        <v>46</v>
      </c>
      <c r="AH45" s="4" t="s">
        <v>46</v>
      </c>
      <c r="AI45" s="4" t="s">
        <v>46</v>
      </c>
      <c r="AJ45" s="4" t="s">
        <v>46</v>
      </c>
      <c r="AK45" s="4" t="s">
        <v>46</v>
      </c>
      <c r="AL45" s="4" t="s">
        <v>46</v>
      </c>
      <c r="AM45" s="4" t="s">
        <v>46</v>
      </c>
      <c r="AN45" s="4" t="s">
        <v>68</v>
      </c>
      <c r="AO45" s="4" t="s">
        <v>46</v>
      </c>
      <c r="AP45" s="4" t="s">
        <v>46</v>
      </c>
    </row>
    <row r="46" spans="1:42" x14ac:dyDescent="0.2">
      <c r="A46" s="2">
        <v>1891456</v>
      </c>
      <c r="B46" s="3">
        <v>45721</v>
      </c>
      <c r="C46" s="4" t="s">
        <v>206</v>
      </c>
      <c r="D46" s="2">
        <v>1800759</v>
      </c>
      <c r="E46" s="4" t="s">
        <v>210</v>
      </c>
      <c r="F46" s="4" t="s">
        <v>211</v>
      </c>
      <c r="G46" s="2">
        <v>411518404</v>
      </c>
      <c r="H46" s="4" t="s">
        <v>212</v>
      </c>
      <c r="I46" s="4" t="s">
        <v>46</v>
      </c>
      <c r="J46" s="4" t="s">
        <v>47</v>
      </c>
      <c r="K46" s="4" t="s">
        <v>48</v>
      </c>
      <c r="L46" s="3">
        <v>45689</v>
      </c>
      <c r="M46" s="4" t="s">
        <v>136</v>
      </c>
      <c r="N46" s="4" t="s">
        <v>46</v>
      </c>
      <c r="O46" s="4" t="s">
        <v>50</v>
      </c>
      <c r="P46" s="4" t="s">
        <v>46</v>
      </c>
      <c r="Q46" s="2">
        <v>1</v>
      </c>
      <c r="R46" s="2">
        <v>17</v>
      </c>
      <c r="S46" s="4" t="s">
        <v>51</v>
      </c>
      <c r="T46" s="4" t="s">
        <v>65</v>
      </c>
      <c r="U46" s="4" t="s">
        <v>46</v>
      </c>
      <c r="V46" s="5">
        <v>0</v>
      </c>
      <c r="W46" s="5">
        <v>0</v>
      </c>
      <c r="X46" s="5">
        <v>100</v>
      </c>
      <c r="Y46" s="5">
        <v>339.08</v>
      </c>
      <c r="Z46" s="4" t="s">
        <v>46</v>
      </c>
      <c r="AA46" s="5" t="s">
        <v>46</v>
      </c>
      <c r="AB46" s="4" t="s">
        <v>53</v>
      </c>
      <c r="AC46" s="4" t="s">
        <v>46</v>
      </c>
      <c r="AD46" s="5">
        <v>0</v>
      </c>
      <c r="AE46" s="4" t="s">
        <v>54</v>
      </c>
      <c r="AF46" s="3">
        <v>45689</v>
      </c>
      <c r="AG46" s="4" t="s">
        <v>46</v>
      </c>
      <c r="AH46" s="4" t="s">
        <v>46</v>
      </c>
      <c r="AI46" s="4" t="s">
        <v>46</v>
      </c>
      <c r="AJ46" s="4" t="s">
        <v>46</v>
      </c>
      <c r="AK46" s="4" t="s">
        <v>46</v>
      </c>
      <c r="AL46" s="4" t="s">
        <v>46</v>
      </c>
      <c r="AM46" s="4" t="s">
        <v>46</v>
      </c>
      <c r="AN46" s="4" t="s">
        <v>68</v>
      </c>
      <c r="AO46" s="4" t="s">
        <v>46</v>
      </c>
      <c r="AP46" s="4" t="s">
        <v>46</v>
      </c>
    </row>
    <row r="47" spans="1:42" x14ac:dyDescent="0.2">
      <c r="A47" s="2">
        <v>1891456</v>
      </c>
      <c r="B47" s="3">
        <v>45721</v>
      </c>
      <c r="C47" s="4" t="s">
        <v>206</v>
      </c>
      <c r="D47" s="2">
        <v>1800759</v>
      </c>
      <c r="E47" s="4" t="s">
        <v>213</v>
      </c>
      <c r="F47" s="4" t="s">
        <v>214</v>
      </c>
      <c r="G47" s="2">
        <v>321937244</v>
      </c>
      <c r="H47" s="4" t="s">
        <v>215</v>
      </c>
      <c r="I47" s="4" t="s">
        <v>46</v>
      </c>
      <c r="J47" s="4" t="s">
        <v>47</v>
      </c>
      <c r="K47" s="4" t="s">
        <v>48</v>
      </c>
      <c r="L47" s="3">
        <v>45689</v>
      </c>
      <c r="M47" s="4" t="s">
        <v>136</v>
      </c>
      <c r="N47" s="4" t="s">
        <v>46</v>
      </c>
      <c r="O47" s="4" t="s">
        <v>50</v>
      </c>
      <c r="P47" s="4" t="s">
        <v>46</v>
      </c>
      <c r="Q47" s="2">
        <v>1</v>
      </c>
      <c r="R47" s="2">
        <v>17</v>
      </c>
      <c r="S47" s="4" t="s">
        <v>51</v>
      </c>
      <c r="T47" s="4" t="s">
        <v>65</v>
      </c>
      <c r="U47" s="4" t="s">
        <v>46</v>
      </c>
      <c r="V47" s="5">
        <v>0</v>
      </c>
      <c r="W47" s="5">
        <v>0</v>
      </c>
      <c r="X47" s="5">
        <v>100</v>
      </c>
      <c r="Y47" s="5">
        <v>339.08</v>
      </c>
      <c r="Z47" s="4" t="s">
        <v>46</v>
      </c>
      <c r="AA47" s="5" t="s">
        <v>46</v>
      </c>
      <c r="AB47" s="4" t="s">
        <v>53</v>
      </c>
      <c r="AC47" s="4" t="s">
        <v>46</v>
      </c>
      <c r="AD47" s="5">
        <v>0</v>
      </c>
      <c r="AE47" s="4" t="s">
        <v>54</v>
      </c>
      <c r="AF47" s="3">
        <v>45689</v>
      </c>
      <c r="AG47" s="4" t="s">
        <v>46</v>
      </c>
      <c r="AH47" s="4" t="s">
        <v>46</v>
      </c>
      <c r="AI47" s="4" t="s">
        <v>46</v>
      </c>
      <c r="AJ47" s="4" t="s">
        <v>46</v>
      </c>
      <c r="AK47" s="4" t="s">
        <v>46</v>
      </c>
      <c r="AL47" s="4" t="s">
        <v>46</v>
      </c>
      <c r="AM47" s="4" t="s">
        <v>46</v>
      </c>
      <c r="AN47" s="4" t="s">
        <v>68</v>
      </c>
      <c r="AO47" s="4" t="s">
        <v>46</v>
      </c>
      <c r="AP47" s="4" t="s">
        <v>46</v>
      </c>
    </row>
    <row r="48" spans="1:42" x14ac:dyDescent="0.2">
      <c r="A48" s="2">
        <v>1891456</v>
      </c>
      <c r="B48" s="3">
        <v>45721</v>
      </c>
      <c r="C48" s="4" t="s">
        <v>206</v>
      </c>
      <c r="D48" s="2">
        <v>1800759</v>
      </c>
      <c r="E48" s="4" t="s">
        <v>216</v>
      </c>
      <c r="F48" s="4" t="s">
        <v>217</v>
      </c>
      <c r="G48" s="2">
        <v>442967065</v>
      </c>
      <c r="H48" s="4" t="s">
        <v>218</v>
      </c>
      <c r="I48" s="4" t="s">
        <v>46</v>
      </c>
      <c r="J48" s="4" t="s">
        <v>47</v>
      </c>
      <c r="K48" s="4" t="s">
        <v>48</v>
      </c>
      <c r="L48" s="3">
        <v>45717</v>
      </c>
      <c r="M48" s="4" t="s">
        <v>49</v>
      </c>
      <c r="N48" s="4" t="s">
        <v>46</v>
      </c>
      <c r="O48" s="4" t="s">
        <v>50</v>
      </c>
      <c r="P48" s="4" t="s">
        <v>46</v>
      </c>
      <c r="Q48" s="2">
        <v>1</v>
      </c>
      <c r="R48" s="2">
        <v>17</v>
      </c>
      <c r="S48" s="4" t="s">
        <v>51</v>
      </c>
      <c r="T48" s="4" t="s">
        <v>65</v>
      </c>
      <c r="U48" s="4" t="s">
        <v>46</v>
      </c>
      <c r="V48" s="5">
        <v>0.83</v>
      </c>
      <c r="W48" s="5">
        <v>0</v>
      </c>
      <c r="X48" s="5">
        <v>100</v>
      </c>
      <c r="Y48" s="5">
        <v>260.83</v>
      </c>
      <c r="Z48" s="4" t="s">
        <v>46</v>
      </c>
      <c r="AA48" s="5" t="s">
        <v>46</v>
      </c>
      <c r="AB48" s="4" t="s">
        <v>66</v>
      </c>
      <c r="AC48" s="4" t="s">
        <v>46</v>
      </c>
      <c r="AD48" s="5">
        <v>0</v>
      </c>
      <c r="AE48" s="4" t="s">
        <v>67</v>
      </c>
      <c r="AF48" s="3">
        <v>45717</v>
      </c>
      <c r="AG48" s="4" t="s">
        <v>46</v>
      </c>
      <c r="AH48" s="4" t="s">
        <v>46</v>
      </c>
      <c r="AI48" s="4" t="s">
        <v>46</v>
      </c>
      <c r="AJ48" s="4" t="s">
        <v>46</v>
      </c>
      <c r="AK48" s="4" t="s">
        <v>46</v>
      </c>
      <c r="AL48" s="4" t="s">
        <v>46</v>
      </c>
      <c r="AM48" s="4" t="s">
        <v>46</v>
      </c>
      <c r="AN48" s="4" t="s">
        <v>68</v>
      </c>
      <c r="AO48" s="4" t="s">
        <v>46</v>
      </c>
      <c r="AP48" s="4" t="s">
        <v>46</v>
      </c>
    </row>
    <row r="49" spans="1:42" x14ac:dyDescent="0.2">
      <c r="A49" s="2">
        <v>1891456</v>
      </c>
      <c r="B49" s="3">
        <v>45721</v>
      </c>
      <c r="C49" s="4" t="s">
        <v>206</v>
      </c>
      <c r="D49" s="2">
        <v>1800759</v>
      </c>
      <c r="E49" s="4" t="s">
        <v>219</v>
      </c>
      <c r="F49" s="4" t="s">
        <v>220</v>
      </c>
      <c r="G49" s="2">
        <v>491137065</v>
      </c>
      <c r="H49" s="4" t="s">
        <v>221</v>
      </c>
      <c r="I49" s="4" t="s">
        <v>46</v>
      </c>
      <c r="J49" s="4" t="s">
        <v>47</v>
      </c>
      <c r="K49" s="4" t="s">
        <v>48</v>
      </c>
      <c r="L49" s="3">
        <v>45717</v>
      </c>
      <c r="M49" s="4" t="s">
        <v>49</v>
      </c>
      <c r="N49" s="4" t="s">
        <v>46</v>
      </c>
      <c r="O49" s="4" t="s">
        <v>50</v>
      </c>
      <c r="P49" s="4" t="s">
        <v>46</v>
      </c>
      <c r="Q49" s="2">
        <v>1</v>
      </c>
      <c r="R49" s="2">
        <v>17</v>
      </c>
      <c r="S49" s="4" t="s">
        <v>51</v>
      </c>
      <c r="T49" s="4" t="s">
        <v>65</v>
      </c>
      <c r="U49" s="4" t="s">
        <v>46</v>
      </c>
      <c r="V49" s="5">
        <v>0.83</v>
      </c>
      <c r="W49" s="5">
        <v>0</v>
      </c>
      <c r="X49" s="5">
        <v>100</v>
      </c>
      <c r="Y49" s="5">
        <v>260.83</v>
      </c>
      <c r="Z49" s="4" t="s">
        <v>46</v>
      </c>
      <c r="AA49" s="5" t="s">
        <v>46</v>
      </c>
      <c r="AB49" s="4" t="s">
        <v>66</v>
      </c>
      <c r="AC49" s="4" t="s">
        <v>46</v>
      </c>
      <c r="AD49" s="5">
        <v>0</v>
      </c>
      <c r="AE49" s="4" t="s">
        <v>67</v>
      </c>
      <c r="AF49" s="3">
        <v>45717</v>
      </c>
      <c r="AG49" s="4" t="s">
        <v>46</v>
      </c>
      <c r="AH49" s="4" t="s">
        <v>46</v>
      </c>
      <c r="AI49" s="4" t="s">
        <v>46</v>
      </c>
      <c r="AJ49" s="4" t="s">
        <v>46</v>
      </c>
      <c r="AK49" s="4" t="s">
        <v>46</v>
      </c>
      <c r="AL49" s="4" t="s">
        <v>46</v>
      </c>
      <c r="AM49" s="4" t="s">
        <v>46</v>
      </c>
      <c r="AN49" s="4" t="s">
        <v>68</v>
      </c>
      <c r="AO49" s="4" t="s">
        <v>46</v>
      </c>
      <c r="AP49" s="4" t="s">
        <v>46</v>
      </c>
    </row>
    <row r="50" spans="1:42" x14ac:dyDescent="0.2">
      <c r="A50" s="2">
        <v>1891456</v>
      </c>
      <c r="B50" s="3">
        <v>45721</v>
      </c>
      <c r="C50" s="4" t="s">
        <v>222</v>
      </c>
      <c r="D50" s="2">
        <v>1800776</v>
      </c>
      <c r="E50" s="4" t="s">
        <v>223</v>
      </c>
      <c r="F50" s="4" t="s">
        <v>224</v>
      </c>
      <c r="G50" s="2">
        <v>761686362</v>
      </c>
      <c r="H50" s="4" t="s">
        <v>225</v>
      </c>
      <c r="I50" s="4" t="s">
        <v>46</v>
      </c>
      <c r="J50" s="4" t="s">
        <v>47</v>
      </c>
      <c r="K50" s="4" t="s">
        <v>48</v>
      </c>
      <c r="L50" s="3">
        <v>45658</v>
      </c>
      <c r="M50" s="4" t="s">
        <v>106</v>
      </c>
      <c r="N50" s="4" t="s">
        <v>46</v>
      </c>
      <c r="O50" s="4" t="s">
        <v>50</v>
      </c>
      <c r="P50" s="4" t="s">
        <v>46</v>
      </c>
      <c r="Q50" s="2">
        <v>1</v>
      </c>
      <c r="R50" s="2">
        <v>17</v>
      </c>
      <c r="S50" s="4" t="s">
        <v>51</v>
      </c>
      <c r="T50" s="4" t="s">
        <v>65</v>
      </c>
      <c r="U50" s="4" t="s">
        <v>46</v>
      </c>
      <c r="V50" s="5">
        <v>-0.83</v>
      </c>
      <c r="W50" s="5">
        <v>0</v>
      </c>
      <c r="X50" s="5">
        <v>100</v>
      </c>
      <c r="Y50" s="5">
        <v>-260.83</v>
      </c>
      <c r="Z50" s="4" t="s">
        <v>46</v>
      </c>
      <c r="AA50" s="5" t="s">
        <v>46</v>
      </c>
      <c r="AB50" s="4" t="s">
        <v>66</v>
      </c>
      <c r="AC50" s="4" t="s">
        <v>46</v>
      </c>
      <c r="AD50" s="5">
        <v>0</v>
      </c>
      <c r="AE50" s="4" t="s">
        <v>67</v>
      </c>
      <c r="AF50" s="3">
        <v>45658</v>
      </c>
      <c r="AG50" s="4" t="s">
        <v>46</v>
      </c>
      <c r="AH50" s="4" t="s">
        <v>46</v>
      </c>
      <c r="AI50" s="4" t="s">
        <v>46</v>
      </c>
      <c r="AJ50" s="4" t="s">
        <v>46</v>
      </c>
      <c r="AK50" s="4" t="s">
        <v>46</v>
      </c>
      <c r="AL50" s="4" t="s">
        <v>46</v>
      </c>
      <c r="AM50" s="4" t="s">
        <v>46</v>
      </c>
      <c r="AN50" s="4" t="s">
        <v>68</v>
      </c>
      <c r="AO50" s="4" t="s">
        <v>46</v>
      </c>
      <c r="AP50" s="4" t="s">
        <v>46</v>
      </c>
    </row>
    <row r="51" spans="1:42" x14ac:dyDescent="0.2">
      <c r="A51" s="2">
        <v>1891456</v>
      </c>
      <c r="B51" s="3">
        <v>45721</v>
      </c>
      <c r="C51" s="4" t="s">
        <v>222</v>
      </c>
      <c r="D51" s="2">
        <v>1800776</v>
      </c>
      <c r="E51" s="4" t="s">
        <v>226</v>
      </c>
      <c r="F51" s="4" t="s">
        <v>227</v>
      </c>
      <c r="G51" s="2">
        <v>365638520</v>
      </c>
      <c r="H51" s="4" t="s">
        <v>228</v>
      </c>
      <c r="I51" s="4" t="s">
        <v>46</v>
      </c>
      <c r="J51" s="4" t="s">
        <v>47</v>
      </c>
      <c r="K51" s="4" t="s">
        <v>48</v>
      </c>
      <c r="L51" s="3">
        <v>45717</v>
      </c>
      <c r="M51" s="4" t="s">
        <v>49</v>
      </c>
      <c r="N51" s="4" t="s">
        <v>46</v>
      </c>
      <c r="O51" s="4" t="s">
        <v>130</v>
      </c>
      <c r="P51" s="4" t="s">
        <v>46</v>
      </c>
      <c r="Q51" s="2">
        <v>1</v>
      </c>
      <c r="R51" s="2">
        <v>17</v>
      </c>
      <c r="S51" s="4" t="s">
        <v>51</v>
      </c>
      <c r="T51" s="4" t="s">
        <v>65</v>
      </c>
      <c r="U51" s="4" t="s">
        <v>46</v>
      </c>
      <c r="V51" s="5">
        <v>1</v>
      </c>
      <c r="W51" s="5">
        <v>0</v>
      </c>
      <c r="X51" s="5">
        <v>100</v>
      </c>
      <c r="Y51" s="5">
        <v>26.08</v>
      </c>
      <c r="Z51" s="4" t="s">
        <v>46</v>
      </c>
      <c r="AA51" s="5" t="s">
        <v>46</v>
      </c>
      <c r="AB51" s="4" t="s">
        <v>131</v>
      </c>
      <c r="AC51" s="4" t="s">
        <v>46</v>
      </c>
      <c r="AD51" s="5">
        <v>0</v>
      </c>
      <c r="AE51" s="4" t="s">
        <v>132</v>
      </c>
      <c r="AF51" s="3">
        <v>45627</v>
      </c>
      <c r="AG51" s="4" t="s">
        <v>46</v>
      </c>
      <c r="AH51" s="4" t="s">
        <v>46</v>
      </c>
      <c r="AI51" s="4" t="s">
        <v>46</v>
      </c>
      <c r="AJ51" s="4" t="s">
        <v>46</v>
      </c>
      <c r="AK51" s="4" t="s">
        <v>46</v>
      </c>
      <c r="AL51" s="4" t="s">
        <v>46</v>
      </c>
      <c r="AM51" s="4" t="s">
        <v>46</v>
      </c>
      <c r="AN51" s="4" t="s">
        <v>68</v>
      </c>
      <c r="AO51" s="4" t="s">
        <v>46</v>
      </c>
      <c r="AP51" s="4" t="s">
        <v>46</v>
      </c>
    </row>
    <row r="52" spans="1:42" x14ac:dyDescent="0.2">
      <c r="A52" s="2">
        <v>1891456</v>
      </c>
      <c r="B52" s="3">
        <v>45721</v>
      </c>
      <c r="C52" s="4" t="s">
        <v>229</v>
      </c>
      <c r="D52" s="2">
        <v>1831320</v>
      </c>
      <c r="E52" s="4" t="s">
        <v>230</v>
      </c>
      <c r="F52" s="4" t="s">
        <v>231</v>
      </c>
      <c r="G52" s="2">
        <v>559875404</v>
      </c>
      <c r="H52" s="4" t="s">
        <v>232</v>
      </c>
      <c r="I52" s="4" t="s">
        <v>46</v>
      </c>
      <c r="J52" s="4" t="s">
        <v>47</v>
      </c>
      <c r="K52" s="4" t="s">
        <v>48</v>
      </c>
      <c r="L52" s="3">
        <v>45658</v>
      </c>
      <c r="M52" s="4" t="s">
        <v>106</v>
      </c>
      <c r="N52" s="4" t="s">
        <v>46</v>
      </c>
      <c r="O52" s="4" t="s">
        <v>50</v>
      </c>
      <c r="P52" s="4" t="s">
        <v>46</v>
      </c>
      <c r="Q52" s="2">
        <v>1</v>
      </c>
      <c r="R52" s="2">
        <v>17</v>
      </c>
      <c r="S52" s="4" t="s">
        <v>51</v>
      </c>
      <c r="T52" s="4" t="s">
        <v>65</v>
      </c>
      <c r="U52" s="4" t="s">
        <v>46</v>
      </c>
      <c r="V52" s="5">
        <v>-0.83</v>
      </c>
      <c r="W52" s="5">
        <v>0</v>
      </c>
      <c r="X52" s="5">
        <v>100</v>
      </c>
      <c r="Y52" s="5">
        <v>-260.83</v>
      </c>
      <c r="Z52" s="4" t="s">
        <v>46</v>
      </c>
      <c r="AA52" s="5" t="s">
        <v>46</v>
      </c>
      <c r="AB52" s="4" t="s">
        <v>66</v>
      </c>
      <c r="AC52" s="4" t="s">
        <v>46</v>
      </c>
      <c r="AD52" s="5">
        <v>0</v>
      </c>
      <c r="AE52" s="4" t="s">
        <v>67</v>
      </c>
      <c r="AF52" s="3">
        <v>45658</v>
      </c>
      <c r="AG52" s="4" t="s">
        <v>46</v>
      </c>
      <c r="AH52" s="4" t="s">
        <v>46</v>
      </c>
      <c r="AI52" s="4" t="s">
        <v>46</v>
      </c>
      <c r="AJ52" s="4" t="s">
        <v>46</v>
      </c>
      <c r="AK52" s="4" t="s">
        <v>46</v>
      </c>
      <c r="AL52" s="4" t="s">
        <v>46</v>
      </c>
      <c r="AM52" s="4" t="s">
        <v>46</v>
      </c>
      <c r="AN52" s="4" t="s">
        <v>68</v>
      </c>
      <c r="AO52" s="4" t="s">
        <v>46</v>
      </c>
      <c r="AP52" s="4" t="s">
        <v>46</v>
      </c>
    </row>
    <row r="53" spans="1:42" x14ac:dyDescent="0.2">
      <c r="A53" s="2">
        <v>1891456</v>
      </c>
      <c r="B53" s="3">
        <v>45721</v>
      </c>
      <c r="C53" s="4" t="s">
        <v>229</v>
      </c>
      <c r="D53" s="2">
        <v>1831320</v>
      </c>
      <c r="E53" s="4" t="s">
        <v>233</v>
      </c>
      <c r="F53" s="4" t="s">
        <v>234</v>
      </c>
      <c r="G53" s="2">
        <v>189485425</v>
      </c>
      <c r="H53" s="4" t="s">
        <v>235</v>
      </c>
      <c r="I53" s="4" t="s">
        <v>46</v>
      </c>
      <c r="J53" s="4" t="s">
        <v>47</v>
      </c>
      <c r="K53" s="4" t="s">
        <v>48</v>
      </c>
      <c r="L53" s="3">
        <v>45689</v>
      </c>
      <c r="M53" s="4" t="s">
        <v>136</v>
      </c>
      <c r="N53" s="4" t="s">
        <v>46</v>
      </c>
      <c r="O53" s="4" t="s">
        <v>50</v>
      </c>
      <c r="P53" s="4" t="s">
        <v>46</v>
      </c>
      <c r="Q53" s="2">
        <v>1</v>
      </c>
      <c r="R53" s="2">
        <v>17</v>
      </c>
      <c r="S53" s="4" t="s">
        <v>51</v>
      </c>
      <c r="T53" s="4" t="s">
        <v>65</v>
      </c>
      <c r="U53" s="4" t="s">
        <v>46</v>
      </c>
      <c r="V53" s="5">
        <v>0</v>
      </c>
      <c r="W53" s="5">
        <v>0</v>
      </c>
      <c r="X53" s="5">
        <v>100</v>
      </c>
      <c r="Y53" s="5">
        <v>286.91000000000003</v>
      </c>
      <c r="Z53" s="4" t="s">
        <v>46</v>
      </c>
      <c r="AA53" s="5" t="s">
        <v>46</v>
      </c>
      <c r="AB53" s="4" t="s">
        <v>53</v>
      </c>
      <c r="AC53" s="4" t="s">
        <v>46</v>
      </c>
      <c r="AD53" s="5">
        <v>0</v>
      </c>
      <c r="AE53" s="4" t="s">
        <v>54</v>
      </c>
      <c r="AF53" s="3">
        <v>45689</v>
      </c>
      <c r="AG53" s="4" t="s">
        <v>46</v>
      </c>
      <c r="AH53" s="4" t="s">
        <v>46</v>
      </c>
      <c r="AI53" s="4" t="s">
        <v>46</v>
      </c>
      <c r="AJ53" s="4" t="s">
        <v>46</v>
      </c>
      <c r="AK53" s="4" t="s">
        <v>46</v>
      </c>
      <c r="AL53" s="4" t="s">
        <v>46</v>
      </c>
      <c r="AM53" s="4" t="s">
        <v>46</v>
      </c>
      <c r="AN53" s="4" t="s">
        <v>68</v>
      </c>
      <c r="AO53" s="4" t="s">
        <v>46</v>
      </c>
      <c r="AP53" s="4" t="s">
        <v>46</v>
      </c>
    </row>
    <row r="54" spans="1:42" x14ac:dyDescent="0.2">
      <c r="A54" s="2">
        <v>1891456</v>
      </c>
      <c r="B54" s="3">
        <v>45721</v>
      </c>
      <c r="C54" s="4" t="s">
        <v>229</v>
      </c>
      <c r="D54" s="2">
        <v>1831320</v>
      </c>
      <c r="E54" s="4" t="s">
        <v>236</v>
      </c>
      <c r="F54" s="4" t="s">
        <v>237</v>
      </c>
      <c r="G54" s="2">
        <v>349874060</v>
      </c>
      <c r="H54" s="4" t="s">
        <v>238</v>
      </c>
      <c r="I54" s="4" t="s">
        <v>46</v>
      </c>
      <c r="J54" s="4" t="s">
        <v>47</v>
      </c>
      <c r="K54" s="4" t="s">
        <v>48</v>
      </c>
      <c r="L54" s="3">
        <v>45748</v>
      </c>
      <c r="M54" s="4" t="s">
        <v>87</v>
      </c>
      <c r="N54" s="4" t="s">
        <v>46</v>
      </c>
      <c r="O54" s="4" t="s">
        <v>50</v>
      </c>
      <c r="P54" s="4" t="s">
        <v>46</v>
      </c>
      <c r="Q54" s="2">
        <v>1</v>
      </c>
      <c r="R54" s="2">
        <v>17</v>
      </c>
      <c r="S54" s="4" t="s">
        <v>51</v>
      </c>
      <c r="T54" s="4" t="s">
        <v>65</v>
      </c>
      <c r="U54" s="4" t="s">
        <v>46</v>
      </c>
      <c r="V54" s="5">
        <v>0</v>
      </c>
      <c r="W54" s="5">
        <v>0</v>
      </c>
      <c r="X54" s="5">
        <v>100</v>
      </c>
      <c r="Y54" s="5">
        <v>391.25</v>
      </c>
      <c r="Z54" s="4" t="s">
        <v>46</v>
      </c>
      <c r="AA54" s="5" t="s">
        <v>46</v>
      </c>
      <c r="AB54" s="4" t="s">
        <v>53</v>
      </c>
      <c r="AC54" s="4" t="s">
        <v>46</v>
      </c>
      <c r="AD54" s="5">
        <v>0</v>
      </c>
      <c r="AE54" s="4" t="s">
        <v>54</v>
      </c>
      <c r="AF54" s="3">
        <v>45748</v>
      </c>
      <c r="AG54" s="4" t="s">
        <v>46</v>
      </c>
      <c r="AH54" s="4" t="s">
        <v>46</v>
      </c>
      <c r="AI54" s="4" t="s">
        <v>46</v>
      </c>
      <c r="AJ54" s="4" t="s">
        <v>46</v>
      </c>
      <c r="AK54" s="4" t="s">
        <v>46</v>
      </c>
      <c r="AL54" s="4" t="s">
        <v>46</v>
      </c>
      <c r="AM54" s="4" t="s">
        <v>46</v>
      </c>
      <c r="AN54" s="4" t="s">
        <v>68</v>
      </c>
      <c r="AO54" s="4" t="s">
        <v>46</v>
      </c>
      <c r="AP54" s="4" t="s">
        <v>46</v>
      </c>
    </row>
    <row r="55" spans="1:42" x14ac:dyDescent="0.2">
      <c r="A55" s="2">
        <v>1891456</v>
      </c>
      <c r="B55" s="3">
        <v>45721</v>
      </c>
      <c r="C55" s="4" t="s">
        <v>229</v>
      </c>
      <c r="D55" s="2">
        <v>1831320</v>
      </c>
      <c r="E55" s="4" t="s">
        <v>239</v>
      </c>
      <c r="F55" s="4" t="s">
        <v>240</v>
      </c>
      <c r="G55" s="2">
        <v>678732302</v>
      </c>
      <c r="H55" s="4" t="s">
        <v>241</v>
      </c>
      <c r="I55" s="4" t="s">
        <v>46</v>
      </c>
      <c r="J55" s="4" t="s">
        <v>47</v>
      </c>
      <c r="K55" s="4" t="s">
        <v>48</v>
      </c>
      <c r="L55" s="3">
        <v>45717</v>
      </c>
      <c r="M55" s="4" t="s">
        <v>49</v>
      </c>
      <c r="N55" s="4" t="s">
        <v>46</v>
      </c>
      <c r="O55" s="4" t="s">
        <v>50</v>
      </c>
      <c r="P55" s="4" t="s">
        <v>46</v>
      </c>
      <c r="Q55" s="2">
        <v>1</v>
      </c>
      <c r="R55" s="2">
        <v>17</v>
      </c>
      <c r="S55" s="4" t="s">
        <v>51</v>
      </c>
      <c r="T55" s="4" t="s">
        <v>65</v>
      </c>
      <c r="U55" s="4" t="s">
        <v>46</v>
      </c>
      <c r="V55" s="5">
        <v>0</v>
      </c>
      <c r="W55" s="5">
        <v>0</v>
      </c>
      <c r="X55" s="5">
        <v>100</v>
      </c>
      <c r="Y55" s="5">
        <v>365.17</v>
      </c>
      <c r="Z55" s="4" t="s">
        <v>46</v>
      </c>
      <c r="AA55" s="5" t="s">
        <v>46</v>
      </c>
      <c r="AB55" s="4" t="s">
        <v>53</v>
      </c>
      <c r="AC55" s="4" t="s">
        <v>46</v>
      </c>
      <c r="AD55" s="5">
        <v>0</v>
      </c>
      <c r="AE55" s="4" t="s">
        <v>54</v>
      </c>
      <c r="AF55" s="3">
        <v>45717</v>
      </c>
      <c r="AG55" s="4" t="s">
        <v>46</v>
      </c>
      <c r="AH55" s="4" t="s">
        <v>46</v>
      </c>
      <c r="AI55" s="4" t="s">
        <v>46</v>
      </c>
      <c r="AJ55" s="4" t="s">
        <v>46</v>
      </c>
      <c r="AK55" s="4" t="s">
        <v>46</v>
      </c>
      <c r="AL55" s="4" t="s">
        <v>46</v>
      </c>
      <c r="AM55" s="4" t="s">
        <v>46</v>
      </c>
      <c r="AN55" s="4" t="s">
        <v>68</v>
      </c>
      <c r="AO55" s="4" t="s">
        <v>46</v>
      </c>
      <c r="AP55" s="4" t="s">
        <v>46</v>
      </c>
    </row>
    <row r="56" spans="1:42" x14ac:dyDescent="0.2">
      <c r="A56" s="2">
        <v>1891456</v>
      </c>
      <c r="B56" s="3">
        <v>45721</v>
      </c>
      <c r="C56" s="4" t="s">
        <v>229</v>
      </c>
      <c r="D56" s="2">
        <v>1831320</v>
      </c>
      <c r="E56" s="4" t="s">
        <v>242</v>
      </c>
      <c r="F56" s="4" t="s">
        <v>243</v>
      </c>
      <c r="G56" s="2">
        <v>278248585</v>
      </c>
      <c r="H56" s="4" t="s">
        <v>244</v>
      </c>
      <c r="I56" s="4" t="s">
        <v>46</v>
      </c>
      <c r="J56" s="4" t="s">
        <v>47</v>
      </c>
      <c r="K56" s="4" t="s">
        <v>48</v>
      </c>
      <c r="L56" s="3">
        <v>45717</v>
      </c>
      <c r="M56" s="4" t="s">
        <v>49</v>
      </c>
      <c r="N56" s="4" t="s">
        <v>46</v>
      </c>
      <c r="O56" s="4" t="s">
        <v>50</v>
      </c>
      <c r="P56" s="4" t="s">
        <v>46</v>
      </c>
      <c r="Q56" s="2">
        <v>1</v>
      </c>
      <c r="R56" s="2">
        <v>17</v>
      </c>
      <c r="S56" s="4" t="s">
        <v>51</v>
      </c>
      <c r="T56" s="4" t="s">
        <v>65</v>
      </c>
      <c r="U56" s="4" t="s">
        <v>46</v>
      </c>
      <c r="V56" s="5">
        <v>0.83</v>
      </c>
      <c r="W56" s="5">
        <v>0</v>
      </c>
      <c r="X56" s="5">
        <v>100</v>
      </c>
      <c r="Y56" s="5">
        <v>260.83</v>
      </c>
      <c r="Z56" s="4" t="s">
        <v>46</v>
      </c>
      <c r="AA56" s="5" t="s">
        <v>46</v>
      </c>
      <c r="AB56" s="4" t="s">
        <v>66</v>
      </c>
      <c r="AC56" s="4" t="s">
        <v>46</v>
      </c>
      <c r="AD56" s="5">
        <v>0</v>
      </c>
      <c r="AE56" s="4" t="s">
        <v>67</v>
      </c>
      <c r="AF56" s="3">
        <v>45717</v>
      </c>
      <c r="AG56" s="4" t="s">
        <v>46</v>
      </c>
      <c r="AH56" s="4" t="s">
        <v>46</v>
      </c>
      <c r="AI56" s="4" t="s">
        <v>46</v>
      </c>
      <c r="AJ56" s="4" t="s">
        <v>46</v>
      </c>
      <c r="AK56" s="4" t="s">
        <v>46</v>
      </c>
      <c r="AL56" s="4" t="s">
        <v>46</v>
      </c>
      <c r="AM56" s="4" t="s">
        <v>46</v>
      </c>
      <c r="AN56" s="4" t="s">
        <v>68</v>
      </c>
      <c r="AO56" s="4" t="s">
        <v>46</v>
      </c>
      <c r="AP56" s="4" t="s">
        <v>46</v>
      </c>
    </row>
    <row r="57" spans="1:42" x14ac:dyDescent="0.2">
      <c r="A57" s="2">
        <v>1891456</v>
      </c>
      <c r="B57" s="3">
        <v>45721</v>
      </c>
      <c r="C57" s="4" t="s">
        <v>229</v>
      </c>
      <c r="D57" s="2">
        <v>1831320</v>
      </c>
      <c r="E57" s="4" t="s">
        <v>242</v>
      </c>
      <c r="F57" s="4" t="s">
        <v>243</v>
      </c>
      <c r="G57" s="2">
        <v>278248585</v>
      </c>
      <c r="H57" s="4" t="s">
        <v>244</v>
      </c>
      <c r="I57" s="4" t="s">
        <v>46</v>
      </c>
      <c r="J57" s="4" t="s">
        <v>47</v>
      </c>
      <c r="K57" s="4" t="s">
        <v>48</v>
      </c>
      <c r="L57" s="3">
        <v>45717</v>
      </c>
      <c r="M57" s="4" t="s">
        <v>49</v>
      </c>
      <c r="N57" s="4" t="s">
        <v>46</v>
      </c>
      <c r="O57" s="4" t="s">
        <v>50</v>
      </c>
      <c r="P57" s="4" t="s">
        <v>46</v>
      </c>
      <c r="Q57" s="2">
        <v>1</v>
      </c>
      <c r="R57" s="2">
        <v>17</v>
      </c>
      <c r="S57" s="4" t="s">
        <v>51</v>
      </c>
      <c r="T57" s="4" t="s">
        <v>65</v>
      </c>
      <c r="U57" s="4" t="s">
        <v>46</v>
      </c>
      <c r="V57" s="5">
        <v>0</v>
      </c>
      <c r="W57" s="5">
        <v>0</v>
      </c>
      <c r="X57" s="5">
        <v>100</v>
      </c>
      <c r="Y57" s="5">
        <v>260.83999999999997</v>
      </c>
      <c r="Z57" s="4" t="s">
        <v>46</v>
      </c>
      <c r="AA57" s="5" t="s">
        <v>46</v>
      </c>
      <c r="AB57" s="4" t="s">
        <v>53</v>
      </c>
      <c r="AC57" s="4" t="s">
        <v>46</v>
      </c>
      <c r="AD57" s="5">
        <v>0</v>
      </c>
      <c r="AE57" s="4" t="s">
        <v>54</v>
      </c>
      <c r="AF57" s="3">
        <v>45717</v>
      </c>
      <c r="AG57" s="4" t="s">
        <v>46</v>
      </c>
      <c r="AH57" s="4" t="s">
        <v>46</v>
      </c>
      <c r="AI57" s="4" t="s">
        <v>46</v>
      </c>
      <c r="AJ57" s="4" t="s">
        <v>46</v>
      </c>
      <c r="AK57" s="4" t="s">
        <v>46</v>
      </c>
      <c r="AL57" s="4" t="s">
        <v>46</v>
      </c>
      <c r="AM57" s="4" t="s">
        <v>46</v>
      </c>
      <c r="AN57" s="4" t="s">
        <v>68</v>
      </c>
      <c r="AO57" s="4" t="s">
        <v>46</v>
      </c>
      <c r="AP57" s="4" t="s">
        <v>46</v>
      </c>
    </row>
    <row r="58" spans="1:42" x14ac:dyDescent="0.2">
      <c r="A58" s="2">
        <v>1891456</v>
      </c>
      <c r="B58" s="3">
        <v>45721</v>
      </c>
      <c r="C58" s="4" t="s">
        <v>229</v>
      </c>
      <c r="D58" s="2">
        <v>1831320</v>
      </c>
      <c r="E58" s="4" t="s">
        <v>245</v>
      </c>
      <c r="F58" s="4" t="s">
        <v>246</v>
      </c>
      <c r="G58" s="2">
        <v>282711585</v>
      </c>
      <c r="H58" s="4" t="s">
        <v>247</v>
      </c>
      <c r="I58" s="4" t="s">
        <v>46</v>
      </c>
      <c r="J58" s="4" t="s">
        <v>47</v>
      </c>
      <c r="K58" s="4" t="s">
        <v>48</v>
      </c>
      <c r="L58" s="3">
        <v>45717</v>
      </c>
      <c r="M58" s="4" t="s">
        <v>49</v>
      </c>
      <c r="N58" s="4" t="s">
        <v>46</v>
      </c>
      <c r="O58" s="4" t="s">
        <v>50</v>
      </c>
      <c r="P58" s="4" t="s">
        <v>46</v>
      </c>
      <c r="Q58" s="2">
        <v>1</v>
      </c>
      <c r="R58" s="2">
        <v>17</v>
      </c>
      <c r="S58" s="4" t="s">
        <v>51</v>
      </c>
      <c r="T58" s="4" t="s">
        <v>65</v>
      </c>
      <c r="U58" s="4" t="s">
        <v>46</v>
      </c>
      <c r="V58" s="5">
        <v>0.83</v>
      </c>
      <c r="W58" s="5">
        <v>0</v>
      </c>
      <c r="X58" s="5">
        <v>100</v>
      </c>
      <c r="Y58" s="5">
        <v>260.83</v>
      </c>
      <c r="Z58" s="4" t="s">
        <v>46</v>
      </c>
      <c r="AA58" s="5" t="s">
        <v>46</v>
      </c>
      <c r="AB58" s="4" t="s">
        <v>66</v>
      </c>
      <c r="AC58" s="4" t="s">
        <v>46</v>
      </c>
      <c r="AD58" s="5">
        <v>0</v>
      </c>
      <c r="AE58" s="4" t="s">
        <v>67</v>
      </c>
      <c r="AF58" s="3">
        <v>45717</v>
      </c>
      <c r="AG58" s="4" t="s">
        <v>46</v>
      </c>
      <c r="AH58" s="4" t="s">
        <v>46</v>
      </c>
      <c r="AI58" s="4" t="s">
        <v>46</v>
      </c>
      <c r="AJ58" s="4" t="s">
        <v>46</v>
      </c>
      <c r="AK58" s="4" t="s">
        <v>46</v>
      </c>
      <c r="AL58" s="4" t="s">
        <v>46</v>
      </c>
      <c r="AM58" s="4" t="s">
        <v>46</v>
      </c>
      <c r="AN58" s="4" t="s">
        <v>68</v>
      </c>
      <c r="AO58" s="4" t="s">
        <v>46</v>
      </c>
      <c r="AP58" s="4" t="s">
        <v>46</v>
      </c>
    </row>
    <row r="59" spans="1:42" x14ac:dyDescent="0.2">
      <c r="A59" s="2">
        <v>1891456</v>
      </c>
      <c r="B59" s="3">
        <v>45721</v>
      </c>
      <c r="C59" s="4" t="s">
        <v>229</v>
      </c>
      <c r="D59" s="2">
        <v>1831320</v>
      </c>
      <c r="E59" s="4" t="s">
        <v>245</v>
      </c>
      <c r="F59" s="4" t="s">
        <v>246</v>
      </c>
      <c r="G59" s="2">
        <v>282711585</v>
      </c>
      <c r="H59" s="4" t="s">
        <v>247</v>
      </c>
      <c r="I59" s="4" t="s">
        <v>46</v>
      </c>
      <c r="J59" s="4" t="s">
        <v>47</v>
      </c>
      <c r="K59" s="4" t="s">
        <v>48</v>
      </c>
      <c r="L59" s="3">
        <v>45717</v>
      </c>
      <c r="M59" s="4" t="s">
        <v>49</v>
      </c>
      <c r="N59" s="4" t="s">
        <v>46</v>
      </c>
      <c r="O59" s="4" t="s">
        <v>50</v>
      </c>
      <c r="P59" s="4" t="s">
        <v>46</v>
      </c>
      <c r="Q59" s="2">
        <v>1</v>
      </c>
      <c r="R59" s="2">
        <v>17</v>
      </c>
      <c r="S59" s="4" t="s">
        <v>51</v>
      </c>
      <c r="T59" s="4" t="s">
        <v>65</v>
      </c>
      <c r="U59" s="4" t="s">
        <v>46</v>
      </c>
      <c r="V59" s="5">
        <v>0</v>
      </c>
      <c r="W59" s="5">
        <v>0</v>
      </c>
      <c r="X59" s="5">
        <v>100</v>
      </c>
      <c r="Y59" s="5">
        <v>260.83999999999997</v>
      </c>
      <c r="Z59" s="4" t="s">
        <v>46</v>
      </c>
      <c r="AA59" s="5" t="s">
        <v>46</v>
      </c>
      <c r="AB59" s="4" t="s">
        <v>53</v>
      </c>
      <c r="AC59" s="4" t="s">
        <v>46</v>
      </c>
      <c r="AD59" s="5">
        <v>0</v>
      </c>
      <c r="AE59" s="4" t="s">
        <v>54</v>
      </c>
      <c r="AF59" s="3">
        <v>45717</v>
      </c>
      <c r="AG59" s="4" t="s">
        <v>46</v>
      </c>
      <c r="AH59" s="4" t="s">
        <v>46</v>
      </c>
      <c r="AI59" s="4" t="s">
        <v>46</v>
      </c>
      <c r="AJ59" s="4" t="s">
        <v>46</v>
      </c>
      <c r="AK59" s="4" t="s">
        <v>46</v>
      </c>
      <c r="AL59" s="4" t="s">
        <v>46</v>
      </c>
      <c r="AM59" s="4" t="s">
        <v>46</v>
      </c>
      <c r="AN59" s="4" t="s">
        <v>68</v>
      </c>
      <c r="AO59" s="4" t="s">
        <v>46</v>
      </c>
      <c r="AP59" s="4" t="s">
        <v>46</v>
      </c>
    </row>
    <row r="60" spans="1:42" x14ac:dyDescent="0.2">
      <c r="A60" s="2">
        <v>1891456</v>
      </c>
      <c r="B60" s="3">
        <v>45721</v>
      </c>
      <c r="C60" s="4" t="s">
        <v>248</v>
      </c>
      <c r="D60" s="2">
        <v>1831491</v>
      </c>
      <c r="E60" s="4" t="s">
        <v>249</v>
      </c>
      <c r="F60" s="4" t="s">
        <v>250</v>
      </c>
      <c r="G60" s="2">
        <v>363576194</v>
      </c>
      <c r="H60" s="4" t="s">
        <v>251</v>
      </c>
      <c r="I60" s="4" t="s">
        <v>46</v>
      </c>
      <c r="J60" s="4" t="s">
        <v>47</v>
      </c>
      <c r="K60" s="4" t="s">
        <v>48</v>
      </c>
      <c r="L60" s="3">
        <v>45717</v>
      </c>
      <c r="M60" s="4" t="s">
        <v>49</v>
      </c>
      <c r="N60" s="4" t="s">
        <v>46</v>
      </c>
      <c r="O60" s="4" t="s">
        <v>50</v>
      </c>
      <c r="P60" s="4" t="s">
        <v>46</v>
      </c>
      <c r="Q60" s="2">
        <v>1</v>
      </c>
      <c r="R60" s="2">
        <v>17</v>
      </c>
      <c r="S60" s="4" t="s">
        <v>51</v>
      </c>
      <c r="T60" s="4" t="s">
        <v>65</v>
      </c>
      <c r="U60" s="4" t="s">
        <v>46</v>
      </c>
      <c r="V60" s="5">
        <v>0</v>
      </c>
      <c r="W60" s="5">
        <v>0</v>
      </c>
      <c r="X60" s="5">
        <v>100</v>
      </c>
      <c r="Y60" s="5">
        <v>365.17</v>
      </c>
      <c r="Z60" s="4" t="s">
        <v>46</v>
      </c>
      <c r="AA60" s="5" t="s">
        <v>46</v>
      </c>
      <c r="AB60" s="4" t="s">
        <v>53</v>
      </c>
      <c r="AC60" s="4" t="s">
        <v>46</v>
      </c>
      <c r="AD60" s="5">
        <v>0</v>
      </c>
      <c r="AE60" s="4" t="s">
        <v>54</v>
      </c>
      <c r="AF60" s="3">
        <v>45717</v>
      </c>
      <c r="AG60" s="4" t="s">
        <v>46</v>
      </c>
      <c r="AH60" s="4" t="s">
        <v>46</v>
      </c>
      <c r="AI60" s="4" t="s">
        <v>46</v>
      </c>
      <c r="AJ60" s="4" t="s">
        <v>46</v>
      </c>
      <c r="AK60" s="4" t="s">
        <v>46</v>
      </c>
      <c r="AL60" s="4" t="s">
        <v>46</v>
      </c>
      <c r="AM60" s="4" t="s">
        <v>46</v>
      </c>
      <c r="AN60" s="4" t="s">
        <v>68</v>
      </c>
      <c r="AO60" s="4" t="s">
        <v>46</v>
      </c>
      <c r="AP60" s="4" t="s">
        <v>46</v>
      </c>
    </row>
    <row r="61" spans="1:42" x14ac:dyDescent="0.2">
      <c r="A61" s="2">
        <v>1891456</v>
      </c>
      <c r="B61" s="3">
        <v>45721</v>
      </c>
      <c r="C61" s="4" t="s">
        <v>248</v>
      </c>
      <c r="D61" s="2">
        <v>1831491</v>
      </c>
      <c r="E61" s="4" t="s">
        <v>252</v>
      </c>
      <c r="F61" s="4" t="s">
        <v>253</v>
      </c>
      <c r="G61" s="2">
        <v>425298585</v>
      </c>
      <c r="H61" s="4" t="s">
        <v>254</v>
      </c>
      <c r="I61" s="4" t="s">
        <v>46</v>
      </c>
      <c r="J61" s="4" t="s">
        <v>47</v>
      </c>
      <c r="K61" s="4" t="s">
        <v>48</v>
      </c>
      <c r="L61" s="3">
        <v>45717</v>
      </c>
      <c r="M61" s="4" t="s">
        <v>49</v>
      </c>
      <c r="N61" s="4" t="s">
        <v>46</v>
      </c>
      <c r="O61" s="4" t="s">
        <v>50</v>
      </c>
      <c r="P61" s="4" t="s">
        <v>46</v>
      </c>
      <c r="Q61" s="2">
        <v>1</v>
      </c>
      <c r="R61" s="2">
        <v>17</v>
      </c>
      <c r="S61" s="4" t="s">
        <v>51</v>
      </c>
      <c r="T61" s="4" t="s">
        <v>65</v>
      </c>
      <c r="U61" s="4" t="s">
        <v>46</v>
      </c>
      <c r="V61" s="5">
        <v>0.83</v>
      </c>
      <c r="W61" s="5">
        <v>0</v>
      </c>
      <c r="X61" s="5">
        <v>100</v>
      </c>
      <c r="Y61" s="5">
        <v>260.83</v>
      </c>
      <c r="Z61" s="4" t="s">
        <v>46</v>
      </c>
      <c r="AA61" s="5" t="s">
        <v>46</v>
      </c>
      <c r="AB61" s="4" t="s">
        <v>66</v>
      </c>
      <c r="AC61" s="4" t="s">
        <v>46</v>
      </c>
      <c r="AD61" s="5">
        <v>0</v>
      </c>
      <c r="AE61" s="4" t="s">
        <v>67</v>
      </c>
      <c r="AF61" s="3">
        <v>45717</v>
      </c>
      <c r="AG61" s="4" t="s">
        <v>46</v>
      </c>
      <c r="AH61" s="4" t="s">
        <v>46</v>
      </c>
      <c r="AI61" s="4" t="s">
        <v>46</v>
      </c>
      <c r="AJ61" s="4" t="s">
        <v>46</v>
      </c>
      <c r="AK61" s="4" t="s">
        <v>46</v>
      </c>
      <c r="AL61" s="4" t="s">
        <v>46</v>
      </c>
      <c r="AM61" s="4" t="s">
        <v>46</v>
      </c>
      <c r="AN61" s="4" t="s">
        <v>68</v>
      </c>
      <c r="AO61" s="4" t="s">
        <v>46</v>
      </c>
      <c r="AP61" s="4" t="s">
        <v>46</v>
      </c>
    </row>
    <row r="62" spans="1:42" x14ac:dyDescent="0.2">
      <c r="A62" s="2">
        <v>1891456</v>
      </c>
      <c r="B62" s="3">
        <v>45721</v>
      </c>
      <c r="C62" s="4" t="s">
        <v>255</v>
      </c>
      <c r="D62" s="2">
        <v>1855975</v>
      </c>
      <c r="E62" s="4" t="s">
        <v>256</v>
      </c>
      <c r="F62" s="4" t="s">
        <v>257</v>
      </c>
      <c r="G62" s="2">
        <v>420687444</v>
      </c>
      <c r="H62" s="4" t="s">
        <v>258</v>
      </c>
      <c r="I62" s="4" t="s">
        <v>46</v>
      </c>
      <c r="J62" s="4" t="s">
        <v>47</v>
      </c>
      <c r="K62" s="4" t="s">
        <v>48</v>
      </c>
      <c r="L62" s="3">
        <v>45658</v>
      </c>
      <c r="M62" s="4" t="s">
        <v>106</v>
      </c>
      <c r="N62" s="4" t="s">
        <v>46</v>
      </c>
      <c r="O62" s="4" t="s">
        <v>50</v>
      </c>
      <c r="P62" s="4" t="s">
        <v>46</v>
      </c>
      <c r="Q62" s="2">
        <v>1</v>
      </c>
      <c r="R62" s="2">
        <v>17</v>
      </c>
      <c r="S62" s="4" t="s">
        <v>51</v>
      </c>
      <c r="T62" s="4" t="s">
        <v>65</v>
      </c>
      <c r="U62" s="4" t="s">
        <v>46</v>
      </c>
      <c r="V62" s="5">
        <v>-0.83</v>
      </c>
      <c r="W62" s="5">
        <v>0</v>
      </c>
      <c r="X62" s="5">
        <v>100</v>
      </c>
      <c r="Y62" s="5">
        <v>-260.83</v>
      </c>
      <c r="Z62" s="4" t="s">
        <v>46</v>
      </c>
      <c r="AA62" s="5" t="s">
        <v>46</v>
      </c>
      <c r="AB62" s="4" t="s">
        <v>66</v>
      </c>
      <c r="AC62" s="4" t="s">
        <v>46</v>
      </c>
      <c r="AD62" s="5">
        <v>0</v>
      </c>
      <c r="AE62" s="4" t="s">
        <v>67</v>
      </c>
      <c r="AF62" s="3">
        <v>45658</v>
      </c>
      <c r="AG62" s="4" t="s">
        <v>46</v>
      </c>
      <c r="AH62" s="4" t="s">
        <v>46</v>
      </c>
      <c r="AI62" s="4" t="s">
        <v>46</v>
      </c>
      <c r="AJ62" s="4" t="s">
        <v>46</v>
      </c>
      <c r="AK62" s="4" t="s">
        <v>46</v>
      </c>
      <c r="AL62" s="4" t="s">
        <v>46</v>
      </c>
      <c r="AM62" s="4" t="s">
        <v>46</v>
      </c>
      <c r="AN62" s="4" t="s">
        <v>68</v>
      </c>
      <c r="AO62" s="4" t="s">
        <v>46</v>
      </c>
      <c r="AP62" s="4" t="s">
        <v>46</v>
      </c>
    </row>
    <row r="63" spans="1:42" x14ac:dyDescent="0.2">
      <c r="A63" s="2">
        <v>1891456</v>
      </c>
      <c r="B63" s="3">
        <v>45721</v>
      </c>
      <c r="C63" s="4" t="s">
        <v>255</v>
      </c>
      <c r="D63" s="2">
        <v>1855975</v>
      </c>
      <c r="E63" s="4" t="s">
        <v>259</v>
      </c>
      <c r="F63" s="4" t="s">
        <v>260</v>
      </c>
      <c r="G63" s="2">
        <v>131179025</v>
      </c>
      <c r="H63" s="4" t="s">
        <v>261</v>
      </c>
      <c r="I63" s="4" t="s">
        <v>46</v>
      </c>
      <c r="J63" s="4" t="s">
        <v>47</v>
      </c>
      <c r="K63" s="4" t="s">
        <v>48</v>
      </c>
      <c r="L63" s="3">
        <v>45689</v>
      </c>
      <c r="M63" s="4" t="s">
        <v>136</v>
      </c>
      <c r="N63" s="4" t="s">
        <v>46</v>
      </c>
      <c r="O63" s="4" t="s">
        <v>50</v>
      </c>
      <c r="P63" s="4" t="s">
        <v>46</v>
      </c>
      <c r="Q63" s="2">
        <v>1</v>
      </c>
      <c r="R63" s="2">
        <v>17</v>
      </c>
      <c r="S63" s="4" t="s">
        <v>51</v>
      </c>
      <c r="T63" s="4" t="s">
        <v>65</v>
      </c>
      <c r="U63" s="4" t="s">
        <v>46</v>
      </c>
      <c r="V63" s="5">
        <v>0</v>
      </c>
      <c r="W63" s="5">
        <v>0</v>
      </c>
      <c r="X63" s="5">
        <v>100</v>
      </c>
      <c r="Y63" s="5">
        <v>339.08</v>
      </c>
      <c r="Z63" s="4" t="s">
        <v>46</v>
      </c>
      <c r="AA63" s="5" t="s">
        <v>46</v>
      </c>
      <c r="AB63" s="4" t="s">
        <v>53</v>
      </c>
      <c r="AC63" s="4" t="s">
        <v>46</v>
      </c>
      <c r="AD63" s="5">
        <v>0</v>
      </c>
      <c r="AE63" s="4" t="s">
        <v>54</v>
      </c>
      <c r="AF63" s="3">
        <v>45689</v>
      </c>
      <c r="AG63" s="4" t="s">
        <v>46</v>
      </c>
      <c r="AH63" s="4" t="s">
        <v>46</v>
      </c>
      <c r="AI63" s="4" t="s">
        <v>46</v>
      </c>
      <c r="AJ63" s="4" t="s">
        <v>46</v>
      </c>
      <c r="AK63" s="4" t="s">
        <v>46</v>
      </c>
      <c r="AL63" s="4" t="s">
        <v>46</v>
      </c>
      <c r="AM63" s="4" t="s">
        <v>46</v>
      </c>
      <c r="AN63" s="4" t="s">
        <v>68</v>
      </c>
      <c r="AO63" s="4" t="s">
        <v>46</v>
      </c>
      <c r="AP63" s="4" t="s">
        <v>46</v>
      </c>
    </row>
    <row r="64" spans="1:42" x14ac:dyDescent="0.2">
      <c r="A64" s="2">
        <v>1891456</v>
      </c>
      <c r="B64" s="3">
        <v>45721</v>
      </c>
      <c r="C64" s="4" t="s">
        <v>262</v>
      </c>
      <c r="D64" s="2">
        <v>1875462</v>
      </c>
      <c r="E64" s="4" t="s">
        <v>263</v>
      </c>
      <c r="F64" s="4" t="s">
        <v>264</v>
      </c>
      <c r="G64" s="2">
        <v>102292203</v>
      </c>
      <c r="H64" s="4" t="s">
        <v>265</v>
      </c>
      <c r="I64" s="4" t="s">
        <v>46</v>
      </c>
      <c r="J64" s="4" t="s">
        <v>47</v>
      </c>
      <c r="K64" s="4" t="s">
        <v>48</v>
      </c>
      <c r="L64" s="3">
        <v>45717</v>
      </c>
      <c r="M64" s="4" t="s">
        <v>49</v>
      </c>
      <c r="N64" s="4" t="s">
        <v>46</v>
      </c>
      <c r="O64" s="4" t="s">
        <v>50</v>
      </c>
      <c r="P64" s="4" t="s">
        <v>46</v>
      </c>
      <c r="Q64" s="2">
        <v>1</v>
      </c>
      <c r="R64" s="2">
        <v>17</v>
      </c>
      <c r="S64" s="4" t="s">
        <v>51</v>
      </c>
      <c r="T64" s="4" t="s">
        <v>144</v>
      </c>
      <c r="U64" s="4" t="s">
        <v>46</v>
      </c>
      <c r="V64" s="5">
        <v>0.83</v>
      </c>
      <c r="W64" s="5">
        <v>0</v>
      </c>
      <c r="X64" s="5">
        <v>100</v>
      </c>
      <c r="Y64" s="5">
        <v>45.83</v>
      </c>
      <c r="Z64" s="4" t="s">
        <v>46</v>
      </c>
      <c r="AA64" s="5" t="s">
        <v>46</v>
      </c>
      <c r="AB64" s="4" t="s">
        <v>66</v>
      </c>
      <c r="AC64" s="4" t="s">
        <v>46</v>
      </c>
      <c r="AD64" s="5">
        <v>0</v>
      </c>
      <c r="AE64" s="4" t="s">
        <v>67</v>
      </c>
      <c r="AF64" s="3">
        <v>45717</v>
      </c>
      <c r="AG64" s="4" t="s">
        <v>46</v>
      </c>
      <c r="AH64" s="4" t="s">
        <v>46</v>
      </c>
      <c r="AI64" s="4" t="s">
        <v>46</v>
      </c>
      <c r="AJ64" s="4" t="s">
        <v>46</v>
      </c>
      <c r="AK64" s="4" t="s">
        <v>46</v>
      </c>
      <c r="AL64" s="4" t="s">
        <v>46</v>
      </c>
      <c r="AM64" s="4" t="s">
        <v>46</v>
      </c>
      <c r="AN64" s="4" t="s">
        <v>145</v>
      </c>
      <c r="AO64" s="4" t="s">
        <v>46</v>
      </c>
      <c r="AP64" s="4" t="s">
        <v>46</v>
      </c>
    </row>
    <row r="65" spans="1:42" x14ac:dyDescent="0.2">
      <c r="A65" s="2">
        <v>1891456</v>
      </c>
      <c r="B65" s="3">
        <v>45721</v>
      </c>
      <c r="C65" s="4" t="s">
        <v>262</v>
      </c>
      <c r="D65" s="2">
        <v>1875462</v>
      </c>
      <c r="E65" s="4" t="s">
        <v>263</v>
      </c>
      <c r="F65" s="4" t="s">
        <v>264</v>
      </c>
      <c r="G65" s="2">
        <v>102292203</v>
      </c>
      <c r="H65" s="4" t="s">
        <v>265</v>
      </c>
      <c r="I65" s="4" t="s">
        <v>46</v>
      </c>
      <c r="J65" s="4" t="s">
        <v>47</v>
      </c>
      <c r="K65" s="4" t="s">
        <v>48</v>
      </c>
      <c r="L65" s="3">
        <v>45717</v>
      </c>
      <c r="M65" s="4" t="s">
        <v>49</v>
      </c>
      <c r="N65" s="4" t="s">
        <v>46</v>
      </c>
      <c r="O65" s="4" t="s">
        <v>50</v>
      </c>
      <c r="P65" s="4" t="s">
        <v>46</v>
      </c>
      <c r="Q65" s="2">
        <v>1</v>
      </c>
      <c r="R65" s="2">
        <v>17</v>
      </c>
      <c r="S65" s="4" t="s">
        <v>51</v>
      </c>
      <c r="T65" s="4" t="s">
        <v>144</v>
      </c>
      <c r="U65" s="4" t="s">
        <v>46</v>
      </c>
      <c r="V65" s="5">
        <v>0</v>
      </c>
      <c r="W65" s="5">
        <v>0</v>
      </c>
      <c r="X65" s="5">
        <v>100</v>
      </c>
      <c r="Y65" s="5">
        <v>63.17</v>
      </c>
      <c r="Z65" s="4" t="s">
        <v>46</v>
      </c>
      <c r="AA65" s="5" t="s">
        <v>46</v>
      </c>
      <c r="AB65" s="4" t="s">
        <v>53</v>
      </c>
      <c r="AC65" s="4" t="s">
        <v>46</v>
      </c>
      <c r="AD65" s="5">
        <v>0</v>
      </c>
      <c r="AE65" s="4" t="s">
        <v>54</v>
      </c>
      <c r="AF65" s="3">
        <v>45717</v>
      </c>
      <c r="AG65" s="4" t="s">
        <v>46</v>
      </c>
      <c r="AH65" s="4" t="s">
        <v>46</v>
      </c>
      <c r="AI65" s="4" t="s">
        <v>46</v>
      </c>
      <c r="AJ65" s="4" t="s">
        <v>46</v>
      </c>
      <c r="AK65" s="4" t="s">
        <v>46</v>
      </c>
      <c r="AL65" s="4" t="s">
        <v>46</v>
      </c>
      <c r="AM65" s="4" t="s">
        <v>46</v>
      </c>
      <c r="AN65" s="4" t="s">
        <v>145</v>
      </c>
      <c r="AO65" s="4" t="s">
        <v>46</v>
      </c>
      <c r="AP65" s="4" t="s">
        <v>46</v>
      </c>
    </row>
    <row r="66" spans="1:42" x14ac:dyDescent="0.2">
      <c r="A66" s="2">
        <v>1891456</v>
      </c>
      <c r="B66" s="3">
        <v>45721</v>
      </c>
      <c r="C66" s="4" t="s">
        <v>266</v>
      </c>
      <c r="D66" s="2">
        <v>1890087</v>
      </c>
      <c r="E66" s="4" t="s">
        <v>267</v>
      </c>
      <c r="F66" s="4" t="s">
        <v>268</v>
      </c>
      <c r="G66" s="2">
        <v>962467165</v>
      </c>
      <c r="H66" s="4" t="s">
        <v>269</v>
      </c>
      <c r="I66" s="4" t="s">
        <v>46</v>
      </c>
      <c r="J66" s="4" t="s">
        <v>47</v>
      </c>
      <c r="K66" s="4" t="s">
        <v>48</v>
      </c>
      <c r="L66" s="3">
        <v>45778</v>
      </c>
      <c r="M66" s="4" t="s">
        <v>83</v>
      </c>
      <c r="N66" s="4" t="s">
        <v>46</v>
      </c>
      <c r="O66" s="4" t="s">
        <v>50</v>
      </c>
      <c r="P66" s="4" t="s">
        <v>46</v>
      </c>
      <c r="Q66" s="2">
        <v>1</v>
      </c>
      <c r="R66" s="2">
        <v>17</v>
      </c>
      <c r="S66" s="4" t="s">
        <v>51</v>
      </c>
      <c r="T66" s="4" t="s">
        <v>52</v>
      </c>
      <c r="U66" s="4" t="s">
        <v>46</v>
      </c>
      <c r="V66" s="5">
        <v>0.67</v>
      </c>
      <c r="W66" s="5">
        <v>0</v>
      </c>
      <c r="X66" s="5">
        <v>100</v>
      </c>
      <c r="Y66" s="5">
        <v>208.67</v>
      </c>
      <c r="Z66" s="4" t="s">
        <v>46</v>
      </c>
      <c r="AA66" s="5" t="s">
        <v>46</v>
      </c>
      <c r="AB66" s="4" t="s">
        <v>66</v>
      </c>
      <c r="AC66" s="4" t="s">
        <v>46</v>
      </c>
      <c r="AD66" s="5">
        <v>0</v>
      </c>
      <c r="AE66" s="4" t="s">
        <v>67</v>
      </c>
      <c r="AF66" s="3">
        <v>45778</v>
      </c>
      <c r="AG66" s="4" t="s">
        <v>46</v>
      </c>
      <c r="AH66" s="4" t="s">
        <v>46</v>
      </c>
      <c r="AI66" s="4" t="s">
        <v>46</v>
      </c>
      <c r="AJ66" s="4" t="s">
        <v>46</v>
      </c>
      <c r="AK66" s="4" t="s">
        <v>46</v>
      </c>
      <c r="AL66" s="4" t="s">
        <v>46</v>
      </c>
      <c r="AM66" s="4" t="s">
        <v>46</v>
      </c>
      <c r="AN66" s="4" t="s">
        <v>60</v>
      </c>
      <c r="AO66" s="4" t="s">
        <v>46</v>
      </c>
      <c r="AP66" s="4" t="s">
        <v>46</v>
      </c>
    </row>
    <row r="67" spans="1:42" x14ac:dyDescent="0.2">
      <c r="A67" s="2">
        <v>1891456</v>
      </c>
      <c r="B67" s="3">
        <v>45721</v>
      </c>
      <c r="C67" s="4" t="s">
        <v>266</v>
      </c>
      <c r="D67" s="2">
        <v>1890087</v>
      </c>
      <c r="E67" s="4" t="s">
        <v>267</v>
      </c>
      <c r="F67" s="4" t="s">
        <v>268</v>
      </c>
      <c r="G67" s="2">
        <v>962467165</v>
      </c>
      <c r="H67" s="4" t="s">
        <v>269</v>
      </c>
      <c r="I67" s="4" t="s">
        <v>46</v>
      </c>
      <c r="J67" s="4" t="s">
        <v>47</v>
      </c>
      <c r="K67" s="4" t="s">
        <v>48</v>
      </c>
      <c r="L67" s="3">
        <v>45778</v>
      </c>
      <c r="M67" s="4" t="s">
        <v>83</v>
      </c>
      <c r="N67" s="4" t="s">
        <v>46</v>
      </c>
      <c r="O67" s="4" t="s">
        <v>50</v>
      </c>
      <c r="P67" s="4" t="s">
        <v>46</v>
      </c>
      <c r="Q67" s="2">
        <v>1</v>
      </c>
      <c r="R67" s="2">
        <v>17</v>
      </c>
      <c r="S67" s="4" t="s">
        <v>51</v>
      </c>
      <c r="T67" s="4" t="s">
        <v>52</v>
      </c>
      <c r="U67" s="4" t="s">
        <v>46</v>
      </c>
      <c r="V67" s="5">
        <v>0</v>
      </c>
      <c r="W67" s="5">
        <v>0</v>
      </c>
      <c r="X67" s="5">
        <v>100</v>
      </c>
      <c r="Y67" s="5">
        <v>417.33</v>
      </c>
      <c r="Z67" s="4" t="s">
        <v>46</v>
      </c>
      <c r="AA67" s="5" t="s">
        <v>46</v>
      </c>
      <c r="AB67" s="4" t="s">
        <v>53</v>
      </c>
      <c r="AC67" s="4" t="s">
        <v>46</v>
      </c>
      <c r="AD67" s="5">
        <v>0</v>
      </c>
      <c r="AE67" s="4" t="s">
        <v>54</v>
      </c>
      <c r="AF67" s="3">
        <v>45778</v>
      </c>
      <c r="AG67" s="4" t="s">
        <v>46</v>
      </c>
      <c r="AH67" s="4" t="s">
        <v>46</v>
      </c>
      <c r="AI67" s="4" t="s">
        <v>46</v>
      </c>
      <c r="AJ67" s="4" t="s">
        <v>46</v>
      </c>
      <c r="AK67" s="4" t="s">
        <v>46</v>
      </c>
      <c r="AL67" s="4" t="s">
        <v>46</v>
      </c>
      <c r="AM67" s="4" t="s">
        <v>46</v>
      </c>
      <c r="AN67" s="4" t="s">
        <v>60</v>
      </c>
      <c r="AO67" s="4" t="s">
        <v>46</v>
      </c>
      <c r="AP67" s="4" t="s">
        <v>46</v>
      </c>
    </row>
    <row r="68" spans="1:42" x14ac:dyDescent="0.2">
      <c r="A68" s="2">
        <v>1891456</v>
      </c>
      <c r="B68" s="3">
        <v>45721</v>
      </c>
      <c r="C68" s="4" t="s">
        <v>270</v>
      </c>
      <c r="D68" s="2">
        <v>1903197</v>
      </c>
      <c r="E68" s="4" t="s">
        <v>271</v>
      </c>
      <c r="F68" s="4" t="s">
        <v>272</v>
      </c>
      <c r="G68" s="2">
        <v>863994283</v>
      </c>
      <c r="H68" s="4" t="s">
        <v>273</v>
      </c>
      <c r="I68" s="4" t="s">
        <v>46</v>
      </c>
      <c r="J68" s="4" t="s">
        <v>47</v>
      </c>
      <c r="K68" s="4" t="s">
        <v>48</v>
      </c>
      <c r="L68" s="3">
        <v>45717</v>
      </c>
      <c r="M68" s="4" t="s">
        <v>49</v>
      </c>
      <c r="N68" s="4" t="s">
        <v>46</v>
      </c>
      <c r="O68" s="4" t="s">
        <v>50</v>
      </c>
      <c r="P68" s="4" t="s">
        <v>46</v>
      </c>
      <c r="Q68" s="2">
        <v>1</v>
      </c>
      <c r="R68" s="2">
        <v>17</v>
      </c>
      <c r="S68" s="4" t="s">
        <v>51</v>
      </c>
      <c r="T68" s="4" t="s">
        <v>52</v>
      </c>
      <c r="U68" s="4" t="s">
        <v>46</v>
      </c>
      <c r="V68" s="5">
        <v>0.83</v>
      </c>
      <c r="W68" s="5">
        <v>0</v>
      </c>
      <c r="X68" s="5">
        <v>100</v>
      </c>
      <c r="Y68" s="5">
        <v>260.83</v>
      </c>
      <c r="Z68" s="4" t="s">
        <v>46</v>
      </c>
      <c r="AA68" s="5" t="s">
        <v>46</v>
      </c>
      <c r="AB68" s="4" t="s">
        <v>66</v>
      </c>
      <c r="AC68" s="4" t="s">
        <v>46</v>
      </c>
      <c r="AD68" s="5">
        <v>0</v>
      </c>
      <c r="AE68" s="4" t="s">
        <v>67</v>
      </c>
      <c r="AF68" s="3">
        <v>45717</v>
      </c>
      <c r="AG68" s="4" t="s">
        <v>46</v>
      </c>
      <c r="AH68" s="4" t="s">
        <v>46</v>
      </c>
      <c r="AI68" s="4" t="s">
        <v>46</v>
      </c>
      <c r="AJ68" s="4" t="s">
        <v>46</v>
      </c>
      <c r="AK68" s="4" t="s">
        <v>46</v>
      </c>
      <c r="AL68" s="4" t="s">
        <v>46</v>
      </c>
      <c r="AM68" s="4" t="s">
        <v>46</v>
      </c>
      <c r="AN68" s="4" t="s">
        <v>60</v>
      </c>
      <c r="AO68" s="4" t="s">
        <v>46</v>
      </c>
      <c r="AP68" s="4" t="s">
        <v>46</v>
      </c>
    </row>
    <row r="69" spans="1:42" x14ac:dyDescent="0.2">
      <c r="A69" s="2">
        <v>1891456</v>
      </c>
      <c r="B69" s="3">
        <v>45721</v>
      </c>
      <c r="C69" s="4" t="s">
        <v>274</v>
      </c>
      <c r="D69" s="2">
        <v>1953307</v>
      </c>
      <c r="E69" s="4" t="s">
        <v>275</v>
      </c>
      <c r="F69" s="4" t="s">
        <v>276</v>
      </c>
      <c r="G69" s="2">
        <v>339742185</v>
      </c>
      <c r="H69" s="4" t="s">
        <v>277</v>
      </c>
      <c r="I69" s="4" t="s">
        <v>46</v>
      </c>
      <c r="J69" s="4" t="s">
        <v>47</v>
      </c>
      <c r="K69" s="4" t="s">
        <v>48</v>
      </c>
      <c r="L69" s="3">
        <v>45717</v>
      </c>
      <c r="M69" s="4" t="s">
        <v>49</v>
      </c>
      <c r="N69" s="4" t="s">
        <v>46</v>
      </c>
      <c r="O69" s="4" t="s">
        <v>50</v>
      </c>
      <c r="P69" s="4" t="s">
        <v>46</v>
      </c>
      <c r="Q69" s="2">
        <v>1</v>
      </c>
      <c r="R69" s="2">
        <v>17</v>
      </c>
      <c r="S69" s="4" t="s">
        <v>51</v>
      </c>
      <c r="T69" s="4" t="s">
        <v>65</v>
      </c>
      <c r="U69" s="4" t="s">
        <v>46</v>
      </c>
      <c r="V69" s="5">
        <v>0.83</v>
      </c>
      <c r="W69" s="5">
        <v>0</v>
      </c>
      <c r="X69" s="5">
        <v>100</v>
      </c>
      <c r="Y69" s="5">
        <v>260.83</v>
      </c>
      <c r="Z69" s="4" t="s">
        <v>46</v>
      </c>
      <c r="AA69" s="5" t="s">
        <v>46</v>
      </c>
      <c r="AB69" s="4" t="s">
        <v>66</v>
      </c>
      <c r="AC69" s="4" t="s">
        <v>46</v>
      </c>
      <c r="AD69" s="5">
        <v>0</v>
      </c>
      <c r="AE69" s="4" t="s">
        <v>67</v>
      </c>
      <c r="AF69" s="3">
        <v>45717</v>
      </c>
      <c r="AG69" s="4" t="s">
        <v>46</v>
      </c>
      <c r="AH69" s="4" t="s">
        <v>46</v>
      </c>
      <c r="AI69" s="4" t="s">
        <v>46</v>
      </c>
      <c r="AJ69" s="4" t="s">
        <v>46</v>
      </c>
      <c r="AK69" s="4" t="s">
        <v>46</v>
      </c>
      <c r="AL69" s="4" t="s">
        <v>46</v>
      </c>
      <c r="AM69" s="4" t="s">
        <v>46</v>
      </c>
      <c r="AN69" s="4" t="s">
        <v>68</v>
      </c>
      <c r="AO69" s="4" t="s">
        <v>46</v>
      </c>
      <c r="AP69" s="4" t="s">
        <v>46</v>
      </c>
    </row>
    <row r="70" spans="1:42" x14ac:dyDescent="0.2">
      <c r="A70" s="2">
        <v>1891456</v>
      </c>
      <c r="B70" s="3">
        <v>45721</v>
      </c>
      <c r="C70" s="4" t="s">
        <v>274</v>
      </c>
      <c r="D70" s="2">
        <v>1953307</v>
      </c>
      <c r="E70" s="4" t="s">
        <v>275</v>
      </c>
      <c r="F70" s="4" t="s">
        <v>276</v>
      </c>
      <c r="G70" s="2">
        <v>339742185</v>
      </c>
      <c r="H70" s="4" t="s">
        <v>277</v>
      </c>
      <c r="I70" s="4" t="s">
        <v>46</v>
      </c>
      <c r="J70" s="4" t="s">
        <v>47</v>
      </c>
      <c r="K70" s="4" t="s">
        <v>48</v>
      </c>
      <c r="L70" s="3">
        <v>45717</v>
      </c>
      <c r="M70" s="4" t="s">
        <v>49</v>
      </c>
      <c r="N70" s="4" t="s">
        <v>46</v>
      </c>
      <c r="O70" s="4" t="s">
        <v>50</v>
      </c>
      <c r="P70" s="4" t="s">
        <v>46</v>
      </c>
      <c r="Q70" s="2">
        <v>1</v>
      </c>
      <c r="R70" s="2">
        <v>17</v>
      </c>
      <c r="S70" s="4" t="s">
        <v>51</v>
      </c>
      <c r="T70" s="4" t="s">
        <v>65</v>
      </c>
      <c r="U70" s="4" t="s">
        <v>46</v>
      </c>
      <c r="V70" s="5">
        <v>0</v>
      </c>
      <c r="W70" s="5">
        <v>0</v>
      </c>
      <c r="X70" s="5">
        <v>100</v>
      </c>
      <c r="Y70" s="5">
        <v>365.17</v>
      </c>
      <c r="Z70" s="4" t="s">
        <v>46</v>
      </c>
      <c r="AA70" s="5" t="s">
        <v>46</v>
      </c>
      <c r="AB70" s="4" t="s">
        <v>53</v>
      </c>
      <c r="AC70" s="4" t="s">
        <v>46</v>
      </c>
      <c r="AD70" s="5">
        <v>0</v>
      </c>
      <c r="AE70" s="4" t="s">
        <v>54</v>
      </c>
      <c r="AF70" s="3">
        <v>45717</v>
      </c>
      <c r="AG70" s="4" t="s">
        <v>46</v>
      </c>
      <c r="AH70" s="4" t="s">
        <v>46</v>
      </c>
      <c r="AI70" s="4" t="s">
        <v>46</v>
      </c>
      <c r="AJ70" s="4" t="s">
        <v>46</v>
      </c>
      <c r="AK70" s="4" t="s">
        <v>46</v>
      </c>
      <c r="AL70" s="4" t="s">
        <v>46</v>
      </c>
      <c r="AM70" s="4" t="s">
        <v>46</v>
      </c>
      <c r="AN70" s="4" t="s">
        <v>68</v>
      </c>
      <c r="AO70" s="4" t="s">
        <v>46</v>
      </c>
      <c r="AP70" s="4" t="s">
        <v>46</v>
      </c>
    </row>
    <row r="71" spans="1:42" x14ac:dyDescent="0.2">
      <c r="A71" s="2">
        <v>1891456</v>
      </c>
      <c r="B71" s="3">
        <v>45721</v>
      </c>
      <c r="C71" s="4" t="s">
        <v>278</v>
      </c>
      <c r="D71" s="2">
        <v>1509744</v>
      </c>
      <c r="E71" s="4" t="s">
        <v>279</v>
      </c>
      <c r="F71" s="4" t="s">
        <v>280</v>
      </c>
      <c r="G71" s="4" t="s">
        <v>46</v>
      </c>
      <c r="H71" s="4" t="s">
        <v>46</v>
      </c>
      <c r="I71" s="4" t="s">
        <v>46</v>
      </c>
      <c r="J71" s="4" t="s">
        <v>281</v>
      </c>
      <c r="K71" s="4" t="s">
        <v>282</v>
      </c>
      <c r="L71" s="3">
        <v>45748</v>
      </c>
      <c r="M71" s="4" t="s">
        <v>87</v>
      </c>
      <c r="N71" s="4" t="s">
        <v>46</v>
      </c>
      <c r="O71" s="4" t="s">
        <v>50</v>
      </c>
      <c r="P71" s="4" t="s">
        <v>130</v>
      </c>
      <c r="Q71" s="2">
        <v>2</v>
      </c>
      <c r="R71" s="2">
        <v>60</v>
      </c>
      <c r="S71" s="4" t="s">
        <v>283</v>
      </c>
      <c r="T71" s="4" t="s">
        <v>46</v>
      </c>
      <c r="U71" s="4" t="s">
        <v>46</v>
      </c>
      <c r="V71" s="5">
        <v>10</v>
      </c>
      <c r="W71" s="5">
        <v>26.88</v>
      </c>
      <c r="X71" s="5">
        <v>100</v>
      </c>
      <c r="Y71" s="5">
        <v>2.69</v>
      </c>
      <c r="Z71" s="4" t="s">
        <v>46</v>
      </c>
      <c r="AA71" s="5" t="s">
        <v>46</v>
      </c>
      <c r="AB71" s="4" t="s">
        <v>284</v>
      </c>
      <c r="AC71" s="4" t="s">
        <v>46</v>
      </c>
      <c r="AD71" s="5">
        <v>0</v>
      </c>
      <c r="AE71" s="4" t="s">
        <v>285</v>
      </c>
      <c r="AF71" s="3">
        <v>45384</v>
      </c>
      <c r="AG71" s="4" t="s">
        <v>46</v>
      </c>
      <c r="AH71" s="4" t="s">
        <v>46</v>
      </c>
      <c r="AI71" s="4" t="s">
        <v>46</v>
      </c>
      <c r="AJ71" s="4" t="s">
        <v>46</v>
      </c>
      <c r="AK71" s="4" t="s">
        <v>46</v>
      </c>
      <c r="AL71" s="4" t="s">
        <v>46</v>
      </c>
      <c r="AM71" s="4" t="s">
        <v>46</v>
      </c>
      <c r="AN71" s="4" t="s">
        <v>46</v>
      </c>
      <c r="AO71" s="4" t="s">
        <v>46</v>
      </c>
      <c r="AP71" s="4" t="s">
        <v>46</v>
      </c>
    </row>
    <row r="72" spans="1:42" x14ac:dyDescent="0.2">
      <c r="A72" s="2">
        <v>1891456</v>
      </c>
      <c r="B72" s="3">
        <v>45721</v>
      </c>
      <c r="C72" s="4" t="s">
        <v>278</v>
      </c>
      <c r="D72" s="2">
        <v>1509744</v>
      </c>
      <c r="E72" s="4" t="s">
        <v>286</v>
      </c>
      <c r="F72" s="4" t="s">
        <v>287</v>
      </c>
      <c r="G72" s="4" t="s">
        <v>46</v>
      </c>
      <c r="H72" s="4" t="s">
        <v>46</v>
      </c>
      <c r="I72" s="4" t="s">
        <v>46</v>
      </c>
      <c r="J72" s="4" t="s">
        <v>281</v>
      </c>
      <c r="K72" s="4" t="s">
        <v>282</v>
      </c>
      <c r="L72" s="3">
        <v>45748</v>
      </c>
      <c r="M72" s="4" t="s">
        <v>87</v>
      </c>
      <c r="N72" s="4" t="s">
        <v>46</v>
      </c>
      <c r="O72" s="4" t="s">
        <v>130</v>
      </c>
      <c r="P72" s="4" t="s">
        <v>130</v>
      </c>
      <c r="Q72" s="2">
        <v>1</v>
      </c>
      <c r="R72" s="2">
        <v>3</v>
      </c>
      <c r="S72" s="4" t="s">
        <v>288</v>
      </c>
      <c r="T72" s="4" t="s">
        <v>46</v>
      </c>
      <c r="U72" s="4" t="s">
        <v>46</v>
      </c>
      <c r="V72" s="5">
        <v>10</v>
      </c>
      <c r="W72" s="5">
        <v>13.93</v>
      </c>
      <c r="X72" s="5">
        <v>100</v>
      </c>
      <c r="Y72" s="5">
        <v>1.39</v>
      </c>
      <c r="Z72" s="4" t="s">
        <v>46</v>
      </c>
      <c r="AA72" s="5" t="s">
        <v>46</v>
      </c>
      <c r="AB72" s="4" t="s">
        <v>289</v>
      </c>
      <c r="AC72" s="4" t="s">
        <v>46</v>
      </c>
      <c r="AD72" s="5">
        <v>0</v>
      </c>
      <c r="AE72" s="4" t="s">
        <v>290</v>
      </c>
      <c r="AF72" s="3">
        <v>44197</v>
      </c>
      <c r="AG72" s="4" t="s">
        <v>46</v>
      </c>
      <c r="AH72" s="4" t="s">
        <v>46</v>
      </c>
      <c r="AI72" s="4" t="s">
        <v>46</v>
      </c>
      <c r="AJ72" s="4" t="s">
        <v>46</v>
      </c>
      <c r="AK72" s="4" t="s">
        <v>46</v>
      </c>
      <c r="AL72" s="4" t="s">
        <v>46</v>
      </c>
      <c r="AM72" s="4" t="s">
        <v>46</v>
      </c>
      <c r="AN72" s="4" t="s">
        <v>46</v>
      </c>
      <c r="AO72" s="4" t="s">
        <v>46</v>
      </c>
      <c r="AP72" s="4" t="s">
        <v>46</v>
      </c>
    </row>
    <row r="73" spans="1:42" x14ac:dyDescent="0.2">
      <c r="A73" s="2">
        <v>1891456</v>
      </c>
      <c r="B73" s="3">
        <v>45721</v>
      </c>
      <c r="C73" s="4" t="s">
        <v>278</v>
      </c>
      <c r="D73" s="2">
        <v>1509744</v>
      </c>
      <c r="E73" s="4" t="s">
        <v>291</v>
      </c>
      <c r="F73" s="4" t="s">
        <v>292</v>
      </c>
      <c r="G73" s="4" t="s">
        <v>46</v>
      </c>
      <c r="H73" s="4" t="s">
        <v>46</v>
      </c>
      <c r="I73" s="4" t="s">
        <v>46</v>
      </c>
      <c r="J73" s="4" t="s">
        <v>281</v>
      </c>
      <c r="K73" s="4" t="s">
        <v>282</v>
      </c>
      <c r="L73" s="3">
        <v>45748</v>
      </c>
      <c r="M73" s="4" t="s">
        <v>87</v>
      </c>
      <c r="N73" s="4" t="s">
        <v>46</v>
      </c>
      <c r="O73" s="4" t="s">
        <v>130</v>
      </c>
      <c r="P73" s="4" t="s">
        <v>130</v>
      </c>
      <c r="Q73" s="2">
        <v>1</v>
      </c>
      <c r="R73" s="2">
        <v>60</v>
      </c>
      <c r="S73" s="4" t="s">
        <v>283</v>
      </c>
      <c r="T73" s="4" t="s">
        <v>46</v>
      </c>
      <c r="U73" s="4" t="s">
        <v>46</v>
      </c>
      <c r="V73" s="5">
        <v>10</v>
      </c>
      <c r="W73" s="5">
        <v>13.93</v>
      </c>
      <c r="X73" s="5">
        <v>100</v>
      </c>
      <c r="Y73" s="5">
        <v>1.39</v>
      </c>
      <c r="Z73" s="4" t="s">
        <v>46</v>
      </c>
      <c r="AA73" s="5" t="s">
        <v>46</v>
      </c>
      <c r="AB73" s="4" t="s">
        <v>289</v>
      </c>
      <c r="AC73" s="4" t="s">
        <v>46</v>
      </c>
      <c r="AD73" s="5">
        <v>0</v>
      </c>
      <c r="AE73" s="4" t="s">
        <v>290</v>
      </c>
      <c r="AF73" s="3">
        <v>45277</v>
      </c>
      <c r="AG73" s="4" t="s">
        <v>46</v>
      </c>
      <c r="AH73" s="4" t="s">
        <v>46</v>
      </c>
      <c r="AI73" s="4" t="s">
        <v>46</v>
      </c>
      <c r="AJ73" s="4" t="s">
        <v>46</v>
      </c>
      <c r="AK73" s="4" t="s">
        <v>46</v>
      </c>
      <c r="AL73" s="4" t="s">
        <v>46</v>
      </c>
      <c r="AM73" s="4" t="s">
        <v>46</v>
      </c>
      <c r="AN73" s="4" t="s">
        <v>46</v>
      </c>
      <c r="AO73" s="4" t="s">
        <v>46</v>
      </c>
      <c r="AP73" s="4" t="s">
        <v>46</v>
      </c>
    </row>
    <row r="74" spans="1:42" x14ac:dyDescent="0.2">
      <c r="A74" s="2">
        <v>1891456</v>
      </c>
      <c r="B74" s="3">
        <v>45721</v>
      </c>
      <c r="C74" s="4" t="s">
        <v>278</v>
      </c>
      <c r="D74" s="2">
        <v>1509744</v>
      </c>
      <c r="E74" s="4" t="s">
        <v>293</v>
      </c>
      <c r="F74" s="4" t="s">
        <v>294</v>
      </c>
      <c r="G74" s="4" t="s">
        <v>46</v>
      </c>
      <c r="H74" s="4" t="s">
        <v>46</v>
      </c>
      <c r="I74" s="4" t="s">
        <v>46</v>
      </c>
      <c r="J74" s="4" t="s">
        <v>281</v>
      </c>
      <c r="K74" s="4" t="s">
        <v>282</v>
      </c>
      <c r="L74" s="3">
        <v>45748</v>
      </c>
      <c r="M74" s="4" t="s">
        <v>87</v>
      </c>
      <c r="N74" s="4" t="s">
        <v>46</v>
      </c>
      <c r="O74" s="4" t="s">
        <v>130</v>
      </c>
      <c r="P74" s="4" t="s">
        <v>130</v>
      </c>
      <c r="Q74" s="2">
        <v>1</v>
      </c>
      <c r="R74" s="2">
        <v>60</v>
      </c>
      <c r="S74" s="4" t="s">
        <v>283</v>
      </c>
      <c r="T74" s="4" t="s">
        <v>46</v>
      </c>
      <c r="U74" s="4" t="s">
        <v>46</v>
      </c>
      <c r="V74" s="5">
        <v>10</v>
      </c>
      <c r="W74" s="5">
        <v>13.93</v>
      </c>
      <c r="X74" s="5">
        <v>100</v>
      </c>
      <c r="Y74" s="5">
        <v>1.39</v>
      </c>
      <c r="Z74" s="4" t="s">
        <v>46</v>
      </c>
      <c r="AA74" s="5" t="s">
        <v>46</v>
      </c>
      <c r="AB74" s="4" t="s">
        <v>289</v>
      </c>
      <c r="AC74" s="4" t="s">
        <v>46</v>
      </c>
      <c r="AD74" s="5">
        <v>0</v>
      </c>
      <c r="AE74" s="4" t="s">
        <v>290</v>
      </c>
      <c r="AF74" s="3">
        <v>45323</v>
      </c>
      <c r="AG74" s="4" t="s">
        <v>46</v>
      </c>
      <c r="AH74" s="4" t="s">
        <v>46</v>
      </c>
      <c r="AI74" s="4" t="s">
        <v>46</v>
      </c>
      <c r="AJ74" s="4" t="s">
        <v>46</v>
      </c>
      <c r="AK74" s="4" t="s">
        <v>46</v>
      </c>
      <c r="AL74" s="4" t="s">
        <v>46</v>
      </c>
      <c r="AM74" s="4" t="s">
        <v>46</v>
      </c>
      <c r="AN74" s="4" t="s">
        <v>46</v>
      </c>
      <c r="AO74" s="4" t="s">
        <v>46</v>
      </c>
      <c r="AP74" s="4" t="s">
        <v>46</v>
      </c>
    </row>
    <row r="75" spans="1:42" x14ac:dyDescent="0.2">
      <c r="A75" s="2">
        <v>1891456</v>
      </c>
      <c r="B75" s="3">
        <v>45721</v>
      </c>
      <c r="C75" s="4" t="s">
        <v>278</v>
      </c>
      <c r="D75" s="2">
        <v>1509744</v>
      </c>
      <c r="E75" s="4" t="s">
        <v>295</v>
      </c>
      <c r="F75" s="4" t="s">
        <v>296</v>
      </c>
      <c r="G75" s="4" t="s">
        <v>46</v>
      </c>
      <c r="H75" s="4" t="s">
        <v>46</v>
      </c>
      <c r="I75" s="4" t="s">
        <v>46</v>
      </c>
      <c r="J75" s="4" t="s">
        <v>281</v>
      </c>
      <c r="K75" s="4" t="s">
        <v>282</v>
      </c>
      <c r="L75" s="3">
        <v>45748</v>
      </c>
      <c r="M75" s="4" t="s">
        <v>87</v>
      </c>
      <c r="N75" s="4" t="s">
        <v>46</v>
      </c>
      <c r="O75" s="4" t="s">
        <v>130</v>
      </c>
      <c r="P75" s="4" t="s">
        <v>130</v>
      </c>
      <c r="Q75" s="2">
        <v>4</v>
      </c>
      <c r="R75" s="2">
        <v>60</v>
      </c>
      <c r="S75" s="4" t="s">
        <v>283</v>
      </c>
      <c r="T75" s="4" t="s">
        <v>46</v>
      </c>
      <c r="U75" s="4" t="s">
        <v>46</v>
      </c>
      <c r="V75" s="5">
        <v>10</v>
      </c>
      <c r="W75" s="5">
        <v>46.8</v>
      </c>
      <c r="X75" s="5">
        <v>100</v>
      </c>
      <c r="Y75" s="5">
        <v>4.68</v>
      </c>
      <c r="Z75" s="4" t="s">
        <v>46</v>
      </c>
      <c r="AA75" s="5" t="s">
        <v>46</v>
      </c>
      <c r="AB75" s="4" t="s">
        <v>289</v>
      </c>
      <c r="AC75" s="4" t="s">
        <v>46</v>
      </c>
      <c r="AD75" s="5">
        <v>0</v>
      </c>
      <c r="AE75" s="4" t="s">
        <v>290</v>
      </c>
      <c r="AF75" s="3">
        <v>45328</v>
      </c>
      <c r="AG75" s="4" t="s">
        <v>46</v>
      </c>
      <c r="AH75" s="4" t="s">
        <v>46</v>
      </c>
      <c r="AI75" s="4" t="s">
        <v>46</v>
      </c>
      <c r="AJ75" s="4" t="s">
        <v>46</v>
      </c>
      <c r="AK75" s="4" t="s">
        <v>46</v>
      </c>
      <c r="AL75" s="4" t="s">
        <v>46</v>
      </c>
      <c r="AM75" s="4" t="s">
        <v>46</v>
      </c>
      <c r="AN75" s="4" t="s">
        <v>46</v>
      </c>
      <c r="AO75" s="4" t="s">
        <v>46</v>
      </c>
      <c r="AP75" s="4" t="s">
        <v>46</v>
      </c>
    </row>
    <row r="76" spans="1:42" x14ac:dyDescent="0.2">
      <c r="A76" s="2">
        <v>1891456</v>
      </c>
      <c r="B76" s="3">
        <v>45721</v>
      </c>
      <c r="C76" s="4" t="s">
        <v>278</v>
      </c>
      <c r="D76" s="2">
        <v>1509744</v>
      </c>
      <c r="E76" s="4" t="s">
        <v>297</v>
      </c>
      <c r="F76" s="4" t="s">
        <v>298</v>
      </c>
      <c r="G76" s="4" t="s">
        <v>46</v>
      </c>
      <c r="H76" s="4" t="s">
        <v>46</v>
      </c>
      <c r="I76" s="4" t="s">
        <v>46</v>
      </c>
      <c r="J76" s="4" t="s">
        <v>281</v>
      </c>
      <c r="K76" s="4" t="s">
        <v>282</v>
      </c>
      <c r="L76" s="3">
        <v>45748</v>
      </c>
      <c r="M76" s="4" t="s">
        <v>87</v>
      </c>
      <c r="N76" s="4" t="s">
        <v>46</v>
      </c>
      <c r="O76" s="4" t="s">
        <v>50</v>
      </c>
      <c r="P76" s="4" t="s">
        <v>130</v>
      </c>
      <c r="Q76" s="2">
        <v>1</v>
      </c>
      <c r="R76" s="2">
        <v>60</v>
      </c>
      <c r="S76" s="4" t="s">
        <v>283</v>
      </c>
      <c r="T76" s="4" t="s">
        <v>46</v>
      </c>
      <c r="U76" s="4" t="s">
        <v>46</v>
      </c>
      <c r="V76" s="5">
        <v>10</v>
      </c>
      <c r="W76" s="5">
        <v>13.93</v>
      </c>
      <c r="X76" s="5">
        <v>100</v>
      </c>
      <c r="Y76" s="5">
        <v>1.39</v>
      </c>
      <c r="Z76" s="4" t="s">
        <v>46</v>
      </c>
      <c r="AA76" s="5" t="s">
        <v>46</v>
      </c>
      <c r="AB76" s="4" t="s">
        <v>284</v>
      </c>
      <c r="AC76" s="4" t="s">
        <v>46</v>
      </c>
      <c r="AD76" s="5">
        <v>0</v>
      </c>
      <c r="AE76" s="4" t="s">
        <v>285</v>
      </c>
      <c r="AF76" s="3">
        <v>45614</v>
      </c>
      <c r="AG76" s="4" t="s">
        <v>46</v>
      </c>
      <c r="AH76" s="4" t="s">
        <v>46</v>
      </c>
      <c r="AI76" s="4" t="s">
        <v>46</v>
      </c>
      <c r="AJ76" s="4" t="s">
        <v>46</v>
      </c>
      <c r="AK76" s="4" t="s">
        <v>46</v>
      </c>
      <c r="AL76" s="4" t="s">
        <v>46</v>
      </c>
      <c r="AM76" s="4" t="s">
        <v>46</v>
      </c>
      <c r="AN76" s="4" t="s">
        <v>46</v>
      </c>
      <c r="AO76" s="4" t="s">
        <v>46</v>
      </c>
      <c r="AP76" s="4" t="s">
        <v>46</v>
      </c>
    </row>
    <row r="77" spans="1:42" x14ac:dyDescent="0.2">
      <c r="A77" s="2">
        <v>1891456</v>
      </c>
      <c r="B77" s="3">
        <v>45721</v>
      </c>
      <c r="C77" s="4" t="s">
        <v>278</v>
      </c>
      <c r="D77" s="2">
        <v>1509744</v>
      </c>
      <c r="E77" s="4" t="s">
        <v>299</v>
      </c>
      <c r="F77" s="4" t="s">
        <v>300</v>
      </c>
      <c r="G77" s="4" t="s">
        <v>46</v>
      </c>
      <c r="H77" s="4" t="s">
        <v>46</v>
      </c>
      <c r="I77" s="4" t="s">
        <v>46</v>
      </c>
      <c r="J77" s="4" t="s">
        <v>281</v>
      </c>
      <c r="K77" s="4" t="s">
        <v>282</v>
      </c>
      <c r="L77" s="3">
        <v>45748</v>
      </c>
      <c r="M77" s="4" t="s">
        <v>87</v>
      </c>
      <c r="N77" s="4" t="s">
        <v>46</v>
      </c>
      <c r="O77" s="4" t="s">
        <v>50</v>
      </c>
      <c r="P77" s="4" t="s">
        <v>130</v>
      </c>
      <c r="Q77" s="2">
        <v>1</v>
      </c>
      <c r="R77" s="2">
        <v>3</v>
      </c>
      <c r="S77" s="4" t="s">
        <v>288</v>
      </c>
      <c r="T77" s="4" t="s">
        <v>46</v>
      </c>
      <c r="U77" s="4" t="s">
        <v>46</v>
      </c>
      <c r="V77" s="5">
        <v>10</v>
      </c>
      <c r="W77" s="5">
        <v>24.54</v>
      </c>
      <c r="X77" s="5">
        <v>100</v>
      </c>
      <c r="Y77" s="5">
        <v>2.4500000000000002</v>
      </c>
      <c r="Z77" s="4" t="s">
        <v>46</v>
      </c>
      <c r="AA77" s="5" t="s">
        <v>46</v>
      </c>
      <c r="AB77" s="4" t="s">
        <v>284</v>
      </c>
      <c r="AC77" s="4" t="s">
        <v>46</v>
      </c>
      <c r="AD77" s="5">
        <v>0</v>
      </c>
      <c r="AE77" s="4" t="s">
        <v>285</v>
      </c>
      <c r="AF77" s="3">
        <v>45658</v>
      </c>
      <c r="AG77" s="4" t="s">
        <v>46</v>
      </c>
      <c r="AH77" s="4" t="s">
        <v>46</v>
      </c>
      <c r="AI77" s="4" t="s">
        <v>46</v>
      </c>
      <c r="AJ77" s="4" t="s">
        <v>46</v>
      </c>
      <c r="AK77" s="4" t="s">
        <v>46</v>
      </c>
      <c r="AL77" s="4" t="s">
        <v>46</v>
      </c>
      <c r="AM77" s="4" t="s">
        <v>46</v>
      </c>
      <c r="AN77" s="4" t="s">
        <v>46</v>
      </c>
      <c r="AO77" s="4" t="s">
        <v>46</v>
      </c>
      <c r="AP77" s="4" t="s">
        <v>46</v>
      </c>
    </row>
    <row r="78" spans="1:42" x14ac:dyDescent="0.2">
      <c r="A78" s="2">
        <v>1891456</v>
      </c>
      <c r="B78" s="3">
        <v>45721</v>
      </c>
      <c r="C78" s="4" t="s">
        <v>278</v>
      </c>
      <c r="D78" s="2">
        <v>1509744</v>
      </c>
      <c r="E78" s="4" t="s">
        <v>301</v>
      </c>
      <c r="F78" s="4" t="s">
        <v>302</v>
      </c>
      <c r="G78" s="4" t="s">
        <v>46</v>
      </c>
      <c r="H78" s="4" t="s">
        <v>46</v>
      </c>
      <c r="I78" s="4" t="s">
        <v>46</v>
      </c>
      <c r="J78" s="4" t="s">
        <v>281</v>
      </c>
      <c r="K78" s="4" t="s">
        <v>282</v>
      </c>
      <c r="L78" s="3">
        <v>45748</v>
      </c>
      <c r="M78" s="4" t="s">
        <v>87</v>
      </c>
      <c r="N78" s="4" t="s">
        <v>46</v>
      </c>
      <c r="O78" s="4" t="s">
        <v>50</v>
      </c>
      <c r="P78" s="4" t="s">
        <v>130</v>
      </c>
      <c r="Q78" s="2">
        <v>2</v>
      </c>
      <c r="R78" s="2">
        <v>3</v>
      </c>
      <c r="S78" s="4" t="s">
        <v>288</v>
      </c>
      <c r="T78" s="4" t="s">
        <v>46</v>
      </c>
      <c r="U78" s="4" t="s">
        <v>46</v>
      </c>
      <c r="V78" s="5">
        <v>10</v>
      </c>
      <c r="W78" s="5">
        <v>97.6</v>
      </c>
      <c r="X78" s="5">
        <v>100</v>
      </c>
      <c r="Y78" s="5">
        <v>9.76</v>
      </c>
      <c r="Z78" s="4" t="s">
        <v>46</v>
      </c>
      <c r="AA78" s="5" t="s">
        <v>46</v>
      </c>
      <c r="AB78" s="4" t="s">
        <v>284</v>
      </c>
      <c r="AC78" s="4" t="s">
        <v>46</v>
      </c>
      <c r="AD78" s="5">
        <v>0</v>
      </c>
      <c r="AE78" s="4" t="s">
        <v>285</v>
      </c>
      <c r="AF78" s="3">
        <v>45658</v>
      </c>
      <c r="AG78" s="4" t="s">
        <v>46</v>
      </c>
      <c r="AH78" s="4" t="s">
        <v>46</v>
      </c>
      <c r="AI78" s="4" t="s">
        <v>46</v>
      </c>
      <c r="AJ78" s="4" t="s">
        <v>46</v>
      </c>
      <c r="AK78" s="4" t="s">
        <v>46</v>
      </c>
      <c r="AL78" s="4" t="s">
        <v>46</v>
      </c>
      <c r="AM78" s="4" t="s">
        <v>46</v>
      </c>
      <c r="AN78" s="4" t="s">
        <v>46</v>
      </c>
      <c r="AO78" s="4" t="s">
        <v>46</v>
      </c>
      <c r="AP78" s="4" t="s">
        <v>46</v>
      </c>
    </row>
    <row r="79" spans="1:42" x14ac:dyDescent="0.2">
      <c r="A79" s="2">
        <v>1891456</v>
      </c>
      <c r="B79" s="3">
        <v>45721</v>
      </c>
      <c r="C79" s="4" t="s">
        <v>278</v>
      </c>
      <c r="D79" s="2">
        <v>1509744</v>
      </c>
      <c r="E79" s="4" t="s">
        <v>301</v>
      </c>
      <c r="F79" s="4" t="s">
        <v>303</v>
      </c>
      <c r="G79" s="4" t="s">
        <v>46</v>
      </c>
      <c r="H79" s="4" t="s">
        <v>46</v>
      </c>
      <c r="I79" s="4" t="s">
        <v>46</v>
      </c>
      <c r="J79" s="4" t="s">
        <v>281</v>
      </c>
      <c r="K79" s="4" t="s">
        <v>282</v>
      </c>
      <c r="L79" s="3">
        <v>45748</v>
      </c>
      <c r="M79" s="4" t="s">
        <v>87</v>
      </c>
      <c r="N79" s="4" t="s">
        <v>46</v>
      </c>
      <c r="O79" s="4" t="s">
        <v>50</v>
      </c>
      <c r="P79" s="4" t="s">
        <v>130</v>
      </c>
      <c r="Q79" s="2">
        <v>2</v>
      </c>
      <c r="R79" s="2">
        <v>60</v>
      </c>
      <c r="S79" s="4" t="s">
        <v>283</v>
      </c>
      <c r="T79" s="4" t="s">
        <v>46</v>
      </c>
      <c r="U79" s="4" t="s">
        <v>46</v>
      </c>
      <c r="V79" s="5">
        <v>10</v>
      </c>
      <c r="W79" s="5">
        <v>26.88</v>
      </c>
      <c r="X79" s="5">
        <v>100</v>
      </c>
      <c r="Y79" s="5">
        <v>2.69</v>
      </c>
      <c r="Z79" s="4" t="s">
        <v>46</v>
      </c>
      <c r="AA79" s="5" t="s">
        <v>46</v>
      </c>
      <c r="AB79" s="4" t="s">
        <v>284</v>
      </c>
      <c r="AC79" s="4" t="s">
        <v>46</v>
      </c>
      <c r="AD79" s="5">
        <v>0</v>
      </c>
      <c r="AE79" s="4" t="s">
        <v>285</v>
      </c>
      <c r="AF79" s="3">
        <v>45658</v>
      </c>
      <c r="AG79" s="4" t="s">
        <v>46</v>
      </c>
      <c r="AH79" s="4" t="s">
        <v>46</v>
      </c>
      <c r="AI79" s="4" t="s">
        <v>46</v>
      </c>
      <c r="AJ79" s="4" t="s">
        <v>46</v>
      </c>
      <c r="AK79" s="4" t="s">
        <v>46</v>
      </c>
      <c r="AL79" s="4" t="s">
        <v>46</v>
      </c>
      <c r="AM79" s="4" t="s">
        <v>46</v>
      </c>
      <c r="AN79" s="4" t="s">
        <v>46</v>
      </c>
      <c r="AO79" s="4" t="s">
        <v>46</v>
      </c>
      <c r="AP79" s="4" t="s">
        <v>46</v>
      </c>
    </row>
    <row r="80" spans="1:42" x14ac:dyDescent="0.2">
      <c r="A80" s="2">
        <v>1891456</v>
      </c>
      <c r="B80" s="3">
        <v>45721</v>
      </c>
      <c r="C80" s="4" t="s">
        <v>278</v>
      </c>
      <c r="D80" s="2">
        <v>1509744</v>
      </c>
      <c r="E80" s="4" t="s">
        <v>304</v>
      </c>
      <c r="F80" s="4" t="s">
        <v>305</v>
      </c>
      <c r="G80" s="4" t="s">
        <v>46</v>
      </c>
      <c r="H80" s="4" t="s">
        <v>46</v>
      </c>
      <c r="I80" s="4" t="s">
        <v>46</v>
      </c>
      <c r="J80" s="4" t="s">
        <v>281</v>
      </c>
      <c r="K80" s="4" t="s">
        <v>282</v>
      </c>
      <c r="L80" s="3">
        <v>45748</v>
      </c>
      <c r="M80" s="4" t="s">
        <v>87</v>
      </c>
      <c r="N80" s="4" t="s">
        <v>46</v>
      </c>
      <c r="O80" s="4" t="s">
        <v>50</v>
      </c>
      <c r="P80" s="4" t="s">
        <v>130</v>
      </c>
      <c r="Q80" s="2">
        <v>1</v>
      </c>
      <c r="R80" s="2">
        <v>3</v>
      </c>
      <c r="S80" s="4" t="s">
        <v>288</v>
      </c>
      <c r="T80" s="4" t="s">
        <v>46</v>
      </c>
      <c r="U80" s="4" t="s">
        <v>46</v>
      </c>
      <c r="V80" s="5">
        <v>10</v>
      </c>
      <c r="W80" s="5">
        <v>52.78</v>
      </c>
      <c r="X80" s="5">
        <v>100</v>
      </c>
      <c r="Y80" s="5">
        <v>5.28</v>
      </c>
      <c r="Z80" s="4" t="s">
        <v>46</v>
      </c>
      <c r="AA80" s="5" t="s">
        <v>46</v>
      </c>
      <c r="AB80" s="4" t="s">
        <v>284</v>
      </c>
      <c r="AC80" s="4" t="s">
        <v>46</v>
      </c>
      <c r="AD80" s="5">
        <v>0</v>
      </c>
      <c r="AE80" s="4" t="s">
        <v>285</v>
      </c>
      <c r="AF80" s="3">
        <v>45658</v>
      </c>
      <c r="AG80" s="4" t="s">
        <v>46</v>
      </c>
      <c r="AH80" s="4" t="s">
        <v>46</v>
      </c>
      <c r="AI80" s="4" t="s">
        <v>46</v>
      </c>
      <c r="AJ80" s="4" t="s">
        <v>46</v>
      </c>
      <c r="AK80" s="4" t="s">
        <v>46</v>
      </c>
      <c r="AL80" s="4" t="s">
        <v>46</v>
      </c>
      <c r="AM80" s="4" t="s">
        <v>46</v>
      </c>
      <c r="AN80" s="4" t="s">
        <v>46</v>
      </c>
      <c r="AO80" s="4" t="s">
        <v>46</v>
      </c>
      <c r="AP80" s="4" t="s">
        <v>46</v>
      </c>
    </row>
    <row r="81" spans="1:42" x14ac:dyDescent="0.2">
      <c r="A81" s="2">
        <v>1891456</v>
      </c>
      <c r="B81" s="3">
        <v>45721</v>
      </c>
      <c r="C81" s="4" t="s">
        <v>278</v>
      </c>
      <c r="D81" s="2">
        <v>1509744</v>
      </c>
      <c r="E81" s="4" t="s">
        <v>304</v>
      </c>
      <c r="F81" s="4" t="s">
        <v>306</v>
      </c>
      <c r="G81" s="4" t="s">
        <v>46</v>
      </c>
      <c r="H81" s="4" t="s">
        <v>46</v>
      </c>
      <c r="I81" s="4" t="s">
        <v>46</v>
      </c>
      <c r="J81" s="4" t="s">
        <v>281</v>
      </c>
      <c r="K81" s="4" t="s">
        <v>282</v>
      </c>
      <c r="L81" s="3">
        <v>45748</v>
      </c>
      <c r="M81" s="4" t="s">
        <v>87</v>
      </c>
      <c r="N81" s="4" t="s">
        <v>46</v>
      </c>
      <c r="O81" s="4" t="s">
        <v>50</v>
      </c>
      <c r="P81" s="4" t="s">
        <v>130</v>
      </c>
      <c r="Q81" s="2">
        <v>1</v>
      </c>
      <c r="R81" s="2">
        <v>60</v>
      </c>
      <c r="S81" s="4" t="s">
        <v>283</v>
      </c>
      <c r="T81" s="4" t="s">
        <v>46</v>
      </c>
      <c r="U81" s="4" t="s">
        <v>46</v>
      </c>
      <c r="V81" s="5">
        <v>10</v>
      </c>
      <c r="W81" s="5">
        <v>13.93</v>
      </c>
      <c r="X81" s="5">
        <v>100</v>
      </c>
      <c r="Y81" s="5">
        <v>1.39</v>
      </c>
      <c r="Z81" s="4" t="s">
        <v>46</v>
      </c>
      <c r="AA81" s="5" t="s">
        <v>46</v>
      </c>
      <c r="AB81" s="4" t="s">
        <v>284</v>
      </c>
      <c r="AC81" s="4" t="s">
        <v>46</v>
      </c>
      <c r="AD81" s="5">
        <v>0</v>
      </c>
      <c r="AE81" s="4" t="s">
        <v>285</v>
      </c>
      <c r="AF81" s="3">
        <v>45658</v>
      </c>
      <c r="AG81" s="4" t="s">
        <v>46</v>
      </c>
      <c r="AH81" s="4" t="s">
        <v>46</v>
      </c>
      <c r="AI81" s="4" t="s">
        <v>46</v>
      </c>
      <c r="AJ81" s="4" t="s">
        <v>46</v>
      </c>
      <c r="AK81" s="4" t="s">
        <v>46</v>
      </c>
      <c r="AL81" s="4" t="s">
        <v>46</v>
      </c>
      <c r="AM81" s="4" t="s">
        <v>46</v>
      </c>
      <c r="AN81" s="4" t="s">
        <v>46</v>
      </c>
      <c r="AO81" s="4" t="s">
        <v>46</v>
      </c>
      <c r="AP81" s="4" t="s">
        <v>46</v>
      </c>
    </row>
    <row r="82" spans="1:42" x14ac:dyDescent="0.2">
      <c r="A82" s="2">
        <v>1891456</v>
      </c>
      <c r="B82" s="3">
        <v>45721</v>
      </c>
      <c r="C82" s="4" t="s">
        <v>278</v>
      </c>
      <c r="D82" s="2">
        <v>1509744</v>
      </c>
      <c r="E82" s="4" t="s">
        <v>307</v>
      </c>
      <c r="F82" s="4" t="s">
        <v>308</v>
      </c>
      <c r="G82" s="4" t="s">
        <v>46</v>
      </c>
      <c r="H82" s="4" t="s">
        <v>46</v>
      </c>
      <c r="I82" s="4" t="s">
        <v>46</v>
      </c>
      <c r="J82" s="4" t="s">
        <v>281</v>
      </c>
      <c r="K82" s="4" t="s">
        <v>282</v>
      </c>
      <c r="L82" s="3">
        <v>45748</v>
      </c>
      <c r="M82" s="4" t="s">
        <v>87</v>
      </c>
      <c r="N82" s="4" t="s">
        <v>46</v>
      </c>
      <c r="O82" s="4" t="s">
        <v>50</v>
      </c>
      <c r="P82" s="4" t="s">
        <v>130</v>
      </c>
      <c r="Q82" s="2">
        <v>1</v>
      </c>
      <c r="R82" s="2">
        <v>3</v>
      </c>
      <c r="S82" s="4" t="s">
        <v>288</v>
      </c>
      <c r="T82" s="4" t="s">
        <v>46</v>
      </c>
      <c r="U82" s="4" t="s">
        <v>46</v>
      </c>
      <c r="V82" s="5">
        <v>10</v>
      </c>
      <c r="W82" s="5">
        <v>24.54</v>
      </c>
      <c r="X82" s="5">
        <v>100</v>
      </c>
      <c r="Y82" s="5">
        <v>2.4500000000000002</v>
      </c>
      <c r="Z82" s="4" t="s">
        <v>46</v>
      </c>
      <c r="AA82" s="5" t="s">
        <v>46</v>
      </c>
      <c r="AB82" s="4" t="s">
        <v>284</v>
      </c>
      <c r="AC82" s="4" t="s">
        <v>46</v>
      </c>
      <c r="AD82" s="5">
        <v>0</v>
      </c>
      <c r="AE82" s="4" t="s">
        <v>285</v>
      </c>
      <c r="AF82" s="3">
        <v>45646</v>
      </c>
      <c r="AG82" s="4" t="s">
        <v>46</v>
      </c>
      <c r="AH82" s="4" t="s">
        <v>46</v>
      </c>
      <c r="AI82" s="4" t="s">
        <v>46</v>
      </c>
      <c r="AJ82" s="4" t="s">
        <v>46</v>
      </c>
      <c r="AK82" s="4" t="s">
        <v>46</v>
      </c>
      <c r="AL82" s="4" t="s">
        <v>46</v>
      </c>
      <c r="AM82" s="4" t="s">
        <v>46</v>
      </c>
      <c r="AN82" s="4" t="s">
        <v>46</v>
      </c>
      <c r="AO82" s="4" t="s">
        <v>46</v>
      </c>
      <c r="AP82" s="4" t="s">
        <v>46</v>
      </c>
    </row>
    <row r="83" spans="1:42" x14ac:dyDescent="0.2">
      <c r="A83" s="2">
        <v>1891456</v>
      </c>
      <c r="B83" s="3">
        <v>45721</v>
      </c>
      <c r="C83" s="4" t="s">
        <v>278</v>
      </c>
      <c r="D83" s="2">
        <v>1509744</v>
      </c>
      <c r="E83" s="4" t="s">
        <v>309</v>
      </c>
      <c r="F83" s="4" t="s">
        <v>310</v>
      </c>
      <c r="G83" s="4" t="s">
        <v>46</v>
      </c>
      <c r="H83" s="4" t="s">
        <v>46</v>
      </c>
      <c r="I83" s="4" t="s">
        <v>46</v>
      </c>
      <c r="J83" s="4" t="s">
        <v>281</v>
      </c>
      <c r="K83" s="4" t="s">
        <v>282</v>
      </c>
      <c r="L83" s="3">
        <v>45748</v>
      </c>
      <c r="M83" s="4" t="s">
        <v>87</v>
      </c>
      <c r="N83" s="4" t="s">
        <v>46</v>
      </c>
      <c r="O83" s="4" t="s">
        <v>50</v>
      </c>
      <c r="P83" s="4" t="s">
        <v>130</v>
      </c>
      <c r="Q83" s="2">
        <v>1</v>
      </c>
      <c r="R83" s="2">
        <v>60</v>
      </c>
      <c r="S83" s="4" t="s">
        <v>283</v>
      </c>
      <c r="T83" s="4" t="s">
        <v>46</v>
      </c>
      <c r="U83" s="4" t="s">
        <v>46</v>
      </c>
      <c r="V83" s="5">
        <v>10</v>
      </c>
      <c r="W83" s="5">
        <v>13.93</v>
      </c>
      <c r="X83" s="5">
        <v>100</v>
      </c>
      <c r="Y83" s="5">
        <v>1.39</v>
      </c>
      <c r="Z83" s="4" t="s">
        <v>46</v>
      </c>
      <c r="AA83" s="5" t="s">
        <v>46</v>
      </c>
      <c r="AB83" s="4" t="s">
        <v>284</v>
      </c>
      <c r="AC83" s="4" t="s">
        <v>46</v>
      </c>
      <c r="AD83" s="5">
        <v>0</v>
      </c>
      <c r="AE83" s="4" t="s">
        <v>285</v>
      </c>
      <c r="AF83" s="3">
        <v>45658</v>
      </c>
      <c r="AG83" s="4" t="s">
        <v>46</v>
      </c>
      <c r="AH83" s="4" t="s">
        <v>46</v>
      </c>
      <c r="AI83" s="4" t="s">
        <v>46</v>
      </c>
      <c r="AJ83" s="4" t="s">
        <v>46</v>
      </c>
      <c r="AK83" s="4" t="s">
        <v>46</v>
      </c>
      <c r="AL83" s="4" t="s">
        <v>46</v>
      </c>
      <c r="AM83" s="4" t="s">
        <v>46</v>
      </c>
      <c r="AN83" s="4" t="s">
        <v>46</v>
      </c>
      <c r="AO83" s="4" t="s">
        <v>46</v>
      </c>
      <c r="AP83" s="4" t="s">
        <v>46</v>
      </c>
    </row>
    <row r="84" spans="1:42" x14ac:dyDescent="0.2">
      <c r="A84" s="2">
        <v>1891456</v>
      </c>
      <c r="B84" s="3">
        <v>45721</v>
      </c>
      <c r="C84" s="4" t="s">
        <v>311</v>
      </c>
      <c r="D84" s="2">
        <v>1509841</v>
      </c>
      <c r="E84" s="4" t="s">
        <v>312</v>
      </c>
      <c r="F84" s="4" t="s">
        <v>313</v>
      </c>
      <c r="G84" s="4" t="s">
        <v>46</v>
      </c>
      <c r="H84" s="4" t="s">
        <v>46</v>
      </c>
      <c r="I84" s="4" t="s">
        <v>46</v>
      </c>
      <c r="J84" s="4" t="s">
        <v>314</v>
      </c>
      <c r="K84" s="4" t="s">
        <v>315</v>
      </c>
      <c r="L84" s="3">
        <v>45717</v>
      </c>
      <c r="M84" s="4" t="s">
        <v>49</v>
      </c>
      <c r="N84" s="4" t="s">
        <v>46</v>
      </c>
      <c r="O84" s="4" t="s">
        <v>50</v>
      </c>
      <c r="P84" s="4" t="s">
        <v>130</v>
      </c>
      <c r="Q84" s="2">
        <v>3</v>
      </c>
      <c r="R84" s="2">
        <v>3</v>
      </c>
      <c r="S84" s="4" t="s">
        <v>288</v>
      </c>
      <c r="T84" s="4" t="s">
        <v>46</v>
      </c>
      <c r="U84" s="4" t="s">
        <v>46</v>
      </c>
      <c r="V84" s="5">
        <v>10</v>
      </c>
      <c r="W84" s="5">
        <v>191.1</v>
      </c>
      <c r="X84" s="5">
        <v>100</v>
      </c>
      <c r="Y84" s="5">
        <v>19.11</v>
      </c>
      <c r="Z84" s="4" t="s">
        <v>46</v>
      </c>
      <c r="AA84" s="5" t="s">
        <v>46</v>
      </c>
      <c r="AB84" s="4" t="s">
        <v>66</v>
      </c>
      <c r="AC84" s="4" t="s">
        <v>46</v>
      </c>
      <c r="AD84" s="5">
        <v>0</v>
      </c>
      <c r="AE84" s="4" t="s">
        <v>67</v>
      </c>
      <c r="AF84" s="3">
        <v>45658</v>
      </c>
      <c r="AG84" s="4" t="s">
        <v>46</v>
      </c>
      <c r="AH84" s="4" t="s">
        <v>46</v>
      </c>
      <c r="AI84" s="4" t="s">
        <v>46</v>
      </c>
      <c r="AJ84" s="4" t="s">
        <v>46</v>
      </c>
      <c r="AK84" s="4" t="s">
        <v>46</v>
      </c>
      <c r="AL84" s="4" t="s">
        <v>46</v>
      </c>
      <c r="AM84" s="4" t="s">
        <v>46</v>
      </c>
      <c r="AN84" s="4" t="s">
        <v>46</v>
      </c>
      <c r="AO84" s="4" t="s">
        <v>46</v>
      </c>
      <c r="AP84" s="4" t="s">
        <v>46</v>
      </c>
    </row>
    <row r="85" spans="1:42" x14ac:dyDescent="0.2">
      <c r="A85" s="2">
        <v>1891456</v>
      </c>
      <c r="B85" s="3">
        <v>45721</v>
      </c>
      <c r="C85" s="4" t="s">
        <v>311</v>
      </c>
      <c r="D85" s="2">
        <v>1509841</v>
      </c>
      <c r="E85" s="4" t="s">
        <v>312</v>
      </c>
      <c r="F85" s="4" t="s">
        <v>313</v>
      </c>
      <c r="G85" s="4" t="s">
        <v>46</v>
      </c>
      <c r="H85" s="4" t="s">
        <v>46</v>
      </c>
      <c r="I85" s="4" t="s">
        <v>46</v>
      </c>
      <c r="J85" s="4" t="s">
        <v>314</v>
      </c>
      <c r="K85" s="4" t="s">
        <v>315</v>
      </c>
      <c r="L85" s="3">
        <v>45717</v>
      </c>
      <c r="M85" s="4" t="s">
        <v>49</v>
      </c>
      <c r="N85" s="4" t="s">
        <v>46</v>
      </c>
      <c r="O85" s="4" t="s">
        <v>50</v>
      </c>
      <c r="P85" s="4" t="s">
        <v>130</v>
      </c>
      <c r="Q85" s="2">
        <v>2</v>
      </c>
      <c r="R85" s="2">
        <v>60</v>
      </c>
      <c r="S85" s="4" t="s">
        <v>283</v>
      </c>
      <c r="T85" s="4" t="s">
        <v>46</v>
      </c>
      <c r="U85" s="4" t="s">
        <v>46</v>
      </c>
      <c r="V85" s="5">
        <v>10</v>
      </c>
      <c r="W85" s="5">
        <v>28.17</v>
      </c>
      <c r="X85" s="5">
        <v>100</v>
      </c>
      <c r="Y85" s="5">
        <v>2.82</v>
      </c>
      <c r="Z85" s="4" t="s">
        <v>46</v>
      </c>
      <c r="AA85" s="5" t="s">
        <v>46</v>
      </c>
      <c r="AB85" s="4" t="s">
        <v>66</v>
      </c>
      <c r="AC85" s="4" t="s">
        <v>46</v>
      </c>
      <c r="AD85" s="5">
        <v>0</v>
      </c>
      <c r="AE85" s="4" t="s">
        <v>67</v>
      </c>
      <c r="AF85" s="3">
        <v>45658</v>
      </c>
      <c r="AG85" s="4" t="s">
        <v>46</v>
      </c>
      <c r="AH85" s="4" t="s">
        <v>46</v>
      </c>
      <c r="AI85" s="4" t="s">
        <v>46</v>
      </c>
      <c r="AJ85" s="4" t="s">
        <v>46</v>
      </c>
      <c r="AK85" s="4" t="s">
        <v>46</v>
      </c>
      <c r="AL85" s="4" t="s">
        <v>46</v>
      </c>
      <c r="AM85" s="4" t="s">
        <v>46</v>
      </c>
      <c r="AN85" s="4" t="s">
        <v>46</v>
      </c>
      <c r="AO85" s="4" t="s">
        <v>46</v>
      </c>
      <c r="AP85" s="4" t="s">
        <v>46</v>
      </c>
    </row>
    <row r="86" spans="1:42" x14ac:dyDescent="0.2">
      <c r="A86" s="2">
        <v>1891456</v>
      </c>
      <c r="B86" s="3">
        <v>45721</v>
      </c>
      <c r="C86" s="4" t="s">
        <v>311</v>
      </c>
      <c r="D86" s="2">
        <v>1509841</v>
      </c>
      <c r="E86" s="4" t="s">
        <v>316</v>
      </c>
      <c r="F86" s="4" t="s">
        <v>317</v>
      </c>
      <c r="G86" s="4" t="s">
        <v>46</v>
      </c>
      <c r="H86" s="4" t="s">
        <v>46</v>
      </c>
      <c r="I86" s="4" t="s">
        <v>46</v>
      </c>
      <c r="J86" s="4" t="s">
        <v>314</v>
      </c>
      <c r="K86" s="4" t="s">
        <v>315</v>
      </c>
      <c r="L86" s="3">
        <v>45717</v>
      </c>
      <c r="M86" s="4" t="s">
        <v>49</v>
      </c>
      <c r="N86" s="4" t="s">
        <v>46</v>
      </c>
      <c r="O86" s="4" t="s">
        <v>50</v>
      </c>
      <c r="P86" s="4" t="s">
        <v>130</v>
      </c>
      <c r="Q86" s="2">
        <v>9</v>
      </c>
      <c r="R86" s="2">
        <v>3</v>
      </c>
      <c r="S86" s="4" t="s">
        <v>288</v>
      </c>
      <c r="T86" s="4" t="s">
        <v>46</v>
      </c>
      <c r="U86" s="4" t="s">
        <v>46</v>
      </c>
      <c r="V86" s="5">
        <v>10</v>
      </c>
      <c r="W86" s="5">
        <v>378.75</v>
      </c>
      <c r="X86" s="5">
        <v>100</v>
      </c>
      <c r="Y86" s="5">
        <v>37.880000000000003</v>
      </c>
      <c r="Z86" s="4" t="s">
        <v>46</v>
      </c>
      <c r="AA86" s="5" t="s">
        <v>46</v>
      </c>
      <c r="AB86" s="4" t="s">
        <v>66</v>
      </c>
      <c r="AC86" s="4" t="s">
        <v>46</v>
      </c>
      <c r="AD86" s="5">
        <v>0</v>
      </c>
      <c r="AE86" s="4" t="s">
        <v>67</v>
      </c>
      <c r="AF86" s="3">
        <v>45658</v>
      </c>
      <c r="AG86" s="4" t="s">
        <v>46</v>
      </c>
      <c r="AH86" s="4" t="s">
        <v>46</v>
      </c>
      <c r="AI86" s="4" t="s">
        <v>46</v>
      </c>
      <c r="AJ86" s="4" t="s">
        <v>46</v>
      </c>
      <c r="AK86" s="4" t="s">
        <v>46</v>
      </c>
      <c r="AL86" s="4" t="s">
        <v>46</v>
      </c>
      <c r="AM86" s="4" t="s">
        <v>46</v>
      </c>
      <c r="AN86" s="4" t="s">
        <v>46</v>
      </c>
      <c r="AO86" s="4" t="s">
        <v>46</v>
      </c>
      <c r="AP86" s="4" t="s">
        <v>46</v>
      </c>
    </row>
    <row r="87" spans="1:42" x14ac:dyDescent="0.2">
      <c r="A87" s="2">
        <v>1891456</v>
      </c>
      <c r="B87" s="3">
        <v>45721</v>
      </c>
      <c r="C87" s="4" t="s">
        <v>311</v>
      </c>
      <c r="D87" s="2">
        <v>1509841</v>
      </c>
      <c r="E87" s="4" t="s">
        <v>316</v>
      </c>
      <c r="F87" s="4" t="s">
        <v>317</v>
      </c>
      <c r="G87" s="4" t="s">
        <v>46</v>
      </c>
      <c r="H87" s="4" t="s">
        <v>46</v>
      </c>
      <c r="I87" s="4" t="s">
        <v>46</v>
      </c>
      <c r="J87" s="4" t="s">
        <v>314</v>
      </c>
      <c r="K87" s="4" t="s">
        <v>315</v>
      </c>
      <c r="L87" s="3">
        <v>45717</v>
      </c>
      <c r="M87" s="4" t="s">
        <v>49</v>
      </c>
      <c r="N87" s="4" t="s">
        <v>46</v>
      </c>
      <c r="O87" s="4" t="s">
        <v>50</v>
      </c>
      <c r="P87" s="4" t="s">
        <v>130</v>
      </c>
      <c r="Q87" s="2">
        <v>9</v>
      </c>
      <c r="R87" s="2">
        <v>60</v>
      </c>
      <c r="S87" s="4" t="s">
        <v>283</v>
      </c>
      <c r="T87" s="4" t="s">
        <v>46</v>
      </c>
      <c r="U87" s="4" t="s">
        <v>46</v>
      </c>
      <c r="V87" s="5">
        <v>10</v>
      </c>
      <c r="W87" s="5">
        <v>77.77</v>
      </c>
      <c r="X87" s="5">
        <v>100</v>
      </c>
      <c r="Y87" s="5">
        <v>7.78</v>
      </c>
      <c r="Z87" s="4" t="s">
        <v>46</v>
      </c>
      <c r="AA87" s="5" t="s">
        <v>46</v>
      </c>
      <c r="AB87" s="4" t="s">
        <v>66</v>
      </c>
      <c r="AC87" s="4" t="s">
        <v>46</v>
      </c>
      <c r="AD87" s="5">
        <v>0</v>
      </c>
      <c r="AE87" s="4" t="s">
        <v>67</v>
      </c>
      <c r="AF87" s="3">
        <v>45658</v>
      </c>
      <c r="AG87" s="4" t="s">
        <v>46</v>
      </c>
      <c r="AH87" s="4" t="s">
        <v>46</v>
      </c>
      <c r="AI87" s="4" t="s">
        <v>46</v>
      </c>
      <c r="AJ87" s="4" t="s">
        <v>46</v>
      </c>
      <c r="AK87" s="4" t="s">
        <v>46</v>
      </c>
      <c r="AL87" s="4" t="s">
        <v>46</v>
      </c>
      <c r="AM87" s="4" t="s">
        <v>46</v>
      </c>
      <c r="AN87" s="4" t="s">
        <v>46</v>
      </c>
      <c r="AO87" s="4" t="s">
        <v>46</v>
      </c>
      <c r="AP87" s="4" t="s">
        <v>46</v>
      </c>
    </row>
    <row r="88" spans="1:42" x14ac:dyDescent="0.2">
      <c r="A88" s="2">
        <v>1891456</v>
      </c>
      <c r="B88" s="3">
        <v>45721</v>
      </c>
      <c r="C88" s="4" t="s">
        <v>311</v>
      </c>
      <c r="D88" s="2">
        <v>1509841</v>
      </c>
      <c r="E88" s="4" t="s">
        <v>318</v>
      </c>
      <c r="F88" s="4" t="s">
        <v>319</v>
      </c>
      <c r="G88" s="4" t="s">
        <v>46</v>
      </c>
      <c r="H88" s="4" t="s">
        <v>46</v>
      </c>
      <c r="I88" s="4" t="s">
        <v>46</v>
      </c>
      <c r="J88" s="4" t="s">
        <v>314</v>
      </c>
      <c r="K88" s="4" t="s">
        <v>315</v>
      </c>
      <c r="L88" s="3">
        <v>45717</v>
      </c>
      <c r="M88" s="4" t="s">
        <v>49</v>
      </c>
      <c r="N88" s="4" t="s">
        <v>46</v>
      </c>
      <c r="O88" s="4" t="s">
        <v>50</v>
      </c>
      <c r="P88" s="4" t="s">
        <v>130</v>
      </c>
      <c r="Q88" s="2">
        <v>4</v>
      </c>
      <c r="R88" s="2">
        <v>3</v>
      </c>
      <c r="S88" s="4" t="s">
        <v>288</v>
      </c>
      <c r="T88" s="4" t="s">
        <v>46</v>
      </c>
      <c r="U88" s="4" t="s">
        <v>46</v>
      </c>
      <c r="V88" s="5">
        <v>10</v>
      </c>
      <c r="W88" s="5">
        <v>227.04</v>
      </c>
      <c r="X88" s="5">
        <v>100</v>
      </c>
      <c r="Y88" s="5">
        <v>22.7</v>
      </c>
      <c r="Z88" s="4" t="s">
        <v>46</v>
      </c>
      <c r="AA88" s="5" t="s">
        <v>46</v>
      </c>
      <c r="AB88" s="4" t="s">
        <v>66</v>
      </c>
      <c r="AC88" s="4" t="s">
        <v>46</v>
      </c>
      <c r="AD88" s="5">
        <v>0</v>
      </c>
      <c r="AE88" s="4" t="s">
        <v>67</v>
      </c>
      <c r="AF88" s="3">
        <v>45658</v>
      </c>
      <c r="AG88" s="4" t="s">
        <v>46</v>
      </c>
      <c r="AH88" s="4" t="s">
        <v>46</v>
      </c>
      <c r="AI88" s="4" t="s">
        <v>46</v>
      </c>
      <c r="AJ88" s="4" t="s">
        <v>46</v>
      </c>
      <c r="AK88" s="4" t="s">
        <v>46</v>
      </c>
      <c r="AL88" s="4" t="s">
        <v>46</v>
      </c>
      <c r="AM88" s="4" t="s">
        <v>46</v>
      </c>
      <c r="AN88" s="4" t="s">
        <v>46</v>
      </c>
      <c r="AO88" s="4" t="s">
        <v>46</v>
      </c>
      <c r="AP88" s="4" t="s">
        <v>46</v>
      </c>
    </row>
    <row r="89" spans="1:42" x14ac:dyDescent="0.2">
      <c r="A89" s="2">
        <v>1891456</v>
      </c>
      <c r="B89" s="3">
        <v>45721</v>
      </c>
      <c r="C89" s="4" t="s">
        <v>311</v>
      </c>
      <c r="D89" s="2">
        <v>1509841</v>
      </c>
      <c r="E89" s="4" t="s">
        <v>318</v>
      </c>
      <c r="F89" s="4" t="s">
        <v>319</v>
      </c>
      <c r="G89" s="4" t="s">
        <v>46</v>
      </c>
      <c r="H89" s="4" t="s">
        <v>46</v>
      </c>
      <c r="I89" s="4" t="s">
        <v>46</v>
      </c>
      <c r="J89" s="4" t="s">
        <v>314</v>
      </c>
      <c r="K89" s="4" t="s">
        <v>315</v>
      </c>
      <c r="L89" s="3">
        <v>45717</v>
      </c>
      <c r="M89" s="4" t="s">
        <v>49</v>
      </c>
      <c r="N89" s="4" t="s">
        <v>46</v>
      </c>
      <c r="O89" s="4" t="s">
        <v>50</v>
      </c>
      <c r="P89" s="4" t="s">
        <v>130</v>
      </c>
      <c r="Q89" s="2">
        <v>4</v>
      </c>
      <c r="R89" s="2">
        <v>60</v>
      </c>
      <c r="S89" s="4" t="s">
        <v>283</v>
      </c>
      <c r="T89" s="4" t="s">
        <v>46</v>
      </c>
      <c r="U89" s="4" t="s">
        <v>46</v>
      </c>
      <c r="V89" s="5">
        <v>10</v>
      </c>
      <c r="W89" s="5">
        <v>35.35</v>
      </c>
      <c r="X89" s="5">
        <v>100</v>
      </c>
      <c r="Y89" s="5">
        <v>3.54</v>
      </c>
      <c r="Z89" s="4" t="s">
        <v>46</v>
      </c>
      <c r="AA89" s="5" t="s">
        <v>46</v>
      </c>
      <c r="AB89" s="4" t="s">
        <v>66</v>
      </c>
      <c r="AC89" s="4" t="s">
        <v>46</v>
      </c>
      <c r="AD89" s="5">
        <v>0</v>
      </c>
      <c r="AE89" s="4" t="s">
        <v>67</v>
      </c>
      <c r="AF89" s="3">
        <v>45658</v>
      </c>
      <c r="AG89" s="4" t="s">
        <v>46</v>
      </c>
      <c r="AH89" s="4" t="s">
        <v>46</v>
      </c>
      <c r="AI89" s="4" t="s">
        <v>46</v>
      </c>
      <c r="AJ89" s="4" t="s">
        <v>46</v>
      </c>
      <c r="AK89" s="4" t="s">
        <v>46</v>
      </c>
      <c r="AL89" s="4" t="s">
        <v>46</v>
      </c>
      <c r="AM89" s="4" t="s">
        <v>46</v>
      </c>
      <c r="AN89" s="4" t="s">
        <v>46</v>
      </c>
      <c r="AO89" s="4" t="s">
        <v>46</v>
      </c>
      <c r="AP89" s="4" t="s">
        <v>46</v>
      </c>
    </row>
    <row r="90" spans="1:42" x14ac:dyDescent="0.2">
      <c r="A90" s="2">
        <v>1891456</v>
      </c>
      <c r="B90" s="3">
        <v>45721</v>
      </c>
      <c r="C90" s="4" t="s">
        <v>94</v>
      </c>
      <c r="D90" s="2">
        <v>1510085</v>
      </c>
      <c r="E90" s="4" t="s">
        <v>320</v>
      </c>
      <c r="F90" s="4" t="s">
        <v>321</v>
      </c>
      <c r="G90" s="4" t="s">
        <v>46</v>
      </c>
      <c r="H90" s="4" t="s">
        <v>46</v>
      </c>
      <c r="I90" s="4" t="s">
        <v>46</v>
      </c>
      <c r="J90" s="4" t="s">
        <v>314</v>
      </c>
      <c r="K90" s="4" t="s">
        <v>315</v>
      </c>
      <c r="L90" s="3">
        <v>45717</v>
      </c>
      <c r="M90" s="4" t="s">
        <v>49</v>
      </c>
      <c r="N90" s="4" t="s">
        <v>46</v>
      </c>
      <c r="O90" s="4" t="s">
        <v>130</v>
      </c>
      <c r="P90" s="4" t="s">
        <v>130</v>
      </c>
      <c r="Q90" s="2">
        <v>1</v>
      </c>
      <c r="R90" s="2">
        <v>60</v>
      </c>
      <c r="S90" s="4" t="s">
        <v>283</v>
      </c>
      <c r="T90" s="4" t="s">
        <v>46</v>
      </c>
      <c r="U90" s="4" t="s">
        <v>46</v>
      </c>
      <c r="V90" s="5">
        <v>10</v>
      </c>
      <c r="W90" s="5">
        <v>5.69</v>
      </c>
      <c r="X90" s="5">
        <v>100</v>
      </c>
      <c r="Y90" s="5">
        <v>0.56999999999999995</v>
      </c>
      <c r="Z90" s="4" t="s">
        <v>46</v>
      </c>
      <c r="AA90" s="5" t="s">
        <v>46</v>
      </c>
      <c r="AB90" s="4" t="s">
        <v>131</v>
      </c>
      <c r="AC90" s="4" t="s">
        <v>46</v>
      </c>
      <c r="AD90" s="5">
        <v>0</v>
      </c>
      <c r="AE90" s="4" t="s">
        <v>132</v>
      </c>
      <c r="AF90" s="3">
        <v>44287</v>
      </c>
      <c r="AG90" s="4" t="s">
        <v>46</v>
      </c>
      <c r="AH90" s="4" t="s">
        <v>46</v>
      </c>
      <c r="AI90" s="4" t="s">
        <v>46</v>
      </c>
      <c r="AJ90" s="4" t="s">
        <v>46</v>
      </c>
      <c r="AK90" s="4" t="s">
        <v>46</v>
      </c>
      <c r="AL90" s="4" t="s">
        <v>46</v>
      </c>
      <c r="AM90" s="4" t="s">
        <v>46</v>
      </c>
      <c r="AN90" s="4" t="s">
        <v>46</v>
      </c>
      <c r="AO90" s="4" t="s">
        <v>46</v>
      </c>
      <c r="AP90" s="4" t="s">
        <v>46</v>
      </c>
    </row>
    <row r="91" spans="1:42" x14ac:dyDescent="0.2">
      <c r="A91" s="2">
        <v>1891456</v>
      </c>
      <c r="B91" s="3">
        <v>45721</v>
      </c>
      <c r="C91" s="4" t="s">
        <v>322</v>
      </c>
      <c r="D91" s="2">
        <v>1524629</v>
      </c>
      <c r="E91" s="4" t="s">
        <v>323</v>
      </c>
      <c r="F91" s="4" t="s">
        <v>324</v>
      </c>
      <c r="G91" s="4" t="s">
        <v>46</v>
      </c>
      <c r="H91" s="4" t="s">
        <v>46</v>
      </c>
      <c r="I91" s="4" t="s">
        <v>46</v>
      </c>
      <c r="J91" s="4" t="s">
        <v>325</v>
      </c>
      <c r="K91" s="4" t="s">
        <v>48</v>
      </c>
      <c r="L91" s="3">
        <v>45717</v>
      </c>
      <c r="M91" s="4" t="s">
        <v>49</v>
      </c>
      <c r="N91" s="4" t="s">
        <v>46</v>
      </c>
      <c r="O91" s="4" t="s">
        <v>130</v>
      </c>
      <c r="P91" s="4" t="s">
        <v>130</v>
      </c>
      <c r="Q91" s="2">
        <v>1</v>
      </c>
      <c r="R91" s="2">
        <v>17</v>
      </c>
      <c r="S91" s="4" t="s">
        <v>51</v>
      </c>
      <c r="T91" s="4" t="s">
        <v>46</v>
      </c>
      <c r="U91" s="4" t="s">
        <v>46</v>
      </c>
      <c r="V91" s="5">
        <v>26</v>
      </c>
      <c r="W91" s="5">
        <v>147.1</v>
      </c>
      <c r="X91" s="5">
        <v>100</v>
      </c>
      <c r="Y91" s="5">
        <v>38.25</v>
      </c>
      <c r="Z91" s="5">
        <v>0</v>
      </c>
      <c r="AA91" s="5">
        <v>0</v>
      </c>
      <c r="AB91" s="4" t="s">
        <v>326</v>
      </c>
      <c r="AC91" s="4" t="s">
        <v>46</v>
      </c>
      <c r="AD91" s="5">
        <v>0</v>
      </c>
      <c r="AE91" s="4" t="s">
        <v>327</v>
      </c>
      <c r="AF91" s="3">
        <v>45292</v>
      </c>
      <c r="AG91" s="4" t="s">
        <v>46</v>
      </c>
      <c r="AH91" s="4" t="s">
        <v>46</v>
      </c>
      <c r="AI91" s="4" t="s">
        <v>46</v>
      </c>
      <c r="AJ91" s="4" t="s">
        <v>46</v>
      </c>
      <c r="AK91" s="4" t="s">
        <v>46</v>
      </c>
      <c r="AL91" s="4" t="s">
        <v>46</v>
      </c>
      <c r="AM91" s="4" t="s">
        <v>46</v>
      </c>
      <c r="AN91" s="4" t="s">
        <v>46</v>
      </c>
      <c r="AO91" s="4" t="s">
        <v>46</v>
      </c>
      <c r="AP91" s="4" t="s">
        <v>46</v>
      </c>
    </row>
    <row r="92" spans="1:42" x14ac:dyDescent="0.2">
      <c r="A92" s="2">
        <v>1891456</v>
      </c>
      <c r="B92" s="3">
        <v>45721</v>
      </c>
      <c r="C92" s="4" t="s">
        <v>322</v>
      </c>
      <c r="D92" s="2">
        <v>1524629</v>
      </c>
      <c r="E92" s="4" t="s">
        <v>328</v>
      </c>
      <c r="F92" s="4" t="s">
        <v>329</v>
      </c>
      <c r="G92" s="4" t="s">
        <v>46</v>
      </c>
      <c r="H92" s="4" t="s">
        <v>46</v>
      </c>
      <c r="I92" s="4" t="s">
        <v>46</v>
      </c>
      <c r="J92" s="4" t="s">
        <v>325</v>
      </c>
      <c r="K92" s="4" t="s">
        <v>48</v>
      </c>
      <c r="L92" s="3">
        <v>45717</v>
      </c>
      <c r="M92" s="4" t="s">
        <v>49</v>
      </c>
      <c r="N92" s="4" t="s">
        <v>46</v>
      </c>
      <c r="O92" s="4" t="s">
        <v>130</v>
      </c>
      <c r="P92" s="4" t="s">
        <v>130</v>
      </c>
      <c r="Q92" s="2">
        <v>1</v>
      </c>
      <c r="R92" s="2">
        <v>17</v>
      </c>
      <c r="S92" s="4" t="s">
        <v>51</v>
      </c>
      <c r="T92" s="4" t="s">
        <v>46</v>
      </c>
      <c r="U92" s="4" t="s">
        <v>46</v>
      </c>
      <c r="V92" s="5">
        <v>22</v>
      </c>
      <c r="W92" s="5">
        <v>193.65</v>
      </c>
      <c r="X92" s="5">
        <v>100</v>
      </c>
      <c r="Y92" s="5">
        <v>42.6</v>
      </c>
      <c r="Z92" s="5">
        <v>0</v>
      </c>
      <c r="AA92" s="5">
        <v>0</v>
      </c>
      <c r="AB92" s="4" t="s">
        <v>326</v>
      </c>
      <c r="AC92" s="4" t="s">
        <v>46</v>
      </c>
      <c r="AD92" s="5">
        <v>0</v>
      </c>
      <c r="AE92" s="4" t="s">
        <v>327</v>
      </c>
      <c r="AF92" s="3">
        <v>45292</v>
      </c>
      <c r="AG92" s="4" t="s">
        <v>46</v>
      </c>
      <c r="AH92" s="4" t="s">
        <v>46</v>
      </c>
      <c r="AI92" s="4" t="s">
        <v>46</v>
      </c>
      <c r="AJ92" s="4" t="s">
        <v>46</v>
      </c>
      <c r="AK92" s="4" t="s">
        <v>46</v>
      </c>
      <c r="AL92" s="4" t="s">
        <v>46</v>
      </c>
      <c r="AM92" s="4" t="s">
        <v>46</v>
      </c>
      <c r="AN92" s="4" t="s">
        <v>46</v>
      </c>
      <c r="AO92" s="4" t="s">
        <v>46</v>
      </c>
      <c r="AP92" s="4" t="s">
        <v>46</v>
      </c>
    </row>
    <row r="93" spans="1:42" x14ac:dyDescent="0.2">
      <c r="A93" s="2">
        <v>1891456</v>
      </c>
      <c r="B93" s="3">
        <v>45721</v>
      </c>
      <c r="C93" s="4" t="s">
        <v>322</v>
      </c>
      <c r="D93" s="2">
        <v>1524629</v>
      </c>
      <c r="E93" s="4" t="s">
        <v>330</v>
      </c>
      <c r="F93" s="4" t="s">
        <v>331</v>
      </c>
      <c r="G93" s="4" t="s">
        <v>46</v>
      </c>
      <c r="H93" s="4" t="s">
        <v>46</v>
      </c>
      <c r="I93" s="4" t="s">
        <v>46</v>
      </c>
      <c r="J93" s="4" t="s">
        <v>325</v>
      </c>
      <c r="K93" s="4" t="s">
        <v>48</v>
      </c>
      <c r="L93" s="3">
        <v>45717</v>
      </c>
      <c r="M93" s="4" t="s">
        <v>49</v>
      </c>
      <c r="N93" s="4" t="s">
        <v>46</v>
      </c>
      <c r="O93" s="4" t="s">
        <v>130</v>
      </c>
      <c r="P93" s="4" t="s">
        <v>130</v>
      </c>
      <c r="Q93" s="2">
        <v>1</v>
      </c>
      <c r="R93" s="2">
        <v>17</v>
      </c>
      <c r="S93" s="4" t="s">
        <v>51</v>
      </c>
      <c r="T93" s="4" t="s">
        <v>46</v>
      </c>
      <c r="U93" s="4" t="s">
        <v>46</v>
      </c>
      <c r="V93" s="5">
        <v>26</v>
      </c>
      <c r="W93" s="5">
        <v>164.25</v>
      </c>
      <c r="X93" s="5">
        <v>100</v>
      </c>
      <c r="Y93" s="5">
        <v>42.71</v>
      </c>
      <c r="Z93" s="5">
        <v>0</v>
      </c>
      <c r="AA93" s="5">
        <v>0</v>
      </c>
      <c r="AB93" s="4" t="s">
        <v>326</v>
      </c>
      <c r="AC93" s="4" t="s">
        <v>46</v>
      </c>
      <c r="AD93" s="5">
        <v>0</v>
      </c>
      <c r="AE93" s="4" t="s">
        <v>327</v>
      </c>
      <c r="AF93" s="3">
        <v>45261</v>
      </c>
      <c r="AG93" s="4" t="s">
        <v>46</v>
      </c>
      <c r="AH93" s="4" t="s">
        <v>46</v>
      </c>
      <c r="AI93" s="4" t="s">
        <v>46</v>
      </c>
      <c r="AJ93" s="4" t="s">
        <v>46</v>
      </c>
      <c r="AK93" s="4" t="s">
        <v>46</v>
      </c>
      <c r="AL93" s="4" t="s">
        <v>46</v>
      </c>
      <c r="AM93" s="4" t="s">
        <v>46</v>
      </c>
      <c r="AN93" s="4" t="s">
        <v>46</v>
      </c>
      <c r="AO93" s="4" t="s">
        <v>46</v>
      </c>
      <c r="AP93" s="4" t="s">
        <v>46</v>
      </c>
    </row>
    <row r="94" spans="1:42" x14ac:dyDescent="0.2">
      <c r="A94" s="2">
        <v>1891456</v>
      </c>
      <c r="B94" s="3">
        <v>45721</v>
      </c>
      <c r="C94" s="4" t="s">
        <v>322</v>
      </c>
      <c r="D94" s="2">
        <v>1524629</v>
      </c>
      <c r="E94" s="4" t="s">
        <v>332</v>
      </c>
      <c r="F94" s="4" t="s">
        <v>333</v>
      </c>
      <c r="G94" s="4" t="s">
        <v>46</v>
      </c>
      <c r="H94" s="4" t="s">
        <v>46</v>
      </c>
      <c r="I94" s="4" t="s">
        <v>46</v>
      </c>
      <c r="J94" s="4" t="s">
        <v>325</v>
      </c>
      <c r="K94" s="4" t="s">
        <v>48</v>
      </c>
      <c r="L94" s="3">
        <v>45717</v>
      </c>
      <c r="M94" s="4" t="s">
        <v>49</v>
      </c>
      <c r="N94" s="4" t="s">
        <v>46</v>
      </c>
      <c r="O94" s="4" t="s">
        <v>130</v>
      </c>
      <c r="P94" s="4" t="s">
        <v>130</v>
      </c>
      <c r="Q94" s="2">
        <v>1</v>
      </c>
      <c r="R94" s="2">
        <v>17</v>
      </c>
      <c r="S94" s="4" t="s">
        <v>51</v>
      </c>
      <c r="T94" s="4" t="s">
        <v>46</v>
      </c>
      <c r="U94" s="4" t="s">
        <v>46</v>
      </c>
      <c r="V94" s="5">
        <v>22</v>
      </c>
      <c r="W94" s="5">
        <v>164</v>
      </c>
      <c r="X94" s="5">
        <v>100</v>
      </c>
      <c r="Y94" s="5">
        <v>36.08</v>
      </c>
      <c r="Z94" s="5">
        <v>0</v>
      </c>
      <c r="AA94" s="5">
        <v>0</v>
      </c>
      <c r="AB94" s="4" t="s">
        <v>131</v>
      </c>
      <c r="AC94" s="4" t="s">
        <v>46</v>
      </c>
      <c r="AD94" s="5">
        <v>0</v>
      </c>
      <c r="AE94" s="4" t="s">
        <v>132</v>
      </c>
      <c r="AF94" s="3">
        <v>45292</v>
      </c>
      <c r="AG94" s="4" t="s">
        <v>46</v>
      </c>
      <c r="AH94" s="4" t="s">
        <v>46</v>
      </c>
      <c r="AI94" s="4" t="s">
        <v>46</v>
      </c>
      <c r="AJ94" s="4" t="s">
        <v>46</v>
      </c>
      <c r="AK94" s="4" t="s">
        <v>46</v>
      </c>
      <c r="AL94" s="4" t="s">
        <v>46</v>
      </c>
      <c r="AM94" s="4" t="s">
        <v>46</v>
      </c>
      <c r="AN94" s="4" t="s">
        <v>46</v>
      </c>
      <c r="AO94" s="4" t="s">
        <v>46</v>
      </c>
      <c r="AP94" s="4" t="s">
        <v>46</v>
      </c>
    </row>
    <row r="95" spans="1:42" x14ac:dyDescent="0.2">
      <c r="A95" s="2">
        <v>1891456</v>
      </c>
      <c r="B95" s="3">
        <v>45721</v>
      </c>
      <c r="C95" s="4" t="s">
        <v>322</v>
      </c>
      <c r="D95" s="2">
        <v>1524629</v>
      </c>
      <c r="E95" s="4" t="s">
        <v>334</v>
      </c>
      <c r="F95" s="4" t="s">
        <v>335</v>
      </c>
      <c r="G95" s="4" t="s">
        <v>46</v>
      </c>
      <c r="H95" s="4" t="s">
        <v>46</v>
      </c>
      <c r="I95" s="4" t="s">
        <v>46</v>
      </c>
      <c r="J95" s="4" t="s">
        <v>325</v>
      </c>
      <c r="K95" s="4" t="s">
        <v>48</v>
      </c>
      <c r="L95" s="3">
        <v>45717</v>
      </c>
      <c r="M95" s="4" t="s">
        <v>49</v>
      </c>
      <c r="N95" s="4" t="s">
        <v>46</v>
      </c>
      <c r="O95" s="4" t="s">
        <v>130</v>
      </c>
      <c r="P95" s="4" t="s">
        <v>130</v>
      </c>
      <c r="Q95" s="2">
        <v>1</v>
      </c>
      <c r="R95" s="2">
        <v>17</v>
      </c>
      <c r="S95" s="4" t="s">
        <v>51</v>
      </c>
      <c r="T95" s="4" t="s">
        <v>46</v>
      </c>
      <c r="U95" s="4" t="s">
        <v>46</v>
      </c>
      <c r="V95" s="5">
        <v>26</v>
      </c>
      <c r="W95" s="5">
        <v>84.94</v>
      </c>
      <c r="X95" s="5">
        <v>100</v>
      </c>
      <c r="Y95" s="5">
        <v>22.08</v>
      </c>
      <c r="Z95" s="5">
        <v>0</v>
      </c>
      <c r="AA95" s="5">
        <v>0</v>
      </c>
      <c r="AB95" s="4" t="s">
        <v>326</v>
      </c>
      <c r="AC95" s="4" t="s">
        <v>46</v>
      </c>
      <c r="AD95" s="5">
        <v>0</v>
      </c>
      <c r="AE95" s="4" t="s">
        <v>327</v>
      </c>
      <c r="AF95" s="3">
        <v>45323</v>
      </c>
      <c r="AG95" s="4" t="s">
        <v>46</v>
      </c>
      <c r="AH95" s="4" t="s">
        <v>46</v>
      </c>
      <c r="AI95" s="4" t="s">
        <v>46</v>
      </c>
      <c r="AJ95" s="4" t="s">
        <v>46</v>
      </c>
      <c r="AK95" s="4" t="s">
        <v>46</v>
      </c>
      <c r="AL95" s="4" t="s">
        <v>46</v>
      </c>
      <c r="AM95" s="4" t="s">
        <v>46</v>
      </c>
      <c r="AN95" s="4" t="s">
        <v>46</v>
      </c>
      <c r="AO95" s="4" t="s">
        <v>46</v>
      </c>
      <c r="AP95" s="4" t="s">
        <v>46</v>
      </c>
    </row>
    <row r="96" spans="1:42" x14ac:dyDescent="0.2">
      <c r="A96" s="2">
        <v>1891456</v>
      </c>
      <c r="B96" s="3">
        <v>45721</v>
      </c>
      <c r="C96" s="4" t="s">
        <v>322</v>
      </c>
      <c r="D96" s="2">
        <v>1524629</v>
      </c>
      <c r="E96" s="4" t="s">
        <v>336</v>
      </c>
      <c r="F96" s="4" t="s">
        <v>337</v>
      </c>
      <c r="G96" s="4" t="s">
        <v>46</v>
      </c>
      <c r="H96" s="4" t="s">
        <v>46</v>
      </c>
      <c r="I96" s="4" t="s">
        <v>46</v>
      </c>
      <c r="J96" s="4" t="s">
        <v>325</v>
      </c>
      <c r="K96" s="4" t="s">
        <v>48</v>
      </c>
      <c r="L96" s="3">
        <v>45717</v>
      </c>
      <c r="M96" s="4" t="s">
        <v>49</v>
      </c>
      <c r="N96" s="4" t="s">
        <v>46</v>
      </c>
      <c r="O96" s="4" t="s">
        <v>50</v>
      </c>
      <c r="P96" s="4" t="s">
        <v>130</v>
      </c>
      <c r="Q96" s="2">
        <v>1</v>
      </c>
      <c r="R96" s="2">
        <v>17</v>
      </c>
      <c r="S96" s="4" t="s">
        <v>51</v>
      </c>
      <c r="T96" s="4" t="s">
        <v>46</v>
      </c>
      <c r="U96" s="4" t="s">
        <v>46</v>
      </c>
      <c r="V96" s="5">
        <v>22</v>
      </c>
      <c r="W96" s="5">
        <v>1735.92</v>
      </c>
      <c r="X96" s="5">
        <v>100</v>
      </c>
      <c r="Y96" s="5">
        <v>381.96</v>
      </c>
      <c r="Z96" s="5">
        <v>0</v>
      </c>
      <c r="AA96" s="5">
        <v>0</v>
      </c>
      <c r="AB96" s="4" t="s">
        <v>338</v>
      </c>
      <c r="AC96" s="4" t="s">
        <v>46</v>
      </c>
      <c r="AD96" s="5">
        <v>0</v>
      </c>
      <c r="AE96" s="4" t="s">
        <v>339</v>
      </c>
      <c r="AF96" s="3">
        <v>45717</v>
      </c>
      <c r="AG96" s="4" t="s">
        <v>46</v>
      </c>
      <c r="AH96" s="4" t="s">
        <v>46</v>
      </c>
      <c r="AI96" s="4" t="s">
        <v>46</v>
      </c>
      <c r="AJ96" s="4" t="s">
        <v>46</v>
      </c>
      <c r="AK96" s="4" t="s">
        <v>46</v>
      </c>
      <c r="AL96" s="4" t="s">
        <v>46</v>
      </c>
      <c r="AM96" s="4" t="s">
        <v>46</v>
      </c>
      <c r="AN96" s="4" t="s">
        <v>46</v>
      </c>
      <c r="AO96" s="4" t="s">
        <v>46</v>
      </c>
      <c r="AP96" s="4" t="s">
        <v>46</v>
      </c>
    </row>
    <row r="97" spans="1:42" x14ac:dyDescent="0.2">
      <c r="A97" s="2">
        <v>1891456</v>
      </c>
      <c r="B97" s="3">
        <v>45721</v>
      </c>
      <c r="C97" s="4" t="s">
        <v>322</v>
      </c>
      <c r="D97" s="2">
        <v>1524629</v>
      </c>
      <c r="E97" s="4" t="s">
        <v>340</v>
      </c>
      <c r="F97" s="4" t="s">
        <v>341</v>
      </c>
      <c r="G97" s="4" t="s">
        <v>46</v>
      </c>
      <c r="H97" s="4" t="s">
        <v>46</v>
      </c>
      <c r="I97" s="4" t="s">
        <v>46</v>
      </c>
      <c r="J97" s="4" t="s">
        <v>325</v>
      </c>
      <c r="K97" s="4" t="s">
        <v>48</v>
      </c>
      <c r="L97" s="3">
        <v>45717</v>
      </c>
      <c r="M97" s="4" t="s">
        <v>49</v>
      </c>
      <c r="N97" s="4" t="s">
        <v>46</v>
      </c>
      <c r="O97" s="4" t="s">
        <v>50</v>
      </c>
      <c r="P97" s="4" t="s">
        <v>130</v>
      </c>
      <c r="Q97" s="2">
        <v>1</v>
      </c>
      <c r="R97" s="2">
        <v>17</v>
      </c>
      <c r="S97" s="4" t="s">
        <v>51</v>
      </c>
      <c r="T97" s="4" t="s">
        <v>46</v>
      </c>
      <c r="U97" s="4" t="s">
        <v>46</v>
      </c>
      <c r="V97" s="5">
        <v>26</v>
      </c>
      <c r="W97" s="5">
        <v>1494.48</v>
      </c>
      <c r="X97" s="5">
        <v>100</v>
      </c>
      <c r="Y97" s="5">
        <v>388.56</v>
      </c>
      <c r="Z97" s="5">
        <v>0</v>
      </c>
      <c r="AA97" s="5">
        <v>0</v>
      </c>
      <c r="AB97" s="4" t="s">
        <v>342</v>
      </c>
      <c r="AC97" s="4" t="s">
        <v>46</v>
      </c>
      <c r="AD97" s="5">
        <v>0</v>
      </c>
      <c r="AE97" s="4" t="s">
        <v>343</v>
      </c>
      <c r="AF97" s="3">
        <v>45717</v>
      </c>
      <c r="AG97" s="4" t="s">
        <v>46</v>
      </c>
      <c r="AH97" s="4" t="s">
        <v>46</v>
      </c>
      <c r="AI97" s="4" t="s">
        <v>46</v>
      </c>
      <c r="AJ97" s="4" t="s">
        <v>46</v>
      </c>
      <c r="AK97" s="4" t="s">
        <v>46</v>
      </c>
      <c r="AL97" s="4" t="s">
        <v>46</v>
      </c>
      <c r="AM97" s="4" t="s">
        <v>46</v>
      </c>
      <c r="AN97" s="4" t="s">
        <v>46</v>
      </c>
      <c r="AO97" s="4" t="s">
        <v>46</v>
      </c>
      <c r="AP97" s="4" t="s">
        <v>46</v>
      </c>
    </row>
    <row r="98" spans="1:42" x14ac:dyDescent="0.2">
      <c r="A98" s="2">
        <v>1891456</v>
      </c>
      <c r="B98" s="3">
        <v>45721</v>
      </c>
      <c r="C98" s="4" t="s">
        <v>344</v>
      </c>
      <c r="D98" s="2">
        <v>1535078</v>
      </c>
      <c r="E98" s="4" t="s">
        <v>345</v>
      </c>
      <c r="F98" s="4" t="s">
        <v>346</v>
      </c>
      <c r="G98" s="4" t="s">
        <v>46</v>
      </c>
      <c r="H98" s="4" t="s">
        <v>46</v>
      </c>
      <c r="I98" s="4" t="s">
        <v>46</v>
      </c>
      <c r="J98" s="4" t="s">
        <v>325</v>
      </c>
      <c r="K98" s="4" t="s">
        <v>48</v>
      </c>
      <c r="L98" s="3">
        <v>45717</v>
      </c>
      <c r="M98" s="4" t="s">
        <v>49</v>
      </c>
      <c r="N98" s="4" t="s">
        <v>46</v>
      </c>
      <c r="O98" s="4" t="s">
        <v>50</v>
      </c>
      <c r="P98" s="4" t="s">
        <v>130</v>
      </c>
      <c r="Q98" s="2">
        <v>1</v>
      </c>
      <c r="R98" s="2">
        <v>17</v>
      </c>
      <c r="S98" s="4" t="s">
        <v>51</v>
      </c>
      <c r="T98" s="4" t="s">
        <v>46</v>
      </c>
      <c r="U98" s="4" t="s">
        <v>46</v>
      </c>
      <c r="V98" s="5">
        <v>22</v>
      </c>
      <c r="W98" s="5">
        <v>1832.04</v>
      </c>
      <c r="X98" s="5">
        <v>100</v>
      </c>
      <c r="Y98" s="5">
        <v>403.08</v>
      </c>
      <c r="Z98" s="5">
        <v>0</v>
      </c>
      <c r="AA98" s="5">
        <v>0</v>
      </c>
      <c r="AB98" s="4" t="s">
        <v>338</v>
      </c>
      <c r="AC98" s="4" t="s">
        <v>46</v>
      </c>
      <c r="AD98" s="5">
        <v>0</v>
      </c>
      <c r="AE98" s="4" t="s">
        <v>339</v>
      </c>
      <c r="AF98" s="3">
        <v>45717</v>
      </c>
      <c r="AG98" s="4" t="s">
        <v>46</v>
      </c>
      <c r="AH98" s="4" t="s">
        <v>46</v>
      </c>
      <c r="AI98" s="4" t="s">
        <v>46</v>
      </c>
      <c r="AJ98" s="4" t="s">
        <v>46</v>
      </c>
      <c r="AK98" s="4" t="s">
        <v>46</v>
      </c>
      <c r="AL98" s="4" t="s">
        <v>46</v>
      </c>
      <c r="AM98" s="4" t="s">
        <v>46</v>
      </c>
      <c r="AN98" s="4" t="s">
        <v>46</v>
      </c>
      <c r="AO98" s="4" t="s">
        <v>46</v>
      </c>
      <c r="AP98" s="4" t="s">
        <v>46</v>
      </c>
    </row>
    <row r="99" spans="1:42" s="10" customFormat="1" x14ac:dyDescent="0.2">
      <c r="A99" s="7">
        <v>1891456</v>
      </c>
      <c r="B99" s="8">
        <v>45721</v>
      </c>
      <c r="C99" s="6" t="s">
        <v>347</v>
      </c>
      <c r="D99" s="7">
        <v>1545980</v>
      </c>
      <c r="E99" s="6" t="s">
        <v>348</v>
      </c>
      <c r="F99" s="6" t="s">
        <v>349</v>
      </c>
      <c r="G99" s="6" t="s">
        <v>46</v>
      </c>
      <c r="H99" s="6" t="s">
        <v>46</v>
      </c>
      <c r="I99" s="6" t="s">
        <v>46</v>
      </c>
      <c r="J99" s="6" t="s">
        <v>325</v>
      </c>
      <c r="K99" s="6" t="s">
        <v>48</v>
      </c>
      <c r="L99" s="8">
        <v>45717</v>
      </c>
      <c r="M99" s="6" t="s">
        <v>49</v>
      </c>
      <c r="N99" s="6" t="s">
        <v>46</v>
      </c>
      <c r="O99" s="6" t="s">
        <v>50</v>
      </c>
      <c r="P99" s="6" t="s">
        <v>130</v>
      </c>
      <c r="Q99" s="7">
        <v>1</v>
      </c>
      <c r="R99" s="7">
        <v>17</v>
      </c>
      <c r="S99" s="6" t="s">
        <v>51</v>
      </c>
      <c r="T99" s="6" t="s">
        <v>46</v>
      </c>
      <c r="U99" s="6" t="s">
        <v>46</v>
      </c>
      <c r="V99" s="9">
        <v>3</v>
      </c>
      <c r="W99" s="9">
        <v>1824.12</v>
      </c>
      <c r="X99" s="9">
        <v>100</v>
      </c>
      <c r="Y99" s="9">
        <v>54.72</v>
      </c>
      <c r="Z99" s="9">
        <v>0</v>
      </c>
      <c r="AA99" s="9">
        <v>0</v>
      </c>
      <c r="AB99" s="6" t="s">
        <v>338</v>
      </c>
      <c r="AC99" s="6" t="s">
        <v>46</v>
      </c>
      <c r="AD99" s="9">
        <v>0</v>
      </c>
      <c r="AE99" s="6" t="s">
        <v>339</v>
      </c>
      <c r="AF99" s="8">
        <v>45717</v>
      </c>
      <c r="AG99" s="6" t="s">
        <v>46</v>
      </c>
      <c r="AH99" s="6" t="s">
        <v>46</v>
      </c>
      <c r="AI99" s="6" t="s">
        <v>46</v>
      </c>
      <c r="AJ99" s="6" t="s">
        <v>46</v>
      </c>
      <c r="AK99" s="6" t="s">
        <v>46</v>
      </c>
      <c r="AL99" s="6" t="s">
        <v>46</v>
      </c>
      <c r="AM99" s="6" t="s">
        <v>46</v>
      </c>
      <c r="AN99" s="6" t="s">
        <v>46</v>
      </c>
      <c r="AO99" s="6" t="s">
        <v>46</v>
      </c>
      <c r="AP99" s="6" t="s">
        <v>46</v>
      </c>
    </row>
    <row r="100" spans="1:42" x14ac:dyDescent="0.2">
      <c r="A100" s="2">
        <v>1891456</v>
      </c>
      <c r="B100" s="3">
        <v>45721</v>
      </c>
      <c r="C100" s="4" t="s">
        <v>140</v>
      </c>
      <c r="D100" s="2">
        <v>1581327</v>
      </c>
      <c r="E100" s="4" t="s">
        <v>350</v>
      </c>
      <c r="F100" s="4" t="s">
        <v>351</v>
      </c>
      <c r="G100" s="4" t="s">
        <v>46</v>
      </c>
      <c r="H100" s="4" t="s">
        <v>46</v>
      </c>
      <c r="I100" s="4" t="s">
        <v>46</v>
      </c>
      <c r="J100" s="4" t="s">
        <v>325</v>
      </c>
      <c r="K100" s="4" t="s">
        <v>48</v>
      </c>
      <c r="L100" s="3">
        <v>45717</v>
      </c>
      <c r="M100" s="4" t="s">
        <v>49</v>
      </c>
      <c r="N100" s="4" t="s">
        <v>46</v>
      </c>
      <c r="O100" s="4" t="s">
        <v>130</v>
      </c>
      <c r="P100" s="4" t="s">
        <v>130</v>
      </c>
      <c r="Q100" s="2">
        <v>1</v>
      </c>
      <c r="R100" s="2">
        <v>17</v>
      </c>
      <c r="S100" s="4" t="s">
        <v>51</v>
      </c>
      <c r="T100" s="4" t="s">
        <v>46</v>
      </c>
      <c r="U100" s="4" t="s">
        <v>46</v>
      </c>
      <c r="V100" s="5">
        <v>11</v>
      </c>
      <c r="W100" s="5">
        <v>326.25</v>
      </c>
      <c r="X100" s="5">
        <v>100</v>
      </c>
      <c r="Y100" s="5">
        <v>35.89</v>
      </c>
      <c r="Z100" s="5">
        <v>0</v>
      </c>
      <c r="AA100" s="5">
        <v>0</v>
      </c>
      <c r="AB100" s="4" t="s">
        <v>131</v>
      </c>
      <c r="AC100" s="4" t="s">
        <v>46</v>
      </c>
      <c r="AD100" s="5">
        <v>0</v>
      </c>
      <c r="AE100" s="4" t="s">
        <v>132</v>
      </c>
      <c r="AF100" s="3">
        <v>45261</v>
      </c>
      <c r="AG100" s="4" t="s">
        <v>46</v>
      </c>
      <c r="AH100" s="4" t="s">
        <v>46</v>
      </c>
      <c r="AI100" s="4" t="s">
        <v>46</v>
      </c>
      <c r="AJ100" s="4" t="s">
        <v>46</v>
      </c>
      <c r="AK100" s="4" t="s">
        <v>46</v>
      </c>
      <c r="AL100" s="4" t="s">
        <v>46</v>
      </c>
      <c r="AM100" s="4" t="s">
        <v>46</v>
      </c>
      <c r="AN100" s="4" t="s">
        <v>46</v>
      </c>
      <c r="AO100" s="4" t="s">
        <v>46</v>
      </c>
      <c r="AP100" s="4" t="s">
        <v>46</v>
      </c>
    </row>
    <row r="101" spans="1:42" x14ac:dyDescent="0.2">
      <c r="A101" s="2">
        <v>1891456</v>
      </c>
      <c r="B101" s="3">
        <v>45721</v>
      </c>
      <c r="C101" s="4" t="s">
        <v>140</v>
      </c>
      <c r="D101" s="2">
        <v>1581327</v>
      </c>
      <c r="E101" s="4" t="s">
        <v>352</v>
      </c>
      <c r="F101" s="4" t="s">
        <v>353</v>
      </c>
      <c r="G101" s="4" t="s">
        <v>46</v>
      </c>
      <c r="H101" s="4" t="s">
        <v>46</v>
      </c>
      <c r="I101" s="4" t="s">
        <v>46</v>
      </c>
      <c r="J101" s="4" t="s">
        <v>325</v>
      </c>
      <c r="K101" s="4" t="s">
        <v>48</v>
      </c>
      <c r="L101" s="3">
        <v>45717</v>
      </c>
      <c r="M101" s="4" t="s">
        <v>49</v>
      </c>
      <c r="N101" s="4" t="s">
        <v>46</v>
      </c>
      <c r="O101" s="4" t="s">
        <v>130</v>
      </c>
      <c r="P101" s="4" t="s">
        <v>130</v>
      </c>
      <c r="Q101" s="2">
        <v>1</v>
      </c>
      <c r="R101" s="2">
        <v>17</v>
      </c>
      <c r="S101" s="4" t="s">
        <v>51</v>
      </c>
      <c r="T101" s="4" t="s">
        <v>46</v>
      </c>
      <c r="U101" s="4" t="s">
        <v>46</v>
      </c>
      <c r="V101" s="5">
        <v>11</v>
      </c>
      <c r="W101" s="5">
        <v>326.25</v>
      </c>
      <c r="X101" s="5">
        <v>100</v>
      </c>
      <c r="Y101" s="5">
        <v>35.89</v>
      </c>
      <c r="Z101" s="5">
        <v>0</v>
      </c>
      <c r="AA101" s="5">
        <v>0</v>
      </c>
      <c r="AB101" s="4" t="s">
        <v>131</v>
      </c>
      <c r="AC101" s="4" t="s">
        <v>46</v>
      </c>
      <c r="AD101" s="5">
        <v>0</v>
      </c>
      <c r="AE101" s="4" t="s">
        <v>132</v>
      </c>
      <c r="AF101" s="3">
        <v>45292</v>
      </c>
      <c r="AG101" s="4" t="s">
        <v>46</v>
      </c>
      <c r="AH101" s="4" t="s">
        <v>46</v>
      </c>
      <c r="AI101" s="4" t="s">
        <v>46</v>
      </c>
      <c r="AJ101" s="4" t="s">
        <v>46</v>
      </c>
      <c r="AK101" s="4" t="s">
        <v>46</v>
      </c>
      <c r="AL101" s="4" t="s">
        <v>46</v>
      </c>
      <c r="AM101" s="4" t="s">
        <v>46</v>
      </c>
      <c r="AN101" s="4" t="s">
        <v>46</v>
      </c>
      <c r="AO101" s="4" t="s">
        <v>46</v>
      </c>
      <c r="AP101" s="4" t="s">
        <v>46</v>
      </c>
    </row>
    <row r="102" spans="1:42" x14ac:dyDescent="0.2">
      <c r="A102" s="2">
        <v>1891456</v>
      </c>
      <c r="B102" s="3">
        <v>45721</v>
      </c>
      <c r="C102" s="4" t="s">
        <v>164</v>
      </c>
      <c r="D102" s="2">
        <v>1673763</v>
      </c>
      <c r="E102" s="4" t="s">
        <v>354</v>
      </c>
      <c r="F102" s="4" t="s">
        <v>355</v>
      </c>
      <c r="G102" s="4" t="s">
        <v>46</v>
      </c>
      <c r="H102" s="4" t="s">
        <v>46</v>
      </c>
      <c r="I102" s="4" t="s">
        <v>46</v>
      </c>
      <c r="J102" s="4" t="s">
        <v>325</v>
      </c>
      <c r="K102" s="4" t="s">
        <v>48</v>
      </c>
      <c r="L102" s="3">
        <v>45717</v>
      </c>
      <c r="M102" s="4" t="s">
        <v>49</v>
      </c>
      <c r="N102" s="4" t="s">
        <v>46</v>
      </c>
      <c r="O102" s="4" t="s">
        <v>130</v>
      </c>
      <c r="P102" s="4" t="s">
        <v>130</v>
      </c>
      <c r="Q102" s="2">
        <v>1</v>
      </c>
      <c r="R102" s="2">
        <v>17</v>
      </c>
      <c r="S102" s="4" t="s">
        <v>51</v>
      </c>
      <c r="T102" s="4" t="s">
        <v>46</v>
      </c>
      <c r="U102" s="4" t="s">
        <v>46</v>
      </c>
      <c r="V102" s="5">
        <v>1</v>
      </c>
      <c r="W102" s="5">
        <v>159.94999999999999</v>
      </c>
      <c r="X102" s="5">
        <v>100</v>
      </c>
      <c r="Y102" s="5">
        <v>1.6</v>
      </c>
      <c r="Z102" s="5">
        <v>0</v>
      </c>
      <c r="AA102" s="5">
        <v>0</v>
      </c>
      <c r="AB102" s="4" t="s">
        <v>326</v>
      </c>
      <c r="AC102" s="4" t="s">
        <v>46</v>
      </c>
      <c r="AD102" s="5">
        <v>0</v>
      </c>
      <c r="AE102" s="4" t="s">
        <v>327</v>
      </c>
      <c r="AF102" s="3">
        <v>45170</v>
      </c>
      <c r="AG102" s="4" t="s">
        <v>46</v>
      </c>
      <c r="AH102" s="4" t="s">
        <v>46</v>
      </c>
      <c r="AI102" s="4" t="s">
        <v>46</v>
      </c>
      <c r="AJ102" s="4" t="s">
        <v>46</v>
      </c>
      <c r="AK102" s="4" t="s">
        <v>46</v>
      </c>
      <c r="AL102" s="4" t="s">
        <v>46</v>
      </c>
      <c r="AM102" s="4" t="s">
        <v>46</v>
      </c>
      <c r="AN102" s="4" t="s">
        <v>46</v>
      </c>
      <c r="AO102" s="4" t="s">
        <v>46</v>
      </c>
      <c r="AP102" s="4" t="s">
        <v>46</v>
      </c>
    </row>
    <row r="103" spans="1:42" x14ac:dyDescent="0.2">
      <c r="A103" s="2">
        <v>1891456</v>
      </c>
      <c r="B103" s="3">
        <v>45721</v>
      </c>
      <c r="C103" s="4" t="s">
        <v>164</v>
      </c>
      <c r="D103" s="2">
        <v>1673763</v>
      </c>
      <c r="E103" s="4" t="s">
        <v>356</v>
      </c>
      <c r="F103" s="4" t="s">
        <v>357</v>
      </c>
      <c r="G103" s="4" t="s">
        <v>46</v>
      </c>
      <c r="H103" s="4" t="s">
        <v>46</v>
      </c>
      <c r="I103" s="4" t="s">
        <v>46</v>
      </c>
      <c r="J103" s="4" t="s">
        <v>325</v>
      </c>
      <c r="K103" s="4" t="s">
        <v>48</v>
      </c>
      <c r="L103" s="3">
        <v>45717</v>
      </c>
      <c r="M103" s="4" t="s">
        <v>49</v>
      </c>
      <c r="N103" s="4" t="s">
        <v>46</v>
      </c>
      <c r="O103" s="4" t="s">
        <v>130</v>
      </c>
      <c r="P103" s="4" t="s">
        <v>130</v>
      </c>
      <c r="Q103" s="2">
        <v>1</v>
      </c>
      <c r="R103" s="2">
        <v>17</v>
      </c>
      <c r="S103" s="4" t="s">
        <v>51</v>
      </c>
      <c r="T103" s="4" t="s">
        <v>46</v>
      </c>
      <c r="U103" s="4" t="s">
        <v>46</v>
      </c>
      <c r="V103" s="5">
        <v>22</v>
      </c>
      <c r="W103" s="5">
        <v>115.3</v>
      </c>
      <c r="X103" s="5">
        <v>100</v>
      </c>
      <c r="Y103" s="5">
        <v>25.37</v>
      </c>
      <c r="Z103" s="5">
        <v>0</v>
      </c>
      <c r="AA103" s="5">
        <v>0</v>
      </c>
      <c r="AB103" s="4" t="s">
        <v>326</v>
      </c>
      <c r="AC103" s="4" t="s">
        <v>46</v>
      </c>
      <c r="AD103" s="5">
        <v>0</v>
      </c>
      <c r="AE103" s="4" t="s">
        <v>327</v>
      </c>
      <c r="AF103" s="3">
        <v>45292</v>
      </c>
      <c r="AG103" s="4" t="s">
        <v>46</v>
      </c>
      <c r="AH103" s="4" t="s">
        <v>46</v>
      </c>
      <c r="AI103" s="4" t="s">
        <v>46</v>
      </c>
      <c r="AJ103" s="4" t="s">
        <v>46</v>
      </c>
      <c r="AK103" s="4" t="s">
        <v>46</v>
      </c>
      <c r="AL103" s="4" t="s">
        <v>46</v>
      </c>
      <c r="AM103" s="4" t="s">
        <v>46</v>
      </c>
      <c r="AN103" s="4" t="s">
        <v>46</v>
      </c>
      <c r="AO103" s="4" t="s">
        <v>46</v>
      </c>
      <c r="AP103" s="4" t="s">
        <v>46</v>
      </c>
    </row>
    <row r="104" spans="1:42" x14ac:dyDescent="0.2">
      <c r="A104" s="2">
        <v>1891456</v>
      </c>
      <c r="B104" s="3">
        <v>45721</v>
      </c>
      <c r="C104" s="4" t="s">
        <v>164</v>
      </c>
      <c r="D104" s="2">
        <v>1673763</v>
      </c>
      <c r="E104" s="4" t="s">
        <v>358</v>
      </c>
      <c r="F104" s="4" t="s">
        <v>359</v>
      </c>
      <c r="G104" s="4" t="s">
        <v>46</v>
      </c>
      <c r="H104" s="4" t="s">
        <v>46</v>
      </c>
      <c r="I104" s="4" t="s">
        <v>46</v>
      </c>
      <c r="J104" s="4" t="s">
        <v>325</v>
      </c>
      <c r="K104" s="4" t="s">
        <v>48</v>
      </c>
      <c r="L104" s="3">
        <v>45717</v>
      </c>
      <c r="M104" s="4" t="s">
        <v>49</v>
      </c>
      <c r="N104" s="4" t="s">
        <v>46</v>
      </c>
      <c r="O104" s="4" t="s">
        <v>130</v>
      </c>
      <c r="P104" s="4" t="s">
        <v>130</v>
      </c>
      <c r="Q104" s="2">
        <v>1</v>
      </c>
      <c r="R104" s="2">
        <v>17</v>
      </c>
      <c r="S104" s="4" t="s">
        <v>51</v>
      </c>
      <c r="T104" s="4" t="s">
        <v>46</v>
      </c>
      <c r="U104" s="4" t="s">
        <v>46</v>
      </c>
      <c r="V104" s="5">
        <v>22</v>
      </c>
      <c r="W104" s="5">
        <v>131.96</v>
      </c>
      <c r="X104" s="5">
        <v>100</v>
      </c>
      <c r="Y104" s="5">
        <v>29.03</v>
      </c>
      <c r="Z104" s="5">
        <v>0</v>
      </c>
      <c r="AA104" s="5">
        <v>0</v>
      </c>
      <c r="AB104" s="4" t="s">
        <v>326</v>
      </c>
      <c r="AC104" s="4" t="s">
        <v>46</v>
      </c>
      <c r="AD104" s="5">
        <v>0</v>
      </c>
      <c r="AE104" s="4" t="s">
        <v>327</v>
      </c>
      <c r="AF104" s="3">
        <v>45292</v>
      </c>
      <c r="AG104" s="4" t="s">
        <v>46</v>
      </c>
      <c r="AH104" s="4" t="s">
        <v>46</v>
      </c>
      <c r="AI104" s="4" t="s">
        <v>46</v>
      </c>
      <c r="AJ104" s="4" t="s">
        <v>46</v>
      </c>
      <c r="AK104" s="4" t="s">
        <v>46</v>
      </c>
      <c r="AL104" s="4" t="s">
        <v>46</v>
      </c>
      <c r="AM104" s="4" t="s">
        <v>46</v>
      </c>
      <c r="AN104" s="4" t="s">
        <v>46</v>
      </c>
      <c r="AO104" s="4" t="s">
        <v>46</v>
      </c>
      <c r="AP104" s="4" t="s">
        <v>46</v>
      </c>
    </row>
    <row r="105" spans="1:42" x14ac:dyDescent="0.2">
      <c r="A105" s="2">
        <v>1891456</v>
      </c>
      <c r="B105" s="3">
        <v>45721</v>
      </c>
      <c r="C105" s="4" t="s">
        <v>164</v>
      </c>
      <c r="D105" s="2">
        <v>1673763</v>
      </c>
      <c r="E105" s="4" t="s">
        <v>360</v>
      </c>
      <c r="F105" s="4" t="s">
        <v>361</v>
      </c>
      <c r="G105" s="4" t="s">
        <v>46</v>
      </c>
      <c r="H105" s="4" t="s">
        <v>46</v>
      </c>
      <c r="I105" s="4" t="s">
        <v>46</v>
      </c>
      <c r="J105" s="4" t="s">
        <v>325</v>
      </c>
      <c r="K105" s="4" t="s">
        <v>48</v>
      </c>
      <c r="L105" s="3">
        <v>45717</v>
      </c>
      <c r="M105" s="4" t="s">
        <v>49</v>
      </c>
      <c r="N105" s="4" t="s">
        <v>46</v>
      </c>
      <c r="O105" s="4" t="s">
        <v>130</v>
      </c>
      <c r="P105" s="4" t="s">
        <v>130</v>
      </c>
      <c r="Q105" s="2">
        <v>1</v>
      </c>
      <c r="R105" s="2">
        <v>17</v>
      </c>
      <c r="S105" s="4" t="s">
        <v>51</v>
      </c>
      <c r="T105" s="4" t="s">
        <v>46</v>
      </c>
      <c r="U105" s="4" t="s">
        <v>46</v>
      </c>
      <c r="V105" s="5">
        <v>22</v>
      </c>
      <c r="W105" s="5">
        <v>130.08000000000001</v>
      </c>
      <c r="X105" s="5">
        <v>100</v>
      </c>
      <c r="Y105" s="5">
        <v>28.62</v>
      </c>
      <c r="Z105" s="5">
        <v>0</v>
      </c>
      <c r="AA105" s="5">
        <v>0</v>
      </c>
      <c r="AB105" s="4" t="s">
        <v>326</v>
      </c>
      <c r="AC105" s="4" t="s">
        <v>46</v>
      </c>
      <c r="AD105" s="5">
        <v>0</v>
      </c>
      <c r="AE105" s="4" t="s">
        <v>327</v>
      </c>
      <c r="AF105" s="3">
        <v>45292</v>
      </c>
      <c r="AG105" s="4" t="s">
        <v>46</v>
      </c>
      <c r="AH105" s="4" t="s">
        <v>46</v>
      </c>
      <c r="AI105" s="4" t="s">
        <v>46</v>
      </c>
      <c r="AJ105" s="4" t="s">
        <v>46</v>
      </c>
      <c r="AK105" s="4" t="s">
        <v>46</v>
      </c>
      <c r="AL105" s="4" t="s">
        <v>46</v>
      </c>
      <c r="AM105" s="4" t="s">
        <v>46</v>
      </c>
      <c r="AN105" s="4" t="s">
        <v>46</v>
      </c>
      <c r="AO105" s="4" t="s">
        <v>46</v>
      </c>
      <c r="AP105" s="4" t="s">
        <v>46</v>
      </c>
    </row>
    <row r="106" spans="1:42" x14ac:dyDescent="0.2">
      <c r="A106" s="2">
        <v>1891456</v>
      </c>
      <c r="B106" s="3">
        <v>45721</v>
      </c>
      <c r="C106" s="4" t="s">
        <v>164</v>
      </c>
      <c r="D106" s="2">
        <v>1673763</v>
      </c>
      <c r="E106" s="4" t="s">
        <v>362</v>
      </c>
      <c r="F106" s="4" t="s">
        <v>363</v>
      </c>
      <c r="G106" s="4" t="s">
        <v>46</v>
      </c>
      <c r="H106" s="4" t="s">
        <v>46</v>
      </c>
      <c r="I106" s="4" t="s">
        <v>46</v>
      </c>
      <c r="J106" s="4" t="s">
        <v>325</v>
      </c>
      <c r="K106" s="4" t="s">
        <v>48</v>
      </c>
      <c r="L106" s="3">
        <v>45717</v>
      </c>
      <c r="M106" s="4" t="s">
        <v>49</v>
      </c>
      <c r="N106" s="4" t="s">
        <v>46</v>
      </c>
      <c r="O106" s="4" t="s">
        <v>130</v>
      </c>
      <c r="P106" s="4" t="s">
        <v>130</v>
      </c>
      <c r="Q106" s="2">
        <v>1</v>
      </c>
      <c r="R106" s="2">
        <v>17</v>
      </c>
      <c r="S106" s="4" t="s">
        <v>51</v>
      </c>
      <c r="T106" s="4" t="s">
        <v>46</v>
      </c>
      <c r="U106" s="4" t="s">
        <v>46</v>
      </c>
      <c r="V106" s="5">
        <v>22</v>
      </c>
      <c r="W106" s="5">
        <v>130.08000000000001</v>
      </c>
      <c r="X106" s="5">
        <v>100</v>
      </c>
      <c r="Y106" s="5">
        <v>28.62</v>
      </c>
      <c r="Z106" s="5">
        <v>0</v>
      </c>
      <c r="AA106" s="5">
        <v>0</v>
      </c>
      <c r="AB106" s="4" t="s">
        <v>326</v>
      </c>
      <c r="AC106" s="4" t="s">
        <v>46</v>
      </c>
      <c r="AD106" s="5">
        <v>0</v>
      </c>
      <c r="AE106" s="4" t="s">
        <v>327</v>
      </c>
      <c r="AF106" s="3">
        <v>45261</v>
      </c>
      <c r="AG106" s="4" t="s">
        <v>46</v>
      </c>
      <c r="AH106" s="4" t="s">
        <v>46</v>
      </c>
      <c r="AI106" s="4" t="s">
        <v>46</v>
      </c>
      <c r="AJ106" s="4" t="s">
        <v>46</v>
      </c>
      <c r="AK106" s="4" t="s">
        <v>46</v>
      </c>
      <c r="AL106" s="4" t="s">
        <v>46</v>
      </c>
      <c r="AM106" s="4" t="s">
        <v>46</v>
      </c>
      <c r="AN106" s="4" t="s">
        <v>46</v>
      </c>
      <c r="AO106" s="4" t="s">
        <v>46</v>
      </c>
      <c r="AP106" s="4" t="s">
        <v>46</v>
      </c>
    </row>
    <row r="107" spans="1:42" x14ac:dyDescent="0.2">
      <c r="A107" s="2">
        <v>1891456</v>
      </c>
      <c r="B107" s="3">
        <v>45721</v>
      </c>
      <c r="C107" s="4" t="s">
        <v>164</v>
      </c>
      <c r="D107" s="2">
        <v>1673763</v>
      </c>
      <c r="E107" s="4" t="s">
        <v>364</v>
      </c>
      <c r="F107" s="4" t="s">
        <v>365</v>
      </c>
      <c r="G107" s="4" t="s">
        <v>46</v>
      </c>
      <c r="H107" s="4" t="s">
        <v>46</v>
      </c>
      <c r="I107" s="4" t="s">
        <v>46</v>
      </c>
      <c r="J107" s="4" t="s">
        <v>325</v>
      </c>
      <c r="K107" s="4" t="s">
        <v>48</v>
      </c>
      <c r="L107" s="3">
        <v>45717</v>
      </c>
      <c r="M107" s="4" t="s">
        <v>49</v>
      </c>
      <c r="N107" s="4" t="s">
        <v>46</v>
      </c>
      <c r="O107" s="4" t="s">
        <v>130</v>
      </c>
      <c r="P107" s="4" t="s">
        <v>130</v>
      </c>
      <c r="Q107" s="2">
        <v>1</v>
      </c>
      <c r="R107" s="2">
        <v>17</v>
      </c>
      <c r="S107" s="4" t="s">
        <v>51</v>
      </c>
      <c r="T107" s="4" t="s">
        <v>46</v>
      </c>
      <c r="U107" s="4" t="s">
        <v>46</v>
      </c>
      <c r="V107" s="5">
        <v>22</v>
      </c>
      <c r="W107" s="5">
        <v>130.08000000000001</v>
      </c>
      <c r="X107" s="5">
        <v>100</v>
      </c>
      <c r="Y107" s="5">
        <v>28.62</v>
      </c>
      <c r="Z107" s="5">
        <v>0</v>
      </c>
      <c r="AA107" s="5">
        <v>0</v>
      </c>
      <c r="AB107" s="4" t="s">
        <v>326</v>
      </c>
      <c r="AC107" s="4" t="s">
        <v>46</v>
      </c>
      <c r="AD107" s="5">
        <v>0</v>
      </c>
      <c r="AE107" s="4" t="s">
        <v>327</v>
      </c>
      <c r="AF107" s="3">
        <v>45261</v>
      </c>
      <c r="AG107" s="4" t="s">
        <v>46</v>
      </c>
      <c r="AH107" s="4" t="s">
        <v>46</v>
      </c>
      <c r="AI107" s="4" t="s">
        <v>46</v>
      </c>
      <c r="AJ107" s="4" t="s">
        <v>46</v>
      </c>
      <c r="AK107" s="4" t="s">
        <v>46</v>
      </c>
      <c r="AL107" s="4" t="s">
        <v>46</v>
      </c>
      <c r="AM107" s="4" t="s">
        <v>46</v>
      </c>
      <c r="AN107" s="4" t="s">
        <v>46</v>
      </c>
      <c r="AO107" s="4" t="s">
        <v>46</v>
      </c>
      <c r="AP107" s="4" t="s">
        <v>46</v>
      </c>
    </row>
    <row r="108" spans="1:42" x14ac:dyDescent="0.2">
      <c r="A108" s="2">
        <v>1891456</v>
      </c>
      <c r="B108" s="3">
        <v>45721</v>
      </c>
      <c r="C108" s="4" t="s">
        <v>164</v>
      </c>
      <c r="D108" s="2">
        <v>1673763</v>
      </c>
      <c r="E108" s="4" t="s">
        <v>366</v>
      </c>
      <c r="F108" s="4" t="s">
        <v>367</v>
      </c>
      <c r="G108" s="4" t="s">
        <v>46</v>
      </c>
      <c r="H108" s="4" t="s">
        <v>46</v>
      </c>
      <c r="I108" s="4" t="s">
        <v>46</v>
      </c>
      <c r="J108" s="4" t="s">
        <v>325</v>
      </c>
      <c r="K108" s="4" t="s">
        <v>48</v>
      </c>
      <c r="L108" s="3">
        <v>45717</v>
      </c>
      <c r="M108" s="4" t="s">
        <v>49</v>
      </c>
      <c r="N108" s="4" t="s">
        <v>46</v>
      </c>
      <c r="O108" s="4" t="s">
        <v>130</v>
      </c>
      <c r="P108" s="4" t="s">
        <v>130</v>
      </c>
      <c r="Q108" s="2">
        <v>1</v>
      </c>
      <c r="R108" s="2">
        <v>17</v>
      </c>
      <c r="S108" s="4" t="s">
        <v>51</v>
      </c>
      <c r="T108" s="4" t="s">
        <v>46</v>
      </c>
      <c r="U108" s="4" t="s">
        <v>46</v>
      </c>
      <c r="V108" s="5">
        <v>22</v>
      </c>
      <c r="W108" s="5">
        <v>154.43</v>
      </c>
      <c r="X108" s="5">
        <v>100</v>
      </c>
      <c r="Y108" s="5">
        <v>33.97</v>
      </c>
      <c r="Z108" s="5">
        <v>0</v>
      </c>
      <c r="AA108" s="5">
        <v>0</v>
      </c>
      <c r="AB108" s="4" t="s">
        <v>326</v>
      </c>
      <c r="AC108" s="4" t="s">
        <v>46</v>
      </c>
      <c r="AD108" s="5">
        <v>0</v>
      </c>
      <c r="AE108" s="4" t="s">
        <v>327</v>
      </c>
      <c r="AF108" s="3">
        <v>45292</v>
      </c>
      <c r="AG108" s="4" t="s">
        <v>46</v>
      </c>
      <c r="AH108" s="4" t="s">
        <v>46</v>
      </c>
      <c r="AI108" s="4" t="s">
        <v>46</v>
      </c>
      <c r="AJ108" s="4" t="s">
        <v>46</v>
      </c>
      <c r="AK108" s="4" t="s">
        <v>46</v>
      </c>
      <c r="AL108" s="4" t="s">
        <v>46</v>
      </c>
      <c r="AM108" s="4" t="s">
        <v>46</v>
      </c>
      <c r="AN108" s="4" t="s">
        <v>46</v>
      </c>
      <c r="AO108" s="4" t="s">
        <v>46</v>
      </c>
      <c r="AP108" s="4" t="s">
        <v>46</v>
      </c>
    </row>
    <row r="109" spans="1:42" x14ac:dyDescent="0.2">
      <c r="A109" s="2">
        <v>1891456</v>
      </c>
      <c r="B109" s="3">
        <v>45721</v>
      </c>
      <c r="C109" s="4" t="s">
        <v>164</v>
      </c>
      <c r="D109" s="2">
        <v>1673763</v>
      </c>
      <c r="E109" s="4" t="s">
        <v>368</v>
      </c>
      <c r="F109" s="4" t="s">
        <v>369</v>
      </c>
      <c r="G109" s="4" t="s">
        <v>46</v>
      </c>
      <c r="H109" s="4" t="s">
        <v>46</v>
      </c>
      <c r="I109" s="4" t="s">
        <v>46</v>
      </c>
      <c r="J109" s="4" t="s">
        <v>325</v>
      </c>
      <c r="K109" s="4" t="s">
        <v>48</v>
      </c>
      <c r="L109" s="3">
        <v>45717</v>
      </c>
      <c r="M109" s="4" t="s">
        <v>49</v>
      </c>
      <c r="N109" s="4" t="s">
        <v>46</v>
      </c>
      <c r="O109" s="4" t="s">
        <v>130</v>
      </c>
      <c r="P109" s="4" t="s">
        <v>130</v>
      </c>
      <c r="Q109" s="2">
        <v>1</v>
      </c>
      <c r="R109" s="2">
        <v>17</v>
      </c>
      <c r="S109" s="4" t="s">
        <v>51</v>
      </c>
      <c r="T109" s="4" t="s">
        <v>46</v>
      </c>
      <c r="U109" s="4" t="s">
        <v>46</v>
      </c>
      <c r="V109" s="5">
        <v>22</v>
      </c>
      <c r="W109" s="5">
        <v>134.6</v>
      </c>
      <c r="X109" s="5">
        <v>100</v>
      </c>
      <c r="Y109" s="5">
        <v>29.61</v>
      </c>
      <c r="Z109" s="5">
        <v>0</v>
      </c>
      <c r="AA109" s="5">
        <v>0</v>
      </c>
      <c r="AB109" s="4" t="s">
        <v>326</v>
      </c>
      <c r="AC109" s="4" t="s">
        <v>46</v>
      </c>
      <c r="AD109" s="5">
        <v>0</v>
      </c>
      <c r="AE109" s="4" t="s">
        <v>327</v>
      </c>
      <c r="AF109" s="3">
        <v>45292</v>
      </c>
      <c r="AG109" s="4" t="s">
        <v>46</v>
      </c>
      <c r="AH109" s="4" t="s">
        <v>46</v>
      </c>
      <c r="AI109" s="4" t="s">
        <v>46</v>
      </c>
      <c r="AJ109" s="4" t="s">
        <v>46</v>
      </c>
      <c r="AK109" s="4" t="s">
        <v>46</v>
      </c>
      <c r="AL109" s="4" t="s">
        <v>46</v>
      </c>
      <c r="AM109" s="4" t="s">
        <v>46</v>
      </c>
      <c r="AN109" s="4" t="s">
        <v>46</v>
      </c>
      <c r="AO109" s="4" t="s">
        <v>46</v>
      </c>
      <c r="AP109" s="4" t="s">
        <v>46</v>
      </c>
    </row>
    <row r="110" spans="1:42" x14ac:dyDescent="0.2">
      <c r="A110" s="2">
        <v>1891456</v>
      </c>
      <c r="B110" s="3">
        <v>45721</v>
      </c>
      <c r="C110" s="4" t="s">
        <v>164</v>
      </c>
      <c r="D110" s="2">
        <v>1673763</v>
      </c>
      <c r="E110" s="4" t="s">
        <v>370</v>
      </c>
      <c r="F110" s="4" t="s">
        <v>371</v>
      </c>
      <c r="G110" s="4" t="s">
        <v>46</v>
      </c>
      <c r="H110" s="4" t="s">
        <v>46</v>
      </c>
      <c r="I110" s="4" t="s">
        <v>46</v>
      </c>
      <c r="J110" s="4" t="s">
        <v>325</v>
      </c>
      <c r="K110" s="4" t="s">
        <v>48</v>
      </c>
      <c r="L110" s="3">
        <v>45717</v>
      </c>
      <c r="M110" s="4" t="s">
        <v>49</v>
      </c>
      <c r="N110" s="4" t="s">
        <v>46</v>
      </c>
      <c r="O110" s="4" t="s">
        <v>130</v>
      </c>
      <c r="P110" s="4" t="s">
        <v>130</v>
      </c>
      <c r="Q110" s="2">
        <v>1</v>
      </c>
      <c r="R110" s="2">
        <v>17</v>
      </c>
      <c r="S110" s="4" t="s">
        <v>51</v>
      </c>
      <c r="T110" s="4" t="s">
        <v>46</v>
      </c>
      <c r="U110" s="4" t="s">
        <v>46</v>
      </c>
      <c r="V110" s="5">
        <v>22</v>
      </c>
      <c r="W110" s="5">
        <v>148.9</v>
      </c>
      <c r="X110" s="5">
        <v>100</v>
      </c>
      <c r="Y110" s="5">
        <v>32.76</v>
      </c>
      <c r="Z110" s="5">
        <v>0</v>
      </c>
      <c r="AA110" s="5">
        <v>0</v>
      </c>
      <c r="AB110" s="4" t="s">
        <v>326</v>
      </c>
      <c r="AC110" s="4" t="s">
        <v>46</v>
      </c>
      <c r="AD110" s="5">
        <v>0</v>
      </c>
      <c r="AE110" s="4" t="s">
        <v>327</v>
      </c>
      <c r="AF110" s="3">
        <v>45292</v>
      </c>
      <c r="AG110" s="4" t="s">
        <v>46</v>
      </c>
      <c r="AH110" s="4" t="s">
        <v>46</v>
      </c>
      <c r="AI110" s="4" t="s">
        <v>46</v>
      </c>
      <c r="AJ110" s="4" t="s">
        <v>46</v>
      </c>
      <c r="AK110" s="4" t="s">
        <v>46</v>
      </c>
      <c r="AL110" s="4" t="s">
        <v>46</v>
      </c>
      <c r="AM110" s="4" t="s">
        <v>46</v>
      </c>
      <c r="AN110" s="4" t="s">
        <v>46</v>
      </c>
      <c r="AO110" s="4" t="s">
        <v>46</v>
      </c>
      <c r="AP110" s="4" t="s">
        <v>46</v>
      </c>
    </row>
    <row r="111" spans="1:42" x14ac:dyDescent="0.2">
      <c r="A111" s="2">
        <v>1891456</v>
      </c>
      <c r="B111" s="3">
        <v>45721</v>
      </c>
      <c r="C111" s="4" t="s">
        <v>164</v>
      </c>
      <c r="D111" s="2">
        <v>1673763</v>
      </c>
      <c r="E111" s="4" t="s">
        <v>372</v>
      </c>
      <c r="F111" s="4" t="s">
        <v>373</v>
      </c>
      <c r="G111" s="4" t="s">
        <v>46</v>
      </c>
      <c r="H111" s="4" t="s">
        <v>46</v>
      </c>
      <c r="I111" s="4" t="s">
        <v>46</v>
      </c>
      <c r="J111" s="4" t="s">
        <v>325</v>
      </c>
      <c r="K111" s="4" t="s">
        <v>48</v>
      </c>
      <c r="L111" s="3">
        <v>45717</v>
      </c>
      <c r="M111" s="4" t="s">
        <v>49</v>
      </c>
      <c r="N111" s="4" t="s">
        <v>46</v>
      </c>
      <c r="O111" s="4" t="s">
        <v>130</v>
      </c>
      <c r="P111" s="4" t="s">
        <v>130</v>
      </c>
      <c r="Q111" s="2">
        <v>1</v>
      </c>
      <c r="R111" s="2">
        <v>17</v>
      </c>
      <c r="S111" s="4" t="s">
        <v>51</v>
      </c>
      <c r="T111" s="4" t="s">
        <v>46</v>
      </c>
      <c r="U111" s="4" t="s">
        <v>46</v>
      </c>
      <c r="V111" s="5">
        <v>22</v>
      </c>
      <c r="W111" s="5">
        <v>155.12</v>
      </c>
      <c r="X111" s="5">
        <v>100</v>
      </c>
      <c r="Y111" s="5">
        <v>34.130000000000003</v>
      </c>
      <c r="Z111" s="5">
        <v>0</v>
      </c>
      <c r="AA111" s="5">
        <v>0</v>
      </c>
      <c r="AB111" s="4" t="s">
        <v>326</v>
      </c>
      <c r="AC111" s="4" t="s">
        <v>46</v>
      </c>
      <c r="AD111" s="5">
        <v>0</v>
      </c>
      <c r="AE111" s="4" t="s">
        <v>327</v>
      </c>
      <c r="AF111" s="3">
        <v>45292</v>
      </c>
      <c r="AG111" s="4" t="s">
        <v>46</v>
      </c>
      <c r="AH111" s="4" t="s">
        <v>46</v>
      </c>
      <c r="AI111" s="4" t="s">
        <v>46</v>
      </c>
      <c r="AJ111" s="4" t="s">
        <v>46</v>
      </c>
      <c r="AK111" s="4" t="s">
        <v>46</v>
      </c>
      <c r="AL111" s="4" t="s">
        <v>46</v>
      </c>
      <c r="AM111" s="4" t="s">
        <v>46</v>
      </c>
      <c r="AN111" s="4" t="s">
        <v>46</v>
      </c>
      <c r="AO111" s="4" t="s">
        <v>46</v>
      </c>
      <c r="AP111" s="4" t="s">
        <v>46</v>
      </c>
    </row>
    <row r="112" spans="1:42" x14ac:dyDescent="0.2">
      <c r="A112" s="2">
        <v>1891456</v>
      </c>
      <c r="B112" s="3">
        <v>45721</v>
      </c>
      <c r="C112" s="4" t="s">
        <v>164</v>
      </c>
      <c r="D112" s="2">
        <v>1673763</v>
      </c>
      <c r="E112" s="4" t="s">
        <v>374</v>
      </c>
      <c r="F112" s="4" t="s">
        <v>375</v>
      </c>
      <c r="G112" s="4" t="s">
        <v>46</v>
      </c>
      <c r="H112" s="4" t="s">
        <v>46</v>
      </c>
      <c r="I112" s="4" t="s">
        <v>46</v>
      </c>
      <c r="J112" s="4" t="s">
        <v>325</v>
      </c>
      <c r="K112" s="4" t="s">
        <v>48</v>
      </c>
      <c r="L112" s="3">
        <v>45717</v>
      </c>
      <c r="M112" s="4" t="s">
        <v>49</v>
      </c>
      <c r="N112" s="4" t="s">
        <v>46</v>
      </c>
      <c r="O112" s="4" t="s">
        <v>130</v>
      </c>
      <c r="P112" s="4" t="s">
        <v>130</v>
      </c>
      <c r="Q112" s="2">
        <v>1</v>
      </c>
      <c r="R112" s="2">
        <v>17</v>
      </c>
      <c r="S112" s="4" t="s">
        <v>51</v>
      </c>
      <c r="T112" s="4" t="s">
        <v>46</v>
      </c>
      <c r="U112" s="4" t="s">
        <v>46</v>
      </c>
      <c r="V112" s="5">
        <v>0</v>
      </c>
      <c r="W112" s="5">
        <v>146.72999999999999</v>
      </c>
      <c r="X112" s="5">
        <v>100</v>
      </c>
      <c r="Y112" s="5">
        <v>4.17</v>
      </c>
      <c r="Z112" s="5">
        <v>0</v>
      </c>
      <c r="AA112" s="5">
        <v>0</v>
      </c>
      <c r="AB112" s="4" t="s">
        <v>326</v>
      </c>
      <c r="AC112" s="4" t="s">
        <v>46</v>
      </c>
      <c r="AD112" s="5">
        <v>0</v>
      </c>
      <c r="AE112" s="4" t="s">
        <v>327</v>
      </c>
      <c r="AF112" s="3">
        <v>45261</v>
      </c>
      <c r="AG112" s="4" t="s">
        <v>46</v>
      </c>
      <c r="AH112" s="4" t="s">
        <v>46</v>
      </c>
      <c r="AI112" s="4" t="s">
        <v>46</v>
      </c>
      <c r="AJ112" s="4" t="s">
        <v>46</v>
      </c>
      <c r="AK112" s="4" t="s">
        <v>46</v>
      </c>
      <c r="AL112" s="4" t="s">
        <v>46</v>
      </c>
      <c r="AM112" s="4" t="s">
        <v>46</v>
      </c>
      <c r="AN112" s="4" t="s">
        <v>46</v>
      </c>
      <c r="AO112" s="4" t="s">
        <v>46</v>
      </c>
      <c r="AP112" s="4" t="s">
        <v>46</v>
      </c>
    </row>
    <row r="113" spans="1:42" x14ac:dyDescent="0.2">
      <c r="A113" s="2">
        <v>1891456</v>
      </c>
      <c r="B113" s="3">
        <v>45721</v>
      </c>
      <c r="C113" s="4" t="s">
        <v>164</v>
      </c>
      <c r="D113" s="2">
        <v>1673763</v>
      </c>
      <c r="E113" s="4" t="s">
        <v>376</v>
      </c>
      <c r="F113" s="4" t="s">
        <v>377</v>
      </c>
      <c r="G113" s="4" t="s">
        <v>46</v>
      </c>
      <c r="H113" s="4" t="s">
        <v>46</v>
      </c>
      <c r="I113" s="4" t="s">
        <v>46</v>
      </c>
      <c r="J113" s="4" t="s">
        <v>325</v>
      </c>
      <c r="K113" s="4" t="s">
        <v>48</v>
      </c>
      <c r="L113" s="3">
        <v>45717</v>
      </c>
      <c r="M113" s="4" t="s">
        <v>49</v>
      </c>
      <c r="N113" s="4" t="s">
        <v>46</v>
      </c>
      <c r="O113" s="4" t="s">
        <v>130</v>
      </c>
      <c r="P113" s="4" t="s">
        <v>130</v>
      </c>
      <c r="Q113" s="2">
        <v>1</v>
      </c>
      <c r="R113" s="2">
        <v>17</v>
      </c>
      <c r="S113" s="4" t="s">
        <v>51</v>
      </c>
      <c r="T113" s="4" t="s">
        <v>46</v>
      </c>
      <c r="U113" s="4" t="s">
        <v>46</v>
      </c>
      <c r="V113" s="5">
        <v>1</v>
      </c>
      <c r="W113" s="5">
        <v>130.03</v>
      </c>
      <c r="X113" s="5">
        <v>100</v>
      </c>
      <c r="Y113" s="5">
        <v>1.3</v>
      </c>
      <c r="Z113" s="5">
        <v>0</v>
      </c>
      <c r="AA113" s="5">
        <v>0</v>
      </c>
      <c r="AB113" s="4" t="s">
        <v>326</v>
      </c>
      <c r="AC113" s="4" t="s">
        <v>46</v>
      </c>
      <c r="AD113" s="5">
        <v>0</v>
      </c>
      <c r="AE113" s="4" t="s">
        <v>327</v>
      </c>
      <c r="AF113" s="3">
        <v>45323</v>
      </c>
      <c r="AG113" s="4" t="s">
        <v>46</v>
      </c>
      <c r="AH113" s="4" t="s">
        <v>46</v>
      </c>
      <c r="AI113" s="4" t="s">
        <v>46</v>
      </c>
      <c r="AJ113" s="4" t="s">
        <v>46</v>
      </c>
      <c r="AK113" s="4" t="s">
        <v>46</v>
      </c>
      <c r="AL113" s="4" t="s">
        <v>46</v>
      </c>
      <c r="AM113" s="4" t="s">
        <v>46</v>
      </c>
      <c r="AN113" s="4" t="s">
        <v>46</v>
      </c>
      <c r="AO113" s="4" t="s">
        <v>46</v>
      </c>
      <c r="AP113" s="4" t="s">
        <v>46</v>
      </c>
    </row>
    <row r="114" spans="1:42" x14ac:dyDescent="0.2">
      <c r="A114" s="2">
        <v>1891456</v>
      </c>
      <c r="B114" s="3">
        <v>45721</v>
      </c>
      <c r="C114" s="4" t="s">
        <v>164</v>
      </c>
      <c r="D114" s="2">
        <v>1673763</v>
      </c>
      <c r="E114" s="4" t="s">
        <v>378</v>
      </c>
      <c r="F114" s="4" t="s">
        <v>379</v>
      </c>
      <c r="G114" s="4" t="s">
        <v>46</v>
      </c>
      <c r="H114" s="4" t="s">
        <v>46</v>
      </c>
      <c r="I114" s="4" t="s">
        <v>46</v>
      </c>
      <c r="J114" s="4" t="s">
        <v>325</v>
      </c>
      <c r="K114" s="4" t="s">
        <v>48</v>
      </c>
      <c r="L114" s="3">
        <v>45717</v>
      </c>
      <c r="M114" s="4" t="s">
        <v>49</v>
      </c>
      <c r="N114" s="4" t="s">
        <v>46</v>
      </c>
      <c r="O114" s="4" t="s">
        <v>130</v>
      </c>
      <c r="P114" s="4" t="s">
        <v>130</v>
      </c>
      <c r="Q114" s="2">
        <v>1</v>
      </c>
      <c r="R114" s="2">
        <v>17</v>
      </c>
      <c r="S114" s="4" t="s">
        <v>51</v>
      </c>
      <c r="T114" s="4" t="s">
        <v>46</v>
      </c>
      <c r="U114" s="4" t="s">
        <v>46</v>
      </c>
      <c r="V114" s="5">
        <v>22</v>
      </c>
      <c r="W114" s="5">
        <v>130.08000000000001</v>
      </c>
      <c r="X114" s="5">
        <v>100</v>
      </c>
      <c r="Y114" s="5">
        <v>28.62</v>
      </c>
      <c r="Z114" s="5">
        <v>0</v>
      </c>
      <c r="AA114" s="5">
        <v>0</v>
      </c>
      <c r="AB114" s="4" t="s">
        <v>326</v>
      </c>
      <c r="AC114" s="4" t="s">
        <v>46</v>
      </c>
      <c r="AD114" s="5">
        <v>0</v>
      </c>
      <c r="AE114" s="4" t="s">
        <v>327</v>
      </c>
      <c r="AF114" s="3">
        <v>45352</v>
      </c>
      <c r="AG114" s="4" t="s">
        <v>46</v>
      </c>
      <c r="AH114" s="4" t="s">
        <v>46</v>
      </c>
      <c r="AI114" s="4" t="s">
        <v>46</v>
      </c>
      <c r="AJ114" s="4" t="s">
        <v>46</v>
      </c>
      <c r="AK114" s="4" t="s">
        <v>46</v>
      </c>
      <c r="AL114" s="4" t="s">
        <v>46</v>
      </c>
      <c r="AM114" s="4" t="s">
        <v>46</v>
      </c>
      <c r="AN114" s="4" t="s">
        <v>46</v>
      </c>
      <c r="AO114" s="4" t="s">
        <v>46</v>
      </c>
      <c r="AP114" s="4" t="s">
        <v>46</v>
      </c>
    </row>
    <row r="115" spans="1:42" x14ac:dyDescent="0.2">
      <c r="A115" s="2">
        <v>1891456</v>
      </c>
      <c r="B115" s="3">
        <v>45721</v>
      </c>
      <c r="C115" s="4" t="s">
        <v>164</v>
      </c>
      <c r="D115" s="2">
        <v>1673763</v>
      </c>
      <c r="E115" s="4" t="s">
        <v>380</v>
      </c>
      <c r="F115" s="4" t="s">
        <v>381</v>
      </c>
      <c r="G115" s="4" t="s">
        <v>46</v>
      </c>
      <c r="H115" s="4" t="s">
        <v>46</v>
      </c>
      <c r="I115" s="4" t="s">
        <v>46</v>
      </c>
      <c r="J115" s="4" t="s">
        <v>325</v>
      </c>
      <c r="K115" s="4" t="s">
        <v>48</v>
      </c>
      <c r="L115" s="3">
        <v>45717</v>
      </c>
      <c r="M115" s="4" t="s">
        <v>49</v>
      </c>
      <c r="N115" s="4" t="s">
        <v>46</v>
      </c>
      <c r="O115" s="4" t="s">
        <v>130</v>
      </c>
      <c r="P115" s="4" t="s">
        <v>130</v>
      </c>
      <c r="Q115" s="2">
        <v>1</v>
      </c>
      <c r="R115" s="2">
        <v>17</v>
      </c>
      <c r="S115" s="4" t="s">
        <v>51</v>
      </c>
      <c r="T115" s="4" t="s">
        <v>46</v>
      </c>
      <c r="U115" s="4" t="s">
        <v>46</v>
      </c>
      <c r="V115" s="5">
        <v>22</v>
      </c>
      <c r="W115" s="5">
        <v>130.08000000000001</v>
      </c>
      <c r="X115" s="5">
        <v>100</v>
      </c>
      <c r="Y115" s="5">
        <v>28.62</v>
      </c>
      <c r="Z115" s="5">
        <v>0</v>
      </c>
      <c r="AA115" s="5">
        <v>0</v>
      </c>
      <c r="AB115" s="4" t="s">
        <v>326</v>
      </c>
      <c r="AC115" s="4" t="s">
        <v>46</v>
      </c>
      <c r="AD115" s="5">
        <v>0</v>
      </c>
      <c r="AE115" s="4" t="s">
        <v>327</v>
      </c>
      <c r="AF115" s="3">
        <v>45352</v>
      </c>
      <c r="AG115" s="4" t="s">
        <v>46</v>
      </c>
      <c r="AH115" s="4" t="s">
        <v>46</v>
      </c>
      <c r="AI115" s="4" t="s">
        <v>46</v>
      </c>
      <c r="AJ115" s="4" t="s">
        <v>46</v>
      </c>
      <c r="AK115" s="4" t="s">
        <v>46</v>
      </c>
      <c r="AL115" s="4" t="s">
        <v>46</v>
      </c>
      <c r="AM115" s="4" t="s">
        <v>46</v>
      </c>
      <c r="AN115" s="4" t="s">
        <v>46</v>
      </c>
      <c r="AO115" s="4" t="s">
        <v>46</v>
      </c>
      <c r="AP115" s="4" t="s">
        <v>46</v>
      </c>
    </row>
    <row r="116" spans="1:42" x14ac:dyDescent="0.2">
      <c r="A116" s="2">
        <v>1891456</v>
      </c>
      <c r="B116" s="3">
        <v>45721</v>
      </c>
      <c r="C116" s="4" t="s">
        <v>164</v>
      </c>
      <c r="D116" s="2">
        <v>1673763</v>
      </c>
      <c r="E116" s="4" t="s">
        <v>382</v>
      </c>
      <c r="F116" s="4" t="s">
        <v>383</v>
      </c>
      <c r="G116" s="4" t="s">
        <v>46</v>
      </c>
      <c r="H116" s="4" t="s">
        <v>46</v>
      </c>
      <c r="I116" s="4" t="s">
        <v>46</v>
      </c>
      <c r="J116" s="4" t="s">
        <v>325</v>
      </c>
      <c r="K116" s="4" t="s">
        <v>48</v>
      </c>
      <c r="L116" s="3">
        <v>45717</v>
      </c>
      <c r="M116" s="4" t="s">
        <v>49</v>
      </c>
      <c r="N116" s="4" t="s">
        <v>46</v>
      </c>
      <c r="O116" s="4" t="s">
        <v>50</v>
      </c>
      <c r="P116" s="4" t="s">
        <v>130</v>
      </c>
      <c r="Q116" s="2">
        <v>1</v>
      </c>
      <c r="R116" s="2">
        <v>17</v>
      </c>
      <c r="S116" s="4" t="s">
        <v>51</v>
      </c>
      <c r="T116" s="4" t="s">
        <v>46</v>
      </c>
      <c r="U116" s="4" t="s">
        <v>46</v>
      </c>
      <c r="V116" s="5">
        <v>22</v>
      </c>
      <c r="W116" s="5">
        <v>1674.6</v>
      </c>
      <c r="X116" s="5">
        <v>100</v>
      </c>
      <c r="Y116" s="5">
        <v>368.4</v>
      </c>
      <c r="Z116" s="5">
        <v>0</v>
      </c>
      <c r="AA116" s="5">
        <v>0</v>
      </c>
      <c r="AB116" s="4" t="s">
        <v>342</v>
      </c>
      <c r="AC116" s="4" t="s">
        <v>46</v>
      </c>
      <c r="AD116" s="5">
        <v>0</v>
      </c>
      <c r="AE116" s="4" t="s">
        <v>343</v>
      </c>
      <c r="AF116" s="3">
        <v>45717</v>
      </c>
      <c r="AG116" s="4" t="s">
        <v>46</v>
      </c>
      <c r="AH116" s="4" t="s">
        <v>46</v>
      </c>
      <c r="AI116" s="4" t="s">
        <v>46</v>
      </c>
      <c r="AJ116" s="4" t="s">
        <v>46</v>
      </c>
      <c r="AK116" s="4" t="s">
        <v>46</v>
      </c>
      <c r="AL116" s="4" t="s">
        <v>46</v>
      </c>
      <c r="AM116" s="4" t="s">
        <v>46</v>
      </c>
      <c r="AN116" s="4" t="s">
        <v>46</v>
      </c>
      <c r="AO116" s="4" t="s">
        <v>46</v>
      </c>
      <c r="AP116" s="4" t="s">
        <v>46</v>
      </c>
    </row>
    <row r="117" spans="1:42" x14ac:dyDescent="0.2">
      <c r="A117" s="2">
        <v>1891456</v>
      </c>
      <c r="B117" s="3">
        <v>45721</v>
      </c>
      <c r="C117" s="4" t="s">
        <v>164</v>
      </c>
      <c r="D117" s="2">
        <v>1673763</v>
      </c>
      <c r="E117" s="4" t="s">
        <v>384</v>
      </c>
      <c r="F117" s="4" t="s">
        <v>385</v>
      </c>
      <c r="G117" s="4" t="s">
        <v>46</v>
      </c>
      <c r="H117" s="4" t="s">
        <v>46</v>
      </c>
      <c r="I117" s="4" t="s">
        <v>46</v>
      </c>
      <c r="J117" s="4" t="s">
        <v>325</v>
      </c>
      <c r="K117" s="4" t="s">
        <v>48</v>
      </c>
      <c r="L117" s="3">
        <v>45717</v>
      </c>
      <c r="M117" s="4" t="s">
        <v>49</v>
      </c>
      <c r="N117" s="4" t="s">
        <v>46</v>
      </c>
      <c r="O117" s="4" t="s">
        <v>50</v>
      </c>
      <c r="P117" s="4" t="s">
        <v>130</v>
      </c>
      <c r="Q117" s="2">
        <v>1</v>
      </c>
      <c r="R117" s="2">
        <v>17</v>
      </c>
      <c r="S117" s="4" t="s">
        <v>51</v>
      </c>
      <c r="T117" s="4" t="s">
        <v>46</v>
      </c>
      <c r="U117" s="4" t="s">
        <v>46</v>
      </c>
      <c r="V117" s="5">
        <v>22</v>
      </c>
      <c r="W117" s="5">
        <v>1674.6</v>
      </c>
      <c r="X117" s="5">
        <v>100</v>
      </c>
      <c r="Y117" s="5">
        <v>368.4</v>
      </c>
      <c r="Z117" s="5">
        <v>0</v>
      </c>
      <c r="AA117" s="5">
        <v>0</v>
      </c>
      <c r="AB117" s="4" t="s">
        <v>342</v>
      </c>
      <c r="AC117" s="4" t="s">
        <v>46</v>
      </c>
      <c r="AD117" s="5">
        <v>0</v>
      </c>
      <c r="AE117" s="4" t="s">
        <v>343</v>
      </c>
      <c r="AF117" s="3">
        <v>45717</v>
      </c>
      <c r="AG117" s="4" t="s">
        <v>46</v>
      </c>
      <c r="AH117" s="4" t="s">
        <v>46</v>
      </c>
      <c r="AI117" s="4" t="s">
        <v>46</v>
      </c>
      <c r="AJ117" s="4" t="s">
        <v>46</v>
      </c>
      <c r="AK117" s="4" t="s">
        <v>46</v>
      </c>
      <c r="AL117" s="4" t="s">
        <v>46</v>
      </c>
      <c r="AM117" s="4" t="s">
        <v>46</v>
      </c>
      <c r="AN117" s="4" t="s">
        <v>46</v>
      </c>
      <c r="AO117" s="4" t="s">
        <v>46</v>
      </c>
      <c r="AP117" s="4" t="s">
        <v>46</v>
      </c>
    </row>
    <row r="118" spans="1:42" x14ac:dyDescent="0.2">
      <c r="A118" s="2">
        <v>1891456</v>
      </c>
      <c r="B118" s="3">
        <v>45721</v>
      </c>
      <c r="C118" s="4" t="s">
        <v>164</v>
      </c>
      <c r="D118" s="2">
        <v>1673763</v>
      </c>
      <c r="E118" s="4" t="s">
        <v>386</v>
      </c>
      <c r="F118" s="4" t="s">
        <v>387</v>
      </c>
      <c r="G118" s="4" t="s">
        <v>46</v>
      </c>
      <c r="H118" s="4" t="s">
        <v>46</v>
      </c>
      <c r="I118" s="4" t="s">
        <v>46</v>
      </c>
      <c r="J118" s="4" t="s">
        <v>281</v>
      </c>
      <c r="K118" s="4" t="s">
        <v>282</v>
      </c>
      <c r="L118" s="3">
        <v>45748</v>
      </c>
      <c r="M118" s="4" t="s">
        <v>87</v>
      </c>
      <c r="N118" s="4" t="s">
        <v>46</v>
      </c>
      <c r="O118" s="4" t="s">
        <v>50</v>
      </c>
      <c r="P118" s="4" t="s">
        <v>130</v>
      </c>
      <c r="Q118" s="2">
        <v>1</v>
      </c>
      <c r="R118" s="2">
        <v>60</v>
      </c>
      <c r="S118" s="4" t="s">
        <v>283</v>
      </c>
      <c r="T118" s="4" t="s">
        <v>46</v>
      </c>
      <c r="U118" s="4" t="s">
        <v>46</v>
      </c>
      <c r="V118" s="5">
        <v>10</v>
      </c>
      <c r="W118" s="5">
        <v>12.99</v>
      </c>
      <c r="X118" s="5">
        <v>100</v>
      </c>
      <c r="Y118" s="5">
        <v>1.3</v>
      </c>
      <c r="Z118" s="4" t="s">
        <v>46</v>
      </c>
      <c r="AA118" s="5" t="s">
        <v>46</v>
      </c>
      <c r="AB118" s="4" t="s">
        <v>284</v>
      </c>
      <c r="AC118" s="4" t="s">
        <v>46</v>
      </c>
      <c r="AD118" s="5">
        <v>0</v>
      </c>
      <c r="AE118" s="4" t="s">
        <v>285</v>
      </c>
      <c r="AF118" s="3">
        <v>45689</v>
      </c>
      <c r="AG118" s="4" t="s">
        <v>46</v>
      </c>
      <c r="AH118" s="4" t="s">
        <v>46</v>
      </c>
      <c r="AI118" s="4" t="s">
        <v>46</v>
      </c>
      <c r="AJ118" s="4" t="s">
        <v>46</v>
      </c>
      <c r="AK118" s="4" t="s">
        <v>46</v>
      </c>
      <c r="AL118" s="4" t="s">
        <v>46</v>
      </c>
      <c r="AM118" s="4" t="s">
        <v>46</v>
      </c>
      <c r="AN118" s="4" t="s">
        <v>46</v>
      </c>
      <c r="AO118" s="4" t="s">
        <v>46</v>
      </c>
      <c r="AP118" s="4" t="s">
        <v>46</v>
      </c>
    </row>
    <row r="119" spans="1:42" x14ac:dyDescent="0.2">
      <c r="A119" s="2">
        <v>1891456</v>
      </c>
      <c r="B119" s="3">
        <v>45721</v>
      </c>
      <c r="C119" s="4" t="s">
        <v>169</v>
      </c>
      <c r="D119" s="2">
        <v>1703723</v>
      </c>
      <c r="E119" s="4" t="s">
        <v>388</v>
      </c>
      <c r="F119" s="4" t="s">
        <v>389</v>
      </c>
      <c r="G119" s="4" t="s">
        <v>46</v>
      </c>
      <c r="H119" s="4" t="s">
        <v>46</v>
      </c>
      <c r="I119" s="4" t="s">
        <v>46</v>
      </c>
      <c r="J119" s="4" t="s">
        <v>325</v>
      </c>
      <c r="K119" s="4" t="s">
        <v>48</v>
      </c>
      <c r="L119" s="3">
        <v>45717</v>
      </c>
      <c r="M119" s="4" t="s">
        <v>49</v>
      </c>
      <c r="N119" s="4" t="s">
        <v>46</v>
      </c>
      <c r="O119" s="4" t="s">
        <v>130</v>
      </c>
      <c r="P119" s="4" t="s">
        <v>130</v>
      </c>
      <c r="Q119" s="2">
        <v>1</v>
      </c>
      <c r="R119" s="2">
        <v>17</v>
      </c>
      <c r="S119" s="4" t="s">
        <v>51</v>
      </c>
      <c r="T119" s="4" t="s">
        <v>46</v>
      </c>
      <c r="U119" s="4" t="s">
        <v>46</v>
      </c>
      <c r="V119" s="5">
        <v>26</v>
      </c>
      <c r="W119" s="5">
        <v>113</v>
      </c>
      <c r="X119" s="5">
        <v>100</v>
      </c>
      <c r="Y119" s="5">
        <v>29.38</v>
      </c>
      <c r="Z119" s="5">
        <v>0</v>
      </c>
      <c r="AA119" s="5">
        <v>0</v>
      </c>
      <c r="AB119" s="4" t="s">
        <v>326</v>
      </c>
      <c r="AC119" s="4" t="s">
        <v>46</v>
      </c>
      <c r="AD119" s="5">
        <v>0</v>
      </c>
      <c r="AE119" s="4" t="s">
        <v>327</v>
      </c>
      <c r="AF119" s="3">
        <v>45352</v>
      </c>
      <c r="AG119" s="4" t="s">
        <v>46</v>
      </c>
      <c r="AH119" s="4" t="s">
        <v>46</v>
      </c>
      <c r="AI119" s="4" t="s">
        <v>46</v>
      </c>
      <c r="AJ119" s="4" t="s">
        <v>46</v>
      </c>
      <c r="AK119" s="4" t="s">
        <v>46</v>
      </c>
      <c r="AL119" s="4" t="s">
        <v>46</v>
      </c>
      <c r="AM119" s="4" t="s">
        <v>46</v>
      </c>
      <c r="AN119" s="4" t="s">
        <v>46</v>
      </c>
      <c r="AO119" s="4" t="s">
        <v>46</v>
      </c>
      <c r="AP119" s="4" t="s">
        <v>46</v>
      </c>
    </row>
    <row r="120" spans="1:42" x14ac:dyDescent="0.2">
      <c r="A120" s="2">
        <v>1891456</v>
      </c>
      <c r="B120" s="3">
        <v>45721</v>
      </c>
      <c r="C120" s="4" t="s">
        <v>195</v>
      </c>
      <c r="D120" s="2">
        <v>1755893</v>
      </c>
      <c r="E120" s="4" t="s">
        <v>390</v>
      </c>
      <c r="F120" s="4" t="s">
        <v>391</v>
      </c>
      <c r="G120" s="4" t="s">
        <v>46</v>
      </c>
      <c r="H120" s="4" t="s">
        <v>46</v>
      </c>
      <c r="I120" s="4" t="s">
        <v>46</v>
      </c>
      <c r="J120" s="4" t="s">
        <v>281</v>
      </c>
      <c r="K120" s="4" t="s">
        <v>282</v>
      </c>
      <c r="L120" s="3">
        <v>45748</v>
      </c>
      <c r="M120" s="4" t="s">
        <v>87</v>
      </c>
      <c r="N120" s="4" t="s">
        <v>46</v>
      </c>
      <c r="O120" s="4" t="s">
        <v>50</v>
      </c>
      <c r="P120" s="4" t="s">
        <v>130</v>
      </c>
      <c r="Q120" s="2">
        <v>1</v>
      </c>
      <c r="R120" s="2">
        <v>60</v>
      </c>
      <c r="S120" s="4" t="s">
        <v>283</v>
      </c>
      <c r="T120" s="4" t="s">
        <v>46</v>
      </c>
      <c r="U120" s="4" t="s">
        <v>46</v>
      </c>
      <c r="V120" s="5">
        <v>10</v>
      </c>
      <c r="W120" s="5">
        <v>12.99</v>
      </c>
      <c r="X120" s="5">
        <v>100</v>
      </c>
      <c r="Y120" s="5">
        <v>1.3</v>
      </c>
      <c r="Z120" s="4" t="s">
        <v>46</v>
      </c>
      <c r="AA120" s="5" t="s">
        <v>46</v>
      </c>
      <c r="AB120" s="4" t="s">
        <v>284</v>
      </c>
      <c r="AC120" s="4" t="s">
        <v>46</v>
      </c>
      <c r="AD120" s="5">
        <v>0</v>
      </c>
      <c r="AE120" s="4" t="s">
        <v>285</v>
      </c>
      <c r="AF120" s="3">
        <v>45693</v>
      </c>
      <c r="AG120" s="4" t="s">
        <v>46</v>
      </c>
      <c r="AH120" s="4" t="s">
        <v>46</v>
      </c>
      <c r="AI120" s="4" t="s">
        <v>46</v>
      </c>
      <c r="AJ120" s="4" t="s">
        <v>46</v>
      </c>
      <c r="AK120" s="4" t="s">
        <v>46</v>
      </c>
      <c r="AL120" s="4" t="s">
        <v>46</v>
      </c>
      <c r="AM120" s="4" t="s">
        <v>46</v>
      </c>
      <c r="AN120" s="4" t="s">
        <v>46</v>
      </c>
      <c r="AO120" s="4" t="s">
        <v>46</v>
      </c>
      <c r="AP120" s="4" t="s">
        <v>46</v>
      </c>
    </row>
    <row r="121" spans="1:42" x14ac:dyDescent="0.2">
      <c r="A121" s="2">
        <v>1891456</v>
      </c>
      <c r="B121" s="3">
        <v>45721</v>
      </c>
      <c r="C121" s="4" t="s">
        <v>195</v>
      </c>
      <c r="D121" s="2">
        <v>1755893</v>
      </c>
      <c r="E121" s="4" t="s">
        <v>392</v>
      </c>
      <c r="F121" s="4" t="s">
        <v>393</v>
      </c>
      <c r="G121" s="4" t="s">
        <v>46</v>
      </c>
      <c r="H121" s="4" t="s">
        <v>46</v>
      </c>
      <c r="I121" s="4" t="s">
        <v>46</v>
      </c>
      <c r="J121" s="4" t="s">
        <v>281</v>
      </c>
      <c r="K121" s="4" t="s">
        <v>282</v>
      </c>
      <c r="L121" s="3">
        <v>45748</v>
      </c>
      <c r="M121" s="4" t="s">
        <v>87</v>
      </c>
      <c r="N121" s="4" t="s">
        <v>46</v>
      </c>
      <c r="O121" s="4" t="s">
        <v>50</v>
      </c>
      <c r="P121" s="4" t="s">
        <v>130</v>
      </c>
      <c r="Q121" s="2">
        <v>1</v>
      </c>
      <c r="R121" s="2">
        <v>60</v>
      </c>
      <c r="S121" s="4" t="s">
        <v>283</v>
      </c>
      <c r="T121" s="4" t="s">
        <v>46</v>
      </c>
      <c r="U121" s="4" t="s">
        <v>46</v>
      </c>
      <c r="V121" s="5">
        <v>10</v>
      </c>
      <c r="W121" s="5">
        <v>12.99</v>
      </c>
      <c r="X121" s="5">
        <v>100</v>
      </c>
      <c r="Y121" s="5">
        <v>1.3</v>
      </c>
      <c r="Z121" s="4" t="s">
        <v>46</v>
      </c>
      <c r="AA121" s="5" t="s">
        <v>46</v>
      </c>
      <c r="AB121" s="4" t="s">
        <v>284</v>
      </c>
      <c r="AC121" s="4" t="s">
        <v>46</v>
      </c>
      <c r="AD121" s="5">
        <v>0</v>
      </c>
      <c r="AE121" s="4" t="s">
        <v>285</v>
      </c>
      <c r="AF121" s="3">
        <v>45717</v>
      </c>
      <c r="AG121" s="4" t="s">
        <v>46</v>
      </c>
      <c r="AH121" s="4" t="s">
        <v>46</v>
      </c>
      <c r="AI121" s="4" t="s">
        <v>46</v>
      </c>
      <c r="AJ121" s="4" t="s">
        <v>46</v>
      </c>
      <c r="AK121" s="4" t="s">
        <v>46</v>
      </c>
      <c r="AL121" s="4" t="s">
        <v>46</v>
      </c>
      <c r="AM121" s="4" t="s">
        <v>46</v>
      </c>
      <c r="AN121" s="4" t="s">
        <v>46</v>
      </c>
      <c r="AO121" s="4" t="s">
        <v>46</v>
      </c>
      <c r="AP121" s="4" t="s">
        <v>46</v>
      </c>
    </row>
    <row r="122" spans="1:42" x14ac:dyDescent="0.2">
      <c r="A122" s="2">
        <v>1891456</v>
      </c>
      <c r="B122" s="3">
        <v>45721</v>
      </c>
      <c r="C122" s="4" t="s">
        <v>394</v>
      </c>
      <c r="D122" s="2">
        <v>1758433</v>
      </c>
      <c r="E122" s="4" t="s">
        <v>395</v>
      </c>
      <c r="F122" s="4" t="s">
        <v>396</v>
      </c>
      <c r="G122" s="4" t="s">
        <v>46</v>
      </c>
      <c r="H122" s="4" t="s">
        <v>46</v>
      </c>
      <c r="I122" s="4" t="s">
        <v>46</v>
      </c>
      <c r="J122" s="4" t="s">
        <v>325</v>
      </c>
      <c r="K122" s="4" t="s">
        <v>48</v>
      </c>
      <c r="L122" s="3">
        <v>45717</v>
      </c>
      <c r="M122" s="4" t="s">
        <v>49</v>
      </c>
      <c r="N122" s="4" t="s">
        <v>46</v>
      </c>
      <c r="O122" s="4" t="s">
        <v>130</v>
      </c>
      <c r="P122" s="4" t="s">
        <v>130</v>
      </c>
      <c r="Q122" s="2">
        <v>1</v>
      </c>
      <c r="R122" s="2">
        <v>17</v>
      </c>
      <c r="S122" s="4" t="s">
        <v>51</v>
      </c>
      <c r="T122" s="4" t="s">
        <v>46</v>
      </c>
      <c r="U122" s="4" t="s">
        <v>46</v>
      </c>
      <c r="V122" s="5">
        <v>22</v>
      </c>
      <c r="W122" s="5">
        <v>130.03</v>
      </c>
      <c r="X122" s="5">
        <v>100</v>
      </c>
      <c r="Y122" s="5">
        <v>28.61</v>
      </c>
      <c r="Z122" s="5">
        <v>0</v>
      </c>
      <c r="AA122" s="5">
        <v>0</v>
      </c>
      <c r="AB122" s="4" t="s">
        <v>326</v>
      </c>
      <c r="AC122" s="4" t="s">
        <v>46</v>
      </c>
      <c r="AD122" s="5">
        <v>0</v>
      </c>
      <c r="AE122" s="4" t="s">
        <v>327</v>
      </c>
      <c r="AF122" s="3">
        <v>45323</v>
      </c>
      <c r="AG122" s="4" t="s">
        <v>46</v>
      </c>
      <c r="AH122" s="4" t="s">
        <v>46</v>
      </c>
      <c r="AI122" s="4" t="s">
        <v>46</v>
      </c>
      <c r="AJ122" s="4" t="s">
        <v>46</v>
      </c>
      <c r="AK122" s="4" t="s">
        <v>46</v>
      </c>
      <c r="AL122" s="4" t="s">
        <v>46</v>
      </c>
      <c r="AM122" s="4" t="s">
        <v>46</v>
      </c>
      <c r="AN122" s="4" t="s">
        <v>46</v>
      </c>
      <c r="AO122" s="4" t="s">
        <v>46</v>
      </c>
      <c r="AP122" s="4" t="s">
        <v>46</v>
      </c>
    </row>
    <row r="123" spans="1:42" x14ac:dyDescent="0.2">
      <c r="A123" s="2">
        <v>1891456</v>
      </c>
      <c r="B123" s="3">
        <v>45721</v>
      </c>
      <c r="C123" s="4" t="s">
        <v>394</v>
      </c>
      <c r="D123" s="2">
        <v>1758433</v>
      </c>
      <c r="E123" s="4" t="s">
        <v>397</v>
      </c>
      <c r="F123" s="4" t="s">
        <v>398</v>
      </c>
      <c r="G123" s="4" t="s">
        <v>46</v>
      </c>
      <c r="H123" s="4" t="s">
        <v>46</v>
      </c>
      <c r="I123" s="4" t="s">
        <v>46</v>
      </c>
      <c r="J123" s="4" t="s">
        <v>325</v>
      </c>
      <c r="K123" s="4" t="s">
        <v>48</v>
      </c>
      <c r="L123" s="3">
        <v>45717</v>
      </c>
      <c r="M123" s="4" t="s">
        <v>49</v>
      </c>
      <c r="N123" s="4" t="s">
        <v>46</v>
      </c>
      <c r="O123" s="4" t="s">
        <v>130</v>
      </c>
      <c r="P123" s="4" t="s">
        <v>130</v>
      </c>
      <c r="Q123" s="2">
        <v>1</v>
      </c>
      <c r="R123" s="2">
        <v>17</v>
      </c>
      <c r="S123" s="4" t="s">
        <v>51</v>
      </c>
      <c r="T123" s="4" t="s">
        <v>46</v>
      </c>
      <c r="U123" s="4" t="s">
        <v>46</v>
      </c>
      <c r="V123" s="5">
        <v>22</v>
      </c>
      <c r="W123" s="5">
        <v>115.3</v>
      </c>
      <c r="X123" s="5">
        <v>100</v>
      </c>
      <c r="Y123" s="5">
        <v>25.37</v>
      </c>
      <c r="Z123" s="5">
        <v>0</v>
      </c>
      <c r="AA123" s="5">
        <v>0</v>
      </c>
      <c r="AB123" s="4" t="s">
        <v>326</v>
      </c>
      <c r="AC123" s="4" t="s">
        <v>46</v>
      </c>
      <c r="AD123" s="5">
        <v>0</v>
      </c>
      <c r="AE123" s="4" t="s">
        <v>327</v>
      </c>
      <c r="AF123" s="3">
        <v>45323</v>
      </c>
      <c r="AG123" s="4" t="s">
        <v>46</v>
      </c>
      <c r="AH123" s="4" t="s">
        <v>46</v>
      </c>
      <c r="AI123" s="4" t="s">
        <v>46</v>
      </c>
      <c r="AJ123" s="4" t="s">
        <v>46</v>
      </c>
      <c r="AK123" s="4" t="s">
        <v>46</v>
      </c>
      <c r="AL123" s="4" t="s">
        <v>46</v>
      </c>
      <c r="AM123" s="4" t="s">
        <v>46</v>
      </c>
      <c r="AN123" s="4" t="s">
        <v>46</v>
      </c>
      <c r="AO123" s="4" t="s">
        <v>46</v>
      </c>
      <c r="AP123" s="4" t="s">
        <v>46</v>
      </c>
    </row>
    <row r="124" spans="1:42" x14ac:dyDescent="0.2">
      <c r="A124" s="2">
        <v>1891456</v>
      </c>
      <c r="B124" s="3">
        <v>45721</v>
      </c>
      <c r="C124" s="4" t="s">
        <v>394</v>
      </c>
      <c r="D124" s="2">
        <v>1758433</v>
      </c>
      <c r="E124" s="4" t="s">
        <v>399</v>
      </c>
      <c r="F124" s="4" t="s">
        <v>400</v>
      </c>
      <c r="G124" s="4" t="s">
        <v>46</v>
      </c>
      <c r="H124" s="4" t="s">
        <v>46</v>
      </c>
      <c r="I124" s="4" t="s">
        <v>46</v>
      </c>
      <c r="J124" s="4" t="s">
        <v>325</v>
      </c>
      <c r="K124" s="4" t="s">
        <v>48</v>
      </c>
      <c r="L124" s="3">
        <v>45717</v>
      </c>
      <c r="M124" s="4" t="s">
        <v>49</v>
      </c>
      <c r="N124" s="4" t="s">
        <v>46</v>
      </c>
      <c r="O124" s="4" t="s">
        <v>50</v>
      </c>
      <c r="P124" s="4" t="s">
        <v>130</v>
      </c>
      <c r="Q124" s="2">
        <v>1</v>
      </c>
      <c r="R124" s="2">
        <v>17</v>
      </c>
      <c r="S124" s="4" t="s">
        <v>51</v>
      </c>
      <c r="T124" s="4" t="s">
        <v>46</v>
      </c>
      <c r="U124" s="4" t="s">
        <v>46</v>
      </c>
      <c r="V124" s="5">
        <v>22</v>
      </c>
      <c r="W124" s="5">
        <v>1674</v>
      </c>
      <c r="X124" s="5">
        <v>100</v>
      </c>
      <c r="Y124" s="5">
        <v>368.28</v>
      </c>
      <c r="Z124" s="5">
        <v>0</v>
      </c>
      <c r="AA124" s="5">
        <v>0</v>
      </c>
      <c r="AB124" s="4" t="s">
        <v>342</v>
      </c>
      <c r="AC124" s="4" t="s">
        <v>46</v>
      </c>
      <c r="AD124" s="5">
        <v>0</v>
      </c>
      <c r="AE124" s="4" t="s">
        <v>343</v>
      </c>
      <c r="AF124" s="3">
        <v>45717</v>
      </c>
      <c r="AG124" s="4" t="s">
        <v>46</v>
      </c>
      <c r="AH124" s="4" t="s">
        <v>46</v>
      </c>
      <c r="AI124" s="4" t="s">
        <v>46</v>
      </c>
      <c r="AJ124" s="4" t="s">
        <v>46</v>
      </c>
      <c r="AK124" s="4" t="s">
        <v>46</v>
      </c>
      <c r="AL124" s="4" t="s">
        <v>46</v>
      </c>
      <c r="AM124" s="4" t="s">
        <v>46</v>
      </c>
      <c r="AN124" s="4" t="s">
        <v>46</v>
      </c>
      <c r="AO124" s="4" t="s">
        <v>46</v>
      </c>
      <c r="AP124" s="4" t="s">
        <v>46</v>
      </c>
    </row>
    <row r="125" spans="1:42" x14ac:dyDescent="0.2">
      <c r="A125" s="2">
        <v>1891456</v>
      </c>
      <c r="B125" s="3">
        <v>45721</v>
      </c>
      <c r="C125" s="4" t="s">
        <v>394</v>
      </c>
      <c r="D125" s="2">
        <v>1758433</v>
      </c>
      <c r="E125" s="4" t="s">
        <v>401</v>
      </c>
      <c r="F125" s="4" t="s">
        <v>402</v>
      </c>
      <c r="G125" s="4" t="s">
        <v>46</v>
      </c>
      <c r="H125" s="4" t="s">
        <v>46</v>
      </c>
      <c r="I125" s="4" t="s">
        <v>46</v>
      </c>
      <c r="J125" s="4" t="s">
        <v>325</v>
      </c>
      <c r="K125" s="4" t="s">
        <v>48</v>
      </c>
      <c r="L125" s="3">
        <v>45717</v>
      </c>
      <c r="M125" s="4" t="s">
        <v>49</v>
      </c>
      <c r="N125" s="4" t="s">
        <v>46</v>
      </c>
      <c r="O125" s="4" t="s">
        <v>50</v>
      </c>
      <c r="P125" s="4" t="s">
        <v>130</v>
      </c>
      <c r="Q125" s="2">
        <v>1</v>
      </c>
      <c r="R125" s="2">
        <v>17</v>
      </c>
      <c r="S125" s="4" t="s">
        <v>51</v>
      </c>
      <c r="T125" s="4" t="s">
        <v>46</v>
      </c>
      <c r="U125" s="4" t="s">
        <v>46</v>
      </c>
      <c r="V125" s="5">
        <v>22</v>
      </c>
      <c r="W125" s="5">
        <v>1484.16</v>
      </c>
      <c r="X125" s="5">
        <v>100</v>
      </c>
      <c r="Y125" s="5">
        <v>326.52</v>
      </c>
      <c r="Z125" s="5">
        <v>0</v>
      </c>
      <c r="AA125" s="5">
        <v>0</v>
      </c>
      <c r="AB125" s="4" t="s">
        <v>342</v>
      </c>
      <c r="AC125" s="4" t="s">
        <v>46</v>
      </c>
      <c r="AD125" s="5">
        <v>0</v>
      </c>
      <c r="AE125" s="4" t="s">
        <v>343</v>
      </c>
      <c r="AF125" s="3">
        <v>45717</v>
      </c>
      <c r="AG125" s="4" t="s">
        <v>46</v>
      </c>
      <c r="AH125" s="4" t="s">
        <v>46</v>
      </c>
      <c r="AI125" s="4" t="s">
        <v>46</v>
      </c>
      <c r="AJ125" s="4" t="s">
        <v>46</v>
      </c>
      <c r="AK125" s="4" t="s">
        <v>46</v>
      </c>
      <c r="AL125" s="4" t="s">
        <v>46</v>
      </c>
      <c r="AM125" s="4" t="s">
        <v>46</v>
      </c>
      <c r="AN125" s="4" t="s">
        <v>46</v>
      </c>
      <c r="AO125" s="4" t="s">
        <v>46</v>
      </c>
      <c r="AP125" s="4" t="s">
        <v>46</v>
      </c>
    </row>
    <row r="126" spans="1:42" x14ac:dyDescent="0.2">
      <c r="A126" s="2">
        <v>1891456</v>
      </c>
      <c r="B126" s="3">
        <v>45721</v>
      </c>
      <c r="C126" s="4" t="s">
        <v>403</v>
      </c>
      <c r="D126" s="2">
        <v>1775329</v>
      </c>
      <c r="E126" s="4" t="s">
        <v>404</v>
      </c>
      <c r="F126" s="4" t="s">
        <v>405</v>
      </c>
      <c r="G126" s="4" t="s">
        <v>46</v>
      </c>
      <c r="H126" s="4" t="s">
        <v>46</v>
      </c>
      <c r="I126" s="4" t="s">
        <v>46</v>
      </c>
      <c r="J126" s="4" t="s">
        <v>325</v>
      </c>
      <c r="K126" s="4" t="s">
        <v>48</v>
      </c>
      <c r="L126" s="3">
        <v>45717</v>
      </c>
      <c r="M126" s="4" t="s">
        <v>49</v>
      </c>
      <c r="N126" s="4" t="s">
        <v>46</v>
      </c>
      <c r="O126" s="4" t="s">
        <v>50</v>
      </c>
      <c r="P126" s="4" t="s">
        <v>130</v>
      </c>
      <c r="Q126" s="2">
        <v>1</v>
      </c>
      <c r="R126" s="2">
        <v>17</v>
      </c>
      <c r="S126" s="4" t="s">
        <v>51</v>
      </c>
      <c r="T126" s="4" t="s">
        <v>46</v>
      </c>
      <c r="U126" s="4" t="s">
        <v>46</v>
      </c>
      <c r="V126" s="5">
        <v>11</v>
      </c>
      <c r="W126" s="5">
        <v>142.16999999999999</v>
      </c>
      <c r="X126" s="5">
        <v>100</v>
      </c>
      <c r="Y126" s="5">
        <v>15.64</v>
      </c>
      <c r="Z126" s="5">
        <v>0</v>
      </c>
      <c r="AA126" s="5">
        <v>0</v>
      </c>
      <c r="AB126" s="4" t="s">
        <v>66</v>
      </c>
      <c r="AC126" s="4" t="s">
        <v>46</v>
      </c>
      <c r="AD126" s="5">
        <v>0</v>
      </c>
      <c r="AE126" s="4" t="s">
        <v>67</v>
      </c>
      <c r="AF126" s="3">
        <v>45505</v>
      </c>
      <c r="AG126" s="4" t="s">
        <v>46</v>
      </c>
      <c r="AH126" s="4" t="s">
        <v>46</v>
      </c>
      <c r="AI126" s="4" t="s">
        <v>46</v>
      </c>
      <c r="AJ126" s="4" t="s">
        <v>46</v>
      </c>
      <c r="AK126" s="4" t="s">
        <v>46</v>
      </c>
      <c r="AL126" s="4" t="s">
        <v>46</v>
      </c>
      <c r="AM126" s="4" t="s">
        <v>46</v>
      </c>
      <c r="AN126" s="4" t="s">
        <v>46</v>
      </c>
      <c r="AO126" s="4" t="s">
        <v>46</v>
      </c>
      <c r="AP126" s="4" t="s">
        <v>46</v>
      </c>
    </row>
    <row r="127" spans="1:42" x14ac:dyDescent="0.2">
      <c r="A127" s="2">
        <v>1891456</v>
      </c>
      <c r="B127" s="3">
        <v>45721</v>
      </c>
      <c r="C127" s="4" t="s">
        <v>403</v>
      </c>
      <c r="D127" s="2">
        <v>1775329</v>
      </c>
      <c r="E127" s="4" t="s">
        <v>406</v>
      </c>
      <c r="F127" s="4" t="s">
        <v>407</v>
      </c>
      <c r="G127" s="4" t="s">
        <v>46</v>
      </c>
      <c r="H127" s="4" t="s">
        <v>46</v>
      </c>
      <c r="I127" s="4" t="s">
        <v>46</v>
      </c>
      <c r="J127" s="4" t="s">
        <v>325</v>
      </c>
      <c r="K127" s="4" t="s">
        <v>48</v>
      </c>
      <c r="L127" s="3">
        <v>45717</v>
      </c>
      <c r="M127" s="4" t="s">
        <v>49</v>
      </c>
      <c r="N127" s="4" t="s">
        <v>46</v>
      </c>
      <c r="O127" s="4" t="s">
        <v>50</v>
      </c>
      <c r="P127" s="4" t="s">
        <v>130</v>
      </c>
      <c r="Q127" s="2">
        <v>1</v>
      </c>
      <c r="R127" s="2">
        <v>17</v>
      </c>
      <c r="S127" s="4" t="s">
        <v>51</v>
      </c>
      <c r="T127" s="4" t="s">
        <v>46</v>
      </c>
      <c r="U127" s="4" t="s">
        <v>46</v>
      </c>
      <c r="V127" s="5">
        <v>11</v>
      </c>
      <c r="W127" s="5">
        <v>142.16999999999999</v>
      </c>
      <c r="X127" s="5">
        <v>100</v>
      </c>
      <c r="Y127" s="5">
        <v>15.64</v>
      </c>
      <c r="Z127" s="5">
        <v>0</v>
      </c>
      <c r="AA127" s="5">
        <v>0</v>
      </c>
      <c r="AB127" s="4" t="s">
        <v>66</v>
      </c>
      <c r="AC127" s="4" t="s">
        <v>46</v>
      </c>
      <c r="AD127" s="5">
        <v>0</v>
      </c>
      <c r="AE127" s="4" t="s">
        <v>67</v>
      </c>
      <c r="AF127" s="3">
        <v>45505</v>
      </c>
      <c r="AG127" s="4" t="s">
        <v>46</v>
      </c>
      <c r="AH127" s="4" t="s">
        <v>46</v>
      </c>
      <c r="AI127" s="4" t="s">
        <v>46</v>
      </c>
      <c r="AJ127" s="4" t="s">
        <v>46</v>
      </c>
      <c r="AK127" s="4" t="s">
        <v>46</v>
      </c>
      <c r="AL127" s="4" t="s">
        <v>46</v>
      </c>
      <c r="AM127" s="4" t="s">
        <v>46</v>
      </c>
      <c r="AN127" s="4" t="s">
        <v>46</v>
      </c>
      <c r="AO127" s="4" t="s">
        <v>46</v>
      </c>
      <c r="AP127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FE8F-E902-4576-9F35-CED682F839CF}">
  <dimension ref="A1:T157"/>
  <sheetViews>
    <sheetView topLeftCell="A111" workbookViewId="0">
      <selection activeCell="M2" sqref="M2:M157"/>
    </sheetView>
  </sheetViews>
  <sheetFormatPr defaultRowHeight="12.75" x14ac:dyDescent="0.2"/>
  <cols>
    <col min="1" max="1" width="24.7109375" style="19" bestFit="1" customWidth="1"/>
    <col min="2" max="2" width="13.28515625" style="19" customWidth="1"/>
    <col min="3" max="3" width="28.5703125" style="19" bestFit="1" customWidth="1"/>
    <col min="4" max="4" width="13.28515625" style="19" bestFit="1" customWidth="1"/>
    <col min="5" max="5" width="14.42578125" style="19" bestFit="1" customWidth="1"/>
    <col min="6" max="6" width="9.5703125" style="19" bestFit="1" customWidth="1"/>
    <col min="7" max="8" width="11.42578125" style="19" bestFit="1" customWidth="1"/>
    <col min="9" max="9" width="5.7109375" style="19" bestFit="1" customWidth="1"/>
    <col min="10" max="11" width="15.28515625" style="19" bestFit="1" customWidth="1"/>
    <col min="12" max="12" width="13.7109375" style="19" bestFit="1" customWidth="1"/>
    <col min="13" max="13" width="9.5703125" style="19" bestFit="1" customWidth="1"/>
    <col min="14" max="14" width="12.42578125" style="19" bestFit="1" customWidth="1"/>
    <col min="15" max="15" width="15.28515625" style="19" bestFit="1" customWidth="1"/>
    <col min="16" max="18" width="27.85546875" style="19" customWidth="1"/>
    <col min="19" max="19" width="40.5703125" style="19" bestFit="1" customWidth="1"/>
    <col min="20" max="20" width="13.7109375" style="19" bestFit="1" customWidth="1"/>
    <col min="21" max="16384" width="9.140625" style="19"/>
  </cols>
  <sheetData>
    <row r="1" spans="1:20" x14ac:dyDescent="0.2">
      <c r="A1" s="20" t="s">
        <v>2</v>
      </c>
      <c r="B1" s="20" t="s">
        <v>3</v>
      </c>
      <c r="C1" s="20" t="s">
        <v>4</v>
      </c>
      <c r="D1" s="20" t="s">
        <v>5</v>
      </c>
      <c r="E1" s="20"/>
      <c r="F1" s="20" t="s">
        <v>9</v>
      </c>
      <c r="G1" s="20" t="s">
        <v>11</v>
      </c>
      <c r="H1" s="20" t="s">
        <v>12</v>
      </c>
      <c r="I1" s="20" t="s">
        <v>16</v>
      </c>
      <c r="J1" s="20" t="s">
        <v>18</v>
      </c>
      <c r="K1" s="20" t="s">
        <v>19</v>
      </c>
      <c r="L1" s="20" t="s">
        <v>21</v>
      </c>
      <c r="M1" s="20" t="s">
        <v>22</v>
      </c>
      <c r="N1" s="20" t="s">
        <v>23</v>
      </c>
      <c r="O1" s="20" t="s">
        <v>24</v>
      </c>
      <c r="P1" s="20"/>
      <c r="Q1" s="20"/>
      <c r="R1" s="20"/>
      <c r="S1" s="20" t="s">
        <v>27</v>
      </c>
      <c r="T1" s="20" t="s">
        <v>31</v>
      </c>
    </row>
    <row r="2" spans="1:20" x14ac:dyDescent="0.2">
      <c r="A2" s="15" t="s">
        <v>255</v>
      </c>
      <c r="B2" s="16">
        <v>19645587</v>
      </c>
      <c r="C2" s="17" t="s">
        <v>712</v>
      </c>
      <c r="D2" s="15" t="s">
        <v>257</v>
      </c>
      <c r="E2" s="17" t="str">
        <f>CONCATENATE(D2,6)</f>
        <v>00021664199K6</v>
      </c>
      <c r="F2" s="15" t="s">
        <v>47</v>
      </c>
      <c r="G2" s="18">
        <v>45658</v>
      </c>
      <c r="H2" s="15" t="s">
        <v>106</v>
      </c>
      <c r="I2" s="16">
        <v>1</v>
      </c>
      <c r="J2" s="15" t="s">
        <v>51</v>
      </c>
      <c r="K2" s="15" t="s">
        <v>65</v>
      </c>
      <c r="L2" s="11">
        <v>-0.83</v>
      </c>
      <c r="M2" s="11">
        <v>0</v>
      </c>
      <c r="N2" s="11">
        <v>100</v>
      </c>
      <c r="O2" s="11">
        <v>-260.83</v>
      </c>
      <c r="P2" s="11">
        <v>-260.83</v>
      </c>
      <c r="Q2" s="11" t="s">
        <v>414</v>
      </c>
      <c r="R2" s="11" t="s">
        <v>416</v>
      </c>
      <c r="S2" s="15" t="s">
        <v>66</v>
      </c>
      <c r="T2" s="18">
        <v>45658</v>
      </c>
    </row>
    <row r="3" spans="1:20" x14ac:dyDescent="0.2">
      <c r="A3" s="15" t="s">
        <v>248</v>
      </c>
      <c r="B3" s="16" t="s">
        <v>427</v>
      </c>
      <c r="C3" s="17" t="s">
        <v>647</v>
      </c>
      <c r="D3" s="15" t="s">
        <v>250</v>
      </c>
      <c r="E3" s="17" t="str">
        <f>CONCATENATE(D3,6)</f>
        <v>00023056836K6</v>
      </c>
      <c r="F3" s="15" t="s">
        <v>47</v>
      </c>
      <c r="G3" s="18">
        <v>45717</v>
      </c>
      <c r="H3" s="15" t="s">
        <v>49</v>
      </c>
      <c r="I3" s="16">
        <v>1</v>
      </c>
      <c r="J3" s="15" t="s">
        <v>51</v>
      </c>
      <c r="K3" s="15" t="s">
        <v>65</v>
      </c>
      <c r="L3" s="11">
        <v>0</v>
      </c>
      <c r="M3" s="11">
        <v>0</v>
      </c>
      <c r="N3" s="11">
        <v>100</v>
      </c>
      <c r="O3" s="11">
        <v>365.17</v>
      </c>
      <c r="P3" s="11">
        <v>313</v>
      </c>
      <c r="Q3" s="11" t="s">
        <v>414</v>
      </c>
      <c r="R3" s="11" t="s">
        <v>415</v>
      </c>
      <c r="S3" s="15" t="s">
        <v>53</v>
      </c>
      <c r="T3" s="18">
        <v>45717</v>
      </c>
    </row>
    <row r="4" spans="1:20" x14ac:dyDescent="0.2">
      <c r="A4" s="15" t="s">
        <v>248</v>
      </c>
      <c r="B4" s="16" t="s">
        <v>427</v>
      </c>
      <c r="C4" s="17" t="s">
        <v>647</v>
      </c>
      <c r="D4" s="15" t="s">
        <v>250</v>
      </c>
      <c r="E4" s="17" t="str">
        <f>CONCATENATE(D4,6)</f>
        <v>00023056836K6</v>
      </c>
      <c r="F4" s="15" t="s">
        <v>47</v>
      </c>
      <c r="G4" s="18">
        <v>45717</v>
      </c>
      <c r="H4" s="15" t="s">
        <v>49</v>
      </c>
      <c r="I4" s="16">
        <v>1</v>
      </c>
      <c r="J4" s="15" t="s">
        <v>51</v>
      </c>
      <c r="K4" s="15" t="s">
        <v>65</v>
      </c>
      <c r="L4" s="11">
        <v>0</v>
      </c>
      <c r="M4" s="11">
        <v>0</v>
      </c>
      <c r="N4" s="11">
        <v>100</v>
      </c>
      <c r="O4" s="11">
        <v>365.17</v>
      </c>
      <c r="P4" s="11">
        <v>52.16</v>
      </c>
      <c r="Q4" s="11" t="s">
        <v>414</v>
      </c>
      <c r="R4" s="11" t="s">
        <v>424</v>
      </c>
      <c r="S4" s="15" t="s">
        <v>53</v>
      </c>
      <c r="T4" s="18">
        <v>45717</v>
      </c>
    </row>
    <row r="5" spans="1:20" x14ac:dyDescent="0.2">
      <c r="A5" s="15" t="s">
        <v>99</v>
      </c>
      <c r="B5" s="16">
        <v>7146581</v>
      </c>
      <c r="C5" s="17" t="s">
        <v>669</v>
      </c>
      <c r="D5" s="15" t="s">
        <v>111</v>
      </c>
      <c r="E5" s="17" t="str">
        <f>CONCATENATE(D5,6)</f>
        <v>00023106039K6</v>
      </c>
      <c r="F5" s="15" t="s">
        <v>47</v>
      </c>
      <c r="G5" s="18">
        <v>45778</v>
      </c>
      <c r="H5" s="15" t="s">
        <v>83</v>
      </c>
      <c r="I5" s="16">
        <v>1</v>
      </c>
      <c r="J5" s="15" t="s">
        <v>51</v>
      </c>
      <c r="K5" s="15" t="s">
        <v>65</v>
      </c>
      <c r="L5" s="11">
        <v>0</v>
      </c>
      <c r="M5" s="11">
        <v>0</v>
      </c>
      <c r="N5" s="11">
        <v>100</v>
      </c>
      <c r="O5" s="11">
        <v>417.33</v>
      </c>
      <c r="P5" s="11">
        <v>313</v>
      </c>
      <c r="Q5" s="11" t="s">
        <v>414</v>
      </c>
      <c r="R5" s="11" t="s">
        <v>415</v>
      </c>
      <c r="S5" s="15" t="s">
        <v>53</v>
      </c>
      <c r="T5" s="18">
        <v>45778</v>
      </c>
    </row>
    <row r="6" spans="1:20" x14ac:dyDescent="0.2">
      <c r="A6" s="15" t="s">
        <v>99</v>
      </c>
      <c r="B6" s="16">
        <v>7146581</v>
      </c>
      <c r="C6" s="17" t="s">
        <v>669</v>
      </c>
      <c r="D6" s="15" t="s">
        <v>111</v>
      </c>
      <c r="E6" s="17" t="str">
        <f>CONCATENATE(D6,6)</f>
        <v>00023106039K6</v>
      </c>
      <c r="F6" s="15" t="s">
        <v>47</v>
      </c>
      <c r="G6" s="18">
        <v>45778</v>
      </c>
      <c r="H6" s="15" t="s">
        <v>83</v>
      </c>
      <c r="I6" s="16">
        <v>1</v>
      </c>
      <c r="J6" s="15" t="s">
        <v>51</v>
      </c>
      <c r="K6" s="15" t="s">
        <v>65</v>
      </c>
      <c r="L6" s="11">
        <v>0</v>
      </c>
      <c r="M6" s="11">
        <v>0</v>
      </c>
      <c r="N6" s="11">
        <v>100</v>
      </c>
      <c r="O6" s="11">
        <v>417.33</v>
      </c>
      <c r="P6" s="11">
        <v>104.33</v>
      </c>
      <c r="Q6" s="11" t="s">
        <v>414</v>
      </c>
      <c r="R6" s="11" t="s">
        <v>426</v>
      </c>
      <c r="S6" s="15" t="s">
        <v>53</v>
      </c>
      <c r="T6" s="18">
        <v>45778</v>
      </c>
    </row>
    <row r="7" spans="1:20" x14ac:dyDescent="0.2">
      <c r="A7" s="22" t="s">
        <v>278</v>
      </c>
      <c r="B7" s="25">
        <v>8244481</v>
      </c>
      <c r="C7" s="23" t="s">
        <v>638</v>
      </c>
      <c r="D7" s="23">
        <v>9029715470</v>
      </c>
      <c r="E7" s="23" t="str">
        <f>CONCATENATE(D7,4)</f>
        <v>90297154704</v>
      </c>
      <c r="F7" s="22" t="s">
        <v>281</v>
      </c>
      <c r="G7" s="24">
        <v>45748</v>
      </c>
      <c r="H7" s="22" t="s">
        <v>87</v>
      </c>
      <c r="I7" s="25">
        <v>1</v>
      </c>
      <c r="J7" s="22" t="s">
        <v>288</v>
      </c>
      <c r="K7" s="22" t="s">
        <v>46</v>
      </c>
      <c r="L7" s="26">
        <v>10</v>
      </c>
      <c r="M7" s="26">
        <v>24.54</v>
      </c>
      <c r="N7" s="26">
        <v>100</v>
      </c>
      <c r="O7" s="26">
        <v>2.4500000000000002</v>
      </c>
      <c r="P7" s="26">
        <v>2.4500000000000002</v>
      </c>
      <c r="Q7" s="26" t="s">
        <v>408</v>
      </c>
      <c r="R7" s="26"/>
      <c r="S7" s="22" t="s">
        <v>284</v>
      </c>
      <c r="T7" s="24">
        <v>45627</v>
      </c>
    </row>
    <row r="8" spans="1:20" x14ac:dyDescent="0.2">
      <c r="A8" s="15" t="s">
        <v>140</v>
      </c>
      <c r="B8" s="16">
        <v>16202925</v>
      </c>
      <c r="C8" s="17" t="s">
        <v>689</v>
      </c>
      <c r="D8" s="15" t="s">
        <v>142</v>
      </c>
      <c r="E8" s="17" t="str">
        <f>CONCATENATE(D8,6)</f>
        <v>00023103392K6</v>
      </c>
      <c r="F8" s="15" t="s">
        <v>47</v>
      </c>
      <c r="G8" s="18">
        <v>45717</v>
      </c>
      <c r="H8" s="15" t="s">
        <v>49</v>
      </c>
      <c r="I8" s="16">
        <v>1</v>
      </c>
      <c r="J8" s="15" t="s">
        <v>51</v>
      </c>
      <c r="K8" s="15" t="s">
        <v>144</v>
      </c>
      <c r="L8" s="11">
        <v>0</v>
      </c>
      <c r="M8" s="11">
        <v>0</v>
      </c>
      <c r="N8" s="11">
        <v>100</v>
      </c>
      <c r="O8" s="11">
        <v>63.17</v>
      </c>
      <c r="P8" s="11">
        <v>63.17</v>
      </c>
      <c r="Q8" s="11" t="s">
        <v>409</v>
      </c>
      <c r="R8" s="11"/>
      <c r="S8" s="15" t="s">
        <v>53</v>
      </c>
      <c r="T8" s="18">
        <v>45717</v>
      </c>
    </row>
    <row r="9" spans="1:20" x14ac:dyDescent="0.2">
      <c r="A9" s="15" t="s">
        <v>164</v>
      </c>
      <c r="B9" s="21">
        <v>17528908</v>
      </c>
      <c r="C9" s="17" t="s">
        <v>677</v>
      </c>
      <c r="D9" s="15" t="s">
        <v>357</v>
      </c>
      <c r="E9" s="17" t="str">
        <f>CONCATENATE(D9,8)</f>
        <v>00000770425A8</v>
      </c>
      <c r="F9" s="15" t="s">
        <v>325</v>
      </c>
      <c r="G9" s="18">
        <v>45717</v>
      </c>
      <c r="H9" s="15" t="s">
        <v>49</v>
      </c>
      <c r="I9" s="16">
        <v>1</v>
      </c>
      <c r="J9" s="15" t="s">
        <v>51</v>
      </c>
      <c r="K9" s="15" t="s">
        <v>46</v>
      </c>
      <c r="L9" s="11">
        <v>22</v>
      </c>
      <c r="M9" s="11">
        <v>115.3</v>
      </c>
      <c r="N9" s="11">
        <v>100</v>
      </c>
      <c r="O9" s="11">
        <v>25.37</v>
      </c>
      <c r="P9" s="11">
        <v>25.37</v>
      </c>
      <c r="Q9" s="11" t="s">
        <v>410</v>
      </c>
      <c r="R9" s="11"/>
      <c r="S9" s="15" t="s">
        <v>326</v>
      </c>
      <c r="T9" s="18">
        <v>45292</v>
      </c>
    </row>
    <row r="10" spans="1:20" x14ac:dyDescent="0.2">
      <c r="A10" s="22" t="s">
        <v>195</v>
      </c>
      <c r="B10" s="25">
        <v>18710070</v>
      </c>
      <c r="C10" s="23" t="s">
        <v>701</v>
      </c>
      <c r="D10" s="23">
        <v>9030005380</v>
      </c>
      <c r="E10" s="23" t="str">
        <f>CONCATENATE(D10,4)</f>
        <v>90300053804</v>
      </c>
      <c r="F10" s="22" t="s">
        <v>281</v>
      </c>
      <c r="G10" s="24">
        <v>45748</v>
      </c>
      <c r="H10" s="22" t="s">
        <v>87</v>
      </c>
      <c r="I10" s="25">
        <v>1</v>
      </c>
      <c r="J10" s="22" t="s">
        <v>283</v>
      </c>
      <c r="K10" s="22" t="s">
        <v>46</v>
      </c>
      <c r="L10" s="26">
        <v>10</v>
      </c>
      <c r="M10" s="26">
        <v>12.99</v>
      </c>
      <c r="N10" s="26">
        <v>100</v>
      </c>
      <c r="O10" s="26">
        <v>1.3</v>
      </c>
      <c r="P10" s="26">
        <v>1.3</v>
      </c>
      <c r="Q10" s="26" t="s">
        <v>408</v>
      </c>
      <c r="R10" s="26"/>
      <c r="S10" s="22" t="s">
        <v>284</v>
      </c>
      <c r="T10" s="24">
        <v>45689</v>
      </c>
    </row>
    <row r="11" spans="1:20" x14ac:dyDescent="0.2">
      <c r="A11" s="15" t="s">
        <v>206</v>
      </c>
      <c r="B11" s="16">
        <v>19396223</v>
      </c>
      <c r="C11" s="17" t="s">
        <v>627</v>
      </c>
      <c r="D11" s="15" t="s">
        <v>208</v>
      </c>
      <c r="E11" s="17" t="str">
        <f>CONCATENATE(D11,6)</f>
        <v>00019839193K6</v>
      </c>
      <c r="F11" s="15" t="s">
        <v>47</v>
      </c>
      <c r="G11" s="18">
        <v>45658</v>
      </c>
      <c r="H11" s="15" t="s">
        <v>106</v>
      </c>
      <c r="I11" s="16">
        <v>1</v>
      </c>
      <c r="J11" s="15" t="s">
        <v>51</v>
      </c>
      <c r="K11" s="15" t="s">
        <v>65</v>
      </c>
      <c r="L11" s="11">
        <v>-0.83</v>
      </c>
      <c r="M11" s="11">
        <v>0</v>
      </c>
      <c r="N11" s="11">
        <v>100</v>
      </c>
      <c r="O11" s="11">
        <v>-260.83</v>
      </c>
      <c r="P11" s="11">
        <v>-260.83</v>
      </c>
      <c r="Q11" s="11" t="s">
        <v>414</v>
      </c>
      <c r="R11" s="11" t="s">
        <v>416</v>
      </c>
      <c r="S11" s="15" t="s">
        <v>66</v>
      </c>
      <c r="T11" s="18">
        <v>45658</v>
      </c>
    </row>
    <row r="12" spans="1:20" x14ac:dyDescent="0.2">
      <c r="A12" s="15" t="s">
        <v>322</v>
      </c>
      <c r="B12" s="16">
        <v>15278437</v>
      </c>
      <c r="C12" s="17" t="s">
        <v>655</v>
      </c>
      <c r="D12" s="15" t="s">
        <v>329</v>
      </c>
      <c r="E12" s="17" t="str">
        <f>CONCATENATE(D12,8)</f>
        <v>00000770493A8</v>
      </c>
      <c r="F12" s="15" t="s">
        <v>325</v>
      </c>
      <c r="G12" s="18">
        <v>45717</v>
      </c>
      <c r="H12" s="15" t="s">
        <v>49</v>
      </c>
      <c r="I12" s="16">
        <v>1</v>
      </c>
      <c r="J12" s="15" t="s">
        <v>51</v>
      </c>
      <c r="K12" s="15" t="s">
        <v>46</v>
      </c>
      <c r="L12" s="11">
        <v>22</v>
      </c>
      <c r="M12" s="11">
        <v>193.65</v>
      </c>
      <c r="N12" s="11">
        <v>100</v>
      </c>
      <c r="O12" s="11">
        <v>42.6</v>
      </c>
      <c r="P12" s="11">
        <v>42.6</v>
      </c>
      <c r="Q12" s="11" t="s">
        <v>410</v>
      </c>
      <c r="R12" s="11"/>
      <c r="S12" s="15" t="s">
        <v>326</v>
      </c>
      <c r="T12" s="18">
        <v>45292</v>
      </c>
    </row>
    <row r="13" spans="1:20" x14ac:dyDescent="0.2">
      <c r="A13" s="15" t="s">
        <v>164</v>
      </c>
      <c r="B13" s="21">
        <v>17528908</v>
      </c>
      <c r="C13" s="17" t="s">
        <v>674</v>
      </c>
      <c r="D13" s="15" t="s">
        <v>377</v>
      </c>
      <c r="E13" s="17" t="str">
        <f>CONCATENATE(D13,8)</f>
        <v>00000804864A8</v>
      </c>
      <c r="F13" s="15" t="s">
        <v>325</v>
      </c>
      <c r="G13" s="18">
        <v>45717</v>
      </c>
      <c r="H13" s="15" t="s">
        <v>49</v>
      </c>
      <c r="I13" s="16">
        <v>1</v>
      </c>
      <c r="J13" s="15" t="s">
        <v>51</v>
      </c>
      <c r="K13" s="15" t="s">
        <v>46</v>
      </c>
      <c r="L13" s="11">
        <v>1</v>
      </c>
      <c r="M13" s="11">
        <v>130.03</v>
      </c>
      <c r="N13" s="11">
        <v>100</v>
      </c>
      <c r="O13" s="11">
        <v>1.3</v>
      </c>
      <c r="P13" s="11">
        <v>1.3</v>
      </c>
      <c r="Q13" s="11" t="s">
        <v>411</v>
      </c>
      <c r="R13" s="11"/>
      <c r="S13" s="15" t="s">
        <v>326</v>
      </c>
      <c r="T13" s="18">
        <v>45323</v>
      </c>
    </row>
    <row r="14" spans="1:20" x14ac:dyDescent="0.2">
      <c r="A14" s="15" t="s">
        <v>126</v>
      </c>
      <c r="B14" s="16">
        <v>16633294</v>
      </c>
      <c r="C14" s="17" t="s">
        <v>733</v>
      </c>
      <c r="D14" s="15" t="s">
        <v>134</v>
      </c>
      <c r="E14" s="17" t="str">
        <f>CONCATENATE(D14,6)</f>
        <v>00023003474K6</v>
      </c>
      <c r="F14" s="15" t="s">
        <v>47</v>
      </c>
      <c r="G14" s="18">
        <v>45689</v>
      </c>
      <c r="H14" s="15" t="s">
        <v>136</v>
      </c>
      <c r="I14" s="16">
        <v>1</v>
      </c>
      <c r="J14" s="15" t="s">
        <v>51</v>
      </c>
      <c r="K14" s="15" t="s">
        <v>52</v>
      </c>
      <c r="L14" s="11">
        <v>0</v>
      </c>
      <c r="M14" s="11">
        <v>0</v>
      </c>
      <c r="N14" s="11">
        <v>100</v>
      </c>
      <c r="O14" s="11">
        <v>339.08</v>
      </c>
      <c r="P14" s="11">
        <v>313</v>
      </c>
      <c r="Q14" s="11" t="s">
        <v>414</v>
      </c>
      <c r="R14" s="11" t="s">
        <v>415</v>
      </c>
      <c r="S14" s="15" t="s">
        <v>53</v>
      </c>
      <c r="T14" s="18">
        <v>45689</v>
      </c>
    </row>
    <row r="15" spans="1:20" x14ac:dyDescent="0.2">
      <c r="A15" s="15" t="s">
        <v>126</v>
      </c>
      <c r="B15" s="16">
        <v>16633294</v>
      </c>
      <c r="C15" s="17" t="s">
        <v>733</v>
      </c>
      <c r="D15" s="15" t="s">
        <v>134</v>
      </c>
      <c r="E15" s="17" t="str">
        <f>CONCATENATE(D15,6)</f>
        <v>00023003474K6</v>
      </c>
      <c r="F15" s="15" t="s">
        <v>47</v>
      </c>
      <c r="G15" s="18">
        <v>45689</v>
      </c>
      <c r="H15" s="15" t="s">
        <v>136</v>
      </c>
      <c r="I15" s="16">
        <v>1</v>
      </c>
      <c r="J15" s="15" t="s">
        <v>51</v>
      </c>
      <c r="K15" s="15" t="s">
        <v>52</v>
      </c>
      <c r="L15" s="11">
        <v>0</v>
      </c>
      <c r="M15" s="11">
        <v>0</v>
      </c>
      <c r="N15" s="11">
        <v>100</v>
      </c>
      <c r="O15" s="11">
        <v>339.08</v>
      </c>
      <c r="P15" s="11">
        <v>26.08</v>
      </c>
      <c r="Q15" s="11" t="s">
        <v>414</v>
      </c>
      <c r="R15" s="11" t="s">
        <v>422</v>
      </c>
      <c r="S15" s="15" t="s">
        <v>53</v>
      </c>
      <c r="T15" s="18">
        <v>45689</v>
      </c>
    </row>
    <row r="16" spans="1:20" x14ac:dyDescent="0.2">
      <c r="A16" s="22" t="s">
        <v>278</v>
      </c>
      <c r="B16" s="25">
        <v>8244481</v>
      </c>
      <c r="C16" s="23" t="s">
        <v>636</v>
      </c>
      <c r="D16" s="23">
        <v>9029685600</v>
      </c>
      <c r="E16" s="23" t="str">
        <f>CONCATENATE(D16,4)</f>
        <v>90296856004</v>
      </c>
      <c r="F16" s="22" t="s">
        <v>281</v>
      </c>
      <c r="G16" s="24">
        <v>45748</v>
      </c>
      <c r="H16" s="22" t="s">
        <v>87</v>
      </c>
      <c r="I16" s="25">
        <v>2</v>
      </c>
      <c r="J16" s="22" t="s">
        <v>283</v>
      </c>
      <c r="K16" s="22" t="s">
        <v>46</v>
      </c>
      <c r="L16" s="26">
        <v>10</v>
      </c>
      <c r="M16" s="26">
        <v>26.88</v>
      </c>
      <c r="N16" s="26">
        <v>100</v>
      </c>
      <c r="O16" s="26">
        <v>2.69</v>
      </c>
      <c r="P16" s="26">
        <v>2.69</v>
      </c>
      <c r="Q16" s="26" t="s">
        <v>408</v>
      </c>
      <c r="R16" s="26"/>
      <c r="S16" s="22" t="s">
        <v>284</v>
      </c>
      <c r="T16" s="24">
        <v>45658</v>
      </c>
    </row>
    <row r="17" spans="1:20" x14ac:dyDescent="0.2">
      <c r="A17" s="22" t="s">
        <v>278</v>
      </c>
      <c r="B17" s="25">
        <v>8244481</v>
      </c>
      <c r="C17" s="23" t="s">
        <v>636</v>
      </c>
      <c r="D17" s="23">
        <v>9029685590</v>
      </c>
      <c r="E17" s="23" t="str">
        <f>CONCATENATE(D17,4)</f>
        <v>90296855904</v>
      </c>
      <c r="F17" s="22" t="s">
        <v>281</v>
      </c>
      <c r="G17" s="24">
        <v>45748</v>
      </c>
      <c r="H17" s="22" t="s">
        <v>87</v>
      </c>
      <c r="I17" s="25">
        <v>2</v>
      </c>
      <c r="J17" s="22" t="s">
        <v>288</v>
      </c>
      <c r="K17" s="22" t="s">
        <v>46</v>
      </c>
      <c r="L17" s="26">
        <v>10</v>
      </c>
      <c r="M17" s="26">
        <v>97.6</v>
      </c>
      <c r="N17" s="26">
        <v>100</v>
      </c>
      <c r="O17" s="26">
        <v>9.76</v>
      </c>
      <c r="P17" s="26">
        <v>9.76</v>
      </c>
      <c r="Q17" s="26" t="s">
        <v>408</v>
      </c>
      <c r="R17" s="26"/>
      <c r="S17" s="22" t="s">
        <v>284</v>
      </c>
      <c r="T17" s="24">
        <v>45658</v>
      </c>
    </row>
    <row r="18" spans="1:20" x14ac:dyDescent="0.2">
      <c r="A18" s="15" t="s">
        <v>173</v>
      </c>
      <c r="B18" s="16">
        <v>9213293</v>
      </c>
      <c r="C18" s="17" t="s">
        <v>708</v>
      </c>
      <c r="D18" s="15" t="s">
        <v>181</v>
      </c>
      <c r="E18" s="17" t="str">
        <f>CONCATENATE(D18,6)</f>
        <v>00022253745K6</v>
      </c>
      <c r="F18" s="15" t="s">
        <v>47</v>
      </c>
      <c r="G18" s="18">
        <v>45717</v>
      </c>
      <c r="H18" s="15" t="s">
        <v>49</v>
      </c>
      <c r="I18" s="16">
        <v>1</v>
      </c>
      <c r="J18" s="15" t="s">
        <v>51</v>
      </c>
      <c r="K18" s="15" t="s">
        <v>65</v>
      </c>
      <c r="L18" s="11">
        <v>1</v>
      </c>
      <c r="M18" s="11">
        <v>0</v>
      </c>
      <c r="N18" s="11">
        <v>100</v>
      </c>
      <c r="O18" s="11">
        <v>26.08</v>
      </c>
      <c r="P18" s="11">
        <v>26.08</v>
      </c>
      <c r="Q18" s="11" t="s">
        <v>414</v>
      </c>
      <c r="R18" s="11" t="s">
        <v>422</v>
      </c>
      <c r="S18" s="15" t="s">
        <v>131</v>
      </c>
      <c r="T18" s="18">
        <v>45597</v>
      </c>
    </row>
    <row r="19" spans="1:20" x14ac:dyDescent="0.2">
      <c r="A19" s="22" t="s">
        <v>278</v>
      </c>
      <c r="B19" s="25">
        <v>8244481</v>
      </c>
      <c r="C19" s="23" t="s">
        <v>641</v>
      </c>
      <c r="D19" s="23">
        <v>9028342740</v>
      </c>
      <c r="E19" s="23" t="str">
        <f>CONCATENATE(D19,4)</f>
        <v>90283427404</v>
      </c>
      <c r="F19" s="22" t="s">
        <v>281</v>
      </c>
      <c r="G19" s="24">
        <v>45748</v>
      </c>
      <c r="H19" s="22" t="s">
        <v>87</v>
      </c>
      <c r="I19" s="25">
        <v>1</v>
      </c>
      <c r="J19" s="22" t="s">
        <v>283</v>
      </c>
      <c r="K19" s="22" t="s">
        <v>46</v>
      </c>
      <c r="L19" s="26">
        <v>10</v>
      </c>
      <c r="M19" s="26">
        <v>13.93</v>
      </c>
      <c r="N19" s="26">
        <v>100</v>
      </c>
      <c r="O19" s="26">
        <v>1.39</v>
      </c>
      <c r="P19" s="26">
        <v>1.39</v>
      </c>
      <c r="Q19" s="26" t="s">
        <v>408</v>
      </c>
      <c r="R19" s="26"/>
      <c r="S19" s="22" t="s">
        <v>289</v>
      </c>
      <c r="T19" s="24">
        <v>45323</v>
      </c>
    </row>
    <row r="20" spans="1:20" x14ac:dyDescent="0.2">
      <c r="A20" s="15" t="s">
        <v>42</v>
      </c>
      <c r="B20" s="16">
        <v>371819</v>
      </c>
      <c r="C20" s="17" t="s">
        <v>704</v>
      </c>
      <c r="D20" s="15" t="s">
        <v>44</v>
      </c>
      <c r="E20" s="17" t="str">
        <f>CONCATENATE(D20,6)</f>
        <v>00023094349K6</v>
      </c>
      <c r="F20" s="15" t="s">
        <v>47</v>
      </c>
      <c r="G20" s="18">
        <v>45717</v>
      </c>
      <c r="H20" s="15" t="s">
        <v>49</v>
      </c>
      <c r="I20" s="16">
        <v>1</v>
      </c>
      <c r="J20" s="15" t="s">
        <v>51</v>
      </c>
      <c r="K20" s="15" t="s">
        <v>52</v>
      </c>
      <c r="L20" s="11">
        <v>0</v>
      </c>
      <c r="M20" s="11">
        <v>0</v>
      </c>
      <c r="N20" s="11">
        <v>100</v>
      </c>
      <c r="O20" s="11">
        <v>365.17</v>
      </c>
      <c r="P20" s="11">
        <v>313</v>
      </c>
      <c r="Q20" s="11" t="s">
        <v>414</v>
      </c>
      <c r="R20" s="11" t="s">
        <v>415</v>
      </c>
      <c r="S20" s="15" t="s">
        <v>53</v>
      </c>
      <c r="T20" s="18">
        <v>45717</v>
      </c>
    </row>
    <row r="21" spans="1:20" x14ac:dyDescent="0.2">
      <c r="A21" s="15" t="s">
        <v>42</v>
      </c>
      <c r="B21" s="16">
        <v>371819</v>
      </c>
      <c r="C21" s="17" t="s">
        <v>704</v>
      </c>
      <c r="D21" s="15" t="s">
        <v>44</v>
      </c>
      <c r="E21" s="17" t="str">
        <f>CONCATENATE(D21,6)</f>
        <v>00023094349K6</v>
      </c>
      <c r="F21" s="15" t="s">
        <v>47</v>
      </c>
      <c r="G21" s="18">
        <v>45717</v>
      </c>
      <c r="H21" s="15" t="s">
        <v>49</v>
      </c>
      <c r="I21" s="16">
        <v>1</v>
      </c>
      <c r="J21" s="15" t="s">
        <v>51</v>
      </c>
      <c r="K21" s="15" t="s">
        <v>52</v>
      </c>
      <c r="L21" s="11">
        <v>0</v>
      </c>
      <c r="M21" s="11">
        <v>0</v>
      </c>
      <c r="N21" s="11">
        <v>100</v>
      </c>
      <c r="O21" s="11">
        <v>365.17</v>
      </c>
      <c r="P21" s="11">
        <v>52.16</v>
      </c>
      <c r="Q21" s="11" t="s">
        <v>414</v>
      </c>
      <c r="R21" s="11" t="s">
        <v>424</v>
      </c>
      <c r="S21" s="15" t="s">
        <v>53</v>
      </c>
      <c r="T21" s="18">
        <v>45717</v>
      </c>
    </row>
    <row r="22" spans="1:20" x14ac:dyDescent="0.2">
      <c r="A22" s="15" t="s">
        <v>206</v>
      </c>
      <c r="B22" s="16">
        <v>19396223</v>
      </c>
      <c r="C22" s="17" t="s">
        <v>628</v>
      </c>
      <c r="D22" s="15" t="s">
        <v>217</v>
      </c>
      <c r="E22" s="17" t="str">
        <f>CONCATENATE(D22,6)</f>
        <v>00023146640K6</v>
      </c>
      <c r="F22" s="15" t="s">
        <v>47</v>
      </c>
      <c r="G22" s="18">
        <v>45717</v>
      </c>
      <c r="H22" s="15" t="s">
        <v>49</v>
      </c>
      <c r="I22" s="16">
        <v>1</v>
      </c>
      <c r="J22" s="15" t="s">
        <v>51</v>
      </c>
      <c r="K22" s="15" t="s">
        <v>65</v>
      </c>
      <c r="L22" s="11">
        <v>0.83</v>
      </c>
      <c r="M22" s="11">
        <v>0</v>
      </c>
      <c r="N22" s="11">
        <v>100</v>
      </c>
      <c r="O22" s="11">
        <v>260.83</v>
      </c>
      <c r="P22" s="11">
        <v>260.83</v>
      </c>
      <c r="Q22" s="11" t="s">
        <v>414</v>
      </c>
      <c r="R22" s="11" t="s">
        <v>416</v>
      </c>
      <c r="S22" s="15" t="s">
        <v>66</v>
      </c>
      <c r="T22" s="18">
        <v>45717</v>
      </c>
    </row>
    <row r="23" spans="1:20" x14ac:dyDescent="0.2">
      <c r="A23" s="15" t="s">
        <v>206</v>
      </c>
      <c r="B23" s="16">
        <v>19396223</v>
      </c>
      <c r="C23" s="17" t="s">
        <v>631</v>
      </c>
      <c r="D23" s="15" t="s">
        <v>211</v>
      </c>
      <c r="E23" s="17" t="str">
        <f>CONCATENATE(D23,6)</f>
        <v>00023057034K6</v>
      </c>
      <c r="F23" s="15" t="s">
        <v>47</v>
      </c>
      <c r="G23" s="18">
        <v>45689</v>
      </c>
      <c r="H23" s="15" t="s">
        <v>136</v>
      </c>
      <c r="I23" s="16">
        <v>1</v>
      </c>
      <c r="J23" s="15" t="s">
        <v>51</v>
      </c>
      <c r="K23" s="15" t="s">
        <v>65</v>
      </c>
      <c r="L23" s="11">
        <v>0</v>
      </c>
      <c r="M23" s="11">
        <v>0</v>
      </c>
      <c r="N23" s="11">
        <v>100</v>
      </c>
      <c r="O23" s="11">
        <v>339.08</v>
      </c>
      <c r="P23" s="11">
        <v>313</v>
      </c>
      <c r="Q23" s="11" t="s">
        <v>414</v>
      </c>
      <c r="R23" s="11" t="s">
        <v>415</v>
      </c>
      <c r="S23" s="15" t="s">
        <v>53</v>
      </c>
      <c r="T23" s="18">
        <v>45689</v>
      </c>
    </row>
    <row r="24" spans="1:20" x14ac:dyDescent="0.2">
      <c r="A24" s="15" t="s">
        <v>206</v>
      </c>
      <c r="B24" s="16">
        <v>19396223</v>
      </c>
      <c r="C24" s="17" t="s">
        <v>631</v>
      </c>
      <c r="D24" s="15" t="s">
        <v>211</v>
      </c>
      <c r="E24" s="17" t="str">
        <f>CONCATENATE(D24,6)</f>
        <v>00023057034K6</v>
      </c>
      <c r="F24" s="15" t="s">
        <v>47</v>
      </c>
      <c r="G24" s="18">
        <v>45689</v>
      </c>
      <c r="H24" s="15" t="s">
        <v>136</v>
      </c>
      <c r="I24" s="16">
        <v>1</v>
      </c>
      <c r="J24" s="15" t="s">
        <v>51</v>
      </c>
      <c r="K24" s="15" t="s">
        <v>65</v>
      </c>
      <c r="L24" s="11">
        <v>0</v>
      </c>
      <c r="M24" s="11">
        <v>0</v>
      </c>
      <c r="N24" s="11">
        <v>100</v>
      </c>
      <c r="O24" s="11">
        <v>339.08</v>
      </c>
      <c r="P24" s="11">
        <v>26.08</v>
      </c>
      <c r="Q24" s="11" t="s">
        <v>414</v>
      </c>
      <c r="R24" s="11" t="s">
        <v>422</v>
      </c>
      <c r="S24" s="15" t="s">
        <v>53</v>
      </c>
      <c r="T24" s="18">
        <v>45689</v>
      </c>
    </row>
    <row r="25" spans="1:20" x14ac:dyDescent="0.2">
      <c r="A25" s="15" t="s">
        <v>322</v>
      </c>
      <c r="B25" s="16">
        <v>15278437</v>
      </c>
      <c r="C25" s="17" t="s">
        <v>656</v>
      </c>
      <c r="D25" s="15" t="s">
        <v>333</v>
      </c>
      <c r="E25" s="17" t="str">
        <f>CONCATENATE(D25,8)</f>
        <v>00000795448A8</v>
      </c>
      <c r="F25" s="15" t="s">
        <v>325</v>
      </c>
      <c r="G25" s="18">
        <v>45717</v>
      </c>
      <c r="H25" s="15" t="s">
        <v>49</v>
      </c>
      <c r="I25" s="16">
        <v>1</v>
      </c>
      <c r="J25" s="15" t="s">
        <v>51</v>
      </c>
      <c r="K25" s="15" t="s">
        <v>46</v>
      </c>
      <c r="L25" s="11">
        <v>22</v>
      </c>
      <c r="M25" s="11">
        <v>164</v>
      </c>
      <c r="N25" s="11">
        <v>100</v>
      </c>
      <c r="O25" s="11">
        <v>36.08</v>
      </c>
      <c r="P25" s="11">
        <v>36.08</v>
      </c>
      <c r="Q25" s="11" t="s">
        <v>410</v>
      </c>
      <c r="R25" s="11"/>
      <c r="S25" s="15" t="s">
        <v>131</v>
      </c>
      <c r="T25" s="18">
        <v>45292</v>
      </c>
    </row>
    <row r="26" spans="1:20" x14ac:dyDescent="0.2">
      <c r="A26" s="15" t="s">
        <v>274</v>
      </c>
      <c r="B26" s="16">
        <v>21104854</v>
      </c>
      <c r="C26" s="17" t="s">
        <v>716</v>
      </c>
      <c r="D26" s="15" t="s">
        <v>276</v>
      </c>
      <c r="E26" s="17" t="str">
        <f>CONCATENATE(D26,6)</f>
        <v>00023140938K6</v>
      </c>
      <c r="F26" s="15" t="s">
        <v>47</v>
      </c>
      <c r="G26" s="18">
        <v>45717</v>
      </c>
      <c r="H26" s="15" t="s">
        <v>49</v>
      </c>
      <c r="I26" s="16">
        <v>1</v>
      </c>
      <c r="J26" s="15" t="s">
        <v>51</v>
      </c>
      <c r="K26" s="15" t="s">
        <v>65</v>
      </c>
      <c r="L26" s="11">
        <v>0.83</v>
      </c>
      <c r="M26" s="11">
        <v>0</v>
      </c>
      <c r="N26" s="11">
        <v>100</v>
      </c>
      <c r="O26" s="11">
        <v>260.83</v>
      </c>
      <c r="P26" s="11">
        <v>260.83</v>
      </c>
      <c r="Q26" s="11" t="s">
        <v>414</v>
      </c>
      <c r="R26" s="11" t="s">
        <v>416</v>
      </c>
      <c r="S26" s="15" t="s">
        <v>66</v>
      </c>
      <c r="T26" s="18">
        <v>45717</v>
      </c>
    </row>
    <row r="27" spans="1:20" x14ac:dyDescent="0.2">
      <c r="A27" s="15" t="s">
        <v>274</v>
      </c>
      <c r="B27" s="16">
        <v>21104854</v>
      </c>
      <c r="C27" s="17" t="s">
        <v>716</v>
      </c>
      <c r="D27" s="15" t="s">
        <v>276</v>
      </c>
      <c r="E27" s="17" t="str">
        <f>CONCATENATE(D27,6)</f>
        <v>00023140938K6</v>
      </c>
      <c r="F27" s="15" t="s">
        <v>47</v>
      </c>
      <c r="G27" s="18">
        <v>45717</v>
      </c>
      <c r="H27" s="15" t="s">
        <v>49</v>
      </c>
      <c r="I27" s="16">
        <v>1</v>
      </c>
      <c r="J27" s="15" t="s">
        <v>51</v>
      </c>
      <c r="K27" s="15" t="s">
        <v>65</v>
      </c>
      <c r="L27" s="11">
        <v>0</v>
      </c>
      <c r="M27" s="11">
        <v>0</v>
      </c>
      <c r="N27" s="11">
        <v>100</v>
      </c>
      <c r="O27" s="11">
        <v>365.17</v>
      </c>
      <c r="P27" s="11">
        <v>313</v>
      </c>
      <c r="Q27" s="11" t="s">
        <v>414</v>
      </c>
      <c r="R27" s="11" t="s">
        <v>415</v>
      </c>
      <c r="S27" s="15" t="s">
        <v>53</v>
      </c>
      <c r="T27" s="18">
        <v>45717</v>
      </c>
    </row>
    <row r="28" spans="1:20" x14ac:dyDescent="0.2">
      <c r="A28" s="15" t="s">
        <v>274</v>
      </c>
      <c r="B28" s="16">
        <v>21104854</v>
      </c>
      <c r="C28" s="17" t="s">
        <v>716</v>
      </c>
      <c r="D28" s="15" t="s">
        <v>276</v>
      </c>
      <c r="E28" s="17" t="str">
        <f>CONCATENATE(D28,6)</f>
        <v>00023140938K6</v>
      </c>
      <c r="F28" s="15" t="s">
        <v>47</v>
      </c>
      <c r="G28" s="18">
        <v>45717</v>
      </c>
      <c r="H28" s="15" t="s">
        <v>49</v>
      </c>
      <c r="I28" s="16">
        <v>1</v>
      </c>
      <c r="J28" s="15" t="s">
        <v>51</v>
      </c>
      <c r="K28" s="15" t="s">
        <v>65</v>
      </c>
      <c r="L28" s="11">
        <v>0</v>
      </c>
      <c r="M28" s="11">
        <v>0</v>
      </c>
      <c r="N28" s="11">
        <v>100</v>
      </c>
      <c r="O28" s="11">
        <v>365.17</v>
      </c>
      <c r="P28" s="11">
        <v>52.16</v>
      </c>
      <c r="Q28" s="11" t="s">
        <v>414</v>
      </c>
      <c r="R28" s="11" t="s">
        <v>424</v>
      </c>
      <c r="S28" s="15" t="s">
        <v>53</v>
      </c>
      <c r="T28" s="18">
        <v>45717</v>
      </c>
    </row>
    <row r="29" spans="1:20" x14ac:dyDescent="0.2">
      <c r="A29" s="15" t="s">
        <v>164</v>
      </c>
      <c r="B29" s="21">
        <v>17528908</v>
      </c>
      <c r="C29" s="17" t="s">
        <v>680</v>
      </c>
      <c r="D29" s="15" t="s">
        <v>363</v>
      </c>
      <c r="E29" s="17" t="str">
        <f>CONCATENATE(D29,8)</f>
        <v>00000775340A8</v>
      </c>
      <c r="F29" s="15" t="s">
        <v>325</v>
      </c>
      <c r="G29" s="18">
        <v>45717</v>
      </c>
      <c r="H29" s="15" t="s">
        <v>49</v>
      </c>
      <c r="I29" s="16">
        <v>1</v>
      </c>
      <c r="J29" s="15" t="s">
        <v>51</v>
      </c>
      <c r="K29" s="15" t="s">
        <v>46</v>
      </c>
      <c r="L29" s="11">
        <v>22</v>
      </c>
      <c r="M29" s="11">
        <v>130.08000000000001</v>
      </c>
      <c r="N29" s="11">
        <v>100</v>
      </c>
      <c r="O29" s="11">
        <v>28.62</v>
      </c>
      <c r="P29" s="11">
        <v>28.62</v>
      </c>
      <c r="Q29" s="11" t="s">
        <v>410</v>
      </c>
      <c r="R29" s="11"/>
      <c r="S29" s="15" t="s">
        <v>326</v>
      </c>
      <c r="T29" s="18">
        <v>45261</v>
      </c>
    </row>
    <row r="30" spans="1:20" x14ac:dyDescent="0.2">
      <c r="A30" s="15" t="s">
        <v>164</v>
      </c>
      <c r="B30" s="21">
        <v>17528908</v>
      </c>
      <c r="C30" s="17" t="s">
        <v>685</v>
      </c>
      <c r="D30" s="15" t="s">
        <v>373</v>
      </c>
      <c r="E30" s="17" t="str">
        <f>CONCATENATE(D30,8)</f>
        <v>00000790321A8</v>
      </c>
      <c r="F30" s="15" t="s">
        <v>325</v>
      </c>
      <c r="G30" s="18">
        <v>45717</v>
      </c>
      <c r="H30" s="15" t="s">
        <v>49</v>
      </c>
      <c r="I30" s="16">
        <v>1</v>
      </c>
      <c r="J30" s="15" t="s">
        <v>51</v>
      </c>
      <c r="K30" s="15" t="s">
        <v>46</v>
      </c>
      <c r="L30" s="11">
        <v>22</v>
      </c>
      <c r="M30" s="11">
        <v>155.12</v>
      </c>
      <c r="N30" s="11">
        <v>100</v>
      </c>
      <c r="O30" s="11">
        <v>34.130000000000003</v>
      </c>
      <c r="P30" s="11">
        <v>34.130000000000003</v>
      </c>
      <c r="Q30" s="11" t="s">
        <v>410</v>
      </c>
      <c r="R30" s="11"/>
      <c r="S30" s="15" t="s">
        <v>326</v>
      </c>
      <c r="T30" s="18">
        <v>45292</v>
      </c>
    </row>
    <row r="31" spans="1:20" x14ac:dyDescent="0.2">
      <c r="A31" s="15" t="s">
        <v>195</v>
      </c>
      <c r="B31" s="16">
        <v>18710070</v>
      </c>
      <c r="C31" s="17" t="s">
        <v>703</v>
      </c>
      <c r="D31" s="15" t="s">
        <v>197</v>
      </c>
      <c r="E31" s="17" t="str">
        <f>CONCATENATE(D31,6)</f>
        <v>00023109806K6</v>
      </c>
      <c r="F31" s="15" t="s">
        <v>47</v>
      </c>
      <c r="G31" s="18">
        <v>45748</v>
      </c>
      <c r="H31" s="15" t="s">
        <v>87</v>
      </c>
      <c r="I31" s="16">
        <v>1</v>
      </c>
      <c r="J31" s="15" t="s">
        <v>51</v>
      </c>
      <c r="K31" s="15" t="s">
        <v>52</v>
      </c>
      <c r="L31" s="11">
        <v>0</v>
      </c>
      <c r="M31" s="11">
        <v>0</v>
      </c>
      <c r="N31" s="11">
        <v>100</v>
      </c>
      <c r="O31" s="11">
        <v>391.25</v>
      </c>
      <c r="P31" s="11">
        <v>313</v>
      </c>
      <c r="Q31" s="11" t="s">
        <v>414</v>
      </c>
      <c r="R31" s="11" t="s">
        <v>415</v>
      </c>
      <c r="S31" s="15" t="s">
        <v>53</v>
      </c>
      <c r="T31" s="18">
        <v>45748</v>
      </c>
    </row>
    <row r="32" spans="1:20" x14ac:dyDescent="0.2">
      <c r="A32" s="15" t="s">
        <v>195</v>
      </c>
      <c r="B32" s="16">
        <v>18710070</v>
      </c>
      <c r="C32" s="17" t="s">
        <v>703</v>
      </c>
      <c r="D32" s="15" t="s">
        <v>197</v>
      </c>
      <c r="E32" s="17" t="str">
        <f>CONCATENATE(D32,6)</f>
        <v>00023109806K6</v>
      </c>
      <c r="F32" s="15" t="s">
        <v>47</v>
      </c>
      <c r="G32" s="18">
        <v>45748</v>
      </c>
      <c r="H32" s="15" t="s">
        <v>87</v>
      </c>
      <c r="I32" s="16">
        <v>1</v>
      </c>
      <c r="J32" s="15" t="s">
        <v>51</v>
      </c>
      <c r="K32" s="15" t="s">
        <v>52</v>
      </c>
      <c r="L32" s="11">
        <v>0</v>
      </c>
      <c r="M32" s="11">
        <v>0</v>
      </c>
      <c r="N32" s="11">
        <v>100</v>
      </c>
      <c r="O32" s="11">
        <v>391.25</v>
      </c>
      <c r="P32" s="11">
        <v>78.25</v>
      </c>
      <c r="Q32" s="11" t="s">
        <v>414</v>
      </c>
      <c r="R32" s="11" t="s">
        <v>425</v>
      </c>
      <c r="S32" s="15" t="s">
        <v>53</v>
      </c>
      <c r="T32" s="18">
        <v>45748</v>
      </c>
    </row>
    <row r="33" spans="1:20" x14ac:dyDescent="0.2">
      <c r="A33" s="15" t="s">
        <v>140</v>
      </c>
      <c r="B33" s="16">
        <v>16202925</v>
      </c>
      <c r="C33" s="17" t="s">
        <v>690</v>
      </c>
      <c r="D33" s="15" t="s">
        <v>351</v>
      </c>
      <c r="E33" s="17" t="str">
        <f>CONCATENATE(D33,8)</f>
        <v>00000776552A8</v>
      </c>
      <c r="F33" s="15" t="s">
        <v>325</v>
      </c>
      <c r="G33" s="18">
        <v>45717</v>
      </c>
      <c r="H33" s="15" t="s">
        <v>49</v>
      </c>
      <c r="I33" s="16">
        <v>1</v>
      </c>
      <c r="J33" s="15" t="s">
        <v>51</v>
      </c>
      <c r="K33" s="15" t="s">
        <v>46</v>
      </c>
      <c r="L33" s="11">
        <v>11</v>
      </c>
      <c r="M33" s="11">
        <v>326.25</v>
      </c>
      <c r="N33" s="11">
        <v>100</v>
      </c>
      <c r="O33" s="11">
        <v>35.89</v>
      </c>
      <c r="P33" s="11">
        <v>35.89</v>
      </c>
      <c r="Q33" s="11" t="s">
        <v>412</v>
      </c>
      <c r="R33" s="11"/>
      <c r="S33" s="15" t="s">
        <v>131</v>
      </c>
      <c r="T33" s="18">
        <v>45261</v>
      </c>
    </row>
    <row r="34" spans="1:20" s="27" customFormat="1" x14ac:dyDescent="0.2">
      <c r="A34" s="15" t="s">
        <v>164</v>
      </c>
      <c r="B34" s="21">
        <v>17528908</v>
      </c>
      <c r="C34" s="17" t="s">
        <v>686</v>
      </c>
      <c r="D34" s="15" t="s">
        <v>379</v>
      </c>
      <c r="E34" s="17" t="str">
        <f>CONCATENATE(D34,8)</f>
        <v>00000809128A8</v>
      </c>
      <c r="F34" s="15" t="s">
        <v>325</v>
      </c>
      <c r="G34" s="18">
        <v>45717</v>
      </c>
      <c r="H34" s="15" t="s">
        <v>49</v>
      </c>
      <c r="I34" s="16">
        <v>1</v>
      </c>
      <c r="J34" s="15" t="s">
        <v>51</v>
      </c>
      <c r="K34" s="15" t="s">
        <v>46</v>
      </c>
      <c r="L34" s="11">
        <v>22</v>
      </c>
      <c r="M34" s="11">
        <v>130.08000000000001</v>
      </c>
      <c r="N34" s="11">
        <v>100</v>
      </c>
      <c r="O34" s="11">
        <v>28.62</v>
      </c>
      <c r="P34" s="11">
        <v>28.62</v>
      </c>
      <c r="Q34" s="11" t="s">
        <v>410</v>
      </c>
      <c r="R34" s="11"/>
      <c r="S34" s="15" t="s">
        <v>326</v>
      </c>
      <c r="T34" s="18">
        <v>45352</v>
      </c>
    </row>
    <row r="35" spans="1:20" s="27" customFormat="1" x14ac:dyDescent="0.2">
      <c r="A35" s="15" t="s">
        <v>164</v>
      </c>
      <c r="B35" s="21">
        <v>17528908</v>
      </c>
      <c r="C35" s="17" t="s">
        <v>679</v>
      </c>
      <c r="D35" s="15" t="s">
        <v>361</v>
      </c>
      <c r="E35" s="17" t="str">
        <f>CONCATENATE(D35,8)</f>
        <v>00000770807A8</v>
      </c>
      <c r="F35" s="15" t="s">
        <v>325</v>
      </c>
      <c r="G35" s="18">
        <v>45717</v>
      </c>
      <c r="H35" s="15" t="s">
        <v>49</v>
      </c>
      <c r="I35" s="16">
        <v>1</v>
      </c>
      <c r="J35" s="15" t="s">
        <v>51</v>
      </c>
      <c r="K35" s="15" t="s">
        <v>46</v>
      </c>
      <c r="L35" s="11">
        <v>22</v>
      </c>
      <c r="M35" s="11">
        <v>130.08000000000001</v>
      </c>
      <c r="N35" s="11">
        <v>100</v>
      </c>
      <c r="O35" s="11">
        <v>28.62</v>
      </c>
      <c r="P35" s="11">
        <v>28.62</v>
      </c>
      <c r="Q35" s="11" t="s">
        <v>410</v>
      </c>
      <c r="R35" s="11"/>
      <c r="S35" s="15" t="s">
        <v>326</v>
      </c>
      <c r="T35" s="18">
        <v>45292</v>
      </c>
    </row>
    <row r="36" spans="1:20" s="27" customFormat="1" x14ac:dyDescent="0.2">
      <c r="A36" s="15" t="s">
        <v>126</v>
      </c>
      <c r="B36" s="16">
        <v>16633294</v>
      </c>
      <c r="C36" s="17" t="s">
        <v>732</v>
      </c>
      <c r="D36" s="15" t="s">
        <v>128</v>
      </c>
      <c r="E36" s="17" t="str">
        <f>CONCATENATE(D36,6)</f>
        <v>00022688863K6</v>
      </c>
      <c r="F36" s="15" t="s">
        <v>47</v>
      </c>
      <c r="G36" s="18">
        <v>45717</v>
      </c>
      <c r="H36" s="15" t="s">
        <v>49</v>
      </c>
      <c r="I36" s="16">
        <v>1</v>
      </c>
      <c r="J36" s="15" t="s">
        <v>51</v>
      </c>
      <c r="K36" s="15" t="s">
        <v>65</v>
      </c>
      <c r="L36" s="11">
        <v>1</v>
      </c>
      <c r="M36" s="11">
        <v>0</v>
      </c>
      <c r="N36" s="11">
        <v>100</v>
      </c>
      <c r="O36" s="11">
        <v>26.08</v>
      </c>
      <c r="P36" s="11">
        <v>26.08</v>
      </c>
      <c r="Q36" s="11" t="s">
        <v>414</v>
      </c>
      <c r="R36" s="11" t="s">
        <v>422</v>
      </c>
      <c r="S36" s="15" t="s">
        <v>131</v>
      </c>
      <c r="T36" s="18">
        <v>45627</v>
      </c>
    </row>
    <row r="37" spans="1:20" s="27" customFormat="1" x14ac:dyDescent="0.2">
      <c r="A37" s="15" t="s">
        <v>164</v>
      </c>
      <c r="B37" s="21">
        <v>17528908</v>
      </c>
      <c r="C37" s="17" t="s">
        <v>678</v>
      </c>
      <c r="D37" s="15" t="s">
        <v>359</v>
      </c>
      <c r="E37" s="17" t="str">
        <f>CONCATENATE(D37,8)</f>
        <v>00000770562A8</v>
      </c>
      <c r="F37" s="15" t="s">
        <v>325</v>
      </c>
      <c r="G37" s="18">
        <v>45717</v>
      </c>
      <c r="H37" s="15" t="s">
        <v>49</v>
      </c>
      <c r="I37" s="16">
        <v>1</v>
      </c>
      <c r="J37" s="15" t="s">
        <v>51</v>
      </c>
      <c r="K37" s="15" t="s">
        <v>46</v>
      </c>
      <c r="L37" s="11">
        <v>22</v>
      </c>
      <c r="M37" s="11">
        <v>131.96</v>
      </c>
      <c r="N37" s="11">
        <v>100</v>
      </c>
      <c r="O37" s="11">
        <v>29.03</v>
      </c>
      <c r="P37" s="11">
        <v>29.03</v>
      </c>
      <c r="Q37" s="11" t="s">
        <v>410</v>
      </c>
      <c r="R37" s="11"/>
      <c r="S37" s="15" t="s">
        <v>326</v>
      </c>
      <c r="T37" s="18">
        <v>45292</v>
      </c>
    </row>
    <row r="38" spans="1:20" s="27" customFormat="1" x14ac:dyDescent="0.2">
      <c r="A38" s="15" t="s">
        <v>322</v>
      </c>
      <c r="B38" s="16">
        <v>15278437</v>
      </c>
      <c r="C38" s="17" t="s">
        <v>654</v>
      </c>
      <c r="D38" s="15" t="s">
        <v>337</v>
      </c>
      <c r="E38" s="17" t="str">
        <f>CONCATENATE(D38,8)</f>
        <v>00000935298A8</v>
      </c>
      <c r="F38" s="15" t="s">
        <v>325</v>
      </c>
      <c r="G38" s="18">
        <v>45717</v>
      </c>
      <c r="H38" s="15" t="s">
        <v>49</v>
      </c>
      <c r="I38" s="16">
        <v>1</v>
      </c>
      <c r="J38" s="15" t="s">
        <v>51</v>
      </c>
      <c r="K38" s="15" t="s">
        <v>46</v>
      </c>
      <c r="L38" s="11">
        <v>22</v>
      </c>
      <c r="M38" s="11">
        <v>1735.92</v>
      </c>
      <c r="N38" s="11">
        <v>100</v>
      </c>
      <c r="O38" s="11">
        <v>381.96</v>
      </c>
      <c r="P38" s="11">
        <v>381.96</v>
      </c>
      <c r="Q38" s="11" t="s">
        <v>410</v>
      </c>
      <c r="R38" s="11"/>
      <c r="S38" s="15" t="s">
        <v>338</v>
      </c>
      <c r="T38" s="18">
        <v>45717</v>
      </c>
    </row>
    <row r="39" spans="1:20" s="27" customFormat="1" x14ac:dyDescent="0.2">
      <c r="A39" s="15" t="s">
        <v>164</v>
      </c>
      <c r="B39" s="21">
        <v>17528908</v>
      </c>
      <c r="C39" s="17" t="s">
        <v>673</v>
      </c>
      <c r="D39" s="15" t="s">
        <v>355</v>
      </c>
      <c r="E39" s="17" t="str">
        <f>CONCATENATE(D39,8)</f>
        <v>00000754585A8</v>
      </c>
      <c r="F39" s="15" t="s">
        <v>325</v>
      </c>
      <c r="G39" s="18">
        <v>45717</v>
      </c>
      <c r="H39" s="15" t="s">
        <v>49</v>
      </c>
      <c r="I39" s="16">
        <v>1</v>
      </c>
      <c r="J39" s="15" t="s">
        <v>51</v>
      </c>
      <c r="K39" s="15" t="s">
        <v>46</v>
      </c>
      <c r="L39" s="11">
        <v>1</v>
      </c>
      <c r="M39" s="11">
        <v>159.94999999999999</v>
      </c>
      <c r="N39" s="11">
        <v>100</v>
      </c>
      <c r="O39" s="11">
        <v>1.6</v>
      </c>
      <c r="P39" s="11">
        <v>1.6</v>
      </c>
      <c r="Q39" s="11" t="s">
        <v>411</v>
      </c>
      <c r="R39" s="11"/>
      <c r="S39" s="15" t="s">
        <v>326</v>
      </c>
      <c r="T39" s="18">
        <v>45170</v>
      </c>
    </row>
    <row r="40" spans="1:20" s="27" customFormat="1" x14ac:dyDescent="0.2">
      <c r="A40" s="15" t="s">
        <v>229</v>
      </c>
      <c r="B40" s="16">
        <v>19681796</v>
      </c>
      <c r="C40" s="17" t="s">
        <v>717</v>
      </c>
      <c r="D40" s="15" t="s">
        <v>231</v>
      </c>
      <c r="E40" s="17" t="str">
        <f>CONCATENATE(D40,6)</f>
        <v>00018040701K6</v>
      </c>
      <c r="F40" s="15" t="s">
        <v>47</v>
      </c>
      <c r="G40" s="18">
        <v>45658</v>
      </c>
      <c r="H40" s="15" t="s">
        <v>106</v>
      </c>
      <c r="I40" s="16">
        <v>1</v>
      </c>
      <c r="J40" s="15" t="s">
        <v>51</v>
      </c>
      <c r="K40" s="15" t="s">
        <v>65</v>
      </c>
      <c r="L40" s="11">
        <v>-0.83</v>
      </c>
      <c r="M40" s="11">
        <v>0</v>
      </c>
      <c r="N40" s="11">
        <v>100</v>
      </c>
      <c r="O40" s="11">
        <v>-260.83</v>
      </c>
      <c r="P40" s="11">
        <v>-260.83</v>
      </c>
      <c r="Q40" s="11" t="s">
        <v>414</v>
      </c>
      <c r="R40" s="11" t="s">
        <v>416</v>
      </c>
      <c r="S40" s="15" t="s">
        <v>66</v>
      </c>
      <c r="T40" s="18">
        <v>45658</v>
      </c>
    </row>
    <row r="41" spans="1:20" s="27" customFormat="1" x14ac:dyDescent="0.2">
      <c r="A41" s="15" t="s">
        <v>164</v>
      </c>
      <c r="B41" s="21">
        <v>17528908</v>
      </c>
      <c r="C41" s="17" t="s">
        <v>684</v>
      </c>
      <c r="D41" s="15" t="s">
        <v>371</v>
      </c>
      <c r="E41" s="17" t="str">
        <f>CONCATENATE(D41,8)</f>
        <v>00000786056A8</v>
      </c>
      <c r="F41" s="15" t="s">
        <v>325</v>
      </c>
      <c r="G41" s="18">
        <v>45717</v>
      </c>
      <c r="H41" s="15" t="s">
        <v>49</v>
      </c>
      <c r="I41" s="16">
        <v>1</v>
      </c>
      <c r="J41" s="15" t="s">
        <v>51</v>
      </c>
      <c r="K41" s="15" t="s">
        <v>46</v>
      </c>
      <c r="L41" s="11">
        <v>22</v>
      </c>
      <c r="M41" s="11">
        <v>148.9</v>
      </c>
      <c r="N41" s="11">
        <v>100</v>
      </c>
      <c r="O41" s="11">
        <v>32.76</v>
      </c>
      <c r="P41" s="11">
        <v>32.76</v>
      </c>
      <c r="Q41" s="11" t="s">
        <v>410</v>
      </c>
      <c r="R41" s="11"/>
      <c r="S41" s="15" t="s">
        <v>326</v>
      </c>
      <c r="T41" s="18">
        <v>45292</v>
      </c>
    </row>
    <row r="42" spans="1:20" s="27" customFormat="1" x14ac:dyDescent="0.2">
      <c r="A42" s="15" t="s">
        <v>157</v>
      </c>
      <c r="B42" s="16">
        <v>17301495</v>
      </c>
      <c r="C42" s="17" t="s">
        <v>652</v>
      </c>
      <c r="D42" s="15" t="s">
        <v>162</v>
      </c>
      <c r="E42" s="17" t="str">
        <f>CONCATENATE(D42,6)</f>
        <v>00014158510K6</v>
      </c>
      <c r="F42" s="15" t="s">
        <v>47</v>
      </c>
      <c r="G42" s="18">
        <v>45717</v>
      </c>
      <c r="H42" s="15" t="s">
        <v>49</v>
      </c>
      <c r="I42" s="16">
        <v>1</v>
      </c>
      <c r="J42" s="15" t="s">
        <v>51</v>
      </c>
      <c r="K42" s="15" t="s">
        <v>65</v>
      </c>
      <c r="L42" s="11">
        <v>0.83</v>
      </c>
      <c r="M42" s="11">
        <v>0</v>
      </c>
      <c r="N42" s="11">
        <v>100</v>
      </c>
      <c r="O42" s="11">
        <v>260.83</v>
      </c>
      <c r="P42" s="11">
        <v>260.83</v>
      </c>
      <c r="Q42" s="11" t="s">
        <v>414</v>
      </c>
      <c r="R42" s="11" t="s">
        <v>416</v>
      </c>
      <c r="S42" s="15" t="s">
        <v>66</v>
      </c>
      <c r="T42" s="18">
        <v>45717</v>
      </c>
    </row>
    <row r="43" spans="1:20" s="27" customFormat="1" x14ac:dyDescent="0.2">
      <c r="A43" s="15" t="s">
        <v>146</v>
      </c>
      <c r="B43" s="16">
        <v>17126004</v>
      </c>
      <c r="C43" s="17" t="s">
        <v>645</v>
      </c>
      <c r="D43" s="15" t="s">
        <v>148</v>
      </c>
      <c r="E43" s="17" t="str">
        <f>CONCATENATE(D43,6)</f>
        <v>00007672778K6</v>
      </c>
      <c r="F43" s="15" t="s">
        <v>47</v>
      </c>
      <c r="G43" s="18">
        <v>45717</v>
      </c>
      <c r="H43" s="15" t="s">
        <v>49</v>
      </c>
      <c r="I43" s="16">
        <v>1</v>
      </c>
      <c r="J43" s="15" t="s">
        <v>51</v>
      </c>
      <c r="K43" s="15" t="s">
        <v>65</v>
      </c>
      <c r="L43" s="11">
        <v>0.83</v>
      </c>
      <c r="M43" s="11">
        <v>0</v>
      </c>
      <c r="N43" s="11">
        <v>100</v>
      </c>
      <c r="O43" s="11">
        <v>260.83</v>
      </c>
      <c r="P43" s="11">
        <v>260.83</v>
      </c>
      <c r="Q43" s="11" t="s">
        <v>414</v>
      </c>
      <c r="R43" s="11" t="s">
        <v>416</v>
      </c>
      <c r="S43" s="15" t="s">
        <v>66</v>
      </c>
      <c r="T43" s="18">
        <v>45717</v>
      </c>
    </row>
    <row r="44" spans="1:20" s="27" customFormat="1" x14ac:dyDescent="0.2">
      <c r="A44" s="15" t="s">
        <v>229</v>
      </c>
      <c r="B44" s="16">
        <v>19681796</v>
      </c>
      <c r="C44" s="17" t="s">
        <v>720</v>
      </c>
      <c r="D44" s="15" t="s">
        <v>234</v>
      </c>
      <c r="E44" s="17" t="str">
        <f>CONCATENATE(D44,6)</f>
        <v>00022918801K6</v>
      </c>
      <c r="F44" s="15" t="s">
        <v>47</v>
      </c>
      <c r="G44" s="18">
        <v>45689</v>
      </c>
      <c r="H44" s="15" t="s">
        <v>136</v>
      </c>
      <c r="I44" s="16">
        <v>1</v>
      </c>
      <c r="J44" s="15" t="s">
        <v>51</v>
      </c>
      <c r="K44" s="15" t="s">
        <v>65</v>
      </c>
      <c r="L44" s="11">
        <v>0</v>
      </c>
      <c r="M44" s="11">
        <v>0</v>
      </c>
      <c r="N44" s="11">
        <v>100</v>
      </c>
      <c r="O44" s="11">
        <v>286.91000000000003</v>
      </c>
      <c r="P44" s="11">
        <v>286.91000000000003</v>
      </c>
      <c r="Q44" s="11" t="s">
        <v>414</v>
      </c>
      <c r="R44" s="11" t="s">
        <v>423</v>
      </c>
      <c r="S44" s="15" t="s">
        <v>53</v>
      </c>
      <c r="T44" s="18">
        <v>45689</v>
      </c>
    </row>
    <row r="45" spans="1:20" s="27" customFormat="1" x14ac:dyDescent="0.2">
      <c r="A45" s="15" t="s">
        <v>270</v>
      </c>
      <c r="B45" s="16">
        <v>20212926</v>
      </c>
      <c r="C45" s="17" t="s">
        <v>728</v>
      </c>
      <c r="D45" s="15" t="s">
        <v>272</v>
      </c>
      <c r="E45" s="17" t="str">
        <f>CONCATENATE(D45,6)</f>
        <v>00017775058K6</v>
      </c>
      <c r="F45" s="15" t="s">
        <v>47</v>
      </c>
      <c r="G45" s="18">
        <v>45717</v>
      </c>
      <c r="H45" s="15" t="s">
        <v>49</v>
      </c>
      <c r="I45" s="16">
        <v>1</v>
      </c>
      <c r="J45" s="15" t="s">
        <v>51</v>
      </c>
      <c r="K45" s="15" t="s">
        <v>52</v>
      </c>
      <c r="L45" s="11">
        <v>0.83</v>
      </c>
      <c r="M45" s="11">
        <v>0</v>
      </c>
      <c r="N45" s="11">
        <v>100</v>
      </c>
      <c r="O45" s="11">
        <v>260.83</v>
      </c>
      <c r="P45" s="11">
        <v>260.83</v>
      </c>
      <c r="Q45" s="11" t="s">
        <v>414</v>
      </c>
      <c r="R45" s="11" t="s">
        <v>416</v>
      </c>
      <c r="S45" s="15" t="s">
        <v>66</v>
      </c>
      <c r="T45" s="18">
        <v>45717</v>
      </c>
    </row>
    <row r="46" spans="1:20" s="27" customFormat="1" x14ac:dyDescent="0.2">
      <c r="A46" s="15" t="s">
        <v>394</v>
      </c>
      <c r="B46" s="16">
        <v>18794740</v>
      </c>
      <c r="C46" s="17" t="s">
        <v>698</v>
      </c>
      <c r="D46" s="15" t="s">
        <v>398</v>
      </c>
      <c r="E46" s="17" t="str">
        <f>CONCATENATE(D46,8)</f>
        <v>00000803433A8</v>
      </c>
      <c r="F46" s="15" t="s">
        <v>325</v>
      </c>
      <c r="G46" s="18">
        <v>45717</v>
      </c>
      <c r="H46" s="15" t="s">
        <v>49</v>
      </c>
      <c r="I46" s="16">
        <v>1</v>
      </c>
      <c r="J46" s="15" t="s">
        <v>51</v>
      </c>
      <c r="K46" s="15" t="s">
        <v>46</v>
      </c>
      <c r="L46" s="11">
        <v>22</v>
      </c>
      <c r="M46" s="11">
        <v>115.3</v>
      </c>
      <c r="N46" s="11">
        <v>100</v>
      </c>
      <c r="O46" s="11">
        <v>25.37</v>
      </c>
      <c r="P46" s="11">
        <v>25.37</v>
      </c>
      <c r="Q46" s="11" t="s">
        <v>410</v>
      </c>
      <c r="R46" s="11"/>
      <c r="S46" s="15" t="s">
        <v>326</v>
      </c>
      <c r="T46" s="18">
        <v>45323</v>
      </c>
    </row>
    <row r="47" spans="1:20" s="27" customFormat="1" x14ac:dyDescent="0.2">
      <c r="A47" s="15" t="s">
        <v>157</v>
      </c>
      <c r="B47" s="16">
        <v>17301495</v>
      </c>
      <c r="C47" s="17" t="s">
        <v>653</v>
      </c>
      <c r="D47" s="15" t="s">
        <v>159</v>
      </c>
      <c r="E47" s="17" t="str">
        <f>CONCATENATE(D47,6)</f>
        <v>00010225769K6</v>
      </c>
      <c r="F47" s="15" t="s">
        <v>47</v>
      </c>
      <c r="G47" s="18">
        <v>45717</v>
      </c>
      <c r="H47" s="15" t="s">
        <v>49</v>
      </c>
      <c r="I47" s="16">
        <v>1</v>
      </c>
      <c r="J47" s="15" t="s">
        <v>51</v>
      </c>
      <c r="K47" s="15" t="s">
        <v>52</v>
      </c>
      <c r="L47" s="11">
        <v>0.83</v>
      </c>
      <c r="M47" s="11">
        <v>0</v>
      </c>
      <c r="N47" s="11">
        <v>100</v>
      </c>
      <c r="O47" s="11">
        <v>260.83</v>
      </c>
      <c r="P47" s="11">
        <v>260.83</v>
      </c>
      <c r="Q47" s="11" t="s">
        <v>414</v>
      </c>
      <c r="R47" s="11" t="s">
        <v>416</v>
      </c>
      <c r="S47" s="15" t="s">
        <v>66</v>
      </c>
      <c r="T47" s="18">
        <v>45717</v>
      </c>
    </row>
    <row r="48" spans="1:20" s="27" customFormat="1" x14ac:dyDescent="0.2">
      <c r="A48" s="15" t="s">
        <v>140</v>
      </c>
      <c r="B48" s="16">
        <v>16202925</v>
      </c>
      <c r="C48" s="17" t="s">
        <v>691</v>
      </c>
      <c r="D48" s="15" t="s">
        <v>353</v>
      </c>
      <c r="E48" s="17" t="str">
        <f>CONCATENATE(D48,8)</f>
        <v>00000782684A8</v>
      </c>
      <c r="F48" s="15" t="s">
        <v>325</v>
      </c>
      <c r="G48" s="18">
        <v>45717</v>
      </c>
      <c r="H48" s="15" t="s">
        <v>49</v>
      </c>
      <c r="I48" s="16">
        <v>1</v>
      </c>
      <c r="J48" s="15" t="s">
        <v>51</v>
      </c>
      <c r="K48" s="15" t="s">
        <v>46</v>
      </c>
      <c r="L48" s="11">
        <v>11</v>
      </c>
      <c r="M48" s="11">
        <v>326.25</v>
      </c>
      <c r="N48" s="11">
        <v>100</v>
      </c>
      <c r="O48" s="11">
        <v>35.89</v>
      </c>
      <c r="P48" s="11">
        <v>35.89</v>
      </c>
      <c r="Q48" s="11" t="s">
        <v>412</v>
      </c>
      <c r="R48" s="11"/>
      <c r="S48" s="15" t="s">
        <v>131</v>
      </c>
      <c r="T48" s="18">
        <v>45292</v>
      </c>
    </row>
    <row r="49" spans="1:20" s="27" customFormat="1" x14ac:dyDescent="0.2">
      <c r="A49" s="15" t="s">
        <v>169</v>
      </c>
      <c r="B49" s="16">
        <v>17774994</v>
      </c>
      <c r="C49" s="17" t="s">
        <v>648</v>
      </c>
      <c r="D49" s="15" t="s">
        <v>389</v>
      </c>
      <c r="E49" s="17" t="str">
        <f>CONCATENATE(D49,8)</f>
        <v>00000817901A8</v>
      </c>
      <c r="F49" s="15" t="s">
        <v>325</v>
      </c>
      <c r="G49" s="18">
        <v>45717</v>
      </c>
      <c r="H49" s="15" t="s">
        <v>49</v>
      </c>
      <c r="I49" s="16">
        <v>1</v>
      </c>
      <c r="J49" s="15" t="s">
        <v>51</v>
      </c>
      <c r="K49" s="15" t="s">
        <v>46</v>
      </c>
      <c r="L49" s="11">
        <v>26</v>
      </c>
      <c r="M49" s="11">
        <v>113</v>
      </c>
      <c r="N49" s="11">
        <v>100</v>
      </c>
      <c r="O49" s="11">
        <v>29.38</v>
      </c>
      <c r="P49" s="11">
        <v>29.38</v>
      </c>
      <c r="Q49" s="11" t="s">
        <v>413</v>
      </c>
      <c r="R49" s="11"/>
      <c r="S49" s="15" t="s">
        <v>326</v>
      </c>
      <c r="T49" s="18">
        <v>45352</v>
      </c>
    </row>
    <row r="50" spans="1:20" s="27" customFormat="1" x14ac:dyDescent="0.2">
      <c r="A50" s="15" t="s">
        <v>99</v>
      </c>
      <c r="B50" s="16">
        <v>7146581</v>
      </c>
      <c r="C50" s="17" t="s">
        <v>664</v>
      </c>
      <c r="D50" s="15" t="s">
        <v>117</v>
      </c>
      <c r="E50" s="17" t="str">
        <f>CONCATENATE(D50,6)</f>
        <v>00023151397K6</v>
      </c>
      <c r="F50" s="15" t="s">
        <v>47</v>
      </c>
      <c r="G50" s="18">
        <v>45809</v>
      </c>
      <c r="H50" s="15" t="s">
        <v>119</v>
      </c>
      <c r="I50" s="16">
        <v>1</v>
      </c>
      <c r="J50" s="15" t="s">
        <v>51</v>
      </c>
      <c r="K50" s="15" t="s">
        <v>65</v>
      </c>
      <c r="L50" s="11">
        <v>0.57999999999999996</v>
      </c>
      <c r="M50" s="11">
        <v>0</v>
      </c>
      <c r="N50" s="11">
        <v>100</v>
      </c>
      <c r="O50" s="11">
        <v>182.58</v>
      </c>
      <c r="P50" s="11">
        <v>182.58</v>
      </c>
      <c r="Q50" s="11" t="s">
        <v>414</v>
      </c>
      <c r="R50" s="11" t="s">
        <v>417</v>
      </c>
      <c r="S50" s="15" t="s">
        <v>66</v>
      </c>
      <c r="T50" s="18">
        <v>45809</v>
      </c>
    </row>
    <row r="51" spans="1:20" s="27" customFormat="1" x14ac:dyDescent="0.2">
      <c r="A51" s="15" t="s">
        <v>262</v>
      </c>
      <c r="B51" s="16">
        <v>19278370</v>
      </c>
      <c r="C51" s="17" t="s">
        <v>688</v>
      </c>
      <c r="D51" s="15" t="s">
        <v>264</v>
      </c>
      <c r="E51" s="17" t="str">
        <f>CONCATENATE(D51,6)</f>
        <v>00023132285K6</v>
      </c>
      <c r="F51" s="15" t="s">
        <v>47</v>
      </c>
      <c r="G51" s="18">
        <v>45717</v>
      </c>
      <c r="H51" s="15" t="s">
        <v>49</v>
      </c>
      <c r="I51" s="16">
        <v>1</v>
      </c>
      <c r="J51" s="15" t="s">
        <v>51</v>
      </c>
      <c r="K51" s="15" t="s">
        <v>144</v>
      </c>
      <c r="L51" s="11">
        <v>0.83</v>
      </c>
      <c r="M51" s="11">
        <v>0</v>
      </c>
      <c r="N51" s="11">
        <v>100</v>
      </c>
      <c r="O51" s="11">
        <v>45.83</v>
      </c>
      <c r="P51" s="11">
        <v>45.83</v>
      </c>
      <c r="Q51" s="11" t="s">
        <v>409</v>
      </c>
      <c r="R51" s="11"/>
      <c r="S51" s="15" t="s">
        <v>66</v>
      </c>
      <c r="T51" s="18">
        <v>45717</v>
      </c>
    </row>
    <row r="52" spans="1:20" s="27" customFormat="1" x14ac:dyDescent="0.2">
      <c r="A52" s="15" t="s">
        <v>262</v>
      </c>
      <c r="B52" s="16">
        <v>19278370</v>
      </c>
      <c r="C52" s="17" t="s">
        <v>688</v>
      </c>
      <c r="D52" s="15" t="s">
        <v>264</v>
      </c>
      <c r="E52" s="17" t="str">
        <f>CONCATENATE(D52,6)</f>
        <v>00023132285K6</v>
      </c>
      <c r="F52" s="15" t="s">
        <v>47</v>
      </c>
      <c r="G52" s="18">
        <v>45717</v>
      </c>
      <c r="H52" s="15" t="s">
        <v>49</v>
      </c>
      <c r="I52" s="16">
        <v>1</v>
      </c>
      <c r="J52" s="15" t="s">
        <v>51</v>
      </c>
      <c r="K52" s="15" t="s">
        <v>144</v>
      </c>
      <c r="L52" s="11">
        <v>0</v>
      </c>
      <c r="M52" s="11">
        <v>0</v>
      </c>
      <c r="N52" s="11">
        <v>100</v>
      </c>
      <c r="O52" s="11">
        <v>63.17</v>
      </c>
      <c r="P52" s="11">
        <v>63.17</v>
      </c>
      <c r="Q52" s="11" t="s">
        <v>409</v>
      </c>
      <c r="R52" s="11"/>
      <c r="S52" s="15" t="s">
        <v>53</v>
      </c>
      <c r="T52" s="18">
        <v>45717</v>
      </c>
    </row>
    <row r="53" spans="1:20" s="27" customFormat="1" x14ac:dyDescent="0.2">
      <c r="A53" s="22" t="s">
        <v>311</v>
      </c>
      <c r="B53" s="25">
        <v>14177521</v>
      </c>
      <c r="C53" s="22" t="s">
        <v>316</v>
      </c>
      <c r="D53" s="23">
        <v>416583</v>
      </c>
      <c r="E53" s="23" t="str">
        <f>CONCATENATE(D53,4)</f>
        <v>4165834</v>
      </c>
      <c r="F53" s="22" t="s">
        <v>314</v>
      </c>
      <c r="G53" s="24">
        <v>45717</v>
      </c>
      <c r="H53" s="22" t="s">
        <v>49</v>
      </c>
      <c r="I53" s="25">
        <v>9</v>
      </c>
      <c r="J53" s="22" t="s">
        <v>283</v>
      </c>
      <c r="K53" s="22" t="s">
        <v>46</v>
      </c>
      <c r="L53" s="26">
        <v>10</v>
      </c>
      <c r="M53" s="26">
        <v>77.77</v>
      </c>
      <c r="N53" s="26">
        <v>100</v>
      </c>
      <c r="O53" s="26">
        <v>7.78</v>
      </c>
      <c r="P53" s="26">
        <v>7.78</v>
      </c>
      <c r="Q53" s="26" t="s">
        <v>408</v>
      </c>
      <c r="R53" s="26"/>
      <c r="S53" s="22" t="s">
        <v>66</v>
      </c>
      <c r="T53" s="24">
        <v>45658</v>
      </c>
    </row>
    <row r="54" spans="1:20" s="27" customFormat="1" x14ac:dyDescent="0.2">
      <c r="A54" s="22" t="s">
        <v>311</v>
      </c>
      <c r="B54" s="25">
        <v>14177521</v>
      </c>
      <c r="C54" s="22" t="s">
        <v>316</v>
      </c>
      <c r="D54" s="23">
        <v>416583</v>
      </c>
      <c r="E54" s="23" t="str">
        <f>CONCATENATE(D54,4)</f>
        <v>4165834</v>
      </c>
      <c r="F54" s="22" t="s">
        <v>314</v>
      </c>
      <c r="G54" s="24">
        <v>45717</v>
      </c>
      <c r="H54" s="22" t="s">
        <v>49</v>
      </c>
      <c r="I54" s="25">
        <v>9</v>
      </c>
      <c r="J54" s="22" t="s">
        <v>288</v>
      </c>
      <c r="K54" s="22" t="s">
        <v>46</v>
      </c>
      <c r="L54" s="26">
        <v>10</v>
      </c>
      <c r="M54" s="26">
        <v>378.75</v>
      </c>
      <c r="N54" s="26">
        <v>100</v>
      </c>
      <c r="O54" s="26">
        <v>37.880000000000003</v>
      </c>
      <c r="P54" s="26">
        <v>37.880000000000003</v>
      </c>
      <c r="Q54" s="26" t="s">
        <v>408</v>
      </c>
      <c r="R54" s="26"/>
      <c r="S54" s="22" t="s">
        <v>66</v>
      </c>
      <c r="T54" s="24">
        <v>45658</v>
      </c>
    </row>
    <row r="55" spans="1:20" s="27" customFormat="1" x14ac:dyDescent="0.2">
      <c r="A55" s="15" t="s">
        <v>150</v>
      </c>
      <c r="B55" s="16">
        <v>17094718</v>
      </c>
      <c r="C55" s="17" t="s">
        <v>651</v>
      </c>
      <c r="D55" s="15" t="s">
        <v>155</v>
      </c>
      <c r="E55" s="17" t="str">
        <f>CONCATENATE(D55,6)</f>
        <v>00023077340K6</v>
      </c>
      <c r="F55" s="15" t="s">
        <v>47</v>
      </c>
      <c r="G55" s="18">
        <v>45689</v>
      </c>
      <c r="H55" s="15" t="s">
        <v>136</v>
      </c>
      <c r="I55" s="16">
        <v>1</v>
      </c>
      <c r="J55" s="15" t="s">
        <v>51</v>
      </c>
      <c r="K55" s="15" t="s">
        <v>52</v>
      </c>
      <c r="L55" s="11">
        <v>0</v>
      </c>
      <c r="M55" s="11">
        <v>0</v>
      </c>
      <c r="N55" s="11">
        <v>100</v>
      </c>
      <c r="O55" s="11">
        <v>339.08</v>
      </c>
      <c r="P55" s="11">
        <v>313</v>
      </c>
      <c r="Q55" s="11" t="s">
        <v>414</v>
      </c>
      <c r="R55" s="11" t="s">
        <v>415</v>
      </c>
      <c r="S55" s="15" t="s">
        <v>53</v>
      </c>
      <c r="T55" s="18">
        <v>45689</v>
      </c>
    </row>
    <row r="56" spans="1:20" s="27" customFormat="1" x14ac:dyDescent="0.2">
      <c r="A56" s="15" t="s">
        <v>150</v>
      </c>
      <c r="B56" s="16">
        <v>17094718</v>
      </c>
      <c r="C56" s="17" t="s">
        <v>651</v>
      </c>
      <c r="D56" s="15" t="s">
        <v>155</v>
      </c>
      <c r="E56" s="17" t="str">
        <f>CONCATENATE(D56,6)</f>
        <v>00023077340K6</v>
      </c>
      <c r="F56" s="15" t="s">
        <v>47</v>
      </c>
      <c r="G56" s="18">
        <v>45689</v>
      </c>
      <c r="H56" s="15" t="s">
        <v>136</v>
      </c>
      <c r="I56" s="16">
        <v>1</v>
      </c>
      <c r="J56" s="15" t="s">
        <v>51</v>
      </c>
      <c r="K56" s="15" t="s">
        <v>52</v>
      </c>
      <c r="L56" s="11">
        <v>0</v>
      </c>
      <c r="M56" s="11">
        <v>0</v>
      </c>
      <c r="N56" s="11">
        <v>100</v>
      </c>
      <c r="O56" s="11">
        <v>339.08</v>
      </c>
      <c r="P56" s="11">
        <v>26.08</v>
      </c>
      <c r="Q56" s="11" t="s">
        <v>414</v>
      </c>
      <c r="R56" s="11" t="s">
        <v>422</v>
      </c>
      <c r="S56" s="15" t="s">
        <v>53</v>
      </c>
      <c r="T56" s="18">
        <v>45689</v>
      </c>
    </row>
    <row r="57" spans="1:20" x14ac:dyDescent="0.2">
      <c r="A57" s="15" t="s">
        <v>322</v>
      </c>
      <c r="B57" s="16">
        <v>15278437</v>
      </c>
      <c r="C57" s="17" t="s">
        <v>658</v>
      </c>
      <c r="D57" s="15" t="s">
        <v>324</v>
      </c>
      <c r="E57" s="17" t="str">
        <f>CONCATENATE(D57,8)</f>
        <v>00000106089A8</v>
      </c>
      <c r="F57" s="15" t="s">
        <v>325</v>
      </c>
      <c r="G57" s="18">
        <v>45717</v>
      </c>
      <c r="H57" s="15" t="s">
        <v>49</v>
      </c>
      <c r="I57" s="16">
        <v>1</v>
      </c>
      <c r="J57" s="15" t="s">
        <v>51</v>
      </c>
      <c r="K57" s="15" t="s">
        <v>46</v>
      </c>
      <c r="L57" s="11">
        <v>26</v>
      </c>
      <c r="M57" s="11">
        <v>147.1</v>
      </c>
      <c r="N57" s="11">
        <v>100</v>
      </c>
      <c r="O57" s="11">
        <v>38.25</v>
      </c>
      <c r="P57" s="11">
        <v>38.25</v>
      </c>
      <c r="Q57" s="11" t="s">
        <v>413</v>
      </c>
      <c r="R57" s="11"/>
      <c r="S57" s="15" t="s">
        <v>326</v>
      </c>
      <c r="T57" s="18">
        <v>45292</v>
      </c>
    </row>
    <row r="58" spans="1:20" x14ac:dyDescent="0.2">
      <c r="A58" s="15" t="s">
        <v>164</v>
      </c>
      <c r="B58" s="21" t="s">
        <v>428</v>
      </c>
      <c r="C58" s="17" t="s">
        <v>671</v>
      </c>
      <c r="D58" s="15" t="s">
        <v>166</v>
      </c>
      <c r="E58" s="17" t="str">
        <f>CONCATENATE(D58,6)</f>
        <v>00023132160K6</v>
      </c>
      <c r="F58" s="15" t="s">
        <v>47</v>
      </c>
      <c r="G58" s="18">
        <v>45717</v>
      </c>
      <c r="H58" s="15" t="s">
        <v>49</v>
      </c>
      <c r="I58" s="16">
        <v>1</v>
      </c>
      <c r="J58" s="15" t="s">
        <v>51</v>
      </c>
      <c r="K58" s="15" t="s">
        <v>65</v>
      </c>
      <c r="L58" s="11">
        <v>0.83</v>
      </c>
      <c r="M58" s="11">
        <v>0</v>
      </c>
      <c r="N58" s="11">
        <v>100</v>
      </c>
      <c r="O58" s="11">
        <v>294.17</v>
      </c>
      <c r="P58" s="11">
        <v>294.17</v>
      </c>
      <c r="Q58" s="11" t="s">
        <v>420</v>
      </c>
      <c r="R58" s="11" t="s">
        <v>419</v>
      </c>
      <c r="S58" s="15" t="s">
        <v>66</v>
      </c>
      <c r="T58" s="18">
        <v>45717</v>
      </c>
    </row>
    <row r="59" spans="1:20" x14ac:dyDescent="0.2">
      <c r="A59" s="15" t="s">
        <v>344</v>
      </c>
      <c r="B59" s="16">
        <v>8325282</v>
      </c>
      <c r="C59" s="17" t="s">
        <v>729</v>
      </c>
      <c r="D59" s="15" t="s">
        <v>346</v>
      </c>
      <c r="E59" s="17" t="str">
        <f>CONCATENATE(D59,8)</f>
        <v>00000965684A8</v>
      </c>
      <c r="F59" s="15" t="s">
        <v>325</v>
      </c>
      <c r="G59" s="18">
        <v>45717</v>
      </c>
      <c r="H59" s="15" t="s">
        <v>49</v>
      </c>
      <c r="I59" s="16">
        <v>1</v>
      </c>
      <c r="J59" s="15" t="s">
        <v>51</v>
      </c>
      <c r="K59" s="15" t="s">
        <v>46</v>
      </c>
      <c r="L59" s="11">
        <v>22</v>
      </c>
      <c r="M59" s="11">
        <v>1832.04</v>
      </c>
      <c r="N59" s="11">
        <v>100</v>
      </c>
      <c r="O59" s="11">
        <v>403.08</v>
      </c>
      <c r="P59" s="11">
        <v>403.08</v>
      </c>
      <c r="Q59" s="11" t="s">
        <v>410</v>
      </c>
      <c r="R59" s="11"/>
      <c r="S59" s="15" t="s">
        <v>338</v>
      </c>
      <c r="T59" s="18">
        <v>45717</v>
      </c>
    </row>
    <row r="60" spans="1:20" x14ac:dyDescent="0.2">
      <c r="A60" s="15" t="s">
        <v>56</v>
      </c>
      <c r="B60" s="16">
        <v>2158366</v>
      </c>
      <c r="C60" s="17" t="s">
        <v>661</v>
      </c>
      <c r="D60" s="15" t="s">
        <v>58</v>
      </c>
      <c r="E60" s="17" t="str">
        <f>CONCATENATE(D60,6)</f>
        <v>00023090352K6</v>
      </c>
      <c r="F60" s="15" t="s">
        <v>47</v>
      </c>
      <c r="G60" s="18">
        <v>45717</v>
      </c>
      <c r="H60" s="15" t="s">
        <v>49</v>
      </c>
      <c r="I60" s="16">
        <v>1</v>
      </c>
      <c r="J60" s="15" t="s">
        <v>51</v>
      </c>
      <c r="K60" s="15" t="s">
        <v>52</v>
      </c>
      <c r="L60" s="11">
        <v>0</v>
      </c>
      <c r="M60" s="11">
        <v>0</v>
      </c>
      <c r="N60" s="11">
        <v>100</v>
      </c>
      <c r="O60" s="11">
        <v>365.17</v>
      </c>
      <c r="P60" s="11">
        <v>313</v>
      </c>
      <c r="Q60" s="11" t="s">
        <v>414</v>
      </c>
      <c r="R60" s="11" t="s">
        <v>415</v>
      </c>
      <c r="S60" s="15" t="s">
        <v>53</v>
      </c>
      <c r="T60" s="18">
        <v>45717</v>
      </c>
    </row>
    <row r="61" spans="1:20" x14ac:dyDescent="0.2">
      <c r="A61" s="15" t="s">
        <v>56</v>
      </c>
      <c r="B61" s="16">
        <v>2158366</v>
      </c>
      <c r="C61" s="17" t="s">
        <v>661</v>
      </c>
      <c r="D61" s="15" t="s">
        <v>58</v>
      </c>
      <c r="E61" s="17" t="str">
        <f>CONCATENATE(D61,6)</f>
        <v>00023090352K6</v>
      </c>
      <c r="F61" s="15" t="s">
        <v>47</v>
      </c>
      <c r="G61" s="18">
        <v>45717</v>
      </c>
      <c r="H61" s="15" t="s">
        <v>49</v>
      </c>
      <c r="I61" s="16">
        <v>1</v>
      </c>
      <c r="J61" s="15" t="s">
        <v>51</v>
      </c>
      <c r="K61" s="15" t="s">
        <v>52</v>
      </c>
      <c r="L61" s="11">
        <v>0</v>
      </c>
      <c r="M61" s="11">
        <v>0</v>
      </c>
      <c r="N61" s="11">
        <v>100</v>
      </c>
      <c r="O61" s="11">
        <v>365.17</v>
      </c>
      <c r="P61" s="11">
        <v>52.16</v>
      </c>
      <c r="Q61" s="11" t="s">
        <v>414</v>
      </c>
      <c r="R61" s="11" t="s">
        <v>424</v>
      </c>
      <c r="S61" s="15" t="s">
        <v>53</v>
      </c>
      <c r="T61" s="18">
        <v>45717</v>
      </c>
    </row>
    <row r="62" spans="1:20" x14ac:dyDescent="0.2">
      <c r="A62" s="15" t="s">
        <v>229</v>
      </c>
      <c r="B62" s="16">
        <v>19681796</v>
      </c>
      <c r="C62" s="17" t="s">
        <v>719</v>
      </c>
      <c r="D62" s="15" t="s">
        <v>246</v>
      </c>
      <c r="E62" s="17" t="str">
        <f>CONCATENATE(D62,6)</f>
        <v>00023140575K6</v>
      </c>
      <c r="F62" s="15" t="s">
        <v>47</v>
      </c>
      <c r="G62" s="18">
        <v>45717</v>
      </c>
      <c r="H62" s="15" t="s">
        <v>49</v>
      </c>
      <c r="I62" s="16">
        <v>1</v>
      </c>
      <c r="J62" s="15" t="s">
        <v>51</v>
      </c>
      <c r="K62" s="15" t="s">
        <v>65</v>
      </c>
      <c r="L62" s="11">
        <v>0.83</v>
      </c>
      <c r="M62" s="11">
        <v>0</v>
      </c>
      <c r="N62" s="11">
        <v>100</v>
      </c>
      <c r="O62" s="11">
        <v>260.83</v>
      </c>
      <c r="P62" s="11">
        <v>260.83</v>
      </c>
      <c r="Q62" s="11" t="s">
        <v>414</v>
      </c>
      <c r="R62" s="11" t="s">
        <v>416</v>
      </c>
      <c r="S62" s="15" t="s">
        <v>66</v>
      </c>
      <c r="T62" s="18">
        <v>45717</v>
      </c>
    </row>
    <row r="63" spans="1:20" x14ac:dyDescent="0.2">
      <c r="A63" s="15" t="s">
        <v>229</v>
      </c>
      <c r="B63" s="16">
        <v>19681796</v>
      </c>
      <c r="C63" s="17" t="s">
        <v>719</v>
      </c>
      <c r="D63" s="15" t="s">
        <v>246</v>
      </c>
      <c r="E63" s="17" t="str">
        <f>CONCATENATE(D63,6)</f>
        <v>00023140575K6</v>
      </c>
      <c r="F63" s="15" t="s">
        <v>47</v>
      </c>
      <c r="G63" s="18">
        <v>45717</v>
      </c>
      <c r="H63" s="15" t="s">
        <v>49</v>
      </c>
      <c r="I63" s="16">
        <v>1</v>
      </c>
      <c r="J63" s="15" t="s">
        <v>51</v>
      </c>
      <c r="K63" s="15" t="s">
        <v>65</v>
      </c>
      <c r="L63" s="11">
        <v>0</v>
      </c>
      <c r="M63" s="11">
        <v>0</v>
      </c>
      <c r="N63" s="11">
        <v>100</v>
      </c>
      <c r="O63" s="11">
        <v>260.83999999999997</v>
      </c>
      <c r="P63" s="11">
        <v>260.83999999999997</v>
      </c>
      <c r="Q63" s="11" t="s">
        <v>414</v>
      </c>
      <c r="R63" s="11" t="s">
        <v>416</v>
      </c>
      <c r="S63" s="15" t="s">
        <v>53</v>
      </c>
      <c r="T63" s="18">
        <v>45717</v>
      </c>
    </row>
    <row r="64" spans="1:20" x14ac:dyDescent="0.2">
      <c r="A64" s="22" t="s">
        <v>278</v>
      </c>
      <c r="B64" s="25">
        <v>8244481</v>
      </c>
      <c r="C64" s="23" t="s">
        <v>635</v>
      </c>
      <c r="D64" s="23">
        <v>9029660210</v>
      </c>
      <c r="E64" s="23" t="str">
        <f>CONCATENATE(D64,4)</f>
        <v>90296602104</v>
      </c>
      <c r="F64" s="22" t="s">
        <v>281</v>
      </c>
      <c r="G64" s="24">
        <v>45748</v>
      </c>
      <c r="H64" s="22" t="s">
        <v>87</v>
      </c>
      <c r="I64" s="25">
        <v>1</v>
      </c>
      <c r="J64" s="22" t="s">
        <v>288</v>
      </c>
      <c r="K64" s="22" t="s">
        <v>46</v>
      </c>
      <c r="L64" s="26">
        <v>10</v>
      </c>
      <c r="M64" s="26">
        <v>24.54</v>
      </c>
      <c r="N64" s="26">
        <v>100</v>
      </c>
      <c r="O64" s="26">
        <v>2.4500000000000002</v>
      </c>
      <c r="P64" s="26">
        <v>2.4500000000000002</v>
      </c>
      <c r="Q64" s="26" t="s">
        <v>408</v>
      </c>
      <c r="R64" s="26"/>
      <c r="S64" s="22" t="s">
        <v>284</v>
      </c>
      <c r="T64" s="24">
        <v>45658</v>
      </c>
    </row>
    <row r="65" spans="1:20" x14ac:dyDescent="0.2">
      <c r="A65" s="15" t="s">
        <v>173</v>
      </c>
      <c r="B65" s="16">
        <v>9213293</v>
      </c>
      <c r="C65" s="17" t="s">
        <v>710</v>
      </c>
      <c r="D65" s="15" t="s">
        <v>190</v>
      </c>
      <c r="E65" s="17" t="str">
        <f>CONCATENATE(D65,6)</f>
        <v>00023083207K6</v>
      </c>
      <c r="F65" s="15" t="s">
        <v>47</v>
      </c>
      <c r="G65" s="18">
        <v>45778</v>
      </c>
      <c r="H65" s="15" t="s">
        <v>83</v>
      </c>
      <c r="I65" s="16">
        <v>1</v>
      </c>
      <c r="J65" s="15" t="s">
        <v>51</v>
      </c>
      <c r="K65" s="15" t="s">
        <v>52</v>
      </c>
      <c r="L65" s="11">
        <v>0</v>
      </c>
      <c r="M65" s="11">
        <v>0</v>
      </c>
      <c r="N65" s="11">
        <v>100</v>
      </c>
      <c r="O65" s="11">
        <v>417.33</v>
      </c>
      <c r="P65" s="11">
        <v>313</v>
      </c>
      <c r="Q65" s="11" t="s">
        <v>414</v>
      </c>
      <c r="R65" s="11" t="s">
        <v>415</v>
      </c>
      <c r="S65" s="15" t="s">
        <v>53</v>
      </c>
      <c r="T65" s="18">
        <v>45778</v>
      </c>
    </row>
    <row r="66" spans="1:20" x14ac:dyDescent="0.2">
      <c r="A66" s="15" t="s">
        <v>173</v>
      </c>
      <c r="B66" s="16">
        <v>9213293</v>
      </c>
      <c r="C66" s="17" t="s">
        <v>710</v>
      </c>
      <c r="D66" s="15" t="s">
        <v>190</v>
      </c>
      <c r="E66" s="17" t="str">
        <f>CONCATENATE(D66,6)</f>
        <v>00023083207K6</v>
      </c>
      <c r="F66" s="15" t="s">
        <v>47</v>
      </c>
      <c r="G66" s="18">
        <v>45778</v>
      </c>
      <c r="H66" s="15" t="s">
        <v>83</v>
      </c>
      <c r="I66" s="16">
        <v>1</v>
      </c>
      <c r="J66" s="15" t="s">
        <v>51</v>
      </c>
      <c r="K66" s="15" t="s">
        <v>52</v>
      </c>
      <c r="L66" s="11">
        <v>0</v>
      </c>
      <c r="M66" s="11">
        <v>0</v>
      </c>
      <c r="N66" s="11">
        <v>100</v>
      </c>
      <c r="O66" s="11">
        <v>417.33</v>
      </c>
      <c r="P66" s="11">
        <v>104.33</v>
      </c>
      <c r="Q66" s="11" t="s">
        <v>414</v>
      </c>
      <c r="R66" s="11" t="s">
        <v>426</v>
      </c>
      <c r="S66" s="15" t="s">
        <v>53</v>
      </c>
      <c r="T66" s="18">
        <v>45778</v>
      </c>
    </row>
    <row r="67" spans="1:20" x14ac:dyDescent="0.2">
      <c r="A67" s="15" t="s">
        <v>403</v>
      </c>
      <c r="B67" s="16">
        <v>5442438</v>
      </c>
      <c r="C67" s="17" t="s">
        <v>700</v>
      </c>
      <c r="D67" s="15" t="s">
        <v>407</v>
      </c>
      <c r="E67" s="17" t="str">
        <f>CONCATENATE(D67,8)</f>
        <v>00000858732A8</v>
      </c>
      <c r="F67" s="15" t="s">
        <v>325</v>
      </c>
      <c r="G67" s="18">
        <v>45717</v>
      </c>
      <c r="H67" s="15" t="s">
        <v>49</v>
      </c>
      <c r="I67" s="16">
        <v>1</v>
      </c>
      <c r="J67" s="15" t="s">
        <v>51</v>
      </c>
      <c r="K67" s="15" t="s">
        <v>46</v>
      </c>
      <c r="L67" s="11">
        <v>11</v>
      </c>
      <c r="M67" s="11">
        <v>142.16999999999999</v>
      </c>
      <c r="N67" s="11">
        <v>100</v>
      </c>
      <c r="O67" s="11">
        <v>15.64</v>
      </c>
      <c r="P67" s="11">
        <v>15.64</v>
      </c>
      <c r="Q67" s="11" t="s">
        <v>412</v>
      </c>
      <c r="R67" s="11"/>
      <c r="S67" s="15" t="s">
        <v>66</v>
      </c>
      <c r="T67" s="18">
        <v>45505</v>
      </c>
    </row>
    <row r="68" spans="1:20" x14ac:dyDescent="0.2">
      <c r="A68" s="15" t="s">
        <v>76</v>
      </c>
      <c r="B68" s="16">
        <v>8307933</v>
      </c>
      <c r="C68" s="17" t="s">
        <v>726</v>
      </c>
      <c r="D68" s="15" t="s">
        <v>85</v>
      </c>
      <c r="E68" s="17" t="str">
        <f>CONCATENATE(D68,6)</f>
        <v>00023070900K6</v>
      </c>
      <c r="F68" s="15" t="s">
        <v>47</v>
      </c>
      <c r="G68" s="18">
        <v>45748</v>
      </c>
      <c r="H68" s="15" t="s">
        <v>87</v>
      </c>
      <c r="I68" s="16">
        <v>1</v>
      </c>
      <c r="J68" s="15" t="s">
        <v>51</v>
      </c>
      <c r="K68" s="15" t="s">
        <v>65</v>
      </c>
      <c r="L68" s="11">
        <v>0</v>
      </c>
      <c r="M68" s="11">
        <v>0</v>
      </c>
      <c r="N68" s="11">
        <v>100</v>
      </c>
      <c r="O68" s="11">
        <v>391.25</v>
      </c>
      <c r="P68" s="11">
        <v>313</v>
      </c>
      <c r="Q68" s="11" t="s">
        <v>414</v>
      </c>
      <c r="R68" s="11" t="s">
        <v>415</v>
      </c>
      <c r="S68" s="15" t="s">
        <v>53</v>
      </c>
      <c r="T68" s="18">
        <v>45748</v>
      </c>
    </row>
    <row r="69" spans="1:20" x14ac:dyDescent="0.2">
      <c r="A69" s="15" t="s">
        <v>76</v>
      </c>
      <c r="B69" s="16">
        <v>8307933</v>
      </c>
      <c r="C69" s="17" t="s">
        <v>726</v>
      </c>
      <c r="D69" s="15" t="s">
        <v>85</v>
      </c>
      <c r="E69" s="17" t="str">
        <f>CONCATENATE(D69,6)</f>
        <v>00023070900K6</v>
      </c>
      <c r="F69" s="15" t="s">
        <v>47</v>
      </c>
      <c r="G69" s="18">
        <v>45748</v>
      </c>
      <c r="H69" s="15" t="s">
        <v>87</v>
      </c>
      <c r="I69" s="16">
        <v>1</v>
      </c>
      <c r="J69" s="15" t="s">
        <v>51</v>
      </c>
      <c r="K69" s="15" t="s">
        <v>65</v>
      </c>
      <c r="L69" s="11">
        <v>0</v>
      </c>
      <c r="M69" s="11">
        <v>0</v>
      </c>
      <c r="N69" s="11">
        <v>100</v>
      </c>
      <c r="O69" s="11">
        <v>391.25</v>
      </c>
      <c r="P69" s="11">
        <v>78.25</v>
      </c>
      <c r="Q69" s="11" t="s">
        <v>414</v>
      </c>
      <c r="R69" s="11" t="s">
        <v>425</v>
      </c>
      <c r="S69" s="15" t="s">
        <v>53</v>
      </c>
      <c r="T69" s="18">
        <v>45748</v>
      </c>
    </row>
    <row r="70" spans="1:20" x14ac:dyDescent="0.2">
      <c r="A70" s="22" t="s">
        <v>278</v>
      </c>
      <c r="B70" s="25">
        <v>8244481</v>
      </c>
      <c r="C70" s="23" t="s">
        <v>642</v>
      </c>
      <c r="D70" s="23">
        <v>9028454930</v>
      </c>
      <c r="E70" s="23" t="str">
        <f>CONCATENATE(D70,4)</f>
        <v>90284549304</v>
      </c>
      <c r="F70" s="22" t="s">
        <v>281</v>
      </c>
      <c r="G70" s="24">
        <v>45748</v>
      </c>
      <c r="H70" s="22" t="s">
        <v>87</v>
      </c>
      <c r="I70" s="25">
        <v>4</v>
      </c>
      <c r="J70" s="22" t="s">
        <v>283</v>
      </c>
      <c r="K70" s="22" t="s">
        <v>46</v>
      </c>
      <c r="L70" s="26">
        <v>10</v>
      </c>
      <c r="M70" s="26">
        <v>46.8</v>
      </c>
      <c r="N70" s="26">
        <v>100</v>
      </c>
      <c r="O70" s="26">
        <v>4.68</v>
      </c>
      <c r="P70" s="26">
        <v>4.68</v>
      </c>
      <c r="Q70" s="26" t="s">
        <v>408</v>
      </c>
      <c r="R70" s="26"/>
      <c r="S70" s="22" t="s">
        <v>289</v>
      </c>
      <c r="T70" s="24">
        <v>45323</v>
      </c>
    </row>
    <row r="71" spans="1:20" x14ac:dyDescent="0.2">
      <c r="A71" s="22" t="s">
        <v>311</v>
      </c>
      <c r="B71" s="25">
        <v>14177521</v>
      </c>
      <c r="C71" s="22" t="s">
        <v>312</v>
      </c>
      <c r="D71" s="23">
        <v>416402</v>
      </c>
      <c r="E71" s="23" t="str">
        <f>CONCATENATE(D71,4)</f>
        <v>4164024</v>
      </c>
      <c r="F71" s="22" t="s">
        <v>314</v>
      </c>
      <c r="G71" s="24">
        <v>45717</v>
      </c>
      <c r="H71" s="22" t="s">
        <v>49</v>
      </c>
      <c r="I71" s="25">
        <v>2</v>
      </c>
      <c r="J71" s="22" t="s">
        <v>283</v>
      </c>
      <c r="K71" s="22" t="s">
        <v>46</v>
      </c>
      <c r="L71" s="26">
        <v>10</v>
      </c>
      <c r="M71" s="26">
        <v>28.17</v>
      </c>
      <c r="N71" s="26">
        <v>100</v>
      </c>
      <c r="O71" s="26">
        <v>2.82</v>
      </c>
      <c r="P71" s="26">
        <v>2.82</v>
      </c>
      <c r="Q71" s="26" t="s">
        <v>408</v>
      </c>
      <c r="R71" s="26"/>
      <c r="S71" s="22" t="s">
        <v>66</v>
      </c>
      <c r="T71" s="24">
        <v>45658</v>
      </c>
    </row>
    <row r="72" spans="1:20" x14ac:dyDescent="0.2">
      <c r="A72" s="22" t="s">
        <v>311</v>
      </c>
      <c r="B72" s="25">
        <v>14177521</v>
      </c>
      <c r="C72" s="22" t="s">
        <v>312</v>
      </c>
      <c r="D72" s="23">
        <v>416402</v>
      </c>
      <c r="E72" s="23" t="str">
        <f>CONCATENATE(D72,4)</f>
        <v>4164024</v>
      </c>
      <c r="F72" s="22" t="s">
        <v>314</v>
      </c>
      <c r="G72" s="24">
        <v>45717</v>
      </c>
      <c r="H72" s="22" t="s">
        <v>49</v>
      </c>
      <c r="I72" s="25">
        <v>3</v>
      </c>
      <c r="J72" s="22" t="s">
        <v>288</v>
      </c>
      <c r="K72" s="22" t="s">
        <v>46</v>
      </c>
      <c r="L72" s="26">
        <v>10</v>
      </c>
      <c r="M72" s="26">
        <v>191.1</v>
      </c>
      <c r="N72" s="26">
        <v>100</v>
      </c>
      <c r="O72" s="26">
        <v>19.11</v>
      </c>
      <c r="P72" s="26">
        <v>19.11</v>
      </c>
      <c r="Q72" s="26" t="s">
        <v>408</v>
      </c>
      <c r="R72" s="26"/>
      <c r="S72" s="22" t="s">
        <v>66</v>
      </c>
      <c r="T72" s="24">
        <v>45658</v>
      </c>
    </row>
    <row r="73" spans="1:20" x14ac:dyDescent="0.2">
      <c r="A73" s="15" t="s">
        <v>150</v>
      </c>
      <c r="B73" s="16">
        <v>17094718</v>
      </c>
      <c r="C73" s="17" t="s">
        <v>650</v>
      </c>
      <c r="D73" s="15" t="s">
        <v>152</v>
      </c>
      <c r="E73" s="17" t="str">
        <f>CONCATENATE(D73,6)</f>
        <v>00023073086K6</v>
      </c>
      <c r="F73" s="15" t="s">
        <v>47</v>
      </c>
      <c r="G73" s="18">
        <v>45689</v>
      </c>
      <c r="H73" s="15" t="s">
        <v>136</v>
      </c>
      <c r="I73" s="16">
        <v>1</v>
      </c>
      <c r="J73" s="15" t="s">
        <v>51</v>
      </c>
      <c r="K73" s="15" t="s">
        <v>52</v>
      </c>
      <c r="L73" s="11">
        <v>0</v>
      </c>
      <c r="M73" s="11">
        <v>0</v>
      </c>
      <c r="N73" s="11">
        <v>100</v>
      </c>
      <c r="O73" s="11">
        <v>339.08</v>
      </c>
      <c r="P73" s="11">
        <v>313</v>
      </c>
      <c r="Q73" s="11" t="s">
        <v>414</v>
      </c>
      <c r="R73" s="11" t="s">
        <v>415</v>
      </c>
      <c r="S73" s="15" t="s">
        <v>53</v>
      </c>
      <c r="T73" s="18">
        <v>45689</v>
      </c>
    </row>
    <row r="74" spans="1:20" x14ac:dyDescent="0.2">
      <c r="A74" s="15" t="s">
        <v>150</v>
      </c>
      <c r="B74" s="16">
        <v>17094718</v>
      </c>
      <c r="C74" s="17" t="s">
        <v>650</v>
      </c>
      <c r="D74" s="15" t="s">
        <v>152</v>
      </c>
      <c r="E74" s="17" t="str">
        <f>CONCATENATE(D74,6)</f>
        <v>00023073086K6</v>
      </c>
      <c r="F74" s="15" t="s">
        <v>47</v>
      </c>
      <c r="G74" s="18">
        <v>45689</v>
      </c>
      <c r="H74" s="15" t="s">
        <v>136</v>
      </c>
      <c r="I74" s="16">
        <v>1</v>
      </c>
      <c r="J74" s="15" t="s">
        <v>51</v>
      </c>
      <c r="K74" s="15" t="s">
        <v>52</v>
      </c>
      <c r="L74" s="11">
        <v>0</v>
      </c>
      <c r="M74" s="11">
        <v>0</v>
      </c>
      <c r="N74" s="11">
        <v>100</v>
      </c>
      <c r="O74" s="11">
        <v>339.08</v>
      </c>
      <c r="P74" s="11">
        <v>26.08</v>
      </c>
      <c r="Q74" s="11" t="s">
        <v>414</v>
      </c>
      <c r="R74" s="11" t="s">
        <v>422</v>
      </c>
      <c r="S74" s="15" t="s">
        <v>53</v>
      </c>
      <c r="T74" s="18">
        <v>45689</v>
      </c>
    </row>
    <row r="75" spans="1:20" x14ac:dyDescent="0.2">
      <c r="A75" s="15" t="s">
        <v>164</v>
      </c>
      <c r="B75" s="21">
        <v>17528908</v>
      </c>
      <c r="C75" s="17" t="s">
        <v>672</v>
      </c>
      <c r="D75" s="15" t="s">
        <v>375</v>
      </c>
      <c r="E75" s="17" t="str">
        <f>CONCATENATE(D75,8)</f>
        <v>00000801899A8</v>
      </c>
      <c r="F75" s="15" t="s">
        <v>325</v>
      </c>
      <c r="G75" s="18">
        <v>45717</v>
      </c>
      <c r="H75" s="15" t="s">
        <v>49</v>
      </c>
      <c r="I75" s="16">
        <v>1</v>
      </c>
      <c r="J75" s="15" t="s">
        <v>51</v>
      </c>
      <c r="K75" s="15" t="s">
        <v>46</v>
      </c>
      <c r="L75" s="11">
        <v>0</v>
      </c>
      <c r="M75" s="11">
        <v>146.72999999999999</v>
      </c>
      <c r="N75" s="11">
        <v>100</v>
      </c>
      <c r="O75" s="11">
        <v>4.17</v>
      </c>
      <c r="P75" s="11">
        <v>4.17</v>
      </c>
      <c r="Q75" s="11" t="s">
        <v>410</v>
      </c>
      <c r="R75" s="11"/>
      <c r="S75" s="15" t="s">
        <v>326</v>
      </c>
      <c r="T75" s="18">
        <v>45261</v>
      </c>
    </row>
    <row r="76" spans="1:20" x14ac:dyDescent="0.2">
      <c r="A76" s="15" t="s">
        <v>206</v>
      </c>
      <c r="B76" s="16">
        <v>19396223</v>
      </c>
      <c r="C76" s="17" t="s">
        <v>629</v>
      </c>
      <c r="D76" s="15" t="s">
        <v>220</v>
      </c>
      <c r="E76" s="17" t="str">
        <f>CONCATENATE(D76,6)</f>
        <v>00023146818K6</v>
      </c>
      <c r="F76" s="15" t="s">
        <v>47</v>
      </c>
      <c r="G76" s="18">
        <v>45717</v>
      </c>
      <c r="H76" s="15" t="s">
        <v>49</v>
      </c>
      <c r="I76" s="16">
        <v>1</v>
      </c>
      <c r="J76" s="15" t="s">
        <v>51</v>
      </c>
      <c r="K76" s="15" t="s">
        <v>65</v>
      </c>
      <c r="L76" s="11">
        <v>0.83</v>
      </c>
      <c r="M76" s="11">
        <v>0</v>
      </c>
      <c r="N76" s="11">
        <v>100</v>
      </c>
      <c r="O76" s="11">
        <v>260.83</v>
      </c>
      <c r="P76" s="11">
        <v>260.83</v>
      </c>
      <c r="Q76" s="11" t="s">
        <v>414</v>
      </c>
      <c r="R76" s="11" t="s">
        <v>416</v>
      </c>
      <c r="S76" s="15" t="s">
        <v>66</v>
      </c>
      <c r="T76" s="18">
        <v>45717</v>
      </c>
    </row>
    <row r="77" spans="1:20" x14ac:dyDescent="0.2">
      <c r="A77" s="15" t="s">
        <v>322</v>
      </c>
      <c r="B77" s="16">
        <v>15278437</v>
      </c>
      <c r="C77" s="17" t="s">
        <v>657</v>
      </c>
      <c r="D77" s="15" t="s">
        <v>341</v>
      </c>
      <c r="E77" s="17" t="str">
        <f>CONCATENATE(D77,8)</f>
        <v>00000960221A8</v>
      </c>
      <c r="F77" s="15" t="s">
        <v>325</v>
      </c>
      <c r="G77" s="18">
        <v>45717</v>
      </c>
      <c r="H77" s="15" t="s">
        <v>49</v>
      </c>
      <c r="I77" s="16">
        <v>1</v>
      </c>
      <c r="J77" s="15" t="s">
        <v>51</v>
      </c>
      <c r="K77" s="15" t="s">
        <v>46</v>
      </c>
      <c r="L77" s="11">
        <v>26</v>
      </c>
      <c r="M77" s="11">
        <v>1494.48</v>
      </c>
      <c r="N77" s="11">
        <v>100</v>
      </c>
      <c r="O77" s="11">
        <v>388.56</v>
      </c>
      <c r="P77" s="11">
        <v>388.56</v>
      </c>
      <c r="Q77" s="11" t="s">
        <v>413</v>
      </c>
      <c r="R77" s="11"/>
      <c r="S77" s="15" t="s">
        <v>342</v>
      </c>
      <c r="T77" s="18">
        <v>45717</v>
      </c>
    </row>
    <row r="78" spans="1:20" x14ac:dyDescent="0.2">
      <c r="A78" s="15" t="s">
        <v>199</v>
      </c>
      <c r="B78" s="16">
        <v>18754354</v>
      </c>
      <c r="C78" s="17" t="s">
        <v>731</v>
      </c>
      <c r="D78" s="15" t="s">
        <v>201</v>
      </c>
      <c r="E78" s="17" t="str">
        <f t="shared" ref="E78:E84" si="0">CONCATENATE(D78,6)</f>
        <v>00023086320K6</v>
      </c>
      <c r="F78" s="15" t="s">
        <v>47</v>
      </c>
      <c r="G78" s="18">
        <v>45748</v>
      </c>
      <c r="H78" s="15" t="s">
        <v>87</v>
      </c>
      <c r="I78" s="16">
        <v>1</v>
      </c>
      <c r="J78" s="15" t="s">
        <v>51</v>
      </c>
      <c r="K78" s="15" t="s">
        <v>65</v>
      </c>
      <c r="L78" s="11">
        <v>0</v>
      </c>
      <c r="M78" s="11">
        <v>0</v>
      </c>
      <c r="N78" s="11">
        <v>100</v>
      </c>
      <c r="O78" s="11">
        <v>391.25</v>
      </c>
      <c r="P78" s="11">
        <v>313</v>
      </c>
      <c r="Q78" s="11" t="s">
        <v>414</v>
      </c>
      <c r="R78" s="11" t="s">
        <v>415</v>
      </c>
      <c r="S78" s="15" t="s">
        <v>53</v>
      </c>
      <c r="T78" s="18">
        <v>45748</v>
      </c>
    </row>
    <row r="79" spans="1:20" x14ac:dyDescent="0.2">
      <c r="A79" s="15" t="s">
        <v>199</v>
      </c>
      <c r="B79" s="16">
        <v>18754354</v>
      </c>
      <c r="C79" s="17" t="s">
        <v>731</v>
      </c>
      <c r="D79" s="15" t="s">
        <v>201</v>
      </c>
      <c r="E79" s="17" t="str">
        <f t="shared" si="0"/>
        <v>00023086320K6</v>
      </c>
      <c r="F79" s="15" t="s">
        <v>47</v>
      </c>
      <c r="G79" s="18">
        <v>45748</v>
      </c>
      <c r="H79" s="15" t="s">
        <v>87</v>
      </c>
      <c r="I79" s="16">
        <v>1</v>
      </c>
      <c r="J79" s="15" t="s">
        <v>51</v>
      </c>
      <c r="K79" s="15" t="s">
        <v>65</v>
      </c>
      <c r="L79" s="11">
        <v>0</v>
      </c>
      <c r="M79" s="11">
        <v>0</v>
      </c>
      <c r="N79" s="11">
        <v>100</v>
      </c>
      <c r="O79" s="11">
        <v>391.25</v>
      </c>
      <c r="P79" s="11">
        <v>78.25</v>
      </c>
      <c r="Q79" s="11" t="s">
        <v>414</v>
      </c>
      <c r="R79" s="11" t="s">
        <v>425</v>
      </c>
      <c r="S79" s="15" t="s">
        <v>53</v>
      </c>
      <c r="T79" s="18">
        <v>45748</v>
      </c>
    </row>
    <row r="80" spans="1:20" x14ac:dyDescent="0.2">
      <c r="A80" s="15" t="s">
        <v>61</v>
      </c>
      <c r="B80" s="16">
        <v>8814784</v>
      </c>
      <c r="C80" s="17" t="s">
        <v>694</v>
      </c>
      <c r="D80" s="15" t="s">
        <v>63</v>
      </c>
      <c r="E80" s="17" t="str">
        <f t="shared" si="0"/>
        <v>00023133292K6</v>
      </c>
      <c r="F80" s="15" t="s">
        <v>47</v>
      </c>
      <c r="G80" s="18">
        <v>45717</v>
      </c>
      <c r="H80" s="15" t="s">
        <v>49</v>
      </c>
      <c r="I80" s="16">
        <v>1</v>
      </c>
      <c r="J80" s="15" t="s">
        <v>51</v>
      </c>
      <c r="K80" s="15" t="s">
        <v>65</v>
      </c>
      <c r="L80" s="11">
        <v>0.83</v>
      </c>
      <c r="M80" s="11">
        <v>0</v>
      </c>
      <c r="N80" s="11">
        <v>100</v>
      </c>
      <c r="O80" s="11">
        <v>260.83</v>
      </c>
      <c r="P80" s="11">
        <v>260.83</v>
      </c>
      <c r="Q80" s="11" t="s">
        <v>414</v>
      </c>
      <c r="R80" s="11" t="s">
        <v>416</v>
      </c>
      <c r="S80" s="15" t="s">
        <v>66</v>
      </c>
      <c r="T80" s="18">
        <v>45717</v>
      </c>
    </row>
    <row r="81" spans="1:20" x14ac:dyDescent="0.2">
      <c r="A81" s="15" t="s">
        <v>61</v>
      </c>
      <c r="B81" s="16">
        <v>8814784</v>
      </c>
      <c r="C81" s="17" t="s">
        <v>694</v>
      </c>
      <c r="D81" s="15" t="s">
        <v>63</v>
      </c>
      <c r="E81" s="17" t="str">
        <f t="shared" si="0"/>
        <v>00023133292K6</v>
      </c>
      <c r="F81" s="15" t="s">
        <v>47</v>
      </c>
      <c r="G81" s="18">
        <v>45717</v>
      </c>
      <c r="H81" s="15" t="s">
        <v>49</v>
      </c>
      <c r="I81" s="16">
        <v>1</v>
      </c>
      <c r="J81" s="15" t="s">
        <v>51</v>
      </c>
      <c r="K81" s="15" t="s">
        <v>65</v>
      </c>
      <c r="L81" s="11">
        <v>0</v>
      </c>
      <c r="M81" s="11">
        <v>0</v>
      </c>
      <c r="N81" s="11">
        <v>100</v>
      </c>
      <c r="O81" s="11">
        <v>365.17</v>
      </c>
      <c r="P81" s="11">
        <v>313</v>
      </c>
      <c r="Q81" s="11" t="s">
        <v>414</v>
      </c>
      <c r="R81" s="11" t="s">
        <v>415</v>
      </c>
      <c r="S81" s="15" t="s">
        <v>53</v>
      </c>
      <c r="T81" s="18">
        <v>45717</v>
      </c>
    </row>
    <row r="82" spans="1:20" x14ac:dyDescent="0.2">
      <c r="A82" s="15" t="s">
        <v>61</v>
      </c>
      <c r="B82" s="16">
        <v>8814784</v>
      </c>
      <c r="C82" s="17" t="s">
        <v>694</v>
      </c>
      <c r="D82" s="15" t="s">
        <v>63</v>
      </c>
      <c r="E82" s="17" t="str">
        <f t="shared" si="0"/>
        <v>00023133292K6</v>
      </c>
      <c r="F82" s="15" t="s">
        <v>47</v>
      </c>
      <c r="G82" s="18">
        <v>45717</v>
      </c>
      <c r="H82" s="15" t="s">
        <v>49</v>
      </c>
      <c r="I82" s="16">
        <v>1</v>
      </c>
      <c r="J82" s="15" t="s">
        <v>51</v>
      </c>
      <c r="K82" s="15" t="s">
        <v>65</v>
      </c>
      <c r="L82" s="11">
        <v>0</v>
      </c>
      <c r="M82" s="11">
        <v>0</v>
      </c>
      <c r="N82" s="11">
        <v>100</v>
      </c>
      <c r="O82" s="11">
        <v>365.17</v>
      </c>
      <c r="P82" s="11">
        <v>52.16</v>
      </c>
      <c r="Q82" s="11" t="s">
        <v>414</v>
      </c>
      <c r="R82" s="11" t="s">
        <v>424</v>
      </c>
      <c r="S82" s="15" t="s">
        <v>53</v>
      </c>
      <c r="T82" s="18">
        <v>45717</v>
      </c>
    </row>
    <row r="83" spans="1:20" x14ac:dyDescent="0.2">
      <c r="A83" s="15" t="s">
        <v>169</v>
      </c>
      <c r="B83" s="16">
        <v>17774994</v>
      </c>
      <c r="C83" s="17" t="s">
        <v>649</v>
      </c>
      <c r="D83" s="15" t="s">
        <v>171</v>
      </c>
      <c r="E83" s="17" t="str">
        <f t="shared" si="0"/>
        <v>00023115513K6</v>
      </c>
      <c r="F83" s="15" t="s">
        <v>47</v>
      </c>
      <c r="G83" s="18">
        <v>45717</v>
      </c>
      <c r="H83" s="15" t="s">
        <v>49</v>
      </c>
      <c r="I83" s="16">
        <v>1</v>
      </c>
      <c r="J83" s="15" t="s">
        <v>51</v>
      </c>
      <c r="K83" s="15" t="s">
        <v>65</v>
      </c>
      <c r="L83" s="11">
        <v>0</v>
      </c>
      <c r="M83" s="11">
        <v>0</v>
      </c>
      <c r="N83" s="11">
        <v>100</v>
      </c>
      <c r="O83" s="11">
        <v>365.17</v>
      </c>
      <c r="P83" s="11">
        <v>313</v>
      </c>
      <c r="Q83" s="11" t="s">
        <v>414</v>
      </c>
      <c r="R83" s="11" t="s">
        <v>415</v>
      </c>
      <c r="S83" s="15" t="s">
        <v>53</v>
      </c>
      <c r="T83" s="18">
        <v>45717</v>
      </c>
    </row>
    <row r="84" spans="1:20" x14ac:dyDescent="0.2">
      <c r="A84" s="15" t="s">
        <v>169</v>
      </c>
      <c r="B84" s="16">
        <v>17774994</v>
      </c>
      <c r="C84" s="17" t="s">
        <v>649</v>
      </c>
      <c r="D84" s="15" t="s">
        <v>171</v>
      </c>
      <c r="E84" s="17" t="str">
        <f t="shared" si="0"/>
        <v>00023115513K6</v>
      </c>
      <c r="F84" s="15" t="s">
        <v>47</v>
      </c>
      <c r="G84" s="18">
        <v>45717</v>
      </c>
      <c r="H84" s="15" t="s">
        <v>49</v>
      </c>
      <c r="I84" s="16">
        <v>1</v>
      </c>
      <c r="J84" s="15" t="s">
        <v>51</v>
      </c>
      <c r="K84" s="15" t="s">
        <v>65</v>
      </c>
      <c r="L84" s="11">
        <v>0</v>
      </c>
      <c r="M84" s="11">
        <v>0</v>
      </c>
      <c r="N84" s="11">
        <v>100</v>
      </c>
      <c r="O84" s="11">
        <v>365.17</v>
      </c>
      <c r="P84" s="11">
        <v>52.16</v>
      </c>
      <c r="Q84" s="11" t="s">
        <v>414</v>
      </c>
      <c r="R84" s="11" t="s">
        <v>424</v>
      </c>
      <c r="S84" s="15" t="s">
        <v>53</v>
      </c>
      <c r="T84" s="18">
        <v>45717</v>
      </c>
    </row>
    <row r="85" spans="1:20" x14ac:dyDescent="0.2">
      <c r="A85" s="22" t="s">
        <v>164</v>
      </c>
      <c r="B85" s="28" t="s">
        <v>428</v>
      </c>
      <c r="C85" s="23" t="s">
        <v>670</v>
      </c>
      <c r="D85" s="23">
        <v>9029971470</v>
      </c>
      <c r="E85" s="23" t="str">
        <f>CONCATENATE(D85,4)</f>
        <v>90299714704</v>
      </c>
      <c r="F85" s="22" t="s">
        <v>281</v>
      </c>
      <c r="G85" s="24">
        <v>45748</v>
      </c>
      <c r="H85" s="22" t="s">
        <v>87</v>
      </c>
      <c r="I85" s="25">
        <v>1</v>
      </c>
      <c r="J85" s="22" t="s">
        <v>283</v>
      </c>
      <c r="K85" s="22" t="s">
        <v>46</v>
      </c>
      <c r="L85" s="26">
        <v>10</v>
      </c>
      <c r="M85" s="26">
        <v>12.99</v>
      </c>
      <c r="N85" s="26">
        <v>100</v>
      </c>
      <c r="O85" s="26">
        <v>1.3</v>
      </c>
      <c r="P85" s="26">
        <v>1.3</v>
      </c>
      <c r="Q85" s="26" t="s">
        <v>408</v>
      </c>
      <c r="R85" s="26"/>
      <c r="S85" s="22" t="s">
        <v>284</v>
      </c>
      <c r="T85" s="24">
        <v>45689</v>
      </c>
    </row>
    <row r="86" spans="1:20" x14ac:dyDescent="0.2">
      <c r="A86" s="15" t="s">
        <v>173</v>
      </c>
      <c r="B86" s="16">
        <v>9213293</v>
      </c>
      <c r="C86" s="17" t="s">
        <v>711</v>
      </c>
      <c r="D86" s="15" t="s">
        <v>187</v>
      </c>
      <c r="E86" s="17" t="str">
        <f>CONCATENATE(D86,6)</f>
        <v>00023072316K6</v>
      </c>
      <c r="F86" s="15" t="s">
        <v>47</v>
      </c>
      <c r="G86" s="18">
        <v>45778</v>
      </c>
      <c r="H86" s="15" t="s">
        <v>83</v>
      </c>
      <c r="I86" s="16">
        <v>1</v>
      </c>
      <c r="J86" s="15" t="s">
        <v>51</v>
      </c>
      <c r="K86" s="15" t="s">
        <v>52</v>
      </c>
      <c r="L86" s="11">
        <v>0</v>
      </c>
      <c r="M86" s="11">
        <v>0</v>
      </c>
      <c r="N86" s="11">
        <v>100</v>
      </c>
      <c r="O86" s="11">
        <v>417.33</v>
      </c>
      <c r="P86" s="11">
        <v>313</v>
      </c>
      <c r="Q86" s="11" t="s">
        <v>414</v>
      </c>
      <c r="R86" s="11" t="s">
        <v>415</v>
      </c>
      <c r="S86" s="15" t="s">
        <v>53</v>
      </c>
      <c r="T86" s="18">
        <v>45778</v>
      </c>
    </row>
    <row r="87" spans="1:20" x14ac:dyDescent="0.2">
      <c r="A87" s="15" t="s">
        <v>173</v>
      </c>
      <c r="B87" s="16">
        <v>9213293</v>
      </c>
      <c r="C87" s="17" t="s">
        <v>711</v>
      </c>
      <c r="D87" s="15" t="s">
        <v>187</v>
      </c>
      <c r="E87" s="17" t="str">
        <f>CONCATENATE(D87,6)</f>
        <v>00023072316K6</v>
      </c>
      <c r="F87" s="15" t="s">
        <v>47</v>
      </c>
      <c r="G87" s="18">
        <v>45778</v>
      </c>
      <c r="H87" s="15" t="s">
        <v>83</v>
      </c>
      <c r="I87" s="16">
        <v>1</v>
      </c>
      <c r="J87" s="15" t="s">
        <v>51</v>
      </c>
      <c r="K87" s="15" t="s">
        <v>52</v>
      </c>
      <c r="L87" s="11">
        <v>0</v>
      </c>
      <c r="M87" s="11">
        <v>0</v>
      </c>
      <c r="N87" s="11">
        <v>100</v>
      </c>
      <c r="O87" s="11">
        <v>417.33</v>
      </c>
      <c r="P87" s="11">
        <v>104.33</v>
      </c>
      <c r="Q87" s="11" t="s">
        <v>414</v>
      </c>
      <c r="R87" s="11" t="s">
        <v>426</v>
      </c>
      <c r="S87" s="15" t="s">
        <v>53</v>
      </c>
      <c r="T87" s="18">
        <v>45778</v>
      </c>
    </row>
    <row r="88" spans="1:20" x14ac:dyDescent="0.2">
      <c r="A88" s="15" t="s">
        <v>394</v>
      </c>
      <c r="B88" s="16">
        <v>18794740</v>
      </c>
      <c r="C88" s="17" t="s">
        <v>695</v>
      </c>
      <c r="D88" s="15" t="s">
        <v>400</v>
      </c>
      <c r="E88" s="17" t="str">
        <f>CONCATENATE(D88,8)</f>
        <v>00000954733A8</v>
      </c>
      <c r="F88" s="15" t="s">
        <v>325</v>
      </c>
      <c r="G88" s="18">
        <v>45717</v>
      </c>
      <c r="H88" s="15" t="s">
        <v>49</v>
      </c>
      <c r="I88" s="16">
        <v>1</v>
      </c>
      <c r="J88" s="15" t="s">
        <v>51</v>
      </c>
      <c r="K88" s="15" t="s">
        <v>46</v>
      </c>
      <c r="L88" s="11">
        <v>22</v>
      </c>
      <c r="M88" s="11">
        <v>1674</v>
      </c>
      <c r="N88" s="11">
        <v>100</v>
      </c>
      <c r="O88" s="11">
        <v>368.28</v>
      </c>
      <c r="P88" s="11">
        <v>368.28</v>
      </c>
      <c r="Q88" s="11" t="s">
        <v>410</v>
      </c>
      <c r="R88" s="11"/>
      <c r="S88" s="15" t="s">
        <v>342</v>
      </c>
      <c r="T88" s="18">
        <v>45717</v>
      </c>
    </row>
    <row r="89" spans="1:20" x14ac:dyDescent="0.2">
      <c r="A89" s="15" t="s">
        <v>229</v>
      </c>
      <c r="B89" s="16">
        <v>19681796</v>
      </c>
      <c r="C89" s="17" t="s">
        <v>718</v>
      </c>
      <c r="D89" s="15" t="s">
        <v>243</v>
      </c>
      <c r="E89" s="17" t="str">
        <f>CONCATENATE(D89,6)</f>
        <v>00023140550K6</v>
      </c>
      <c r="F89" s="15" t="s">
        <v>47</v>
      </c>
      <c r="G89" s="18">
        <v>45717</v>
      </c>
      <c r="H89" s="15" t="s">
        <v>49</v>
      </c>
      <c r="I89" s="16">
        <v>1</v>
      </c>
      <c r="J89" s="15" t="s">
        <v>51</v>
      </c>
      <c r="K89" s="15" t="s">
        <v>65</v>
      </c>
      <c r="L89" s="11">
        <v>0.83</v>
      </c>
      <c r="M89" s="11">
        <v>0</v>
      </c>
      <c r="N89" s="11">
        <v>100</v>
      </c>
      <c r="O89" s="11">
        <v>260.83</v>
      </c>
      <c r="P89" s="11">
        <v>260.83</v>
      </c>
      <c r="Q89" s="11" t="s">
        <v>414</v>
      </c>
      <c r="R89" s="11" t="s">
        <v>416</v>
      </c>
      <c r="S89" s="15" t="s">
        <v>66</v>
      </c>
      <c r="T89" s="18">
        <v>45717</v>
      </c>
    </row>
    <row r="90" spans="1:20" x14ac:dyDescent="0.2">
      <c r="A90" s="15" t="s">
        <v>229</v>
      </c>
      <c r="B90" s="16">
        <v>19681796</v>
      </c>
      <c r="C90" s="17" t="s">
        <v>718</v>
      </c>
      <c r="D90" s="15" t="s">
        <v>243</v>
      </c>
      <c r="E90" s="17" t="str">
        <f>CONCATENATE(D90,6)</f>
        <v>00023140550K6</v>
      </c>
      <c r="F90" s="15" t="s">
        <v>47</v>
      </c>
      <c r="G90" s="18">
        <v>45717</v>
      </c>
      <c r="H90" s="15" t="s">
        <v>49</v>
      </c>
      <c r="I90" s="16">
        <v>1</v>
      </c>
      <c r="J90" s="15" t="s">
        <v>51</v>
      </c>
      <c r="K90" s="15" t="s">
        <v>65</v>
      </c>
      <c r="L90" s="11">
        <v>0</v>
      </c>
      <c r="M90" s="11">
        <v>0</v>
      </c>
      <c r="N90" s="11">
        <v>100</v>
      </c>
      <c r="O90" s="11">
        <v>260.83999999999997</v>
      </c>
      <c r="P90" s="11">
        <v>260.83999999999997</v>
      </c>
      <c r="Q90" s="11" t="s">
        <v>414</v>
      </c>
      <c r="R90" s="11" t="s">
        <v>416</v>
      </c>
      <c r="S90" s="15" t="s">
        <v>53</v>
      </c>
      <c r="T90" s="18">
        <v>45717</v>
      </c>
    </row>
    <row r="91" spans="1:20" x14ac:dyDescent="0.2">
      <c r="A91" s="15" t="s">
        <v>403</v>
      </c>
      <c r="B91" s="16">
        <v>5442438</v>
      </c>
      <c r="C91" s="17" t="s">
        <v>699</v>
      </c>
      <c r="D91" s="15" t="s">
        <v>405</v>
      </c>
      <c r="E91" s="17" t="str">
        <f>CONCATENATE(D91,8)</f>
        <v>00000858729A8</v>
      </c>
      <c r="F91" s="15" t="s">
        <v>325</v>
      </c>
      <c r="G91" s="18">
        <v>45717</v>
      </c>
      <c r="H91" s="15" t="s">
        <v>49</v>
      </c>
      <c r="I91" s="16">
        <v>1</v>
      </c>
      <c r="J91" s="15" t="s">
        <v>51</v>
      </c>
      <c r="K91" s="15" t="s">
        <v>46</v>
      </c>
      <c r="L91" s="11">
        <v>11</v>
      </c>
      <c r="M91" s="11">
        <v>142.16999999999999</v>
      </c>
      <c r="N91" s="11">
        <v>100</v>
      </c>
      <c r="O91" s="11">
        <v>15.64</v>
      </c>
      <c r="P91" s="11">
        <v>15.64</v>
      </c>
      <c r="Q91" s="11" t="s">
        <v>412</v>
      </c>
      <c r="R91" s="11"/>
      <c r="S91" s="15" t="s">
        <v>66</v>
      </c>
      <c r="T91" s="18">
        <v>45505</v>
      </c>
    </row>
    <row r="92" spans="1:20" x14ac:dyDescent="0.2">
      <c r="A92" s="22" t="s">
        <v>278</v>
      </c>
      <c r="B92" s="25">
        <v>8244481</v>
      </c>
      <c r="C92" s="23" t="s">
        <v>644</v>
      </c>
      <c r="D92" s="23">
        <v>9029766060</v>
      </c>
      <c r="E92" s="23" t="str">
        <f>CONCATENATE(D92,4)</f>
        <v>90297660604</v>
      </c>
      <c r="F92" s="22" t="s">
        <v>281</v>
      </c>
      <c r="G92" s="24">
        <v>45748</v>
      </c>
      <c r="H92" s="22" t="s">
        <v>87</v>
      </c>
      <c r="I92" s="25">
        <v>1</v>
      </c>
      <c r="J92" s="22" t="s">
        <v>283</v>
      </c>
      <c r="K92" s="22" t="s">
        <v>46</v>
      </c>
      <c r="L92" s="26">
        <v>10</v>
      </c>
      <c r="M92" s="26">
        <v>13.93</v>
      </c>
      <c r="N92" s="26">
        <v>100</v>
      </c>
      <c r="O92" s="26">
        <v>1.39</v>
      </c>
      <c r="P92" s="26">
        <v>1.39</v>
      </c>
      <c r="Q92" s="26" t="s">
        <v>408</v>
      </c>
      <c r="R92" s="26"/>
      <c r="S92" s="22" t="s">
        <v>284</v>
      </c>
      <c r="T92" s="24">
        <v>45658</v>
      </c>
    </row>
    <row r="93" spans="1:20" x14ac:dyDescent="0.2">
      <c r="A93" s="15" t="s">
        <v>69</v>
      </c>
      <c r="B93" s="16">
        <v>7470776</v>
      </c>
      <c r="C93" s="17" t="s">
        <v>633</v>
      </c>
      <c r="D93" s="15" t="s">
        <v>74</v>
      </c>
      <c r="E93" s="17" t="str">
        <f>CONCATENATE(D93,6)</f>
        <v>00022188500K6</v>
      </c>
      <c r="F93" s="15" t="s">
        <v>47</v>
      </c>
      <c r="G93" s="18">
        <v>45717</v>
      </c>
      <c r="H93" s="15" t="s">
        <v>49</v>
      </c>
      <c r="I93" s="16">
        <v>1</v>
      </c>
      <c r="J93" s="15" t="s">
        <v>51</v>
      </c>
      <c r="K93" s="15" t="s">
        <v>65</v>
      </c>
      <c r="L93" s="11">
        <v>0.83</v>
      </c>
      <c r="M93" s="11">
        <v>0</v>
      </c>
      <c r="N93" s="11">
        <v>100</v>
      </c>
      <c r="O93" s="11">
        <v>260.83</v>
      </c>
      <c r="P93" s="11">
        <v>260.83</v>
      </c>
      <c r="Q93" s="11" t="s">
        <v>414</v>
      </c>
      <c r="R93" s="11" t="s">
        <v>416</v>
      </c>
      <c r="S93" s="15" t="s">
        <v>66</v>
      </c>
      <c r="T93" s="18">
        <v>45717</v>
      </c>
    </row>
    <row r="94" spans="1:20" x14ac:dyDescent="0.2">
      <c r="A94" s="15" t="s">
        <v>69</v>
      </c>
      <c r="B94" s="16">
        <v>7470776</v>
      </c>
      <c r="C94" s="17" t="s">
        <v>633</v>
      </c>
      <c r="D94" s="15" t="s">
        <v>74</v>
      </c>
      <c r="E94" s="17" t="str">
        <f>CONCATENATE(D94,6)</f>
        <v>00022188500K6</v>
      </c>
      <c r="F94" s="15" t="s">
        <v>47</v>
      </c>
      <c r="G94" s="18">
        <v>45717</v>
      </c>
      <c r="H94" s="15" t="s">
        <v>49</v>
      </c>
      <c r="I94" s="16">
        <v>1</v>
      </c>
      <c r="J94" s="15" t="s">
        <v>51</v>
      </c>
      <c r="K94" s="15" t="s">
        <v>65</v>
      </c>
      <c r="L94" s="11">
        <v>0</v>
      </c>
      <c r="M94" s="11">
        <v>0</v>
      </c>
      <c r="N94" s="11">
        <v>100</v>
      </c>
      <c r="O94" s="11">
        <v>365.17</v>
      </c>
      <c r="P94" s="11">
        <v>313</v>
      </c>
      <c r="Q94" s="11" t="s">
        <v>414</v>
      </c>
      <c r="R94" s="11" t="s">
        <v>415</v>
      </c>
      <c r="S94" s="15" t="s">
        <v>53</v>
      </c>
      <c r="T94" s="18">
        <v>45717</v>
      </c>
    </row>
    <row r="95" spans="1:20" x14ac:dyDescent="0.2">
      <c r="A95" s="15" t="s">
        <v>69</v>
      </c>
      <c r="B95" s="16">
        <v>7470776</v>
      </c>
      <c r="C95" s="17" t="s">
        <v>633</v>
      </c>
      <c r="D95" s="15" t="s">
        <v>74</v>
      </c>
      <c r="E95" s="17" t="str">
        <f>CONCATENATE(D95,6)</f>
        <v>00022188500K6</v>
      </c>
      <c r="F95" s="15" t="s">
        <v>47</v>
      </c>
      <c r="G95" s="18">
        <v>45717</v>
      </c>
      <c r="H95" s="15" t="s">
        <v>49</v>
      </c>
      <c r="I95" s="16">
        <v>1</v>
      </c>
      <c r="J95" s="15" t="s">
        <v>51</v>
      </c>
      <c r="K95" s="15" t="s">
        <v>65</v>
      </c>
      <c r="L95" s="11">
        <v>0</v>
      </c>
      <c r="M95" s="11">
        <v>0</v>
      </c>
      <c r="N95" s="11">
        <v>100</v>
      </c>
      <c r="O95" s="11">
        <v>365.17</v>
      </c>
      <c r="P95" s="11">
        <v>52.16</v>
      </c>
      <c r="Q95" s="11" t="s">
        <v>414</v>
      </c>
      <c r="R95" s="11" t="s">
        <v>424</v>
      </c>
      <c r="S95" s="15" t="s">
        <v>53</v>
      </c>
      <c r="T95" s="18">
        <v>45717</v>
      </c>
    </row>
    <row r="96" spans="1:20" x14ac:dyDescent="0.2">
      <c r="A96" s="22" t="s">
        <v>278</v>
      </c>
      <c r="B96" s="25">
        <v>8244481</v>
      </c>
      <c r="C96" s="23" t="s">
        <v>637</v>
      </c>
      <c r="D96" s="23">
        <v>9029700260</v>
      </c>
      <c r="E96" s="23" t="str">
        <f>CONCATENATE(D96,4)</f>
        <v>90297002604</v>
      </c>
      <c r="F96" s="22" t="s">
        <v>281</v>
      </c>
      <c r="G96" s="24">
        <v>45748</v>
      </c>
      <c r="H96" s="22" t="s">
        <v>87</v>
      </c>
      <c r="I96" s="25">
        <v>1</v>
      </c>
      <c r="J96" s="22" t="s">
        <v>283</v>
      </c>
      <c r="K96" s="22" t="s">
        <v>46</v>
      </c>
      <c r="L96" s="26">
        <v>10</v>
      </c>
      <c r="M96" s="26">
        <v>13.93</v>
      </c>
      <c r="N96" s="26">
        <v>100</v>
      </c>
      <c r="O96" s="26">
        <v>1.39</v>
      </c>
      <c r="P96" s="26">
        <v>1.39</v>
      </c>
      <c r="Q96" s="26" t="s">
        <v>408</v>
      </c>
      <c r="R96" s="26"/>
      <c r="S96" s="22" t="s">
        <v>284</v>
      </c>
      <c r="T96" s="24">
        <v>45658</v>
      </c>
    </row>
    <row r="97" spans="1:20" x14ac:dyDescent="0.2">
      <c r="A97" s="22" t="s">
        <v>278</v>
      </c>
      <c r="B97" s="25">
        <v>8244481</v>
      </c>
      <c r="C97" s="23" t="s">
        <v>637</v>
      </c>
      <c r="D97" s="23">
        <v>9029700250</v>
      </c>
      <c r="E97" s="23" t="str">
        <f>CONCATENATE(D97,4)</f>
        <v>90297002504</v>
      </c>
      <c r="F97" s="22" t="s">
        <v>281</v>
      </c>
      <c r="G97" s="24">
        <v>45748</v>
      </c>
      <c r="H97" s="22" t="s">
        <v>87</v>
      </c>
      <c r="I97" s="25">
        <v>1</v>
      </c>
      <c r="J97" s="22" t="s">
        <v>288</v>
      </c>
      <c r="K97" s="22" t="s">
        <v>46</v>
      </c>
      <c r="L97" s="26">
        <v>10</v>
      </c>
      <c r="M97" s="26">
        <v>52.78</v>
      </c>
      <c r="N97" s="26">
        <v>100</v>
      </c>
      <c r="O97" s="26">
        <v>5.28</v>
      </c>
      <c r="P97" s="26">
        <v>5.28</v>
      </c>
      <c r="Q97" s="26" t="s">
        <v>408</v>
      </c>
      <c r="R97" s="26"/>
      <c r="S97" s="22" t="s">
        <v>284</v>
      </c>
      <c r="T97" s="24">
        <v>45658</v>
      </c>
    </row>
    <row r="98" spans="1:20" x14ac:dyDescent="0.2">
      <c r="A98" s="15" t="s">
        <v>394</v>
      </c>
      <c r="B98" s="16">
        <v>18794740</v>
      </c>
      <c r="C98" s="17" t="s">
        <v>697</v>
      </c>
      <c r="D98" s="15" t="s">
        <v>396</v>
      </c>
      <c r="E98" s="17" t="str">
        <f>CONCATENATE(D98,8)</f>
        <v>00000803303A8</v>
      </c>
      <c r="F98" s="15" t="s">
        <v>325</v>
      </c>
      <c r="G98" s="18">
        <v>45717</v>
      </c>
      <c r="H98" s="15" t="s">
        <v>49</v>
      </c>
      <c r="I98" s="16">
        <v>1</v>
      </c>
      <c r="J98" s="15" t="s">
        <v>51</v>
      </c>
      <c r="K98" s="15" t="s">
        <v>46</v>
      </c>
      <c r="L98" s="11">
        <v>22</v>
      </c>
      <c r="M98" s="11">
        <v>130.03</v>
      </c>
      <c r="N98" s="11">
        <v>100</v>
      </c>
      <c r="O98" s="11">
        <v>28.61</v>
      </c>
      <c r="P98" s="11">
        <v>28.61</v>
      </c>
      <c r="Q98" s="11" t="s">
        <v>410</v>
      </c>
      <c r="R98" s="11"/>
      <c r="S98" s="15" t="s">
        <v>326</v>
      </c>
      <c r="T98" s="18">
        <v>45323</v>
      </c>
    </row>
    <row r="99" spans="1:20" x14ac:dyDescent="0.2">
      <c r="A99" s="15" t="s">
        <v>164</v>
      </c>
      <c r="B99" s="21">
        <v>17528908</v>
      </c>
      <c r="C99" s="17" t="s">
        <v>687</v>
      </c>
      <c r="D99" s="15" t="s">
        <v>381</v>
      </c>
      <c r="E99" s="17" t="str">
        <f>CONCATENATE(D99,8)</f>
        <v>00000810902A8</v>
      </c>
      <c r="F99" s="15" t="s">
        <v>325</v>
      </c>
      <c r="G99" s="18">
        <v>45717</v>
      </c>
      <c r="H99" s="15" t="s">
        <v>49</v>
      </c>
      <c r="I99" s="16">
        <v>1</v>
      </c>
      <c r="J99" s="15" t="s">
        <v>51</v>
      </c>
      <c r="K99" s="15" t="s">
        <v>46</v>
      </c>
      <c r="L99" s="11">
        <v>22</v>
      </c>
      <c r="M99" s="11">
        <v>130.08000000000001</v>
      </c>
      <c r="N99" s="11">
        <v>100</v>
      </c>
      <c r="O99" s="11">
        <v>28.62</v>
      </c>
      <c r="P99" s="11">
        <v>28.62</v>
      </c>
      <c r="Q99" s="11" t="s">
        <v>410</v>
      </c>
      <c r="R99" s="11"/>
      <c r="S99" s="15" t="s">
        <v>326</v>
      </c>
      <c r="T99" s="18">
        <v>45352</v>
      </c>
    </row>
    <row r="100" spans="1:20" x14ac:dyDescent="0.2">
      <c r="A100" s="22" t="s">
        <v>94</v>
      </c>
      <c r="B100" s="25">
        <v>6634327</v>
      </c>
      <c r="C100" s="23" t="s">
        <v>692</v>
      </c>
      <c r="D100" s="23">
        <v>845819</v>
      </c>
      <c r="E100" s="23" t="str">
        <f>CONCATENATE(D100,4)</f>
        <v>8458194</v>
      </c>
      <c r="F100" s="22" t="s">
        <v>314</v>
      </c>
      <c r="G100" s="24">
        <v>45717</v>
      </c>
      <c r="H100" s="22" t="s">
        <v>49</v>
      </c>
      <c r="I100" s="25">
        <v>1</v>
      </c>
      <c r="J100" s="22" t="s">
        <v>283</v>
      </c>
      <c r="K100" s="22" t="s">
        <v>46</v>
      </c>
      <c r="L100" s="26">
        <v>10</v>
      </c>
      <c r="M100" s="26">
        <v>5.69</v>
      </c>
      <c r="N100" s="26">
        <v>100</v>
      </c>
      <c r="O100" s="26">
        <v>0.56999999999999995</v>
      </c>
      <c r="P100" s="26">
        <v>0.56999999999999995</v>
      </c>
      <c r="Q100" s="26" t="s">
        <v>408</v>
      </c>
      <c r="R100" s="26"/>
      <c r="S100" s="22" t="s">
        <v>131</v>
      </c>
      <c r="T100" s="24">
        <v>44287</v>
      </c>
    </row>
    <row r="101" spans="1:20" x14ac:dyDescent="0.2">
      <c r="A101" s="15" t="s">
        <v>164</v>
      </c>
      <c r="B101" s="21" t="s">
        <v>428</v>
      </c>
      <c r="C101" s="17" t="s">
        <v>675</v>
      </c>
      <c r="D101" s="15" t="s">
        <v>383</v>
      </c>
      <c r="E101" s="17" t="str">
        <f>CONCATENATE(D101,8)</f>
        <v>00000963205A8</v>
      </c>
      <c r="F101" s="15" t="s">
        <v>325</v>
      </c>
      <c r="G101" s="18">
        <v>45717</v>
      </c>
      <c r="H101" s="15" t="s">
        <v>49</v>
      </c>
      <c r="I101" s="16">
        <v>1</v>
      </c>
      <c r="J101" s="15" t="s">
        <v>51</v>
      </c>
      <c r="K101" s="15" t="s">
        <v>46</v>
      </c>
      <c r="L101" s="11">
        <v>22</v>
      </c>
      <c r="M101" s="11">
        <v>1674.6</v>
      </c>
      <c r="N101" s="11">
        <v>100</v>
      </c>
      <c r="O101" s="11">
        <v>368.4</v>
      </c>
      <c r="P101" s="11">
        <v>368.4</v>
      </c>
      <c r="Q101" s="11" t="s">
        <v>410</v>
      </c>
      <c r="R101" s="11"/>
      <c r="S101" s="15" t="s">
        <v>342</v>
      </c>
      <c r="T101" s="18">
        <v>45717</v>
      </c>
    </row>
    <row r="102" spans="1:20" x14ac:dyDescent="0.2">
      <c r="A102" s="15" t="s">
        <v>164</v>
      </c>
      <c r="B102" s="21">
        <v>17528908</v>
      </c>
      <c r="C102" s="17" t="s">
        <v>681</v>
      </c>
      <c r="D102" s="15" t="s">
        <v>365</v>
      </c>
      <c r="E102" s="17" t="str">
        <f>CONCATENATE(D102,8)</f>
        <v>00000776436A8</v>
      </c>
      <c r="F102" s="15" t="s">
        <v>325</v>
      </c>
      <c r="G102" s="18">
        <v>45717</v>
      </c>
      <c r="H102" s="15" t="s">
        <v>49</v>
      </c>
      <c r="I102" s="16">
        <v>1</v>
      </c>
      <c r="J102" s="15" t="s">
        <v>51</v>
      </c>
      <c r="K102" s="15" t="s">
        <v>46</v>
      </c>
      <c r="L102" s="11">
        <v>22</v>
      </c>
      <c r="M102" s="11">
        <v>130.08000000000001</v>
      </c>
      <c r="N102" s="11">
        <v>100</v>
      </c>
      <c r="O102" s="11">
        <v>28.62</v>
      </c>
      <c r="P102" s="11">
        <v>28.62</v>
      </c>
      <c r="Q102" s="11" t="s">
        <v>410</v>
      </c>
      <c r="R102" s="11"/>
      <c r="S102" s="15" t="s">
        <v>326</v>
      </c>
      <c r="T102" s="18">
        <v>45261</v>
      </c>
    </row>
    <row r="103" spans="1:20" x14ac:dyDescent="0.2">
      <c r="A103" s="15" t="s">
        <v>76</v>
      </c>
      <c r="B103" s="16">
        <v>8307933</v>
      </c>
      <c r="C103" s="17" t="s">
        <v>725</v>
      </c>
      <c r="D103" s="15" t="s">
        <v>92</v>
      </c>
      <c r="E103" s="17" t="str">
        <f t="shared" ref="E103:E115" si="1">CONCATENATE(D103,6)</f>
        <v>00023126234K6</v>
      </c>
      <c r="F103" s="15" t="s">
        <v>47</v>
      </c>
      <c r="G103" s="18">
        <v>45717</v>
      </c>
      <c r="H103" s="15" t="s">
        <v>49</v>
      </c>
      <c r="I103" s="16">
        <v>1</v>
      </c>
      <c r="J103" s="15" t="s">
        <v>51</v>
      </c>
      <c r="K103" s="15" t="s">
        <v>65</v>
      </c>
      <c r="L103" s="11">
        <v>0</v>
      </c>
      <c r="M103" s="11">
        <v>0</v>
      </c>
      <c r="N103" s="11">
        <v>100</v>
      </c>
      <c r="O103" s="11">
        <v>365.17</v>
      </c>
      <c r="P103" s="11">
        <v>313</v>
      </c>
      <c r="Q103" s="11" t="s">
        <v>414</v>
      </c>
      <c r="R103" s="11" t="s">
        <v>415</v>
      </c>
      <c r="S103" s="15" t="s">
        <v>53</v>
      </c>
      <c r="T103" s="18">
        <v>45717</v>
      </c>
    </row>
    <row r="104" spans="1:20" x14ac:dyDescent="0.2">
      <c r="A104" s="15" t="s">
        <v>76</v>
      </c>
      <c r="B104" s="16">
        <v>8307933</v>
      </c>
      <c r="C104" s="17" t="s">
        <v>725</v>
      </c>
      <c r="D104" s="15" t="s">
        <v>92</v>
      </c>
      <c r="E104" s="17" t="str">
        <f t="shared" si="1"/>
        <v>00023126234K6</v>
      </c>
      <c r="F104" s="15" t="s">
        <v>47</v>
      </c>
      <c r="G104" s="18">
        <v>45717</v>
      </c>
      <c r="H104" s="15" t="s">
        <v>49</v>
      </c>
      <c r="I104" s="16">
        <v>1</v>
      </c>
      <c r="J104" s="15" t="s">
        <v>51</v>
      </c>
      <c r="K104" s="15" t="s">
        <v>65</v>
      </c>
      <c r="L104" s="11">
        <v>0</v>
      </c>
      <c r="M104" s="11">
        <v>0</v>
      </c>
      <c r="N104" s="11">
        <v>100</v>
      </c>
      <c r="O104" s="11">
        <v>365.17</v>
      </c>
      <c r="P104" s="11">
        <v>52.16</v>
      </c>
      <c r="Q104" s="11" t="s">
        <v>414</v>
      </c>
      <c r="R104" s="11" t="s">
        <v>424</v>
      </c>
      <c r="S104" s="15" t="s">
        <v>53</v>
      </c>
      <c r="T104" s="18">
        <v>45717</v>
      </c>
    </row>
    <row r="105" spans="1:20" x14ac:dyDescent="0.2">
      <c r="A105" s="15" t="s">
        <v>173</v>
      </c>
      <c r="B105" s="16">
        <v>9213293</v>
      </c>
      <c r="C105" s="17" t="s">
        <v>709</v>
      </c>
      <c r="D105" s="15" t="s">
        <v>184</v>
      </c>
      <c r="E105" s="17" t="str">
        <f t="shared" si="1"/>
        <v>00023059876K6</v>
      </c>
      <c r="F105" s="15" t="s">
        <v>47</v>
      </c>
      <c r="G105" s="18">
        <v>45689</v>
      </c>
      <c r="H105" s="15" t="s">
        <v>136</v>
      </c>
      <c r="I105" s="16">
        <v>1</v>
      </c>
      <c r="J105" s="15" t="s">
        <v>51</v>
      </c>
      <c r="K105" s="15" t="s">
        <v>65</v>
      </c>
      <c r="L105" s="11">
        <v>0</v>
      </c>
      <c r="M105" s="11">
        <v>0</v>
      </c>
      <c r="N105" s="11">
        <v>100</v>
      </c>
      <c r="O105" s="11">
        <v>339.08</v>
      </c>
      <c r="P105" s="11">
        <v>313</v>
      </c>
      <c r="Q105" s="11" t="s">
        <v>414</v>
      </c>
      <c r="R105" s="11" t="s">
        <v>415</v>
      </c>
      <c r="S105" s="15" t="s">
        <v>53</v>
      </c>
      <c r="T105" s="18">
        <v>45689</v>
      </c>
    </row>
    <row r="106" spans="1:20" x14ac:dyDescent="0.2">
      <c r="A106" s="15" t="s">
        <v>173</v>
      </c>
      <c r="B106" s="16">
        <v>9213293</v>
      </c>
      <c r="C106" s="17" t="s">
        <v>709</v>
      </c>
      <c r="D106" s="15" t="s">
        <v>184</v>
      </c>
      <c r="E106" s="17" t="str">
        <f t="shared" si="1"/>
        <v>00023059876K6</v>
      </c>
      <c r="F106" s="15" t="s">
        <v>47</v>
      </c>
      <c r="G106" s="18">
        <v>45689</v>
      </c>
      <c r="H106" s="15" t="s">
        <v>136</v>
      </c>
      <c r="I106" s="16">
        <v>1</v>
      </c>
      <c r="J106" s="15" t="s">
        <v>51</v>
      </c>
      <c r="K106" s="15" t="s">
        <v>65</v>
      </c>
      <c r="L106" s="11">
        <v>0</v>
      </c>
      <c r="M106" s="11">
        <v>0</v>
      </c>
      <c r="N106" s="11">
        <v>100</v>
      </c>
      <c r="O106" s="11">
        <v>339.08</v>
      </c>
      <c r="P106" s="11">
        <v>26.08</v>
      </c>
      <c r="Q106" s="11" t="s">
        <v>414</v>
      </c>
      <c r="R106" s="11" t="s">
        <v>422</v>
      </c>
      <c r="S106" s="15" t="s">
        <v>53</v>
      </c>
      <c r="T106" s="18">
        <v>45689</v>
      </c>
    </row>
    <row r="107" spans="1:20" x14ac:dyDescent="0.2">
      <c r="A107" s="15" t="s">
        <v>126</v>
      </c>
      <c r="B107" s="16">
        <v>16633294</v>
      </c>
      <c r="C107" s="17" t="s">
        <v>734</v>
      </c>
      <c r="D107" s="15" t="s">
        <v>138</v>
      </c>
      <c r="E107" s="17" t="str">
        <f t="shared" si="1"/>
        <v>00023103271K6</v>
      </c>
      <c r="F107" s="15" t="s">
        <v>47</v>
      </c>
      <c r="G107" s="18">
        <v>45717</v>
      </c>
      <c r="H107" s="15" t="s">
        <v>49</v>
      </c>
      <c r="I107" s="16">
        <v>1</v>
      </c>
      <c r="J107" s="15" t="s">
        <v>51</v>
      </c>
      <c r="K107" s="15" t="s">
        <v>65</v>
      </c>
      <c r="L107" s="11">
        <v>0</v>
      </c>
      <c r="M107" s="11">
        <v>0</v>
      </c>
      <c r="N107" s="11">
        <v>100</v>
      </c>
      <c r="O107" s="11">
        <v>365.17</v>
      </c>
      <c r="P107" s="11">
        <v>313</v>
      </c>
      <c r="Q107" s="11" t="s">
        <v>414</v>
      </c>
      <c r="R107" s="11" t="s">
        <v>415</v>
      </c>
      <c r="S107" s="15" t="s">
        <v>53</v>
      </c>
      <c r="T107" s="18">
        <v>45717</v>
      </c>
    </row>
    <row r="108" spans="1:20" x14ac:dyDescent="0.2">
      <c r="A108" s="15" t="s">
        <v>126</v>
      </c>
      <c r="B108" s="16">
        <v>16633294</v>
      </c>
      <c r="C108" s="17" t="s">
        <v>734</v>
      </c>
      <c r="D108" s="15" t="s">
        <v>138</v>
      </c>
      <c r="E108" s="17" t="str">
        <f t="shared" si="1"/>
        <v>00023103271K6</v>
      </c>
      <c r="F108" s="15" t="s">
        <v>47</v>
      </c>
      <c r="G108" s="18">
        <v>45717</v>
      </c>
      <c r="H108" s="15" t="s">
        <v>49</v>
      </c>
      <c r="I108" s="16">
        <v>1</v>
      </c>
      <c r="J108" s="15" t="s">
        <v>51</v>
      </c>
      <c r="K108" s="15" t="s">
        <v>65</v>
      </c>
      <c r="L108" s="11">
        <v>0</v>
      </c>
      <c r="M108" s="11">
        <v>0</v>
      </c>
      <c r="N108" s="11">
        <v>100</v>
      </c>
      <c r="O108" s="11">
        <v>365.17</v>
      </c>
      <c r="P108" s="11">
        <v>52.16</v>
      </c>
      <c r="Q108" s="11" t="s">
        <v>414</v>
      </c>
      <c r="R108" s="11" t="s">
        <v>424</v>
      </c>
      <c r="S108" s="15" t="s">
        <v>53</v>
      </c>
      <c r="T108" s="18">
        <v>45717</v>
      </c>
    </row>
    <row r="109" spans="1:20" x14ac:dyDescent="0.2">
      <c r="A109" s="15" t="s">
        <v>173</v>
      </c>
      <c r="B109" s="16">
        <v>9213293</v>
      </c>
      <c r="C109" s="17" t="s">
        <v>706</v>
      </c>
      <c r="D109" s="15" t="s">
        <v>178</v>
      </c>
      <c r="E109" s="17" t="str">
        <f t="shared" si="1"/>
        <v>00021195864K6</v>
      </c>
      <c r="F109" s="15" t="s">
        <v>47</v>
      </c>
      <c r="G109" s="18">
        <v>45717</v>
      </c>
      <c r="H109" s="15" t="s">
        <v>49</v>
      </c>
      <c r="I109" s="16">
        <v>1</v>
      </c>
      <c r="J109" s="15" t="s">
        <v>51</v>
      </c>
      <c r="K109" s="15" t="s">
        <v>65</v>
      </c>
      <c r="L109" s="11">
        <v>0.83</v>
      </c>
      <c r="M109" s="11">
        <v>0</v>
      </c>
      <c r="N109" s="11">
        <v>100</v>
      </c>
      <c r="O109" s="11">
        <v>260.83</v>
      </c>
      <c r="P109" s="11">
        <v>260.83</v>
      </c>
      <c r="Q109" s="11" t="s">
        <v>414</v>
      </c>
      <c r="R109" s="11" t="s">
        <v>416</v>
      </c>
      <c r="S109" s="15" t="s">
        <v>66</v>
      </c>
      <c r="T109" s="18">
        <v>45717</v>
      </c>
    </row>
    <row r="110" spans="1:20" x14ac:dyDescent="0.2">
      <c r="A110" s="15" t="s">
        <v>229</v>
      </c>
      <c r="B110" s="16">
        <v>19681796</v>
      </c>
      <c r="C110" s="17" t="s">
        <v>722</v>
      </c>
      <c r="D110" s="15" t="s">
        <v>237</v>
      </c>
      <c r="E110" s="17" t="str">
        <f t="shared" si="1"/>
        <v>00023111991K6</v>
      </c>
      <c r="F110" s="15" t="s">
        <v>47</v>
      </c>
      <c r="G110" s="18">
        <v>45748</v>
      </c>
      <c r="H110" s="15" t="s">
        <v>87</v>
      </c>
      <c r="I110" s="16">
        <v>1</v>
      </c>
      <c r="J110" s="15" t="s">
        <v>51</v>
      </c>
      <c r="K110" s="15" t="s">
        <v>65</v>
      </c>
      <c r="L110" s="11">
        <v>0</v>
      </c>
      <c r="M110" s="11">
        <v>0</v>
      </c>
      <c r="N110" s="11">
        <v>100</v>
      </c>
      <c r="O110" s="11">
        <v>391.25</v>
      </c>
      <c r="P110" s="11">
        <v>313</v>
      </c>
      <c r="Q110" s="11" t="s">
        <v>414</v>
      </c>
      <c r="R110" s="11" t="s">
        <v>415</v>
      </c>
      <c r="S110" s="15" t="s">
        <v>53</v>
      </c>
      <c r="T110" s="18">
        <v>45748</v>
      </c>
    </row>
    <row r="111" spans="1:20" x14ac:dyDescent="0.2">
      <c r="A111" s="15" t="s">
        <v>229</v>
      </c>
      <c r="B111" s="16">
        <v>19681796</v>
      </c>
      <c r="C111" s="17" t="s">
        <v>722</v>
      </c>
      <c r="D111" s="15" t="s">
        <v>237</v>
      </c>
      <c r="E111" s="17" t="str">
        <f t="shared" si="1"/>
        <v>00023111991K6</v>
      </c>
      <c r="F111" s="15" t="s">
        <v>47</v>
      </c>
      <c r="G111" s="18">
        <v>45748</v>
      </c>
      <c r="H111" s="15" t="s">
        <v>87</v>
      </c>
      <c r="I111" s="16">
        <v>1</v>
      </c>
      <c r="J111" s="15" t="s">
        <v>51</v>
      </c>
      <c r="K111" s="15" t="s">
        <v>65</v>
      </c>
      <c r="L111" s="11">
        <v>0</v>
      </c>
      <c r="M111" s="11">
        <v>0</v>
      </c>
      <c r="N111" s="11">
        <v>100</v>
      </c>
      <c r="O111" s="11">
        <v>391.25</v>
      </c>
      <c r="P111" s="11">
        <v>78.25</v>
      </c>
      <c r="Q111" s="11" t="s">
        <v>414</v>
      </c>
      <c r="R111" s="11" t="s">
        <v>425</v>
      </c>
      <c r="S111" s="15" t="s">
        <v>53</v>
      </c>
      <c r="T111" s="18">
        <v>45748</v>
      </c>
    </row>
    <row r="112" spans="1:20" x14ac:dyDescent="0.2">
      <c r="A112" s="15" t="s">
        <v>76</v>
      </c>
      <c r="B112" s="16">
        <v>8307933</v>
      </c>
      <c r="C112" s="17" t="s">
        <v>727</v>
      </c>
      <c r="D112" s="15" t="s">
        <v>81</v>
      </c>
      <c r="E112" s="17" t="str">
        <f t="shared" si="1"/>
        <v>00023070047K6</v>
      </c>
      <c r="F112" s="15" t="s">
        <v>47</v>
      </c>
      <c r="G112" s="18">
        <v>45778</v>
      </c>
      <c r="H112" s="15" t="s">
        <v>83</v>
      </c>
      <c r="I112" s="16">
        <v>1</v>
      </c>
      <c r="J112" s="15" t="s">
        <v>51</v>
      </c>
      <c r="K112" s="15" t="s">
        <v>65</v>
      </c>
      <c r="L112" s="11">
        <v>0</v>
      </c>
      <c r="M112" s="11">
        <v>0</v>
      </c>
      <c r="N112" s="11">
        <v>100</v>
      </c>
      <c r="O112" s="11">
        <v>417.33</v>
      </c>
      <c r="P112" s="11">
        <v>313</v>
      </c>
      <c r="Q112" s="11" t="s">
        <v>414</v>
      </c>
      <c r="R112" s="11" t="s">
        <v>415</v>
      </c>
      <c r="S112" s="15" t="s">
        <v>53</v>
      </c>
      <c r="T112" s="18">
        <v>45778</v>
      </c>
    </row>
    <row r="113" spans="1:20" x14ac:dyDescent="0.2">
      <c r="A113" s="15" t="s">
        <v>76</v>
      </c>
      <c r="B113" s="16">
        <v>8307933</v>
      </c>
      <c r="C113" s="17" t="s">
        <v>727</v>
      </c>
      <c r="D113" s="15" t="s">
        <v>81</v>
      </c>
      <c r="E113" s="17" t="str">
        <f t="shared" si="1"/>
        <v>00023070047K6</v>
      </c>
      <c r="F113" s="15" t="s">
        <v>47</v>
      </c>
      <c r="G113" s="18">
        <v>45778</v>
      </c>
      <c r="H113" s="15" t="s">
        <v>83</v>
      </c>
      <c r="I113" s="16">
        <v>1</v>
      </c>
      <c r="J113" s="15" t="s">
        <v>51</v>
      </c>
      <c r="K113" s="15" t="s">
        <v>65</v>
      </c>
      <c r="L113" s="11">
        <v>0</v>
      </c>
      <c r="M113" s="11">
        <v>0</v>
      </c>
      <c r="N113" s="11">
        <v>100</v>
      </c>
      <c r="O113" s="11">
        <v>417.33</v>
      </c>
      <c r="P113" s="11">
        <v>104.33</v>
      </c>
      <c r="Q113" s="11" t="s">
        <v>414</v>
      </c>
      <c r="R113" s="11" t="s">
        <v>426</v>
      </c>
      <c r="S113" s="15" t="s">
        <v>53</v>
      </c>
      <c r="T113" s="18">
        <v>45778</v>
      </c>
    </row>
    <row r="114" spans="1:20" x14ac:dyDescent="0.2">
      <c r="A114" s="15" t="s">
        <v>229</v>
      </c>
      <c r="B114" s="16">
        <v>19681796</v>
      </c>
      <c r="C114" s="17" t="s">
        <v>721</v>
      </c>
      <c r="D114" s="15" t="s">
        <v>240</v>
      </c>
      <c r="E114" s="17" t="str">
        <f t="shared" si="1"/>
        <v>00023120858K6</v>
      </c>
      <c r="F114" s="15" t="s">
        <v>47</v>
      </c>
      <c r="G114" s="18">
        <v>45717</v>
      </c>
      <c r="H114" s="15" t="s">
        <v>49</v>
      </c>
      <c r="I114" s="16">
        <v>1</v>
      </c>
      <c r="J114" s="15" t="s">
        <v>51</v>
      </c>
      <c r="K114" s="15" t="s">
        <v>65</v>
      </c>
      <c r="L114" s="11">
        <v>0</v>
      </c>
      <c r="M114" s="11">
        <v>0</v>
      </c>
      <c r="N114" s="11">
        <v>100</v>
      </c>
      <c r="O114" s="11">
        <v>365.17</v>
      </c>
      <c r="P114" s="11">
        <v>313</v>
      </c>
      <c r="Q114" s="11" t="s">
        <v>414</v>
      </c>
      <c r="R114" s="11" t="s">
        <v>415</v>
      </c>
      <c r="S114" s="15" t="s">
        <v>53</v>
      </c>
      <c r="T114" s="18">
        <v>45717</v>
      </c>
    </row>
    <row r="115" spans="1:20" x14ac:dyDescent="0.2">
      <c r="A115" s="15" t="s">
        <v>229</v>
      </c>
      <c r="B115" s="16">
        <v>19681796</v>
      </c>
      <c r="C115" s="17" t="s">
        <v>721</v>
      </c>
      <c r="D115" s="15" t="s">
        <v>240</v>
      </c>
      <c r="E115" s="17" t="str">
        <f t="shared" si="1"/>
        <v>00023120858K6</v>
      </c>
      <c r="F115" s="15" t="s">
        <v>47</v>
      </c>
      <c r="G115" s="18">
        <v>45717</v>
      </c>
      <c r="H115" s="15" t="s">
        <v>49</v>
      </c>
      <c r="I115" s="16">
        <v>1</v>
      </c>
      <c r="J115" s="15" t="s">
        <v>51</v>
      </c>
      <c r="K115" s="15" t="s">
        <v>65</v>
      </c>
      <c r="L115" s="11">
        <v>0</v>
      </c>
      <c r="M115" s="11">
        <v>0</v>
      </c>
      <c r="N115" s="11">
        <v>100</v>
      </c>
      <c r="O115" s="11">
        <v>365.17</v>
      </c>
      <c r="P115" s="11">
        <v>52.16</v>
      </c>
      <c r="Q115" s="11" t="s">
        <v>414</v>
      </c>
      <c r="R115" s="11" t="s">
        <v>424</v>
      </c>
      <c r="S115" s="15" t="s">
        <v>53</v>
      </c>
      <c r="T115" s="18">
        <v>45717</v>
      </c>
    </row>
    <row r="116" spans="1:20" x14ac:dyDescent="0.2">
      <c r="A116" s="15" t="s">
        <v>164</v>
      </c>
      <c r="B116" s="21">
        <v>17528908</v>
      </c>
      <c r="C116" s="17" t="s">
        <v>683</v>
      </c>
      <c r="D116" s="15" t="s">
        <v>369</v>
      </c>
      <c r="E116" s="17" t="str">
        <f>CONCATENATE(D116,8)</f>
        <v>00000784750A8</v>
      </c>
      <c r="F116" s="15" t="s">
        <v>325</v>
      </c>
      <c r="G116" s="18">
        <v>45717</v>
      </c>
      <c r="H116" s="15" t="s">
        <v>49</v>
      </c>
      <c r="I116" s="16">
        <v>1</v>
      </c>
      <c r="J116" s="15" t="s">
        <v>51</v>
      </c>
      <c r="K116" s="15" t="s">
        <v>46</v>
      </c>
      <c r="L116" s="11">
        <v>22</v>
      </c>
      <c r="M116" s="11">
        <v>134.6</v>
      </c>
      <c r="N116" s="11">
        <v>100</v>
      </c>
      <c r="O116" s="11">
        <v>29.61</v>
      </c>
      <c r="P116" s="11">
        <v>29.61</v>
      </c>
      <c r="Q116" s="11" t="s">
        <v>410</v>
      </c>
      <c r="R116" s="11"/>
      <c r="S116" s="15" t="s">
        <v>326</v>
      </c>
      <c r="T116" s="18">
        <v>45292</v>
      </c>
    </row>
    <row r="117" spans="1:20" x14ac:dyDescent="0.2">
      <c r="A117" s="22" t="s">
        <v>278</v>
      </c>
      <c r="B117" s="25">
        <v>8244481</v>
      </c>
      <c r="C117" s="23" t="s">
        <v>634</v>
      </c>
      <c r="D117" s="23">
        <v>3249034970</v>
      </c>
      <c r="E117" s="23" t="str">
        <f>CONCATENATE(D117,4)</f>
        <v>32490349704</v>
      </c>
      <c r="F117" s="22" t="s">
        <v>281</v>
      </c>
      <c r="G117" s="24">
        <v>45748</v>
      </c>
      <c r="H117" s="22" t="s">
        <v>87</v>
      </c>
      <c r="I117" s="25">
        <v>1</v>
      </c>
      <c r="J117" s="22" t="s">
        <v>288</v>
      </c>
      <c r="K117" s="22" t="s">
        <v>46</v>
      </c>
      <c r="L117" s="26">
        <v>10</v>
      </c>
      <c r="M117" s="26">
        <v>13.93</v>
      </c>
      <c r="N117" s="26">
        <v>100</v>
      </c>
      <c r="O117" s="26">
        <v>1.39</v>
      </c>
      <c r="P117" s="26">
        <v>1.39</v>
      </c>
      <c r="Q117" s="26" t="s">
        <v>408</v>
      </c>
      <c r="R117" s="26"/>
      <c r="S117" s="22" t="s">
        <v>289</v>
      </c>
      <c r="T117" s="24">
        <v>44197</v>
      </c>
    </row>
    <row r="118" spans="1:20" x14ac:dyDescent="0.2">
      <c r="A118" s="15" t="s">
        <v>255</v>
      </c>
      <c r="B118" s="16">
        <v>19645587</v>
      </c>
      <c r="C118" s="17" t="s">
        <v>713</v>
      </c>
      <c r="D118" s="15" t="s">
        <v>260</v>
      </c>
      <c r="E118" s="17" t="str">
        <f>CONCATENATE(D118,6)</f>
        <v>00023069230K6</v>
      </c>
      <c r="F118" s="15" t="s">
        <v>47</v>
      </c>
      <c r="G118" s="18">
        <v>45689</v>
      </c>
      <c r="H118" s="15" t="s">
        <v>136</v>
      </c>
      <c r="I118" s="16">
        <v>1</v>
      </c>
      <c r="J118" s="15" t="s">
        <v>51</v>
      </c>
      <c r="K118" s="15" t="s">
        <v>65</v>
      </c>
      <c r="L118" s="11">
        <v>0</v>
      </c>
      <c r="M118" s="11">
        <v>0</v>
      </c>
      <c r="N118" s="11">
        <v>100</v>
      </c>
      <c r="O118" s="11">
        <v>339.08</v>
      </c>
      <c r="P118" s="11">
        <v>313</v>
      </c>
      <c r="Q118" s="11" t="s">
        <v>414</v>
      </c>
      <c r="R118" s="11" t="s">
        <v>415</v>
      </c>
      <c r="S118" s="15" t="s">
        <v>53</v>
      </c>
      <c r="T118" s="18">
        <v>45689</v>
      </c>
    </row>
    <row r="119" spans="1:20" x14ac:dyDescent="0.2">
      <c r="A119" s="15" t="s">
        <v>255</v>
      </c>
      <c r="B119" s="16">
        <v>19645587</v>
      </c>
      <c r="C119" s="17" t="s">
        <v>713</v>
      </c>
      <c r="D119" s="15" t="s">
        <v>260</v>
      </c>
      <c r="E119" s="17" t="str">
        <f>CONCATENATE(D119,6)</f>
        <v>00023069230K6</v>
      </c>
      <c r="F119" s="15" t="s">
        <v>47</v>
      </c>
      <c r="G119" s="18">
        <v>45689</v>
      </c>
      <c r="H119" s="15" t="s">
        <v>136</v>
      </c>
      <c r="I119" s="16">
        <v>1</v>
      </c>
      <c r="J119" s="15" t="s">
        <v>51</v>
      </c>
      <c r="K119" s="15" t="s">
        <v>65</v>
      </c>
      <c r="L119" s="11">
        <v>0</v>
      </c>
      <c r="M119" s="11">
        <v>0</v>
      </c>
      <c r="N119" s="11">
        <v>100</v>
      </c>
      <c r="O119" s="11">
        <v>339.08</v>
      </c>
      <c r="P119" s="11">
        <v>26.08</v>
      </c>
      <c r="Q119" s="11" t="s">
        <v>414</v>
      </c>
      <c r="R119" s="11" t="s">
        <v>422</v>
      </c>
      <c r="S119" s="15" t="s">
        <v>53</v>
      </c>
      <c r="T119" s="18">
        <v>45689</v>
      </c>
    </row>
    <row r="120" spans="1:20" x14ac:dyDescent="0.2">
      <c r="A120" s="22" t="s">
        <v>195</v>
      </c>
      <c r="B120" s="25">
        <v>18710070</v>
      </c>
      <c r="C120" s="23" t="s">
        <v>702</v>
      </c>
      <c r="D120" s="23">
        <v>9030108580</v>
      </c>
      <c r="E120" s="23" t="str">
        <f>CONCATENATE(D120,4)</f>
        <v>90301085804</v>
      </c>
      <c r="F120" s="22" t="s">
        <v>281</v>
      </c>
      <c r="G120" s="24">
        <v>45748</v>
      </c>
      <c r="H120" s="22" t="s">
        <v>87</v>
      </c>
      <c r="I120" s="25">
        <v>1</v>
      </c>
      <c r="J120" s="22" t="s">
        <v>283</v>
      </c>
      <c r="K120" s="22" t="s">
        <v>46</v>
      </c>
      <c r="L120" s="26">
        <v>10</v>
      </c>
      <c r="M120" s="26">
        <v>12.99</v>
      </c>
      <c r="N120" s="26">
        <v>100</v>
      </c>
      <c r="O120" s="26">
        <v>1.3</v>
      </c>
      <c r="P120" s="26">
        <v>1.3</v>
      </c>
      <c r="Q120" s="26" t="s">
        <v>408</v>
      </c>
      <c r="R120" s="26"/>
      <c r="S120" s="22" t="s">
        <v>284</v>
      </c>
      <c r="T120" s="24">
        <v>45717</v>
      </c>
    </row>
    <row r="121" spans="1:20" x14ac:dyDescent="0.2">
      <c r="A121" s="22" t="s">
        <v>278</v>
      </c>
      <c r="B121" s="25">
        <v>8244481</v>
      </c>
      <c r="C121" s="23" t="s">
        <v>640</v>
      </c>
      <c r="D121" s="23">
        <v>9028212430</v>
      </c>
      <c r="E121" s="23" t="str">
        <f>CONCATENATE(D121,4)</f>
        <v>90282124304</v>
      </c>
      <c r="F121" s="22" t="s">
        <v>281</v>
      </c>
      <c r="G121" s="24">
        <v>45748</v>
      </c>
      <c r="H121" s="22" t="s">
        <v>87</v>
      </c>
      <c r="I121" s="25">
        <v>1</v>
      </c>
      <c r="J121" s="22" t="s">
        <v>283</v>
      </c>
      <c r="K121" s="22" t="s">
        <v>46</v>
      </c>
      <c r="L121" s="26">
        <v>10</v>
      </c>
      <c r="M121" s="26">
        <v>13.93</v>
      </c>
      <c r="N121" s="26">
        <v>100</v>
      </c>
      <c r="O121" s="26">
        <v>1.39</v>
      </c>
      <c r="P121" s="26">
        <v>1.39</v>
      </c>
      <c r="Q121" s="26" t="s">
        <v>408</v>
      </c>
      <c r="R121" s="26"/>
      <c r="S121" s="22" t="s">
        <v>289</v>
      </c>
      <c r="T121" s="24">
        <v>45261</v>
      </c>
    </row>
    <row r="122" spans="1:20" x14ac:dyDescent="0.2">
      <c r="A122" s="15" t="s">
        <v>222</v>
      </c>
      <c r="B122" s="16">
        <v>19200754</v>
      </c>
      <c r="C122" s="17" t="s">
        <v>715</v>
      </c>
      <c r="D122" s="15" t="s">
        <v>227</v>
      </c>
      <c r="E122" s="17" t="str">
        <f>CONCATENATE(D122,6)</f>
        <v>00022406995K6</v>
      </c>
      <c r="F122" s="15" t="s">
        <v>47</v>
      </c>
      <c r="G122" s="18">
        <v>45717</v>
      </c>
      <c r="H122" s="15" t="s">
        <v>49</v>
      </c>
      <c r="I122" s="16">
        <v>1</v>
      </c>
      <c r="J122" s="15" t="s">
        <v>51</v>
      </c>
      <c r="K122" s="15" t="s">
        <v>65</v>
      </c>
      <c r="L122" s="11">
        <v>1</v>
      </c>
      <c r="M122" s="11">
        <v>0</v>
      </c>
      <c r="N122" s="11">
        <v>100</v>
      </c>
      <c r="O122" s="11">
        <v>26.08</v>
      </c>
      <c r="P122" s="11">
        <v>26.08</v>
      </c>
      <c r="Q122" s="11" t="s">
        <v>414</v>
      </c>
      <c r="R122" s="11" t="s">
        <v>422</v>
      </c>
      <c r="S122" s="15" t="s">
        <v>131</v>
      </c>
      <c r="T122" s="18">
        <v>45627</v>
      </c>
    </row>
    <row r="123" spans="1:20" x14ac:dyDescent="0.2">
      <c r="A123" s="15" t="s">
        <v>322</v>
      </c>
      <c r="B123" s="16">
        <v>15278437</v>
      </c>
      <c r="C123" s="17" t="s">
        <v>660</v>
      </c>
      <c r="D123" s="15" t="s">
        <v>335</v>
      </c>
      <c r="E123" s="17" t="str">
        <f>CONCATENATE(D123,8)</f>
        <v>00000808018A8</v>
      </c>
      <c r="F123" s="15" t="s">
        <v>325</v>
      </c>
      <c r="G123" s="18">
        <v>45717</v>
      </c>
      <c r="H123" s="15" t="s">
        <v>49</v>
      </c>
      <c r="I123" s="16">
        <v>1</v>
      </c>
      <c r="J123" s="15" t="s">
        <v>51</v>
      </c>
      <c r="K123" s="15" t="s">
        <v>46</v>
      </c>
      <c r="L123" s="11">
        <v>26</v>
      </c>
      <c r="M123" s="11">
        <v>84.94</v>
      </c>
      <c r="N123" s="11">
        <v>100</v>
      </c>
      <c r="O123" s="11">
        <v>22.08</v>
      </c>
      <c r="P123" s="11">
        <v>22.08</v>
      </c>
      <c r="Q123" s="11" t="s">
        <v>413</v>
      </c>
      <c r="R123" s="11"/>
      <c r="S123" s="15" t="s">
        <v>326</v>
      </c>
      <c r="T123" s="18">
        <v>45323</v>
      </c>
    </row>
    <row r="124" spans="1:20" x14ac:dyDescent="0.2">
      <c r="A124" s="15" t="s">
        <v>266</v>
      </c>
      <c r="B124" s="16">
        <v>20220688</v>
      </c>
      <c r="C124" s="17" t="s">
        <v>735</v>
      </c>
      <c r="D124" s="15" t="s">
        <v>268</v>
      </c>
      <c r="E124" s="17" t="str">
        <f>CONCATENATE(D124,6)</f>
        <v>00023144851K6</v>
      </c>
      <c r="F124" s="15" t="s">
        <v>47</v>
      </c>
      <c r="G124" s="18">
        <v>45778</v>
      </c>
      <c r="H124" s="15" t="s">
        <v>83</v>
      </c>
      <c r="I124" s="16">
        <v>1</v>
      </c>
      <c r="J124" s="15" t="s">
        <v>51</v>
      </c>
      <c r="K124" s="15" t="s">
        <v>52</v>
      </c>
      <c r="L124" s="11">
        <v>0.67</v>
      </c>
      <c r="M124" s="11">
        <v>0</v>
      </c>
      <c r="N124" s="11">
        <v>100</v>
      </c>
      <c r="O124" s="11">
        <v>208.67</v>
      </c>
      <c r="P124" s="11">
        <v>208.67</v>
      </c>
      <c r="Q124" s="11" t="s">
        <v>414</v>
      </c>
      <c r="R124" s="11" t="s">
        <v>421</v>
      </c>
      <c r="S124" s="15" t="s">
        <v>66</v>
      </c>
      <c r="T124" s="18">
        <v>45778</v>
      </c>
    </row>
    <row r="125" spans="1:20" x14ac:dyDescent="0.2">
      <c r="A125" s="15" t="s">
        <v>266</v>
      </c>
      <c r="B125" s="16">
        <v>20220688</v>
      </c>
      <c r="C125" s="17" t="s">
        <v>735</v>
      </c>
      <c r="D125" s="15" t="s">
        <v>268</v>
      </c>
      <c r="E125" s="17" t="str">
        <f>CONCATENATE(D125,6)</f>
        <v>00023144851K6</v>
      </c>
      <c r="F125" s="15" t="s">
        <v>47</v>
      </c>
      <c r="G125" s="18">
        <v>45778</v>
      </c>
      <c r="H125" s="15" t="s">
        <v>83</v>
      </c>
      <c r="I125" s="16">
        <v>1</v>
      </c>
      <c r="J125" s="15" t="s">
        <v>51</v>
      </c>
      <c r="K125" s="15" t="s">
        <v>52</v>
      </c>
      <c r="L125" s="11">
        <v>0</v>
      </c>
      <c r="M125" s="11">
        <v>0</v>
      </c>
      <c r="N125" s="11">
        <v>100</v>
      </c>
      <c r="O125" s="11">
        <v>417.33</v>
      </c>
      <c r="P125" s="11">
        <v>313</v>
      </c>
      <c r="Q125" s="11" t="s">
        <v>414</v>
      </c>
      <c r="R125" s="11" t="s">
        <v>415</v>
      </c>
      <c r="S125" s="15" t="s">
        <v>53</v>
      </c>
      <c r="T125" s="18">
        <v>45778</v>
      </c>
    </row>
    <row r="126" spans="1:20" x14ac:dyDescent="0.2">
      <c r="A126" s="15" t="s">
        <v>266</v>
      </c>
      <c r="B126" s="16">
        <v>20220688</v>
      </c>
      <c r="C126" s="17" t="s">
        <v>735</v>
      </c>
      <c r="D126" s="15" t="s">
        <v>268</v>
      </c>
      <c r="E126" s="17" t="str">
        <f>CONCATENATE(D126,6)</f>
        <v>00023144851K6</v>
      </c>
      <c r="F126" s="15" t="s">
        <v>47</v>
      </c>
      <c r="G126" s="18">
        <v>45778</v>
      </c>
      <c r="H126" s="15" t="s">
        <v>83</v>
      </c>
      <c r="I126" s="16">
        <v>1</v>
      </c>
      <c r="J126" s="15" t="s">
        <v>51</v>
      </c>
      <c r="K126" s="15" t="s">
        <v>52</v>
      </c>
      <c r="L126" s="11">
        <v>0</v>
      </c>
      <c r="M126" s="11">
        <v>0</v>
      </c>
      <c r="N126" s="11">
        <v>100</v>
      </c>
      <c r="O126" s="11">
        <v>417.33</v>
      </c>
      <c r="P126" s="11">
        <v>104.33</v>
      </c>
      <c r="Q126" s="11" t="s">
        <v>414</v>
      </c>
      <c r="R126" s="11" t="s">
        <v>426</v>
      </c>
      <c r="S126" s="15" t="s">
        <v>53</v>
      </c>
      <c r="T126" s="18">
        <v>45778</v>
      </c>
    </row>
    <row r="127" spans="1:20" x14ac:dyDescent="0.2">
      <c r="A127" s="15" t="s">
        <v>99</v>
      </c>
      <c r="B127" s="16">
        <v>7146581</v>
      </c>
      <c r="C127" s="17" t="s">
        <v>667</v>
      </c>
      <c r="D127" s="15" t="s">
        <v>104</v>
      </c>
      <c r="E127" s="17" t="str">
        <f>CONCATENATE(D127,6)</f>
        <v>00022542308K6</v>
      </c>
      <c r="F127" s="15" t="s">
        <v>47</v>
      </c>
      <c r="G127" s="18">
        <v>45658</v>
      </c>
      <c r="H127" s="15" t="s">
        <v>106</v>
      </c>
      <c r="I127" s="16">
        <v>1</v>
      </c>
      <c r="J127" s="15" t="s">
        <v>51</v>
      </c>
      <c r="K127" s="15" t="s">
        <v>65</v>
      </c>
      <c r="L127" s="11">
        <v>0</v>
      </c>
      <c r="M127" s="11">
        <v>0</v>
      </c>
      <c r="N127" s="11">
        <v>100</v>
      </c>
      <c r="O127" s="11">
        <v>313</v>
      </c>
      <c r="P127" s="11">
        <v>313</v>
      </c>
      <c r="Q127" s="11" t="s">
        <v>414</v>
      </c>
      <c r="R127" s="11" t="s">
        <v>415</v>
      </c>
      <c r="S127" s="15" t="s">
        <v>53</v>
      </c>
      <c r="T127" s="18">
        <v>45658</v>
      </c>
    </row>
    <row r="128" spans="1:20" x14ac:dyDescent="0.2">
      <c r="A128" s="15" t="s">
        <v>99</v>
      </c>
      <c r="B128" s="16">
        <v>7146581</v>
      </c>
      <c r="C128" s="17" t="s">
        <v>666</v>
      </c>
      <c r="D128" s="15" t="s">
        <v>124</v>
      </c>
      <c r="E128" s="17" t="str">
        <f>CONCATENATE(D128,6)</f>
        <v>00023151593K6</v>
      </c>
      <c r="F128" s="15" t="s">
        <v>47</v>
      </c>
      <c r="G128" s="18">
        <v>45717</v>
      </c>
      <c r="H128" s="15" t="s">
        <v>49</v>
      </c>
      <c r="I128" s="16">
        <v>1</v>
      </c>
      <c r="J128" s="15" t="s">
        <v>51</v>
      </c>
      <c r="K128" s="15" t="s">
        <v>65</v>
      </c>
      <c r="L128" s="11">
        <v>0.83</v>
      </c>
      <c r="M128" s="11">
        <v>0</v>
      </c>
      <c r="N128" s="11">
        <v>100</v>
      </c>
      <c r="O128" s="11">
        <v>260.83</v>
      </c>
      <c r="P128" s="11">
        <v>260.83</v>
      </c>
      <c r="Q128" s="11" t="s">
        <v>414</v>
      </c>
      <c r="R128" s="11" t="s">
        <v>416</v>
      </c>
      <c r="S128" s="15" t="s">
        <v>66</v>
      </c>
      <c r="T128" s="18">
        <v>45717</v>
      </c>
    </row>
    <row r="129" spans="1:20" x14ac:dyDescent="0.2">
      <c r="A129" s="22" t="s">
        <v>278</v>
      </c>
      <c r="B129" s="25">
        <v>8244481</v>
      </c>
      <c r="C129" s="23" t="s">
        <v>639</v>
      </c>
      <c r="D129" s="23">
        <v>3208409570</v>
      </c>
      <c r="E129" s="23" t="str">
        <f>CONCATENATE(D129,4)</f>
        <v>32084095704</v>
      </c>
      <c r="F129" s="22" t="s">
        <v>281</v>
      </c>
      <c r="G129" s="24">
        <v>45748</v>
      </c>
      <c r="H129" s="22" t="s">
        <v>87</v>
      </c>
      <c r="I129" s="25">
        <v>2</v>
      </c>
      <c r="J129" s="22" t="s">
        <v>283</v>
      </c>
      <c r="K129" s="22" t="s">
        <v>46</v>
      </c>
      <c r="L129" s="26">
        <v>10</v>
      </c>
      <c r="M129" s="26">
        <v>26.88</v>
      </c>
      <c r="N129" s="26">
        <v>100</v>
      </c>
      <c r="O129" s="26">
        <v>2.69</v>
      </c>
      <c r="P129" s="26">
        <v>2.69</v>
      </c>
      <c r="Q129" s="26" t="s">
        <v>408</v>
      </c>
      <c r="R129" s="26"/>
      <c r="S129" s="22" t="s">
        <v>284</v>
      </c>
      <c r="T129" s="24">
        <v>45384</v>
      </c>
    </row>
    <row r="130" spans="1:20" x14ac:dyDescent="0.2">
      <c r="A130" s="22" t="s">
        <v>311</v>
      </c>
      <c r="B130" s="25">
        <v>14177521</v>
      </c>
      <c r="C130" s="22" t="s">
        <v>318</v>
      </c>
      <c r="D130" s="23">
        <v>416700</v>
      </c>
      <c r="E130" s="23" t="str">
        <f>CONCATENATE(D130,4)</f>
        <v>4167004</v>
      </c>
      <c r="F130" s="22" t="s">
        <v>314</v>
      </c>
      <c r="G130" s="24">
        <v>45717</v>
      </c>
      <c r="H130" s="22" t="s">
        <v>49</v>
      </c>
      <c r="I130" s="25">
        <v>4</v>
      </c>
      <c r="J130" s="22" t="s">
        <v>283</v>
      </c>
      <c r="K130" s="22" t="s">
        <v>46</v>
      </c>
      <c r="L130" s="26">
        <v>10</v>
      </c>
      <c r="M130" s="26">
        <v>35.35</v>
      </c>
      <c r="N130" s="26">
        <v>100</v>
      </c>
      <c r="O130" s="26">
        <v>3.54</v>
      </c>
      <c r="P130" s="26">
        <v>3.54</v>
      </c>
      <c r="Q130" s="26" t="s">
        <v>408</v>
      </c>
      <c r="R130" s="26"/>
      <c r="S130" s="22" t="s">
        <v>66</v>
      </c>
      <c r="T130" s="24">
        <v>45658</v>
      </c>
    </row>
    <row r="131" spans="1:20" x14ac:dyDescent="0.2">
      <c r="A131" s="22" t="s">
        <v>311</v>
      </c>
      <c r="B131" s="25">
        <v>14177521</v>
      </c>
      <c r="C131" s="22" t="s">
        <v>318</v>
      </c>
      <c r="D131" s="23">
        <v>416700</v>
      </c>
      <c r="E131" s="23" t="str">
        <f>CONCATENATE(D131,4)</f>
        <v>4167004</v>
      </c>
      <c r="F131" s="22" t="s">
        <v>314</v>
      </c>
      <c r="G131" s="24">
        <v>45717</v>
      </c>
      <c r="H131" s="22" t="s">
        <v>49</v>
      </c>
      <c r="I131" s="25">
        <v>4</v>
      </c>
      <c r="J131" s="22" t="s">
        <v>288</v>
      </c>
      <c r="K131" s="22" t="s">
        <v>46</v>
      </c>
      <c r="L131" s="26">
        <v>10</v>
      </c>
      <c r="M131" s="26">
        <v>227.04</v>
      </c>
      <c r="N131" s="26">
        <v>100</v>
      </c>
      <c r="O131" s="26">
        <v>22.7</v>
      </c>
      <c r="P131" s="26">
        <v>22.7</v>
      </c>
      <c r="Q131" s="26" t="s">
        <v>408</v>
      </c>
      <c r="R131" s="26"/>
      <c r="S131" s="22" t="s">
        <v>66</v>
      </c>
      <c r="T131" s="24">
        <v>45658</v>
      </c>
    </row>
    <row r="132" spans="1:20" x14ac:dyDescent="0.2">
      <c r="A132" s="15" t="s">
        <v>99</v>
      </c>
      <c r="B132" s="16">
        <v>7146581</v>
      </c>
      <c r="C132" s="17" t="s">
        <v>665</v>
      </c>
      <c r="D132" s="15" t="s">
        <v>121</v>
      </c>
      <c r="E132" s="17" t="str">
        <f>CONCATENATE(D132,6)</f>
        <v>00023151464K6</v>
      </c>
      <c r="F132" s="15" t="s">
        <v>47</v>
      </c>
      <c r="G132" s="18">
        <v>45748</v>
      </c>
      <c r="H132" s="15" t="s">
        <v>87</v>
      </c>
      <c r="I132" s="16">
        <v>1</v>
      </c>
      <c r="J132" s="15" t="s">
        <v>51</v>
      </c>
      <c r="K132" s="15" t="s">
        <v>65</v>
      </c>
      <c r="L132" s="11">
        <v>0.75</v>
      </c>
      <c r="M132" s="11">
        <v>0</v>
      </c>
      <c r="N132" s="11">
        <v>100</v>
      </c>
      <c r="O132" s="11">
        <v>234.75</v>
      </c>
      <c r="P132" s="11">
        <v>234.75</v>
      </c>
      <c r="Q132" s="11" t="s">
        <v>414</v>
      </c>
      <c r="R132" s="11" t="s">
        <v>418</v>
      </c>
      <c r="S132" s="15" t="s">
        <v>66</v>
      </c>
      <c r="T132" s="18">
        <v>45748</v>
      </c>
    </row>
    <row r="133" spans="1:20" x14ac:dyDescent="0.2">
      <c r="A133" s="15" t="s">
        <v>94</v>
      </c>
      <c r="B133" s="16">
        <v>6634327</v>
      </c>
      <c r="C133" s="17" t="s">
        <v>693</v>
      </c>
      <c r="D133" s="15" t="s">
        <v>96</v>
      </c>
      <c r="E133" s="17" t="str">
        <f>CONCATENATE(D133,6)</f>
        <v>00023105150K6</v>
      </c>
      <c r="F133" s="15" t="s">
        <v>47</v>
      </c>
      <c r="G133" s="18">
        <v>45748</v>
      </c>
      <c r="H133" s="15" t="s">
        <v>87</v>
      </c>
      <c r="I133" s="16">
        <v>1</v>
      </c>
      <c r="J133" s="15" t="s">
        <v>51</v>
      </c>
      <c r="K133" s="15" t="s">
        <v>52</v>
      </c>
      <c r="L133" s="11">
        <v>0</v>
      </c>
      <c r="M133" s="11">
        <v>0</v>
      </c>
      <c r="N133" s="11">
        <v>100</v>
      </c>
      <c r="O133" s="11">
        <v>391.25</v>
      </c>
      <c r="P133" s="11">
        <v>313</v>
      </c>
      <c r="Q133" s="11" t="s">
        <v>414</v>
      </c>
      <c r="R133" s="11" t="s">
        <v>415</v>
      </c>
      <c r="S133" s="15" t="s">
        <v>53</v>
      </c>
      <c r="T133" s="18">
        <v>45748</v>
      </c>
    </row>
    <row r="134" spans="1:20" x14ac:dyDescent="0.2">
      <c r="A134" s="15" t="s">
        <v>94</v>
      </c>
      <c r="B134" s="16">
        <v>6634327</v>
      </c>
      <c r="C134" s="17" t="s">
        <v>693</v>
      </c>
      <c r="D134" s="15" t="s">
        <v>96</v>
      </c>
      <c r="E134" s="17" t="str">
        <f>CONCATENATE(D134,6)</f>
        <v>00023105150K6</v>
      </c>
      <c r="F134" s="15" t="s">
        <v>47</v>
      </c>
      <c r="G134" s="18">
        <v>45748</v>
      </c>
      <c r="H134" s="15" t="s">
        <v>87</v>
      </c>
      <c r="I134" s="16">
        <v>1</v>
      </c>
      <c r="J134" s="15" t="s">
        <v>51</v>
      </c>
      <c r="K134" s="15" t="s">
        <v>52</v>
      </c>
      <c r="L134" s="11">
        <v>0</v>
      </c>
      <c r="M134" s="11">
        <v>0</v>
      </c>
      <c r="N134" s="11">
        <v>100</v>
      </c>
      <c r="O134" s="11">
        <v>391.25</v>
      </c>
      <c r="P134" s="11">
        <v>78.25</v>
      </c>
      <c r="Q134" s="11" t="s">
        <v>414</v>
      </c>
      <c r="R134" s="11" t="s">
        <v>425</v>
      </c>
      <c r="S134" s="15" t="s">
        <v>53</v>
      </c>
      <c r="T134" s="18">
        <v>45748</v>
      </c>
    </row>
    <row r="135" spans="1:20" ht="13.5" customHeight="1" x14ac:dyDescent="0.2">
      <c r="A135" s="15" t="s">
        <v>99</v>
      </c>
      <c r="B135" s="16">
        <v>7146581</v>
      </c>
      <c r="C135" s="17" t="s">
        <v>662</v>
      </c>
      <c r="D135" s="15" t="s">
        <v>101</v>
      </c>
      <c r="E135" s="17" t="str">
        <f>CONCATENATE(D135,6)</f>
        <v>00021086243K6</v>
      </c>
      <c r="F135" s="15" t="s">
        <v>47</v>
      </c>
      <c r="G135" s="18">
        <v>45717</v>
      </c>
      <c r="H135" s="15" t="s">
        <v>49</v>
      </c>
      <c r="I135" s="16">
        <v>1</v>
      </c>
      <c r="J135" s="15" t="s">
        <v>51</v>
      </c>
      <c r="K135" s="15" t="s">
        <v>65</v>
      </c>
      <c r="L135" s="11">
        <v>0.83</v>
      </c>
      <c r="M135" s="11">
        <v>0</v>
      </c>
      <c r="N135" s="11">
        <v>100</v>
      </c>
      <c r="O135" s="11">
        <v>260.83</v>
      </c>
      <c r="P135" s="11">
        <v>260.83</v>
      </c>
      <c r="Q135" s="11" t="s">
        <v>414</v>
      </c>
      <c r="R135" s="11" t="s">
        <v>416</v>
      </c>
      <c r="S135" s="15" t="s">
        <v>66</v>
      </c>
      <c r="T135" s="18">
        <v>45717</v>
      </c>
    </row>
    <row r="136" spans="1:20" x14ac:dyDescent="0.2">
      <c r="A136" s="15" t="s">
        <v>164</v>
      </c>
      <c r="B136" s="21">
        <v>17528908</v>
      </c>
      <c r="C136" s="17" t="s">
        <v>682</v>
      </c>
      <c r="D136" s="15" t="s">
        <v>367</v>
      </c>
      <c r="E136" s="17" t="str">
        <f>CONCATENATE(D136,8)</f>
        <v>00000777658A8</v>
      </c>
      <c r="F136" s="15" t="s">
        <v>325</v>
      </c>
      <c r="G136" s="18">
        <v>45717</v>
      </c>
      <c r="H136" s="15" t="s">
        <v>49</v>
      </c>
      <c r="I136" s="16">
        <v>1</v>
      </c>
      <c r="J136" s="15" t="s">
        <v>51</v>
      </c>
      <c r="K136" s="15" t="s">
        <v>46</v>
      </c>
      <c r="L136" s="11">
        <v>22</v>
      </c>
      <c r="M136" s="11">
        <v>154.43</v>
      </c>
      <c r="N136" s="11">
        <v>100</v>
      </c>
      <c r="O136" s="11">
        <v>33.97</v>
      </c>
      <c r="P136" s="11">
        <v>33.97</v>
      </c>
      <c r="Q136" s="11" t="s">
        <v>410</v>
      </c>
      <c r="R136" s="11"/>
      <c r="S136" s="15" t="s">
        <v>326</v>
      </c>
      <c r="T136" s="18">
        <v>45292</v>
      </c>
    </row>
    <row r="137" spans="1:20" x14ac:dyDescent="0.2">
      <c r="A137" s="15" t="s">
        <v>222</v>
      </c>
      <c r="B137" s="16">
        <v>19200754</v>
      </c>
      <c r="C137" s="17" t="s">
        <v>714</v>
      </c>
      <c r="D137" s="15" t="s">
        <v>224</v>
      </c>
      <c r="E137" s="17" t="str">
        <f>CONCATENATE(D137,6)</f>
        <v>00015861123K6</v>
      </c>
      <c r="F137" s="15" t="s">
        <v>47</v>
      </c>
      <c r="G137" s="18">
        <v>45658</v>
      </c>
      <c r="H137" s="15" t="s">
        <v>106</v>
      </c>
      <c r="I137" s="16">
        <v>1</v>
      </c>
      <c r="J137" s="15" t="s">
        <v>51</v>
      </c>
      <c r="K137" s="15" t="s">
        <v>65</v>
      </c>
      <c r="L137" s="11">
        <v>-0.83</v>
      </c>
      <c r="M137" s="11">
        <v>0</v>
      </c>
      <c r="N137" s="11">
        <v>100</v>
      </c>
      <c r="O137" s="11">
        <v>-260.83</v>
      </c>
      <c r="P137" s="11">
        <v>-260.83</v>
      </c>
      <c r="Q137" s="11" t="s">
        <v>414</v>
      </c>
      <c r="R137" s="11" t="s">
        <v>416</v>
      </c>
      <c r="S137" s="15" t="s">
        <v>66</v>
      </c>
      <c r="T137" s="18">
        <v>45658</v>
      </c>
    </row>
    <row r="138" spans="1:20" x14ac:dyDescent="0.2">
      <c r="A138" s="15" t="s">
        <v>199</v>
      </c>
      <c r="B138" s="16">
        <v>18754354</v>
      </c>
      <c r="C138" s="17" t="s">
        <v>730</v>
      </c>
      <c r="D138" s="15" t="s">
        <v>204</v>
      </c>
      <c r="E138" s="17" t="str">
        <f>CONCATENATE(D138,6)</f>
        <v>00023090788K6</v>
      </c>
      <c r="F138" s="15" t="s">
        <v>47</v>
      </c>
      <c r="G138" s="18">
        <v>45748</v>
      </c>
      <c r="H138" s="15" t="s">
        <v>87</v>
      </c>
      <c r="I138" s="16">
        <v>1</v>
      </c>
      <c r="J138" s="15" t="s">
        <v>51</v>
      </c>
      <c r="K138" s="15" t="s">
        <v>65</v>
      </c>
      <c r="L138" s="11">
        <v>0</v>
      </c>
      <c r="M138" s="11">
        <v>0</v>
      </c>
      <c r="N138" s="11">
        <v>100</v>
      </c>
      <c r="O138" s="11">
        <v>391.25</v>
      </c>
      <c r="P138" s="11">
        <v>313</v>
      </c>
      <c r="Q138" s="11" t="s">
        <v>414</v>
      </c>
      <c r="R138" s="11" t="s">
        <v>415</v>
      </c>
      <c r="S138" s="15" t="s">
        <v>53</v>
      </c>
      <c r="T138" s="18">
        <v>45748</v>
      </c>
    </row>
    <row r="139" spans="1:20" x14ac:dyDescent="0.2">
      <c r="A139" s="15" t="s">
        <v>199</v>
      </c>
      <c r="B139" s="16">
        <v>18754354</v>
      </c>
      <c r="C139" s="17" t="s">
        <v>730</v>
      </c>
      <c r="D139" s="15" t="s">
        <v>204</v>
      </c>
      <c r="E139" s="17" t="str">
        <f>CONCATENATE(D139,6)</f>
        <v>00023090788K6</v>
      </c>
      <c r="F139" s="15" t="s">
        <v>47</v>
      </c>
      <c r="G139" s="18">
        <v>45748</v>
      </c>
      <c r="H139" s="15" t="s">
        <v>87</v>
      </c>
      <c r="I139" s="16">
        <v>1</v>
      </c>
      <c r="J139" s="15" t="s">
        <v>51</v>
      </c>
      <c r="K139" s="15" t="s">
        <v>65</v>
      </c>
      <c r="L139" s="11">
        <v>0</v>
      </c>
      <c r="M139" s="11">
        <v>0</v>
      </c>
      <c r="N139" s="11">
        <v>100</v>
      </c>
      <c r="O139" s="11">
        <v>391.25</v>
      </c>
      <c r="P139" s="11">
        <v>78.25</v>
      </c>
      <c r="Q139" s="11" t="s">
        <v>414</v>
      </c>
      <c r="R139" s="11" t="s">
        <v>425</v>
      </c>
      <c r="S139" s="15" t="s">
        <v>53</v>
      </c>
      <c r="T139" s="18">
        <v>45748</v>
      </c>
    </row>
    <row r="140" spans="1:20" x14ac:dyDescent="0.2">
      <c r="A140" s="15" t="s">
        <v>248</v>
      </c>
      <c r="B140" s="16" t="s">
        <v>427</v>
      </c>
      <c r="C140" s="17" t="s">
        <v>646</v>
      </c>
      <c r="D140" s="15" t="s">
        <v>253</v>
      </c>
      <c r="E140" s="17" t="str">
        <f>CONCATENATE(D140,6)</f>
        <v>00023146576K6</v>
      </c>
      <c r="F140" s="15" t="s">
        <v>47</v>
      </c>
      <c r="G140" s="18">
        <v>45717</v>
      </c>
      <c r="H140" s="15" t="s">
        <v>49</v>
      </c>
      <c r="I140" s="16">
        <v>1</v>
      </c>
      <c r="J140" s="15" t="s">
        <v>51</v>
      </c>
      <c r="K140" s="15" t="s">
        <v>65</v>
      </c>
      <c r="L140" s="11">
        <v>0.83</v>
      </c>
      <c r="M140" s="11">
        <v>0</v>
      </c>
      <c r="N140" s="11">
        <v>100</v>
      </c>
      <c r="O140" s="11">
        <v>260.83</v>
      </c>
      <c r="P140" s="11">
        <v>260.83</v>
      </c>
      <c r="Q140" s="11" t="s">
        <v>414</v>
      </c>
      <c r="R140" s="11" t="s">
        <v>416</v>
      </c>
      <c r="S140" s="15" t="s">
        <v>66</v>
      </c>
      <c r="T140" s="18">
        <v>45717</v>
      </c>
    </row>
    <row r="141" spans="1:20" x14ac:dyDescent="0.2">
      <c r="A141" s="15" t="s">
        <v>394</v>
      </c>
      <c r="B141" s="16">
        <v>18794740</v>
      </c>
      <c r="C141" s="17" t="s">
        <v>696</v>
      </c>
      <c r="D141" s="15" t="s">
        <v>402</v>
      </c>
      <c r="E141" s="17" t="str">
        <f>CONCATENATE(D141,8)</f>
        <v>00000957217A8</v>
      </c>
      <c r="F141" s="15" t="s">
        <v>325</v>
      </c>
      <c r="G141" s="18">
        <v>45717</v>
      </c>
      <c r="H141" s="15" t="s">
        <v>49</v>
      </c>
      <c r="I141" s="16">
        <v>1</v>
      </c>
      <c r="J141" s="15" t="s">
        <v>51</v>
      </c>
      <c r="K141" s="15" t="s">
        <v>46</v>
      </c>
      <c r="L141" s="11">
        <v>22</v>
      </c>
      <c r="M141" s="11">
        <v>1484.16</v>
      </c>
      <c r="N141" s="11">
        <v>100</v>
      </c>
      <c r="O141" s="11">
        <v>326.52</v>
      </c>
      <c r="P141" s="11">
        <v>326.52</v>
      </c>
      <c r="Q141" s="11" t="s">
        <v>410</v>
      </c>
      <c r="R141" s="11"/>
      <c r="S141" s="15" t="s">
        <v>342</v>
      </c>
      <c r="T141" s="18">
        <v>45717</v>
      </c>
    </row>
    <row r="142" spans="1:20" x14ac:dyDescent="0.2">
      <c r="A142" s="15" t="s">
        <v>99</v>
      </c>
      <c r="B142" s="16">
        <v>7146581</v>
      </c>
      <c r="C142" s="17" t="s">
        <v>668</v>
      </c>
      <c r="D142" s="15" t="s">
        <v>108</v>
      </c>
      <c r="E142" s="17" t="str">
        <f>CONCATENATE(D142,6)</f>
        <v>00023094767K6</v>
      </c>
      <c r="F142" s="15" t="s">
        <v>47</v>
      </c>
      <c r="G142" s="18">
        <v>45717</v>
      </c>
      <c r="H142" s="15" t="s">
        <v>49</v>
      </c>
      <c r="I142" s="16">
        <v>1</v>
      </c>
      <c r="J142" s="15" t="s">
        <v>51</v>
      </c>
      <c r="K142" s="15" t="s">
        <v>65</v>
      </c>
      <c r="L142" s="11">
        <v>0</v>
      </c>
      <c r="M142" s="11">
        <v>0</v>
      </c>
      <c r="N142" s="11">
        <v>100</v>
      </c>
      <c r="O142" s="11">
        <v>365.17</v>
      </c>
      <c r="P142" s="11">
        <v>313</v>
      </c>
      <c r="Q142" s="11" t="s">
        <v>414</v>
      </c>
      <c r="R142" s="11" t="s">
        <v>415</v>
      </c>
      <c r="S142" s="15" t="s">
        <v>53</v>
      </c>
      <c r="T142" s="18">
        <v>45717</v>
      </c>
    </row>
    <row r="143" spans="1:20" x14ac:dyDescent="0.2">
      <c r="A143" s="15" t="s">
        <v>99</v>
      </c>
      <c r="B143" s="16">
        <v>7146581</v>
      </c>
      <c r="C143" s="17" t="s">
        <v>668</v>
      </c>
      <c r="D143" s="15" t="s">
        <v>108</v>
      </c>
      <c r="E143" s="17" t="str">
        <f>CONCATENATE(D143,6)</f>
        <v>00023094767K6</v>
      </c>
      <c r="F143" s="15" t="s">
        <v>47</v>
      </c>
      <c r="G143" s="18">
        <v>45717</v>
      </c>
      <c r="H143" s="15" t="s">
        <v>49</v>
      </c>
      <c r="I143" s="16">
        <v>1</v>
      </c>
      <c r="J143" s="15" t="s">
        <v>51</v>
      </c>
      <c r="K143" s="15" t="s">
        <v>65</v>
      </c>
      <c r="L143" s="11">
        <v>0</v>
      </c>
      <c r="M143" s="11">
        <v>0</v>
      </c>
      <c r="N143" s="11">
        <v>100</v>
      </c>
      <c r="O143" s="11">
        <v>365.17</v>
      </c>
      <c r="P143" s="11">
        <v>52.16</v>
      </c>
      <c r="Q143" s="11" t="s">
        <v>414</v>
      </c>
      <c r="R143" s="11" t="s">
        <v>424</v>
      </c>
      <c r="S143" s="15" t="s">
        <v>53</v>
      </c>
      <c r="T143" s="18">
        <v>45717</v>
      </c>
    </row>
    <row r="144" spans="1:20" x14ac:dyDescent="0.2">
      <c r="A144" s="15" t="s">
        <v>322</v>
      </c>
      <c r="B144" s="16">
        <v>15278437</v>
      </c>
      <c r="C144" s="17" t="s">
        <v>659</v>
      </c>
      <c r="D144" s="15" t="s">
        <v>331</v>
      </c>
      <c r="E144" s="17" t="str">
        <f>CONCATENATE(D144,8)</f>
        <v>00000779014A8</v>
      </c>
      <c r="F144" s="15" t="s">
        <v>325</v>
      </c>
      <c r="G144" s="18">
        <v>45717</v>
      </c>
      <c r="H144" s="15" t="s">
        <v>49</v>
      </c>
      <c r="I144" s="16">
        <v>1</v>
      </c>
      <c r="J144" s="15" t="s">
        <v>51</v>
      </c>
      <c r="K144" s="15" t="s">
        <v>46</v>
      </c>
      <c r="L144" s="11">
        <v>26</v>
      </c>
      <c r="M144" s="11">
        <v>164.25</v>
      </c>
      <c r="N144" s="11">
        <v>100</v>
      </c>
      <c r="O144" s="11">
        <v>42.71</v>
      </c>
      <c r="P144" s="11">
        <v>42.71</v>
      </c>
      <c r="Q144" s="11" t="s">
        <v>413</v>
      </c>
      <c r="R144" s="11"/>
      <c r="S144" s="15" t="s">
        <v>326</v>
      </c>
      <c r="T144" s="18">
        <v>45261</v>
      </c>
    </row>
    <row r="145" spans="1:20" x14ac:dyDescent="0.2">
      <c r="A145" s="15" t="s">
        <v>76</v>
      </c>
      <c r="B145" s="16">
        <v>8307933</v>
      </c>
      <c r="C145" s="17" t="s">
        <v>724</v>
      </c>
      <c r="D145" s="15" t="s">
        <v>89</v>
      </c>
      <c r="E145" s="17" t="str">
        <f>CONCATENATE(D145,6)</f>
        <v>00023087793K6</v>
      </c>
      <c r="F145" s="15" t="s">
        <v>47</v>
      </c>
      <c r="G145" s="18">
        <v>45717</v>
      </c>
      <c r="H145" s="15" t="s">
        <v>49</v>
      </c>
      <c r="I145" s="16">
        <v>1</v>
      </c>
      <c r="J145" s="15" t="s">
        <v>51</v>
      </c>
      <c r="K145" s="15" t="s">
        <v>65</v>
      </c>
      <c r="L145" s="11">
        <v>0</v>
      </c>
      <c r="M145" s="11">
        <v>0</v>
      </c>
      <c r="N145" s="11">
        <v>100</v>
      </c>
      <c r="O145" s="11">
        <v>365.17</v>
      </c>
      <c r="P145" s="11">
        <v>313</v>
      </c>
      <c r="Q145" s="11" t="s">
        <v>414</v>
      </c>
      <c r="R145" s="11" t="s">
        <v>415</v>
      </c>
      <c r="S145" s="15" t="s">
        <v>53</v>
      </c>
      <c r="T145" s="18">
        <v>45717</v>
      </c>
    </row>
    <row r="146" spans="1:20" x14ac:dyDescent="0.2">
      <c r="A146" s="15" t="s">
        <v>76</v>
      </c>
      <c r="B146" s="16">
        <v>8307933</v>
      </c>
      <c r="C146" s="17" t="s">
        <v>724</v>
      </c>
      <c r="D146" s="15" t="s">
        <v>89</v>
      </c>
      <c r="E146" s="17" t="str">
        <f>CONCATENATE(D146,6)</f>
        <v>00023087793K6</v>
      </c>
      <c r="F146" s="15" t="s">
        <v>47</v>
      </c>
      <c r="G146" s="18">
        <v>45717</v>
      </c>
      <c r="H146" s="15" t="s">
        <v>49</v>
      </c>
      <c r="I146" s="16">
        <v>1</v>
      </c>
      <c r="J146" s="15" t="s">
        <v>51</v>
      </c>
      <c r="K146" s="15" t="s">
        <v>65</v>
      </c>
      <c r="L146" s="11">
        <v>0</v>
      </c>
      <c r="M146" s="11">
        <v>0</v>
      </c>
      <c r="N146" s="11">
        <v>100</v>
      </c>
      <c r="O146" s="11">
        <v>365.17</v>
      </c>
      <c r="P146" s="11">
        <v>52.16</v>
      </c>
      <c r="Q146" s="11" t="s">
        <v>414</v>
      </c>
      <c r="R146" s="11" t="s">
        <v>424</v>
      </c>
      <c r="S146" s="15" t="s">
        <v>53</v>
      </c>
      <c r="T146" s="18">
        <v>45717</v>
      </c>
    </row>
    <row r="147" spans="1:20" x14ac:dyDescent="0.2">
      <c r="A147" s="15" t="s">
        <v>164</v>
      </c>
      <c r="B147" s="21" t="s">
        <v>428</v>
      </c>
      <c r="C147" s="17" t="s">
        <v>676</v>
      </c>
      <c r="D147" s="15" t="s">
        <v>385</v>
      </c>
      <c r="E147" s="17" t="str">
        <f>CONCATENATE(D147,8)</f>
        <v>00000964708A8</v>
      </c>
      <c r="F147" s="15" t="s">
        <v>325</v>
      </c>
      <c r="G147" s="18">
        <v>45717</v>
      </c>
      <c r="H147" s="15" t="s">
        <v>49</v>
      </c>
      <c r="I147" s="16">
        <v>1</v>
      </c>
      <c r="J147" s="15" t="s">
        <v>51</v>
      </c>
      <c r="K147" s="15" t="s">
        <v>46</v>
      </c>
      <c r="L147" s="11">
        <v>22</v>
      </c>
      <c r="M147" s="11">
        <v>1674.6</v>
      </c>
      <c r="N147" s="11">
        <v>100</v>
      </c>
      <c r="O147" s="11">
        <v>368.4</v>
      </c>
      <c r="P147" s="11">
        <v>368.4</v>
      </c>
      <c r="Q147" s="11" t="s">
        <v>410</v>
      </c>
      <c r="R147" s="11"/>
      <c r="S147" s="15" t="s">
        <v>342</v>
      </c>
      <c r="T147" s="18">
        <v>45717</v>
      </c>
    </row>
    <row r="148" spans="1:20" x14ac:dyDescent="0.2">
      <c r="A148" s="15" t="s">
        <v>99</v>
      </c>
      <c r="B148" s="16">
        <v>7146581</v>
      </c>
      <c r="C148" s="17" t="s">
        <v>663</v>
      </c>
      <c r="D148" s="15" t="s">
        <v>114</v>
      </c>
      <c r="E148" s="17" t="str">
        <f>CONCATENATE(D148,6)</f>
        <v>00023140852K6</v>
      </c>
      <c r="F148" s="15" t="s">
        <v>47</v>
      </c>
      <c r="G148" s="18">
        <v>45717</v>
      </c>
      <c r="H148" s="15" t="s">
        <v>49</v>
      </c>
      <c r="I148" s="16">
        <v>1</v>
      </c>
      <c r="J148" s="15" t="s">
        <v>51</v>
      </c>
      <c r="K148" s="15" t="s">
        <v>65</v>
      </c>
      <c r="L148" s="11">
        <v>0.83</v>
      </c>
      <c r="M148" s="11">
        <v>0</v>
      </c>
      <c r="N148" s="11">
        <v>100</v>
      </c>
      <c r="O148" s="11">
        <v>260.83</v>
      </c>
      <c r="P148" s="11">
        <v>260.83</v>
      </c>
      <c r="Q148" s="11" t="s">
        <v>414</v>
      </c>
      <c r="R148" s="11" t="s">
        <v>416</v>
      </c>
      <c r="S148" s="15" t="s">
        <v>66</v>
      </c>
      <c r="T148" s="18">
        <v>45717</v>
      </c>
    </row>
    <row r="149" spans="1:20" x14ac:dyDescent="0.2">
      <c r="A149" s="15" t="s">
        <v>76</v>
      </c>
      <c r="B149" s="16">
        <v>8307933</v>
      </c>
      <c r="C149" s="17" t="s">
        <v>723</v>
      </c>
      <c r="D149" s="15" t="s">
        <v>78</v>
      </c>
      <c r="E149" s="17" t="str">
        <f>CONCATENATE(D149,6)</f>
        <v>00006061459K6</v>
      </c>
      <c r="F149" s="15" t="s">
        <v>47</v>
      </c>
      <c r="G149" s="18">
        <v>45717</v>
      </c>
      <c r="H149" s="15" t="s">
        <v>49</v>
      </c>
      <c r="I149" s="16">
        <v>1</v>
      </c>
      <c r="J149" s="15" t="s">
        <v>51</v>
      </c>
      <c r="K149" s="15" t="s">
        <v>65</v>
      </c>
      <c r="L149" s="11">
        <v>0</v>
      </c>
      <c r="M149" s="11">
        <v>0</v>
      </c>
      <c r="N149" s="11">
        <v>100</v>
      </c>
      <c r="O149" s="11">
        <v>260.83999999999997</v>
      </c>
      <c r="P149" s="11">
        <v>260.83999999999997</v>
      </c>
      <c r="Q149" s="11" t="s">
        <v>414</v>
      </c>
      <c r="R149" s="11" t="s">
        <v>416</v>
      </c>
      <c r="S149" s="15" t="s">
        <v>53</v>
      </c>
      <c r="T149" s="18">
        <v>45717</v>
      </c>
    </row>
    <row r="150" spans="1:20" x14ac:dyDescent="0.2">
      <c r="A150" s="22" t="s">
        <v>278</v>
      </c>
      <c r="B150" s="25">
        <v>8244481</v>
      </c>
      <c r="C150" s="23" t="s">
        <v>643</v>
      </c>
      <c r="D150" s="23">
        <v>9029564860</v>
      </c>
      <c r="E150" s="23" t="str">
        <f>CONCATENATE(D150,4)</f>
        <v>90295648604</v>
      </c>
      <c r="F150" s="22" t="s">
        <v>281</v>
      </c>
      <c r="G150" s="24">
        <v>45748</v>
      </c>
      <c r="H150" s="22" t="s">
        <v>87</v>
      </c>
      <c r="I150" s="25">
        <v>1</v>
      </c>
      <c r="J150" s="22" t="s">
        <v>283</v>
      </c>
      <c r="K150" s="22" t="s">
        <v>46</v>
      </c>
      <c r="L150" s="26">
        <v>10</v>
      </c>
      <c r="M150" s="26">
        <v>13.93</v>
      </c>
      <c r="N150" s="26">
        <v>100</v>
      </c>
      <c r="O150" s="26">
        <v>1.39</v>
      </c>
      <c r="P150" s="26">
        <v>1.39</v>
      </c>
      <c r="Q150" s="26" t="s">
        <v>408</v>
      </c>
      <c r="R150" s="26"/>
      <c r="S150" s="22" t="s">
        <v>284</v>
      </c>
      <c r="T150" s="24">
        <v>45597</v>
      </c>
    </row>
    <row r="151" spans="1:20" x14ac:dyDescent="0.2">
      <c r="A151" s="15" t="s">
        <v>69</v>
      </c>
      <c r="B151" s="16">
        <v>7470776</v>
      </c>
      <c r="C151" s="17" t="s">
        <v>632</v>
      </c>
      <c r="D151" s="15" t="s">
        <v>71</v>
      </c>
      <c r="E151" s="17" t="str">
        <f t="shared" ref="E151:E157" si="2">CONCATENATE(D151,6)</f>
        <v>00022188436K6</v>
      </c>
      <c r="F151" s="15" t="s">
        <v>47</v>
      </c>
      <c r="G151" s="18">
        <v>45717</v>
      </c>
      <c r="H151" s="15" t="s">
        <v>49</v>
      </c>
      <c r="I151" s="16">
        <v>1</v>
      </c>
      <c r="J151" s="15" t="s">
        <v>51</v>
      </c>
      <c r="K151" s="15" t="s">
        <v>65</v>
      </c>
      <c r="L151" s="11">
        <v>0.83</v>
      </c>
      <c r="M151" s="11">
        <v>0</v>
      </c>
      <c r="N151" s="11">
        <v>100</v>
      </c>
      <c r="O151" s="11">
        <v>260.83</v>
      </c>
      <c r="P151" s="11">
        <v>260.83</v>
      </c>
      <c r="Q151" s="11" t="s">
        <v>414</v>
      </c>
      <c r="R151" s="11" t="s">
        <v>416</v>
      </c>
      <c r="S151" s="15" t="s">
        <v>66</v>
      </c>
      <c r="T151" s="18">
        <v>45717</v>
      </c>
    </row>
    <row r="152" spans="1:20" x14ac:dyDescent="0.2">
      <c r="A152" s="15" t="s">
        <v>69</v>
      </c>
      <c r="B152" s="16">
        <v>7470776</v>
      </c>
      <c r="C152" s="17" t="s">
        <v>632</v>
      </c>
      <c r="D152" s="15" t="s">
        <v>71</v>
      </c>
      <c r="E152" s="17" t="str">
        <f t="shared" si="2"/>
        <v>00022188436K6</v>
      </c>
      <c r="F152" s="15" t="s">
        <v>47</v>
      </c>
      <c r="G152" s="18">
        <v>45717</v>
      </c>
      <c r="H152" s="15" t="s">
        <v>49</v>
      </c>
      <c r="I152" s="16">
        <v>1</v>
      </c>
      <c r="J152" s="15" t="s">
        <v>51</v>
      </c>
      <c r="K152" s="15" t="s">
        <v>65</v>
      </c>
      <c r="L152" s="11">
        <v>0</v>
      </c>
      <c r="M152" s="11">
        <v>0</v>
      </c>
      <c r="N152" s="11">
        <v>100</v>
      </c>
      <c r="O152" s="11">
        <v>365.17</v>
      </c>
      <c r="P152" s="11">
        <v>313</v>
      </c>
      <c r="Q152" s="11" t="s">
        <v>414</v>
      </c>
      <c r="R152" s="11" t="s">
        <v>415</v>
      </c>
      <c r="S152" s="15" t="s">
        <v>53</v>
      </c>
      <c r="T152" s="18">
        <v>45717</v>
      </c>
    </row>
    <row r="153" spans="1:20" x14ac:dyDescent="0.2">
      <c r="A153" s="15" t="s">
        <v>69</v>
      </c>
      <c r="B153" s="16">
        <v>7470776</v>
      </c>
      <c r="C153" s="17" t="s">
        <v>632</v>
      </c>
      <c r="D153" s="15" t="s">
        <v>71</v>
      </c>
      <c r="E153" s="17" t="str">
        <f t="shared" si="2"/>
        <v>00022188436K6</v>
      </c>
      <c r="F153" s="15" t="s">
        <v>47</v>
      </c>
      <c r="G153" s="18">
        <v>45717</v>
      </c>
      <c r="H153" s="15" t="s">
        <v>49</v>
      </c>
      <c r="I153" s="16">
        <v>1</v>
      </c>
      <c r="J153" s="15" t="s">
        <v>51</v>
      </c>
      <c r="K153" s="15" t="s">
        <v>65</v>
      </c>
      <c r="L153" s="11">
        <v>0</v>
      </c>
      <c r="M153" s="11">
        <v>0</v>
      </c>
      <c r="N153" s="11">
        <v>100</v>
      </c>
      <c r="O153" s="11">
        <v>365.17</v>
      </c>
      <c r="P153" s="11">
        <v>52.16</v>
      </c>
      <c r="Q153" s="11" t="s">
        <v>414</v>
      </c>
      <c r="R153" s="11" t="s">
        <v>424</v>
      </c>
      <c r="S153" s="15" t="s">
        <v>53</v>
      </c>
      <c r="T153" s="18">
        <v>45717</v>
      </c>
    </row>
    <row r="154" spans="1:20" x14ac:dyDescent="0.2">
      <c r="A154" s="15" t="s">
        <v>173</v>
      </c>
      <c r="B154" s="16">
        <v>9213293</v>
      </c>
      <c r="C154" s="17" t="s">
        <v>707</v>
      </c>
      <c r="D154" s="15" t="s">
        <v>193</v>
      </c>
      <c r="E154" s="17" t="str">
        <f t="shared" si="2"/>
        <v>00023140342K6</v>
      </c>
      <c r="F154" s="15" t="s">
        <v>47</v>
      </c>
      <c r="G154" s="18">
        <v>45717</v>
      </c>
      <c r="H154" s="15" t="s">
        <v>49</v>
      </c>
      <c r="I154" s="16">
        <v>1</v>
      </c>
      <c r="J154" s="15" t="s">
        <v>51</v>
      </c>
      <c r="K154" s="15" t="s">
        <v>65</v>
      </c>
      <c r="L154" s="11">
        <v>0.83</v>
      </c>
      <c r="M154" s="11">
        <v>0</v>
      </c>
      <c r="N154" s="11">
        <v>100</v>
      </c>
      <c r="O154" s="11">
        <v>260.83</v>
      </c>
      <c r="P154" s="11">
        <v>260.83</v>
      </c>
      <c r="Q154" s="11" t="s">
        <v>414</v>
      </c>
      <c r="R154" s="11" t="s">
        <v>416</v>
      </c>
      <c r="S154" s="15" t="s">
        <v>66</v>
      </c>
      <c r="T154" s="18">
        <v>45717</v>
      </c>
    </row>
    <row r="155" spans="1:20" x14ac:dyDescent="0.2">
      <c r="A155" s="15" t="s">
        <v>173</v>
      </c>
      <c r="B155" s="16">
        <v>9213293</v>
      </c>
      <c r="C155" s="17" t="s">
        <v>705</v>
      </c>
      <c r="D155" s="15" t="s">
        <v>175</v>
      </c>
      <c r="E155" s="17" t="str">
        <f t="shared" si="2"/>
        <v>00012290150K6</v>
      </c>
      <c r="F155" s="15" t="s">
        <v>47</v>
      </c>
      <c r="G155" s="18">
        <v>45658</v>
      </c>
      <c r="H155" s="15" t="s">
        <v>106</v>
      </c>
      <c r="I155" s="16">
        <v>1</v>
      </c>
      <c r="J155" s="15" t="s">
        <v>51</v>
      </c>
      <c r="K155" s="15" t="s">
        <v>65</v>
      </c>
      <c r="L155" s="11">
        <v>0.83</v>
      </c>
      <c r="M155" s="11">
        <v>0</v>
      </c>
      <c r="N155" s="11">
        <v>100</v>
      </c>
      <c r="O155" s="11">
        <v>260.83</v>
      </c>
      <c r="P155" s="11">
        <v>260.83</v>
      </c>
      <c r="Q155" s="11" t="s">
        <v>414</v>
      </c>
      <c r="R155" s="11" t="s">
        <v>416</v>
      </c>
      <c r="S155" s="15" t="s">
        <v>66</v>
      </c>
      <c r="T155" s="18">
        <v>45658</v>
      </c>
    </row>
    <row r="156" spans="1:20" x14ac:dyDescent="0.2">
      <c r="A156" s="15" t="s">
        <v>206</v>
      </c>
      <c r="B156" s="16">
        <v>19396223</v>
      </c>
      <c r="C156" s="17" t="s">
        <v>630</v>
      </c>
      <c r="D156" s="15" t="s">
        <v>214</v>
      </c>
      <c r="E156" s="17" t="str">
        <f t="shared" si="2"/>
        <v>00023061850K6</v>
      </c>
      <c r="F156" s="15" t="s">
        <v>47</v>
      </c>
      <c r="G156" s="18">
        <v>45689</v>
      </c>
      <c r="H156" s="15" t="s">
        <v>136</v>
      </c>
      <c r="I156" s="16">
        <v>1</v>
      </c>
      <c r="J156" s="15" t="s">
        <v>51</v>
      </c>
      <c r="K156" s="15" t="s">
        <v>65</v>
      </c>
      <c r="L156" s="11">
        <v>0</v>
      </c>
      <c r="M156" s="11">
        <v>0</v>
      </c>
      <c r="N156" s="11">
        <v>100</v>
      </c>
      <c r="O156" s="11">
        <v>339.08</v>
      </c>
      <c r="P156" s="11">
        <v>313</v>
      </c>
      <c r="Q156" s="11" t="s">
        <v>414</v>
      </c>
      <c r="R156" s="11" t="s">
        <v>415</v>
      </c>
      <c r="S156" s="15" t="s">
        <v>53</v>
      </c>
      <c r="T156" s="18">
        <v>45689</v>
      </c>
    </row>
    <row r="157" spans="1:20" x14ac:dyDescent="0.2">
      <c r="A157" s="15" t="s">
        <v>206</v>
      </c>
      <c r="B157" s="16">
        <v>19396223</v>
      </c>
      <c r="C157" s="17" t="s">
        <v>630</v>
      </c>
      <c r="D157" s="15" t="s">
        <v>214</v>
      </c>
      <c r="E157" s="17" t="str">
        <f t="shared" si="2"/>
        <v>00023061850K6</v>
      </c>
      <c r="F157" s="15" t="s">
        <v>47</v>
      </c>
      <c r="G157" s="18">
        <v>45689</v>
      </c>
      <c r="H157" s="15" t="s">
        <v>136</v>
      </c>
      <c r="I157" s="16">
        <v>1</v>
      </c>
      <c r="J157" s="15" t="s">
        <v>51</v>
      </c>
      <c r="K157" s="15" t="s">
        <v>65</v>
      </c>
      <c r="L157" s="11">
        <v>0</v>
      </c>
      <c r="M157" s="11">
        <v>0</v>
      </c>
      <c r="N157" s="11">
        <v>100</v>
      </c>
      <c r="O157" s="11">
        <v>339.08</v>
      </c>
      <c r="P157" s="11">
        <v>26.08</v>
      </c>
      <c r="Q157" s="11" t="s">
        <v>414</v>
      </c>
      <c r="R157" s="11" t="s">
        <v>422</v>
      </c>
      <c r="S157" s="15" t="s">
        <v>53</v>
      </c>
      <c r="T157" s="18">
        <v>45689</v>
      </c>
    </row>
  </sheetData>
  <sortState xmlns:xlrd2="http://schemas.microsoft.com/office/spreadsheetml/2017/richdata2" ref="A2:T157">
    <sortCondition ref="C2:C1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F693-27C3-4BC5-8368-C6E680A7352C}">
  <dimension ref="A1:P2"/>
  <sheetViews>
    <sheetView tabSelected="1" workbookViewId="0">
      <selection activeCell="K2" sqref="K2"/>
    </sheetView>
  </sheetViews>
  <sheetFormatPr defaultRowHeight="12.75" x14ac:dyDescent="0.2"/>
  <cols>
    <col min="4" max="4" width="13.42578125" bestFit="1" customWidth="1"/>
    <col min="15" max="15" width="34.28515625" bestFit="1" customWidth="1"/>
  </cols>
  <sheetData>
    <row r="1" spans="1:16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9</v>
      </c>
      <c r="F1" s="1" t="s">
        <v>11</v>
      </c>
      <c r="G1" s="1" t="s">
        <v>12</v>
      </c>
      <c r="H1" s="1" t="s">
        <v>16</v>
      </c>
      <c r="I1" s="1" t="s">
        <v>18</v>
      </c>
      <c r="J1" s="1" t="s">
        <v>19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27</v>
      </c>
      <c r="P1" s="1" t="s">
        <v>31</v>
      </c>
    </row>
    <row r="2" spans="1:16" s="10" customFormat="1" x14ac:dyDescent="0.2">
      <c r="A2" s="6" t="s">
        <v>347</v>
      </c>
      <c r="B2" s="7">
        <v>1545980</v>
      </c>
      <c r="C2" s="6" t="s">
        <v>348</v>
      </c>
      <c r="D2" s="6" t="s">
        <v>349</v>
      </c>
      <c r="E2" s="6" t="s">
        <v>325</v>
      </c>
      <c r="F2" s="8">
        <v>45717</v>
      </c>
      <c r="G2" s="6" t="s">
        <v>49</v>
      </c>
      <c r="H2" s="7">
        <v>1</v>
      </c>
      <c r="I2" s="6" t="s">
        <v>51</v>
      </c>
      <c r="J2" s="6" t="s">
        <v>46</v>
      </c>
      <c r="K2" s="9">
        <v>3</v>
      </c>
      <c r="L2" s="9">
        <v>1824.12</v>
      </c>
      <c r="M2" s="9">
        <v>100</v>
      </c>
      <c r="N2" s="9">
        <v>54.72</v>
      </c>
      <c r="O2" s="6" t="s">
        <v>338</v>
      </c>
      <c r="P2" s="8">
        <v>45717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D676-A667-46E5-9894-DC6B2ED3B4A5}">
  <dimension ref="A1:C156"/>
  <sheetViews>
    <sheetView topLeftCell="A110" workbookViewId="0">
      <selection activeCell="C124" sqref="C124:C156"/>
    </sheetView>
  </sheetViews>
  <sheetFormatPr defaultRowHeight="12.75" x14ac:dyDescent="0.2"/>
  <cols>
    <col min="1" max="1" width="14.5703125" bestFit="1" customWidth="1"/>
    <col min="2" max="2" width="14.140625" bestFit="1" customWidth="1"/>
    <col min="3" max="3" width="14.28515625" bestFit="1" customWidth="1"/>
  </cols>
  <sheetData>
    <row r="1" spans="1:3" x14ac:dyDescent="0.2">
      <c r="A1" s="4" t="s">
        <v>429</v>
      </c>
      <c r="B1" t="s">
        <v>430</v>
      </c>
      <c r="C1" t="str">
        <f>CONCATENATE(B1, " ", A1)</f>
        <v>BHARAT SHAH</v>
      </c>
    </row>
    <row r="2" spans="1:3" x14ac:dyDescent="0.2">
      <c r="A2" s="4" t="s">
        <v>431</v>
      </c>
      <c r="B2" t="s">
        <v>432</v>
      </c>
      <c r="C2" t="str">
        <f t="shared" ref="C2:C65" si="0">CONCATENATE(B2, " ", A2)</f>
        <v>CHERYL NESTEROWICZ</v>
      </c>
    </row>
    <row r="3" spans="1:3" x14ac:dyDescent="0.2">
      <c r="A3" s="4" t="s">
        <v>431</v>
      </c>
      <c r="B3" t="s">
        <v>433</v>
      </c>
      <c r="C3" t="str">
        <f t="shared" si="0"/>
        <v>JOHN NESTEROWICZ</v>
      </c>
    </row>
    <row r="4" spans="1:3" x14ac:dyDescent="0.2">
      <c r="A4" s="4" t="s">
        <v>434</v>
      </c>
      <c r="B4" t="s">
        <v>435</v>
      </c>
      <c r="C4" t="str">
        <f t="shared" si="0"/>
        <v>WILLIAM BRO</v>
      </c>
    </row>
    <row r="5" spans="1:3" x14ac:dyDescent="0.2">
      <c r="A5" s="4" t="s">
        <v>434</v>
      </c>
      <c r="B5" t="s">
        <v>435</v>
      </c>
      <c r="C5" t="str">
        <f t="shared" si="0"/>
        <v>WILLIAM BRO</v>
      </c>
    </row>
    <row r="6" spans="1:3" x14ac:dyDescent="0.2">
      <c r="A6" s="4" t="s">
        <v>436</v>
      </c>
      <c r="B6" t="s">
        <v>437</v>
      </c>
      <c r="C6" t="str">
        <f t="shared" si="0"/>
        <v>CINDY DAVIS</v>
      </c>
    </row>
    <row r="7" spans="1:3" x14ac:dyDescent="0.2">
      <c r="A7" s="4" t="s">
        <v>436</v>
      </c>
      <c r="B7" t="s">
        <v>437</v>
      </c>
      <c r="C7" t="str">
        <f t="shared" si="0"/>
        <v>CINDY DAVIS</v>
      </c>
    </row>
    <row r="8" spans="1:3" x14ac:dyDescent="0.2">
      <c r="A8" s="4" t="s">
        <v>438</v>
      </c>
      <c r="B8" t="s">
        <v>439</v>
      </c>
      <c r="C8" t="str">
        <f t="shared" si="0"/>
        <v>TIMOTHY CHOI</v>
      </c>
    </row>
    <row r="9" spans="1:3" x14ac:dyDescent="0.2">
      <c r="A9" s="4" t="s">
        <v>438</v>
      </c>
      <c r="B9" t="s">
        <v>440</v>
      </c>
      <c r="C9" t="str">
        <f t="shared" si="0"/>
        <v>KYUNG CHOI</v>
      </c>
    </row>
    <row r="10" spans="1:3" x14ac:dyDescent="0.2">
      <c r="A10" s="4" t="s">
        <v>438</v>
      </c>
      <c r="B10" t="s">
        <v>440</v>
      </c>
      <c r="C10" t="str">
        <f t="shared" si="0"/>
        <v>KYUNG CHOI</v>
      </c>
    </row>
    <row r="11" spans="1:3" x14ac:dyDescent="0.2">
      <c r="A11" s="4" t="s">
        <v>438</v>
      </c>
      <c r="B11" t="s">
        <v>440</v>
      </c>
      <c r="C11" t="str">
        <f t="shared" si="0"/>
        <v>KYUNG CHOI</v>
      </c>
    </row>
    <row r="12" spans="1:3" x14ac:dyDescent="0.2">
      <c r="A12" s="4" t="s">
        <v>438</v>
      </c>
      <c r="B12" t="s">
        <v>439</v>
      </c>
      <c r="C12" t="str">
        <f t="shared" si="0"/>
        <v>TIMOTHY CHOI</v>
      </c>
    </row>
    <row r="13" spans="1:3" x14ac:dyDescent="0.2">
      <c r="A13" s="4" t="s">
        <v>438</v>
      </c>
      <c r="B13" t="s">
        <v>439</v>
      </c>
      <c r="C13" t="str">
        <f t="shared" si="0"/>
        <v>TIMOTHY CHOI</v>
      </c>
    </row>
    <row r="14" spans="1:3" x14ac:dyDescent="0.2">
      <c r="A14" s="4" t="s">
        <v>441</v>
      </c>
      <c r="B14" t="s">
        <v>442</v>
      </c>
      <c r="C14" t="str">
        <f t="shared" si="0"/>
        <v>Michael Baker</v>
      </c>
    </row>
    <row r="15" spans="1:3" x14ac:dyDescent="0.2">
      <c r="A15" s="4" t="s">
        <v>443</v>
      </c>
      <c r="B15" t="s">
        <v>444</v>
      </c>
      <c r="C15" t="str">
        <f t="shared" si="0"/>
        <v>Janine Petrovic</v>
      </c>
    </row>
    <row r="16" spans="1:3" x14ac:dyDescent="0.2">
      <c r="A16" s="4" t="s">
        <v>445</v>
      </c>
      <c r="B16" t="s">
        <v>446</v>
      </c>
      <c r="C16" t="str">
        <f t="shared" si="0"/>
        <v>Carla Finlen</v>
      </c>
    </row>
    <row r="17" spans="1:3" x14ac:dyDescent="0.2">
      <c r="A17" s="4" t="s">
        <v>447</v>
      </c>
      <c r="B17" t="s">
        <v>448</v>
      </c>
      <c r="C17" t="str">
        <f t="shared" si="0"/>
        <v>Larry Taylor</v>
      </c>
    </row>
    <row r="18" spans="1:3" x14ac:dyDescent="0.2">
      <c r="A18" s="4" t="s">
        <v>449</v>
      </c>
      <c r="B18" t="s">
        <v>450</v>
      </c>
      <c r="C18" t="str">
        <f t="shared" si="0"/>
        <v>Angela Larimer</v>
      </c>
    </row>
    <row r="19" spans="1:3" x14ac:dyDescent="0.2">
      <c r="A19" s="4" t="s">
        <v>451</v>
      </c>
      <c r="B19" t="s">
        <v>452</v>
      </c>
      <c r="C19" t="str">
        <f t="shared" si="0"/>
        <v>Rebekah Schmidt</v>
      </c>
    </row>
    <row r="20" spans="1:3" x14ac:dyDescent="0.2">
      <c r="A20" s="4" t="s">
        <v>453</v>
      </c>
      <c r="B20" t="s">
        <v>454</v>
      </c>
      <c r="C20" t="str">
        <f t="shared" si="0"/>
        <v>Nancy Philipsen</v>
      </c>
    </row>
    <row r="21" spans="1:3" x14ac:dyDescent="0.2">
      <c r="A21" s="4" t="s">
        <v>455</v>
      </c>
      <c r="B21" t="s">
        <v>456</v>
      </c>
      <c r="C21" t="str">
        <f t="shared" si="0"/>
        <v>Carrie Taber</v>
      </c>
    </row>
    <row r="22" spans="1:3" x14ac:dyDescent="0.2">
      <c r="A22" s="4" t="s">
        <v>457</v>
      </c>
      <c r="B22" t="s">
        <v>458</v>
      </c>
      <c r="C22" t="str">
        <f t="shared" si="0"/>
        <v>Jessica McClure</v>
      </c>
    </row>
    <row r="23" spans="1:3" x14ac:dyDescent="0.2">
      <c r="A23" s="4" t="s">
        <v>459</v>
      </c>
      <c r="B23" t="s">
        <v>460</v>
      </c>
      <c r="C23" t="str">
        <f t="shared" si="0"/>
        <v>Therese Thompson</v>
      </c>
    </row>
    <row r="24" spans="1:3" x14ac:dyDescent="0.2">
      <c r="A24" s="4" t="s">
        <v>445</v>
      </c>
      <c r="B24" t="s">
        <v>446</v>
      </c>
      <c r="C24" t="str">
        <f t="shared" si="0"/>
        <v>Carla Finlen</v>
      </c>
    </row>
    <row r="25" spans="1:3" x14ac:dyDescent="0.2">
      <c r="A25" s="4" t="s">
        <v>447</v>
      </c>
      <c r="B25" t="s">
        <v>448</v>
      </c>
      <c r="C25" t="str">
        <f t="shared" si="0"/>
        <v>Larry Taylor</v>
      </c>
    </row>
    <row r="26" spans="1:3" x14ac:dyDescent="0.2">
      <c r="A26" s="4" t="s">
        <v>461</v>
      </c>
      <c r="B26" t="s">
        <v>462</v>
      </c>
      <c r="C26" t="str">
        <f t="shared" si="0"/>
        <v>Kimberly Davison</v>
      </c>
    </row>
    <row r="27" spans="1:3" x14ac:dyDescent="0.2">
      <c r="A27" s="4" t="s">
        <v>463</v>
      </c>
      <c r="B27" t="s">
        <v>464</v>
      </c>
      <c r="C27" t="str">
        <f t="shared" si="0"/>
        <v>EILEEN CECHOTA</v>
      </c>
    </row>
    <row r="28" spans="1:3" x14ac:dyDescent="0.2">
      <c r="A28" s="4" t="s">
        <v>465</v>
      </c>
      <c r="B28" t="s">
        <v>466</v>
      </c>
      <c r="C28" t="str">
        <f t="shared" si="0"/>
        <v>SHARON CRAIG</v>
      </c>
    </row>
    <row r="29" spans="1:3" x14ac:dyDescent="0.2">
      <c r="A29" s="4" t="s">
        <v>467</v>
      </c>
      <c r="B29" t="s">
        <v>468</v>
      </c>
      <c r="C29" t="str">
        <f t="shared" si="0"/>
        <v>AMY TRIMBLE</v>
      </c>
    </row>
    <row r="30" spans="1:3" x14ac:dyDescent="0.2">
      <c r="A30" s="4" t="s">
        <v>467</v>
      </c>
      <c r="B30" t="s">
        <v>468</v>
      </c>
      <c r="C30" t="str">
        <f t="shared" si="0"/>
        <v>AMY TRIMBLE</v>
      </c>
    </row>
    <row r="31" spans="1:3" x14ac:dyDescent="0.2">
      <c r="A31" s="4" t="s">
        <v>469</v>
      </c>
      <c r="B31" t="s">
        <v>470</v>
      </c>
      <c r="C31" t="str">
        <f t="shared" si="0"/>
        <v>ESTEBAN CARBAJAL</v>
      </c>
    </row>
    <row r="32" spans="1:3" x14ac:dyDescent="0.2">
      <c r="A32" s="4" t="s">
        <v>471</v>
      </c>
      <c r="B32" t="s">
        <v>472</v>
      </c>
      <c r="C32" t="str">
        <f t="shared" si="0"/>
        <v>KATHLEEN CARLSON</v>
      </c>
    </row>
    <row r="33" spans="1:3" x14ac:dyDescent="0.2">
      <c r="A33" s="4" t="s">
        <v>471</v>
      </c>
      <c r="B33" t="s">
        <v>472</v>
      </c>
      <c r="C33" t="str">
        <f t="shared" si="0"/>
        <v>KATHLEEN CARLSON</v>
      </c>
    </row>
    <row r="34" spans="1:3" x14ac:dyDescent="0.2">
      <c r="A34" s="4" t="s">
        <v>473</v>
      </c>
      <c r="B34" t="s">
        <v>433</v>
      </c>
      <c r="C34" t="str">
        <f t="shared" si="0"/>
        <v>JOHN HAMPTON</v>
      </c>
    </row>
    <row r="35" spans="1:3" x14ac:dyDescent="0.2">
      <c r="A35" s="4" t="s">
        <v>473</v>
      </c>
      <c r="B35" t="s">
        <v>433</v>
      </c>
      <c r="C35" t="str">
        <f t="shared" si="0"/>
        <v>JOHN HAMPTON</v>
      </c>
    </row>
    <row r="36" spans="1:3" x14ac:dyDescent="0.2">
      <c r="A36" s="4" t="s">
        <v>474</v>
      </c>
      <c r="B36" t="s">
        <v>475</v>
      </c>
      <c r="C36" t="str">
        <f t="shared" si="0"/>
        <v>JACQUALINE JONES</v>
      </c>
    </row>
    <row r="37" spans="1:3" x14ac:dyDescent="0.2">
      <c r="A37" s="4" t="s">
        <v>474</v>
      </c>
      <c r="B37" t="s">
        <v>475</v>
      </c>
      <c r="C37" t="str">
        <f t="shared" si="0"/>
        <v>JACQUALINE JONES</v>
      </c>
    </row>
    <row r="38" spans="1:3" x14ac:dyDescent="0.2">
      <c r="A38" s="4" t="s">
        <v>476</v>
      </c>
      <c r="B38" t="s">
        <v>477</v>
      </c>
      <c r="C38" t="str">
        <f t="shared" si="0"/>
        <v>EFRAIN FERRER</v>
      </c>
    </row>
    <row r="39" spans="1:3" x14ac:dyDescent="0.2">
      <c r="A39" s="4" t="s">
        <v>476</v>
      </c>
      <c r="B39" t="s">
        <v>478</v>
      </c>
      <c r="C39" t="str">
        <f t="shared" si="0"/>
        <v>ELIA FERRER</v>
      </c>
    </row>
    <row r="40" spans="1:3" x14ac:dyDescent="0.2">
      <c r="A40" s="4" t="s">
        <v>479</v>
      </c>
      <c r="B40" t="s">
        <v>480</v>
      </c>
      <c r="C40" t="str">
        <f t="shared" si="0"/>
        <v>DONALD PARKER</v>
      </c>
    </row>
    <row r="41" spans="1:3" x14ac:dyDescent="0.2">
      <c r="A41" s="4" t="s">
        <v>481</v>
      </c>
      <c r="B41" t="s">
        <v>482</v>
      </c>
      <c r="C41" t="str">
        <f t="shared" si="0"/>
        <v>BONNIE VAGNONI</v>
      </c>
    </row>
    <row r="42" spans="1:3" x14ac:dyDescent="0.2">
      <c r="A42" s="4" t="s">
        <v>483</v>
      </c>
      <c r="B42" t="s">
        <v>437</v>
      </c>
      <c r="C42" t="str">
        <f t="shared" si="0"/>
        <v>CINDY FATSIS</v>
      </c>
    </row>
    <row r="43" spans="1:3" x14ac:dyDescent="0.2">
      <c r="A43" s="4" t="s">
        <v>484</v>
      </c>
      <c r="B43" t="s">
        <v>485</v>
      </c>
      <c r="C43" t="str">
        <f t="shared" si="0"/>
        <v>JOSEPH GRANDE</v>
      </c>
    </row>
    <row r="44" spans="1:3" x14ac:dyDescent="0.2">
      <c r="A44" s="4" t="s">
        <v>486</v>
      </c>
      <c r="B44" t="s">
        <v>487</v>
      </c>
      <c r="C44" t="str">
        <f t="shared" si="0"/>
        <v>JACQUELINE TRAINOR</v>
      </c>
    </row>
    <row r="45" spans="1:3" x14ac:dyDescent="0.2">
      <c r="A45" s="4" t="s">
        <v>488</v>
      </c>
      <c r="B45" t="s">
        <v>489</v>
      </c>
      <c r="C45" t="str">
        <f t="shared" si="0"/>
        <v>STEVE MOFFAT</v>
      </c>
    </row>
    <row r="46" spans="1:3" x14ac:dyDescent="0.2">
      <c r="A46" s="4" t="s">
        <v>490</v>
      </c>
      <c r="B46" t="s">
        <v>491</v>
      </c>
      <c r="C46" t="str">
        <f t="shared" si="0"/>
        <v>NORMA KEPHART</v>
      </c>
    </row>
    <row r="47" spans="1:3" x14ac:dyDescent="0.2">
      <c r="A47" s="4" t="s">
        <v>492</v>
      </c>
      <c r="B47" t="s">
        <v>493</v>
      </c>
      <c r="C47" t="str">
        <f t="shared" si="0"/>
        <v>JANICE BEDARD</v>
      </c>
    </row>
    <row r="48" spans="1:3" x14ac:dyDescent="0.2">
      <c r="A48" s="4" t="s">
        <v>492</v>
      </c>
      <c r="B48" t="s">
        <v>493</v>
      </c>
      <c r="C48" t="str">
        <f t="shared" si="0"/>
        <v>JANICE BEDARD</v>
      </c>
    </row>
    <row r="49" spans="1:3" x14ac:dyDescent="0.2">
      <c r="A49" s="4" t="s">
        <v>494</v>
      </c>
      <c r="B49" t="s">
        <v>495</v>
      </c>
      <c r="C49" t="str">
        <f t="shared" si="0"/>
        <v>RICKY MEISNER</v>
      </c>
    </row>
    <row r="50" spans="1:3" x14ac:dyDescent="0.2">
      <c r="A50" s="4" t="s">
        <v>496</v>
      </c>
      <c r="B50" t="s">
        <v>497</v>
      </c>
      <c r="C50" t="str">
        <f t="shared" si="0"/>
        <v>SUSAN MILLER</v>
      </c>
    </row>
    <row r="51" spans="1:3" x14ac:dyDescent="0.2">
      <c r="A51" s="4" t="s">
        <v>498</v>
      </c>
      <c r="B51" t="s">
        <v>499</v>
      </c>
      <c r="C51" t="str">
        <f t="shared" si="0"/>
        <v>GERALD LATZKE</v>
      </c>
    </row>
    <row r="52" spans="1:3" x14ac:dyDescent="0.2">
      <c r="A52" s="4" t="s">
        <v>498</v>
      </c>
      <c r="B52" t="s">
        <v>500</v>
      </c>
      <c r="C52" t="str">
        <f t="shared" si="0"/>
        <v>RENE LATZKE</v>
      </c>
    </row>
    <row r="53" spans="1:3" x14ac:dyDescent="0.2">
      <c r="A53" s="4" t="s">
        <v>501</v>
      </c>
      <c r="B53" t="s">
        <v>502</v>
      </c>
      <c r="C53" t="str">
        <f t="shared" si="0"/>
        <v>RANDY BLANK</v>
      </c>
    </row>
    <row r="54" spans="1:3" x14ac:dyDescent="0.2">
      <c r="A54" s="4" t="s">
        <v>503</v>
      </c>
      <c r="B54" t="s">
        <v>504</v>
      </c>
      <c r="C54" t="str">
        <f t="shared" si="0"/>
        <v>PRINCY SHYAM</v>
      </c>
    </row>
    <row r="55" spans="1:3" x14ac:dyDescent="0.2">
      <c r="A55" s="4" t="s">
        <v>505</v>
      </c>
      <c r="B55" t="s">
        <v>506</v>
      </c>
      <c r="C55" t="str">
        <f t="shared" si="0"/>
        <v>STANLEY BUTLER</v>
      </c>
    </row>
    <row r="56" spans="1:3" x14ac:dyDescent="0.2">
      <c r="A56" s="4" t="s">
        <v>505</v>
      </c>
      <c r="B56" t="s">
        <v>506</v>
      </c>
      <c r="C56" t="str">
        <f t="shared" si="0"/>
        <v>STANLEY BUTLER</v>
      </c>
    </row>
    <row r="57" spans="1:3" x14ac:dyDescent="0.2">
      <c r="A57" s="4" t="s">
        <v>507</v>
      </c>
      <c r="B57" t="s">
        <v>508</v>
      </c>
      <c r="C57" t="str">
        <f t="shared" si="0"/>
        <v>ANGEL COHEN</v>
      </c>
    </row>
    <row r="58" spans="1:3" x14ac:dyDescent="0.2">
      <c r="A58" s="4" t="s">
        <v>507</v>
      </c>
      <c r="B58" t="s">
        <v>508</v>
      </c>
      <c r="C58" t="str">
        <f t="shared" si="0"/>
        <v>ANGEL COHEN</v>
      </c>
    </row>
    <row r="59" spans="1:3" x14ac:dyDescent="0.2">
      <c r="A59" s="13" t="s">
        <v>509</v>
      </c>
      <c r="B59" t="s">
        <v>510</v>
      </c>
      <c r="C59" t="str">
        <f t="shared" si="0"/>
        <v>Kathleen Madigan</v>
      </c>
    </row>
    <row r="60" spans="1:3" x14ac:dyDescent="0.2">
      <c r="A60" s="13" t="s">
        <v>511</v>
      </c>
      <c r="B60" t="s">
        <v>512</v>
      </c>
      <c r="C60" t="str">
        <f t="shared" si="0"/>
        <v>JAMES MISSENDA</v>
      </c>
    </row>
    <row r="61" spans="1:3" x14ac:dyDescent="0.2">
      <c r="A61" s="12" t="s">
        <v>513</v>
      </c>
      <c r="B61" t="s">
        <v>433</v>
      </c>
      <c r="C61" t="str">
        <f t="shared" si="0"/>
        <v>JOHN KELLY</v>
      </c>
    </row>
    <row r="62" spans="1:3" x14ac:dyDescent="0.2">
      <c r="A62" s="12" t="s">
        <v>514</v>
      </c>
      <c r="B62" t="s">
        <v>480</v>
      </c>
      <c r="C62" t="str">
        <f t="shared" si="0"/>
        <v>DONALD SPROUSE</v>
      </c>
    </row>
    <row r="63" spans="1:3" x14ac:dyDescent="0.2">
      <c r="A63" s="12" t="s">
        <v>515</v>
      </c>
      <c r="B63" t="s">
        <v>516</v>
      </c>
      <c r="C63" t="str">
        <f t="shared" si="0"/>
        <v>BRIAN COFFMAN</v>
      </c>
    </row>
    <row r="64" spans="1:3" x14ac:dyDescent="0.2">
      <c r="A64" s="13" t="s">
        <v>517</v>
      </c>
      <c r="B64" t="s">
        <v>518</v>
      </c>
      <c r="C64" t="str">
        <f t="shared" si="0"/>
        <v>LORI CARTER</v>
      </c>
    </row>
    <row r="65" spans="1:3" x14ac:dyDescent="0.2">
      <c r="A65" s="13" t="s">
        <v>519</v>
      </c>
      <c r="B65" t="s">
        <v>497</v>
      </c>
      <c r="C65" t="str">
        <f t="shared" si="0"/>
        <v>SUSAN CHANG</v>
      </c>
    </row>
    <row r="66" spans="1:3" x14ac:dyDescent="0.2">
      <c r="A66" s="12" t="s">
        <v>465</v>
      </c>
      <c r="B66" t="s">
        <v>520</v>
      </c>
      <c r="C66" t="str">
        <f t="shared" ref="C66:C129" si="1">CONCATENATE(B66, " ", A66)</f>
        <v>BARBARA CRAIG</v>
      </c>
    </row>
    <row r="67" spans="1:3" x14ac:dyDescent="0.2">
      <c r="A67" s="12" t="s">
        <v>465</v>
      </c>
      <c r="B67" t="s">
        <v>480</v>
      </c>
      <c r="C67" t="str">
        <f t="shared" si="1"/>
        <v>DONALD CRAIG</v>
      </c>
    </row>
    <row r="68" spans="1:3" x14ac:dyDescent="0.2">
      <c r="A68" s="12" t="s">
        <v>521</v>
      </c>
      <c r="B68" t="s">
        <v>522</v>
      </c>
      <c r="C68" t="str">
        <f t="shared" si="1"/>
        <v>DENISE BARNER</v>
      </c>
    </row>
    <row r="69" spans="1:3" x14ac:dyDescent="0.2">
      <c r="A69" s="12" t="s">
        <v>513</v>
      </c>
      <c r="B69" t="s">
        <v>523</v>
      </c>
      <c r="C69" t="str">
        <f t="shared" si="1"/>
        <v>DARCY KELLY</v>
      </c>
    </row>
    <row r="70" spans="1:3" x14ac:dyDescent="0.2">
      <c r="A70" s="12" t="s">
        <v>524</v>
      </c>
      <c r="B70" t="s">
        <v>525</v>
      </c>
      <c r="C70" t="str">
        <f t="shared" si="1"/>
        <v>LYNNE HARPER</v>
      </c>
    </row>
    <row r="71" spans="1:3" x14ac:dyDescent="0.2">
      <c r="A71" s="12" t="s">
        <v>526</v>
      </c>
      <c r="B71" t="s">
        <v>527</v>
      </c>
      <c r="C71" t="str">
        <f t="shared" si="1"/>
        <v>ROBIN GILDEN</v>
      </c>
    </row>
    <row r="72" spans="1:3" x14ac:dyDescent="0.2">
      <c r="A72" s="12" t="s">
        <v>528</v>
      </c>
      <c r="B72" t="s">
        <v>529</v>
      </c>
      <c r="C72" t="str">
        <f t="shared" si="1"/>
        <v>MAUREEN REBMANN</v>
      </c>
    </row>
    <row r="73" spans="1:3" x14ac:dyDescent="0.2">
      <c r="A73" s="12" t="s">
        <v>528</v>
      </c>
      <c r="B73" t="s">
        <v>530</v>
      </c>
      <c r="C73" t="str">
        <f t="shared" si="1"/>
        <v>EDWARD REBMANN</v>
      </c>
    </row>
    <row r="74" spans="1:3" x14ac:dyDescent="0.2">
      <c r="A74" s="12" t="s">
        <v>531</v>
      </c>
      <c r="B74" t="s">
        <v>532</v>
      </c>
      <c r="C74" t="str">
        <f t="shared" si="1"/>
        <v>DAVID SCISCIANI</v>
      </c>
    </row>
    <row r="75" spans="1:3" x14ac:dyDescent="0.2">
      <c r="A75" s="12" t="s">
        <v>533</v>
      </c>
      <c r="B75" t="s">
        <v>534</v>
      </c>
      <c r="C75" t="str">
        <f t="shared" si="1"/>
        <v>DEBRA WILLIAMS</v>
      </c>
    </row>
    <row r="76" spans="1:3" x14ac:dyDescent="0.2">
      <c r="A76" s="12" t="s">
        <v>535</v>
      </c>
      <c r="B76" t="s">
        <v>536</v>
      </c>
      <c r="C76" t="str">
        <f t="shared" si="1"/>
        <v>LISA GRESS</v>
      </c>
    </row>
    <row r="77" spans="1:3" x14ac:dyDescent="0.2">
      <c r="A77" s="4" t="s">
        <v>537</v>
      </c>
      <c r="B77" t="s">
        <v>538</v>
      </c>
      <c r="C77" t="str">
        <f t="shared" si="1"/>
        <v>HAROLD SCHOCH</v>
      </c>
    </row>
    <row r="78" spans="1:3" x14ac:dyDescent="0.2">
      <c r="A78" s="4" t="s">
        <v>537</v>
      </c>
      <c r="B78" t="s">
        <v>538</v>
      </c>
      <c r="C78" t="str">
        <f t="shared" si="1"/>
        <v>HAROLD SCHOCH</v>
      </c>
    </row>
    <row r="79" spans="1:3" x14ac:dyDescent="0.2">
      <c r="A79" s="4" t="s">
        <v>539</v>
      </c>
      <c r="B79" t="s">
        <v>540</v>
      </c>
      <c r="C79" t="str">
        <f t="shared" si="1"/>
        <v>ANN DELLARCO</v>
      </c>
    </row>
    <row r="80" spans="1:3" x14ac:dyDescent="0.2">
      <c r="A80" s="4" t="s">
        <v>541</v>
      </c>
      <c r="B80" t="s">
        <v>534</v>
      </c>
      <c r="C80" t="str">
        <f t="shared" si="1"/>
        <v>DEBRA BECK</v>
      </c>
    </row>
    <row r="81" spans="1:3" x14ac:dyDescent="0.2">
      <c r="A81" s="4" t="s">
        <v>542</v>
      </c>
      <c r="B81" t="s">
        <v>543</v>
      </c>
      <c r="C81" t="str">
        <f t="shared" si="1"/>
        <v>ELIZABETH PARADIS</v>
      </c>
    </row>
    <row r="82" spans="1:3" x14ac:dyDescent="0.2">
      <c r="A82" s="4" t="s">
        <v>544</v>
      </c>
      <c r="B82" t="s">
        <v>545</v>
      </c>
      <c r="C82" t="str">
        <f t="shared" si="1"/>
        <v>LLC DIMEX</v>
      </c>
    </row>
    <row r="83" spans="1:3" x14ac:dyDescent="0.2">
      <c r="A83" s="4" t="s">
        <v>546</v>
      </c>
      <c r="B83" t="s">
        <v>547</v>
      </c>
      <c r="C83" t="str">
        <f t="shared" si="1"/>
        <v>RHONDA ORTEZ</v>
      </c>
    </row>
    <row r="84" spans="1:3" x14ac:dyDescent="0.2">
      <c r="A84" s="4" t="s">
        <v>546</v>
      </c>
      <c r="B84" t="s">
        <v>547</v>
      </c>
      <c r="C84" t="str">
        <f t="shared" si="1"/>
        <v>RHONDA ORTEZ</v>
      </c>
    </row>
    <row r="85" spans="1:3" x14ac:dyDescent="0.2">
      <c r="A85" s="4" t="s">
        <v>548</v>
      </c>
      <c r="B85" t="s">
        <v>549</v>
      </c>
      <c r="C85" t="str">
        <f t="shared" si="1"/>
        <v>KAREN FRANCIERE</v>
      </c>
    </row>
    <row r="86" spans="1:3" x14ac:dyDescent="0.2">
      <c r="A86" s="4" t="s">
        <v>548</v>
      </c>
      <c r="B86" t="s">
        <v>549</v>
      </c>
      <c r="C86" t="str">
        <f t="shared" si="1"/>
        <v>KAREN FRANCIERE</v>
      </c>
    </row>
    <row r="87" spans="1:3" x14ac:dyDescent="0.2">
      <c r="A87" s="4" t="s">
        <v>548</v>
      </c>
      <c r="B87" t="s">
        <v>549</v>
      </c>
      <c r="C87" t="str">
        <f t="shared" si="1"/>
        <v>KAREN FRANCIERE</v>
      </c>
    </row>
    <row r="88" spans="1:3" x14ac:dyDescent="0.2">
      <c r="A88" s="4" t="s">
        <v>550</v>
      </c>
      <c r="B88" t="s">
        <v>551</v>
      </c>
      <c r="C88" t="str">
        <f t="shared" si="1"/>
        <v>KENNETH REAM</v>
      </c>
    </row>
    <row r="89" spans="1:3" x14ac:dyDescent="0.2">
      <c r="A89" s="4" t="s">
        <v>552</v>
      </c>
      <c r="B89" t="s">
        <v>466</v>
      </c>
      <c r="C89" t="str">
        <f t="shared" si="1"/>
        <v>SHARON STOUDT</v>
      </c>
    </row>
    <row r="90" spans="1:3" x14ac:dyDescent="0.2">
      <c r="A90" s="4" t="s">
        <v>553</v>
      </c>
      <c r="B90" t="s">
        <v>554</v>
      </c>
      <c r="C90" t="str">
        <f t="shared" si="1"/>
        <v>LESLIE NEWMAN</v>
      </c>
    </row>
    <row r="91" spans="1:3" x14ac:dyDescent="0.2">
      <c r="A91" s="4" t="s">
        <v>555</v>
      </c>
      <c r="B91" t="s">
        <v>556</v>
      </c>
      <c r="C91" t="str">
        <f t="shared" si="1"/>
        <v>ELAINE GREGORY</v>
      </c>
    </row>
    <row r="92" spans="1:3" x14ac:dyDescent="0.2">
      <c r="A92" s="4" t="s">
        <v>557</v>
      </c>
      <c r="B92" t="s">
        <v>558</v>
      </c>
      <c r="C92" t="str">
        <f t="shared" si="1"/>
        <v>KEVIN THOMPSON</v>
      </c>
    </row>
    <row r="93" spans="1:3" x14ac:dyDescent="0.2">
      <c r="A93" s="4" t="s">
        <v>559</v>
      </c>
      <c r="B93" t="s">
        <v>560</v>
      </c>
      <c r="C93" t="str">
        <f t="shared" si="1"/>
        <v>JEROME EDWARDS</v>
      </c>
    </row>
    <row r="94" spans="1:3" x14ac:dyDescent="0.2">
      <c r="A94" s="4" t="s">
        <v>561</v>
      </c>
      <c r="B94" t="s">
        <v>562</v>
      </c>
      <c r="C94" t="str">
        <f t="shared" si="1"/>
        <v>Barbara Johnston</v>
      </c>
    </row>
    <row r="95" spans="1:3" x14ac:dyDescent="0.2">
      <c r="A95" s="4" t="s">
        <v>563</v>
      </c>
      <c r="B95" t="s">
        <v>564</v>
      </c>
      <c r="C95" t="str">
        <f t="shared" si="1"/>
        <v>Michelle McCorkle</v>
      </c>
    </row>
    <row r="96" spans="1:3" x14ac:dyDescent="0.2">
      <c r="A96" s="4" t="s">
        <v>565</v>
      </c>
      <c r="B96" t="s">
        <v>566</v>
      </c>
      <c r="C96" t="str">
        <f t="shared" si="1"/>
        <v>DAWN BUSH</v>
      </c>
    </row>
    <row r="97" spans="1:3" x14ac:dyDescent="0.2">
      <c r="A97" s="4" t="s">
        <v>565</v>
      </c>
      <c r="B97" t="s">
        <v>566</v>
      </c>
      <c r="C97" t="str">
        <f t="shared" si="1"/>
        <v>DAWN BUSH</v>
      </c>
    </row>
    <row r="98" spans="1:3" x14ac:dyDescent="0.2">
      <c r="A98" s="15" t="s">
        <v>567</v>
      </c>
      <c r="B98" t="s">
        <v>519</v>
      </c>
      <c r="C98" t="str">
        <f t="shared" si="1"/>
        <v>CHANG THORPE</v>
      </c>
    </row>
    <row r="99" spans="1:3" x14ac:dyDescent="0.2">
      <c r="A99" s="15" t="s">
        <v>567</v>
      </c>
      <c r="B99" t="s">
        <v>519</v>
      </c>
      <c r="C99" t="str">
        <f t="shared" si="1"/>
        <v>CHANG THORPE</v>
      </c>
    </row>
    <row r="100" spans="1:3" x14ac:dyDescent="0.2">
      <c r="A100" s="4" t="s">
        <v>568</v>
      </c>
      <c r="B100" t="s">
        <v>569</v>
      </c>
      <c r="C100" t="str">
        <f t="shared" si="1"/>
        <v>VICKY DOWNS</v>
      </c>
    </row>
    <row r="101" spans="1:3" x14ac:dyDescent="0.2">
      <c r="A101" s="4" t="s">
        <v>570</v>
      </c>
      <c r="B101" t="s">
        <v>571</v>
      </c>
      <c r="C101" t="str">
        <f t="shared" si="1"/>
        <v>MARILYN COX</v>
      </c>
    </row>
    <row r="102" spans="1:3" x14ac:dyDescent="0.2">
      <c r="A102" s="4" t="s">
        <v>572</v>
      </c>
      <c r="B102" t="s">
        <v>573</v>
      </c>
      <c r="C102" t="str">
        <f t="shared" si="1"/>
        <v>TRINH TRIEU</v>
      </c>
    </row>
    <row r="103" spans="1:3" x14ac:dyDescent="0.2">
      <c r="A103" s="4" t="s">
        <v>574</v>
      </c>
      <c r="B103" t="s">
        <v>575</v>
      </c>
      <c r="C103" t="str">
        <f t="shared" si="1"/>
        <v>CAROLINE LAGUIMON</v>
      </c>
    </row>
    <row r="104" spans="1:3" x14ac:dyDescent="0.2">
      <c r="A104" s="4" t="s">
        <v>576</v>
      </c>
      <c r="B104" t="s">
        <v>577</v>
      </c>
      <c r="C104" t="str">
        <f t="shared" si="1"/>
        <v>MARIA BIBIAN</v>
      </c>
    </row>
    <row r="105" spans="1:3" x14ac:dyDescent="0.2">
      <c r="A105" s="4" t="s">
        <v>576</v>
      </c>
      <c r="B105" t="s">
        <v>577</v>
      </c>
      <c r="C105" t="str">
        <f t="shared" si="1"/>
        <v>MARIA BIBIAN</v>
      </c>
    </row>
    <row r="106" spans="1:3" x14ac:dyDescent="0.2">
      <c r="A106" s="4" t="s">
        <v>578</v>
      </c>
      <c r="B106" t="s">
        <v>579</v>
      </c>
      <c r="C106" t="str">
        <f t="shared" si="1"/>
        <v>JENNIFER STOLTZ</v>
      </c>
    </row>
    <row r="107" spans="1:3" x14ac:dyDescent="0.2">
      <c r="A107" s="4" t="s">
        <v>578</v>
      </c>
      <c r="B107" t="s">
        <v>579</v>
      </c>
      <c r="C107" t="str">
        <f t="shared" si="1"/>
        <v>JENNIFER STOLTZ</v>
      </c>
    </row>
    <row r="108" spans="1:3" x14ac:dyDescent="0.2">
      <c r="A108" s="4" t="s">
        <v>580</v>
      </c>
      <c r="B108" t="s">
        <v>581</v>
      </c>
      <c r="C108" t="str">
        <f t="shared" si="1"/>
        <v>KAY WILLIES</v>
      </c>
    </row>
    <row r="109" spans="1:3" x14ac:dyDescent="0.2">
      <c r="A109" s="4" t="s">
        <v>580</v>
      </c>
      <c r="B109" t="s">
        <v>581</v>
      </c>
      <c r="C109" t="str">
        <f t="shared" si="1"/>
        <v>KAY WILLIES</v>
      </c>
    </row>
    <row r="110" spans="1:3" x14ac:dyDescent="0.2">
      <c r="A110" s="4" t="s">
        <v>582</v>
      </c>
      <c r="B110" t="s">
        <v>583</v>
      </c>
      <c r="C110" t="str">
        <f t="shared" si="1"/>
        <v>ABIGAIL ELLIOTT</v>
      </c>
    </row>
    <row r="111" spans="1:3" x14ac:dyDescent="0.2">
      <c r="A111" s="4" t="s">
        <v>584</v>
      </c>
      <c r="B111" t="s">
        <v>585</v>
      </c>
      <c r="C111" t="str">
        <f t="shared" si="1"/>
        <v>MICHAEL POLLARD</v>
      </c>
    </row>
    <row r="112" spans="1:3" x14ac:dyDescent="0.2">
      <c r="A112" s="4" t="s">
        <v>584</v>
      </c>
      <c r="B112" t="s">
        <v>585</v>
      </c>
      <c r="C112" t="str">
        <f t="shared" si="1"/>
        <v>MICHAEL POLLARD</v>
      </c>
    </row>
    <row r="113" spans="1:3" x14ac:dyDescent="0.2">
      <c r="A113" s="4" t="s">
        <v>586</v>
      </c>
      <c r="B113" t="s">
        <v>587</v>
      </c>
      <c r="C113" t="str">
        <f t="shared" si="1"/>
        <v>ROSEANN GRAY</v>
      </c>
    </row>
    <row r="114" spans="1:3" x14ac:dyDescent="0.2">
      <c r="A114" s="4" t="s">
        <v>588</v>
      </c>
      <c r="B114" t="s">
        <v>589</v>
      </c>
      <c r="C114" t="str">
        <f t="shared" si="1"/>
        <v>NICOMEDES SILVA</v>
      </c>
    </row>
    <row r="115" spans="1:3" x14ac:dyDescent="0.2">
      <c r="A115" s="4" t="s">
        <v>590</v>
      </c>
      <c r="B115" t="s">
        <v>591</v>
      </c>
      <c r="C115" t="str">
        <f t="shared" si="1"/>
        <v>DANIEL ZERBY</v>
      </c>
    </row>
    <row r="116" spans="1:3" x14ac:dyDescent="0.2">
      <c r="A116" s="4" t="s">
        <v>590</v>
      </c>
      <c r="B116" t="s">
        <v>591</v>
      </c>
      <c r="C116" t="str">
        <f t="shared" si="1"/>
        <v>DANIEL ZERBY</v>
      </c>
    </row>
    <row r="117" spans="1:3" x14ac:dyDescent="0.2">
      <c r="A117" s="4" t="s">
        <v>590</v>
      </c>
      <c r="B117" t="s">
        <v>591</v>
      </c>
      <c r="C117" t="str">
        <f t="shared" si="1"/>
        <v>DANIEL ZERBY</v>
      </c>
    </row>
    <row r="118" spans="1:3" s="14" customFormat="1" x14ac:dyDescent="0.2">
      <c r="A118" s="13" t="s">
        <v>592</v>
      </c>
      <c r="B118" s="14" t="s">
        <v>593</v>
      </c>
      <c r="C118" t="str">
        <f t="shared" si="1"/>
        <v>COUNSELING JMM</v>
      </c>
    </row>
    <row r="119" spans="1:3" s="14" customFormat="1" x14ac:dyDescent="0.2">
      <c r="A119" s="13" t="s">
        <v>594</v>
      </c>
      <c r="B119" s="14" t="s">
        <v>595</v>
      </c>
      <c r="C119" t="str">
        <f t="shared" si="1"/>
        <v>HEART HEAD</v>
      </c>
    </row>
    <row r="120" spans="1:3" s="14" customFormat="1" x14ac:dyDescent="0.2">
      <c r="A120" s="13" t="s">
        <v>596</v>
      </c>
      <c r="B120" s="14" t="s">
        <v>597</v>
      </c>
      <c r="C120" t="str">
        <f t="shared" si="1"/>
        <v>PSYCHOLOGY RELATIONAL</v>
      </c>
    </row>
    <row r="121" spans="1:3" s="14" customFormat="1" x14ac:dyDescent="0.2">
      <c r="A121" s="13" t="s">
        <v>592</v>
      </c>
      <c r="B121" s="14" t="s">
        <v>593</v>
      </c>
      <c r="C121" t="str">
        <f t="shared" si="1"/>
        <v>COUNSELING JMM</v>
      </c>
    </row>
    <row r="122" spans="1:3" s="14" customFormat="1" x14ac:dyDescent="0.2">
      <c r="A122" s="13" t="s">
        <v>594</v>
      </c>
      <c r="B122" s="14" t="s">
        <v>595</v>
      </c>
      <c r="C122" t="str">
        <f t="shared" si="1"/>
        <v>HEART HEAD</v>
      </c>
    </row>
    <row r="123" spans="1:3" s="14" customFormat="1" x14ac:dyDescent="0.2">
      <c r="A123" s="13" t="s">
        <v>596</v>
      </c>
      <c r="B123" s="14" t="s">
        <v>597</v>
      </c>
      <c r="C123" t="str">
        <f t="shared" si="1"/>
        <v>PSYCHOLOGY RELATIONAL</v>
      </c>
    </row>
    <row r="124" spans="1:3" x14ac:dyDescent="0.2">
      <c r="A124" s="4" t="s">
        <v>598</v>
      </c>
      <c r="B124" t="s">
        <v>599</v>
      </c>
      <c r="C124" t="str">
        <f t="shared" si="1"/>
        <v>DONNA DEUSTER</v>
      </c>
    </row>
    <row r="125" spans="1:3" x14ac:dyDescent="0.2">
      <c r="A125" s="4" t="s">
        <v>600</v>
      </c>
      <c r="B125" t="s">
        <v>551</v>
      </c>
      <c r="C125" t="str">
        <f t="shared" si="1"/>
        <v>KENNETH WEBER</v>
      </c>
    </row>
    <row r="126" spans="1:3" x14ac:dyDescent="0.2">
      <c r="A126" s="4" t="s">
        <v>600</v>
      </c>
      <c r="B126" t="s">
        <v>493</v>
      </c>
      <c r="C126" t="str">
        <f t="shared" si="1"/>
        <v>JANICE WEBER</v>
      </c>
    </row>
    <row r="127" spans="1:3" x14ac:dyDescent="0.2">
      <c r="A127" s="4" t="s">
        <v>600</v>
      </c>
      <c r="B127" t="s">
        <v>551</v>
      </c>
      <c r="C127" t="str">
        <f t="shared" si="1"/>
        <v>KENNETH WEBER</v>
      </c>
    </row>
    <row r="128" spans="1:3" x14ac:dyDescent="0.2">
      <c r="A128" s="4" t="s">
        <v>600</v>
      </c>
      <c r="B128" t="s">
        <v>493</v>
      </c>
      <c r="C128" t="str">
        <f t="shared" si="1"/>
        <v>JANICE WEBER</v>
      </c>
    </row>
    <row r="129" spans="1:3" x14ac:dyDescent="0.2">
      <c r="A129" s="4" t="s">
        <v>601</v>
      </c>
      <c r="B129" t="s">
        <v>464</v>
      </c>
      <c r="C129" t="str">
        <f t="shared" si="1"/>
        <v>EILEEN ROLINSKAS</v>
      </c>
    </row>
    <row r="130" spans="1:3" x14ac:dyDescent="0.2">
      <c r="A130" s="4" t="s">
        <v>496</v>
      </c>
      <c r="B130" t="s">
        <v>602</v>
      </c>
      <c r="C130" t="str">
        <f t="shared" ref="C130:C156" si="2">CONCATENATE(B130, " ", A130)</f>
        <v>MATTHEW MILLER</v>
      </c>
    </row>
    <row r="131" spans="1:3" x14ac:dyDescent="0.2">
      <c r="A131" s="4" t="s">
        <v>496</v>
      </c>
      <c r="B131" t="s">
        <v>602</v>
      </c>
      <c r="C131" t="str">
        <f t="shared" si="2"/>
        <v>MATTHEW MILLER</v>
      </c>
    </row>
    <row r="132" spans="1:3" x14ac:dyDescent="0.2">
      <c r="A132" s="4" t="s">
        <v>603</v>
      </c>
      <c r="B132" t="s">
        <v>604</v>
      </c>
      <c r="C132" t="str">
        <f t="shared" si="2"/>
        <v>MARK RUSTEMEYER</v>
      </c>
    </row>
    <row r="133" spans="1:3" x14ac:dyDescent="0.2">
      <c r="A133" s="4" t="s">
        <v>603</v>
      </c>
      <c r="B133" t="s">
        <v>604</v>
      </c>
      <c r="C133" t="str">
        <f t="shared" si="2"/>
        <v>MARK RUSTEMEYER</v>
      </c>
    </row>
    <row r="134" spans="1:3" x14ac:dyDescent="0.2">
      <c r="A134" s="4" t="s">
        <v>605</v>
      </c>
      <c r="B134" t="s">
        <v>497</v>
      </c>
      <c r="C134" t="str">
        <f t="shared" si="2"/>
        <v>SUSAN VANDRE</v>
      </c>
    </row>
    <row r="135" spans="1:3" x14ac:dyDescent="0.2">
      <c r="A135" s="4" t="s">
        <v>606</v>
      </c>
      <c r="B135" t="s">
        <v>497</v>
      </c>
      <c r="C135" t="str">
        <f t="shared" si="2"/>
        <v>SUSAN BARNETT</v>
      </c>
    </row>
    <row r="136" spans="1:3" x14ac:dyDescent="0.2">
      <c r="A136" s="4" t="s">
        <v>606</v>
      </c>
      <c r="B136" t="s">
        <v>497</v>
      </c>
      <c r="C136" t="str">
        <f t="shared" si="2"/>
        <v>SUSAN BARNETT</v>
      </c>
    </row>
    <row r="137" spans="1:3" x14ac:dyDescent="0.2">
      <c r="A137" s="4" t="s">
        <v>607</v>
      </c>
      <c r="B137" t="s">
        <v>608</v>
      </c>
      <c r="C137" t="str">
        <f t="shared" si="2"/>
        <v>MARGUERITE YAKULIS</v>
      </c>
    </row>
    <row r="138" spans="1:3" x14ac:dyDescent="0.2">
      <c r="A138" s="4" t="s">
        <v>607</v>
      </c>
      <c r="B138" t="s">
        <v>608</v>
      </c>
      <c r="C138" t="str">
        <f t="shared" si="2"/>
        <v>MARGUERITE YAKULIS</v>
      </c>
    </row>
    <row r="139" spans="1:3" x14ac:dyDescent="0.2">
      <c r="A139" s="4" t="s">
        <v>609</v>
      </c>
      <c r="B139" t="s">
        <v>610</v>
      </c>
      <c r="C139" t="str">
        <f t="shared" si="2"/>
        <v>JERRI ESTELLE</v>
      </c>
    </row>
    <row r="140" spans="1:3" x14ac:dyDescent="0.2">
      <c r="A140" s="4" t="s">
        <v>609</v>
      </c>
      <c r="B140" t="s">
        <v>610</v>
      </c>
      <c r="C140" t="str">
        <f t="shared" si="2"/>
        <v>JERRI ESTELLE</v>
      </c>
    </row>
    <row r="141" spans="1:3" x14ac:dyDescent="0.2">
      <c r="A141" s="4" t="s">
        <v>611</v>
      </c>
      <c r="B141" t="s">
        <v>612</v>
      </c>
      <c r="C141" t="str">
        <f t="shared" si="2"/>
        <v>MARLA STANGL</v>
      </c>
    </row>
    <row r="142" spans="1:3" x14ac:dyDescent="0.2">
      <c r="A142" s="4" t="s">
        <v>611</v>
      </c>
      <c r="B142" t="s">
        <v>612</v>
      </c>
      <c r="C142" t="str">
        <f t="shared" si="2"/>
        <v>MARLA STANGL</v>
      </c>
    </row>
    <row r="143" spans="1:3" x14ac:dyDescent="0.2">
      <c r="A143" s="4" t="s">
        <v>613</v>
      </c>
      <c r="B143" t="s">
        <v>556</v>
      </c>
      <c r="C143" t="str">
        <f t="shared" si="2"/>
        <v>ELAINE GREER</v>
      </c>
    </row>
    <row r="144" spans="1:3" x14ac:dyDescent="0.2">
      <c r="A144" s="4" t="s">
        <v>614</v>
      </c>
      <c r="B144" t="s">
        <v>615</v>
      </c>
      <c r="C144" t="str">
        <f t="shared" si="2"/>
        <v>JANET TOWLE</v>
      </c>
    </row>
    <row r="145" spans="1:3" x14ac:dyDescent="0.2">
      <c r="A145" s="4" t="s">
        <v>616</v>
      </c>
      <c r="B145" t="s">
        <v>617</v>
      </c>
      <c r="C145" t="str">
        <f t="shared" si="2"/>
        <v>ROSEMARIE HUANG</v>
      </c>
    </row>
    <row r="146" spans="1:3" x14ac:dyDescent="0.2">
      <c r="A146" s="4" t="s">
        <v>616</v>
      </c>
      <c r="B146" t="s">
        <v>617</v>
      </c>
      <c r="C146" t="str">
        <f t="shared" si="2"/>
        <v>ROSEMARIE HUANG</v>
      </c>
    </row>
    <row r="147" spans="1:3" x14ac:dyDescent="0.2">
      <c r="A147" s="4" t="s">
        <v>618</v>
      </c>
      <c r="B147" t="s">
        <v>619</v>
      </c>
      <c r="C147" t="str">
        <f t="shared" si="2"/>
        <v>JULIANNE LAPETINA</v>
      </c>
    </row>
    <row r="148" spans="1:3" x14ac:dyDescent="0.2">
      <c r="A148" s="4" t="s">
        <v>618</v>
      </c>
      <c r="B148" t="s">
        <v>619</v>
      </c>
      <c r="C148" t="str">
        <f t="shared" si="2"/>
        <v>JULIANNE LAPETINA</v>
      </c>
    </row>
    <row r="149" spans="1:3" x14ac:dyDescent="0.2">
      <c r="A149" s="4" t="s">
        <v>620</v>
      </c>
      <c r="B149" t="s">
        <v>621</v>
      </c>
      <c r="C149" t="str">
        <f t="shared" si="2"/>
        <v>DOLORES DUNCAN</v>
      </c>
    </row>
    <row r="150" spans="1:3" x14ac:dyDescent="0.2">
      <c r="A150" s="4" t="s">
        <v>622</v>
      </c>
      <c r="B150" t="s">
        <v>623</v>
      </c>
      <c r="C150" t="str">
        <f t="shared" si="2"/>
        <v>BRUCE JORDAN</v>
      </c>
    </row>
    <row r="151" spans="1:3" x14ac:dyDescent="0.2">
      <c r="A151" s="4" t="s">
        <v>622</v>
      </c>
      <c r="B151" t="s">
        <v>623</v>
      </c>
      <c r="C151" t="str">
        <f t="shared" si="2"/>
        <v>BRUCE JORDAN</v>
      </c>
    </row>
    <row r="152" spans="1:3" x14ac:dyDescent="0.2">
      <c r="A152" s="4" t="s">
        <v>624</v>
      </c>
      <c r="B152" t="s">
        <v>571</v>
      </c>
      <c r="C152" t="str">
        <f t="shared" si="2"/>
        <v>MARILYN BIEGEL</v>
      </c>
    </row>
    <row r="153" spans="1:3" x14ac:dyDescent="0.2">
      <c r="A153" s="4" t="s">
        <v>624</v>
      </c>
      <c r="B153" t="s">
        <v>571</v>
      </c>
      <c r="C153" t="str">
        <f t="shared" si="2"/>
        <v>MARILYN BIEGEL</v>
      </c>
    </row>
    <row r="154" spans="1:3" x14ac:dyDescent="0.2">
      <c r="A154" s="4" t="s">
        <v>625</v>
      </c>
      <c r="B154" t="s">
        <v>626</v>
      </c>
      <c r="C154" t="str">
        <f t="shared" si="2"/>
        <v>OYUNCHIMEG CHOIJILSUREN</v>
      </c>
    </row>
    <row r="155" spans="1:3" x14ac:dyDescent="0.2">
      <c r="A155" s="4" t="s">
        <v>625</v>
      </c>
      <c r="B155" t="s">
        <v>626</v>
      </c>
      <c r="C155" t="str">
        <f t="shared" si="2"/>
        <v>OYUNCHIMEG CHOIJILSUREN</v>
      </c>
    </row>
    <row r="156" spans="1:3" x14ac:dyDescent="0.2">
      <c r="A156" s="4" t="s">
        <v>625</v>
      </c>
      <c r="B156" t="s">
        <v>626</v>
      </c>
      <c r="C156" t="str">
        <f t="shared" si="2"/>
        <v>OYUNCHIMEG CHOIJILSUREN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CommissionData_1</vt:lpstr>
      <vt:lpstr>Sheet2</vt:lpstr>
      <vt:lpstr>On hold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2025-03-06T13:40:47Z</dcterms:created>
  <dcterms:modified xsi:type="dcterms:W3CDTF">2025-03-10T20:58:29Z</dcterms:modified>
</cp:coreProperties>
</file>