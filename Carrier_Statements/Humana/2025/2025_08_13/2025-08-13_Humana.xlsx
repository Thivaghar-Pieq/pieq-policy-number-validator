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8-13-25\"/>
    </mc:Choice>
  </mc:AlternateContent>
  <xr:revisionPtr revIDLastSave="0" documentId="13_ncr:9_{81B9A89D-4A01-4B22-8662-133B51EB7D7C}" xr6:coauthVersionLast="47" xr6:coauthVersionMax="47" xr10:uidLastSave="{00000000-0000-0000-0000-000000000000}"/>
  <bookViews>
    <workbookView xWindow="28680" yWindow="-120" windowWidth="29040" windowHeight="16440" activeTab="1" xr2:uid="{C7DB01B8-80EE-42FD-8A42-77D00BF9014A}"/>
  </bookViews>
  <sheets>
    <sheet name="CommissionData_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V4" i="2" l="1"/>
  <c r="V2" i="2"/>
  <c r="V10" i="2"/>
  <c r="V11" i="2"/>
  <c r="V12" i="2"/>
  <c r="V13" i="2"/>
  <c r="V19" i="2"/>
  <c r="V7" i="2"/>
  <c r="V20" i="2"/>
  <c r="V14" i="2"/>
  <c r="V5" i="2"/>
  <c r="V8" i="2"/>
  <c r="V15" i="2"/>
  <c r="V16" i="2"/>
  <c r="V17" i="2"/>
  <c r="V6" i="2"/>
  <c r="V21" i="2"/>
  <c r="V18" i="2"/>
  <c r="V9" i="2"/>
  <c r="V25" i="2"/>
  <c r="V26" i="2"/>
  <c r="V23" i="2"/>
  <c r="V24" i="2"/>
  <c r="V22" i="2"/>
  <c r="V27" i="2"/>
  <c r="V31" i="2"/>
  <c r="V32" i="2"/>
  <c r="V33" i="2"/>
  <c r="V30" i="2"/>
  <c r="V34" i="2"/>
  <c r="V28" i="2"/>
  <c r="V29" i="2"/>
  <c r="V50" i="2"/>
  <c r="V139" i="2"/>
  <c r="V140" i="2"/>
  <c r="V121" i="2"/>
  <c r="V191" i="2"/>
  <c r="V122" i="2"/>
  <c r="V141" i="2"/>
  <c r="V142" i="2"/>
  <c r="V130" i="2"/>
  <c r="V123" i="2"/>
  <c r="V196" i="2"/>
  <c r="V143" i="2"/>
  <c r="V98" i="2"/>
  <c r="V80" i="2"/>
  <c r="V144" i="2"/>
  <c r="V99" i="2"/>
  <c r="V81" i="2"/>
  <c r="V57" i="2"/>
  <c r="V82" i="2"/>
  <c r="V112" i="2"/>
  <c r="V83" i="2"/>
  <c r="V58" i="2"/>
  <c r="V65" i="2"/>
  <c r="V84" i="2"/>
  <c r="V145" i="2"/>
  <c r="V146" i="2"/>
  <c r="V66" i="2"/>
  <c r="V77" i="2"/>
  <c r="V187" i="2"/>
  <c r="V85" i="2"/>
  <c r="V109" i="2"/>
  <c r="V79" i="2"/>
  <c r="V197" i="2"/>
  <c r="V192" i="2"/>
  <c r="V134" i="2"/>
  <c r="V73" i="2"/>
  <c r="V94" i="2"/>
  <c r="V113" i="2"/>
  <c r="V147" i="2"/>
  <c r="V148" i="2"/>
  <c r="V135" i="2"/>
  <c r="V136" i="2"/>
  <c r="V193" i="2"/>
  <c r="V149" i="2"/>
  <c r="V78" i="2"/>
  <c r="V198" i="2"/>
  <c r="V59" i="2"/>
  <c r="V199" i="2"/>
  <c r="V74" i="2"/>
  <c r="V131" i="2"/>
  <c r="V150" i="2"/>
  <c r="V151" i="2"/>
  <c r="V152" i="2"/>
  <c r="V153" i="2"/>
  <c r="V154" i="2"/>
  <c r="V72" i="2"/>
  <c r="V155" i="2"/>
  <c r="V156" i="2"/>
  <c r="V157" i="2"/>
  <c r="V158" i="2"/>
  <c r="V159" i="2"/>
  <c r="V160" i="2"/>
  <c r="V161" i="2"/>
  <c r="V200" i="2"/>
  <c r="V162" i="2"/>
  <c r="V110" i="2"/>
  <c r="V120" i="2"/>
  <c r="V86" i="2"/>
  <c r="V163" i="2"/>
  <c r="V164" i="2"/>
  <c r="V100" i="2"/>
  <c r="V165" i="2"/>
  <c r="V114" i="2"/>
  <c r="V201" i="2"/>
  <c r="V101" i="2"/>
  <c r="V166" i="2"/>
  <c r="V87" i="2"/>
  <c r="V194" i="2"/>
  <c r="V69" i="2"/>
  <c r="V51" i="2"/>
  <c r="V124" i="2"/>
  <c r="V167" i="2"/>
  <c r="V54" i="2"/>
  <c r="V60" i="2"/>
  <c r="V168" i="2"/>
  <c r="V169" i="2"/>
  <c r="V170" i="2"/>
  <c r="V102" i="2"/>
  <c r="V70" i="2"/>
  <c r="V171" i="2"/>
  <c r="V172" i="2"/>
  <c r="V173" i="2"/>
  <c r="V95" i="2"/>
  <c r="V61" i="2"/>
  <c r="V174" i="2"/>
  <c r="V175" i="2"/>
  <c r="V111" i="2"/>
  <c r="V88" i="2"/>
  <c r="V125" i="2"/>
  <c r="V96" i="2"/>
  <c r="V176" i="2"/>
  <c r="V195" i="2"/>
  <c r="V119" i="2"/>
  <c r="V62" i="2"/>
  <c r="V63" i="2"/>
  <c r="V177" i="2"/>
  <c r="V97" i="2"/>
  <c r="V89" i="2"/>
  <c r="V188" i="2"/>
  <c r="V90" i="2"/>
  <c r="V115" i="2"/>
  <c r="V178" i="2"/>
  <c r="V179" i="2"/>
  <c r="V91" i="2"/>
  <c r="V190" i="2"/>
  <c r="V52" i="2"/>
  <c r="V75" i="2"/>
  <c r="V64" i="2"/>
  <c r="V133" i="2"/>
  <c r="V67" i="2"/>
  <c r="V68" i="2"/>
  <c r="V126" i="2"/>
  <c r="V202" i="2"/>
  <c r="V71" i="2"/>
  <c r="V189" i="2"/>
  <c r="V180" i="2"/>
  <c r="V181" i="2"/>
  <c r="V127" i="2"/>
  <c r="V128" i="2"/>
  <c r="V132" i="2"/>
  <c r="V129" i="2"/>
  <c r="V116" i="2"/>
  <c r="V55" i="2"/>
  <c r="V182" i="2"/>
  <c r="V76" i="2"/>
  <c r="V183" i="2"/>
  <c r="V184" i="2"/>
  <c r="V103" i="2"/>
  <c r="V104" i="2"/>
  <c r="V53" i="2"/>
  <c r="V92" i="2"/>
  <c r="V105" i="2"/>
  <c r="V137" i="2"/>
  <c r="V185" i="2"/>
  <c r="V117" i="2"/>
  <c r="V106" i="2"/>
  <c r="V118" i="2"/>
  <c r="V107" i="2"/>
  <c r="V93" i="2"/>
  <c r="V186" i="2"/>
  <c r="V138" i="2"/>
  <c r="V56" i="2"/>
  <c r="V108" i="2"/>
  <c r="V203" i="2"/>
  <c r="V3" i="2"/>
  <c r="R27" i="2"/>
  <c r="R22" i="2"/>
  <c r="R24" i="2"/>
  <c r="R23" i="2"/>
  <c r="R25" i="2"/>
  <c r="R26" i="2"/>
  <c r="R203" i="2"/>
  <c r="R136" i="2"/>
  <c r="R120" i="2"/>
  <c r="R134" i="2"/>
  <c r="R73" i="2"/>
  <c r="R55" i="2"/>
  <c r="R95" i="2"/>
  <c r="R56" i="2"/>
  <c r="R195" i="2"/>
  <c r="R70" i="2"/>
  <c r="R2" i="2"/>
  <c r="R4" i="2"/>
  <c r="R3" i="2"/>
  <c r="R5" i="2"/>
  <c r="R9" i="2"/>
  <c r="R7" i="2"/>
  <c r="R20" i="2"/>
  <c r="R10" i="2"/>
  <c r="R16" i="2"/>
  <c r="R11" i="2"/>
  <c r="R17" i="2"/>
  <c r="R12" i="2"/>
  <c r="R13" i="2"/>
  <c r="R18" i="2"/>
  <c r="R15" i="2"/>
  <c r="R14" i="2"/>
  <c r="R6" i="2"/>
  <c r="R21" i="2"/>
  <c r="R8" i="2"/>
  <c r="R19" i="2"/>
  <c r="R157" i="2"/>
  <c r="R160" i="2"/>
  <c r="R165" i="2"/>
  <c r="R110" i="2"/>
  <c r="R67" i="2"/>
  <c r="R130" i="2"/>
  <c r="R131" i="2"/>
  <c r="R132" i="2"/>
  <c r="R123" i="2"/>
  <c r="R125" i="2"/>
  <c r="R122" i="2"/>
  <c r="R129" i="2"/>
  <c r="R124" i="2"/>
  <c r="R126" i="2"/>
  <c r="R51" i="2"/>
  <c r="R50" i="2"/>
  <c r="R191" i="2"/>
  <c r="R106" i="2"/>
  <c r="R75" i="2"/>
  <c r="R76" i="2"/>
  <c r="R71" i="2"/>
  <c r="R119" i="2"/>
  <c r="R200" i="2"/>
  <c r="R117" i="2"/>
  <c r="R114" i="2"/>
  <c r="R188" i="2"/>
  <c r="R189" i="2"/>
  <c r="R91" i="2"/>
  <c r="R85" i="2"/>
  <c r="R80" i="2"/>
  <c r="R178" i="2"/>
  <c r="R148" i="2"/>
  <c r="R171" i="2"/>
  <c r="R172" i="2"/>
  <c r="R154" i="2"/>
  <c r="R96" i="2"/>
  <c r="R79" i="2"/>
  <c r="R99" i="2"/>
  <c r="R133" i="2"/>
  <c r="R111" i="2"/>
  <c r="R109" i="2"/>
  <c r="R68" i="2"/>
  <c r="R65" i="2"/>
  <c r="R66" i="2"/>
  <c r="R137" i="2"/>
  <c r="R138" i="2"/>
  <c r="R190" i="2"/>
  <c r="R127" i="2"/>
  <c r="R128" i="2"/>
  <c r="R121" i="2"/>
  <c r="R53" i="2"/>
  <c r="R52" i="2"/>
  <c r="R98" i="2"/>
  <c r="R192" i="2"/>
  <c r="R193" i="2"/>
  <c r="R194" i="2"/>
  <c r="R97" i="2"/>
  <c r="R101" i="2"/>
  <c r="R108" i="2"/>
  <c r="R103" i="2"/>
  <c r="R104" i="2"/>
  <c r="R100" i="2"/>
  <c r="R107" i="2"/>
  <c r="R102" i="2"/>
  <c r="R105" i="2"/>
  <c r="R69" i="2"/>
  <c r="R74" i="2"/>
  <c r="R59" i="2"/>
  <c r="R62" i="2"/>
  <c r="R57" i="2"/>
  <c r="R58" i="2"/>
  <c r="R63" i="2"/>
  <c r="R60" i="2"/>
  <c r="R64" i="2"/>
  <c r="R61" i="2"/>
  <c r="R197" i="2"/>
  <c r="R198" i="2"/>
  <c r="R201" i="2"/>
  <c r="R202" i="2"/>
  <c r="R199" i="2"/>
  <c r="R196" i="2"/>
  <c r="R116" i="2"/>
  <c r="R118" i="2"/>
  <c r="R112" i="2"/>
  <c r="R113" i="2"/>
  <c r="R115" i="2"/>
  <c r="R187" i="2"/>
  <c r="R78" i="2"/>
  <c r="R77" i="2"/>
  <c r="R87" i="2"/>
  <c r="R90" i="2"/>
  <c r="R81" i="2"/>
  <c r="R88" i="2"/>
  <c r="R82" i="2"/>
  <c r="R93" i="2"/>
  <c r="R89" i="2"/>
  <c r="R83" i="2"/>
  <c r="R86" i="2"/>
  <c r="R84" i="2"/>
  <c r="R92" i="2"/>
  <c r="R158" i="2"/>
  <c r="R177" i="2"/>
  <c r="R149" i="2"/>
  <c r="R147" i="2"/>
  <c r="R186" i="2"/>
  <c r="R142" i="2"/>
  <c r="R162" i="2"/>
  <c r="R153" i="2"/>
  <c r="R176" i="2"/>
  <c r="R166" i="2"/>
  <c r="R139" i="2"/>
  <c r="R161" i="2"/>
  <c r="R173" i="2"/>
  <c r="R175" i="2"/>
  <c r="R185" i="2"/>
  <c r="R170" i="2"/>
  <c r="R156" i="2"/>
  <c r="R184" i="2"/>
  <c r="R146" i="2"/>
  <c r="R145" i="2"/>
  <c r="R181" i="2"/>
  <c r="R179" i="2"/>
  <c r="R159" i="2"/>
  <c r="R169" i="2"/>
  <c r="R152" i="2"/>
  <c r="R151" i="2"/>
  <c r="R141" i="2"/>
  <c r="R164" i="2"/>
  <c r="R150" i="2"/>
  <c r="R155" i="2"/>
  <c r="R143" i="2"/>
  <c r="R180" i="2"/>
  <c r="R174" i="2"/>
  <c r="R163" i="2"/>
  <c r="R183" i="2"/>
  <c r="R182" i="2"/>
  <c r="R168" i="2"/>
  <c r="R144" i="2"/>
  <c r="R167" i="2"/>
  <c r="R140" i="2"/>
  <c r="R54" i="2"/>
  <c r="R94" i="2"/>
  <c r="R135" i="2"/>
  <c r="R72" i="2"/>
  <c r="R30" i="2"/>
  <c r="R28" i="2"/>
  <c r="R32" i="2"/>
  <c r="R33" i="2"/>
  <c r="R34" i="2"/>
  <c r="R31" i="2"/>
  <c r="R29" i="2"/>
  <c r="R49" i="2"/>
  <c r="R48" i="2"/>
  <c r="R47" i="2"/>
  <c r="R36" i="2"/>
  <c r="R38" i="2"/>
  <c r="R46" i="2"/>
  <c r="R45" i="2"/>
  <c r="R35" i="2"/>
  <c r="R37" i="2"/>
  <c r="R44" i="2"/>
  <c r="R43" i="2"/>
  <c r="R42" i="2"/>
  <c r="R41" i="2"/>
  <c r="R40" i="2"/>
  <c r="R39" i="2"/>
</calcChain>
</file>

<file path=xl/sharedStrings.xml><?xml version="1.0" encoding="utf-8"?>
<sst xmlns="http://schemas.openxmlformats.org/spreadsheetml/2006/main" count="8296" uniqueCount="854">
  <si>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</si>
  <si>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</si>
  <si>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</si>
  <si>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</si>
  <si>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</si>
  <si>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</si>
  <si>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</si>
  <si>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</si>
  <si>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</si>
  <si>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</si>
  <si>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</si>
  <si>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</si>
  <si>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</si>
  <si>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</si>
  <si>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</si>
  <si>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</si>
  <si>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</si>
  <si>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</si>
  <si>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</si>
  <si>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</si>
  <si>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</si>
  <si>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</si>
  <si>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</si>
  <si>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</si>
  <si>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</si>
  <si>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</si>
  <si>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</si>
  <si>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</si>
  <si>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</si>
  <si>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</si>
  <si>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</si>
  <si>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</si>
  <si>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</si>
  <si>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</si>
  <si>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</si>
  <si>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</si>
  <si>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</si>
  <si>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</si>
  <si>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</si>
  <si>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</si>
  <si>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</si>
  <si>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</si>
  <si>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</si>
  <si>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</si>
  <si>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</si>
  <si>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</si>
  <si>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</si>
  <si>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</si>
  <si>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AUG</t>
  </si>
  <si>
    <t>R</t>
  </si>
  <si>
    <t>MEDICARE</t>
  </si>
  <si>
    <t>MER</t>
  </si>
  <si>
    <t>RENEWAL COMMISSIONS</t>
  </si>
  <si>
    <t>ARCM</t>
  </si>
  <si>
    <t>H1036</t>
  </si>
  <si>
    <t>HORN JEFFREY E</t>
  </si>
  <si>
    <t>DRUCKER DONNA L</t>
  </si>
  <si>
    <t>00022413863K</t>
  </si>
  <si>
    <t>H1468</t>
  </si>
  <si>
    <t>LISKOVEC FRANK E</t>
  </si>
  <si>
    <t>ENWIA MAURICE M</t>
  </si>
  <si>
    <t>00022077277K</t>
  </si>
  <si>
    <t>MEP</t>
  </si>
  <si>
    <t>H5216</t>
  </si>
  <si>
    <t>PAVLOVIC DRAGISA</t>
  </si>
  <si>
    <t>00022107554K</t>
  </si>
  <si>
    <t>NIKOLOVA SNEJANKA S</t>
  </si>
  <si>
    <t>00023545006K</t>
  </si>
  <si>
    <t>2KN0R09FP49</t>
  </si>
  <si>
    <t>SEP</t>
  </si>
  <si>
    <t>F</t>
  </si>
  <si>
    <t>FIRST YEAR COMMISSIONS</t>
  </si>
  <si>
    <t>ARCF</t>
  </si>
  <si>
    <t>CHOI ANDREW J</t>
  </si>
  <si>
    <t>MCGARY JOHN G</t>
  </si>
  <si>
    <t>00022193283K</t>
  </si>
  <si>
    <t>TEIPEL GREGORY K</t>
  </si>
  <si>
    <t>ALTOM SHARON L</t>
  </si>
  <si>
    <t>00017785577K</t>
  </si>
  <si>
    <t>MCDANIEL RICKEY</t>
  </si>
  <si>
    <t>00020297143K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</si>
  <si>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</si>
  <si>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</si>
  <si>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</si>
  <si>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</si>
  <si>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</si>
  <si>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</si>
  <si>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</si>
  <si>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</si>
  <si>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</si>
  <si>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</si>
  <si>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</si>
  <si>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</si>
  <si>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</si>
  <si>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</si>
  <si>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</si>
  <si>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</si>
  <si>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</si>
  <si>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</si>
  <si>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</si>
  <si>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</si>
  <si>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</si>
  <si>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</si>
  <si>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</si>
  <si>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</si>
  <si>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</si>
  <si>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</si>
  <si>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</si>
  <si>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</si>
  <si>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</si>
  <si>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</si>
  <si>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</si>
  <si>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</si>
  <si>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</si>
  <si>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</si>
  <si>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</si>
  <si>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</si>
  <si>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</si>
  <si>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</si>
  <si>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</si>
  <si>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</si>
  <si>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</si>
  <si>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</si>
  <si>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</si>
  <si>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</si>
  <si>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</si>
  <si>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</si>
  <si>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</si>
  <si>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</si>
  <si>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</si>
  <si>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</si>
  <si>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</si>
  <si>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</si>
  <si>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</si>
  <si>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</si>
  <si>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</si>
  <si>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</si>
  <si>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HEIN MICHAEL D</t>
  </si>
  <si>
    <t>00021503102K</t>
  </si>
  <si>
    <t>MCVICKER CATHY L</t>
  </si>
  <si>
    <t>00021538841K</t>
  </si>
  <si>
    <t>HULTS III CHARLES W</t>
  </si>
  <si>
    <t>00021559362K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</si>
  <si>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</si>
  <si>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</si>
  <si>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</si>
  <si>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</si>
  <si>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</si>
  <si>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</si>
  <si>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</si>
  <si>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</si>
  <si>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ALTOM LONNIE L</t>
  </si>
  <si>
    <t>00021686716K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</si>
  <si>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</si>
  <si>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</si>
  <si>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</si>
  <si>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</si>
  <si>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</si>
  <si>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</si>
  <si>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IRIZARRY DOLLY M</t>
  </si>
  <si>
    <t>00021883866K</t>
  </si>
  <si>
    <t>BAKKER GAY A</t>
  </si>
  <si>
    <t>00021999707K</t>
  </si>
  <si>
    <t>YAKULIS ALEX G</t>
  </si>
  <si>
    <t>00022033067K</t>
  </si>
  <si>
    <t>HILBURN JAMES E</t>
  </si>
  <si>
    <t>00022049020K</t>
  </si>
  <si>
    <t>FRIESE SUZI B</t>
  </si>
  <si>
    <t>00022070044K</t>
  </si>
  <si>
    <t>FOLLANSBEE MIKE R</t>
  </si>
  <si>
    <t>00022074715K</t>
  </si>
  <si>
    <t>GILBERT JEFFREY S</t>
  </si>
  <si>
    <t>00022077130K</t>
  </si>
  <si>
    <t>RODGERS LORI L</t>
  </si>
  <si>
    <t>00022078841K</t>
  </si>
  <si>
    <t>RATHGEB THEROLD J</t>
  </si>
  <si>
    <t>00022351069K</t>
  </si>
  <si>
    <t>HOEKS LINDA L</t>
  </si>
  <si>
    <t>00022602838K</t>
  </si>
  <si>
    <t>HUNSBERGER ANTHONY J</t>
  </si>
  <si>
    <t>WALTHERS GERRI F</t>
  </si>
  <si>
    <t>00010066661K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</si>
  <si>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</si>
  <si>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</si>
  <si>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</si>
  <si>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</si>
  <si>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</si>
  <si>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</si>
  <si>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</si>
  <si>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</si>
  <si>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</si>
  <si>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</si>
  <si>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</si>
  <si>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</si>
  <si>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</si>
  <si>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</si>
  <si>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</si>
  <si>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</si>
  <si>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</si>
  <si>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</si>
  <si>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</si>
  <si>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</si>
  <si>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</si>
  <si>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</si>
  <si>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</si>
  <si>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</si>
  <si>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</si>
  <si>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</si>
  <si>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HOFFMANN JASON R</t>
  </si>
  <si>
    <t>COSTA DANIEL A</t>
  </si>
  <si>
    <t>00020444605K</t>
  </si>
  <si>
    <t>HAUGH CLAIRE C</t>
  </si>
  <si>
    <t>00020570339K</t>
  </si>
  <si>
    <t>H6622</t>
  </si>
  <si>
    <t>TAYLOR THOMAS E</t>
  </si>
  <si>
    <t>00021167294K</t>
  </si>
  <si>
    <t>MCKENNA MICHAEL M</t>
  </si>
  <si>
    <t>00021622015K</t>
  </si>
  <si>
    <t>GIOVINCO MARY E</t>
  </si>
  <si>
    <t>00021801538K</t>
  </si>
  <si>
    <t>WALENGA DALE J</t>
  </si>
  <si>
    <t>SHELTON SHIRLEY A</t>
  </si>
  <si>
    <t>00022083688K</t>
  </si>
  <si>
    <t>DIEDERICH ROBIN L</t>
  </si>
  <si>
    <t>00022235665K</t>
  </si>
  <si>
    <t>RICHMOND RALPH H</t>
  </si>
  <si>
    <t>00022763707K</t>
  </si>
  <si>
    <t>ROLLER JASON</t>
  </si>
  <si>
    <t>JENSEN KAREN A</t>
  </si>
  <si>
    <t>00023550119K</t>
  </si>
  <si>
    <t>7UX7KE4XV33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</si>
  <si>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</si>
  <si>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</si>
  <si>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</si>
  <si>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</si>
  <si>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</si>
  <si>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</si>
  <si>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</si>
  <si>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</si>
  <si>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</si>
  <si>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</si>
  <si>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</si>
  <si>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</si>
  <si>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</si>
  <si>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</si>
  <si>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</si>
  <si>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</si>
  <si>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</si>
  <si>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DAUGHERTY MATTHEW</t>
  </si>
  <si>
    <t>YOUNG LISA L</t>
  </si>
  <si>
    <t>00023539684K</t>
  </si>
  <si>
    <t>9XM9QE6DN00</t>
  </si>
  <si>
    <t>NOV</t>
  </si>
  <si>
    <t>TIBALDI MARILYN</t>
  </si>
  <si>
    <t>00023554173K</t>
  </si>
  <si>
    <t>1WM8MN7WY56</t>
  </si>
  <si>
    <t>YALE RICHARD A A</t>
  </si>
  <si>
    <t>HUSTON MARY C</t>
  </si>
  <si>
    <t>00011182221K</t>
  </si>
  <si>
    <t>BOUBEL LARRY E</t>
  </si>
  <si>
    <t>00020195670K</t>
  </si>
  <si>
    <t>HALLMAN TERRANCE P</t>
  </si>
  <si>
    <t>00021938736K</t>
  </si>
  <si>
    <t>SHAKER ELLEN K</t>
  </si>
  <si>
    <t>00022085271K</t>
  </si>
  <si>
    <t>KNOX ANNETTE</t>
  </si>
  <si>
    <t>00022137026K</t>
  </si>
  <si>
    <t>GONET MALGORZATA</t>
  </si>
  <si>
    <t>00022466880K</t>
  </si>
  <si>
    <t>DUNCAN DOLORES M</t>
  </si>
  <si>
    <t>00022688863K</t>
  </si>
  <si>
    <t>RICHTER PETER L</t>
  </si>
  <si>
    <t>PRYCE DIANA V</t>
  </si>
  <si>
    <t>00020589444K</t>
  </si>
  <si>
    <t>GESKE HEATHER M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</si>
  <si>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</si>
  <si>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</si>
  <si>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</si>
  <si>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</si>
  <si>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</si>
  <si>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</si>
  <si>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</si>
  <si>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</si>
  <si>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O BRIEN MARIANNE M</t>
  </si>
  <si>
    <t>00016845150K</t>
  </si>
  <si>
    <t>SCARDINA FRANK J</t>
  </si>
  <si>
    <t>00021892187K</t>
  </si>
  <si>
    <t>MCGRAIL PATRICIA A</t>
  </si>
  <si>
    <t>00021908647K</t>
  </si>
  <si>
    <t>RANCE ALEXANDER B</t>
  </si>
  <si>
    <t>00021937596K</t>
  </si>
  <si>
    <t>CHINDERLE BRIAN T</t>
  </si>
  <si>
    <t>00021970944K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</si>
  <si>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</si>
  <si>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</si>
  <si>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</si>
  <si>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</si>
  <si>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</si>
  <si>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</si>
  <si>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HANSFORD GREGORY</t>
  </si>
  <si>
    <t>HAYDEN JR JESSE R</t>
  </si>
  <si>
    <t>00022904522K</t>
  </si>
  <si>
    <t>3YM4RQ0JC89</t>
  </si>
  <si>
    <t>JAN</t>
  </si>
  <si>
    <t>HERRERA-LARSEN ESTHER M</t>
  </si>
  <si>
    <t>HAMILTON DONNIE L</t>
  </si>
  <si>
    <t>00001672119K</t>
  </si>
  <si>
    <t>TORRES RUBEN</t>
  </si>
  <si>
    <t>00013131759K</t>
  </si>
  <si>
    <t>SANCHEZ ANTONIO</t>
  </si>
  <si>
    <t>00022671607K</t>
  </si>
  <si>
    <t>ELIGIO VIANEY</t>
  </si>
  <si>
    <t>00023554373K</t>
  </si>
  <si>
    <t>8MG6DU8HY43</t>
  </si>
  <si>
    <t>FOLEY CAROL</t>
  </si>
  <si>
    <t>ORLANDO RICKY R</t>
  </si>
  <si>
    <t>00022112017K</t>
  </si>
  <si>
    <t>MIRKOVIC ZAGORKA</t>
  </si>
  <si>
    <t>00023543293K</t>
  </si>
  <si>
    <t>5VG2CY0FW81</t>
  </si>
  <si>
    <t>INSKIPT DEBORAH L</t>
  </si>
  <si>
    <t>LUNDY BERNIDETTA M</t>
  </si>
  <si>
    <t>00006588811K</t>
  </si>
  <si>
    <t>MONACELLI JOCELYN K</t>
  </si>
  <si>
    <t>00010536959K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</si>
  <si>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</si>
  <si>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</si>
  <si>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</si>
  <si>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</si>
  <si>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</si>
  <si>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</si>
  <si>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</si>
  <si>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</si>
  <si>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</si>
  <si>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</si>
  <si>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</si>
  <si>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</si>
  <si>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BASHLINE MARGARET A</t>
  </si>
  <si>
    <t>00021969632K</t>
  </si>
  <si>
    <t>DUNBAR DOLORES V</t>
  </si>
  <si>
    <t>LOREY MONICA L</t>
  </si>
  <si>
    <t>00022242482K</t>
  </si>
  <si>
    <t>PORTUGAL GARY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</si>
  <si>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</si>
  <si>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</si>
  <si>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</si>
  <si>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</si>
  <si>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</si>
  <si>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</si>
  <si>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</si>
  <si>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</si>
  <si>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</si>
  <si>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</si>
  <si>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</si>
  <si>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</si>
  <si>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ZAFIRIADIS STEVE</t>
  </si>
  <si>
    <t>00022014220K</t>
  </si>
  <si>
    <t>LASSITER JEANA K</t>
  </si>
  <si>
    <t>00022026537K</t>
  </si>
  <si>
    <t>WILSON JUAN A</t>
  </si>
  <si>
    <t>00022646876K</t>
  </si>
  <si>
    <t>LONG PATRICIA M</t>
  </si>
  <si>
    <t>DAVIDHEISER GEORGINE</t>
  </si>
  <si>
    <t>00000854688H</t>
  </si>
  <si>
    <t>MEF</t>
  </si>
  <si>
    <t>H8145</t>
  </si>
  <si>
    <t>REED EILEEN G</t>
  </si>
  <si>
    <t>00021335415K</t>
  </si>
  <si>
    <t>HOCK RAYMOND A</t>
  </si>
  <si>
    <t>00021951591K</t>
  </si>
  <si>
    <t>YALE JACOB D</t>
  </si>
  <si>
    <t>LEWAKOWSKI DAVID L</t>
  </si>
  <si>
    <t>00021881964K</t>
  </si>
  <si>
    <t>ARNOLD PAUL T</t>
  </si>
  <si>
    <t>00021961080K</t>
  </si>
  <si>
    <t>GARRITY MARGARET A</t>
  </si>
  <si>
    <t>00022084599K</t>
  </si>
  <si>
    <t>EATON TERRI L</t>
  </si>
  <si>
    <t>00022241122K</t>
  </si>
  <si>
    <t>PHIPPS LAURA J</t>
  </si>
  <si>
    <t>00023542006K</t>
  </si>
  <si>
    <t>4WW6GH3EQ40</t>
  </si>
  <si>
    <t>MAX RONALD J</t>
  </si>
  <si>
    <t>BROWN TRACEY A</t>
  </si>
  <si>
    <t>00022011876K</t>
  </si>
  <si>
    <t>ABDUL SAADIA S</t>
  </si>
  <si>
    <t>MOHIUDDIN KHAIRUNNISA A</t>
  </si>
  <si>
    <t>00011519472K</t>
  </si>
  <si>
    <t>SALEEM MOHAMMED A</t>
  </si>
  <si>
    <t>00017632868K</t>
  </si>
  <si>
    <t>AKRAM FARZANA</t>
  </si>
  <si>
    <t>00022063091K</t>
  </si>
  <si>
    <t>VAN HORN KATHY S</t>
  </si>
  <si>
    <t>00022386017K</t>
  </si>
  <si>
    <t>LUPOU MARY M</t>
  </si>
  <si>
    <t>00022627896K</t>
  </si>
  <si>
    <t>SANTOS RICARDO D</t>
  </si>
  <si>
    <t>ANTCZAK CHESTER M</t>
  </si>
  <si>
    <t>00021883797K</t>
  </si>
  <si>
    <t>SHAHRUKH SHAZIA</t>
  </si>
  <si>
    <t>00022077041K</t>
  </si>
  <si>
    <t>MADETE SUSAN K</t>
  </si>
  <si>
    <t>00022085971K</t>
  </si>
  <si>
    <t>SMITH JOHN D</t>
  </si>
  <si>
    <t>00022092926K</t>
  </si>
  <si>
    <t>ASEGA HENRY M</t>
  </si>
  <si>
    <t>00022094990K</t>
  </si>
  <si>
    <t>PAUL MARY</t>
  </si>
  <si>
    <t>00022148995K</t>
  </si>
  <si>
    <t>SILVA NICOMEDES C</t>
  </si>
  <si>
    <t>00022406995K</t>
  </si>
  <si>
    <t>SILVA ADELAIDA D</t>
  </si>
  <si>
    <t>00022462923K</t>
  </si>
  <si>
    <t>BORASH PAUL</t>
  </si>
  <si>
    <t>00022659909K</t>
  </si>
  <si>
    <t>WERNER STEVEN D</t>
  </si>
  <si>
    <t>RYAN EDWARD S</t>
  </si>
  <si>
    <t>00021942365K</t>
  </si>
  <si>
    <t>SCHUMANN BARRY L</t>
  </si>
  <si>
    <t>SIMS DEBRA S</t>
  </si>
  <si>
    <t>00017505325K</t>
  </si>
  <si>
    <t>HARBACEK JAMES V</t>
  </si>
  <si>
    <t>00022674415K</t>
  </si>
  <si>
    <t>BECKWITH JAMES E</t>
  </si>
  <si>
    <t>00022698535K</t>
  </si>
  <si>
    <t>TAUGNER CHRISTIAN</t>
  </si>
  <si>
    <t>YOSHIKAWA KAREN</t>
  </si>
  <si>
    <t>00018671925K</t>
  </si>
  <si>
    <t>WEBSTER MARSHA B</t>
  </si>
  <si>
    <t>00021920479K</t>
  </si>
  <si>
    <t>DUNAVANT MICHAEL</t>
  </si>
  <si>
    <t>CONNOR STEVEN J</t>
  </si>
  <si>
    <t>00020751148K</t>
  </si>
  <si>
    <t>SCHEIDENHELM SANDRA L</t>
  </si>
  <si>
    <t>00021976197K</t>
  </si>
  <si>
    <t>CHUBICK CHRISTY L</t>
  </si>
  <si>
    <t>00022217599K</t>
  </si>
  <si>
    <t>SCHUMM MARILYN J</t>
  </si>
  <si>
    <t>00022524693K</t>
  </si>
  <si>
    <t>PORTUGAL STACEY A</t>
  </si>
  <si>
    <t>DRAGONETTI TERESA E</t>
  </si>
  <si>
    <t>00021948322K</t>
  </si>
  <si>
    <t>OSBORNE JOHN P</t>
  </si>
  <si>
    <t>00021970740K</t>
  </si>
  <si>
    <t>JACKSON EUGENE A</t>
  </si>
  <si>
    <t>00022256745K</t>
  </si>
  <si>
    <t>SERIO TOM E</t>
  </si>
  <si>
    <t>SCHABER CAROL</t>
  </si>
  <si>
    <t>00000076874F</t>
  </si>
  <si>
    <t>SHAPIRO ROBERT A</t>
  </si>
  <si>
    <t>GALASINSKI RICHARD B</t>
  </si>
  <si>
    <t>00023509197K</t>
  </si>
  <si>
    <t>1TK2D72AK05</t>
  </si>
  <si>
    <t>ELDRENKAMP JAMES M</t>
  </si>
  <si>
    <t>00023552486K</t>
  </si>
  <si>
    <t>7KV7U11KK33</t>
  </si>
  <si>
    <t>AGUGLIA SCOTT C</t>
  </si>
  <si>
    <t>MCBRIDE JAMES O</t>
  </si>
  <si>
    <t>00021023598K</t>
  </si>
  <si>
    <t>SANDEROCK MARSHA</t>
  </si>
  <si>
    <t>VORIS DANNY K</t>
  </si>
  <si>
    <t>00023545815K</t>
  </si>
  <si>
    <t>4DA4GH6KV04</t>
  </si>
  <si>
    <t>PDP</t>
  </si>
  <si>
    <t>S5884</t>
  </si>
  <si>
    <t>DEATON PAMELA S</t>
  </si>
  <si>
    <t>Patton Andrew</t>
  </si>
  <si>
    <t>9028352660</t>
  </si>
  <si>
    <t>IN</t>
  </si>
  <si>
    <t>CB</t>
  </si>
  <si>
    <t>VISION</t>
  </si>
  <si>
    <t>COMPBENEFITS RENEWAL COMMISSION</t>
  </si>
  <si>
    <t>CRCM</t>
  </si>
  <si>
    <t>TATRO MELISSA</t>
  </si>
  <si>
    <t>KOGUT  AND WILSON LLC</t>
  </si>
  <si>
    <t>000000416672</t>
  </si>
  <si>
    <t>GR</t>
  </si>
  <si>
    <t>EM</t>
  </si>
  <si>
    <t>DENTAL</t>
  </si>
  <si>
    <t>LEE JOEL N</t>
  </si>
  <si>
    <t>WORLDWIDE SOURCING AND SO</t>
  </si>
  <si>
    <t>000000853911</t>
  </si>
  <si>
    <t>Kisner Amy S</t>
  </si>
  <si>
    <t>9007573590</t>
  </si>
  <si>
    <t>TRAINOR JACQUELINE M</t>
  </si>
  <si>
    <t>00000106089A</t>
  </si>
  <si>
    <t>MS</t>
  </si>
  <si>
    <t>MED SUPP RENEWAL ACHIEVE</t>
  </si>
  <si>
    <t>MSRA</t>
  </si>
  <si>
    <t>GERBER ERIC M</t>
  </si>
  <si>
    <t>00001031593A</t>
  </si>
  <si>
    <t>MED SUPP ANNUALIZED STANDARD</t>
  </si>
  <si>
    <t>MSAS</t>
  </si>
  <si>
    <t>ALLEN JENNIFER L</t>
  </si>
  <si>
    <t>00001032231A</t>
  </si>
  <si>
    <t>MILLER DEBRA L</t>
  </si>
  <si>
    <t>00000839470A</t>
  </si>
  <si>
    <t>Casella Penelope A</t>
  </si>
  <si>
    <t>9030804870</t>
  </si>
  <si>
    <t>COMPBENEFITS FIRST YEAR COMMISSION</t>
  </si>
  <si>
    <t>CRCF</t>
  </si>
  <si>
    <t>MCCORKLE MICHELLE</t>
  </si>
  <si>
    <t>Monk Jeffrey</t>
  </si>
  <si>
    <t>9030969870</t>
  </si>
  <si>
    <t>Estakhri Hengameh</t>
  </si>
  <si>
    <t>9030969880</t>
  </si>
  <si>
    <t>Daube Tyler</t>
  </si>
  <si>
    <t>9030982010</t>
  </si>
  <si>
    <t>NC CAPITAL PARTERS LLC</t>
  </si>
  <si>
    <t>000000413180</t>
  </si>
  <si>
    <t>JUL</t>
  </si>
  <si>
    <t>JUN</t>
  </si>
  <si>
    <t>BASIC LIFE</t>
  </si>
  <si>
    <t>BASIC AD&amp;D</t>
  </si>
  <si>
    <t>RAHR BRIDGET K</t>
  </si>
  <si>
    <t>00001031165A</t>
  </si>
  <si>
    <t>STOKES THOMAS L</t>
  </si>
  <si>
    <t>00001031859A</t>
  </si>
  <si>
    <t>Quiram Dana</t>
  </si>
  <si>
    <t>9030996000</t>
  </si>
  <si>
    <t>Humana Group 2025</t>
  </si>
  <si>
    <t>Humana Dental &amp; Vision</t>
  </si>
  <si>
    <t>Humana 2025 CT, PA, DC *</t>
  </si>
  <si>
    <t>Humana MAPD 2025*</t>
  </si>
  <si>
    <t>Humana 2025 CA, NJ*</t>
  </si>
  <si>
    <t>Humana PDP 2025!</t>
  </si>
  <si>
    <t>Humana 65-80 AL, AZ, AR, GA, etc. All Except N OE &amp; UW</t>
  </si>
  <si>
    <t>Humana AL, AZ, AR, GA, etc. Plan N OE &amp; UW</t>
  </si>
  <si>
    <t>[%/$=313][prorate=5/12]</t>
  </si>
  <si>
    <t>[%/$=313][prorate=4/12]</t>
  </si>
  <si>
    <t>[%/$=313][prorate=1/12]</t>
  </si>
  <si>
    <t>[%/$=353][prorate=1/12]</t>
  </si>
  <si>
    <t>[%/$=390][prorate=1/12]</t>
  </si>
  <si>
    <t>[%/$=313][prorate=2/12]</t>
  </si>
  <si>
    <t>BENTLEY</t>
  </si>
  <si>
    <t>MARYCLARE</t>
  </si>
  <si>
    <t>ROBERT</t>
  </si>
  <si>
    <t>MOHIUDDIN</t>
  </si>
  <si>
    <t>KHAIRUNNISA</t>
  </si>
  <si>
    <t>BASHLINE</t>
  </si>
  <si>
    <t>MARGARET</t>
  </si>
  <si>
    <t>THOMAS</t>
  </si>
  <si>
    <t>BROOKS</t>
  </si>
  <si>
    <t>LINDA</t>
  </si>
  <si>
    <t>CLARK</t>
  </si>
  <si>
    <t>DAVIDHEISER</t>
  </si>
  <si>
    <t>GEORGINE</t>
  </si>
  <si>
    <t>HAUGH</t>
  </si>
  <si>
    <t>CLAIRE</t>
  </si>
  <si>
    <t>HOCK</t>
  </si>
  <si>
    <t>RAYMOND</t>
  </si>
  <si>
    <t>LUNDY</t>
  </si>
  <si>
    <t>BERNIDETTA</t>
  </si>
  <si>
    <t>MCBRIDE</t>
  </si>
  <si>
    <t>JAMES</t>
  </si>
  <si>
    <t>MCKENNA</t>
  </si>
  <si>
    <t>MICHAEL</t>
  </si>
  <si>
    <t>MONACELLI</t>
  </si>
  <si>
    <t>JOCELYN</t>
  </si>
  <si>
    <t>NACHREINER</t>
  </si>
  <si>
    <t>RICHARD</t>
  </si>
  <si>
    <t>ORLANDO</t>
  </si>
  <si>
    <t>RICKY</t>
  </si>
  <si>
    <t>POOLE</t>
  </si>
  <si>
    <t>TINA</t>
  </si>
  <si>
    <t>SABOL</t>
  </si>
  <si>
    <t>JOSEPH</t>
  </si>
  <si>
    <t>TAYLOR</t>
  </si>
  <si>
    <t>ALLEN</t>
  </si>
  <si>
    <t>JENNIFER</t>
  </si>
  <si>
    <t>GERBER</t>
  </si>
  <si>
    <t>ERIC</t>
  </si>
  <si>
    <t>MILLER</t>
  </si>
  <si>
    <t>DEBRA</t>
  </si>
  <si>
    <t>RAHR</t>
  </si>
  <si>
    <t>BRIDGET</t>
  </si>
  <si>
    <t>STOKES</t>
  </si>
  <si>
    <t>TRAINOR</t>
  </si>
  <si>
    <t>JACQUELINE</t>
  </si>
  <si>
    <t>Casella</t>
  </si>
  <si>
    <t>Penelope</t>
  </si>
  <si>
    <t>Daube</t>
  </si>
  <si>
    <t>Tyler</t>
  </si>
  <si>
    <t>Estakhri</t>
  </si>
  <si>
    <t>Hengameh</t>
  </si>
  <si>
    <t>Kisner</t>
  </si>
  <si>
    <t>Amy</t>
  </si>
  <si>
    <t>Monk</t>
  </si>
  <si>
    <t>Jeffrey</t>
  </si>
  <si>
    <t>Patton</t>
  </si>
  <si>
    <t>Andrew</t>
  </si>
  <si>
    <t>Quiram</t>
  </si>
  <si>
    <t>Dana</t>
  </si>
  <si>
    <t>KOGUT</t>
  </si>
  <si>
    <t>AND</t>
  </si>
  <si>
    <t>WILSON</t>
  </si>
  <si>
    <t>NC</t>
  </si>
  <si>
    <t>CAPITAL</t>
  </si>
  <si>
    <t>WORLDWIDE</t>
  </si>
  <si>
    <t>SOURCING</t>
  </si>
  <si>
    <t>AKRAM</t>
  </si>
  <si>
    <t>FARZANA</t>
  </si>
  <si>
    <t>ALTOM</t>
  </si>
  <si>
    <t>LONNIE</t>
  </si>
  <si>
    <t>SHARON</t>
  </si>
  <si>
    <t>ANTCZAK</t>
  </si>
  <si>
    <t>CHESTER</t>
  </si>
  <si>
    <t>ARNOLD</t>
  </si>
  <si>
    <t>PAUL</t>
  </si>
  <si>
    <t>ASEGA</t>
  </si>
  <si>
    <t>HENRY</t>
  </si>
  <si>
    <t>BAILEY</t>
  </si>
  <si>
    <t>KEVIN</t>
  </si>
  <si>
    <t>BAKKER</t>
  </si>
  <si>
    <t>GAY</t>
  </si>
  <si>
    <t>BECKWITH</t>
  </si>
  <si>
    <t>BORASH</t>
  </si>
  <si>
    <t>BOUBEL</t>
  </si>
  <si>
    <t>LARRY</t>
  </si>
  <si>
    <t>BOYD</t>
  </si>
  <si>
    <t>JODY</t>
  </si>
  <si>
    <t>BROWN</t>
  </si>
  <si>
    <t>TRACEY</t>
  </si>
  <si>
    <t>BRYAN</t>
  </si>
  <si>
    <t>TERRY</t>
  </si>
  <si>
    <t>CADENA</t>
  </si>
  <si>
    <t>PEDRO</t>
  </si>
  <si>
    <t>CARVALHO</t>
  </si>
  <si>
    <t>DONARIA</t>
  </si>
  <si>
    <t>CAVITT</t>
  </si>
  <si>
    <t>LISA</t>
  </si>
  <si>
    <t>CENTENO</t>
  </si>
  <si>
    <t>MARCELINO</t>
  </si>
  <si>
    <t>CHADDERDON</t>
  </si>
  <si>
    <t>GAITSCH</t>
  </si>
  <si>
    <t>CHASE</t>
  </si>
  <si>
    <t>DONNA</t>
  </si>
  <si>
    <t>CHILDS</t>
  </si>
  <si>
    <t>CHINDERLE</t>
  </si>
  <si>
    <t>BRIAN</t>
  </si>
  <si>
    <t>CHUBICK</t>
  </si>
  <si>
    <t>CHRISTY</t>
  </si>
  <si>
    <t>COHEN</t>
  </si>
  <si>
    <t>TODD</t>
  </si>
  <si>
    <t>COLSON</t>
  </si>
  <si>
    <t>BARBARA</t>
  </si>
  <si>
    <t>CONNOR</t>
  </si>
  <si>
    <t>STEVEN</t>
  </si>
  <si>
    <t>COSTA</t>
  </si>
  <si>
    <t>DANIEL</t>
  </si>
  <si>
    <t>DIEDERICH</t>
  </si>
  <si>
    <t>ROBIN</t>
  </si>
  <si>
    <t>DOLPH</t>
  </si>
  <si>
    <t>KRISTY</t>
  </si>
  <si>
    <t>DRAGONETTI</t>
  </si>
  <si>
    <t>TERESA</t>
  </si>
  <si>
    <t>DRUCKER</t>
  </si>
  <si>
    <t>DUNCAN</t>
  </si>
  <si>
    <t>DOLORES</t>
  </si>
  <si>
    <t>EATON</t>
  </si>
  <si>
    <t>TERRI</t>
  </si>
  <si>
    <t>ELDRENKAMP</t>
  </si>
  <si>
    <t>ELIGIO</t>
  </si>
  <si>
    <t>VIANEY</t>
  </si>
  <si>
    <t>ENWIA</t>
  </si>
  <si>
    <t>MAURICE</t>
  </si>
  <si>
    <t>FERRELL</t>
  </si>
  <si>
    <t>CHARLOTTE</t>
  </si>
  <si>
    <t>FOLLANSBEE</t>
  </si>
  <si>
    <t>MIKE</t>
  </si>
  <si>
    <t>FRIESE</t>
  </si>
  <si>
    <t>SUZI</t>
  </si>
  <si>
    <t>GALASINSKI</t>
  </si>
  <si>
    <t>GARRITY</t>
  </si>
  <si>
    <t>GILBERT</t>
  </si>
  <si>
    <t>JEFFREY</t>
  </si>
  <si>
    <t>GIOVINCO</t>
  </si>
  <si>
    <t>MARY</t>
  </si>
  <si>
    <t>GONET</t>
  </si>
  <si>
    <t>MALGORZATA</t>
  </si>
  <si>
    <t>HACKMAN</t>
  </si>
  <si>
    <t>LORRAINE</t>
  </si>
  <si>
    <t>HALLMAN</t>
  </si>
  <si>
    <t>TERRANCE</t>
  </si>
  <si>
    <t>HAMILTON</t>
  </si>
  <si>
    <t>DONNIE</t>
  </si>
  <si>
    <t>HARBACEK</t>
  </si>
  <si>
    <t>HARKER</t>
  </si>
  <si>
    <t>PATRICIA</t>
  </si>
  <si>
    <t>HATFIELD</t>
  </si>
  <si>
    <t>KIM</t>
  </si>
  <si>
    <t>LAWRENCE</t>
  </si>
  <si>
    <t>HATMAKER</t>
  </si>
  <si>
    <t>TIMOTHY</t>
  </si>
  <si>
    <t>HAUFF</t>
  </si>
  <si>
    <t>HAYDEN</t>
  </si>
  <si>
    <t>JESSE</t>
  </si>
  <si>
    <t>HEIL</t>
  </si>
  <si>
    <t>KATHERINE</t>
  </si>
  <si>
    <t>HEIN</t>
  </si>
  <si>
    <t>HILBURN</t>
  </si>
  <si>
    <t>HOEKS</t>
  </si>
  <si>
    <t>HOWARD</t>
  </si>
  <si>
    <t>HULTS</t>
  </si>
  <si>
    <t>CHARLES</t>
  </si>
  <si>
    <t>HUMPHRIES</t>
  </si>
  <si>
    <t>HUSTON</t>
  </si>
  <si>
    <t>IRIZARRY</t>
  </si>
  <si>
    <t>DOLLY</t>
  </si>
  <si>
    <t>JACKSON</t>
  </si>
  <si>
    <t>EUGENE</t>
  </si>
  <si>
    <t>JENSEN</t>
  </si>
  <si>
    <t>KAREN</t>
  </si>
  <si>
    <t>JOCHUM</t>
  </si>
  <si>
    <t>PATRICK</t>
  </si>
  <si>
    <t>JOHNSON</t>
  </si>
  <si>
    <t>CALVIN</t>
  </si>
  <si>
    <t>KALCSICS</t>
  </si>
  <si>
    <t>JANET</t>
  </si>
  <si>
    <t>KALIS</t>
  </si>
  <si>
    <t>CHRISTINE</t>
  </si>
  <si>
    <t>KINKAID</t>
  </si>
  <si>
    <t>KLAUZA</t>
  </si>
  <si>
    <t>ALICE</t>
  </si>
  <si>
    <t>KNOX</t>
  </si>
  <si>
    <t>ANNETTE</t>
  </si>
  <si>
    <t>LASSITER</t>
  </si>
  <si>
    <t>JEANA</t>
  </si>
  <si>
    <t>LAUDERDALE</t>
  </si>
  <si>
    <t>CATHERINE</t>
  </si>
  <si>
    <t>LEONE</t>
  </si>
  <si>
    <t>ANTHONY</t>
  </si>
  <si>
    <t>LEWAKOWSKI</t>
  </si>
  <si>
    <t>DAVID</t>
  </si>
  <si>
    <t>LOREY</t>
  </si>
  <si>
    <t>MONICA</t>
  </si>
  <si>
    <t>LUPOU</t>
  </si>
  <si>
    <t>MADETE</t>
  </si>
  <si>
    <t>SUSAN</t>
  </si>
  <si>
    <t>MCDANIEL</t>
  </si>
  <si>
    <t>RICKEY</t>
  </si>
  <si>
    <t>MCGARY</t>
  </si>
  <si>
    <t>JOHN</t>
  </si>
  <si>
    <t>MCGRAIL</t>
  </si>
  <si>
    <t>MCMULLIN</t>
  </si>
  <si>
    <t>JUANA</t>
  </si>
  <si>
    <t>MCVICKER</t>
  </si>
  <si>
    <t>CATHY</t>
  </si>
  <si>
    <t>MELVIN</t>
  </si>
  <si>
    <t>LAURA</t>
  </si>
  <si>
    <t>MIRKOVIC</t>
  </si>
  <si>
    <t>ZAGORKA</t>
  </si>
  <si>
    <t>MOONEY</t>
  </si>
  <si>
    <t>BONNIE</t>
  </si>
  <si>
    <t>MORAN</t>
  </si>
  <si>
    <t>NASIFE</t>
  </si>
  <si>
    <t>NIKOLOVA</t>
  </si>
  <si>
    <t>SNEJANKA</t>
  </si>
  <si>
    <t>MARIANNE</t>
  </si>
  <si>
    <t>OLSEN</t>
  </si>
  <si>
    <t>ORTIZ</t>
  </si>
  <si>
    <t>PRISCILLA</t>
  </si>
  <si>
    <t>OSBORNE</t>
  </si>
  <si>
    <t>OTTO</t>
  </si>
  <si>
    <t>PAVLOVIC</t>
  </si>
  <si>
    <t>DRAGISA</t>
  </si>
  <si>
    <t>PAYNE</t>
  </si>
  <si>
    <t>PHIPPS</t>
  </si>
  <si>
    <t>PRYCE</t>
  </si>
  <si>
    <t>DIANA</t>
  </si>
  <si>
    <t>PUDLOWSKI</t>
  </si>
  <si>
    <t>DOREEN</t>
  </si>
  <si>
    <t>RANCE</t>
  </si>
  <si>
    <t>ALEXANDER</t>
  </si>
  <si>
    <t>RATHGEB</t>
  </si>
  <si>
    <t>THEROLD</t>
  </si>
  <si>
    <t>REED</t>
  </si>
  <si>
    <t>EILEEN</t>
  </si>
  <si>
    <t>REIMANN</t>
  </si>
  <si>
    <t>BRENDA</t>
  </si>
  <si>
    <t>RICHMOND</t>
  </si>
  <si>
    <t>RALPH</t>
  </si>
  <si>
    <t>RIDLEN</t>
  </si>
  <si>
    <t>AUDREY</t>
  </si>
  <si>
    <t>ROCCIO</t>
  </si>
  <si>
    <t>RODGERS</t>
  </si>
  <si>
    <t>LORI</t>
  </si>
  <si>
    <t>ROSS</t>
  </si>
  <si>
    <t>RYAN</t>
  </si>
  <si>
    <t>EDWARD</t>
  </si>
  <si>
    <t>SALEEM</t>
  </si>
  <si>
    <t>MOHAMMED</t>
  </si>
  <si>
    <t>SANCHEZ</t>
  </si>
  <si>
    <t>ANTONIO</t>
  </si>
  <si>
    <t>SCARDINA</t>
  </si>
  <si>
    <t>FRANK</t>
  </si>
  <si>
    <t>SCHABER</t>
  </si>
  <si>
    <t>CAROL</t>
  </si>
  <si>
    <t>SCHEIDENHELM</t>
  </si>
  <si>
    <t>SANDRA</t>
  </si>
  <si>
    <t>SCHUMM</t>
  </si>
  <si>
    <t>MARILYN</t>
  </si>
  <si>
    <t>SHAHRUKH</t>
  </si>
  <si>
    <t>SHAZIA</t>
  </si>
  <si>
    <t>SHAKER</t>
  </si>
  <si>
    <t>ELLEN</t>
  </si>
  <si>
    <t>SHEDD</t>
  </si>
  <si>
    <t>DEBBY</t>
  </si>
  <si>
    <t>SHELTON</t>
  </si>
  <si>
    <t>SHIRLEY</t>
  </si>
  <si>
    <t>SHULTZ</t>
  </si>
  <si>
    <t>SILVA</t>
  </si>
  <si>
    <t>ADELAIDA</t>
  </si>
  <si>
    <t>NICOMEDES</t>
  </si>
  <si>
    <t>SIMS</t>
  </si>
  <si>
    <t>SMITH</t>
  </si>
  <si>
    <t>TERESZCUK</t>
  </si>
  <si>
    <t>JOANNE</t>
  </si>
  <si>
    <t>TIBALDI</t>
  </si>
  <si>
    <t>TODARO</t>
  </si>
  <si>
    <t>TORRES</t>
  </si>
  <si>
    <t>RUBEN</t>
  </si>
  <si>
    <t>TREW</t>
  </si>
  <si>
    <t>TURNER</t>
  </si>
  <si>
    <t>VALENZUELA</t>
  </si>
  <si>
    <t>EDITA</t>
  </si>
  <si>
    <t>GIL</t>
  </si>
  <si>
    <t>KATHY</t>
  </si>
  <si>
    <t>WALTHERS</t>
  </si>
  <si>
    <t>GERRI</t>
  </si>
  <si>
    <t>WAXMAN</t>
  </si>
  <si>
    <t>SCOTT</t>
  </si>
  <si>
    <t>WEBSTER</t>
  </si>
  <si>
    <t>MARSHA</t>
  </si>
  <si>
    <t>WENINEGAR</t>
  </si>
  <si>
    <t>WILKE</t>
  </si>
  <si>
    <t>JUDY</t>
  </si>
  <si>
    <t>JUAN</t>
  </si>
  <si>
    <t>WINKLER</t>
  </si>
  <si>
    <t>WISE</t>
  </si>
  <si>
    <t>MITCH</t>
  </si>
  <si>
    <t>WONG</t>
  </si>
  <si>
    <t>KENNETH</t>
  </si>
  <si>
    <t>YAKULIS</t>
  </si>
  <si>
    <t>ALEX</t>
  </si>
  <si>
    <t>YOSHIKAWA</t>
  </si>
  <si>
    <t>YOUNG</t>
  </si>
  <si>
    <t>ZAFIRIADIS</t>
  </si>
  <si>
    <t>STEVE</t>
  </si>
  <si>
    <t>VORIS</t>
  </si>
  <si>
    <t>DANNY</t>
  </si>
  <si>
    <t>O BRIEN</t>
  </si>
  <si>
    <t>VAN HORN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</si>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</sst>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8" fillId="0" borderId="0" xfId="0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0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6ED1-9F4D-4D6C-8EFB-7939E8A3763A}">
  <dimension ref="A1:AP203"/>
  <sheetViews>
    <sheetView topLeftCell="N1" workbookViewId="0">
      <selection activeCell="N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45882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45870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26.08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45627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">
      <c r="A3" s="2">
        <v>1891456</v>
      </c>
      <c r="B3" s="3">
        <v>45882</v>
      </c>
      <c r="C3" s="4" t="s">
        <v>55</v>
      </c>
      <c r="D3" s="2">
        <v>1267028</v>
      </c>
      <c r="E3" s="4" t="s">
        <v>56</v>
      </c>
      <c r="F3" s="4" t="s">
        <v>57</v>
      </c>
      <c r="G3" s="2">
        <v>915328352</v>
      </c>
      <c r="H3" s="4" t="s">
        <v>45</v>
      </c>
      <c r="I3" s="4" t="s">
        <v>45</v>
      </c>
      <c r="J3" s="4" t="s">
        <v>46</v>
      </c>
      <c r="K3" s="4" t="s">
        <v>47</v>
      </c>
      <c r="L3" s="3">
        <v>45870</v>
      </c>
      <c r="M3" s="4" t="s">
        <v>48</v>
      </c>
      <c r="N3" s="4" t="s">
        <v>45</v>
      </c>
      <c r="O3" s="4" t="s">
        <v>49</v>
      </c>
      <c r="P3" s="4" t="s">
        <v>45</v>
      </c>
      <c r="Q3" s="2">
        <v>1</v>
      </c>
      <c r="R3" s="2">
        <v>17</v>
      </c>
      <c r="S3" s="4" t="s">
        <v>50</v>
      </c>
      <c r="T3" s="4" t="s">
        <v>51</v>
      </c>
      <c r="U3" s="4" t="s">
        <v>45</v>
      </c>
      <c r="V3" s="5">
        <v>1</v>
      </c>
      <c r="W3" s="5">
        <v>0</v>
      </c>
      <c r="X3" s="5">
        <v>100</v>
      </c>
      <c r="Y3" s="5">
        <v>26.08</v>
      </c>
      <c r="Z3" s="4" t="s">
        <v>45</v>
      </c>
      <c r="AA3" s="5" t="s">
        <v>45</v>
      </c>
      <c r="AB3" s="4" t="s">
        <v>52</v>
      </c>
      <c r="AC3" s="4" t="s">
        <v>45</v>
      </c>
      <c r="AD3" s="5">
        <v>0</v>
      </c>
      <c r="AE3" s="4" t="s">
        <v>53</v>
      </c>
      <c r="AF3" s="3">
        <v>45627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58</v>
      </c>
      <c r="AO3" s="4" t="s">
        <v>45</v>
      </c>
      <c r="AP3" s="4" t="s">
        <v>45</v>
      </c>
    </row>
    <row r="4" spans="1:42" x14ac:dyDescent="0.2">
      <c r="A4" s="2">
        <v>1891456</v>
      </c>
      <c r="B4" s="3">
        <v>45882</v>
      </c>
      <c r="C4" s="4" t="s">
        <v>59</v>
      </c>
      <c r="D4" s="2">
        <v>1427681</v>
      </c>
      <c r="E4" s="4" t="s">
        <v>60</v>
      </c>
      <c r="F4" s="4" t="s">
        <v>61</v>
      </c>
      <c r="G4" s="2">
        <v>686888423</v>
      </c>
      <c r="H4" s="4" t="s">
        <v>45</v>
      </c>
      <c r="I4" s="4" t="s">
        <v>45</v>
      </c>
      <c r="J4" s="4" t="s">
        <v>46</v>
      </c>
      <c r="K4" s="4" t="s">
        <v>47</v>
      </c>
      <c r="L4" s="3">
        <v>45870</v>
      </c>
      <c r="M4" s="4" t="s">
        <v>48</v>
      </c>
      <c r="N4" s="4" t="s">
        <v>45</v>
      </c>
      <c r="O4" s="4" t="s">
        <v>49</v>
      </c>
      <c r="P4" s="4" t="s">
        <v>45</v>
      </c>
      <c r="Q4" s="2">
        <v>1</v>
      </c>
      <c r="R4" s="2">
        <v>17</v>
      </c>
      <c r="S4" s="4" t="s">
        <v>50</v>
      </c>
      <c r="T4" s="4" t="s">
        <v>62</v>
      </c>
      <c r="U4" s="4" t="s">
        <v>45</v>
      </c>
      <c r="V4" s="5">
        <v>1</v>
      </c>
      <c r="W4" s="5">
        <v>0</v>
      </c>
      <c r="X4" s="5">
        <v>100</v>
      </c>
      <c r="Y4" s="5">
        <v>26.08</v>
      </c>
      <c r="Z4" s="4" t="s">
        <v>45</v>
      </c>
      <c r="AA4" s="5" t="s">
        <v>45</v>
      </c>
      <c r="AB4" s="4" t="s">
        <v>52</v>
      </c>
      <c r="AC4" s="4" t="s">
        <v>45</v>
      </c>
      <c r="AD4" s="5">
        <v>0</v>
      </c>
      <c r="AE4" s="4" t="s">
        <v>53</v>
      </c>
      <c r="AF4" s="3">
        <v>45566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63</v>
      </c>
      <c r="AO4" s="4" t="s">
        <v>45</v>
      </c>
      <c r="AP4" s="4" t="s">
        <v>45</v>
      </c>
    </row>
    <row r="5" spans="1:42" x14ac:dyDescent="0.2">
      <c r="A5" s="2">
        <v>1891456</v>
      </c>
      <c r="B5" s="3">
        <v>45882</v>
      </c>
      <c r="C5" s="4" t="s">
        <v>59</v>
      </c>
      <c r="D5" s="2">
        <v>1427681</v>
      </c>
      <c r="E5" s="4" t="s">
        <v>64</v>
      </c>
      <c r="F5" s="4" t="s">
        <v>65</v>
      </c>
      <c r="G5" s="2">
        <v>352146470</v>
      </c>
      <c r="H5" s="4" t="s">
        <v>45</v>
      </c>
      <c r="I5" s="4" t="s">
        <v>45</v>
      </c>
      <c r="J5" s="4" t="s">
        <v>46</v>
      </c>
      <c r="K5" s="4" t="s">
        <v>47</v>
      </c>
      <c r="L5" s="3">
        <v>45870</v>
      </c>
      <c r="M5" s="4" t="s">
        <v>48</v>
      </c>
      <c r="N5" s="4" t="s">
        <v>45</v>
      </c>
      <c r="O5" s="4" t="s">
        <v>49</v>
      </c>
      <c r="P5" s="4" t="s">
        <v>45</v>
      </c>
      <c r="Q5" s="2">
        <v>1</v>
      </c>
      <c r="R5" s="2">
        <v>17</v>
      </c>
      <c r="S5" s="4" t="s">
        <v>50</v>
      </c>
      <c r="T5" s="4" t="s">
        <v>51</v>
      </c>
      <c r="U5" s="4" t="s">
        <v>45</v>
      </c>
      <c r="V5" s="5">
        <v>1</v>
      </c>
      <c r="W5" s="5">
        <v>0</v>
      </c>
      <c r="X5" s="5">
        <v>100</v>
      </c>
      <c r="Y5" s="5">
        <v>26.08</v>
      </c>
      <c r="Z5" s="4" t="s">
        <v>45</v>
      </c>
      <c r="AA5" s="5" t="s">
        <v>45</v>
      </c>
      <c r="AB5" s="4" t="s">
        <v>52</v>
      </c>
      <c r="AC5" s="4" t="s">
        <v>45</v>
      </c>
      <c r="AD5" s="5">
        <v>0</v>
      </c>
      <c r="AE5" s="4" t="s">
        <v>53</v>
      </c>
      <c r="AF5" s="3">
        <v>45566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54</v>
      </c>
      <c r="AO5" s="4" t="s">
        <v>45</v>
      </c>
      <c r="AP5" s="4" t="s">
        <v>45</v>
      </c>
    </row>
    <row r="6" spans="1:42" x14ac:dyDescent="0.2">
      <c r="A6" s="2">
        <v>1891456</v>
      </c>
      <c r="B6" s="3">
        <v>45882</v>
      </c>
      <c r="C6" s="4" t="s">
        <v>59</v>
      </c>
      <c r="D6" s="2">
        <v>1427681</v>
      </c>
      <c r="E6" s="4" t="s">
        <v>66</v>
      </c>
      <c r="F6" s="4" t="s">
        <v>67</v>
      </c>
      <c r="G6" s="2">
        <v>899448394</v>
      </c>
      <c r="H6" s="4" t="s">
        <v>68</v>
      </c>
      <c r="I6" s="4" t="s">
        <v>45</v>
      </c>
      <c r="J6" s="4" t="s">
        <v>46</v>
      </c>
      <c r="K6" s="4" t="s">
        <v>47</v>
      </c>
      <c r="L6" s="3">
        <v>45901</v>
      </c>
      <c r="M6" s="4" t="s">
        <v>69</v>
      </c>
      <c r="N6" s="4" t="s">
        <v>45</v>
      </c>
      <c r="O6" s="4" t="s">
        <v>70</v>
      </c>
      <c r="P6" s="4" t="s">
        <v>45</v>
      </c>
      <c r="Q6" s="2">
        <v>1</v>
      </c>
      <c r="R6" s="2">
        <v>17</v>
      </c>
      <c r="S6" s="4" t="s">
        <v>50</v>
      </c>
      <c r="T6" s="4" t="s">
        <v>62</v>
      </c>
      <c r="U6" s="4" t="s">
        <v>45</v>
      </c>
      <c r="V6" s="5">
        <v>0.33</v>
      </c>
      <c r="W6" s="5">
        <v>0</v>
      </c>
      <c r="X6" s="5">
        <v>100</v>
      </c>
      <c r="Y6" s="5">
        <v>104.33</v>
      </c>
      <c r="Z6" s="4" t="s">
        <v>45</v>
      </c>
      <c r="AA6" s="5" t="s">
        <v>45</v>
      </c>
      <c r="AB6" s="4" t="s">
        <v>71</v>
      </c>
      <c r="AC6" s="4" t="s">
        <v>45</v>
      </c>
      <c r="AD6" s="5">
        <v>0</v>
      </c>
      <c r="AE6" s="4" t="s">
        <v>72</v>
      </c>
      <c r="AF6" s="3">
        <v>45901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63</v>
      </c>
      <c r="AO6" s="4" t="s">
        <v>45</v>
      </c>
      <c r="AP6" s="4" t="s">
        <v>45</v>
      </c>
    </row>
    <row r="7" spans="1:42" x14ac:dyDescent="0.2">
      <c r="A7" s="2">
        <v>1891456</v>
      </c>
      <c r="B7" s="3">
        <v>45882</v>
      </c>
      <c r="C7" s="4" t="s">
        <v>73</v>
      </c>
      <c r="D7" s="2">
        <v>1466196</v>
      </c>
      <c r="E7" s="4" t="s">
        <v>74</v>
      </c>
      <c r="F7" s="4" t="s">
        <v>75</v>
      </c>
      <c r="G7" s="2">
        <v>114360130</v>
      </c>
      <c r="H7" s="4" t="s">
        <v>45</v>
      </c>
      <c r="I7" s="4" t="s">
        <v>45</v>
      </c>
      <c r="J7" s="4" t="s">
        <v>46</v>
      </c>
      <c r="K7" s="4" t="s">
        <v>47</v>
      </c>
      <c r="L7" s="3">
        <v>45870</v>
      </c>
      <c r="M7" s="4" t="s">
        <v>48</v>
      </c>
      <c r="N7" s="4" t="s">
        <v>45</v>
      </c>
      <c r="O7" s="4" t="s">
        <v>49</v>
      </c>
      <c r="P7" s="4" t="s">
        <v>45</v>
      </c>
      <c r="Q7" s="2">
        <v>1</v>
      </c>
      <c r="R7" s="2">
        <v>17</v>
      </c>
      <c r="S7" s="4" t="s">
        <v>50</v>
      </c>
      <c r="T7" s="4" t="s">
        <v>62</v>
      </c>
      <c r="U7" s="4" t="s">
        <v>45</v>
      </c>
      <c r="V7" s="5">
        <v>1</v>
      </c>
      <c r="W7" s="5">
        <v>0</v>
      </c>
      <c r="X7" s="5">
        <v>100</v>
      </c>
      <c r="Y7" s="5">
        <v>26.08</v>
      </c>
      <c r="Z7" s="4" t="s">
        <v>45</v>
      </c>
      <c r="AA7" s="5" t="s">
        <v>45</v>
      </c>
      <c r="AB7" s="4" t="s">
        <v>52</v>
      </c>
      <c r="AC7" s="4" t="s">
        <v>45</v>
      </c>
      <c r="AD7" s="5">
        <v>0</v>
      </c>
      <c r="AE7" s="4" t="s">
        <v>53</v>
      </c>
      <c r="AF7" s="3">
        <v>45627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63</v>
      </c>
      <c r="AO7" s="4" t="s">
        <v>45</v>
      </c>
      <c r="AP7" s="4" t="s">
        <v>45</v>
      </c>
    </row>
    <row r="8" spans="1:42" x14ac:dyDescent="0.2">
      <c r="A8" s="2">
        <v>1891456</v>
      </c>
      <c r="B8" s="3">
        <v>45882</v>
      </c>
      <c r="C8" s="4" t="s">
        <v>76</v>
      </c>
      <c r="D8" s="2">
        <v>1509770</v>
      </c>
      <c r="E8" s="4" t="s">
        <v>77</v>
      </c>
      <c r="F8" s="4" t="s">
        <v>78</v>
      </c>
      <c r="G8" s="2">
        <v>576690295</v>
      </c>
      <c r="H8" s="4" t="s">
        <v>45</v>
      </c>
      <c r="I8" s="4" t="s">
        <v>45</v>
      </c>
      <c r="J8" s="4" t="s">
        <v>46</v>
      </c>
      <c r="K8" s="4" t="s">
        <v>47</v>
      </c>
      <c r="L8" s="3">
        <v>45870</v>
      </c>
      <c r="M8" s="4" t="s">
        <v>48</v>
      </c>
      <c r="N8" s="4" t="s">
        <v>45</v>
      </c>
      <c r="O8" s="4" t="s">
        <v>49</v>
      </c>
      <c r="P8" s="4" t="s">
        <v>45</v>
      </c>
      <c r="Q8" s="2">
        <v>1</v>
      </c>
      <c r="R8" s="2">
        <v>17</v>
      </c>
      <c r="S8" s="4" t="s">
        <v>50</v>
      </c>
      <c r="T8" s="4" t="s">
        <v>62</v>
      </c>
      <c r="U8" s="4" t="s">
        <v>45</v>
      </c>
      <c r="V8" s="5">
        <v>1</v>
      </c>
      <c r="W8" s="5">
        <v>0</v>
      </c>
      <c r="X8" s="5">
        <v>100</v>
      </c>
      <c r="Y8" s="5">
        <v>26.08</v>
      </c>
      <c r="Z8" s="4" t="s">
        <v>45</v>
      </c>
      <c r="AA8" s="5" t="s">
        <v>45</v>
      </c>
      <c r="AB8" s="4" t="s">
        <v>52</v>
      </c>
      <c r="AC8" s="4" t="s">
        <v>45</v>
      </c>
      <c r="AD8" s="5">
        <v>0</v>
      </c>
      <c r="AE8" s="4" t="s">
        <v>53</v>
      </c>
      <c r="AF8" s="3">
        <v>45383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63</v>
      </c>
      <c r="AO8" s="4" t="s">
        <v>45</v>
      </c>
      <c r="AP8" s="4" t="s">
        <v>45</v>
      </c>
    </row>
    <row r="9" spans="1:42" x14ac:dyDescent="0.2">
      <c r="A9" s="2">
        <v>1891456</v>
      </c>
      <c r="B9" s="3">
        <v>45882</v>
      </c>
      <c r="C9" s="4" t="s">
        <v>76</v>
      </c>
      <c r="D9" s="2">
        <v>1509770</v>
      </c>
      <c r="E9" s="4" t="s">
        <v>79</v>
      </c>
      <c r="F9" s="4" t="s">
        <v>80</v>
      </c>
      <c r="G9" s="2">
        <v>651986404</v>
      </c>
      <c r="H9" s="4" t="s">
        <v>45</v>
      </c>
      <c r="I9" s="4" t="s">
        <v>45</v>
      </c>
      <c r="J9" s="4" t="s">
        <v>46</v>
      </c>
      <c r="K9" s="4" t="s">
        <v>47</v>
      </c>
      <c r="L9" s="3">
        <v>45870</v>
      </c>
      <c r="M9" s="4" t="s">
        <v>48</v>
      </c>
      <c r="N9" s="4" t="s">
        <v>45</v>
      </c>
      <c r="O9" s="4" t="s">
        <v>49</v>
      </c>
      <c r="P9" s="4" t="s">
        <v>45</v>
      </c>
      <c r="Q9" s="2">
        <v>1</v>
      </c>
      <c r="R9" s="2">
        <v>17</v>
      </c>
      <c r="S9" s="4" t="s">
        <v>50</v>
      </c>
      <c r="T9" s="4" t="s">
        <v>62</v>
      </c>
      <c r="U9" s="4" t="s">
        <v>45</v>
      </c>
      <c r="V9" s="5">
        <v>1</v>
      </c>
      <c r="W9" s="5">
        <v>0</v>
      </c>
      <c r="X9" s="5">
        <v>100</v>
      </c>
      <c r="Y9" s="5">
        <v>26.08</v>
      </c>
      <c r="Z9" s="4" t="s">
        <v>45</v>
      </c>
      <c r="AA9" s="5" t="s">
        <v>45</v>
      </c>
      <c r="AB9" s="4" t="s">
        <v>52</v>
      </c>
      <c r="AC9" s="4" t="s">
        <v>45</v>
      </c>
      <c r="AD9" s="5">
        <v>0</v>
      </c>
      <c r="AE9" s="4" t="s">
        <v>53</v>
      </c>
      <c r="AF9" s="3">
        <v>45047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63</v>
      </c>
      <c r="AO9" s="4" t="s">
        <v>45</v>
      </c>
      <c r="AP9" s="4" t="s">
        <v>45</v>
      </c>
    </row>
    <row r="10" spans="1:42" x14ac:dyDescent="0.2">
      <c r="A10" s="2">
        <v>1891456</v>
      </c>
      <c r="B10" s="3">
        <v>45882</v>
      </c>
      <c r="C10" s="4" t="s">
        <v>76</v>
      </c>
      <c r="D10" s="2">
        <v>1509770</v>
      </c>
      <c r="E10" s="4" t="s">
        <v>81</v>
      </c>
      <c r="F10" s="4" t="s">
        <v>82</v>
      </c>
      <c r="G10" s="2">
        <v>960988174</v>
      </c>
      <c r="H10" s="4" t="s">
        <v>45</v>
      </c>
      <c r="I10" s="4" t="s">
        <v>45</v>
      </c>
      <c r="J10" s="4" t="s">
        <v>46</v>
      </c>
      <c r="K10" s="4" t="s">
        <v>47</v>
      </c>
      <c r="L10" s="3">
        <v>45870</v>
      </c>
      <c r="M10" s="4" t="s">
        <v>48</v>
      </c>
      <c r="N10" s="4" t="s">
        <v>45</v>
      </c>
      <c r="O10" s="4" t="s">
        <v>49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62</v>
      </c>
      <c r="U10" s="4" t="s">
        <v>45</v>
      </c>
      <c r="V10" s="5">
        <v>1</v>
      </c>
      <c r="W10" s="5">
        <v>0</v>
      </c>
      <c r="X10" s="5">
        <v>100</v>
      </c>
      <c r="Y10" s="5">
        <v>26.08</v>
      </c>
      <c r="Z10" s="4" t="s">
        <v>45</v>
      </c>
      <c r="AA10" s="5" t="s">
        <v>45</v>
      </c>
      <c r="AB10" s="4" t="s">
        <v>52</v>
      </c>
      <c r="AC10" s="4" t="s">
        <v>45</v>
      </c>
      <c r="AD10" s="5">
        <v>0</v>
      </c>
      <c r="AE10" s="4" t="s">
        <v>53</v>
      </c>
      <c r="AF10" s="3">
        <v>45047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63</v>
      </c>
      <c r="AO10" s="4" t="s">
        <v>45</v>
      </c>
      <c r="AP10" s="4" t="s">
        <v>45</v>
      </c>
    </row>
    <row r="11" spans="1:42" x14ac:dyDescent="0.2">
      <c r="A11" s="2">
        <v>1891456</v>
      </c>
      <c r="B11" s="3">
        <v>45882</v>
      </c>
      <c r="C11" s="4" t="s">
        <v>76</v>
      </c>
      <c r="D11" s="2">
        <v>1509770</v>
      </c>
      <c r="E11" s="4" t="s">
        <v>83</v>
      </c>
      <c r="F11" s="4" t="s">
        <v>84</v>
      </c>
      <c r="G11" s="2">
        <v>53110473</v>
      </c>
      <c r="H11" s="4" t="s">
        <v>45</v>
      </c>
      <c r="I11" s="4" t="s">
        <v>45</v>
      </c>
      <c r="J11" s="4" t="s">
        <v>46</v>
      </c>
      <c r="K11" s="4" t="s">
        <v>47</v>
      </c>
      <c r="L11" s="3">
        <v>45870</v>
      </c>
      <c r="M11" s="4" t="s">
        <v>48</v>
      </c>
      <c r="N11" s="4" t="s">
        <v>45</v>
      </c>
      <c r="O11" s="4" t="s">
        <v>49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62</v>
      </c>
      <c r="U11" s="4" t="s">
        <v>45</v>
      </c>
      <c r="V11" s="5">
        <v>1</v>
      </c>
      <c r="W11" s="5">
        <v>0</v>
      </c>
      <c r="X11" s="5">
        <v>100</v>
      </c>
      <c r="Y11" s="5">
        <v>26.08</v>
      </c>
      <c r="Z11" s="4" t="s">
        <v>45</v>
      </c>
      <c r="AA11" s="5" t="s">
        <v>45</v>
      </c>
      <c r="AB11" s="4" t="s">
        <v>52</v>
      </c>
      <c r="AC11" s="4" t="s">
        <v>45</v>
      </c>
      <c r="AD11" s="5">
        <v>0</v>
      </c>
      <c r="AE11" s="4" t="s">
        <v>53</v>
      </c>
      <c r="AF11" s="3">
        <v>45078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63</v>
      </c>
      <c r="AO11" s="4" t="s">
        <v>45</v>
      </c>
      <c r="AP11" s="4" t="s">
        <v>45</v>
      </c>
    </row>
    <row r="12" spans="1:42" x14ac:dyDescent="0.2">
      <c r="A12" s="2">
        <v>1891456</v>
      </c>
      <c r="B12" s="3">
        <v>45882</v>
      </c>
      <c r="C12" s="4" t="s">
        <v>76</v>
      </c>
      <c r="D12" s="2">
        <v>1509770</v>
      </c>
      <c r="E12" s="4" t="s">
        <v>85</v>
      </c>
      <c r="F12" s="4" t="s">
        <v>86</v>
      </c>
      <c r="G12" s="2">
        <v>463442230</v>
      </c>
      <c r="H12" s="4" t="s">
        <v>45</v>
      </c>
      <c r="I12" s="4" t="s">
        <v>45</v>
      </c>
      <c r="J12" s="4" t="s">
        <v>46</v>
      </c>
      <c r="K12" s="4" t="s">
        <v>47</v>
      </c>
      <c r="L12" s="3">
        <v>45870</v>
      </c>
      <c r="M12" s="4" t="s">
        <v>48</v>
      </c>
      <c r="N12" s="4" t="s">
        <v>45</v>
      </c>
      <c r="O12" s="4" t="s">
        <v>49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62</v>
      </c>
      <c r="U12" s="4" t="s">
        <v>45</v>
      </c>
      <c r="V12" s="5">
        <v>1</v>
      </c>
      <c r="W12" s="5">
        <v>0</v>
      </c>
      <c r="X12" s="5">
        <v>100</v>
      </c>
      <c r="Y12" s="5">
        <v>26.08</v>
      </c>
      <c r="Z12" s="4" t="s">
        <v>45</v>
      </c>
      <c r="AA12" s="5" t="s">
        <v>45</v>
      </c>
      <c r="AB12" s="4" t="s">
        <v>52</v>
      </c>
      <c r="AC12" s="4" t="s">
        <v>45</v>
      </c>
      <c r="AD12" s="5">
        <v>0</v>
      </c>
      <c r="AE12" s="4" t="s">
        <v>53</v>
      </c>
      <c r="AF12" s="3">
        <v>45047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87</v>
      </c>
      <c r="AO12" s="4" t="s">
        <v>45</v>
      </c>
      <c r="AP12" s="4" t="s">
        <v>45</v>
      </c>
    </row>
    <row r="13" spans="1:42" x14ac:dyDescent="0.2">
      <c r="A13" s="2">
        <v>1891456</v>
      </c>
      <c r="B13" s="3">
        <v>45882</v>
      </c>
      <c r="C13" s="4" t="s">
        <v>76</v>
      </c>
      <c r="D13" s="2">
        <v>1509770</v>
      </c>
      <c r="E13" s="4" t="s">
        <v>88</v>
      </c>
      <c r="F13" s="4" t="s">
        <v>89</v>
      </c>
      <c r="G13" s="2">
        <v>600555073</v>
      </c>
      <c r="H13" s="4" t="s">
        <v>45</v>
      </c>
      <c r="I13" s="4" t="s">
        <v>45</v>
      </c>
      <c r="J13" s="4" t="s">
        <v>46</v>
      </c>
      <c r="K13" s="4" t="s">
        <v>47</v>
      </c>
      <c r="L13" s="3">
        <v>45870</v>
      </c>
      <c r="M13" s="4" t="s">
        <v>48</v>
      </c>
      <c r="N13" s="4" t="s">
        <v>45</v>
      </c>
      <c r="O13" s="4" t="s">
        <v>49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90</v>
      </c>
      <c r="U13" s="4" t="s">
        <v>45</v>
      </c>
      <c r="V13" s="5">
        <v>1</v>
      </c>
      <c r="W13" s="5">
        <v>0</v>
      </c>
      <c r="X13" s="5">
        <v>100</v>
      </c>
      <c r="Y13" s="5">
        <v>26.08</v>
      </c>
      <c r="Z13" s="4" t="s">
        <v>45</v>
      </c>
      <c r="AA13" s="5" t="s">
        <v>45</v>
      </c>
      <c r="AB13" s="4" t="s">
        <v>52</v>
      </c>
      <c r="AC13" s="4" t="s">
        <v>45</v>
      </c>
      <c r="AD13" s="5">
        <v>0</v>
      </c>
      <c r="AE13" s="4" t="s">
        <v>53</v>
      </c>
      <c r="AF13" s="3">
        <v>45108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91</v>
      </c>
      <c r="AO13" s="4" t="s">
        <v>45</v>
      </c>
      <c r="AP13" s="4" t="s">
        <v>45</v>
      </c>
    </row>
    <row r="14" spans="1:42" x14ac:dyDescent="0.2">
      <c r="A14" s="2">
        <v>1891456</v>
      </c>
      <c r="B14" s="3">
        <v>45882</v>
      </c>
      <c r="C14" s="4" t="s">
        <v>76</v>
      </c>
      <c r="D14" s="2">
        <v>1509770</v>
      </c>
      <c r="E14" s="4" t="s">
        <v>92</v>
      </c>
      <c r="F14" s="4" t="s">
        <v>93</v>
      </c>
      <c r="G14" s="2">
        <v>178779284</v>
      </c>
      <c r="H14" s="4" t="s">
        <v>45</v>
      </c>
      <c r="I14" s="4" t="s">
        <v>45</v>
      </c>
      <c r="J14" s="4" t="s">
        <v>46</v>
      </c>
      <c r="K14" s="4" t="s">
        <v>47</v>
      </c>
      <c r="L14" s="3">
        <v>45870</v>
      </c>
      <c r="M14" s="4" t="s">
        <v>48</v>
      </c>
      <c r="N14" s="4" t="s">
        <v>45</v>
      </c>
      <c r="O14" s="4" t="s">
        <v>49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51</v>
      </c>
      <c r="U14" s="4" t="s">
        <v>45</v>
      </c>
      <c r="V14" s="5">
        <v>1</v>
      </c>
      <c r="W14" s="5">
        <v>0</v>
      </c>
      <c r="X14" s="5">
        <v>100</v>
      </c>
      <c r="Y14" s="5">
        <v>26.08</v>
      </c>
      <c r="Z14" s="4" t="s">
        <v>45</v>
      </c>
      <c r="AA14" s="5" t="s">
        <v>45</v>
      </c>
      <c r="AB14" s="4" t="s">
        <v>52</v>
      </c>
      <c r="AC14" s="4" t="s">
        <v>45</v>
      </c>
      <c r="AD14" s="5">
        <v>0</v>
      </c>
      <c r="AE14" s="4" t="s">
        <v>53</v>
      </c>
      <c r="AF14" s="3">
        <v>45078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94</v>
      </c>
      <c r="AO14" s="4" t="s">
        <v>45</v>
      </c>
      <c r="AP14" s="4" t="s">
        <v>45</v>
      </c>
    </row>
    <row r="15" spans="1:42" x14ac:dyDescent="0.2">
      <c r="A15" s="2">
        <v>1891456</v>
      </c>
      <c r="B15" s="3">
        <v>45882</v>
      </c>
      <c r="C15" s="4" t="s">
        <v>76</v>
      </c>
      <c r="D15" s="2">
        <v>1509770</v>
      </c>
      <c r="E15" s="4" t="s">
        <v>95</v>
      </c>
      <c r="F15" s="4" t="s">
        <v>96</v>
      </c>
      <c r="G15" s="2">
        <v>365808403</v>
      </c>
      <c r="H15" s="4" t="s">
        <v>45</v>
      </c>
      <c r="I15" s="4" t="s">
        <v>45</v>
      </c>
      <c r="J15" s="4" t="s">
        <v>46</v>
      </c>
      <c r="K15" s="4" t="s">
        <v>47</v>
      </c>
      <c r="L15" s="3">
        <v>45870</v>
      </c>
      <c r="M15" s="4" t="s">
        <v>48</v>
      </c>
      <c r="N15" s="4" t="s">
        <v>45</v>
      </c>
      <c r="O15" s="4" t="s">
        <v>49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62</v>
      </c>
      <c r="U15" s="4" t="s">
        <v>45</v>
      </c>
      <c r="V15" s="5">
        <v>1</v>
      </c>
      <c r="W15" s="5">
        <v>0</v>
      </c>
      <c r="X15" s="5">
        <v>100</v>
      </c>
      <c r="Y15" s="5">
        <v>26.08</v>
      </c>
      <c r="Z15" s="4" t="s">
        <v>45</v>
      </c>
      <c r="AA15" s="5" t="s">
        <v>45</v>
      </c>
      <c r="AB15" s="4" t="s">
        <v>52</v>
      </c>
      <c r="AC15" s="4" t="s">
        <v>45</v>
      </c>
      <c r="AD15" s="5">
        <v>0</v>
      </c>
      <c r="AE15" s="4" t="s">
        <v>53</v>
      </c>
      <c r="AF15" s="3">
        <v>45078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63</v>
      </c>
      <c r="AO15" s="4" t="s">
        <v>45</v>
      </c>
      <c r="AP15" s="4" t="s">
        <v>45</v>
      </c>
    </row>
    <row r="16" spans="1:42" x14ac:dyDescent="0.2">
      <c r="A16" s="2">
        <v>1891456</v>
      </c>
      <c r="B16" s="3">
        <v>45882</v>
      </c>
      <c r="C16" s="4" t="s">
        <v>76</v>
      </c>
      <c r="D16" s="2">
        <v>1509770</v>
      </c>
      <c r="E16" s="4" t="s">
        <v>97</v>
      </c>
      <c r="F16" s="4" t="s">
        <v>98</v>
      </c>
      <c r="G16" s="2">
        <v>666505423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45870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62</v>
      </c>
      <c r="U16" s="4" t="s">
        <v>45</v>
      </c>
      <c r="V16" s="5">
        <v>1</v>
      </c>
      <c r="W16" s="5">
        <v>0</v>
      </c>
      <c r="X16" s="5">
        <v>100</v>
      </c>
      <c r="Y16" s="5">
        <v>26.08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45078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63</v>
      </c>
      <c r="AO16" s="4" t="s">
        <v>45</v>
      </c>
      <c r="AP16" s="4" t="s">
        <v>45</v>
      </c>
    </row>
    <row r="17" spans="1:42" x14ac:dyDescent="0.2">
      <c r="A17" s="2">
        <v>1891456</v>
      </c>
      <c r="B17" s="3">
        <v>45882</v>
      </c>
      <c r="C17" s="4" t="s">
        <v>76</v>
      </c>
      <c r="D17" s="2">
        <v>1509770</v>
      </c>
      <c r="E17" s="4" t="s">
        <v>99</v>
      </c>
      <c r="F17" s="4" t="s">
        <v>100</v>
      </c>
      <c r="G17" s="2">
        <v>260541025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45870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51</v>
      </c>
      <c r="U17" s="4" t="s">
        <v>45</v>
      </c>
      <c r="V17" s="5">
        <v>1</v>
      </c>
      <c r="W17" s="5">
        <v>0</v>
      </c>
      <c r="X17" s="5">
        <v>100</v>
      </c>
      <c r="Y17" s="5">
        <v>26.08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45108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101</v>
      </c>
      <c r="AO17" s="4" t="s">
        <v>45</v>
      </c>
      <c r="AP17" s="4" t="s">
        <v>45</v>
      </c>
    </row>
    <row r="18" spans="1:42" x14ac:dyDescent="0.2">
      <c r="A18" s="2">
        <v>1891456</v>
      </c>
      <c r="B18" s="3">
        <v>45882</v>
      </c>
      <c r="C18" s="4" t="s">
        <v>76</v>
      </c>
      <c r="D18" s="2">
        <v>1509770</v>
      </c>
      <c r="E18" s="4" t="s">
        <v>102</v>
      </c>
      <c r="F18" s="4" t="s">
        <v>103</v>
      </c>
      <c r="G18" s="2">
        <v>649416112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45870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62</v>
      </c>
      <c r="U18" s="4" t="s">
        <v>45</v>
      </c>
      <c r="V18" s="5">
        <v>1</v>
      </c>
      <c r="W18" s="5">
        <v>0</v>
      </c>
      <c r="X18" s="5">
        <v>100</v>
      </c>
      <c r="Y18" s="5">
        <v>26.08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45139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63</v>
      </c>
      <c r="AO18" s="4" t="s">
        <v>45</v>
      </c>
      <c r="AP18" s="4" t="s">
        <v>45</v>
      </c>
    </row>
    <row r="19" spans="1:42" x14ac:dyDescent="0.2">
      <c r="A19" s="2">
        <v>1891456</v>
      </c>
      <c r="B19" s="3">
        <v>45882</v>
      </c>
      <c r="C19" s="4" t="s">
        <v>76</v>
      </c>
      <c r="D19" s="2">
        <v>1509770</v>
      </c>
      <c r="E19" s="4" t="s">
        <v>104</v>
      </c>
      <c r="F19" s="4" t="s">
        <v>105</v>
      </c>
      <c r="G19" s="2">
        <v>401766183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45870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62</v>
      </c>
      <c r="U19" s="4" t="s">
        <v>45</v>
      </c>
      <c r="V19" s="5">
        <v>1</v>
      </c>
      <c r="W19" s="5">
        <v>0</v>
      </c>
      <c r="X19" s="5">
        <v>100</v>
      </c>
      <c r="Y19" s="5">
        <v>26.08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45139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63</v>
      </c>
      <c r="AO19" s="4" t="s">
        <v>45</v>
      </c>
      <c r="AP19" s="4" t="s">
        <v>45</v>
      </c>
    </row>
    <row r="20" spans="1:42" x14ac:dyDescent="0.2">
      <c r="A20" s="2">
        <v>1891456</v>
      </c>
      <c r="B20" s="3">
        <v>45882</v>
      </c>
      <c r="C20" s="4" t="s">
        <v>76</v>
      </c>
      <c r="D20" s="2">
        <v>1509770</v>
      </c>
      <c r="E20" s="4" t="s">
        <v>106</v>
      </c>
      <c r="F20" s="4" t="s">
        <v>107</v>
      </c>
      <c r="G20" s="2">
        <v>992703344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45870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62</v>
      </c>
      <c r="U20" s="4" t="s">
        <v>45</v>
      </c>
      <c r="V20" s="5">
        <v>1</v>
      </c>
      <c r="W20" s="5">
        <v>0</v>
      </c>
      <c r="X20" s="5">
        <v>100</v>
      </c>
      <c r="Y20" s="5">
        <v>26.08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45292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63</v>
      </c>
      <c r="AO20" s="4" t="s">
        <v>45</v>
      </c>
      <c r="AP20" s="4" t="s">
        <v>45</v>
      </c>
    </row>
    <row r="21" spans="1:42" x14ac:dyDescent="0.2">
      <c r="A21" s="2">
        <v>1891456</v>
      </c>
      <c r="B21" s="3">
        <v>45882</v>
      </c>
      <c r="C21" s="4" t="s">
        <v>76</v>
      </c>
      <c r="D21" s="2">
        <v>1509770</v>
      </c>
      <c r="E21" s="4" t="s">
        <v>108</v>
      </c>
      <c r="F21" s="4" t="s">
        <v>109</v>
      </c>
      <c r="G21" s="2">
        <v>142479033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45870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62</v>
      </c>
      <c r="U21" s="4" t="s">
        <v>45</v>
      </c>
      <c r="V21" s="5">
        <v>1</v>
      </c>
      <c r="W21" s="5">
        <v>0</v>
      </c>
      <c r="X21" s="5">
        <v>100</v>
      </c>
      <c r="Y21" s="5">
        <v>26.08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45170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63</v>
      </c>
      <c r="AO21" s="4" t="s">
        <v>45</v>
      </c>
      <c r="AP21" s="4" t="s">
        <v>45</v>
      </c>
    </row>
    <row r="22" spans="1:42" x14ac:dyDescent="0.2">
      <c r="A22" s="2">
        <v>1891456</v>
      </c>
      <c r="B22" s="3">
        <v>45882</v>
      </c>
      <c r="C22" s="4" t="s">
        <v>76</v>
      </c>
      <c r="D22" s="2">
        <v>1509770</v>
      </c>
      <c r="E22" s="4" t="s">
        <v>110</v>
      </c>
      <c r="F22" s="4" t="s">
        <v>111</v>
      </c>
      <c r="G22" s="2">
        <v>695051574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45870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62</v>
      </c>
      <c r="U22" s="4" t="s">
        <v>45</v>
      </c>
      <c r="V22" s="5">
        <v>1</v>
      </c>
      <c r="W22" s="5">
        <v>0</v>
      </c>
      <c r="X22" s="5">
        <v>100</v>
      </c>
      <c r="Y22" s="5">
        <v>26.08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45170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112</v>
      </c>
      <c r="AO22" s="4" t="s">
        <v>45</v>
      </c>
      <c r="AP22" s="4" t="s">
        <v>45</v>
      </c>
    </row>
    <row r="23" spans="1:42" x14ac:dyDescent="0.2">
      <c r="A23" s="2">
        <v>1891456</v>
      </c>
      <c r="B23" s="3">
        <v>45882</v>
      </c>
      <c r="C23" s="4" t="s">
        <v>76</v>
      </c>
      <c r="D23" s="2">
        <v>1509770</v>
      </c>
      <c r="E23" s="4" t="s">
        <v>113</v>
      </c>
      <c r="F23" s="4" t="s">
        <v>114</v>
      </c>
      <c r="G23" s="2">
        <v>932902093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45870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62</v>
      </c>
      <c r="U23" s="4" t="s">
        <v>45</v>
      </c>
      <c r="V23" s="5">
        <v>1</v>
      </c>
      <c r="W23" s="5">
        <v>0</v>
      </c>
      <c r="X23" s="5">
        <v>100</v>
      </c>
      <c r="Y23" s="5">
        <v>26.08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45200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63</v>
      </c>
      <c r="AO23" s="4" t="s">
        <v>45</v>
      </c>
      <c r="AP23" s="4" t="s">
        <v>45</v>
      </c>
    </row>
    <row r="24" spans="1:42" x14ac:dyDescent="0.2">
      <c r="A24" s="2">
        <v>1891456</v>
      </c>
      <c r="B24" s="3">
        <v>45882</v>
      </c>
      <c r="C24" s="4" t="s">
        <v>76</v>
      </c>
      <c r="D24" s="2">
        <v>1509770</v>
      </c>
      <c r="E24" s="4" t="s">
        <v>115</v>
      </c>
      <c r="F24" s="4" t="s">
        <v>116</v>
      </c>
      <c r="G24" s="2">
        <v>677520433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45870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62</v>
      </c>
      <c r="U24" s="4" t="s">
        <v>45</v>
      </c>
      <c r="V24" s="5">
        <v>1</v>
      </c>
      <c r="W24" s="5">
        <v>0</v>
      </c>
      <c r="X24" s="5">
        <v>100</v>
      </c>
      <c r="Y24" s="5">
        <v>26.08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45200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63</v>
      </c>
      <c r="AO24" s="4" t="s">
        <v>45</v>
      </c>
      <c r="AP24" s="4" t="s">
        <v>45</v>
      </c>
    </row>
    <row r="25" spans="1:42" x14ac:dyDescent="0.2">
      <c r="A25" s="2">
        <v>1891456</v>
      </c>
      <c r="B25" s="3">
        <v>45882</v>
      </c>
      <c r="C25" s="4" t="s">
        <v>76</v>
      </c>
      <c r="D25" s="2">
        <v>1509770</v>
      </c>
      <c r="E25" s="4" t="s">
        <v>117</v>
      </c>
      <c r="F25" s="4" t="s">
        <v>118</v>
      </c>
      <c r="G25" s="2">
        <v>287686314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45870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62</v>
      </c>
      <c r="U25" s="4" t="s">
        <v>45</v>
      </c>
      <c r="V25" s="5">
        <v>1</v>
      </c>
      <c r="W25" s="5">
        <v>0</v>
      </c>
      <c r="X25" s="5">
        <v>100</v>
      </c>
      <c r="Y25" s="5">
        <v>26.08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45292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63</v>
      </c>
      <c r="AO25" s="4" t="s">
        <v>45</v>
      </c>
      <c r="AP25" s="4" t="s">
        <v>45</v>
      </c>
    </row>
    <row r="26" spans="1:42" x14ac:dyDescent="0.2">
      <c r="A26" s="2">
        <v>1891456</v>
      </c>
      <c r="B26" s="3">
        <v>45882</v>
      </c>
      <c r="C26" s="4" t="s">
        <v>76</v>
      </c>
      <c r="D26" s="2">
        <v>1509770</v>
      </c>
      <c r="E26" s="4" t="s">
        <v>119</v>
      </c>
      <c r="F26" s="4" t="s">
        <v>120</v>
      </c>
      <c r="G26" s="2">
        <v>258639413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45870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62</v>
      </c>
      <c r="U26" s="4" t="s">
        <v>45</v>
      </c>
      <c r="V26" s="5">
        <v>1</v>
      </c>
      <c r="W26" s="5">
        <v>0</v>
      </c>
      <c r="X26" s="5">
        <v>100</v>
      </c>
      <c r="Y26" s="5">
        <v>26.08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45292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63</v>
      </c>
      <c r="AO26" s="4" t="s">
        <v>45</v>
      </c>
      <c r="AP26" s="4" t="s">
        <v>45</v>
      </c>
    </row>
    <row r="27" spans="1:42" x14ac:dyDescent="0.2">
      <c r="A27" s="2">
        <v>1891456</v>
      </c>
      <c r="B27" s="3">
        <v>45882</v>
      </c>
      <c r="C27" s="4" t="s">
        <v>76</v>
      </c>
      <c r="D27" s="2">
        <v>1509770</v>
      </c>
      <c r="E27" s="4" t="s">
        <v>121</v>
      </c>
      <c r="F27" s="4" t="s">
        <v>122</v>
      </c>
      <c r="G27" s="2">
        <v>858505524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45870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62</v>
      </c>
      <c r="U27" s="4" t="s">
        <v>45</v>
      </c>
      <c r="V27" s="5">
        <v>1</v>
      </c>
      <c r="W27" s="5">
        <v>0</v>
      </c>
      <c r="X27" s="5">
        <v>100</v>
      </c>
      <c r="Y27" s="5">
        <v>26.08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45292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63</v>
      </c>
      <c r="AO27" s="4" t="s">
        <v>45</v>
      </c>
      <c r="AP27" s="4" t="s">
        <v>45</v>
      </c>
    </row>
    <row r="28" spans="1:42" x14ac:dyDescent="0.2">
      <c r="A28" s="2">
        <v>1891456</v>
      </c>
      <c r="B28" s="3">
        <v>45882</v>
      </c>
      <c r="C28" s="4" t="s">
        <v>76</v>
      </c>
      <c r="D28" s="2">
        <v>1509770</v>
      </c>
      <c r="E28" s="4" t="s">
        <v>123</v>
      </c>
      <c r="F28" s="4" t="s">
        <v>124</v>
      </c>
      <c r="G28" s="2">
        <v>146982443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45870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62</v>
      </c>
      <c r="U28" s="4" t="s">
        <v>45</v>
      </c>
      <c r="V28" s="5">
        <v>1</v>
      </c>
      <c r="W28" s="5">
        <v>0</v>
      </c>
      <c r="X28" s="5">
        <v>100</v>
      </c>
      <c r="Y28" s="5">
        <v>26.08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45292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63</v>
      </c>
      <c r="AO28" s="4" t="s">
        <v>45</v>
      </c>
      <c r="AP28" s="4" t="s">
        <v>45</v>
      </c>
    </row>
    <row r="29" spans="1:42" x14ac:dyDescent="0.2">
      <c r="A29" s="2">
        <v>1891456</v>
      </c>
      <c r="B29" s="3">
        <v>45882</v>
      </c>
      <c r="C29" s="4" t="s">
        <v>76</v>
      </c>
      <c r="D29" s="2">
        <v>1509770</v>
      </c>
      <c r="E29" s="4" t="s">
        <v>125</v>
      </c>
      <c r="F29" s="4" t="s">
        <v>126</v>
      </c>
      <c r="G29" s="2">
        <v>479915034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45870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51</v>
      </c>
      <c r="U29" s="4" t="s">
        <v>45</v>
      </c>
      <c r="V29" s="5">
        <v>1</v>
      </c>
      <c r="W29" s="5">
        <v>0</v>
      </c>
      <c r="X29" s="5">
        <v>100</v>
      </c>
      <c r="Y29" s="5">
        <v>26.08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45231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101</v>
      </c>
      <c r="AO29" s="4" t="s">
        <v>45</v>
      </c>
      <c r="AP29" s="4" t="s">
        <v>45</v>
      </c>
    </row>
    <row r="30" spans="1:42" x14ac:dyDescent="0.2">
      <c r="A30" s="2">
        <v>1891456</v>
      </c>
      <c r="B30" s="3">
        <v>45882</v>
      </c>
      <c r="C30" s="4" t="s">
        <v>76</v>
      </c>
      <c r="D30" s="2">
        <v>1509770</v>
      </c>
      <c r="E30" s="4" t="s">
        <v>127</v>
      </c>
      <c r="F30" s="4" t="s">
        <v>128</v>
      </c>
      <c r="G30" s="2">
        <v>898232243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45870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62</v>
      </c>
      <c r="U30" s="4" t="s">
        <v>45</v>
      </c>
      <c r="V30" s="5">
        <v>1</v>
      </c>
      <c r="W30" s="5">
        <v>0</v>
      </c>
      <c r="X30" s="5">
        <v>100</v>
      </c>
      <c r="Y30" s="5">
        <v>26.08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45292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63</v>
      </c>
      <c r="AO30" s="4" t="s">
        <v>45</v>
      </c>
      <c r="AP30" s="4" t="s">
        <v>45</v>
      </c>
    </row>
    <row r="31" spans="1:42" x14ac:dyDescent="0.2">
      <c r="A31" s="2">
        <v>1891456</v>
      </c>
      <c r="B31" s="3">
        <v>45882</v>
      </c>
      <c r="C31" s="4" t="s">
        <v>76</v>
      </c>
      <c r="D31" s="2">
        <v>1509770</v>
      </c>
      <c r="E31" s="4" t="s">
        <v>129</v>
      </c>
      <c r="F31" s="4" t="s">
        <v>130</v>
      </c>
      <c r="G31" s="2">
        <v>857752374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45870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62</v>
      </c>
      <c r="U31" s="4" t="s">
        <v>45</v>
      </c>
      <c r="V31" s="5">
        <v>1</v>
      </c>
      <c r="W31" s="5">
        <v>0</v>
      </c>
      <c r="X31" s="5">
        <v>100</v>
      </c>
      <c r="Y31" s="5">
        <v>26.08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45261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63</v>
      </c>
      <c r="AO31" s="4" t="s">
        <v>45</v>
      </c>
      <c r="AP31" s="4" t="s">
        <v>45</v>
      </c>
    </row>
    <row r="32" spans="1:42" x14ac:dyDescent="0.2">
      <c r="A32" s="2">
        <v>1891456</v>
      </c>
      <c r="B32" s="3">
        <v>45882</v>
      </c>
      <c r="C32" s="4" t="s">
        <v>76</v>
      </c>
      <c r="D32" s="2">
        <v>1509770</v>
      </c>
      <c r="E32" s="4" t="s">
        <v>131</v>
      </c>
      <c r="F32" s="4" t="s">
        <v>132</v>
      </c>
      <c r="G32" s="2">
        <v>123130024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45870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62</v>
      </c>
      <c r="U32" s="4" t="s">
        <v>45</v>
      </c>
      <c r="V32" s="5">
        <v>1</v>
      </c>
      <c r="W32" s="5">
        <v>0</v>
      </c>
      <c r="X32" s="5">
        <v>100</v>
      </c>
      <c r="Y32" s="5">
        <v>26.08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45292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63</v>
      </c>
      <c r="AO32" s="4" t="s">
        <v>45</v>
      </c>
      <c r="AP32" s="4" t="s">
        <v>45</v>
      </c>
    </row>
    <row r="33" spans="1:42" x14ac:dyDescent="0.2">
      <c r="A33" s="2">
        <v>1891456</v>
      </c>
      <c r="B33" s="3">
        <v>45882</v>
      </c>
      <c r="C33" s="4" t="s">
        <v>76</v>
      </c>
      <c r="D33" s="2">
        <v>1509770</v>
      </c>
      <c r="E33" s="4" t="s">
        <v>133</v>
      </c>
      <c r="F33" s="4" t="s">
        <v>134</v>
      </c>
      <c r="G33" s="2">
        <v>634142241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45870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62</v>
      </c>
      <c r="U33" s="4" t="s">
        <v>45</v>
      </c>
      <c r="V33" s="5">
        <v>1</v>
      </c>
      <c r="W33" s="5">
        <v>0</v>
      </c>
      <c r="X33" s="5">
        <v>100</v>
      </c>
      <c r="Y33" s="5">
        <v>26.08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45292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63</v>
      </c>
      <c r="AO33" s="4" t="s">
        <v>45</v>
      </c>
      <c r="AP33" s="4" t="s">
        <v>45</v>
      </c>
    </row>
    <row r="34" spans="1:42" x14ac:dyDescent="0.2">
      <c r="A34" s="2">
        <v>1891456</v>
      </c>
      <c r="B34" s="3">
        <v>45882</v>
      </c>
      <c r="C34" s="4" t="s">
        <v>76</v>
      </c>
      <c r="D34" s="2">
        <v>1509770</v>
      </c>
      <c r="E34" s="4" t="s">
        <v>135</v>
      </c>
      <c r="F34" s="4" t="s">
        <v>136</v>
      </c>
      <c r="G34" s="2">
        <v>579548434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45870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62</v>
      </c>
      <c r="U34" s="4" t="s">
        <v>45</v>
      </c>
      <c r="V34" s="5">
        <v>1</v>
      </c>
      <c r="W34" s="5">
        <v>0</v>
      </c>
      <c r="X34" s="5">
        <v>100</v>
      </c>
      <c r="Y34" s="5">
        <v>26.08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45292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63</v>
      </c>
      <c r="AO34" s="4" t="s">
        <v>45</v>
      </c>
      <c r="AP34" s="4" t="s">
        <v>45</v>
      </c>
    </row>
    <row r="35" spans="1:42" x14ac:dyDescent="0.2">
      <c r="A35" s="2">
        <v>1891456</v>
      </c>
      <c r="B35" s="3">
        <v>45882</v>
      </c>
      <c r="C35" s="4" t="s">
        <v>76</v>
      </c>
      <c r="D35" s="2">
        <v>1509770</v>
      </c>
      <c r="E35" s="4" t="s">
        <v>137</v>
      </c>
      <c r="F35" s="4" t="s">
        <v>138</v>
      </c>
      <c r="G35" s="2">
        <v>225067423</v>
      </c>
      <c r="H35" s="4" t="s">
        <v>45</v>
      </c>
      <c r="I35" s="4" t="s">
        <v>45</v>
      </c>
      <c r="J35" s="4" t="s">
        <v>46</v>
      </c>
      <c r="K35" s="4" t="s">
        <v>47</v>
      </c>
      <c r="L35" s="3">
        <v>45870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62</v>
      </c>
      <c r="U35" s="4" t="s">
        <v>45</v>
      </c>
      <c r="V35" s="5">
        <v>1</v>
      </c>
      <c r="W35" s="5">
        <v>0</v>
      </c>
      <c r="X35" s="5">
        <v>100</v>
      </c>
      <c r="Y35" s="5">
        <v>26.08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45323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63</v>
      </c>
      <c r="AO35" s="4" t="s">
        <v>45</v>
      </c>
      <c r="AP35" s="4" t="s">
        <v>45</v>
      </c>
    </row>
    <row r="36" spans="1:42" x14ac:dyDescent="0.2">
      <c r="A36" s="2">
        <v>1891456</v>
      </c>
      <c r="B36" s="3">
        <v>45882</v>
      </c>
      <c r="C36" s="4" t="s">
        <v>76</v>
      </c>
      <c r="D36" s="2">
        <v>1509770</v>
      </c>
      <c r="E36" s="4" t="s">
        <v>139</v>
      </c>
      <c r="F36" s="4" t="s">
        <v>140</v>
      </c>
      <c r="G36" s="2">
        <v>162489380</v>
      </c>
      <c r="H36" s="4" t="s">
        <v>45</v>
      </c>
      <c r="I36" s="4" t="s">
        <v>45</v>
      </c>
      <c r="J36" s="4" t="s">
        <v>46</v>
      </c>
      <c r="K36" s="4" t="s">
        <v>47</v>
      </c>
      <c r="L36" s="3">
        <v>45870</v>
      </c>
      <c r="M36" s="4" t="s">
        <v>48</v>
      </c>
      <c r="N36" s="4" t="s">
        <v>45</v>
      </c>
      <c r="O36" s="4" t="s">
        <v>49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62</v>
      </c>
      <c r="U36" s="4" t="s">
        <v>45</v>
      </c>
      <c r="V36" s="5">
        <v>1</v>
      </c>
      <c r="W36" s="5">
        <v>0</v>
      </c>
      <c r="X36" s="5">
        <v>100</v>
      </c>
      <c r="Y36" s="5">
        <v>26.08</v>
      </c>
      <c r="Z36" s="4" t="s">
        <v>45</v>
      </c>
      <c r="AA36" s="5" t="s">
        <v>45</v>
      </c>
      <c r="AB36" s="4" t="s">
        <v>52</v>
      </c>
      <c r="AC36" s="4" t="s">
        <v>45</v>
      </c>
      <c r="AD36" s="5">
        <v>0</v>
      </c>
      <c r="AE36" s="4" t="s">
        <v>53</v>
      </c>
      <c r="AF36" s="3">
        <v>45413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63</v>
      </c>
      <c r="AO36" s="4" t="s">
        <v>45</v>
      </c>
      <c r="AP36" s="4" t="s">
        <v>45</v>
      </c>
    </row>
    <row r="37" spans="1:42" x14ac:dyDescent="0.2">
      <c r="A37" s="2">
        <v>1891456</v>
      </c>
      <c r="B37" s="3">
        <v>45882</v>
      </c>
      <c r="C37" s="4" t="s">
        <v>76</v>
      </c>
      <c r="D37" s="2">
        <v>1509770</v>
      </c>
      <c r="E37" s="4" t="s">
        <v>141</v>
      </c>
      <c r="F37" s="4" t="s">
        <v>142</v>
      </c>
      <c r="G37" s="2">
        <v>664060043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45870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90</v>
      </c>
      <c r="U37" s="4" t="s">
        <v>45</v>
      </c>
      <c r="V37" s="5">
        <v>1</v>
      </c>
      <c r="W37" s="5">
        <v>0</v>
      </c>
      <c r="X37" s="5">
        <v>100</v>
      </c>
      <c r="Y37" s="5">
        <v>26.08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45413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54</v>
      </c>
      <c r="AO37" s="4" t="s">
        <v>45</v>
      </c>
      <c r="AP37" s="4" t="s">
        <v>45</v>
      </c>
    </row>
    <row r="38" spans="1:42" x14ac:dyDescent="0.2">
      <c r="A38" s="2">
        <v>1891456</v>
      </c>
      <c r="B38" s="3">
        <v>45882</v>
      </c>
      <c r="C38" s="4" t="s">
        <v>76</v>
      </c>
      <c r="D38" s="2">
        <v>1509770</v>
      </c>
      <c r="E38" s="4" t="s">
        <v>143</v>
      </c>
      <c r="F38" s="4" t="s">
        <v>144</v>
      </c>
      <c r="G38" s="2">
        <v>130386835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45870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62</v>
      </c>
      <c r="U38" s="4" t="s">
        <v>45</v>
      </c>
      <c r="V38" s="5">
        <v>1</v>
      </c>
      <c r="W38" s="5">
        <v>0</v>
      </c>
      <c r="X38" s="5">
        <v>100</v>
      </c>
      <c r="Y38" s="5">
        <v>26.08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45383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63</v>
      </c>
      <c r="AO38" s="4" t="s">
        <v>45</v>
      </c>
      <c r="AP38" s="4" t="s">
        <v>45</v>
      </c>
    </row>
    <row r="39" spans="1:42" x14ac:dyDescent="0.2">
      <c r="A39" s="2">
        <v>1891456</v>
      </c>
      <c r="B39" s="3">
        <v>45882</v>
      </c>
      <c r="C39" s="4" t="s">
        <v>76</v>
      </c>
      <c r="D39" s="2">
        <v>1509770</v>
      </c>
      <c r="E39" s="4" t="s">
        <v>145</v>
      </c>
      <c r="F39" s="4" t="s">
        <v>146</v>
      </c>
      <c r="G39" s="2">
        <v>104532335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45870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62</v>
      </c>
      <c r="U39" s="4" t="s">
        <v>45</v>
      </c>
      <c r="V39" s="5">
        <v>1</v>
      </c>
      <c r="W39" s="5">
        <v>0</v>
      </c>
      <c r="X39" s="5">
        <v>100</v>
      </c>
      <c r="Y39" s="5">
        <v>26.08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45352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63</v>
      </c>
      <c r="AO39" s="4" t="s">
        <v>45</v>
      </c>
      <c r="AP39" s="4" t="s">
        <v>45</v>
      </c>
    </row>
    <row r="40" spans="1:42" x14ac:dyDescent="0.2">
      <c r="A40" s="2">
        <v>1891456</v>
      </c>
      <c r="B40" s="3">
        <v>45882</v>
      </c>
      <c r="C40" s="4" t="s">
        <v>76</v>
      </c>
      <c r="D40" s="2">
        <v>1509770</v>
      </c>
      <c r="E40" s="4" t="s">
        <v>147</v>
      </c>
      <c r="F40" s="4" t="s">
        <v>148</v>
      </c>
      <c r="G40" s="2">
        <v>288945103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45870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62</v>
      </c>
      <c r="U40" s="4" t="s">
        <v>45</v>
      </c>
      <c r="V40" s="5">
        <v>1</v>
      </c>
      <c r="W40" s="5">
        <v>0</v>
      </c>
      <c r="X40" s="5">
        <v>100</v>
      </c>
      <c r="Y40" s="5">
        <v>26.08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45413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63</v>
      </c>
      <c r="AO40" s="4" t="s">
        <v>45</v>
      </c>
      <c r="AP40" s="4" t="s">
        <v>45</v>
      </c>
    </row>
    <row r="41" spans="1:42" x14ac:dyDescent="0.2">
      <c r="A41" s="2">
        <v>1891456</v>
      </c>
      <c r="B41" s="3">
        <v>45882</v>
      </c>
      <c r="C41" s="4" t="s">
        <v>76</v>
      </c>
      <c r="D41" s="2">
        <v>1509770</v>
      </c>
      <c r="E41" s="4" t="s">
        <v>149</v>
      </c>
      <c r="F41" s="4" t="s">
        <v>150</v>
      </c>
      <c r="G41" s="2">
        <v>501940134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45870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62</v>
      </c>
      <c r="U41" s="4" t="s">
        <v>45</v>
      </c>
      <c r="V41" s="5">
        <v>1</v>
      </c>
      <c r="W41" s="5">
        <v>0</v>
      </c>
      <c r="X41" s="5">
        <v>100</v>
      </c>
      <c r="Y41" s="5">
        <v>26.08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45444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63</v>
      </c>
      <c r="AO41" s="4" t="s">
        <v>45</v>
      </c>
      <c r="AP41" s="4" t="s">
        <v>45</v>
      </c>
    </row>
    <row r="42" spans="1:42" x14ac:dyDescent="0.2">
      <c r="A42" s="2">
        <v>1891456</v>
      </c>
      <c r="B42" s="3">
        <v>45882</v>
      </c>
      <c r="C42" s="4" t="s">
        <v>76</v>
      </c>
      <c r="D42" s="2">
        <v>1509770</v>
      </c>
      <c r="E42" s="4" t="s">
        <v>151</v>
      </c>
      <c r="F42" s="4" t="s">
        <v>152</v>
      </c>
      <c r="G42" s="2">
        <v>752163464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45870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62</v>
      </c>
      <c r="U42" s="4" t="s">
        <v>45</v>
      </c>
      <c r="V42" s="5">
        <v>1</v>
      </c>
      <c r="W42" s="5">
        <v>0</v>
      </c>
      <c r="X42" s="5">
        <v>100</v>
      </c>
      <c r="Y42" s="5">
        <v>26.08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45444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63</v>
      </c>
      <c r="AO42" s="4" t="s">
        <v>45</v>
      </c>
      <c r="AP42" s="4" t="s">
        <v>45</v>
      </c>
    </row>
    <row r="43" spans="1:42" x14ac:dyDescent="0.2">
      <c r="A43" s="2">
        <v>1891456</v>
      </c>
      <c r="B43" s="3">
        <v>45882</v>
      </c>
      <c r="C43" s="4" t="s">
        <v>76</v>
      </c>
      <c r="D43" s="2">
        <v>1509770</v>
      </c>
      <c r="E43" s="4" t="s">
        <v>153</v>
      </c>
      <c r="F43" s="4" t="s">
        <v>154</v>
      </c>
      <c r="G43" s="2">
        <v>96261115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45870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62</v>
      </c>
      <c r="U43" s="4" t="s">
        <v>45</v>
      </c>
      <c r="V43" s="5">
        <v>1</v>
      </c>
      <c r="W43" s="5">
        <v>0</v>
      </c>
      <c r="X43" s="5">
        <v>100</v>
      </c>
      <c r="Y43" s="5">
        <v>26.08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45474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63</v>
      </c>
      <c r="AO43" s="4" t="s">
        <v>45</v>
      </c>
      <c r="AP43" s="4" t="s">
        <v>45</v>
      </c>
    </row>
    <row r="44" spans="1:42" x14ac:dyDescent="0.2">
      <c r="A44" s="2">
        <v>1891456</v>
      </c>
      <c r="B44" s="3">
        <v>45882</v>
      </c>
      <c r="C44" s="4" t="s">
        <v>76</v>
      </c>
      <c r="D44" s="2">
        <v>1509770</v>
      </c>
      <c r="E44" s="4" t="s">
        <v>155</v>
      </c>
      <c r="F44" s="4" t="s">
        <v>156</v>
      </c>
      <c r="G44" s="2">
        <v>65002716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45870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62</v>
      </c>
      <c r="U44" s="4" t="s">
        <v>45</v>
      </c>
      <c r="V44" s="5">
        <v>1</v>
      </c>
      <c r="W44" s="5">
        <v>0</v>
      </c>
      <c r="X44" s="5">
        <v>100</v>
      </c>
      <c r="Y44" s="5">
        <v>26.08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45444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63</v>
      </c>
      <c r="AO44" s="4" t="s">
        <v>45</v>
      </c>
      <c r="AP44" s="4" t="s">
        <v>45</v>
      </c>
    </row>
    <row r="45" spans="1:42" x14ac:dyDescent="0.2">
      <c r="A45" s="2">
        <v>1891456</v>
      </c>
      <c r="B45" s="3">
        <v>45882</v>
      </c>
      <c r="C45" s="4" t="s">
        <v>76</v>
      </c>
      <c r="D45" s="2">
        <v>1509770</v>
      </c>
      <c r="E45" s="4" t="s">
        <v>157</v>
      </c>
      <c r="F45" s="4" t="s">
        <v>158</v>
      </c>
      <c r="G45" s="2">
        <v>841443335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45870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62</v>
      </c>
      <c r="U45" s="4" t="s">
        <v>45</v>
      </c>
      <c r="V45" s="5">
        <v>1</v>
      </c>
      <c r="W45" s="5">
        <v>0</v>
      </c>
      <c r="X45" s="5">
        <v>100</v>
      </c>
      <c r="Y45" s="5">
        <v>26.08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45505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63</v>
      </c>
      <c r="AO45" s="4" t="s">
        <v>45</v>
      </c>
      <c r="AP45" s="4" t="s">
        <v>45</v>
      </c>
    </row>
    <row r="46" spans="1:42" x14ac:dyDescent="0.2">
      <c r="A46" s="2">
        <v>1891456</v>
      </c>
      <c r="B46" s="3">
        <v>45882</v>
      </c>
      <c r="C46" s="4" t="s">
        <v>76</v>
      </c>
      <c r="D46" s="2">
        <v>1509770</v>
      </c>
      <c r="E46" s="4" t="s">
        <v>159</v>
      </c>
      <c r="F46" s="4" t="s">
        <v>160</v>
      </c>
      <c r="G46" s="2">
        <v>579241442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45870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62</v>
      </c>
      <c r="U46" s="4" t="s">
        <v>45</v>
      </c>
      <c r="V46" s="5">
        <v>1</v>
      </c>
      <c r="W46" s="5">
        <v>0</v>
      </c>
      <c r="X46" s="5">
        <v>100</v>
      </c>
      <c r="Y46" s="5">
        <v>26.08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45444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63</v>
      </c>
      <c r="AO46" s="4" t="s">
        <v>45</v>
      </c>
      <c r="AP46" s="4" t="s">
        <v>45</v>
      </c>
    </row>
    <row r="47" spans="1:42" x14ac:dyDescent="0.2">
      <c r="A47" s="2">
        <v>1891456</v>
      </c>
      <c r="B47" s="3">
        <v>45882</v>
      </c>
      <c r="C47" s="4" t="s">
        <v>76</v>
      </c>
      <c r="D47" s="2">
        <v>1509770</v>
      </c>
      <c r="E47" s="4" t="s">
        <v>161</v>
      </c>
      <c r="F47" s="4" t="s">
        <v>162</v>
      </c>
      <c r="G47" s="2">
        <v>468768234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45870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62</v>
      </c>
      <c r="U47" s="4" t="s">
        <v>45</v>
      </c>
      <c r="V47" s="5">
        <v>1</v>
      </c>
      <c r="W47" s="5">
        <v>0</v>
      </c>
      <c r="X47" s="5">
        <v>100</v>
      </c>
      <c r="Y47" s="5">
        <v>26.08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45597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63</v>
      </c>
      <c r="AO47" s="4" t="s">
        <v>45</v>
      </c>
      <c r="AP47" s="4" t="s">
        <v>45</v>
      </c>
    </row>
    <row r="48" spans="1:42" x14ac:dyDescent="0.2">
      <c r="A48" s="2">
        <v>1891456</v>
      </c>
      <c r="B48" s="3">
        <v>45882</v>
      </c>
      <c r="C48" s="4" t="s">
        <v>76</v>
      </c>
      <c r="D48" s="2">
        <v>1509770</v>
      </c>
      <c r="E48" s="4" t="s">
        <v>163</v>
      </c>
      <c r="F48" s="4" t="s">
        <v>164</v>
      </c>
      <c r="G48" s="2">
        <v>431113124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45870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62</v>
      </c>
      <c r="U48" s="4" t="s">
        <v>45</v>
      </c>
      <c r="V48" s="5">
        <v>1</v>
      </c>
      <c r="W48" s="5">
        <v>0</v>
      </c>
      <c r="X48" s="5">
        <v>100</v>
      </c>
      <c r="Y48" s="5">
        <v>26.08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45566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63</v>
      </c>
      <c r="AO48" s="4" t="s">
        <v>45</v>
      </c>
      <c r="AP48" s="4" t="s">
        <v>45</v>
      </c>
    </row>
    <row r="49" spans="1:42" x14ac:dyDescent="0.2">
      <c r="A49" s="2">
        <v>1891456</v>
      </c>
      <c r="B49" s="3">
        <v>45882</v>
      </c>
      <c r="C49" s="4" t="s">
        <v>76</v>
      </c>
      <c r="D49" s="2">
        <v>1509770</v>
      </c>
      <c r="E49" s="4" t="s">
        <v>165</v>
      </c>
      <c r="F49" s="4" t="s">
        <v>166</v>
      </c>
      <c r="G49" s="2">
        <v>582236473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45870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90</v>
      </c>
      <c r="U49" s="4" t="s">
        <v>45</v>
      </c>
      <c r="V49" s="5">
        <v>1</v>
      </c>
      <c r="W49" s="5">
        <v>0</v>
      </c>
      <c r="X49" s="5">
        <v>100</v>
      </c>
      <c r="Y49" s="5">
        <v>26.08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45627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54</v>
      </c>
      <c r="AO49" s="4" t="s">
        <v>45</v>
      </c>
      <c r="AP49" s="4" t="s">
        <v>45</v>
      </c>
    </row>
    <row r="50" spans="1:42" x14ac:dyDescent="0.2">
      <c r="A50" s="2">
        <v>1891456</v>
      </c>
      <c r="B50" s="3">
        <v>45882</v>
      </c>
      <c r="C50" s="4" t="s">
        <v>76</v>
      </c>
      <c r="D50" s="2">
        <v>1509770</v>
      </c>
      <c r="E50" s="4" t="s">
        <v>167</v>
      </c>
      <c r="F50" s="4" t="s">
        <v>168</v>
      </c>
      <c r="G50" s="2">
        <v>434909034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45870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51</v>
      </c>
      <c r="U50" s="4" t="s">
        <v>45</v>
      </c>
      <c r="V50" s="5">
        <v>1</v>
      </c>
      <c r="W50" s="5">
        <v>0</v>
      </c>
      <c r="X50" s="5">
        <v>100</v>
      </c>
      <c r="Y50" s="5">
        <v>26.08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45597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91</v>
      </c>
      <c r="AO50" s="4" t="s">
        <v>45</v>
      </c>
      <c r="AP50" s="4" t="s">
        <v>45</v>
      </c>
    </row>
    <row r="51" spans="1:42" x14ac:dyDescent="0.2">
      <c r="A51" s="2">
        <v>1891456</v>
      </c>
      <c r="B51" s="3">
        <v>45882</v>
      </c>
      <c r="C51" s="4" t="s">
        <v>76</v>
      </c>
      <c r="D51" s="2">
        <v>1509770</v>
      </c>
      <c r="E51" s="4" t="s">
        <v>169</v>
      </c>
      <c r="F51" s="4" t="s">
        <v>170</v>
      </c>
      <c r="G51" s="2">
        <v>89519214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45870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62</v>
      </c>
      <c r="U51" s="4" t="s">
        <v>45</v>
      </c>
      <c r="V51" s="5">
        <v>1</v>
      </c>
      <c r="W51" s="5">
        <v>0</v>
      </c>
      <c r="X51" s="5">
        <v>100</v>
      </c>
      <c r="Y51" s="5">
        <v>26.08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45627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63</v>
      </c>
      <c r="AO51" s="4" t="s">
        <v>45</v>
      </c>
      <c r="AP51" s="4" t="s">
        <v>45</v>
      </c>
    </row>
    <row r="52" spans="1:42" x14ac:dyDescent="0.2">
      <c r="A52" s="2">
        <v>1891456</v>
      </c>
      <c r="B52" s="3">
        <v>45882</v>
      </c>
      <c r="C52" s="4" t="s">
        <v>76</v>
      </c>
      <c r="D52" s="2">
        <v>1509770</v>
      </c>
      <c r="E52" s="4" t="s">
        <v>171</v>
      </c>
      <c r="F52" s="4" t="s">
        <v>172</v>
      </c>
      <c r="G52" s="2">
        <v>655623503</v>
      </c>
      <c r="H52" s="4" t="s">
        <v>45</v>
      </c>
      <c r="I52" s="4" t="s">
        <v>45</v>
      </c>
      <c r="J52" s="4" t="s">
        <v>46</v>
      </c>
      <c r="K52" s="4" t="s">
        <v>47</v>
      </c>
      <c r="L52" s="3">
        <v>45870</v>
      </c>
      <c r="M52" s="4" t="s">
        <v>48</v>
      </c>
      <c r="N52" s="4" t="s">
        <v>45</v>
      </c>
      <c r="O52" s="4" t="s">
        <v>49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62</v>
      </c>
      <c r="U52" s="4" t="s">
        <v>45</v>
      </c>
      <c r="V52" s="5">
        <v>1</v>
      </c>
      <c r="W52" s="5">
        <v>0</v>
      </c>
      <c r="X52" s="5">
        <v>100</v>
      </c>
      <c r="Y52" s="5">
        <v>26.08</v>
      </c>
      <c r="Z52" s="4" t="s">
        <v>45</v>
      </c>
      <c r="AA52" s="5" t="s">
        <v>45</v>
      </c>
      <c r="AB52" s="4" t="s">
        <v>52</v>
      </c>
      <c r="AC52" s="4" t="s">
        <v>45</v>
      </c>
      <c r="AD52" s="5">
        <v>0</v>
      </c>
      <c r="AE52" s="4" t="s">
        <v>53</v>
      </c>
      <c r="AF52" s="3">
        <v>45597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63</v>
      </c>
      <c r="AO52" s="4" t="s">
        <v>45</v>
      </c>
      <c r="AP52" s="4" t="s">
        <v>45</v>
      </c>
    </row>
    <row r="53" spans="1:42" x14ac:dyDescent="0.2">
      <c r="A53" s="2">
        <v>1891456</v>
      </c>
      <c r="B53" s="3">
        <v>45882</v>
      </c>
      <c r="C53" s="4" t="s">
        <v>76</v>
      </c>
      <c r="D53" s="2">
        <v>1509770</v>
      </c>
      <c r="E53" s="4" t="s">
        <v>173</v>
      </c>
      <c r="F53" s="4" t="s">
        <v>174</v>
      </c>
      <c r="G53" s="2">
        <v>81022024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45870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51</v>
      </c>
      <c r="U53" s="4" t="s">
        <v>45</v>
      </c>
      <c r="V53" s="5">
        <v>1</v>
      </c>
      <c r="W53" s="5">
        <v>0</v>
      </c>
      <c r="X53" s="5">
        <v>100</v>
      </c>
      <c r="Y53" s="5">
        <v>26.08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45627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91</v>
      </c>
      <c r="AO53" s="4" t="s">
        <v>45</v>
      </c>
      <c r="AP53" s="4" t="s">
        <v>45</v>
      </c>
    </row>
    <row r="54" spans="1:42" x14ac:dyDescent="0.2">
      <c r="A54" s="2">
        <v>1891456</v>
      </c>
      <c r="B54" s="3">
        <v>45882</v>
      </c>
      <c r="C54" s="4" t="s">
        <v>76</v>
      </c>
      <c r="D54" s="2">
        <v>1509770</v>
      </c>
      <c r="E54" s="4" t="s">
        <v>175</v>
      </c>
      <c r="F54" s="4" t="s">
        <v>176</v>
      </c>
      <c r="G54" s="2">
        <v>659822155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45870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62</v>
      </c>
      <c r="U54" s="4" t="s">
        <v>45</v>
      </c>
      <c r="V54" s="5">
        <v>1</v>
      </c>
      <c r="W54" s="5">
        <v>0</v>
      </c>
      <c r="X54" s="5">
        <v>100</v>
      </c>
      <c r="Y54" s="5">
        <v>26.08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45597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63</v>
      </c>
      <c r="AO54" s="4" t="s">
        <v>45</v>
      </c>
      <c r="AP54" s="4" t="s">
        <v>45</v>
      </c>
    </row>
    <row r="55" spans="1:42" x14ac:dyDescent="0.2">
      <c r="A55" s="2">
        <v>1891456</v>
      </c>
      <c r="B55" s="3">
        <v>45882</v>
      </c>
      <c r="C55" s="4" t="s">
        <v>76</v>
      </c>
      <c r="D55" s="2">
        <v>1509770</v>
      </c>
      <c r="E55" s="4" t="s">
        <v>177</v>
      </c>
      <c r="F55" s="4" t="s">
        <v>178</v>
      </c>
      <c r="G55" s="2">
        <v>57844271</v>
      </c>
      <c r="H55" s="4" t="s">
        <v>45</v>
      </c>
      <c r="I55" s="4" t="s">
        <v>45</v>
      </c>
      <c r="J55" s="4" t="s">
        <v>46</v>
      </c>
      <c r="K55" s="4" t="s">
        <v>47</v>
      </c>
      <c r="L55" s="3">
        <v>45870</v>
      </c>
      <c r="M55" s="4" t="s">
        <v>48</v>
      </c>
      <c r="N55" s="4" t="s">
        <v>45</v>
      </c>
      <c r="O55" s="4" t="s">
        <v>49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62</v>
      </c>
      <c r="U55" s="4" t="s">
        <v>45</v>
      </c>
      <c r="V55" s="5">
        <v>1</v>
      </c>
      <c r="W55" s="5">
        <v>0</v>
      </c>
      <c r="X55" s="5">
        <v>100</v>
      </c>
      <c r="Y55" s="5">
        <v>26.08</v>
      </c>
      <c r="Z55" s="4" t="s">
        <v>45</v>
      </c>
      <c r="AA55" s="5" t="s">
        <v>45</v>
      </c>
      <c r="AB55" s="4" t="s">
        <v>52</v>
      </c>
      <c r="AC55" s="4" t="s">
        <v>45</v>
      </c>
      <c r="AD55" s="5">
        <v>0</v>
      </c>
      <c r="AE55" s="4" t="s">
        <v>53</v>
      </c>
      <c r="AF55" s="3">
        <v>45627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63</v>
      </c>
      <c r="AO55" s="4" t="s">
        <v>45</v>
      </c>
      <c r="AP55" s="4" t="s">
        <v>45</v>
      </c>
    </row>
    <row r="56" spans="1:42" x14ac:dyDescent="0.2">
      <c r="A56" s="2">
        <v>1891456</v>
      </c>
      <c r="B56" s="3">
        <v>45882</v>
      </c>
      <c r="C56" s="4" t="s">
        <v>179</v>
      </c>
      <c r="D56" s="2">
        <v>1510420</v>
      </c>
      <c r="E56" s="4" t="s">
        <v>180</v>
      </c>
      <c r="F56" s="4" t="s">
        <v>181</v>
      </c>
      <c r="G56" s="2">
        <v>336346032</v>
      </c>
      <c r="H56" s="4" t="s">
        <v>45</v>
      </c>
      <c r="I56" s="4" t="s">
        <v>45</v>
      </c>
      <c r="J56" s="4" t="s">
        <v>46</v>
      </c>
      <c r="K56" s="4" t="s">
        <v>47</v>
      </c>
      <c r="L56" s="3">
        <v>45870</v>
      </c>
      <c r="M56" s="4" t="s">
        <v>48</v>
      </c>
      <c r="N56" s="4" t="s">
        <v>45</v>
      </c>
      <c r="O56" s="4" t="s">
        <v>49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62</v>
      </c>
      <c r="U56" s="4" t="s">
        <v>45</v>
      </c>
      <c r="V56" s="5">
        <v>1</v>
      </c>
      <c r="W56" s="5">
        <v>0</v>
      </c>
      <c r="X56" s="5">
        <v>100</v>
      </c>
      <c r="Y56" s="5">
        <v>26.08</v>
      </c>
      <c r="Z56" s="4" t="s">
        <v>45</v>
      </c>
      <c r="AA56" s="5" t="s">
        <v>45</v>
      </c>
      <c r="AB56" s="4" t="s">
        <v>52</v>
      </c>
      <c r="AC56" s="4" t="s">
        <v>45</v>
      </c>
      <c r="AD56" s="5">
        <v>0</v>
      </c>
      <c r="AE56" s="4" t="s">
        <v>53</v>
      </c>
      <c r="AF56" s="3">
        <v>45505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63</v>
      </c>
      <c r="AO56" s="4" t="s">
        <v>45</v>
      </c>
      <c r="AP56" s="4" t="s">
        <v>45</v>
      </c>
    </row>
    <row r="57" spans="1:42" x14ac:dyDescent="0.2">
      <c r="A57" s="2">
        <v>1891456</v>
      </c>
      <c r="B57" s="3">
        <v>45882</v>
      </c>
      <c r="C57" s="4" t="s">
        <v>179</v>
      </c>
      <c r="D57" s="2">
        <v>1510420</v>
      </c>
      <c r="E57" s="4" t="s">
        <v>182</v>
      </c>
      <c r="F57" s="4" t="s">
        <v>183</v>
      </c>
      <c r="G57" s="2">
        <v>115226083</v>
      </c>
      <c r="H57" s="4" t="s">
        <v>45</v>
      </c>
      <c r="I57" s="4" t="s">
        <v>45</v>
      </c>
      <c r="J57" s="4" t="s">
        <v>46</v>
      </c>
      <c r="K57" s="4" t="s">
        <v>47</v>
      </c>
      <c r="L57" s="3">
        <v>45870</v>
      </c>
      <c r="M57" s="4" t="s">
        <v>48</v>
      </c>
      <c r="N57" s="4" t="s">
        <v>45</v>
      </c>
      <c r="O57" s="4" t="s">
        <v>49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62</v>
      </c>
      <c r="U57" s="4" t="s">
        <v>45</v>
      </c>
      <c r="V57" s="5">
        <v>1</v>
      </c>
      <c r="W57" s="5">
        <v>0</v>
      </c>
      <c r="X57" s="5">
        <v>100</v>
      </c>
      <c r="Y57" s="5">
        <v>26.08</v>
      </c>
      <c r="Z57" s="4" t="s">
        <v>45</v>
      </c>
      <c r="AA57" s="5" t="s">
        <v>45</v>
      </c>
      <c r="AB57" s="4" t="s">
        <v>52</v>
      </c>
      <c r="AC57" s="4" t="s">
        <v>45</v>
      </c>
      <c r="AD57" s="5">
        <v>0</v>
      </c>
      <c r="AE57" s="4" t="s">
        <v>53</v>
      </c>
      <c r="AF57" s="3">
        <v>45474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63</v>
      </c>
      <c r="AO57" s="4" t="s">
        <v>45</v>
      </c>
      <c r="AP57" s="4" t="s">
        <v>45</v>
      </c>
    </row>
    <row r="58" spans="1:42" x14ac:dyDescent="0.2">
      <c r="A58" s="2">
        <v>1891456</v>
      </c>
      <c r="B58" s="3">
        <v>45882</v>
      </c>
      <c r="C58" s="4" t="s">
        <v>179</v>
      </c>
      <c r="D58" s="2">
        <v>1510420</v>
      </c>
      <c r="E58" s="4" t="s">
        <v>184</v>
      </c>
      <c r="F58" s="4" t="s">
        <v>185</v>
      </c>
      <c r="G58" s="2">
        <v>506757111</v>
      </c>
      <c r="H58" s="4" t="s">
        <v>45</v>
      </c>
      <c r="I58" s="4" t="s">
        <v>45</v>
      </c>
      <c r="J58" s="4" t="s">
        <v>46</v>
      </c>
      <c r="K58" s="4" t="s">
        <v>47</v>
      </c>
      <c r="L58" s="3">
        <v>45870</v>
      </c>
      <c r="M58" s="4" t="s">
        <v>48</v>
      </c>
      <c r="N58" s="4" t="s">
        <v>45</v>
      </c>
      <c r="O58" s="4" t="s">
        <v>49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51</v>
      </c>
      <c r="U58" s="4" t="s">
        <v>45</v>
      </c>
      <c r="V58" s="5">
        <v>1</v>
      </c>
      <c r="W58" s="5">
        <v>0</v>
      </c>
      <c r="X58" s="5">
        <v>100</v>
      </c>
      <c r="Y58" s="5">
        <v>26.08</v>
      </c>
      <c r="Z58" s="4" t="s">
        <v>45</v>
      </c>
      <c r="AA58" s="5" t="s">
        <v>45</v>
      </c>
      <c r="AB58" s="4" t="s">
        <v>52</v>
      </c>
      <c r="AC58" s="4" t="s">
        <v>45</v>
      </c>
      <c r="AD58" s="5">
        <v>0</v>
      </c>
      <c r="AE58" s="4" t="s">
        <v>53</v>
      </c>
      <c r="AF58" s="3">
        <v>45536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58</v>
      </c>
      <c r="AO58" s="4" t="s">
        <v>45</v>
      </c>
      <c r="AP58" s="4" t="s">
        <v>45</v>
      </c>
    </row>
    <row r="59" spans="1:42" x14ac:dyDescent="0.2">
      <c r="A59" s="2">
        <v>1891456</v>
      </c>
      <c r="B59" s="3">
        <v>45882</v>
      </c>
      <c r="C59" s="4" t="s">
        <v>179</v>
      </c>
      <c r="D59" s="2">
        <v>1510420</v>
      </c>
      <c r="E59" s="4" t="s">
        <v>186</v>
      </c>
      <c r="F59" s="4" t="s">
        <v>187</v>
      </c>
      <c r="G59" s="2">
        <v>932143415</v>
      </c>
      <c r="H59" s="4" t="s">
        <v>45</v>
      </c>
      <c r="I59" s="4" t="s">
        <v>45</v>
      </c>
      <c r="J59" s="4" t="s">
        <v>46</v>
      </c>
      <c r="K59" s="4" t="s">
        <v>47</v>
      </c>
      <c r="L59" s="3">
        <v>45870</v>
      </c>
      <c r="M59" s="4" t="s">
        <v>48</v>
      </c>
      <c r="N59" s="4" t="s">
        <v>45</v>
      </c>
      <c r="O59" s="4" t="s">
        <v>49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51</v>
      </c>
      <c r="U59" s="4" t="s">
        <v>45</v>
      </c>
      <c r="V59" s="5">
        <v>1</v>
      </c>
      <c r="W59" s="5">
        <v>0</v>
      </c>
      <c r="X59" s="5">
        <v>100</v>
      </c>
      <c r="Y59" s="5">
        <v>26.08</v>
      </c>
      <c r="Z59" s="4" t="s">
        <v>45</v>
      </c>
      <c r="AA59" s="5" t="s">
        <v>45</v>
      </c>
      <c r="AB59" s="4" t="s">
        <v>52</v>
      </c>
      <c r="AC59" s="4" t="s">
        <v>45</v>
      </c>
      <c r="AD59" s="5">
        <v>0</v>
      </c>
      <c r="AE59" s="4" t="s">
        <v>53</v>
      </c>
      <c r="AF59" s="3">
        <v>45505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58</v>
      </c>
      <c r="AO59" s="4" t="s">
        <v>45</v>
      </c>
      <c r="AP59" s="4" t="s">
        <v>45</v>
      </c>
    </row>
    <row r="60" spans="1:42" x14ac:dyDescent="0.2">
      <c r="A60" s="2">
        <v>1891456</v>
      </c>
      <c r="B60" s="3">
        <v>45882</v>
      </c>
      <c r="C60" s="4" t="s">
        <v>179</v>
      </c>
      <c r="D60" s="2">
        <v>1510420</v>
      </c>
      <c r="E60" s="4" t="s">
        <v>188</v>
      </c>
      <c r="F60" s="4" t="s">
        <v>189</v>
      </c>
      <c r="G60" s="2">
        <v>343340553</v>
      </c>
      <c r="H60" s="4" t="s">
        <v>45</v>
      </c>
      <c r="I60" s="4" t="s">
        <v>45</v>
      </c>
      <c r="J60" s="4" t="s">
        <v>46</v>
      </c>
      <c r="K60" s="4" t="s">
        <v>47</v>
      </c>
      <c r="L60" s="3">
        <v>45870</v>
      </c>
      <c r="M60" s="4" t="s">
        <v>48</v>
      </c>
      <c r="N60" s="4" t="s">
        <v>45</v>
      </c>
      <c r="O60" s="4" t="s">
        <v>49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62</v>
      </c>
      <c r="U60" s="4" t="s">
        <v>45</v>
      </c>
      <c r="V60" s="5">
        <v>1</v>
      </c>
      <c r="W60" s="5">
        <v>0</v>
      </c>
      <c r="X60" s="5">
        <v>100</v>
      </c>
      <c r="Y60" s="5">
        <v>26.08</v>
      </c>
      <c r="Z60" s="4" t="s">
        <v>45</v>
      </c>
      <c r="AA60" s="5" t="s">
        <v>45</v>
      </c>
      <c r="AB60" s="4" t="s">
        <v>52</v>
      </c>
      <c r="AC60" s="4" t="s">
        <v>45</v>
      </c>
      <c r="AD60" s="5">
        <v>0</v>
      </c>
      <c r="AE60" s="4" t="s">
        <v>53</v>
      </c>
      <c r="AF60" s="3">
        <v>45505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63</v>
      </c>
      <c r="AO60" s="4" t="s">
        <v>45</v>
      </c>
      <c r="AP60" s="4" t="s">
        <v>45</v>
      </c>
    </row>
    <row r="61" spans="1:42" x14ac:dyDescent="0.2">
      <c r="A61" s="2">
        <v>1891456</v>
      </c>
      <c r="B61" s="3">
        <v>45882</v>
      </c>
      <c r="C61" s="4" t="s">
        <v>179</v>
      </c>
      <c r="D61" s="2">
        <v>1510420</v>
      </c>
      <c r="E61" s="4" t="s">
        <v>190</v>
      </c>
      <c r="F61" s="4" t="s">
        <v>191</v>
      </c>
      <c r="G61" s="2">
        <v>464420083</v>
      </c>
      <c r="H61" s="4" t="s">
        <v>45</v>
      </c>
      <c r="I61" s="4" t="s">
        <v>45</v>
      </c>
      <c r="J61" s="4" t="s">
        <v>46</v>
      </c>
      <c r="K61" s="4" t="s">
        <v>47</v>
      </c>
      <c r="L61" s="3">
        <v>45870</v>
      </c>
      <c r="M61" s="4" t="s">
        <v>48</v>
      </c>
      <c r="N61" s="4" t="s">
        <v>45</v>
      </c>
      <c r="O61" s="4" t="s">
        <v>49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62</v>
      </c>
      <c r="U61" s="4" t="s">
        <v>45</v>
      </c>
      <c r="V61" s="5">
        <v>1</v>
      </c>
      <c r="W61" s="5">
        <v>0</v>
      </c>
      <c r="X61" s="5">
        <v>100</v>
      </c>
      <c r="Y61" s="5">
        <v>26.08</v>
      </c>
      <c r="Z61" s="4" t="s">
        <v>45</v>
      </c>
      <c r="AA61" s="5" t="s">
        <v>45</v>
      </c>
      <c r="AB61" s="4" t="s">
        <v>52</v>
      </c>
      <c r="AC61" s="4" t="s">
        <v>45</v>
      </c>
      <c r="AD61" s="5">
        <v>0</v>
      </c>
      <c r="AE61" s="4" t="s">
        <v>53</v>
      </c>
      <c r="AF61" s="3">
        <v>45536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63</v>
      </c>
      <c r="AO61" s="4" t="s">
        <v>45</v>
      </c>
      <c r="AP61" s="4" t="s">
        <v>45</v>
      </c>
    </row>
    <row r="62" spans="1:42" x14ac:dyDescent="0.2">
      <c r="A62" s="2">
        <v>1891456</v>
      </c>
      <c r="B62" s="3">
        <v>45882</v>
      </c>
      <c r="C62" s="4" t="s">
        <v>179</v>
      </c>
      <c r="D62" s="2">
        <v>1510420</v>
      </c>
      <c r="E62" s="4" t="s">
        <v>192</v>
      </c>
      <c r="F62" s="4" t="s">
        <v>193</v>
      </c>
      <c r="G62" s="2">
        <v>134268303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45870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62</v>
      </c>
      <c r="U62" s="4" t="s">
        <v>45</v>
      </c>
      <c r="V62" s="5">
        <v>1</v>
      </c>
      <c r="W62" s="5">
        <v>0</v>
      </c>
      <c r="X62" s="5">
        <v>100</v>
      </c>
      <c r="Y62" s="5">
        <v>26.08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45566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63</v>
      </c>
      <c r="AO62" s="4" t="s">
        <v>45</v>
      </c>
      <c r="AP62" s="4" t="s">
        <v>45</v>
      </c>
    </row>
    <row r="63" spans="1:42" x14ac:dyDescent="0.2">
      <c r="A63" s="2">
        <v>1891456</v>
      </c>
      <c r="B63" s="3">
        <v>45882</v>
      </c>
      <c r="C63" s="4" t="s">
        <v>179</v>
      </c>
      <c r="D63" s="2">
        <v>1510420</v>
      </c>
      <c r="E63" s="4" t="s">
        <v>194</v>
      </c>
      <c r="F63" s="4" t="s">
        <v>195</v>
      </c>
      <c r="G63" s="2">
        <v>974299156</v>
      </c>
      <c r="H63" s="4" t="s">
        <v>45</v>
      </c>
      <c r="I63" s="4" t="s">
        <v>45</v>
      </c>
      <c r="J63" s="4" t="s">
        <v>46</v>
      </c>
      <c r="K63" s="4" t="s">
        <v>47</v>
      </c>
      <c r="L63" s="3">
        <v>45870</v>
      </c>
      <c r="M63" s="4" t="s">
        <v>48</v>
      </c>
      <c r="N63" s="4" t="s">
        <v>45</v>
      </c>
      <c r="O63" s="4" t="s">
        <v>49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62</v>
      </c>
      <c r="U63" s="4" t="s">
        <v>45</v>
      </c>
      <c r="V63" s="5">
        <v>1</v>
      </c>
      <c r="W63" s="5">
        <v>0</v>
      </c>
      <c r="X63" s="5">
        <v>100</v>
      </c>
      <c r="Y63" s="5">
        <v>26.08</v>
      </c>
      <c r="Z63" s="4" t="s">
        <v>45</v>
      </c>
      <c r="AA63" s="5" t="s">
        <v>45</v>
      </c>
      <c r="AB63" s="4" t="s">
        <v>52</v>
      </c>
      <c r="AC63" s="4" t="s">
        <v>45</v>
      </c>
      <c r="AD63" s="5">
        <v>0</v>
      </c>
      <c r="AE63" s="4" t="s">
        <v>53</v>
      </c>
      <c r="AF63" s="3">
        <v>45536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63</v>
      </c>
      <c r="AO63" s="4" t="s">
        <v>45</v>
      </c>
      <c r="AP63" s="4" t="s">
        <v>45</v>
      </c>
    </row>
    <row r="64" spans="1:42" x14ac:dyDescent="0.2">
      <c r="A64" s="2">
        <v>1891456</v>
      </c>
      <c r="B64" s="3">
        <v>45882</v>
      </c>
      <c r="C64" s="4" t="s">
        <v>179</v>
      </c>
      <c r="D64" s="2">
        <v>1510420</v>
      </c>
      <c r="E64" s="4" t="s">
        <v>196</v>
      </c>
      <c r="F64" s="4" t="s">
        <v>197</v>
      </c>
      <c r="G64" s="2">
        <v>392235213</v>
      </c>
      <c r="H64" s="4" t="s">
        <v>45</v>
      </c>
      <c r="I64" s="4" t="s">
        <v>45</v>
      </c>
      <c r="J64" s="4" t="s">
        <v>46</v>
      </c>
      <c r="K64" s="4" t="s">
        <v>47</v>
      </c>
      <c r="L64" s="3">
        <v>45870</v>
      </c>
      <c r="M64" s="4" t="s">
        <v>48</v>
      </c>
      <c r="N64" s="4" t="s">
        <v>45</v>
      </c>
      <c r="O64" s="4" t="s">
        <v>49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62</v>
      </c>
      <c r="U64" s="4" t="s">
        <v>45</v>
      </c>
      <c r="V64" s="5">
        <v>1</v>
      </c>
      <c r="W64" s="5">
        <v>0</v>
      </c>
      <c r="X64" s="5">
        <v>100</v>
      </c>
      <c r="Y64" s="5">
        <v>26.08</v>
      </c>
      <c r="Z64" s="4" t="s">
        <v>45</v>
      </c>
      <c r="AA64" s="5" t="s">
        <v>45</v>
      </c>
      <c r="AB64" s="4" t="s">
        <v>52</v>
      </c>
      <c r="AC64" s="4" t="s">
        <v>45</v>
      </c>
      <c r="AD64" s="5">
        <v>0</v>
      </c>
      <c r="AE64" s="4" t="s">
        <v>53</v>
      </c>
      <c r="AF64" s="3">
        <v>45566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63</v>
      </c>
      <c r="AO64" s="4" t="s">
        <v>45</v>
      </c>
      <c r="AP64" s="4" t="s">
        <v>45</v>
      </c>
    </row>
    <row r="65" spans="1:42" x14ac:dyDescent="0.2">
      <c r="A65" s="2">
        <v>1891456</v>
      </c>
      <c r="B65" s="3">
        <v>45882</v>
      </c>
      <c r="C65" s="4" t="s">
        <v>179</v>
      </c>
      <c r="D65" s="2">
        <v>1510420</v>
      </c>
      <c r="E65" s="4" t="s">
        <v>198</v>
      </c>
      <c r="F65" s="4" t="s">
        <v>199</v>
      </c>
      <c r="G65" s="2">
        <v>800983464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45870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51</v>
      </c>
      <c r="U65" s="4" t="s">
        <v>45</v>
      </c>
      <c r="V65" s="5">
        <v>1</v>
      </c>
      <c r="W65" s="5">
        <v>0</v>
      </c>
      <c r="X65" s="5">
        <v>100</v>
      </c>
      <c r="Y65" s="5">
        <v>26.08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45536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58</v>
      </c>
      <c r="AO65" s="4" t="s">
        <v>45</v>
      </c>
      <c r="AP65" s="4" t="s">
        <v>45</v>
      </c>
    </row>
    <row r="66" spans="1:42" x14ac:dyDescent="0.2">
      <c r="A66" s="2">
        <v>1891456</v>
      </c>
      <c r="B66" s="3">
        <v>45882</v>
      </c>
      <c r="C66" s="4" t="s">
        <v>179</v>
      </c>
      <c r="D66" s="2">
        <v>1510420</v>
      </c>
      <c r="E66" s="4" t="s">
        <v>200</v>
      </c>
      <c r="F66" s="4" t="s">
        <v>201</v>
      </c>
      <c r="G66" s="2">
        <v>290893033</v>
      </c>
      <c r="H66" s="4" t="s">
        <v>45</v>
      </c>
      <c r="I66" s="4" t="s">
        <v>45</v>
      </c>
      <c r="J66" s="4" t="s">
        <v>46</v>
      </c>
      <c r="K66" s="4" t="s">
        <v>47</v>
      </c>
      <c r="L66" s="3">
        <v>45870</v>
      </c>
      <c r="M66" s="4" t="s">
        <v>48</v>
      </c>
      <c r="N66" s="4" t="s">
        <v>45</v>
      </c>
      <c r="O66" s="4" t="s">
        <v>49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62</v>
      </c>
      <c r="U66" s="4" t="s">
        <v>45</v>
      </c>
      <c r="V66" s="5">
        <v>1</v>
      </c>
      <c r="W66" s="5">
        <v>0</v>
      </c>
      <c r="X66" s="5">
        <v>100</v>
      </c>
      <c r="Y66" s="5">
        <v>26.08</v>
      </c>
      <c r="Z66" s="4" t="s">
        <v>45</v>
      </c>
      <c r="AA66" s="5" t="s">
        <v>45</v>
      </c>
      <c r="AB66" s="4" t="s">
        <v>52</v>
      </c>
      <c r="AC66" s="4" t="s">
        <v>45</v>
      </c>
      <c r="AD66" s="5">
        <v>0</v>
      </c>
      <c r="AE66" s="4" t="s">
        <v>53</v>
      </c>
      <c r="AF66" s="3">
        <v>45566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63</v>
      </c>
      <c r="AO66" s="4" t="s">
        <v>45</v>
      </c>
      <c r="AP66" s="4" t="s">
        <v>45</v>
      </c>
    </row>
    <row r="67" spans="1:42" x14ac:dyDescent="0.2">
      <c r="A67" s="2">
        <v>1891456</v>
      </c>
      <c r="B67" s="3">
        <v>45882</v>
      </c>
      <c r="C67" s="4" t="s">
        <v>179</v>
      </c>
      <c r="D67" s="2">
        <v>1510420</v>
      </c>
      <c r="E67" s="4" t="s">
        <v>202</v>
      </c>
      <c r="F67" s="4" t="s">
        <v>203</v>
      </c>
      <c r="G67" s="2">
        <v>349115403</v>
      </c>
      <c r="H67" s="4" t="s">
        <v>45</v>
      </c>
      <c r="I67" s="4" t="s">
        <v>45</v>
      </c>
      <c r="J67" s="4" t="s">
        <v>46</v>
      </c>
      <c r="K67" s="4" t="s">
        <v>47</v>
      </c>
      <c r="L67" s="3">
        <v>45870</v>
      </c>
      <c r="M67" s="4" t="s">
        <v>48</v>
      </c>
      <c r="N67" s="4" t="s">
        <v>45</v>
      </c>
      <c r="O67" s="4" t="s">
        <v>49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62</v>
      </c>
      <c r="U67" s="4" t="s">
        <v>45</v>
      </c>
      <c r="V67" s="5">
        <v>1</v>
      </c>
      <c r="W67" s="5">
        <v>0</v>
      </c>
      <c r="X67" s="5">
        <v>100</v>
      </c>
      <c r="Y67" s="5">
        <v>26.08</v>
      </c>
      <c r="Z67" s="4" t="s">
        <v>45</v>
      </c>
      <c r="AA67" s="5" t="s">
        <v>45</v>
      </c>
      <c r="AB67" s="4" t="s">
        <v>52</v>
      </c>
      <c r="AC67" s="4" t="s">
        <v>45</v>
      </c>
      <c r="AD67" s="5">
        <v>0</v>
      </c>
      <c r="AE67" s="4" t="s">
        <v>53</v>
      </c>
      <c r="AF67" s="3">
        <v>45566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63</v>
      </c>
      <c r="AO67" s="4" t="s">
        <v>45</v>
      </c>
      <c r="AP67" s="4" t="s">
        <v>45</v>
      </c>
    </row>
    <row r="68" spans="1:42" x14ac:dyDescent="0.2">
      <c r="A68" s="2">
        <v>1891456</v>
      </c>
      <c r="B68" s="3">
        <v>45882</v>
      </c>
      <c r="C68" s="4" t="s">
        <v>179</v>
      </c>
      <c r="D68" s="2">
        <v>1510420</v>
      </c>
      <c r="E68" s="4" t="s">
        <v>204</v>
      </c>
      <c r="F68" s="4" t="s">
        <v>205</v>
      </c>
      <c r="G68" s="2">
        <v>836319241</v>
      </c>
      <c r="H68" s="4" t="s">
        <v>45</v>
      </c>
      <c r="I68" s="4" t="s">
        <v>45</v>
      </c>
      <c r="J68" s="4" t="s">
        <v>46</v>
      </c>
      <c r="K68" s="4" t="s">
        <v>47</v>
      </c>
      <c r="L68" s="3">
        <v>45870</v>
      </c>
      <c r="M68" s="4" t="s">
        <v>48</v>
      </c>
      <c r="N68" s="4" t="s">
        <v>45</v>
      </c>
      <c r="O68" s="4" t="s">
        <v>49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62</v>
      </c>
      <c r="U68" s="4" t="s">
        <v>45</v>
      </c>
      <c r="V68" s="5">
        <v>1</v>
      </c>
      <c r="W68" s="5">
        <v>0</v>
      </c>
      <c r="X68" s="5">
        <v>100</v>
      </c>
      <c r="Y68" s="5">
        <v>26.08</v>
      </c>
      <c r="Z68" s="4" t="s">
        <v>45</v>
      </c>
      <c r="AA68" s="5" t="s">
        <v>45</v>
      </c>
      <c r="AB68" s="4" t="s">
        <v>52</v>
      </c>
      <c r="AC68" s="4" t="s">
        <v>45</v>
      </c>
      <c r="AD68" s="5">
        <v>0</v>
      </c>
      <c r="AE68" s="4" t="s">
        <v>53</v>
      </c>
      <c r="AF68" s="3">
        <v>45627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63</v>
      </c>
      <c r="AO68" s="4" t="s">
        <v>45</v>
      </c>
      <c r="AP68" s="4" t="s">
        <v>45</v>
      </c>
    </row>
    <row r="69" spans="1:42" x14ac:dyDescent="0.2">
      <c r="A69" s="2">
        <v>1891456</v>
      </c>
      <c r="B69" s="3">
        <v>45882</v>
      </c>
      <c r="C69" s="4" t="s">
        <v>179</v>
      </c>
      <c r="D69" s="2">
        <v>1510420</v>
      </c>
      <c r="E69" s="4" t="s">
        <v>206</v>
      </c>
      <c r="F69" s="4" t="s">
        <v>207</v>
      </c>
      <c r="G69" s="2">
        <v>104932521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45870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62</v>
      </c>
      <c r="U69" s="4" t="s">
        <v>45</v>
      </c>
      <c r="V69" s="5">
        <v>1</v>
      </c>
      <c r="W69" s="5">
        <v>0</v>
      </c>
      <c r="X69" s="5">
        <v>100</v>
      </c>
      <c r="Y69" s="5">
        <v>26.08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45627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63</v>
      </c>
      <c r="AO69" s="4" t="s">
        <v>45</v>
      </c>
      <c r="AP69" s="4" t="s">
        <v>45</v>
      </c>
    </row>
    <row r="70" spans="1:42" x14ac:dyDescent="0.2">
      <c r="A70" s="2">
        <v>1891456</v>
      </c>
      <c r="B70" s="3">
        <v>45882</v>
      </c>
      <c r="C70" s="4" t="s">
        <v>208</v>
      </c>
      <c r="D70" s="2">
        <v>1524629</v>
      </c>
      <c r="E70" s="4" t="s">
        <v>209</v>
      </c>
      <c r="F70" s="4" t="s">
        <v>210</v>
      </c>
      <c r="G70" s="2">
        <v>312662013</v>
      </c>
      <c r="H70" s="4" t="s">
        <v>45</v>
      </c>
      <c r="I70" s="4" t="s">
        <v>45</v>
      </c>
      <c r="J70" s="4" t="s">
        <v>46</v>
      </c>
      <c r="K70" s="4" t="s">
        <v>47</v>
      </c>
      <c r="L70" s="3">
        <v>45870</v>
      </c>
      <c r="M70" s="4" t="s">
        <v>48</v>
      </c>
      <c r="N70" s="4" t="s">
        <v>45</v>
      </c>
      <c r="O70" s="4" t="s">
        <v>49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62</v>
      </c>
      <c r="U70" s="4" t="s">
        <v>45</v>
      </c>
      <c r="V70" s="5">
        <v>1</v>
      </c>
      <c r="W70" s="5">
        <v>0</v>
      </c>
      <c r="X70" s="5">
        <v>100</v>
      </c>
      <c r="Y70" s="5">
        <v>26.08</v>
      </c>
      <c r="Z70" s="4" t="s">
        <v>45</v>
      </c>
      <c r="AA70" s="5" t="s">
        <v>45</v>
      </c>
      <c r="AB70" s="4" t="s">
        <v>52</v>
      </c>
      <c r="AC70" s="4" t="s">
        <v>45</v>
      </c>
      <c r="AD70" s="5">
        <v>0</v>
      </c>
      <c r="AE70" s="4" t="s">
        <v>53</v>
      </c>
      <c r="AF70" s="3">
        <v>45078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63</v>
      </c>
      <c r="AO70" s="4" t="s">
        <v>45</v>
      </c>
      <c r="AP70" s="4" t="s">
        <v>45</v>
      </c>
    </row>
    <row r="71" spans="1:42" x14ac:dyDescent="0.2">
      <c r="A71" s="2">
        <v>1891456</v>
      </c>
      <c r="B71" s="3">
        <v>45882</v>
      </c>
      <c r="C71" s="4" t="s">
        <v>208</v>
      </c>
      <c r="D71" s="2">
        <v>1524629</v>
      </c>
      <c r="E71" s="4" t="s">
        <v>211</v>
      </c>
      <c r="F71" s="4" t="s">
        <v>212</v>
      </c>
      <c r="G71" s="2">
        <v>4902134</v>
      </c>
      <c r="H71" s="4" t="s">
        <v>45</v>
      </c>
      <c r="I71" s="4" t="s">
        <v>45</v>
      </c>
      <c r="J71" s="4" t="s">
        <v>46</v>
      </c>
      <c r="K71" s="4" t="s">
        <v>47</v>
      </c>
      <c r="L71" s="3">
        <v>45870</v>
      </c>
      <c r="M71" s="4" t="s">
        <v>48</v>
      </c>
      <c r="N71" s="4" t="s">
        <v>45</v>
      </c>
      <c r="O71" s="4" t="s">
        <v>49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51</v>
      </c>
      <c r="U71" s="4" t="s">
        <v>45</v>
      </c>
      <c r="V71" s="5">
        <v>1</v>
      </c>
      <c r="W71" s="5">
        <v>0</v>
      </c>
      <c r="X71" s="5">
        <v>100</v>
      </c>
      <c r="Y71" s="5">
        <v>29.41</v>
      </c>
      <c r="Z71" s="4" t="s">
        <v>45</v>
      </c>
      <c r="AA71" s="5" t="s">
        <v>45</v>
      </c>
      <c r="AB71" s="4" t="s">
        <v>52</v>
      </c>
      <c r="AC71" s="4" t="s">
        <v>45</v>
      </c>
      <c r="AD71" s="5">
        <v>0</v>
      </c>
      <c r="AE71" s="4" t="s">
        <v>53</v>
      </c>
      <c r="AF71" s="3">
        <v>45139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213</v>
      </c>
      <c r="AO71" s="4" t="s">
        <v>45</v>
      </c>
      <c r="AP71" s="4" t="s">
        <v>45</v>
      </c>
    </row>
    <row r="72" spans="1:42" x14ac:dyDescent="0.2">
      <c r="A72" s="2">
        <v>1891456</v>
      </c>
      <c r="B72" s="3">
        <v>45882</v>
      </c>
      <c r="C72" s="4" t="s">
        <v>208</v>
      </c>
      <c r="D72" s="2">
        <v>1524629</v>
      </c>
      <c r="E72" s="4" t="s">
        <v>214</v>
      </c>
      <c r="F72" s="4" t="s">
        <v>215</v>
      </c>
      <c r="G72" s="2">
        <v>416933105</v>
      </c>
      <c r="H72" s="4" t="s">
        <v>45</v>
      </c>
      <c r="I72" s="4" t="s">
        <v>45</v>
      </c>
      <c r="J72" s="4" t="s">
        <v>46</v>
      </c>
      <c r="K72" s="4" t="s">
        <v>47</v>
      </c>
      <c r="L72" s="3">
        <v>45870</v>
      </c>
      <c r="M72" s="4" t="s">
        <v>48</v>
      </c>
      <c r="N72" s="4" t="s">
        <v>45</v>
      </c>
      <c r="O72" s="4" t="s">
        <v>49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51</v>
      </c>
      <c r="U72" s="4" t="s">
        <v>45</v>
      </c>
      <c r="V72" s="5">
        <v>1</v>
      </c>
      <c r="W72" s="5">
        <v>0</v>
      </c>
      <c r="X72" s="5">
        <v>100</v>
      </c>
      <c r="Y72" s="5">
        <v>29.41</v>
      </c>
      <c r="Z72" s="4" t="s">
        <v>45</v>
      </c>
      <c r="AA72" s="5" t="s">
        <v>45</v>
      </c>
      <c r="AB72" s="4" t="s">
        <v>52</v>
      </c>
      <c r="AC72" s="4" t="s">
        <v>45</v>
      </c>
      <c r="AD72" s="5">
        <v>0</v>
      </c>
      <c r="AE72" s="4" t="s">
        <v>53</v>
      </c>
      <c r="AF72" s="3">
        <v>45292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213</v>
      </c>
      <c r="AO72" s="4" t="s">
        <v>45</v>
      </c>
      <c r="AP72" s="4" t="s">
        <v>45</v>
      </c>
    </row>
    <row r="73" spans="1:42" x14ac:dyDescent="0.2">
      <c r="A73" s="2">
        <v>1891456</v>
      </c>
      <c r="B73" s="3">
        <v>45882</v>
      </c>
      <c r="C73" s="4" t="s">
        <v>208</v>
      </c>
      <c r="D73" s="2">
        <v>1524629</v>
      </c>
      <c r="E73" s="4" t="s">
        <v>216</v>
      </c>
      <c r="F73" s="4" t="s">
        <v>217</v>
      </c>
      <c r="G73" s="2">
        <v>893625575</v>
      </c>
      <c r="H73" s="4" t="s">
        <v>45</v>
      </c>
      <c r="I73" s="4" t="s">
        <v>45</v>
      </c>
      <c r="J73" s="4" t="s">
        <v>46</v>
      </c>
      <c r="K73" s="4" t="s">
        <v>47</v>
      </c>
      <c r="L73" s="3">
        <v>45870</v>
      </c>
      <c r="M73" s="4" t="s">
        <v>48</v>
      </c>
      <c r="N73" s="4" t="s">
        <v>45</v>
      </c>
      <c r="O73" s="4" t="s">
        <v>49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62</v>
      </c>
      <c r="U73" s="4" t="s">
        <v>45</v>
      </c>
      <c r="V73" s="5">
        <v>1</v>
      </c>
      <c r="W73" s="5">
        <v>0</v>
      </c>
      <c r="X73" s="5">
        <v>100</v>
      </c>
      <c r="Y73" s="5">
        <v>29.41</v>
      </c>
      <c r="Z73" s="4" t="s">
        <v>45</v>
      </c>
      <c r="AA73" s="5" t="s">
        <v>45</v>
      </c>
      <c r="AB73" s="4" t="s">
        <v>52</v>
      </c>
      <c r="AC73" s="4" t="s">
        <v>45</v>
      </c>
      <c r="AD73" s="5">
        <v>0</v>
      </c>
      <c r="AE73" s="4" t="s">
        <v>53</v>
      </c>
      <c r="AF73" s="3">
        <v>45383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63</v>
      </c>
      <c r="AO73" s="4" t="s">
        <v>45</v>
      </c>
      <c r="AP73" s="4" t="s">
        <v>45</v>
      </c>
    </row>
    <row r="74" spans="1:42" x14ac:dyDescent="0.2">
      <c r="A74" s="2">
        <v>1891456</v>
      </c>
      <c r="B74" s="3">
        <v>45882</v>
      </c>
      <c r="C74" s="4" t="s">
        <v>208</v>
      </c>
      <c r="D74" s="2">
        <v>1524629</v>
      </c>
      <c r="E74" s="4" t="s">
        <v>218</v>
      </c>
      <c r="F74" s="4" t="s">
        <v>219</v>
      </c>
      <c r="G74" s="2">
        <v>467151033</v>
      </c>
      <c r="H74" s="4" t="s">
        <v>45</v>
      </c>
      <c r="I74" s="4" t="s">
        <v>45</v>
      </c>
      <c r="J74" s="4" t="s">
        <v>46</v>
      </c>
      <c r="K74" s="4" t="s">
        <v>47</v>
      </c>
      <c r="L74" s="3">
        <v>45870</v>
      </c>
      <c r="M74" s="4" t="s">
        <v>48</v>
      </c>
      <c r="N74" s="4" t="s">
        <v>45</v>
      </c>
      <c r="O74" s="4" t="s">
        <v>49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62</v>
      </c>
      <c r="U74" s="4" t="s">
        <v>45</v>
      </c>
      <c r="V74" s="5">
        <v>1</v>
      </c>
      <c r="W74" s="5">
        <v>0</v>
      </c>
      <c r="X74" s="5">
        <v>100</v>
      </c>
      <c r="Y74" s="5">
        <v>26.08</v>
      </c>
      <c r="Z74" s="4" t="s">
        <v>45</v>
      </c>
      <c r="AA74" s="5" t="s">
        <v>45</v>
      </c>
      <c r="AB74" s="4" t="s">
        <v>52</v>
      </c>
      <c r="AC74" s="4" t="s">
        <v>45</v>
      </c>
      <c r="AD74" s="5">
        <v>0</v>
      </c>
      <c r="AE74" s="4" t="s">
        <v>53</v>
      </c>
      <c r="AF74" s="3">
        <v>45444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63</v>
      </c>
      <c r="AO74" s="4" t="s">
        <v>45</v>
      </c>
      <c r="AP74" s="4" t="s">
        <v>45</v>
      </c>
    </row>
    <row r="75" spans="1:42" x14ac:dyDescent="0.2">
      <c r="A75" s="2">
        <v>1891456</v>
      </c>
      <c r="B75" s="3">
        <v>45882</v>
      </c>
      <c r="C75" s="4" t="s">
        <v>220</v>
      </c>
      <c r="D75" s="2">
        <v>1535078</v>
      </c>
      <c r="E75" s="4" t="s">
        <v>221</v>
      </c>
      <c r="F75" s="4" t="s">
        <v>222</v>
      </c>
      <c r="G75" s="2">
        <v>164107004</v>
      </c>
      <c r="H75" s="4" t="s">
        <v>45</v>
      </c>
      <c r="I75" s="4" t="s">
        <v>45</v>
      </c>
      <c r="J75" s="4" t="s">
        <v>46</v>
      </c>
      <c r="K75" s="4" t="s">
        <v>47</v>
      </c>
      <c r="L75" s="3">
        <v>45870</v>
      </c>
      <c r="M75" s="4" t="s">
        <v>48</v>
      </c>
      <c r="N75" s="4" t="s">
        <v>45</v>
      </c>
      <c r="O75" s="4" t="s">
        <v>49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51</v>
      </c>
      <c r="U75" s="4" t="s">
        <v>45</v>
      </c>
      <c r="V75" s="5">
        <v>1</v>
      </c>
      <c r="W75" s="5">
        <v>0</v>
      </c>
      <c r="X75" s="5">
        <v>100</v>
      </c>
      <c r="Y75" s="5">
        <v>26.08</v>
      </c>
      <c r="Z75" s="4" t="s">
        <v>45</v>
      </c>
      <c r="AA75" s="5" t="s">
        <v>45</v>
      </c>
      <c r="AB75" s="4" t="s">
        <v>52</v>
      </c>
      <c r="AC75" s="4" t="s">
        <v>45</v>
      </c>
      <c r="AD75" s="5">
        <v>0</v>
      </c>
      <c r="AE75" s="4" t="s">
        <v>53</v>
      </c>
      <c r="AF75" s="3">
        <v>45566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58</v>
      </c>
      <c r="AO75" s="4" t="s">
        <v>45</v>
      </c>
      <c r="AP75" s="4" t="s">
        <v>45</v>
      </c>
    </row>
    <row r="76" spans="1:42" x14ac:dyDescent="0.2">
      <c r="A76" s="2">
        <v>1891456</v>
      </c>
      <c r="B76" s="3">
        <v>45882</v>
      </c>
      <c r="C76" s="4" t="s">
        <v>220</v>
      </c>
      <c r="D76" s="2">
        <v>1535078</v>
      </c>
      <c r="E76" s="4" t="s">
        <v>223</v>
      </c>
      <c r="F76" s="4" t="s">
        <v>224</v>
      </c>
      <c r="G76" s="2">
        <v>830732313</v>
      </c>
      <c r="H76" s="4" t="s">
        <v>45</v>
      </c>
      <c r="I76" s="4" t="s">
        <v>45</v>
      </c>
      <c r="J76" s="4" t="s">
        <v>46</v>
      </c>
      <c r="K76" s="4" t="s">
        <v>47</v>
      </c>
      <c r="L76" s="3">
        <v>45870</v>
      </c>
      <c r="M76" s="4" t="s">
        <v>48</v>
      </c>
      <c r="N76" s="4" t="s">
        <v>45</v>
      </c>
      <c r="O76" s="4" t="s">
        <v>49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62</v>
      </c>
      <c r="U76" s="4" t="s">
        <v>45</v>
      </c>
      <c r="V76" s="5">
        <v>1</v>
      </c>
      <c r="W76" s="5">
        <v>0</v>
      </c>
      <c r="X76" s="5">
        <v>100</v>
      </c>
      <c r="Y76" s="5">
        <v>26.08</v>
      </c>
      <c r="Z76" s="4" t="s">
        <v>45</v>
      </c>
      <c r="AA76" s="5" t="s">
        <v>45</v>
      </c>
      <c r="AB76" s="4" t="s">
        <v>52</v>
      </c>
      <c r="AC76" s="4" t="s">
        <v>45</v>
      </c>
      <c r="AD76" s="5">
        <v>0</v>
      </c>
      <c r="AE76" s="4" t="s">
        <v>53</v>
      </c>
      <c r="AF76" s="3">
        <v>45627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63</v>
      </c>
      <c r="AO76" s="4" t="s">
        <v>45</v>
      </c>
      <c r="AP76" s="4" t="s">
        <v>45</v>
      </c>
    </row>
    <row r="77" spans="1:42" x14ac:dyDescent="0.2">
      <c r="A77" s="2">
        <v>1891456</v>
      </c>
      <c r="B77" s="3">
        <v>45882</v>
      </c>
      <c r="C77" s="4" t="s">
        <v>220</v>
      </c>
      <c r="D77" s="2">
        <v>1535078</v>
      </c>
      <c r="E77" s="4" t="s">
        <v>225</v>
      </c>
      <c r="F77" s="4" t="s">
        <v>226</v>
      </c>
      <c r="G77" s="2">
        <v>869746172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45870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51</v>
      </c>
      <c r="U77" s="4" t="s">
        <v>45</v>
      </c>
      <c r="V77" s="5">
        <v>1</v>
      </c>
      <c r="W77" s="5">
        <v>0</v>
      </c>
      <c r="X77" s="5">
        <v>100</v>
      </c>
      <c r="Y77" s="5">
        <v>26.08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45627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58</v>
      </c>
      <c r="AO77" s="4" t="s">
        <v>45</v>
      </c>
      <c r="AP77" s="4" t="s">
        <v>45</v>
      </c>
    </row>
    <row r="78" spans="1:42" x14ac:dyDescent="0.2">
      <c r="A78" s="2">
        <v>1891456</v>
      </c>
      <c r="B78" s="3">
        <v>45882</v>
      </c>
      <c r="C78" s="4" t="s">
        <v>227</v>
      </c>
      <c r="D78" s="2">
        <v>1545197</v>
      </c>
      <c r="E78" s="4" t="s">
        <v>228</v>
      </c>
      <c r="F78" s="4" t="s">
        <v>229</v>
      </c>
      <c r="G78" s="2">
        <v>654585363</v>
      </c>
      <c r="H78" s="4" t="s">
        <v>230</v>
      </c>
      <c r="I78" s="4" t="s">
        <v>45</v>
      </c>
      <c r="J78" s="4" t="s">
        <v>46</v>
      </c>
      <c r="K78" s="4" t="s">
        <v>47</v>
      </c>
      <c r="L78" s="3">
        <v>45901</v>
      </c>
      <c r="M78" s="4" t="s">
        <v>69</v>
      </c>
      <c r="N78" s="4" t="s">
        <v>45</v>
      </c>
      <c r="O78" s="4" t="s">
        <v>70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51</v>
      </c>
      <c r="U78" s="4" t="s">
        <v>45</v>
      </c>
      <c r="V78" s="5">
        <v>0.33</v>
      </c>
      <c r="W78" s="5">
        <v>0</v>
      </c>
      <c r="X78" s="5">
        <v>100</v>
      </c>
      <c r="Y78" s="5">
        <v>104.33</v>
      </c>
      <c r="Z78" s="4" t="s">
        <v>45</v>
      </c>
      <c r="AA78" s="5" t="s">
        <v>45</v>
      </c>
      <c r="AB78" s="4" t="s">
        <v>71</v>
      </c>
      <c r="AC78" s="4" t="s">
        <v>45</v>
      </c>
      <c r="AD78" s="5">
        <v>0</v>
      </c>
      <c r="AE78" s="4" t="s">
        <v>72</v>
      </c>
      <c r="AF78" s="3">
        <v>45901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58</v>
      </c>
      <c r="AO78" s="4" t="s">
        <v>45</v>
      </c>
      <c r="AP78" s="4" t="s">
        <v>45</v>
      </c>
    </row>
    <row r="79" spans="1:42" x14ac:dyDescent="0.2">
      <c r="A79" s="2">
        <v>1891456</v>
      </c>
      <c r="B79" s="3">
        <v>45882</v>
      </c>
      <c r="C79" s="4" t="s">
        <v>231</v>
      </c>
      <c r="D79" s="2">
        <v>1545980</v>
      </c>
      <c r="E79" s="4" t="s">
        <v>232</v>
      </c>
      <c r="F79" s="4" t="s">
        <v>233</v>
      </c>
      <c r="G79" s="2">
        <v>972151541</v>
      </c>
      <c r="H79" s="4" t="s">
        <v>45</v>
      </c>
      <c r="I79" s="4" t="s">
        <v>45</v>
      </c>
      <c r="J79" s="4" t="s">
        <v>46</v>
      </c>
      <c r="K79" s="4" t="s">
        <v>47</v>
      </c>
      <c r="L79" s="3">
        <v>45870</v>
      </c>
      <c r="M79" s="4" t="s">
        <v>48</v>
      </c>
      <c r="N79" s="4" t="s">
        <v>45</v>
      </c>
      <c r="O79" s="4" t="s">
        <v>49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62</v>
      </c>
      <c r="U79" s="4" t="s">
        <v>45</v>
      </c>
      <c r="V79" s="5">
        <v>1</v>
      </c>
      <c r="W79" s="5">
        <v>0</v>
      </c>
      <c r="X79" s="5">
        <v>100</v>
      </c>
      <c r="Y79" s="5">
        <v>26.08</v>
      </c>
      <c r="Z79" s="4" t="s">
        <v>45</v>
      </c>
      <c r="AA79" s="5" t="s">
        <v>45</v>
      </c>
      <c r="AB79" s="4" t="s">
        <v>52</v>
      </c>
      <c r="AC79" s="4" t="s">
        <v>45</v>
      </c>
      <c r="AD79" s="5">
        <v>0</v>
      </c>
      <c r="AE79" s="4" t="s">
        <v>53</v>
      </c>
      <c r="AF79" s="3">
        <v>45292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63</v>
      </c>
      <c r="AO79" s="4" t="s">
        <v>45</v>
      </c>
      <c r="AP79" s="4" t="s">
        <v>45</v>
      </c>
    </row>
    <row r="80" spans="1:42" x14ac:dyDescent="0.2">
      <c r="A80" s="2">
        <v>1891456</v>
      </c>
      <c r="B80" s="3">
        <v>45882</v>
      </c>
      <c r="C80" s="4" t="s">
        <v>231</v>
      </c>
      <c r="D80" s="2">
        <v>1545980</v>
      </c>
      <c r="E80" s="4" t="s">
        <v>234</v>
      </c>
      <c r="F80" s="4" t="s">
        <v>235</v>
      </c>
      <c r="G80" s="2">
        <v>97669543</v>
      </c>
      <c r="H80" s="4" t="s">
        <v>45</v>
      </c>
      <c r="I80" s="4" t="s">
        <v>45</v>
      </c>
      <c r="J80" s="4" t="s">
        <v>46</v>
      </c>
      <c r="K80" s="4" t="s">
        <v>47</v>
      </c>
      <c r="L80" s="3">
        <v>45870</v>
      </c>
      <c r="M80" s="4" t="s">
        <v>48</v>
      </c>
      <c r="N80" s="4" t="s">
        <v>45</v>
      </c>
      <c r="O80" s="4" t="s">
        <v>49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51</v>
      </c>
      <c r="U80" s="4" t="s">
        <v>45</v>
      </c>
      <c r="V80" s="5">
        <v>1</v>
      </c>
      <c r="W80" s="5">
        <v>0</v>
      </c>
      <c r="X80" s="5">
        <v>100</v>
      </c>
      <c r="Y80" s="5">
        <v>26.08</v>
      </c>
      <c r="Z80" s="4" t="s">
        <v>45</v>
      </c>
      <c r="AA80" s="5" t="s">
        <v>45</v>
      </c>
      <c r="AB80" s="4" t="s">
        <v>52</v>
      </c>
      <c r="AC80" s="4" t="s">
        <v>45</v>
      </c>
      <c r="AD80" s="5">
        <v>0</v>
      </c>
      <c r="AE80" s="4" t="s">
        <v>53</v>
      </c>
      <c r="AF80" s="3">
        <v>45139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213</v>
      </c>
      <c r="AO80" s="4" t="s">
        <v>45</v>
      </c>
      <c r="AP80" s="4" t="s">
        <v>45</v>
      </c>
    </row>
    <row r="81" spans="1:42" x14ac:dyDescent="0.2">
      <c r="A81" s="2">
        <v>1891456</v>
      </c>
      <c r="B81" s="3">
        <v>45882</v>
      </c>
      <c r="C81" s="4" t="s">
        <v>231</v>
      </c>
      <c r="D81" s="2">
        <v>1545980</v>
      </c>
      <c r="E81" s="4" t="s">
        <v>236</v>
      </c>
      <c r="F81" s="4" t="s">
        <v>237</v>
      </c>
      <c r="G81" s="2">
        <v>347960573</v>
      </c>
      <c r="H81" s="4" t="s">
        <v>45</v>
      </c>
      <c r="I81" s="4" t="s">
        <v>45</v>
      </c>
      <c r="J81" s="4" t="s">
        <v>46</v>
      </c>
      <c r="K81" s="4" t="s">
        <v>47</v>
      </c>
      <c r="L81" s="3">
        <v>45870</v>
      </c>
      <c r="M81" s="4" t="s">
        <v>48</v>
      </c>
      <c r="N81" s="4" t="s">
        <v>45</v>
      </c>
      <c r="O81" s="4" t="s">
        <v>49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62</v>
      </c>
      <c r="U81" s="4" t="s">
        <v>45</v>
      </c>
      <c r="V81" s="5">
        <v>1</v>
      </c>
      <c r="W81" s="5">
        <v>0</v>
      </c>
      <c r="X81" s="5">
        <v>100</v>
      </c>
      <c r="Y81" s="5">
        <v>26.08</v>
      </c>
      <c r="Z81" s="4" t="s">
        <v>45</v>
      </c>
      <c r="AA81" s="5" t="s">
        <v>45</v>
      </c>
      <c r="AB81" s="4" t="s">
        <v>52</v>
      </c>
      <c r="AC81" s="4" t="s">
        <v>45</v>
      </c>
      <c r="AD81" s="5">
        <v>0</v>
      </c>
      <c r="AE81" s="4" t="s">
        <v>53</v>
      </c>
      <c r="AF81" s="3">
        <v>45200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63</v>
      </c>
      <c r="AO81" s="4" t="s">
        <v>45</v>
      </c>
      <c r="AP81" s="4" t="s">
        <v>45</v>
      </c>
    </row>
    <row r="82" spans="1:42" x14ac:dyDescent="0.2">
      <c r="A82" s="2">
        <v>1891456</v>
      </c>
      <c r="B82" s="3">
        <v>45882</v>
      </c>
      <c r="C82" s="4" t="s">
        <v>231</v>
      </c>
      <c r="D82" s="2">
        <v>1545980</v>
      </c>
      <c r="E82" s="4" t="s">
        <v>238</v>
      </c>
      <c r="F82" s="4" t="s">
        <v>239</v>
      </c>
      <c r="G82" s="2">
        <v>329150164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45870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62</v>
      </c>
      <c r="U82" s="4" t="s">
        <v>45</v>
      </c>
      <c r="V82" s="5">
        <v>1</v>
      </c>
      <c r="W82" s="5">
        <v>0</v>
      </c>
      <c r="X82" s="5">
        <v>100</v>
      </c>
      <c r="Y82" s="5">
        <v>26.08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45170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63</v>
      </c>
      <c r="AO82" s="4" t="s">
        <v>45</v>
      </c>
      <c r="AP82" s="4" t="s">
        <v>45</v>
      </c>
    </row>
    <row r="83" spans="1:42" x14ac:dyDescent="0.2">
      <c r="A83" s="2">
        <v>1891456</v>
      </c>
      <c r="B83" s="3">
        <v>45882</v>
      </c>
      <c r="C83" s="4" t="s">
        <v>231</v>
      </c>
      <c r="D83" s="2">
        <v>1545980</v>
      </c>
      <c r="E83" s="4" t="s">
        <v>240</v>
      </c>
      <c r="F83" s="4" t="s">
        <v>241</v>
      </c>
      <c r="G83" s="2">
        <v>945416430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45870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51</v>
      </c>
      <c r="U83" s="4" t="s">
        <v>45</v>
      </c>
      <c r="V83" s="5">
        <v>1</v>
      </c>
      <c r="W83" s="5">
        <v>0</v>
      </c>
      <c r="X83" s="5">
        <v>100</v>
      </c>
      <c r="Y83" s="5">
        <v>26.08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45170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213</v>
      </c>
      <c r="AO83" s="4" t="s">
        <v>45</v>
      </c>
      <c r="AP83" s="4" t="s">
        <v>45</v>
      </c>
    </row>
    <row r="84" spans="1:42" x14ac:dyDescent="0.2">
      <c r="A84" s="2">
        <v>1891456</v>
      </c>
      <c r="B84" s="3">
        <v>45882</v>
      </c>
      <c r="C84" s="4" t="s">
        <v>231</v>
      </c>
      <c r="D84" s="2">
        <v>1545980</v>
      </c>
      <c r="E84" s="4" t="s">
        <v>242</v>
      </c>
      <c r="F84" s="4" t="s">
        <v>243</v>
      </c>
      <c r="G84" s="2">
        <v>547990102</v>
      </c>
      <c r="H84" s="4" t="s">
        <v>45</v>
      </c>
      <c r="I84" s="4" t="s">
        <v>45</v>
      </c>
      <c r="J84" s="4" t="s">
        <v>46</v>
      </c>
      <c r="K84" s="4" t="s">
        <v>47</v>
      </c>
      <c r="L84" s="3">
        <v>45870</v>
      </c>
      <c r="M84" s="4" t="s">
        <v>48</v>
      </c>
      <c r="N84" s="4" t="s">
        <v>45</v>
      </c>
      <c r="O84" s="4" t="s">
        <v>49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62</v>
      </c>
      <c r="U84" s="4" t="s">
        <v>45</v>
      </c>
      <c r="V84" s="5">
        <v>1</v>
      </c>
      <c r="W84" s="5">
        <v>0</v>
      </c>
      <c r="X84" s="5">
        <v>100</v>
      </c>
      <c r="Y84" s="5">
        <v>26.08</v>
      </c>
      <c r="Z84" s="4" t="s">
        <v>45</v>
      </c>
      <c r="AA84" s="5" t="s">
        <v>45</v>
      </c>
      <c r="AB84" s="4" t="s">
        <v>52</v>
      </c>
      <c r="AC84" s="4" t="s">
        <v>45</v>
      </c>
      <c r="AD84" s="5">
        <v>0</v>
      </c>
      <c r="AE84" s="4" t="s">
        <v>53</v>
      </c>
      <c r="AF84" s="3">
        <v>45292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63</v>
      </c>
      <c r="AO84" s="4" t="s">
        <v>45</v>
      </c>
      <c r="AP84" s="4" t="s">
        <v>45</v>
      </c>
    </row>
    <row r="85" spans="1:42" x14ac:dyDescent="0.2">
      <c r="A85" s="2">
        <v>1891456</v>
      </c>
      <c r="B85" s="3">
        <v>45882</v>
      </c>
      <c r="C85" s="4" t="s">
        <v>231</v>
      </c>
      <c r="D85" s="2">
        <v>1545980</v>
      </c>
      <c r="E85" s="4" t="s">
        <v>244</v>
      </c>
      <c r="F85" s="4" t="s">
        <v>245</v>
      </c>
      <c r="G85" s="2">
        <v>671009362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45870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62</v>
      </c>
      <c r="U85" s="4" t="s">
        <v>45</v>
      </c>
      <c r="V85" s="5">
        <v>1</v>
      </c>
      <c r="W85" s="5">
        <v>0</v>
      </c>
      <c r="X85" s="5">
        <v>100</v>
      </c>
      <c r="Y85" s="5">
        <v>26.08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45261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63</v>
      </c>
      <c r="AO85" s="4" t="s">
        <v>45</v>
      </c>
      <c r="AP85" s="4" t="s">
        <v>45</v>
      </c>
    </row>
    <row r="86" spans="1:42" x14ac:dyDescent="0.2">
      <c r="A86" s="2">
        <v>1891456</v>
      </c>
      <c r="B86" s="3">
        <v>45882</v>
      </c>
      <c r="C86" s="4" t="s">
        <v>231</v>
      </c>
      <c r="D86" s="2">
        <v>1545980</v>
      </c>
      <c r="E86" s="4" t="s">
        <v>246</v>
      </c>
      <c r="F86" s="4" t="s">
        <v>247</v>
      </c>
      <c r="G86" s="2">
        <v>695957193</v>
      </c>
      <c r="H86" s="4" t="s">
        <v>45</v>
      </c>
      <c r="I86" s="4" t="s">
        <v>45</v>
      </c>
      <c r="J86" s="4" t="s">
        <v>46</v>
      </c>
      <c r="K86" s="4" t="s">
        <v>47</v>
      </c>
      <c r="L86" s="3">
        <v>45870</v>
      </c>
      <c r="M86" s="4" t="s">
        <v>48</v>
      </c>
      <c r="N86" s="4" t="s">
        <v>45</v>
      </c>
      <c r="O86" s="4" t="s">
        <v>49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62</v>
      </c>
      <c r="U86" s="4" t="s">
        <v>45</v>
      </c>
      <c r="V86" s="5">
        <v>1</v>
      </c>
      <c r="W86" s="5">
        <v>0</v>
      </c>
      <c r="X86" s="5">
        <v>100</v>
      </c>
      <c r="Y86" s="5">
        <v>29.41</v>
      </c>
      <c r="Z86" s="4" t="s">
        <v>45</v>
      </c>
      <c r="AA86" s="5" t="s">
        <v>45</v>
      </c>
      <c r="AB86" s="4" t="s">
        <v>52</v>
      </c>
      <c r="AC86" s="4" t="s">
        <v>45</v>
      </c>
      <c r="AD86" s="5">
        <v>0</v>
      </c>
      <c r="AE86" s="4" t="s">
        <v>53</v>
      </c>
      <c r="AF86" s="3">
        <v>45292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87</v>
      </c>
      <c r="AO86" s="4" t="s">
        <v>45</v>
      </c>
      <c r="AP86" s="4" t="s">
        <v>45</v>
      </c>
    </row>
    <row r="87" spans="1:42" x14ac:dyDescent="0.2">
      <c r="A87" s="2">
        <v>1891456</v>
      </c>
      <c r="B87" s="3">
        <v>45882</v>
      </c>
      <c r="C87" s="4" t="s">
        <v>248</v>
      </c>
      <c r="D87" s="2">
        <v>1555496</v>
      </c>
      <c r="E87" s="4" t="s">
        <v>249</v>
      </c>
      <c r="F87" s="4" t="s">
        <v>250</v>
      </c>
      <c r="G87" s="2">
        <v>347546010</v>
      </c>
      <c r="H87" s="4" t="s">
        <v>251</v>
      </c>
      <c r="I87" s="4" t="s">
        <v>45</v>
      </c>
      <c r="J87" s="4" t="s">
        <v>46</v>
      </c>
      <c r="K87" s="4" t="s">
        <v>47</v>
      </c>
      <c r="L87" s="3">
        <v>45962</v>
      </c>
      <c r="M87" s="4" t="s">
        <v>252</v>
      </c>
      <c r="N87" s="4" t="s">
        <v>45</v>
      </c>
      <c r="O87" s="4" t="s">
        <v>70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90</v>
      </c>
      <c r="U87" s="4" t="s">
        <v>45</v>
      </c>
      <c r="V87" s="5">
        <v>0.17</v>
      </c>
      <c r="W87" s="5">
        <v>0</v>
      </c>
      <c r="X87" s="5">
        <v>100</v>
      </c>
      <c r="Y87" s="5">
        <v>52.17</v>
      </c>
      <c r="Z87" s="4" t="s">
        <v>45</v>
      </c>
      <c r="AA87" s="5" t="s">
        <v>45</v>
      </c>
      <c r="AB87" s="4" t="s">
        <v>71</v>
      </c>
      <c r="AC87" s="4" t="s">
        <v>45</v>
      </c>
      <c r="AD87" s="5">
        <v>0</v>
      </c>
      <c r="AE87" s="4" t="s">
        <v>72</v>
      </c>
      <c r="AF87" s="3">
        <v>45962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54</v>
      </c>
      <c r="AO87" s="4" t="s">
        <v>45</v>
      </c>
      <c r="AP87" s="4" t="s">
        <v>45</v>
      </c>
    </row>
    <row r="88" spans="1:42" x14ac:dyDescent="0.2">
      <c r="A88" s="2">
        <v>1891456</v>
      </c>
      <c r="B88" s="3">
        <v>45882</v>
      </c>
      <c r="C88" s="4" t="s">
        <v>248</v>
      </c>
      <c r="D88" s="2">
        <v>1555496</v>
      </c>
      <c r="E88" s="4" t="s">
        <v>253</v>
      </c>
      <c r="F88" s="4" t="s">
        <v>254</v>
      </c>
      <c r="G88" s="2">
        <v>638312801</v>
      </c>
      <c r="H88" s="4" t="s">
        <v>255</v>
      </c>
      <c r="I88" s="4" t="s">
        <v>45</v>
      </c>
      <c r="J88" s="4" t="s">
        <v>46</v>
      </c>
      <c r="K88" s="4" t="s">
        <v>47</v>
      </c>
      <c r="L88" s="3">
        <v>45901</v>
      </c>
      <c r="M88" s="4" t="s">
        <v>69</v>
      </c>
      <c r="N88" s="4" t="s">
        <v>45</v>
      </c>
      <c r="O88" s="4" t="s">
        <v>70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62</v>
      </c>
      <c r="U88" s="4" t="s">
        <v>45</v>
      </c>
      <c r="V88" s="5">
        <v>0.33</v>
      </c>
      <c r="W88" s="5">
        <v>0</v>
      </c>
      <c r="X88" s="5">
        <v>100</v>
      </c>
      <c r="Y88" s="5">
        <v>104.33</v>
      </c>
      <c r="Z88" s="4" t="s">
        <v>45</v>
      </c>
      <c r="AA88" s="5" t="s">
        <v>45</v>
      </c>
      <c r="AB88" s="4" t="s">
        <v>71</v>
      </c>
      <c r="AC88" s="4" t="s">
        <v>45</v>
      </c>
      <c r="AD88" s="5">
        <v>0</v>
      </c>
      <c r="AE88" s="4" t="s">
        <v>72</v>
      </c>
      <c r="AF88" s="3">
        <v>45901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63</v>
      </c>
      <c r="AO88" s="4" t="s">
        <v>45</v>
      </c>
      <c r="AP88" s="4" t="s">
        <v>45</v>
      </c>
    </row>
    <row r="89" spans="1:42" x14ac:dyDescent="0.2">
      <c r="A89" s="2">
        <v>1891456</v>
      </c>
      <c r="B89" s="3">
        <v>45882</v>
      </c>
      <c r="C89" s="4" t="s">
        <v>256</v>
      </c>
      <c r="D89" s="2">
        <v>1573279</v>
      </c>
      <c r="E89" s="4" t="s">
        <v>257</v>
      </c>
      <c r="F89" s="4" t="s">
        <v>258</v>
      </c>
      <c r="G89" s="2">
        <v>592655255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45870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51</v>
      </c>
      <c r="U89" s="4" t="s">
        <v>45</v>
      </c>
      <c r="V89" s="5">
        <v>1</v>
      </c>
      <c r="W89" s="5">
        <v>0</v>
      </c>
      <c r="X89" s="5">
        <v>100</v>
      </c>
      <c r="Y89" s="5">
        <v>26.08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45566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58</v>
      </c>
      <c r="AO89" s="4" t="s">
        <v>45</v>
      </c>
      <c r="AP89" s="4" t="s">
        <v>45</v>
      </c>
    </row>
    <row r="90" spans="1:42" x14ac:dyDescent="0.2">
      <c r="A90" s="2">
        <v>1891456</v>
      </c>
      <c r="B90" s="3">
        <v>45882</v>
      </c>
      <c r="C90" s="4" t="s">
        <v>256</v>
      </c>
      <c r="D90" s="2">
        <v>1573279</v>
      </c>
      <c r="E90" s="4" t="s">
        <v>259</v>
      </c>
      <c r="F90" s="4" t="s">
        <v>260</v>
      </c>
      <c r="G90" s="2">
        <v>541202038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45870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62</v>
      </c>
      <c r="U90" s="4" t="s">
        <v>45</v>
      </c>
      <c r="V90" s="5">
        <v>1</v>
      </c>
      <c r="W90" s="5">
        <v>0</v>
      </c>
      <c r="X90" s="5">
        <v>100</v>
      </c>
      <c r="Y90" s="5">
        <v>26.08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45566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63</v>
      </c>
      <c r="AO90" s="4" t="s">
        <v>45</v>
      </c>
      <c r="AP90" s="4" t="s">
        <v>45</v>
      </c>
    </row>
    <row r="91" spans="1:42" x14ac:dyDescent="0.2">
      <c r="A91" s="2">
        <v>1891456</v>
      </c>
      <c r="B91" s="3">
        <v>45882</v>
      </c>
      <c r="C91" s="4" t="s">
        <v>256</v>
      </c>
      <c r="D91" s="2">
        <v>1573279</v>
      </c>
      <c r="E91" s="4" t="s">
        <v>261</v>
      </c>
      <c r="F91" s="4" t="s">
        <v>262</v>
      </c>
      <c r="G91" s="2">
        <v>457827123</v>
      </c>
      <c r="H91" s="4" t="s">
        <v>45</v>
      </c>
      <c r="I91" s="4" t="s">
        <v>45</v>
      </c>
      <c r="J91" s="4" t="s">
        <v>46</v>
      </c>
      <c r="K91" s="4" t="s">
        <v>47</v>
      </c>
      <c r="L91" s="3">
        <v>45870</v>
      </c>
      <c r="M91" s="4" t="s">
        <v>48</v>
      </c>
      <c r="N91" s="4" t="s">
        <v>45</v>
      </c>
      <c r="O91" s="4" t="s">
        <v>49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62</v>
      </c>
      <c r="U91" s="4" t="s">
        <v>45</v>
      </c>
      <c r="V91" s="5">
        <v>1</v>
      </c>
      <c r="W91" s="5">
        <v>0</v>
      </c>
      <c r="X91" s="5">
        <v>100</v>
      </c>
      <c r="Y91" s="5">
        <v>26.08</v>
      </c>
      <c r="Z91" s="4" t="s">
        <v>45</v>
      </c>
      <c r="AA91" s="5" t="s">
        <v>45</v>
      </c>
      <c r="AB91" s="4" t="s">
        <v>52</v>
      </c>
      <c r="AC91" s="4" t="s">
        <v>45</v>
      </c>
      <c r="AD91" s="5">
        <v>0</v>
      </c>
      <c r="AE91" s="4" t="s">
        <v>53</v>
      </c>
      <c r="AF91" s="3">
        <v>45505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63</v>
      </c>
      <c r="AO91" s="4" t="s">
        <v>45</v>
      </c>
      <c r="AP91" s="4" t="s">
        <v>45</v>
      </c>
    </row>
    <row r="92" spans="1:42" x14ac:dyDescent="0.2">
      <c r="A92" s="2">
        <v>1891456</v>
      </c>
      <c r="B92" s="3">
        <v>45882</v>
      </c>
      <c r="C92" s="4" t="s">
        <v>256</v>
      </c>
      <c r="D92" s="2">
        <v>1573279</v>
      </c>
      <c r="E92" s="4" t="s">
        <v>263</v>
      </c>
      <c r="F92" s="4" t="s">
        <v>264</v>
      </c>
      <c r="G92" s="2">
        <v>745083293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45870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62</v>
      </c>
      <c r="U92" s="4" t="s">
        <v>45</v>
      </c>
      <c r="V92" s="5">
        <v>1</v>
      </c>
      <c r="W92" s="5">
        <v>0</v>
      </c>
      <c r="X92" s="5">
        <v>100</v>
      </c>
      <c r="Y92" s="5">
        <v>26.08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45597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63</v>
      </c>
      <c r="AO92" s="4" t="s">
        <v>45</v>
      </c>
      <c r="AP92" s="4" t="s">
        <v>45</v>
      </c>
    </row>
    <row r="93" spans="1:42" x14ac:dyDescent="0.2">
      <c r="A93" s="2">
        <v>1891456</v>
      </c>
      <c r="B93" s="3">
        <v>45882</v>
      </c>
      <c r="C93" s="4" t="s">
        <v>256</v>
      </c>
      <c r="D93" s="2">
        <v>1573279</v>
      </c>
      <c r="E93" s="4" t="s">
        <v>265</v>
      </c>
      <c r="F93" s="4" t="s">
        <v>266</v>
      </c>
      <c r="G93" s="2">
        <v>406170582</v>
      </c>
      <c r="H93" s="4" t="s">
        <v>45</v>
      </c>
      <c r="I93" s="4" t="s">
        <v>45</v>
      </c>
      <c r="J93" s="4" t="s">
        <v>46</v>
      </c>
      <c r="K93" s="4" t="s">
        <v>47</v>
      </c>
      <c r="L93" s="3">
        <v>45870</v>
      </c>
      <c r="M93" s="4" t="s">
        <v>48</v>
      </c>
      <c r="N93" s="4" t="s">
        <v>45</v>
      </c>
      <c r="O93" s="4" t="s">
        <v>49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62</v>
      </c>
      <c r="U93" s="4" t="s">
        <v>45</v>
      </c>
      <c r="V93" s="5">
        <v>1</v>
      </c>
      <c r="W93" s="5">
        <v>0</v>
      </c>
      <c r="X93" s="5">
        <v>100</v>
      </c>
      <c r="Y93" s="5">
        <v>26.08</v>
      </c>
      <c r="Z93" s="4" t="s">
        <v>45</v>
      </c>
      <c r="AA93" s="5" t="s">
        <v>45</v>
      </c>
      <c r="AB93" s="4" t="s">
        <v>52</v>
      </c>
      <c r="AC93" s="4" t="s">
        <v>45</v>
      </c>
      <c r="AD93" s="5">
        <v>0</v>
      </c>
      <c r="AE93" s="4" t="s">
        <v>53</v>
      </c>
      <c r="AF93" s="3">
        <v>45597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63</v>
      </c>
      <c r="AO93" s="4" t="s">
        <v>45</v>
      </c>
      <c r="AP93" s="4" t="s">
        <v>45</v>
      </c>
    </row>
    <row r="94" spans="1:42" x14ac:dyDescent="0.2">
      <c r="A94" s="2">
        <v>1891456</v>
      </c>
      <c r="B94" s="3">
        <v>45882</v>
      </c>
      <c r="C94" s="4" t="s">
        <v>256</v>
      </c>
      <c r="D94" s="2">
        <v>1573279</v>
      </c>
      <c r="E94" s="4" t="s">
        <v>267</v>
      </c>
      <c r="F94" s="4" t="s">
        <v>268</v>
      </c>
      <c r="G94" s="2">
        <v>126343453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45870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62</v>
      </c>
      <c r="U94" s="4" t="s">
        <v>45</v>
      </c>
      <c r="V94" s="5">
        <v>1</v>
      </c>
      <c r="W94" s="5">
        <v>0</v>
      </c>
      <c r="X94" s="5">
        <v>100</v>
      </c>
      <c r="Y94" s="5">
        <v>26.08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45627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63</v>
      </c>
      <c r="AO94" s="4" t="s">
        <v>45</v>
      </c>
      <c r="AP94" s="4" t="s">
        <v>45</v>
      </c>
    </row>
    <row r="95" spans="1:42" x14ac:dyDescent="0.2">
      <c r="A95" s="2">
        <v>1891456</v>
      </c>
      <c r="B95" s="3">
        <v>45882</v>
      </c>
      <c r="C95" s="4" t="s">
        <v>256</v>
      </c>
      <c r="D95" s="2">
        <v>1573279</v>
      </c>
      <c r="E95" s="4" t="s">
        <v>269</v>
      </c>
      <c r="F95" s="4" t="s">
        <v>270</v>
      </c>
      <c r="G95" s="2">
        <v>588828435</v>
      </c>
      <c r="H95" s="4" t="s">
        <v>45</v>
      </c>
      <c r="I95" s="4" t="s">
        <v>45</v>
      </c>
      <c r="J95" s="4" t="s">
        <v>46</v>
      </c>
      <c r="K95" s="4" t="s">
        <v>47</v>
      </c>
      <c r="L95" s="3">
        <v>45870</v>
      </c>
      <c r="M95" s="4" t="s">
        <v>48</v>
      </c>
      <c r="N95" s="4" t="s">
        <v>45</v>
      </c>
      <c r="O95" s="4" t="s">
        <v>49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62</v>
      </c>
      <c r="U95" s="4" t="s">
        <v>45</v>
      </c>
      <c r="V95" s="5">
        <v>1</v>
      </c>
      <c r="W95" s="5">
        <v>0</v>
      </c>
      <c r="X95" s="5">
        <v>100</v>
      </c>
      <c r="Y95" s="5">
        <v>26.08</v>
      </c>
      <c r="Z95" s="4" t="s">
        <v>45</v>
      </c>
      <c r="AA95" s="5" t="s">
        <v>45</v>
      </c>
      <c r="AB95" s="4" t="s">
        <v>52</v>
      </c>
      <c r="AC95" s="4" t="s">
        <v>45</v>
      </c>
      <c r="AD95" s="5">
        <v>0</v>
      </c>
      <c r="AE95" s="4" t="s">
        <v>53</v>
      </c>
      <c r="AF95" s="3">
        <v>45627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63</v>
      </c>
      <c r="AO95" s="4" t="s">
        <v>45</v>
      </c>
      <c r="AP95" s="4" t="s">
        <v>45</v>
      </c>
    </row>
    <row r="96" spans="1:42" x14ac:dyDescent="0.2">
      <c r="A96" s="2">
        <v>1891456</v>
      </c>
      <c r="B96" s="3">
        <v>45882</v>
      </c>
      <c r="C96" s="4" t="s">
        <v>271</v>
      </c>
      <c r="D96" s="2">
        <v>1581320</v>
      </c>
      <c r="E96" s="4" t="s">
        <v>272</v>
      </c>
      <c r="F96" s="4" t="s">
        <v>273</v>
      </c>
      <c r="G96" s="2">
        <v>855447513</v>
      </c>
      <c r="H96" s="4" t="s">
        <v>45</v>
      </c>
      <c r="I96" s="4" t="s">
        <v>45</v>
      </c>
      <c r="J96" s="4" t="s">
        <v>46</v>
      </c>
      <c r="K96" s="4" t="s">
        <v>47</v>
      </c>
      <c r="L96" s="3">
        <v>45870</v>
      </c>
      <c r="M96" s="4" t="s">
        <v>48</v>
      </c>
      <c r="N96" s="4" t="s">
        <v>45</v>
      </c>
      <c r="O96" s="4" t="s">
        <v>49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51</v>
      </c>
      <c r="U96" s="4" t="s">
        <v>45</v>
      </c>
      <c r="V96" s="5">
        <v>1</v>
      </c>
      <c r="W96" s="5">
        <v>0</v>
      </c>
      <c r="X96" s="5">
        <v>100</v>
      </c>
      <c r="Y96" s="5">
        <v>26.08</v>
      </c>
      <c r="Z96" s="4" t="s">
        <v>45</v>
      </c>
      <c r="AA96" s="5" t="s">
        <v>45</v>
      </c>
      <c r="AB96" s="4" t="s">
        <v>52</v>
      </c>
      <c r="AC96" s="4" t="s">
        <v>45</v>
      </c>
      <c r="AD96" s="5">
        <v>0</v>
      </c>
      <c r="AE96" s="4" t="s">
        <v>53</v>
      </c>
      <c r="AF96" s="3">
        <v>45139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213</v>
      </c>
      <c r="AO96" s="4" t="s">
        <v>45</v>
      </c>
      <c r="AP96" s="4" t="s">
        <v>45</v>
      </c>
    </row>
    <row r="97" spans="1:42" x14ac:dyDescent="0.2">
      <c r="A97" s="2">
        <v>1891456</v>
      </c>
      <c r="B97" s="3">
        <v>45882</v>
      </c>
      <c r="C97" s="4" t="s">
        <v>274</v>
      </c>
      <c r="D97" s="2">
        <v>1594305</v>
      </c>
      <c r="E97" s="4" t="s">
        <v>275</v>
      </c>
      <c r="F97" s="4" t="s">
        <v>276</v>
      </c>
      <c r="G97" s="2">
        <v>456596185</v>
      </c>
      <c r="H97" s="4" t="s">
        <v>45</v>
      </c>
      <c r="I97" s="4" t="s">
        <v>45</v>
      </c>
      <c r="J97" s="4" t="s">
        <v>46</v>
      </c>
      <c r="K97" s="4" t="s">
        <v>47</v>
      </c>
      <c r="L97" s="3">
        <v>45870</v>
      </c>
      <c r="M97" s="4" t="s">
        <v>48</v>
      </c>
      <c r="N97" s="4" t="s">
        <v>45</v>
      </c>
      <c r="O97" s="4" t="s">
        <v>49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51</v>
      </c>
      <c r="U97" s="4" t="s">
        <v>45</v>
      </c>
      <c r="V97" s="5">
        <v>1</v>
      </c>
      <c r="W97" s="5">
        <v>0</v>
      </c>
      <c r="X97" s="5">
        <v>100</v>
      </c>
      <c r="Y97" s="5">
        <v>26.08</v>
      </c>
      <c r="Z97" s="4" t="s">
        <v>45</v>
      </c>
      <c r="AA97" s="5" t="s">
        <v>45</v>
      </c>
      <c r="AB97" s="4" t="s">
        <v>52</v>
      </c>
      <c r="AC97" s="4" t="s">
        <v>45</v>
      </c>
      <c r="AD97" s="5">
        <v>0</v>
      </c>
      <c r="AE97" s="4" t="s">
        <v>53</v>
      </c>
      <c r="AF97" s="3">
        <v>45566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91</v>
      </c>
      <c r="AO97" s="4" t="s">
        <v>45</v>
      </c>
      <c r="AP97" s="4" t="s">
        <v>45</v>
      </c>
    </row>
    <row r="98" spans="1:42" x14ac:dyDescent="0.2">
      <c r="A98" s="2">
        <v>1891456</v>
      </c>
      <c r="B98" s="3">
        <v>45882</v>
      </c>
      <c r="C98" s="4" t="s">
        <v>277</v>
      </c>
      <c r="D98" s="2">
        <v>1607200</v>
      </c>
      <c r="E98" s="4" t="s">
        <v>278</v>
      </c>
      <c r="F98" s="4" t="s">
        <v>279</v>
      </c>
      <c r="G98" s="2">
        <v>665186622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45870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62</v>
      </c>
      <c r="U98" s="4" t="s">
        <v>45</v>
      </c>
      <c r="V98" s="5">
        <v>1</v>
      </c>
      <c r="W98" s="5">
        <v>0</v>
      </c>
      <c r="X98" s="5">
        <v>100</v>
      </c>
      <c r="Y98" s="5">
        <v>32.5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45474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63</v>
      </c>
      <c r="AO98" s="4" t="s">
        <v>45</v>
      </c>
      <c r="AP98" s="4" t="s">
        <v>45</v>
      </c>
    </row>
    <row r="99" spans="1:42" x14ac:dyDescent="0.2">
      <c r="A99" s="2">
        <v>1891456</v>
      </c>
      <c r="B99" s="3">
        <v>45882</v>
      </c>
      <c r="C99" s="4" t="s">
        <v>277</v>
      </c>
      <c r="D99" s="2">
        <v>1607200</v>
      </c>
      <c r="E99" s="4" t="s">
        <v>280</v>
      </c>
      <c r="F99" s="4" t="s">
        <v>281</v>
      </c>
      <c r="G99" s="2">
        <v>755186622</v>
      </c>
      <c r="H99" s="4" t="s">
        <v>45</v>
      </c>
      <c r="I99" s="4" t="s">
        <v>45</v>
      </c>
      <c r="J99" s="4" t="s">
        <v>46</v>
      </c>
      <c r="K99" s="4" t="s">
        <v>47</v>
      </c>
      <c r="L99" s="3">
        <v>45870</v>
      </c>
      <c r="M99" s="4" t="s">
        <v>48</v>
      </c>
      <c r="N99" s="4" t="s">
        <v>45</v>
      </c>
      <c r="O99" s="4" t="s">
        <v>49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62</v>
      </c>
      <c r="U99" s="4" t="s">
        <v>45</v>
      </c>
      <c r="V99" s="5">
        <v>1</v>
      </c>
      <c r="W99" s="5">
        <v>0</v>
      </c>
      <c r="X99" s="5">
        <v>100</v>
      </c>
      <c r="Y99" s="5">
        <v>32.5</v>
      </c>
      <c r="Z99" s="4" t="s">
        <v>45</v>
      </c>
      <c r="AA99" s="5" t="s">
        <v>45</v>
      </c>
      <c r="AB99" s="4" t="s">
        <v>52</v>
      </c>
      <c r="AC99" s="4" t="s">
        <v>45</v>
      </c>
      <c r="AD99" s="5">
        <v>0</v>
      </c>
      <c r="AE99" s="4" t="s">
        <v>53</v>
      </c>
      <c r="AF99" s="3">
        <v>45444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63</v>
      </c>
      <c r="AO99" s="4" t="s">
        <v>45</v>
      </c>
      <c r="AP99" s="4" t="s">
        <v>45</v>
      </c>
    </row>
    <row r="100" spans="1:42" x14ac:dyDescent="0.2">
      <c r="A100" s="2">
        <v>1891456</v>
      </c>
      <c r="B100" s="3">
        <v>45882</v>
      </c>
      <c r="C100" s="4" t="s">
        <v>282</v>
      </c>
      <c r="D100" s="2">
        <v>1626475</v>
      </c>
      <c r="E100" s="4" t="s">
        <v>283</v>
      </c>
      <c r="F100" s="4" t="s">
        <v>284</v>
      </c>
      <c r="G100" s="2">
        <v>483982525</v>
      </c>
      <c r="H100" s="4" t="s">
        <v>45</v>
      </c>
      <c r="I100" s="4" t="s">
        <v>45</v>
      </c>
      <c r="J100" s="4" t="s">
        <v>46</v>
      </c>
      <c r="K100" s="4" t="s">
        <v>47</v>
      </c>
      <c r="L100" s="3">
        <v>45870</v>
      </c>
      <c r="M100" s="4" t="s">
        <v>48</v>
      </c>
      <c r="N100" s="4" t="s">
        <v>45</v>
      </c>
      <c r="O100" s="4" t="s">
        <v>49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62</v>
      </c>
      <c r="U100" s="4" t="s">
        <v>45</v>
      </c>
      <c r="V100" s="5">
        <v>1</v>
      </c>
      <c r="W100" s="5">
        <v>0</v>
      </c>
      <c r="X100" s="5">
        <v>100</v>
      </c>
      <c r="Y100" s="5">
        <v>26.08</v>
      </c>
      <c r="Z100" s="4" t="s">
        <v>45</v>
      </c>
      <c r="AA100" s="5" t="s">
        <v>45</v>
      </c>
      <c r="AB100" s="4" t="s">
        <v>52</v>
      </c>
      <c r="AC100" s="4" t="s">
        <v>45</v>
      </c>
      <c r="AD100" s="5">
        <v>0</v>
      </c>
      <c r="AE100" s="4" t="s">
        <v>53</v>
      </c>
      <c r="AF100" s="3">
        <v>45536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63</v>
      </c>
      <c r="AO100" s="4" t="s">
        <v>45</v>
      </c>
      <c r="AP100" s="4" t="s">
        <v>45</v>
      </c>
    </row>
    <row r="101" spans="1:42" x14ac:dyDescent="0.2">
      <c r="A101" s="2">
        <v>1891456</v>
      </c>
      <c r="B101" s="3">
        <v>45882</v>
      </c>
      <c r="C101" s="4" t="s">
        <v>282</v>
      </c>
      <c r="D101" s="2">
        <v>1626475</v>
      </c>
      <c r="E101" s="4" t="s">
        <v>285</v>
      </c>
      <c r="F101" s="4" t="s">
        <v>286</v>
      </c>
      <c r="G101" s="2">
        <v>720889533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45870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62</v>
      </c>
      <c r="U101" s="4" t="s">
        <v>45</v>
      </c>
      <c r="V101" s="5">
        <v>1</v>
      </c>
      <c r="W101" s="5">
        <v>0</v>
      </c>
      <c r="X101" s="5">
        <v>100</v>
      </c>
      <c r="Y101" s="5">
        <v>26.08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45474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63</v>
      </c>
      <c r="AO101" s="4" t="s">
        <v>45</v>
      </c>
      <c r="AP101" s="4" t="s">
        <v>45</v>
      </c>
    </row>
    <row r="102" spans="1:42" x14ac:dyDescent="0.2">
      <c r="A102" s="2">
        <v>1891456</v>
      </c>
      <c r="B102" s="3">
        <v>45882</v>
      </c>
      <c r="C102" s="4" t="s">
        <v>282</v>
      </c>
      <c r="D102" s="2">
        <v>1626475</v>
      </c>
      <c r="E102" s="4" t="s">
        <v>287</v>
      </c>
      <c r="F102" s="4" t="s">
        <v>288</v>
      </c>
      <c r="G102" s="2">
        <v>374476720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45870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62</v>
      </c>
      <c r="U102" s="4" t="s">
        <v>45</v>
      </c>
      <c r="V102" s="5">
        <v>1</v>
      </c>
      <c r="W102" s="5">
        <v>0</v>
      </c>
      <c r="X102" s="5">
        <v>100</v>
      </c>
      <c r="Y102" s="5">
        <v>26.08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45505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63</v>
      </c>
      <c r="AO102" s="4" t="s">
        <v>45</v>
      </c>
      <c r="AP102" s="4" t="s">
        <v>45</v>
      </c>
    </row>
    <row r="103" spans="1:42" x14ac:dyDescent="0.2">
      <c r="A103" s="2">
        <v>1891456</v>
      </c>
      <c r="B103" s="3">
        <v>45882</v>
      </c>
      <c r="C103" s="4" t="s">
        <v>282</v>
      </c>
      <c r="D103" s="2">
        <v>1626475</v>
      </c>
      <c r="E103" s="4" t="s">
        <v>289</v>
      </c>
      <c r="F103" s="4" t="s">
        <v>290</v>
      </c>
      <c r="G103" s="2">
        <v>146484403</v>
      </c>
      <c r="H103" s="4" t="s">
        <v>45</v>
      </c>
      <c r="I103" s="4" t="s">
        <v>45</v>
      </c>
      <c r="J103" s="4" t="s">
        <v>46</v>
      </c>
      <c r="K103" s="4" t="s">
        <v>47</v>
      </c>
      <c r="L103" s="3">
        <v>45870</v>
      </c>
      <c r="M103" s="4" t="s">
        <v>48</v>
      </c>
      <c r="N103" s="4" t="s">
        <v>45</v>
      </c>
      <c r="O103" s="4" t="s">
        <v>49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62</v>
      </c>
      <c r="U103" s="4" t="s">
        <v>45</v>
      </c>
      <c r="V103" s="5">
        <v>1</v>
      </c>
      <c r="W103" s="5">
        <v>0</v>
      </c>
      <c r="X103" s="5">
        <v>100</v>
      </c>
      <c r="Y103" s="5">
        <v>26.08</v>
      </c>
      <c r="Z103" s="4" t="s">
        <v>45</v>
      </c>
      <c r="AA103" s="5" t="s">
        <v>45</v>
      </c>
      <c r="AB103" s="4" t="s">
        <v>52</v>
      </c>
      <c r="AC103" s="4" t="s">
        <v>45</v>
      </c>
      <c r="AD103" s="5">
        <v>0</v>
      </c>
      <c r="AE103" s="4" t="s">
        <v>53</v>
      </c>
      <c r="AF103" s="3">
        <v>45505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63</v>
      </c>
      <c r="AO103" s="4" t="s">
        <v>45</v>
      </c>
      <c r="AP103" s="4" t="s">
        <v>45</v>
      </c>
    </row>
    <row r="104" spans="1:42" x14ac:dyDescent="0.2">
      <c r="A104" s="2">
        <v>1891456</v>
      </c>
      <c r="B104" s="3">
        <v>45882</v>
      </c>
      <c r="C104" s="4" t="s">
        <v>282</v>
      </c>
      <c r="D104" s="2">
        <v>1626475</v>
      </c>
      <c r="E104" s="4" t="s">
        <v>291</v>
      </c>
      <c r="F104" s="4" t="s">
        <v>292</v>
      </c>
      <c r="G104" s="2">
        <v>142126513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45870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62</v>
      </c>
      <c r="U104" s="4" t="s">
        <v>45</v>
      </c>
      <c r="V104" s="5">
        <v>1</v>
      </c>
      <c r="W104" s="5">
        <v>0</v>
      </c>
      <c r="X104" s="5">
        <v>100</v>
      </c>
      <c r="Y104" s="5">
        <v>26.08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45566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63</v>
      </c>
      <c r="AO104" s="4" t="s">
        <v>45</v>
      </c>
      <c r="AP104" s="4" t="s">
        <v>45</v>
      </c>
    </row>
    <row r="105" spans="1:42" x14ac:dyDescent="0.2">
      <c r="A105" s="2">
        <v>1891456</v>
      </c>
      <c r="B105" s="3">
        <v>45882</v>
      </c>
      <c r="C105" s="4" t="s">
        <v>282</v>
      </c>
      <c r="D105" s="2">
        <v>1626475</v>
      </c>
      <c r="E105" s="4" t="s">
        <v>293</v>
      </c>
      <c r="F105" s="4" t="s">
        <v>294</v>
      </c>
      <c r="G105" s="2">
        <v>817373263</v>
      </c>
      <c r="H105" s="4" t="s">
        <v>45</v>
      </c>
      <c r="I105" s="4" t="s">
        <v>45</v>
      </c>
      <c r="J105" s="4" t="s">
        <v>46</v>
      </c>
      <c r="K105" s="4" t="s">
        <v>47</v>
      </c>
      <c r="L105" s="3">
        <v>45870</v>
      </c>
      <c r="M105" s="4" t="s">
        <v>48</v>
      </c>
      <c r="N105" s="4" t="s">
        <v>45</v>
      </c>
      <c r="O105" s="4" t="s">
        <v>49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62</v>
      </c>
      <c r="U105" s="4" t="s">
        <v>45</v>
      </c>
      <c r="V105" s="5">
        <v>1</v>
      </c>
      <c r="W105" s="5">
        <v>0</v>
      </c>
      <c r="X105" s="5">
        <v>100</v>
      </c>
      <c r="Y105" s="5">
        <v>26.08</v>
      </c>
      <c r="Z105" s="4" t="s">
        <v>45</v>
      </c>
      <c r="AA105" s="5" t="s">
        <v>45</v>
      </c>
      <c r="AB105" s="4" t="s">
        <v>52</v>
      </c>
      <c r="AC105" s="4" t="s">
        <v>45</v>
      </c>
      <c r="AD105" s="5">
        <v>0</v>
      </c>
      <c r="AE105" s="4" t="s">
        <v>53</v>
      </c>
      <c r="AF105" s="3">
        <v>45566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63</v>
      </c>
      <c r="AO105" s="4" t="s">
        <v>45</v>
      </c>
      <c r="AP105" s="4" t="s">
        <v>45</v>
      </c>
    </row>
    <row r="106" spans="1:42" x14ac:dyDescent="0.2">
      <c r="A106" s="2">
        <v>1891456</v>
      </c>
      <c r="B106" s="3">
        <v>45882</v>
      </c>
      <c r="C106" s="4" t="s">
        <v>282</v>
      </c>
      <c r="D106" s="2">
        <v>1626475</v>
      </c>
      <c r="E106" s="4" t="s">
        <v>295</v>
      </c>
      <c r="F106" s="4" t="s">
        <v>296</v>
      </c>
      <c r="G106" s="2">
        <v>905725053</v>
      </c>
      <c r="H106" s="4" t="s">
        <v>45</v>
      </c>
      <c r="I106" s="4" t="s">
        <v>45</v>
      </c>
      <c r="J106" s="4" t="s">
        <v>46</v>
      </c>
      <c r="K106" s="4" t="s">
        <v>47</v>
      </c>
      <c r="L106" s="3">
        <v>45870</v>
      </c>
      <c r="M106" s="4" t="s">
        <v>48</v>
      </c>
      <c r="N106" s="4" t="s">
        <v>45</v>
      </c>
      <c r="O106" s="4" t="s">
        <v>49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62</v>
      </c>
      <c r="U106" s="4" t="s">
        <v>45</v>
      </c>
      <c r="V106" s="5">
        <v>1</v>
      </c>
      <c r="W106" s="5">
        <v>0</v>
      </c>
      <c r="X106" s="5">
        <v>100</v>
      </c>
      <c r="Y106" s="5">
        <v>26.08</v>
      </c>
      <c r="Z106" s="4" t="s">
        <v>45</v>
      </c>
      <c r="AA106" s="5" t="s">
        <v>45</v>
      </c>
      <c r="AB106" s="4" t="s">
        <v>52</v>
      </c>
      <c r="AC106" s="4" t="s">
        <v>45</v>
      </c>
      <c r="AD106" s="5">
        <v>0</v>
      </c>
      <c r="AE106" s="4" t="s">
        <v>53</v>
      </c>
      <c r="AF106" s="3">
        <v>45627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63</v>
      </c>
      <c r="AO106" s="4" t="s">
        <v>45</v>
      </c>
      <c r="AP106" s="4" t="s">
        <v>45</v>
      </c>
    </row>
    <row r="107" spans="1:42" x14ac:dyDescent="0.2">
      <c r="A107" s="2">
        <v>1891456</v>
      </c>
      <c r="B107" s="3">
        <v>45882</v>
      </c>
      <c r="C107" s="4" t="s">
        <v>282</v>
      </c>
      <c r="D107" s="2">
        <v>1626475</v>
      </c>
      <c r="E107" s="4" t="s">
        <v>297</v>
      </c>
      <c r="F107" s="4" t="s">
        <v>298</v>
      </c>
      <c r="G107" s="2">
        <v>26535054</v>
      </c>
      <c r="H107" s="4" t="s">
        <v>45</v>
      </c>
      <c r="I107" s="4" t="s">
        <v>45</v>
      </c>
      <c r="J107" s="4" t="s">
        <v>46</v>
      </c>
      <c r="K107" s="4" t="s">
        <v>47</v>
      </c>
      <c r="L107" s="3">
        <v>45870</v>
      </c>
      <c r="M107" s="4" t="s">
        <v>48</v>
      </c>
      <c r="N107" s="4" t="s">
        <v>45</v>
      </c>
      <c r="O107" s="4" t="s">
        <v>49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62</v>
      </c>
      <c r="U107" s="4" t="s">
        <v>45</v>
      </c>
      <c r="V107" s="5">
        <v>1</v>
      </c>
      <c r="W107" s="5">
        <v>0</v>
      </c>
      <c r="X107" s="5">
        <v>100</v>
      </c>
      <c r="Y107" s="5">
        <v>26.08</v>
      </c>
      <c r="Z107" s="4" t="s">
        <v>45</v>
      </c>
      <c r="AA107" s="5" t="s">
        <v>45</v>
      </c>
      <c r="AB107" s="4" t="s">
        <v>52</v>
      </c>
      <c r="AC107" s="4" t="s">
        <v>45</v>
      </c>
      <c r="AD107" s="5">
        <v>0</v>
      </c>
      <c r="AE107" s="4" t="s">
        <v>53</v>
      </c>
      <c r="AF107" s="3">
        <v>45627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63</v>
      </c>
      <c r="AO107" s="4" t="s">
        <v>45</v>
      </c>
      <c r="AP107" s="4" t="s">
        <v>45</v>
      </c>
    </row>
    <row r="108" spans="1:42" x14ac:dyDescent="0.2">
      <c r="A108" s="2">
        <v>1891456</v>
      </c>
      <c r="B108" s="3">
        <v>45882</v>
      </c>
      <c r="C108" s="4" t="s">
        <v>299</v>
      </c>
      <c r="D108" s="2">
        <v>1639670</v>
      </c>
      <c r="E108" s="4" t="s">
        <v>300</v>
      </c>
      <c r="F108" s="4" t="s">
        <v>301</v>
      </c>
      <c r="G108" s="2">
        <v>733517143</v>
      </c>
      <c r="H108" s="4" t="s">
        <v>302</v>
      </c>
      <c r="I108" s="4" t="s">
        <v>45</v>
      </c>
      <c r="J108" s="4" t="s">
        <v>46</v>
      </c>
      <c r="K108" s="4" t="s">
        <v>47</v>
      </c>
      <c r="L108" s="3">
        <v>45658</v>
      </c>
      <c r="M108" s="4" t="s">
        <v>303</v>
      </c>
      <c r="N108" s="4" t="s">
        <v>45</v>
      </c>
      <c r="O108" s="4" t="s">
        <v>70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51</v>
      </c>
      <c r="U108" s="4" t="s">
        <v>45</v>
      </c>
      <c r="V108" s="5">
        <v>-0.42</v>
      </c>
      <c r="W108" s="5">
        <v>0</v>
      </c>
      <c r="X108" s="5">
        <v>100</v>
      </c>
      <c r="Y108" s="5">
        <v>-130.41999999999999</v>
      </c>
      <c r="Z108" s="4" t="s">
        <v>45</v>
      </c>
      <c r="AA108" s="5" t="s">
        <v>45</v>
      </c>
      <c r="AB108" s="4" t="s">
        <v>71</v>
      </c>
      <c r="AC108" s="4" t="s">
        <v>45</v>
      </c>
      <c r="AD108" s="5">
        <v>0</v>
      </c>
      <c r="AE108" s="4" t="s">
        <v>72</v>
      </c>
      <c r="AF108" s="3">
        <v>45658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58</v>
      </c>
      <c r="AO108" s="4" t="s">
        <v>45</v>
      </c>
      <c r="AP108" s="4" t="s">
        <v>45</v>
      </c>
    </row>
    <row r="109" spans="1:42" x14ac:dyDescent="0.2">
      <c r="A109" s="2">
        <v>1891456</v>
      </c>
      <c r="B109" s="3">
        <v>45882</v>
      </c>
      <c r="C109" s="4" t="s">
        <v>304</v>
      </c>
      <c r="D109" s="2">
        <v>1646082</v>
      </c>
      <c r="E109" s="4" t="s">
        <v>305</v>
      </c>
      <c r="F109" s="4" t="s">
        <v>306</v>
      </c>
      <c r="G109" s="2">
        <v>685205553</v>
      </c>
      <c r="H109" s="4" t="s">
        <v>45</v>
      </c>
      <c r="I109" s="4" t="s">
        <v>45</v>
      </c>
      <c r="J109" s="4" t="s">
        <v>46</v>
      </c>
      <c r="K109" s="4" t="s">
        <v>47</v>
      </c>
      <c r="L109" s="3">
        <v>45870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62</v>
      </c>
      <c r="U109" s="4" t="s">
        <v>45</v>
      </c>
      <c r="V109" s="5">
        <v>1</v>
      </c>
      <c r="W109" s="5">
        <v>0</v>
      </c>
      <c r="X109" s="5">
        <v>100</v>
      </c>
      <c r="Y109" s="5">
        <v>26.08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45536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63</v>
      </c>
      <c r="AO109" s="4" t="s">
        <v>45</v>
      </c>
      <c r="AP109" s="4" t="s">
        <v>45</v>
      </c>
    </row>
    <row r="110" spans="1:42" x14ac:dyDescent="0.2">
      <c r="A110" s="2">
        <v>1891456</v>
      </c>
      <c r="B110" s="3">
        <v>45882</v>
      </c>
      <c r="C110" s="4" t="s">
        <v>304</v>
      </c>
      <c r="D110" s="2">
        <v>1646082</v>
      </c>
      <c r="E110" s="4" t="s">
        <v>307</v>
      </c>
      <c r="F110" s="4" t="s">
        <v>308</v>
      </c>
      <c r="G110" s="2">
        <v>594815113</v>
      </c>
      <c r="H110" s="4" t="s">
        <v>45</v>
      </c>
      <c r="I110" s="4" t="s">
        <v>45</v>
      </c>
      <c r="J110" s="4" t="s">
        <v>46</v>
      </c>
      <c r="K110" s="4" t="s">
        <v>47</v>
      </c>
      <c r="L110" s="3">
        <v>45870</v>
      </c>
      <c r="M110" s="4" t="s">
        <v>48</v>
      </c>
      <c r="N110" s="4" t="s">
        <v>45</v>
      </c>
      <c r="O110" s="4" t="s">
        <v>49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51</v>
      </c>
      <c r="U110" s="4" t="s">
        <v>45</v>
      </c>
      <c r="V110" s="5">
        <v>1</v>
      </c>
      <c r="W110" s="5">
        <v>0</v>
      </c>
      <c r="X110" s="5">
        <v>100</v>
      </c>
      <c r="Y110" s="5">
        <v>26.08</v>
      </c>
      <c r="Z110" s="4" t="s">
        <v>45</v>
      </c>
      <c r="AA110" s="5" t="s">
        <v>45</v>
      </c>
      <c r="AB110" s="4" t="s">
        <v>52</v>
      </c>
      <c r="AC110" s="4" t="s">
        <v>45</v>
      </c>
      <c r="AD110" s="5">
        <v>0</v>
      </c>
      <c r="AE110" s="4" t="s">
        <v>53</v>
      </c>
      <c r="AF110" s="3">
        <v>45505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91</v>
      </c>
      <c r="AO110" s="4" t="s">
        <v>45</v>
      </c>
      <c r="AP110" s="4" t="s">
        <v>45</v>
      </c>
    </row>
    <row r="111" spans="1:42" x14ac:dyDescent="0.2">
      <c r="A111" s="2">
        <v>1891456</v>
      </c>
      <c r="B111" s="3">
        <v>45882</v>
      </c>
      <c r="C111" s="4" t="s">
        <v>304</v>
      </c>
      <c r="D111" s="2">
        <v>1646082</v>
      </c>
      <c r="E111" s="4" t="s">
        <v>309</v>
      </c>
      <c r="F111" s="4" t="s">
        <v>310</v>
      </c>
      <c r="G111" s="2">
        <v>820670584</v>
      </c>
      <c r="H111" s="4" t="s">
        <v>45</v>
      </c>
      <c r="I111" s="4" t="s">
        <v>45</v>
      </c>
      <c r="J111" s="4" t="s">
        <v>46</v>
      </c>
      <c r="K111" s="4" t="s">
        <v>47</v>
      </c>
      <c r="L111" s="3">
        <v>45870</v>
      </c>
      <c r="M111" s="4" t="s">
        <v>48</v>
      </c>
      <c r="N111" s="4" t="s">
        <v>45</v>
      </c>
      <c r="O111" s="4" t="s">
        <v>49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51</v>
      </c>
      <c r="U111" s="4" t="s">
        <v>45</v>
      </c>
      <c r="V111" s="5">
        <v>1</v>
      </c>
      <c r="W111" s="5">
        <v>0</v>
      </c>
      <c r="X111" s="5">
        <v>100</v>
      </c>
      <c r="Y111" s="5">
        <v>26.08</v>
      </c>
      <c r="Z111" s="4" t="s">
        <v>45</v>
      </c>
      <c r="AA111" s="5" t="s">
        <v>45</v>
      </c>
      <c r="AB111" s="4" t="s">
        <v>52</v>
      </c>
      <c r="AC111" s="4" t="s">
        <v>45</v>
      </c>
      <c r="AD111" s="5">
        <v>0</v>
      </c>
      <c r="AE111" s="4" t="s">
        <v>53</v>
      </c>
      <c r="AF111" s="3">
        <v>45627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58</v>
      </c>
      <c r="AO111" s="4" t="s">
        <v>45</v>
      </c>
      <c r="AP111" s="4" t="s">
        <v>45</v>
      </c>
    </row>
    <row r="112" spans="1:42" x14ac:dyDescent="0.2">
      <c r="A112" s="2">
        <v>1891456</v>
      </c>
      <c r="B112" s="3">
        <v>45882</v>
      </c>
      <c r="C112" s="4" t="s">
        <v>304</v>
      </c>
      <c r="D112" s="2">
        <v>1646082</v>
      </c>
      <c r="E112" s="4" t="s">
        <v>311</v>
      </c>
      <c r="F112" s="4" t="s">
        <v>312</v>
      </c>
      <c r="G112" s="2">
        <v>748697192</v>
      </c>
      <c r="H112" s="4" t="s">
        <v>313</v>
      </c>
      <c r="I112" s="4" t="s">
        <v>45</v>
      </c>
      <c r="J112" s="4" t="s">
        <v>46</v>
      </c>
      <c r="K112" s="4" t="s">
        <v>47</v>
      </c>
      <c r="L112" s="3">
        <v>45901</v>
      </c>
      <c r="M112" s="4" t="s">
        <v>69</v>
      </c>
      <c r="N112" s="4" t="s">
        <v>45</v>
      </c>
      <c r="O112" s="4" t="s">
        <v>70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62</v>
      </c>
      <c r="U112" s="4" t="s">
        <v>45</v>
      </c>
      <c r="V112" s="5">
        <v>0.33</v>
      </c>
      <c r="W112" s="5">
        <v>0</v>
      </c>
      <c r="X112" s="5">
        <v>100</v>
      </c>
      <c r="Y112" s="5">
        <v>104.33</v>
      </c>
      <c r="Z112" s="4" t="s">
        <v>45</v>
      </c>
      <c r="AA112" s="5" t="s">
        <v>45</v>
      </c>
      <c r="AB112" s="4" t="s">
        <v>71</v>
      </c>
      <c r="AC112" s="4" t="s">
        <v>45</v>
      </c>
      <c r="AD112" s="5">
        <v>0</v>
      </c>
      <c r="AE112" s="4" t="s">
        <v>72</v>
      </c>
      <c r="AF112" s="3">
        <v>45901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63</v>
      </c>
      <c r="AO112" s="4" t="s">
        <v>45</v>
      </c>
      <c r="AP112" s="4" t="s">
        <v>45</v>
      </c>
    </row>
    <row r="113" spans="1:42" x14ac:dyDescent="0.2">
      <c r="A113" s="2">
        <v>1891456</v>
      </c>
      <c r="B113" s="3">
        <v>45882</v>
      </c>
      <c r="C113" s="4" t="s">
        <v>314</v>
      </c>
      <c r="D113" s="2">
        <v>1673202</v>
      </c>
      <c r="E113" s="4" t="s">
        <v>315</v>
      </c>
      <c r="F113" s="4" t="s">
        <v>316</v>
      </c>
      <c r="G113" s="2">
        <v>164084034</v>
      </c>
      <c r="H113" s="4" t="s">
        <v>45</v>
      </c>
      <c r="I113" s="4" t="s">
        <v>45</v>
      </c>
      <c r="J113" s="4" t="s">
        <v>46</v>
      </c>
      <c r="K113" s="4" t="s">
        <v>47</v>
      </c>
      <c r="L113" s="3">
        <v>45870</v>
      </c>
      <c r="M113" s="4" t="s">
        <v>48</v>
      </c>
      <c r="N113" s="4" t="s">
        <v>45</v>
      </c>
      <c r="O113" s="4" t="s">
        <v>49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62</v>
      </c>
      <c r="U113" s="4" t="s">
        <v>45</v>
      </c>
      <c r="V113" s="5">
        <v>1</v>
      </c>
      <c r="W113" s="5">
        <v>0</v>
      </c>
      <c r="X113" s="5">
        <v>100</v>
      </c>
      <c r="Y113" s="5">
        <v>29.41</v>
      </c>
      <c r="Z113" s="4" t="s">
        <v>45</v>
      </c>
      <c r="AA113" s="5" t="s">
        <v>45</v>
      </c>
      <c r="AB113" s="4" t="s">
        <v>52</v>
      </c>
      <c r="AC113" s="4" t="s">
        <v>45</v>
      </c>
      <c r="AD113" s="5">
        <v>0</v>
      </c>
      <c r="AE113" s="4" t="s">
        <v>53</v>
      </c>
      <c r="AF113" s="3">
        <v>45597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87</v>
      </c>
      <c r="AO113" s="4" t="s">
        <v>45</v>
      </c>
      <c r="AP113" s="4" t="s">
        <v>45</v>
      </c>
    </row>
    <row r="114" spans="1:42" x14ac:dyDescent="0.2">
      <c r="A114" s="2">
        <v>1891456</v>
      </c>
      <c r="B114" s="3">
        <v>45882</v>
      </c>
      <c r="C114" s="4" t="s">
        <v>314</v>
      </c>
      <c r="D114" s="2">
        <v>1673202</v>
      </c>
      <c r="E114" s="4" t="s">
        <v>317</v>
      </c>
      <c r="F114" s="4" t="s">
        <v>318</v>
      </c>
      <c r="G114" s="2">
        <v>304266453</v>
      </c>
      <c r="H114" s="4" t="s">
        <v>319</v>
      </c>
      <c r="I114" s="4" t="s">
        <v>45</v>
      </c>
      <c r="J114" s="4" t="s">
        <v>46</v>
      </c>
      <c r="K114" s="4" t="s">
        <v>47</v>
      </c>
      <c r="L114" s="3">
        <v>45962</v>
      </c>
      <c r="M114" s="4" t="s">
        <v>252</v>
      </c>
      <c r="N114" s="4" t="s">
        <v>45</v>
      </c>
      <c r="O114" s="4" t="s">
        <v>70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51</v>
      </c>
      <c r="U114" s="4" t="s">
        <v>45</v>
      </c>
      <c r="V114" s="5">
        <v>0.17</v>
      </c>
      <c r="W114" s="5">
        <v>0</v>
      </c>
      <c r="X114" s="5">
        <v>100</v>
      </c>
      <c r="Y114" s="5">
        <v>52.17</v>
      </c>
      <c r="Z114" s="4" t="s">
        <v>45</v>
      </c>
      <c r="AA114" s="5" t="s">
        <v>45</v>
      </c>
      <c r="AB114" s="4" t="s">
        <v>71</v>
      </c>
      <c r="AC114" s="4" t="s">
        <v>45</v>
      </c>
      <c r="AD114" s="5">
        <v>0</v>
      </c>
      <c r="AE114" s="4" t="s">
        <v>72</v>
      </c>
      <c r="AF114" s="3">
        <v>45962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54</v>
      </c>
      <c r="AO114" s="4" t="s">
        <v>45</v>
      </c>
      <c r="AP114" s="4" t="s">
        <v>45</v>
      </c>
    </row>
    <row r="115" spans="1:42" x14ac:dyDescent="0.2">
      <c r="A115" s="2">
        <v>1891456</v>
      </c>
      <c r="B115" s="3">
        <v>45882</v>
      </c>
      <c r="C115" s="4" t="s">
        <v>320</v>
      </c>
      <c r="D115" s="2">
        <v>1673763</v>
      </c>
      <c r="E115" s="4" t="s">
        <v>321</v>
      </c>
      <c r="F115" s="4" t="s">
        <v>322</v>
      </c>
      <c r="G115" s="2">
        <v>477130294</v>
      </c>
      <c r="H115" s="4" t="s">
        <v>45</v>
      </c>
      <c r="I115" s="4" t="s">
        <v>45</v>
      </c>
      <c r="J115" s="4" t="s">
        <v>46</v>
      </c>
      <c r="K115" s="4" t="s">
        <v>47</v>
      </c>
      <c r="L115" s="3">
        <v>45870</v>
      </c>
      <c r="M115" s="4" t="s">
        <v>48</v>
      </c>
      <c r="N115" s="4" t="s">
        <v>45</v>
      </c>
      <c r="O115" s="4" t="s">
        <v>49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62</v>
      </c>
      <c r="U115" s="4" t="s">
        <v>45</v>
      </c>
      <c r="V115" s="5">
        <v>1</v>
      </c>
      <c r="W115" s="5">
        <v>0</v>
      </c>
      <c r="X115" s="5">
        <v>100</v>
      </c>
      <c r="Y115" s="5">
        <v>29.41</v>
      </c>
      <c r="Z115" s="4" t="s">
        <v>45</v>
      </c>
      <c r="AA115" s="5" t="s">
        <v>45</v>
      </c>
      <c r="AB115" s="4" t="s">
        <v>52</v>
      </c>
      <c r="AC115" s="4" t="s">
        <v>45</v>
      </c>
      <c r="AD115" s="5">
        <v>0</v>
      </c>
      <c r="AE115" s="4" t="s">
        <v>53</v>
      </c>
      <c r="AF115" s="3">
        <v>45292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87</v>
      </c>
      <c r="AO115" s="4" t="s">
        <v>45</v>
      </c>
      <c r="AP115" s="4" t="s">
        <v>45</v>
      </c>
    </row>
    <row r="116" spans="1:42" x14ac:dyDescent="0.2">
      <c r="A116" s="2">
        <v>1891456</v>
      </c>
      <c r="B116" s="3">
        <v>45882</v>
      </c>
      <c r="C116" s="4" t="s">
        <v>320</v>
      </c>
      <c r="D116" s="2">
        <v>1673763</v>
      </c>
      <c r="E116" s="4" t="s">
        <v>323</v>
      </c>
      <c r="F116" s="4" t="s">
        <v>324</v>
      </c>
      <c r="G116" s="2">
        <v>712615213</v>
      </c>
      <c r="H116" s="4" t="s">
        <v>45</v>
      </c>
      <c r="I116" s="4" t="s">
        <v>45</v>
      </c>
      <c r="J116" s="4" t="s">
        <v>46</v>
      </c>
      <c r="K116" s="4" t="s">
        <v>47</v>
      </c>
      <c r="L116" s="3">
        <v>45870</v>
      </c>
      <c r="M116" s="4" t="s">
        <v>48</v>
      </c>
      <c r="N116" s="4" t="s">
        <v>45</v>
      </c>
      <c r="O116" s="4" t="s">
        <v>49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62</v>
      </c>
      <c r="U116" s="4" t="s">
        <v>45</v>
      </c>
      <c r="V116" s="5">
        <v>1</v>
      </c>
      <c r="W116" s="5">
        <v>0</v>
      </c>
      <c r="X116" s="5">
        <v>100</v>
      </c>
      <c r="Y116" s="5">
        <v>29.41</v>
      </c>
      <c r="Z116" s="4" t="s">
        <v>45</v>
      </c>
      <c r="AA116" s="5" t="s">
        <v>45</v>
      </c>
      <c r="AB116" s="4" t="s">
        <v>52</v>
      </c>
      <c r="AC116" s="4" t="s">
        <v>45</v>
      </c>
      <c r="AD116" s="5">
        <v>0</v>
      </c>
      <c r="AE116" s="4" t="s">
        <v>53</v>
      </c>
      <c r="AF116" s="3">
        <v>45292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87</v>
      </c>
      <c r="AO116" s="4" t="s">
        <v>45</v>
      </c>
      <c r="AP116" s="4" t="s">
        <v>45</v>
      </c>
    </row>
    <row r="117" spans="1:42" x14ac:dyDescent="0.2">
      <c r="A117" s="2">
        <v>1891456</v>
      </c>
      <c r="B117" s="3">
        <v>45882</v>
      </c>
      <c r="C117" s="4" t="s">
        <v>320</v>
      </c>
      <c r="D117" s="2">
        <v>1673763</v>
      </c>
      <c r="E117" s="4" t="s">
        <v>325</v>
      </c>
      <c r="F117" s="4" t="s">
        <v>326</v>
      </c>
      <c r="G117" s="2">
        <v>731314054</v>
      </c>
      <c r="H117" s="4" t="s">
        <v>45</v>
      </c>
      <c r="I117" s="4" t="s">
        <v>45</v>
      </c>
      <c r="J117" s="4" t="s">
        <v>46</v>
      </c>
      <c r="K117" s="4" t="s">
        <v>47</v>
      </c>
      <c r="L117" s="3">
        <v>45870</v>
      </c>
      <c r="M117" s="4" t="s">
        <v>48</v>
      </c>
      <c r="N117" s="4" t="s">
        <v>45</v>
      </c>
      <c r="O117" s="4" t="s">
        <v>49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62</v>
      </c>
      <c r="U117" s="4" t="s">
        <v>45</v>
      </c>
      <c r="V117" s="5">
        <v>1</v>
      </c>
      <c r="W117" s="5">
        <v>0</v>
      </c>
      <c r="X117" s="5">
        <v>100</v>
      </c>
      <c r="Y117" s="5">
        <v>29.41</v>
      </c>
      <c r="Z117" s="4" t="s">
        <v>45</v>
      </c>
      <c r="AA117" s="5" t="s">
        <v>45</v>
      </c>
      <c r="AB117" s="4" t="s">
        <v>52</v>
      </c>
      <c r="AC117" s="4" t="s">
        <v>45</v>
      </c>
      <c r="AD117" s="5">
        <v>0</v>
      </c>
      <c r="AE117" s="4" t="s">
        <v>53</v>
      </c>
      <c r="AF117" s="3">
        <v>45170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87</v>
      </c>
      <c r="AO117" s="4" t="s">
        <v>45</v>
      </c>
      <c r="AP117" s="4" t="s">
        <v>45</v>
      </c>
    </row>
    <row r="118" spans="1:42" x14ac:dyDescent="0.2">
      <c r="A118" s="2">
        <v>1891456</v>
      </c>
      <c r="B118" s="3">
        <v>45882</v>
      </c>
      <c r="C118" s="4" t="s">
        <v>320</v>
      </c>
      <c r="D118" s="2">
        <v>1673763</v>
      </c>
      <c r="E118" s="4" t="s">
        <v>327</v>
      </c>
      <c r="F118" s="4" t="s">
        <v>328</v>
      </c>
      <c r="G118" s="2">
        <v>154076215</v>
      </c>
      <c r="H118" s="4" t="s">
        <v>45</v>
      </c>
      <c r="I118" s="4" t="s">
        <v>45</v>
      </c>
      <c r="J118" s="4" t="s">
        <v>46</v>
      </c>
      <c r="K118" s="4" t="s">
        <v>47</v>
      </c>
      <c r="L118" s="3">
        <v>45870</v>
      </c>
      <c r="M118" s="4" t="s">
        <v>48</v>
      </c>
      <c r="N118" s="4" t="s">
        <v>45</v>
      </c>
      <c r="O118" s="4" t="s">
        <v>49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62</v>
      </c>
      <c r="U118" s="4" t="s">
        <v>45</v>
      </c>
      <c r="V118" s="5">
        <v>1</v>
      </c>
      <c r="W118" s="5">
        <v>0</v>
      </c>
      <c r="X118" s="5">
        <v>100</v>
      </c>
      <c r="Y118" s="5">
        <v>29.41</v>
      </c>
      <c r="Z118" s="4" t="s">
        <v>45</v>
      </c>
      <c r="AA118" s="5" t="s">
        <v>45</v>
      </c>
      <c r="AB118" s="4" t="s">
        <v>52</v>
      </c>
      <c r="AC118" s="4" t="s">
        <v>45</v>
      </c>
      <c r="AD118" s="5">
        <v>0</v>
      </c>
      <c r="AE118" s="4" t="s">
        <v>53</v>
      </c>
      <c r="AF118" s="3">
        <v>45292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87</v>
      </c>
      <c r="AO118" s="4" t="s">
        <v>45</v>
      </c>
      <c r="AP118" s="4" t="s">
        <v>45</v>
      </c>
    </row>
    <row r="119" spans="1:42" x14ac:dyDescent="0.2">
      <c r="A119" s="2">
        <v>1891456</v>
      </c>
      <c r="B119" s="3">
        <v>45882</v>
      </c>
      <c r="C119" s="4" t="s">
        <v>320</v>
      </c>
      <c r="D119" s="2">
        <v>1673763</v>
      </c>
      <c r="E119" s="4" t="s">
        <v>329</v>
      </c>
      <c r="F119" s="4" t="s">
        <v>330</v>
      </c>
      <c r="G119" s="2">
        <v>922417041</v>
      </c>
      <c r="H119" s="4" t="s">
        <v>45</v>
      </c>
      <c r="I119" s="4" t="s">
        <v>45</v>
      </c>
      <c r="J119" s="4" t="s">
        <v>46</v>
      </c>
      <c r="K119" s="4" t="s">
        <v>47</v>
      </c>
      <c r="L119" s="3">
        <v>45870</v>
      </c>
      <c r="M119" s="4" t="s">
        <v>48</v>
      </c>
      <c r="N119" s="4" t="s">
        <v>45</v>
      </c>
      <c r="O119" s="4" t="s">
        <v>49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62</v>
      </c>
      <c r="U119" s="4" t="s">
        <v>45</v>
      </c>
      <c r="V119" s="5">
        <v>1</v>
      </c>
      <c r="W119" s="5">
        <v>0</v>
      </c>
      <c r="X119" s="5">
        <v>100</v>
      </c>
      <c r="Y119" s="5">
        <v>29.41</v>
      </c>
      <c r="Z119" s="4" t="s">
        <v>45</v>
      </c>
      <c r="AA119" s="5" t="s">
        <v>45</v>
      </c>
      <c r="AB119" s="4" t="s">
        <v>52</v>
      </c>
      <c r="AC119" s="4" t="s">
        <v>45</v>
      </c>
      <c r="AD119" s="5">
        <v>0</v>
      </c>
      <c r="AE119" s="4" t="s">
        <v>53</v>
      </c>
      <c r="AF119" s="3">
        <v>45292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87</v>
      </c>
      <c r="AO119" s="4" t="s">
        <v>45</v>
      </c>
      <c r="AP119" s="4" t="s">
        <v>45</v>
      </c>
    </row>
    <row r="120" spans="1:42" x14ac:dyDescent="0.2">
      <c r="A120" s="2">
        <v>1891456</v>
      </c>
      <c r="B120" s="3">
        <v>45882</v>
      </c>
      <c r="C120" s="4" t="s">
        <v>320</v>
      </c>
      <c r="D120" s="2">
        <v>1673763</v>
      </c>
      <c r="E120" s="4" t="s">
        <v>331</v>
      </c>
      <c r="F120" s="4" t="s">
        <v>332</v>
      </c>
      <c r="G120" s="2">
        <v>544214490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45870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62</v>
      </c>
      <c r="U120" s="4" t="s">
        <v>45</v>
      </c>
      <c r="V120" s="5">
        <v>1</v>
      </c>
      <c r="W120" s="5">
        <v>0</v>
      </c>
      <c r="X120" s="5">
        <v>100</v>
      </c>
      <c r="Y120" s="5">
        <v>29.41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45292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87</v>
      </c>
      <c r="AO120" s="4" t="s">
        <v>45</v>
      </c>
      <c r="AP120" s="4" t="s">
        <v>45</v>
      </c>
    </row>
    <row r="121" spans="1:42" x14ac:dyDescent="0.2">
      <c r="A121" s="2">
        <v>1891456</v>
      </c>
      <c r="B121" s="3">
        <v>45882</v>
      </c>
      <c r="C121" s="4" t="s">
        <v>320</v>
      </c>
      <c r="D121" s="2">
        <v>1673763</v>
      </c>
      <c r="E121" s="4" t="s">
        <v>333</v>
      </c>
      <c r="F121" s="4" t="s">
        <v>334</v>
      </c>
      <c r="G121" s="2">
        <v>666735010</v>
      </c>
      <c r="H121" s="4" t="s">
        <v>45</v>
      </c>
      <c r="I121" s="4" t="s">
        <v>45</v>
      </c>
      <c r="J121" s="4" t="s">
        <v>46</v>
      </c>
      <c r="K121" s="4" t="s">
        <v>47</v>
      </c>
      <c r="L121" s="3">
        <v>45870</v>
      </c>
      <c r="M121" s="4" t="s">
        <v>48</v>
      </c>
      <c r="N121" s="4" t="s">
        <v>45</v>
      </c>
      <c r="O121" s="4" t="s">
        <v>49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62</v>
      </c>
      <c r="U121" s="4" t="s">
        <v>45</v>
      </c>
      <c r="V121" s="5">
        <v>1</v>
      </c>
      <c r="W121" s="5">
        <v>0</v>
      </c>
      <c r="X121" s="5">
        <v>100</v>
      </c>
      <c r="Y121" s="5">
        <v>29.41</v>
      </c>
      <c r="Z121" s="4" t="s">
        <v>45</v>
      </c>
      <c r="AA121" s="5" t="s">
        <v>45</v>
      </c>
      <c r="AB121" s="4" t="s">
        <v>52</v>
      </c>
      <c r="AC121" s="4" t="s">
        <v>45</v>
      </c>
      <c r="AD121" s="5">
        <v>0</v>
      </c>
      <c r="AE121" s="4" t="s">
        <v>53</v>
      </c>
      <c r="AF121" s="3">
        <v>45292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87</v>
      </c>
      <c r="AO121" s="4" t="s">
        <v>45</v>
      </c>
      <c r="AP121" s="4" t="s">
        <v>45</v>
      </c>
    </row>
    <row r="122" spans="1:42" x14ac:dyDescent="0.2">
      <c r="A122" s="2">
        <v>1891456</v>
      </c>
      <c r="B122" s="3">
        <v>45882</v>
      </c>
      <c r="C122" s="4" t="s">
        <v>320</v>
      </c>
      <c r="D122" s="2">
        <v>1673763</v>
      </c>
      <c r="E122" s="4" t="s">
        <v>335</v>
      </c>
      <c r="F122" s="4" t="s">
        <v>336</v>
      </c>
      <c r="G122" s="2">
        <v>516390555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45870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62</v>
      </c>
      <c r="U122" s="4" t="s">
        <v>45</v>
      </c>
      <c r="V122" s="5">
        <v>1</v>
      </c>
      <c r="W122" s="5">
        <v>0</v>
      </c>
      <c r="X122" s="5">
        <v>100</v>
      </c>
      <c r="Y122" s="5">
        <v>29.41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45292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87</v>
      </c>
      <c r="AO122" s="4" t="s">
        <v>45</v>
      </c>
      <c r="AP122" s="4" t="s">
        <v>45</v>
      </c>
    </row>
    <row r="123" spans="1:42" x14ac:dyDescent="0.2">
      <c r="A123" s="2">
        <v>1891456</v>
      </c>
      <c r="B123" s="3">
        <v>45882</v>
      </c>
      <c r="C123" s="4" t="s">
        <v>320</v>
      </c>
      <c r="D123" s="2">
        <v>1673763</v>
      </c>
      <c r="E123" s="4" t="s">
        <v>337</v>
      </c>
      <c r="F123" s="4" t="s">
        <v>338</v>
      </c>
      <c r="G123" s="2">
        <v>584119114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45870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62</v>
      </c>
      <c r="U123" s="4" t="s">
        <v>45</v>
      </c>
      <c r="V123" s="5">
        <v>1</v>
      </c>
      <c r="W123" s="5">
        <v>0</v>
      </c>
      <c r="X123" s="5">
        <v>100</v>
      </c>
      <c r="Y123" s="5">
        <v>29.41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45566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87</v>
      </c>
      <c r="AO123" s="4" t="s">
        <v>45</v>
      </c>
      <c r="AP123" s="4" t="s">
        <v>45</v>
      </c>
    </row>
    <row r="124" spans="1:42" x14ac:dyDescent="0.2">
      <c r="A124" s="2">
        <v>1891456</v>
      </c>
      <c r="B124" s="3">
        <v>45882</v>
      </c>
      <c r="C124" s="4" t="s">
        <v>339</v>
      </c>
      <c r="D124" s="2">
        <v>1703723</v>
      </c>
      <c r="E124" s="4" t="s">
        <v>340</v>
      </c>
      <c r="F124" s="4" t="s">
        <v>341</v>
      </c>
      <c r="G124" s="2">
        <v>618018022</v>
      </c>
      <c r="H124" s="4" t="s">
        <v>45</v>
      </c>
      <c r="I124" s="4" t="s">
        <v>45</v>
      </c>
      <c r="J124" s="4" t="s">
        <v>46</v>
      </c>
      <c r="K124" s="4" t="s">
        <v>47</v>
      </c>
      <c r="L124" s="3">
        <v>45870</v>
      </c>
      <c r="M124" s="4" t="s">
        <v>48</v>
      </c>
      <c r="N124" s="4" t="s">
        <v>45</v>
      </c>
      <c r="O124" s="4" t="s">
        <v>49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62</v>
      </c>
      <c r="U124" s="4" t="s">
        <v>45</v>
      </c>
      <c r="V124" s="5">
        <v>1</v>
      </c>
      <c r="W124" s="5">
        <v>0</v>
      </c>
      <c r="X124" s="5">
        <v>100</v>
      </c>
      <c r="Y124" s="5">
        <v>26.08</v>
      </c>
      <c r="Z124" s="4" t="s">
        <v>45</v>
      </c>
      <c r="AA124" s="5" t="s">
        <v>45</v>
      </c>
      <c r="AB124" s="4" t="s">
        <v>52</v>
      </c>
      <c r="AC124" s="4" t="s">
        <v>45</v>
      </c>
      <c r="AD124" s="5">
        <v>0</v>
      </c>
      <c r="AE124" s="4" t="s">
        <v>53</v>
      </c>
      <c r="AF124" s="3">
        <v>45597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63</v>
      </c>
      <c r="AO124" s="4" t="s">
        <v>45</v>
      </c>
      <c r="AP124" s="4" t="s">
        <v>45</v>
      </c>
    </row>
    <row r="125" spans="1:42" x14ac:dyDescent="0.2">
      <c r="A125" s="2">
        <v>1891456</v>
      </c>
      <c r="B125" s="3">
        <v>45882</v>
      </c>
      <c r="C125" s="4" t="s">
        <v>342</v>
      </c>
      <c r="D125" s="2">
        <v>1703942</v>
      </c>
      <c r="E125" s="4" t="s">
        <v>343</v>
      </c>
      <c r="F125" s="4" t="s">
        <v>344</v>
      </c>
      <c r="G125" s="2">
        <v>250217584</v>
      </c>
      <c r="H125" s="4" t="s">
        <v>45</v>
      </c>
      <c r="I125" s="4" t="s">
        <v>45</v>
      </c>
      <c r="J125" s="4" t="s">
        <v>46</v>
      </c>
      <c r="K125" s="4" t="s">
        <v>47</v>
      </c>
      <c r="L125" s="3">
        <v>45870</v>
      </c>
      <c r="M125" s="4" t="s">
        <v>48</v>
      </c>
      <c r="N125" s="4" t="s">
        <v>45</v>
      </c>
      <c r="O125" s="4" t="s">
        <v>49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62</v>
      </c>
      <c r="U125" s="4" t="s">
        <v>45</v>
      </c>
      <c r="V125" s="5">
        <v>1</v>
      </c>
      <c r="W125" s="5">
        <v>0</v>
      </c>
      <c r="X125" s="5">
        <v>100</v>
      </c>
      <c r="Y125" s="5">
        <v>26.08</v>
      </c>
      <c r="Z125" s="4" t="s">
        <v>45</v>
      </c>
      <c r="AA125" s="5" t="s">
        <v>45</v>
      </c>
      <c r="AB125" s="4" t="s">
        <v>52</v>
      </c>
      <c r="AC125" s="4" t="s">
        <v>45</v>
      </c>
      <c r="AD125" s="5">
        <v>0</v>
      </c>
      <c r="AE125" s="4" t="s">
        <v>53</v>
      </c>
      <c r="AF125" s="3">
        <v>45505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63</v>
      </c>
      <c r="AO125" s="4" t="s">
        <v>45</v>
      </c>
      <c r="AP125" s="4" t="s">
        <v>45</v>
      </c>
    </row>
    <row r="126" spans="1:42" x14ac:dyDescent="0.2">
      <c r="A126" s="2">
        <v>1891456</v>
      </c>
      <c r="B126" s="3">
        <v>45882</v>
      </c>
      <c r="C126" s="4" t="s">
        <v>342</v>
      </c>
      <c r="D126" s="2">
        <v>1703942</v>
      </c>
      <c r="E126" s="4" t="s">
        <v>345</v>
      </c>
      <c r="F126" s="4" t="s">
        <v>346</v>
      </c>
      <c r="G126" s="2">
        <v>924445034</v>
      </c>
      <c r="H126" s="4" t="s">
        <v>45</v>
      </c>
      <c r="I126" s="4" t="s">
        <v>45</v>
      </c>
      <c r="J126" s="4" t="s">
        <v>46</v>
      </c>
      <c r="K126" s="4" t="s">
        <v>47</v>
      </c>
      <c r="L126" s="3">
        <v>45870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62</v>
      </c>
      <c r="U126" s="4" t="s">
        <v>45</v>
      </c>
      <c r="V126" s="5">
        <v>1</v>
      </c>
      <c r="W126" s="5">
        <v>0</v>
      </c>
      <c r="X126" s="5">
        <v>100</v>
      </c>
      <c r="Y126" s="5">
        <v>26.08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45474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63</v>
      </c>
      <c r="AO126" s="4" t="s">
        <v>45</v>
      </c>
      <c r="AP126" s="4" t="s">
        <v>45</v>
      </c>
    </row>
    <row r="127" spans="1:42" x14ac:dyDescent="0.2">
      <c r="A127" s="2">
        <v>1891456</v>
      </c>
      <c r="B127" s="3">
        <v>45882</v>
      </c>
      <c r="C127" s="4" t="s">
        <v>342</v>
      </c>
      <c r="D127" s="2">
        <v>1703942</v>
      </c>
      <c r="E127" s="4" t="s">
        <v>347</v>
      </c>
      <c r="F127" s="4" t="s">
        <v>348</v>
      </c>
      <c r="G127" s="2">
        <v>362871133</v>
      </c>
      <c r="H127" s="4" t="s">
        <v>45</v>
      </c>
      <c r="I127" s="4" t="s">
        <v>45</v>
      </c>
      <c r="J127" s="4" t="s">
        <v>46</v>
      </c>
      <c r="K127" s="4" t="s">
        <v>47</v>
      </c>
      <c r="L127" s="3">
        <v>45870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62</v>
      </c>
      <c r="U127" s="4" t="s">
        <v>45</v>
      </c>
      <c r="V127" s="5">
        <v>1</v>
      </c>
      <c r="W127" s="5">
        <v>0</v>
      </c>
      <c r="X127" s="5">
        <v>100</v>
      </c>
      <c r="Y127" s="5">
        <v>26.08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45474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63</v>
      </c>
      <c r="AO127" s="4" t="s">
        <v>45</v>
      </c>
      <c r="AP127" s="4" t="s">
        <v>45</v>
      </c>
    </row>
    <row r="128" spans="1:42" x14ac:dyDescent="0.2">
      <c r="A128" s="2">
        <v>1891456</v>
      </c>
      <c r="B128" s="3">
        <v>45882</v>
      </c>
      <c r="C128" s="4" t="s">
        <v>342</v>
      </c>
      <c r="D128" s="2">
        <v>1703942</v>
      </c>
      <c r="E128" s="4" t="s">
        <v>349</v>
      </c>
      <c r="F128" s="4" t="s">
        <v>350</v>
      </c>
      <c r="G128" s="2">
        <v>588939243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45870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62</v>
      </c>
      <c r="U128" s="4" t="s">
        <v>45</v>
      </c>
      <c r="V128" s="5">
        <v>1</v>
      </c>
      <c r="W128" s="5">
        <v>0</v>
      </c>
      <c r="X128" s="5">
        <v>100</v>
      </c>
      <c r="Y128" s="5">
        <v>26.08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45536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63</v>
      </c>
      <c r="AO128" s="4" t="s">
        <v>45</v>
      </c>
      <c r="AP128" s="4" t="s">
        <v>45</v>
      </c>
    </row>
    <row r="129" spans="1:42" x14ac:dyDescent="0.2">
      <c r="A129" s="2">
        <v>1891456</v>
      </c>
      <c r="B129" s="3">
        <v>45882</v>
      </c>
      <c r="C129" s="4" t="s">
        <v>342</v>
      </c>
      <c r="D129" s="2">
        <v>1703942</v>
      </c>
      <c r="E129" s="4" t="s">
        <v>351</v>
      </c>
      <c r="F129" s="4" t="s">
        <v>352</v>
      </c>
      <c r="G129" s="2">
        <v>116020444</v>
      </c>
      <c r="H129" s="4" t="s">
        <v>45</v>
      </c>
      <c r="I129" s="4" t="s">
        <v>45</v>
      </c>
      <c r="J129" s="4" t="s">
        <v>46</v>
      </c>
      <c r="K129" s="4" t="s">
        <v>47</v>
      </c>
      <c r="L129" s="3">
        <v>45870</v>
      </c>
      <c r="M129" s="4" t="s">
        <v>48</v>
      </c>
      <c r="N129" s="4" t="s">
        <v>45</v>
      </c>
      <c r="O129" s="4" t="s">
        <v>49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62</v>
      </c>
      <c r="U129" s="4" t="s">
        <v>45</v>
      </c>
      <c r="V129" s="5">
        <v>1</v>
      </c>
      <c r="W129" s="5">
        <v>0</v>
      </c>
      <c r="X129" s="5">
        <v>100</v>
      </c>
      <c r="Y129" s="5">
        <v>26.08</v>
      </c>
      <c r="Z129" s="4" t="s">
        <v>45</v>
      </c>
      <c r="AA129" s="5" t="s">
        <v>45</v>
      </c>
      <c r="AB129" s="4" t="s">
        <v>52</v>
      </c>
      <c r="AC129" s="4" t="s">
        <v>45</v>
      </c>
      <c r="AD129" s="5">
        <v>0</v>
      </c>
      <c r="AE129" s="4" t="s">
        <v>53</v>
      </c>
      <c r="AF129" s="3">
        <v>45505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63</v>
      </c>
      <c r="AO129" s="4" t="s">
        <v>45</v>
      </c>
      <c r="AP129" s="4" t="s">
        <v>45</v>
      </c>
    </row>
    <row r="130" spans="1:42" x14ac:dyDescent="0.2">
      <c r="A130" s="2">
        <v>1891456</v>
      </c>
      <c r="B130" s="3">
        <v>45882</v>
      </c>
      <c r="C130" s="4" t="s">
        <v>342</v>
      </c>
      <c r="D130" s="2">
        <v>1703942</v>
      </c>
      <c r="E130" s="4" t="s">
        <v>353</v>
      </c>
      <c r="F130" s="4" t="s">
        <v>354</v>
      </c>
      <c r="G130" s="2">
        <v>827020444</v>
      </c>
      <c r="H130" s="4" t="s">
        <v>45</v>
      </c>
      <c r="I130" s="4" t="s">
        <v>45</v>
      </c>
      <c r="J130" s="4" t="s">
        <v>46</v>
      </c>
      <c r="K130" s="4" t="s">
        <v>47</v>
      </c>
      <c r="L130" s="3">
        <v>45870</v>
      </c>
      <c r="M130" s="4" t="s">
        <v>48</v>
      </c>
      <c r="N130" s="4" t="s">
        <v>45</v>
      </c>
      <c r="O130" s="4" t="s">
        <v>49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62</v>
      </c>
      <c r="U130" s="4" t="s">
        <v>45</v>
      </c>
      <c r="V130" s="5">
        <v>1</v>
      </c>
      <c r="W130" s="5">
        <v>0</v>
      </c>
      <c r="X130" s="5">
        <v>100</v>
      </c>
      <c r="Y130" s="5">
        <v>26.08</v>
      </c>
      <c r="Z130" s="4" t="s">
        <v>45</v>
      </c>
      <c r="AA130" s="5" t="s">
        <v>45</v>
      </c>
      <c r="AB130" s="4" t="s">
        <v>52</v>
      </c>
      <c r="AC130" s="4" t="s">
        <v>45</v>
      </c>
      <c r="AD130" s="5">
        <v>0</v>
      </c>
      <c r="AE130" s="4" t="s">
        <v>53</v>
      </c>
      <c r="AF130" s="3">
        <v>45505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63</v>
      </c>
      <c r="AO130" s="4" t="s">
        <v>45</v>
      </c>
      <c r="AP130" s="4" t="s">
        <v>45</v>
      </c>
    </row>
    <row r="131" spans="1:42" x14ac:dyDescent="0.2">
      <c r="A131" s="2">
        <v>1891456</v>
      </c>
      <c r="B131" s="3">
        <v>45882</v>
      </c>
      <c r="C131" s="4" t="s">
        <v>342</v>
      </c>
      <c r="D131" s="2">
        <v>1703942</v>
      </c>
      <c r="E131" s="4" t="s">
        <v>355</v>
      </c>
      <c r="F131" s="4" t="s">
        <v>356</v>
      </c>
      <c r="G131" s="2">
        <v>329878423</v>
      </c>
      <c r="H131" s="4" t="s">
        <v>45</v>
      </c>
      <c r="I131" s="4" t="s">
        <v>45</v>
      </c>
      <c r="J131" s="4" t="s">
        <v>46</v>
      </c>
      <c r="K131" s="4" t="s">
        <v>47</v>
      </c>
      <c r="L131" s="3">
        <v>45870</v>
      </c>
      <c r="M131" s="4" t="s">
        <v>48</v>
      </c>
      <c r="N131" s="4" t="s">
        <v>45</v>
      </c>
      <c r="O131" s="4" t="s">
        <v>49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62</v>
      </c>
      <c r="U131" s="4" t="s">
        <v>45</v>
      </c>
      <c r="V131" s="5">
        <v>1</v>
      </c>
      <c r="W131" s="5">
        <v>0</v>
      </c>
      <c r="X131" s="5">
        <v>100</v>
      </c>
      <c r="Y131" s="5">
        <v>26.08</v>
      </c>
      <c r="Z131" s="4" t="s">
        <v>45</v>
      </c>
      <c r="AA131" s="5" t="s">
        <v>45</v>
      </c>
      <c r="AB131" s="4" t="s">
        <v>52</v>
      </c>
      <c r="AC131" s="4" t="s">
        <v>45</v>
      </c>
      <c r="AD131" s="5">
        <v>0</v>
      </c>
      <c r="AE131" s="4" t="s">
        <v>53</v>
      </c>
      <c r="AF131" s="3">
        <v>45536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63</v>
      </c>
      <c r="AO131" s="4" t="s">
        <v>45</v>
      </c>
      <c r="AP131" s="4" t="s">
        <v>45</v>
      </c>
    </row>
    <row r="132" spans="1:42" x14ac:dyDescent="0.2">
      <c r="A132" s="2">
        <v>1891456</v>
      </c>
      <c r="B132" s="3">
        <v>45882</v>
      </c>
      <c r="C132" s="4" t="s">
        <v>342</v>
      </c>
      <c r="D132" s="2">
        <v>1703942</v>
      </c>
      <c r="E132" s="4" t="s">
        <v>357</v>
      </c>
      <c r="F132" s="4" t="s">
        <v>358</v>
      </c>
      <c r="G132" s="2">
        <v>956629485</v>
      </c>
      <c r="H132" s="4" t="s">
        <v>45</v>
      </c>
      <c r="I132" s="4" t="s">
        <v>45</v>
      </c>
      <c r="J132" s="4" t="s">
        <v>46</v>
      </c>
      <c r="K132" s="4" t="s">
        <v>47</v>
      </c>
      <c r="L132" s="3">
        <v>45870</v>
      </c>
      <c r="M132" s="4" t="s">
        <v>48</v>
      </c>
      <c r="N132" s="4" t="s">
        <v>45</v>
      </c>
      <c r="O132" s="4" t="s">
        <v>49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62</v>
      </c>
      <c r="U132" s="4" t="s">
        <v>45</v>
      </c>
      <c r="V132" s="5">
        <v>1</v>
      </c>
      <c r="W132" s="5">
        <v>0</v>
      </c>
      <c r="X132" s="5">
        <v>100</v>
      </c>
      <c r="Y132" s="5">
        <v>26.08</v>
      </c>
      <c r="Z132" s="4" t="s">
        <v>45</v>
      </c>
      <c r="AA132" s="5" t="s">
        <v>45</v>
      </c>
      <c r="AB132" s="4" t="s">
        <v>52</v>
      </c>
      <c r="AC132" s="4" t="s">
        <v>45</v>
      </c>
      <c r="AD132" s="5">
        <v>0</v>
      </c>
      <c r="AE132" s="4" t="s">
        <v>53</v>
      </c>
      <c r="AF132" s="3">
        <v>45536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63</v>
      </c>
      <c r="AO132" s="4" t="s">
        <v>45</v>
      </c>
      <c r="AP132" s="4" t="s">
        <v>45</v>
      </c>
    </row>
    <row r="133" spans="1:42" x14ac:dyDescent="0.2">
      <c r="A133" s="2">
        <v>1891456</v>
      </c>
      <c r="B133" s="3">
        <v>45882</v>
      </c>
      <c r="C133" s="4" t="s">
        <v>342</v>
      </c>
      <c r="D133" s="2">
        <v>1703942</v>
      </c>
      <c r="E133" s="4" t="s">
        <v>359</v>
      </c>
      <c r="F133" s="4" t="s">
        <v>360</v>
      </c>
      <c r="G133" s="2">
        <v>221614009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45870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51</v>
      </c>
      <c r="U133" s="4" t="s">
        <v>45</v>
      </c>
      <c r="V133" s="5">
        <v>1</v>
      </c>
      <c r="W133" s="5">
        <v>0</v>
      </c>
      <c r="X133" s="5">
        <v>100</v>
      </c>
      <c r="Y133" s="5">
        <v>26.08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45627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58</v>
      </c>
      <c r="AO133" s="4" t="s">
        <v>45</v>
      </c>
      <c r="AP133" s="4" t="s">
        <v>45</v>
      </c>
    </row>
    <row r="134" spans="1:42" x14ac:dyDescent="0.2">
      <c r="A134" s="2">
        <v>1891456</v>
      </c>
      <c r="B134" s="3">
        <v>45882</v>
      </c>
      <c r="C134" s="4" t="s">
        <v>361</v>
      </c>
      <c r="D134" s="2">
        <v>1758433</v>
      </c>
      <c r="E134" s="4" t="s">
        <v>362</v>
      </c>
      <c r="F134" s="4" t="s">
        <v>363</v>
      </c>
      <c r="G134" s="2">
        <v>496048952</v>
      </c>
      <c r="H134" s="4" t="s">
        <v>45</v>
      </c>
      <c r="I134" s="4" t="s">
        <v>45</v>
      </c>
      <c r="J134" s="4" t="s">
        <v>46</v>
      </c>
      <c r="K134" s="4" t="s">
        <v>47</v>
      </c>
      <c r="L134" s="3">
        <v>45870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364</v>
      </c>
      <c r="U134" s="4" t="s">
        <v>45</v>
      </c>
      <c r="V134" s="5">
        <v>1</v>
      </c>
      <c r="W134" s="5">
        <v>0</v>
      </c>
      <c r="X134" s="5">
        <v>100</v>
      </c>
      <c r="Y134" s="5">
        <v>29.41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45292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365</v>
      </c>
      <c r="AO134" s="4" t="s">
        <v>45</v>
      </c>
      <c r="AP134" s="4" t="s">
        <v>45</v>
      </c>
    </row>
    <row r="135" spans="1:42" x14ac:dyDescent="0.2">
      <c r="A135" s="2">
        <v>1891456</v>
      </c>
      <c r="B135" s="3">
        <v>45882</v>
      </c>
      <c r="C135" s="4" t="s">
        <v>361</v>
      </c>
      <c r="D135" s="2">
        <v>1758433</v>
      </c>
      <c r="E135" s="4" t="s">
        <v>366</v>
      </c>
      <c r="F135" s="4" t="s">
        <v>367</v>
      </c>
      <c r="G135" s="2">
        <v>493198005</v>
      </c>
      <c r="H135" s="4" t="s">
        <v>45</v>
      </c>
      <c r="I135" s="4" t="s">
        <v>45</v>
      </c>
      <c r="J135" s="4" t="s">
        <v>46</v>
      </c>
      <c r="K135" s="4" t="s">
        <v>47</v>
      </c>
      <c r="L135" s="3">
        <v>45870</v>
      </c>
      <c r="M135" s="4" t="s">
        <v>48</v>
      </c>
      <c r="N135" s="4" t="s">
        <v>45</v>
      </c>
      <c r="O135" s="4" t="s">
        <v>49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62</v>
      </c>
      <c r="U135" s="4" t="s">
        <v>45</v>
      </c>
      <c r="V135" s="5">
        <v>1</v>
      </c>
      <c r="W135" s="5">
        <v>0</v>
      </c>
      <c r="X135" s="5">
        <v>100</v>
      </c>
      <c r="Y135" s="5">
        <v>26.08</v>
      </c>
      <c r="Z135" s="4" t="s">
        <v>45</v>
      </c>
      <c r="AA135" s="5" t="s">
        <v>45</v>
      </c>
      <c r="AB135" s="4" t="s">
        <v>52</v>
      </c>
      <c r="AC135" s="4" t="s">
        <v>45</v>
      </c>
      <c r="AD135" s="5">
        <v>0</v>
      </c>
      <c r="AE135" s="4" t="s">
        <v>53</v>
      </c>
      <c r="AF135" s="3">
        <v>45292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63</v>
      </c>
      <c r="AO135" s="4" t="s">
        <v>45</v>
      </c>
      <c r="AP135" s="4" t="s">
        <v>45</v>
      </c>
    </row>
    <row r="136" spans="1:42" x14ac:dyDescent="0.2">
      <c r="A136" s="2">
        <v>1891456</v>
      </c>
      <c r="B136" s="3">
        <v>45882</v>
      </c>
      <c r="C136" s="4" t="s">
        <v>361</v>
      </c>
      <c r="D136" s="2">
        <v>1758433</v>
      </c>
      <c r="E136" s="4" t="s">
        <v>368</v>
      </c>
      <c r="F136" s="4" t="s">
        <v>369</v>
      </c>
      <c r="G136" s="2">
        <v>531841334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45870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62</v>
      </c>
      <c r="U136" s="4" t="s">
        <v>45</v>
      </c>
      <c r="V136" s="5">
        <v>1</v>
      </c>
      <c r="W136" s="5">
        <v>0</v>
      </c>
      <c r="X136" s="5">
        <v>100</v>
      </c>
      <c r="Y136" s="5">
        <v>29.41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45536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87</v>
      </c>
      <c r="AO136" s="4" t="s">
        <v>45</v>
      </c>
      <c r="AP136" s="4" t="s">
        <v>45</v>
      </c>
    </row>
    <row r="137" spans="1:42" x14ac:dyDescent="0.2">
      <c r="A137" s="2">
        <v>1891456</v>
      </c>
      <c r="B137" s="3">
        <v>45882</v>
      </c>
      <c r="C137" s="4" t="s">
        <v>370</v>
      </c>
      <c r="D137" s="2">
        <v>1773696</v>
      </c>
      <c r="E137" s="4" t="s">
        <v>371</v>
      </c>
      <c r="F137" s="4" t="s">
        <v>372</v>
      </c>
      <c r="G137" s="2">
        <v>845307263</v>
      </c>
      <c r="H137" s="4" t="s">
        <v>45</v>
      </c>
      <c r="I137" s="4" t="s">
        <v>45</v>
      </c>
      <c r="J137" s="4" t="s">
        <v>46</v>
      </c>
      <c r="K137" s="4" t="s">
        <v>47</v>
      </c>
      <c r="L137" s="3">
        <v>45870</v>
      </c>
      <c r="M137" s="4" t="s">
        <v>48</v>
      </c>
      <c r="N137" s="4" t="s">
        <v>45</v>
      </c>
      <c r="O137" s="4" t="s">
        <v>49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62</v>
      </c>
      <c r="U137" s="4" t="s">
        <v>45</v>
      </c>
      <c r="V137" s="5">
        <v>1</v>
      </c>
      <c r="W137" s="5">
        <v>0</v>
      </c>
      <c r="X137" s="5">
        <v>100</v>
      </c>
      <c r="Y137" s="5">
        <v>26.08</v>
      </c>
      <c r="Z137" s="4" t="s">
        <v>45</v>
      </c>
      <c r="AA137" s="5" t="s">
        <v>45</v>
      </c>
      <c r="AB137" s="4" t="s">
        <v>52</v>
      </c>
      <c r="AC137" s="4" t="s">
        <v>45</v>
      </c>
      <c r="AD137" s="5">
        <v>0</v>
      </c>
      <c r="AE137" s="4" t="s">
        <v>53</v>
      </c>
      <c r="AF137" s="3">
        <v>45505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63</v>
      </c>
      <c r="AO137" s="4" t="s">
        <v>45</v>
      </c>
      <c r="AP137" s="4" t="s">
        <v>45</v>
      </c>
    </row>
    <row r="138" spans="1:42" x14ac:dyDescent="0.2">
      <c r="A138" s="2">
        <v>1891456</v>
      </c>
      <c r="B138" s="3">
        <v>45882</v>
      </c>
      <c r="C138" s="4" t="s">
        <v>370</v>
      </c>
      <c r="D138" s="2">
        <v>1773696</v>
      </c>
      <c r="E138" s="4" t="s">
        <v>373</v>
      </c>
      <c r="F138" s="4" t="s">
        <v>374</v>
      </c>
      <c r="G138" s="2">
        <v>380382221</v>
      </c>
      <c r="H138" s="4" t="s">
        <v>45</v>
      </c>
      <c r="I138" s="4" t="s">
        <v>45</v>
      </c>
      <c r="J138" s="4" t="s">
        <v>46</v>
      </c>
      <c r="K138" s="4" t="s">
        <v>47</v>
      </c>
      <c r="L138" s="3">
        <v>45870</v>
      </c>
      <c r="M138" s="4" t="s">
        <v>48</v>
      </c>
      <c r="N138" s="4" t="s">
        <v>45</v>
      </c>
      <c r="O138" s="4" t="s">
        <v>49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51</v>
      </c>
      <c r="U138" s="4" t="s">
        <v>45</v>
      </c>
      <c r="V138" s="5">
        <v>1</v>
      </c>
      <c r="W138" s="5">
        <v>0</v>
      </c>
      <c r="X138" s="5">
        <v>100</v>
      </c>
      <c r="Y138" s="5">
        <v>26.08</v>
      </c>
      <c r="Z138" s="4" t="s">
        <v>45</v>
      </c>
      <c r="AA138" s="5" t="s">
        <v>45</v>
      </c>
      <c r="AB138" s="4" t="s">
        <v>52</v>
      </c>
      <c r="AC138" s="4" t="s">
        <v>45</v>
      </c>
      <c r="AD138" s="5">
        <v>0</v>
      </c>
      <c r="AE138" s="4" t="s">
        <v>53</v>
      </c>
      <c r="AF138" s="3">
        <v>45505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58</v>
      </c>
      <c r="AO138" s="4" t="s">
        <v>45</v>
      </c>
      <c r="AP138" s="4" t="s">
        <v>45</v>
      </c>
    </row>
    <row r="139" spans="1:42" x14ac:dyDescent="0.2">
      <c r="A139" s="2">
        <v>1891456</v>
      </c>
      <c r="B139" s="3">
        <v>45882</v>
      </c>
      <c r="C139" s="4" t="s">
        <v>370</v>
      </c>
      <c r="D139" s="2">
        <v>1773696</v>
      </c>
      <c r="E139" s="4" t="s">
        <v>375</v>
      </c>
      <c r="F139" s="4" t="s">
        <v>376</v>
      </c>
      <c r="G139" s="2">
        <v>520221114</v>
      </c>
      <c r="H139" s="4" t="s">
        <v>45</v>
      </c>
      <c r="I139" s="4" t="s">
        <v>45</v>
      </c>
      <c r="J139" s="4" t="s">
        <v>46</v>
      </c>
      <c r="K139" s="4" t="s">
        <v>47</v>
      </c>
      <c r="L139" s="3">
        <v>45870</v>
      </c>
      <c r="M139" s="4" t="s">
        <v>48</v>
      </c>
      <c r="N139" s="4" t="s">
        <v>45</v>
      </c>
      <c r="O139" s="4" t="s">
        <v>49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62</v>
      </c>
      <c r="U139" s="4" t="s">
        <v>45</v>
      </c>
      <c r="V139" s="5">
        <v>1</v>
      </c>
      <c r="W139" s="5">
        <v>0</v>
      </c>
      <c r="X139" s="5">
        <v>100</v>
      </c>
      <c r="Y139" s="5">
        <v>26.08</v>
      </c>
      <c r="Z139" s="4" t="s">
        <v>45</v>
      </c>
      <c r="AA139" s="5" t="s">
        <v>45</v>
      </c>
      <c r="AB139" s="4" t="s">
        <v>52</v>
      </c>
      <c r="AC139" s="4" t="s">
        <v>45</v>
      </c>
      <c r="AD139" s="5">
        <v>0</v>
      </c>
      <c r="AE139" s="4" t="s">
        <v>53</v>
      </c>
      <c r="AF139" s="3">
        <v>45566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63</v>
      </c>
      <c r="AO139" s="4" t="s">
        <v>45</v>
      </c>
      <c r="AP139" s="4" t="s">
        <v>45</v>
      </c>
    </row>
    <row r="140" spans="1:42" x14ac:dyDescent="0.2">
      <c r="A140" s="2">
        <v>1891456</v>
      </c>
      <c r="B140" s="3">
        <v>45882</v>
      </c>
      <c r="C140" s="4" t="s">
        <v>370</v>
      </c>
      <c r="D140" s="2">
        <v>1773696</v>
      </c>
      <c r="E140" s="4" t="s">
        <v>377</v>
      </c>
      <c r="F140" s="4" t="s">
        <v>378</v>
      </c>
      <c r="G140" s="2">
        <v>480917370</v>
      </c>
      <c r="H140" s="4" t="s">
        <v>45</v>
      </c>
      <c r="I140" s="4" t="s">
        <v>45</v>
      </c>
      <c r="J140" s="4" t="s">
        <v>46</v>
      </c>
      <c r="K140" s="4" t="s">
        <v>47</v>
      </c>
      <c r="L140" s="3">
        <v>45870</v>
      </c>
      <c r="M140" s="4" t="s">
        <v>48</v>
      </c>
      <c r="N140" s="4" t="s">
        <v>45</v>
      </c>
      <c r="O140" s="4" t="s">
        <v>49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62</v>
      </c>
      <c r="U140" s="4" t="s">
        <v>45</v>
      </c>
      <c r="V140" s="5">
        <v>1</v>
      </c>
      <c r="W140" s="5">
        <v>0</v>
      </c>
      <c r="X140" s="5">
        <v>100</v>
      </c>
      <c r="Y140" s="5">
        <v>26.08</v>
      </c>
      <c r="Z140" s="4" t="s">
        <v>45</v>
      </c>
      <c r="AA140" s="5" t="s">
        <v>45</v>
      </c>
      <c r="AB140" s="4" t="s">
        <v>52</v>
      </c>
      <c r="AC140" s="4" t="s">
        <v>45</v>
      </c>
      <c r="AD140" s="5">
        <v>0</v>
      </c>
      <c r="AE140" s="4" t="s">
        <v>53</v>
      </c>
      <c r="AF140" s="3">
        <v>45597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63</v>
      </c>
      <c r="AO140" s="4" t="s">
        <v>45</v>
      </c>
      <c r="AP140" s="4" t="s">
        <v>45</v>
      </c>
    </row>
    <row r="141" spans="1:42" x14ac:dyDescent="0.2">
      <c r="A141" s="2">
        <v>1891456</v>
      </c>
      <c r="B141" s="3">
        <v>45882</v>
      </c>
      <c r="C141" s="4" t="s">
        <v>370</v>
      </c>
      <c r="D141" s="2">
        <v>1773696</v>
      </c>
      <c r="E141" s="4" t="s">
        <v>379</v>
      </c>
      <c r="F141" s="4" t="s">
        <v>380</v>
      </c>
      <c r="G141" s="2">
        <v>958416610</v>
      </c>
      <c r="H141" s="4" t="s">
        <v>381</v>
      </c>
      <c r="I141" s="4" t="s">
        <v>45</v>
      </c>
      <c r="J141" s="4" t="s">
        <v>46</v>
      </c>
      <c r="K141" s="4" t="s">
        <v>47</v>
      </c>
      <c r="L141" s="3">
        <v>45962</v>
      </c>
      <c r="M141" s="4" t="s">
        <v>252</v>
      </c>
      <c r="N141" s="4" t="s">
        <v>45</v>
      </c>
      <c r="O141" s="4" t="s">
        <v>70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51</v>
      </c>
      <c r="U141" s="4" t="s">
        <v>45</v>
      </c>
      <c r="V141" s="5">
        <v>0.17</v>
      </c>
      <c r="W141" s="5">
        <v>0</v>
      </c>
      <c r="X141" s="5">
        <v>100</v>
      </c>
      <c r="Y141" s="5">
        <v>52.17</v>
      </c>
      <c r="Z141" s="4" t="s">
        <v>45</v>
      </c>
      <c r="AA141" s="5" t="s">
        <v>45</v>
      </c>
      <c r="AB141" s="4" t="s">
        <v>71</v>
      </c>
      <c r="AC141" s="4" t="s">
        <v>45</v>
      </c>
      <c r="AD141" s="5">
        <v>0</v>
      </c>
      <c r="AE141" s="4" t="s">
        <v>72</v>
      </c>
      <c r="AF141" s="3">
        <v>45962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58</v>
      </c>
      <c r="AO141" s="4" t="s">
        <v>45</v>
      </c>
      <c r="AP141" s="4" t="s">
        <v>45</v>
      </c>
    </row>
    <row r="142" spans="1:42" x14ac:dyDescent="0.2">
      <c r="A142" s="2">
        <v>1891456</v>
      </c>
      <c r="B142" s="3">
        <v>45882</v>
      </c>
      <c r="C142" s="4" t="s">
        <v>382</v>
      </c>
      <c r="D142" s="2">
        <v>1775329</v>
      </c>
      <c r="E142" s="4" t="s">
        <v>383</v>
      </c>
      <c r="F142" s="4" t="s">
        <v>384</v>
      </c>
      <c r="G142" s="2">
        <v>699704004</v>
      </c>
      <c r="H142" s="4" t="s">
        <v>45</v>
      </c>
      <c r="I142" s="4" t="s">
        <v>45</v>
      </c>
      <c r="J142" s="4" t="s">
        <v>46</v>
      </c>
      <c r="K142" s="4" t="s">
        <v>47</v>
      </c>
      <c r="L142" s="3">
        <v>45870</v>
      </c>
      <c r="M142" s="4" t="s">
        <v>48</v>
      </c>
      <c r="N142" s="4" t="s">
        <v>45</v>
      </c>
      <c r="O142" s="4" t="s">
        <v>49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62</v>
      </c>
      <c r="U142" s="4" t="s">
        <v>45</v>
      </c>
      <c r="V142" s="5">
        <v>1</v>
      </c>
      <c r="W142" s="5">
        <v>0</v>
      </c>
      <c r="X142" s="5">
        <v>100</v>
      </c>
      <c r="Y142" s="5">
        <v>26.08</v>
      </c>
      <c r="Z142" s="4" t="s">
        <v>45</v>
      </c>
      <c r="AA142" s="5" t="s">
        <v>45</v>
      </c>
      <c r="AB142" s="4" t="s">
        <v>52</v>
      </c>
      <c r="AC142" s="4" t="s">
        <v>45</v>
      </c>
      <c r="AD142" s="5">
        <v>0</v>
      </c>
      <c r="AE142" s="4" t="s">
        <v>53</v>
      </c>
      <c r="AF142" s="3">
        <v>45536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63</v>
      </c>
      <c r="AO142" s="4" t="s">
        <v>45</v>
      </c>
      <c r="AP142" s="4" t="s">
        <v>45</v>
      </c>
    </row>
    <row r="143" spans="1:42" x14ac:dyDescent="0.2">
      <c r="A143" s="2">
        <v>1891456</v>
      </c>
      <c r="B143" s="3">
        <v>45882</v>
      </c>
      <c r="C143" s="4" t="s">
        <v>385</v>
      </c>
      <c r="D143" s="2">
        <v>1800759</v>
      </c>
      <c r="E143" s="4" t="s">
        <v>386</v>
      </c>
      <c r="F143" s="4" t="s">
        <v>387</v>
      </c>
      <c r="G143" s="2">
        <v>716453952</v>
      </c>
      <c r="H143" s="4" t="s">
        <v>45</v>
      </c>
      <c r="I143" s="4" t="s">
        <v>45</v>
      </c>
      <c r="J143" s="4" t="s">
        <v>46</v>
      </c>
      <c r="K143" s="4" t="s">
        <v>47</v>
      </c>
      <c r="L143" s="3">
        <v>45870</v>
      </c>
      <c r="M143" s="4" t="s">
        <v>48</v>
      </c>
      <c r="N143" s="4" t="s">
        <v>45</v>
      </c>
      <c r="O143" s="4" t="s">
        <v>49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62</v>
      </c>
      <c r="U143" s="4" t="s">
        <v>45</v>
      </c>
      <c r="V143" s="5">
        <v>1</v>
      </c>
      <c r="W143" s="5">
        <v>0</v>
      </c>
      <c r="X143" s="5">
        <v>100</v>
      </c>
      <c r="Y143" s="5">
        <v>32.5</v>
      </c>
      <c r="Z143" s="4" t="s">
        <v>45</v>
      </c>
      <c r="AA143" s="5" t="s">
        <v>45</v>
      </c>
      <c r="AB143" s="4" t="s">
        <v>52</v>
      </c>
      <c r="AC143" s="4" t="s">
        <v>45</v>
      </c>
      <c r="AD143" s="5">
        <v>0</v>
      </c>
      <c r="AE143" s="4" t="s">
        <v>53</v>
      </c>
      <c r="AF143" s="3">
        <v>45597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87</v>
      </c>
      <c r="AO143" s="4" t="s">
        <v>45</v>
      </c>
      <c r="AP143" s="4" t="s">
        <v>45</v>
      </c>
    </row>
    <row r="144" spans="1:42" x14ac:dyDescent="0.2">
      <c r="A144" s="2">
        <v>1891456</v>
      </c>
      <c r="B144" s="3">
        <v>45882</v>
      </c>
      <c r="C144" s="4" t="s">
        <v>385</v>
      </c>
      <c r="D144" s="2">
        <v>1800759</v>
      </c>
      <c r="E144" s="4" t="s">
        <v>388</v>
      </c>
      <c r="F144" s="4" t="s">
        <v>389</v>
      </c>
      <c r="G144" s="2">
        <v>367841564</v>
      </c>
      <c r="H144" s="4" t="s">
        <v>45</v>
      </c>
      <c r="I144" s="4" t="s">
        <v>45</v>
      </c>
      <c r="J144" s="4" t="s">
        <v>46</v>
      </c>
      <c r="K144" s="4" t="s">
        <v>47</v>
      </c>
      <c r="L144" s="3">
        <v>45870</v>
      </c>
      <c r="M144" s="4" t="s">
        <v>48</v>
      </c>
      <c r="N144" s="4" t="s">
        <v>45</v>
      </c>
      <c r="O144" s="4" t="s">
        <v>49</v>
      </c>
      <c r="P144" s="4" t="s">
        <v>45</v>
      </c>
      <c r="Q144" s="2">
        <v>1</v>
      </c>
      <c r="R144" s="2">
        <v>17</v>
      </c>
      <c r="S144" s="4" t="s">
        <v>50</v>
      </c>
      <c r="T144" s="4" t="s">
        <v>62</v>
      </c>
      <c r="U144" s="4" t="s">
        <v>45</v>
      </c>
      <c r="V144" s="5">
        <v>1</v>
      </c>
      <c r="W144" s="5">
        <v>0</v>
      </c>
      <c r="X144" s="5">
        <v>100</v>
      </c>
      <c r="Y144" s="5">
        <v>26.08</v>
      </c>
      <c r="Z144" s="4" t="s">
        <v>45</v>
      </c>
      <c r="AA144" s="5" t="s">
        <v>45</v>
      </c>
      <c r="AB144" s="4" t="s">
        <v>52</v>
      </c>
      <c r="AC144" s="4" t="s">
        <v>45</v>
      </c>
      <c r="AD144" s="5">
        <v>0</v>
      </c>
      <c r="AE144" s="4" t="s">
        <v>53</v>
      </c>
      <c r="AF144" s="3">
        <v>45627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63</v>
      </c>
      <c r="AO144" s="4" t="s">
        <v>45</v>
      </c>
      <c r="AP144" s="4" t="s">
        <v>45</v>
      </c>
    </row>
    <row r="145" spans="1:42" x14ac:dyDescent="0.2">
      <c r="A145" s="2">
        <v>1891456</v>
      </c>
      <c r="B145" s="3">
        <v>45882</v>
      </c>
      <c r="C145" s="4" t="s">
        <v>385</v>
      </c>
      <c r="D145" s="2">
        <v>1800759</v>
      </c>
      <c r="E145" s="4" t="s">
        <v>390</v>
      </c>
      <c r="F145" s="4" t="s">
        <v>391</v>
      </c>
      <c r="G145" s="2">
        <v>349700374</v>
      </c>
      <c r="H145" s="4" t="s">
        <v>45</v>
      </c>
      <c r="I145" s="4" t="s">
        <v>45</v>
      </c>
      <c r="J145" s="4" t="s">
        <v>46</v>
      </c>
      <c r="K145" s="4" t="s">
        <v>47</v>
      </c>
      <c r="L145" s="3">
        <v>45870</v>
      </c>
      <c r="M145" s="4" t="s">
        <v>48</v>
      </c>
      <c r="N145" s="4" t="s">
        <v>45</v>
      </c>
      <c r="O145" s="4" t="s">
        <v>49</v>
      </c>
      <c r="P145" s="4" t="s">
        <v>45</v>
      </c>
      <c r="Q145" s="2">
        <v>1</v>
      </c>
      <c r="R145" s="2">
        <v>17</v>
      </c>
      <c r="S145" s="4" t="s">
        <v>50</v>
      </c>
      <c r="T145" s="4" t="s">
        <v>51</v>
      </c>
      <c r="U145" s="4" t="s">
        <v>45</v>
      </c>
      <c r="V145" s="5">
        <v>1</v>
      </c>
      <c r="W145" s="5">
        <v>0</v>
      </c>
      <c r="X145" s="5">
        <v>100</v>
      </c>
      <c r="Y145" s="5">
        <v>26.08</v>
      </c>
      <c r="Z145" s="4" t="s">
        <v>45</v>
      </c>
      <c r="AA145" s="5" t="s">
        <v>45</v>
      </c>
      <c r="AB145" s="4" t="s">
        <v>52</v>
      </c>
      <c r="AC145" s="4" t="s">
        <v>45</v>
      </c>
      <c r="AD145" s="5">
        <v>0</v>
      </c>
      <c r="AE145" s="4" t="s">
        <v>53</v>
      </c>
      <c r="AF145" s="3">
        <v>45566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58</v>
      </c>
      <c r="AO145" s="4" t="s">
        <v>45</v>
      </c>
      <c r="AP145" s="4" t="s">
        <v>45</v>
      </c>
    </row>
    <row r="146" spans="1:42" x14ac:dyDescent="0.2">
      <c r="A146" s="2">
        <v>1891456</v>
      </c>
      <c r="B146" s="3">
        <v>45882</v>
      </c>
      <c r="C146" s="4" t="s">
        <v>385</v>
      </c>
      <c r="D146" s="2">
        <v>1800759</v>
      </c>
      <c r="E146" s="4" t="s">
        <v>392</v>
      </c>
      <c r="F146" s="4" t="s">
        <v>393</v>
      </c>
      <c r="G146" s="2">
        <v>682135344</v>
      </c>
      <c r="H146" s="4" t="s">
        <v>45</v>
      </c>
      <c r="I146" s="4" t="s">
        <v>45</v>
      </c>
      <c r="J146" s="4" t="s">
        <v>46</v>
      </c>
      <c r="K146" s="4" t="s">
        <v>47</v>
      </c>
      <c r="L146" s="3">
        <v>45870</v>
      </c>
      <c r="M146" s="4" t="s">
        <v>48</v>
      </c>
      <c r="N146" s="4" t="s">
        <v>45</v>
      </c>
      <c r="O146" s="4" t="s">
        <v>49</v>
      </c>
      <c r="P146" s="4" t="s">
        <v>45</v>
      </c>
      <c r="Q146" s="2">
        <v>1</v>
      </c>
      <c r="R146" s="2">
        <v>17</v>
      </c>
      <c r="S146" s="4" t="s">
        <v>50</v>
      </c>
      <c r="T146" s="4" t="s">
        <v>62</v>
      </c>
      <c r="U146" s="4" t="s">
        <v>45</v>
      </c>
      <c r="V146" s="5">
        <v>1</v>
      </c>
      <c r="W146" s="5">
        <v>0</v>
      </c>
      <c r="X146" s="5">
        <v>100</v>
      </c>
      <c r="Y146" s="5">
        <v>26.08</v>
      </c>
      <c r="Z146" s="4" t="s">
        <v>45</v>
      </c>
      <c r="AA146" s="5" t="s">
        <v>45</v>
      </c>
      <c r="AB146" s="4" t="s">
        <v>52</v>
      </c>
      <c r="AC146" s="4" t="s">
        <v>45</v>
      </c>
      <c r="AD146" s="5">
        <v>0</v>
      </c>
      <c r="AE146" s="4" t="s">
        <v>53</v>
      </c>
      <c r="AF146" s="3">
        <v>45597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63</v>
      </c>
      <c r="AO146" s="4" t="s">
        <v>45</v>
      </c>
      <c r="AP146" s="4" t="s">
        <v>45</v>
      </c>
    </row>
    <row r="147" spans="1:42" x14ac:dyDescent="0.2">
      <c r="A147" s="2">
        <v>1891456</v>
      </c>
      <c r="B147" s="3">
        <v>45882</v>
      </c>
      <c r="C147" s="4" t="s">
        <v>385</v>
      </c>
      <c r="D147" s="2">
        <v>1800759</v>
      </c>
      <c r="E147" s="4" t="s">
        <v>394</v>
      </c>
      <c r="F147" s="4" t="s">
        <v>395</v>
      </c>
      <c r="G147" s="2">
        <v>302138034</v>
      </c>
      <c r="H147" s="4" t="s">
        <v>45</v>
      </c>
      <c r="I147" s="4" t="s">
        <v>45</v>
      </c>
      <c r="J147" s="4" t="s">
        <v>46</v>
      </c>
      <c r="K147" s="4" t="s">
        <v>47</v>
      </c>
      <c r="L147" s="3">
        <v>45870</v>
      </c>
      <c r="M147" s="4" t="s">
        <v>48</v>
      </c>
      <c r="N147" s="4" t="s">
        <v>45</v>
      </c>
      <c r="O147" s="4" t="s">
        <v>49</v>
      </c>
      <c r="P147" s="4" t="s">
        <v>45</v>
      </c>
      <c r="Q147" s="2">
        <v>1</v>
      </c>
      <c r="R147" s="2">
        <v>17</v>
      </c>
      <c r="S147" s="4" t="s">
        <v>50</v>
      </c>
      <c r="T147" s="4" t="s">
        <v>51</v>
      </c>
      <c r="U147" s="4" t="s">
        <v>45</v>
      </c>
      <c r="V147" s="5">
        <v>1</v>
      </c>
      <c r="W147" s="5">
        <v>0</v>
      </c>
      <c r="X147" s="5">
        <v>100</v>
      </c>
      <c r="Y147" s="5">
        <v>26.08</v>
      </c>
      <c r="Z147" s="4" t="s">
        <v>45</v>
      </c>
      <c r="AA147" s="5" t="s">
        <v>45</v>
      </c>
      <c r="AB147" s="4" t="s">
        <v>52</v>
      </c>
      <c r="AC147" s="4" t="s">
        <v>45</v>
      </c>
      <c r="AD147" s="5">
        <v>0</v>
      </c>
      <c r="AE147" s="4" t="s">
        <v>53</v>
      </c>
      <c r="AF147" s="3">
        <v>45627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58</v>
      </c>
      <c r="AO147" s="4" t="s">
        <v>45</v>
      </c>
      <c r="AP147" s="4" t="s">
        <v>45</v>
      </c>
    </row>
    <row r="148" spans="1:42" x14ac:dyDescent="0.2">
      <c r="A148" s="2">
        <v>1891456</v>
      </c>
      <c r="B148" s="3">
        <v>45882</v>
      </c>
      <c r="C148" s="4" t="s">
        <v>396</v>
      </c>
      <c r="D148" s="2">
        <v>1800776</v>
      </c>
      <c r="E148" s="4" t="s">
        <v>397</v>
      </c>
      <c r="F148" s="4" t="s">
        <v>398</v>
      </c>
      <c r="G148" s="2">
        <v>545511463</v>
      </c>
      <c r="H148" s="4" t="s">
        <v>45</v>
      </c>
      <c r="I148" s="4" t="s">
        <v>45</v>
      </c>
      <c r="J148" s="4" t="s">
        <v>46</v>
      </c>
      <c r="K148" s="4" t="s">
        <v>47</v>
      </c>
      <c r="L148" s="3">
        <v>45870</v>
      </c>
      <c r="M148" s="4" t="s">
        <v>48</v>
      </c>
      <c r="N148" s="4" t="s">
        <v>45</v>
      </c>
      <c r="O148" s="4" t="s">
        <v>49</v>
      </c>
      <c r="P148" s="4" t="s">
        <v>45</v>
      </c>
      <c r="Q148" s="2">
        <v>1</v>
      </c>
      <c r="R148" s="2">
        <v>17</v>
      </c>
      <c r="S148" s="4" t="s">
        <v>50</v>
      </c>
      <c r="T148" s="4" t="s">
        <v>62</v>
      </c>
      <c r="U148" s="4" t="s">
        <v>45</v>
      </c>
      <c r="V148" s="5">
        <v>1</v>
      </c>
      <c r="W148" s="5">
        <v>0</v>
      </c>
      <c r="X148" s="5">
        <v>100</v>
      </c>
      <c r="Y148" s="5">
        <v>26.08</v>
      </c>
      <c r="Z148" s="4" t="s">
        <v>45</v>
      </c>
      <c r="AA148" s="5" t="s">
        <v>45</v>
      </c>
      <c r="AB148" s="4" t="s">
        <v>52</v>
      </c>
      <c r="AC148" s="4" t="s">
        <v>45</v>
      </c>
      <c r="AD148" s="5">
        <v>0</v>
      </c>
      <c r="AE148" s="4" t="s">
        <v>53</v>
      </c>
      <c r="AF148" s="3">
        <v>45474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63</v>
      </c>
      <c r="AO148" s="4" t="s">
        <v>45</v>
      </c>
      <c r="AP148" s="4" t="s">
        <v>45</v>
      </c>
    </row>
    <row r="149" spans="1:42" x14ac:dyDescent="0.2">
      <c r="A149" s="2">
        <v>1891456</v>
      </c>
      <c r="B149" s="3">
        <v>45882</v>
      </c>
      <c r="C149" s="4" t="s">
        <v>396</v>
      </c>
      <c r="D149" s="2">
        <v>1800776</v>
      </c>
      <c r="E149" s="4" t="s">
        <v>399</v>
      </c>
      <c r="F149" s="4" t="s">
        <v>400</v>
      </c>
      <c r="G149" s="2">
        <v>633889061</v>
      </c>
      <c r="H149" s="4" t="s">
        <v>45</v>
      </c>
      <c r="I149" s="4" t="s">
        <v>45</v>
      </c>
      <c r="J149" s="4" t="s">
        <v>46</v>
      </c>
      <c r="K149" s="4" t="s">
        <v>47</v>
      </c>
      <c r="L149" s="3">
        <v>45870</v>
      </c>
      <c r="M149" s="4" t="s">
        <v>48</v>
      </c>
      <c r="N149" s="4" t="s">
        <v>45</v>
      </c>
      <c r="O149" s="4" t="s">
        <v>49</v>
      </c>
      <c r="P149" s="4" t="s">
        <v>45</v>
      </c>
      <c r="Q149" s="2">
        <v>1</v>
      </c>
      <c r="R149" s="2">
        <v>17</v>
      </c>
      <c r="S149" s="4" t="s">
        <v>50</v>
      </c>
      <c r="T149" s="4" t="s">
        <v>51</v>
      </c>
      <c r="U149" s="4" t="s">
        <v>45</v>
      </c>
      <c r="V149" s="5">
        <v>1</v>
      </c>
      <c r="W149" s="5">
        <v>0</v>
      </c>
      <c r="X149" s="5">
        <v>100</v>
      </c>
      <c r="Y149" s="5">
        <v>26.08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45566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58</v>
      </c>
      <c r="AO149" s="4" t="s">
        <v>45</v>
      </c>
      <c r="AP149" s="4" t="s">
        <v>45</v>
      </c>
    </row>
    <row r="150" spans="1:42" x14ac:dyDescent="0.2">
      <c r="A150" s="2">
        <v>1891456</v>
      </c>
      <c r="B150" s="3">
        <v>45882</v>
      </c>
      <c r="C150" s="4" t="s">
        <v>396</v>
      </c>
      <c r="D150" s="2">
        <v>1800776</v>
      </c>
      <c r="E150" s="4" t="s">
        <v>401</v>
      </c>
      <c r="F150" s="4" t="s">
        <v>402</v>
      </c>
      <c r="G150" s="2">
        <v>952676074</v>
      </c>
      <c r="H150" s="4" t="s">
        <v>45</v>
      </c>
      <c r="I150" s="4" t="s">
        <v>45</v>
      </c>
      <c r="J150" s="4" t="s">
        <v>46</v>
      </c>
      <c r="K150" s="4" t="s">
        <v>47</v>
      </c>
      <c r="L150" s="3">
        <v>45870</v>
      </c>
      <c r="M150" s="4" t="s">
        <v>48</v>
      </c>
      <c r="N150" s="4" t="s">
        <v>45</v>
      </c>
      <c r="O150" s="4" t="s">
        <v>49</v>
      </c>
      <c r="P150" s="4" t="s">
        <v>45</v>
      </c>
      <c r="Q150" s="2">
        <v>1</v>
      </c>
      <c r="R150" s="2">
        <v>17</v>
      </c>
      <c r="S150" s="4" t="s">
        <v>50</v>
      </c>
      <c r="T150" s="4" t="s">
        <v>51</v>
      </c>
      <c r="U150" s="4" t="s">
        <v>45</v>
      </c>
      <c r="V150" s="5">
        <v>1</v>
      </c>
      <c r="W150" s="5">
        <v>0</v>
      </c>
      <c r="X150" s="5">
        <v>100</v>
      </c>
      <c r="Y150" s="5">
        <v>26.08</v>
      </c>
      <c r="Z150" s="4" t="s">
        <v>45</v>
      </c>
      <c r="AA150" s="5" t="s">
        <v>45</v>
      </c>
      <c r="AB150" s="4" t="s">
        <v>52</v>
      </c>
      <c r="AC150" s="4" t="s">
        <v>45</v>
      </c>
      <c r="AD150" s="5">
        <v>0</v>
      </c>
      <c r="AE150" s="4" t="s">
        <v>53</v>
      </c>
      <c r="AF150" s="3">
        <v>45566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58</v>
      </c>
      <c r="AO150" s="4" t="s">
        <v>45</v>
      </c>
      <c r="AP150" s="4" t="s">
        <v>45</v>
      </c>
    </row>
    <row r="151" spans="1:42" x14ac:dyDescent="0.2">
      <c r="A151" s="2">
        <v>1891456</v>
      </c>
      <c r="B151" s="3">
        <v>45882</v>
      </c>
      <c r="C151" s="4" t="s">
        <v>396</v>
      </c>
      <c r="D151" s="2">
        <v>1800776</v>
      </c>
      <c r="E151" s="4" t="s">
        <v>403</v>
      </c>
      <c r="F151" s="4" t="s">
        <v>404</v>
      </c>
      <c r="G151" s="2">
        <v>758893014</v>
      </c>
      <c r="H151" s="4" t="s">
        <v>45</v>
      </c>
      <c r="I151" s="4" t="s">
        <v>45</v>
      </c>
      <c r="J151" s="4" t="s">
        <v>46</v>
      </c>
      <c r="K151" s="4" t="s">
        <v>47</v>
      </c>
      <c r="L151" s="3">
        <v>45870</v>
      </c>
      <c r="M151" s="4" t="s">
        <v>48</v>
      </c>
      <c r="N151" s="4" t="s">
        <v>45</v>
      </c>
      <c r="O151" s="4" t="s">
        <v>49</v>
      </c>
      <c r="P151" s="4" t="s">
        <v>45</v>
      </c>
      <c r="Q151" s="2">
        <v>1</v>
      </c>
      <c r="R151" s="2">
        <v>17</v>
      </c>
      <c r="S151" s="4" t="s">
        <v>50</v>
      </c>
      <c r="T151" s="4" t="s">
        <v>51</v>
      </c>
      <c r="U151" s="4" t="s">
        <v>45</v>
      </c>
      <c r="V151" s="5">
        <v>1</v>
      </c>
      <c r="W151" s="5">
        <v>0</v>
      </c>
      <c r="X151" s="5">
        <v>100</v>
      </c>
      <c r="Y151" s="5">
        <v>26.08</v>
      </c>
      <c r="Z151" s="4" t="s">
        <v>45</v>
      </c>
      <c r="AA151" s="5" t="s">
        <v>45</v>
      </c>
      <c r="AB151" s="4" t="s">
        <v>52</v>
      </c>
      <c r="AC151" s="4" t="s">
        <v>45</v>
      </c>
      <c r="AD151" s="5">
        <v>0</v>
      </c>
      <c r="AE151" s="4" t="s">
        <v>53</v>
      </c>
      <c r="AF151" s="3">
        <v>45566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213</v>
      </c>
      <c r="AO151" s="4" t="s">
        <v>45</v>
      </c>
      <c r="AP151" s="4" t="s">
        <v>45</v>
      </c>
    </row>
    <row r="152" spans="1:42" x14ac:dyDescent="0.2">
      <c r="A152" s="2">
        <v>1891456</v>
      </c>
      <c r="B152" s="3">
        <v>45882</v>
      </c>
      <c r="C152" s="4" t="s">
        <v>396</v>
      </c>
      <c r="D152" s="2">
        <v>1800776</v>
      </c>
      <c r="E152" s="4" t="s">
        <v>405</v>
      </c>
      <c r="F152" s="4" t="s">
        <v>406</v>
      </c>
      <c r="G152" s="2">
        <v>700758033</v>
      </c>
      <c r="H152" s="4" t="s">
        <v>45</v>
      </c>
      <c r="I152" s="4" t="s">
        <v>45</v>
      </c>
      <c r="J152" s="4" t="s">
        <v>46</v>
      </c>
      <c r="K152" s="4" t="s">
        <v>47</v>
      </c>
      <c r="L152" s="3">
        <v>45870</v>
      </c>
      <c r="M152" s="4" t="s">
        <v>48</v>
      </c>
      <c r="N152" s="4" t="s">
        <v>45</v>
      </c>
      <c r="O152" s="4" t="s">
        <v>49</v>
      </c>
      <c r="P152" s="4" t="s">
        <v>45</v>
      </c>
      <c r="Q152" s="2">
        <v>1</v>
      </c>
      <c r="R152" s="2">
        <v>17</v>
      </c>
      <c r="S152" s="4" t="s">
        <v>50</v>
      </c>
      <c r="T152" s="4" t="s">
        <v>51</v>
      </c>
      <c r="U152" s="4" t="s">
        <v>45</v>
      </c>
      <c r="V152" s="5">
        <v>1</v>
      </c>
      <c r="W152" s="5">
        <v>0</v>
      </c>
      <c r="X152" s="5">
        <v>100</v>
      </c>
      <c r="Y152" s="5">
        <v>26.08</v>
      </c>
      <c r="Z152" s="4" t="s">
        <v>45</v>
      </c>
      <c r="AA152" s="5" t="s">
        <v>45</v>
      </c>
      <c r="AB152" s="4" t="s">
        <v>52</v>
      </c>
      <c r="AC152" s="4" t="s">
        <v>45</v>
      </c>
      <c r="AD152" s="5">
        <v>0</v>
      </c>
      <c r="AE152" s="4" t="s">
        <v>53</v>
      </c>
      <c r="AF152" s="3">
        <v>45566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58</v>
      </c>
      <c r="AO152" s="4" t="s">
        <v>45</v>
      </c>
      <c r="AP152" s="4" t="s">
        <v>45</v>
      </c>
    </row>
    <row r="153" spans="1:42" x14ac:dyDescent="0.2">
      <c r="A153" s="2">
        <v>1891456</v>
      </c>
      <c r="B153" s="3">
        <v>45882</v>
      </c>
      <c r="C153" s="4" t="s">
        <v>396</v>
      </c>
      <c r="D153" s="2">
        <v>1800776</v>
      </c>
      <c r="E153" s="4" t="s">
        <v>407</v>
      </c>
      <c r="F153" s="4" t="s">
        <v>408</v>
      </c>
      <c r="G153" s="2">
        <v>73976142</v>
      </c>
      <c r="H153" s="4" t="s">
        <v>45</v>
      </c>
      <c r="I153" s="4" t="s">
        <v>45</v>
      </c>
      <c r="J153" s="4" t="s">
        <v>46</v>
      </c>
      <c r="K153" s="4" t="s">
        <v>47</v>
      </c>
      <c r="L153" s="3">
        <v>45870</v>
      </c>
      <c r="M153" s="4" t="s">
        <v>48</v>
      </c>
      <c r="N153" s="4" t="s">
        <v>45</v>
      </c>
      <c r="O153" s="4" t="s">
        <v>49</v>
      </c>
      <c r="P153" s="4" t="s">
        <v>45</v>
      </c>
      <c r="Q153" s="2">
        <v>1</v>
      </c>
      <c r="R153" s="2">
        <v>17</v>
      </c>
      <c r="S153" s="4" t="s">
        <v>50</v>
      </c>
      <c r="T153" s="4" t="s">
        <v>51</v>
      </c>
      <c r="U153" s="4" t="s">
        <v>45</v>
      </c>
      <c r="V153" s="5">
        <v>1</v>
      </c>
      <c r="W153" s="5">
        <v>0</v>
      </c>
      <c r="X153" s="5">
        <v>100</v>
      </c>
      <c r="Y153" s="5">
        <v>26.08</v>
      </c>
      <c r="Z153" s="4" t="s">
        <v>45</v>
      </c>
      <c r="AA153" s="5" t="s">
        <v>45</v>
      </c>
      <c r="AB153" s="4" t="s">
        <v>52</v>
      </c>
      <c r="AC153" s="4" t="s">
        <v>45</v>
      </c>
      <c r="AD153" s="5">
        <v>0</v>
      </c>
      <c r="AE153" s="4" t="s">
        <v>53</v>
      </c>
      <c r="AF153" s="3">
        <v>45597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58</v>
      </c>
      <c r="AO153" s="4" t="s">
        <v>45</v>
      </c>
      <c r="AP153" s="4" t="s">
        <v>45</v>
      </c>
    </row>
    <row r="154" spans="1:42" x14ac:dyDescent="0.2">
      <c r="A154" s="2">
        <v>1891456</v>
      </c>
      <c r="B154" s="3">
        <v>45882</v>
      </c>
      <c r="C154" s="4" t="s">
        <v>396</v>
      </c>
      <c r="D154" s="2">
        <v>1800776</v>
      </c>
      <c r="E154" s="4" t="s">
        <v>409</v>
      </c>
      <c r="F154" s="4" t="s">
        <v>410</v>
      </c>
      <c r="G154" s="2">
        <v>365638520</v>
      </c>
      <c r="H154" s="4" t="s">
        <v>45</v>
      </c>
      <c r="I154" s="4" t="s">
        <v>45</v>
      </c>
      <c r="J154" s="4" t="s">
        <v>46</v>
      </c>
      <c r="K154" s="4" t="s">
        <v>47</v>
      </c>
      <c r="L154" s="3">
        <v>45870</v>
      </c>
      <c r="M154" s="4" t="s">
        <v>48</v>
      </c>
      <c r="N154" s="4" t="s">
        <v>45</v>
      </c>
      <c r="O154" s="4" t="s">
        <v>49</v>
      </c>
      <c r="P154" s="4" t="s">
        <v>45</v>
      </c>
      <c r="Q154" s="2">
        <v>1</v>
      </c>
      <c r="R154" s="2">
        <v>17</v>
      </c>
      <c r="S154" s="4" t="s">
        <v>50</v>
      </c>
      <c r="T154" s="4" t="s">
        <v>62</v>
      </c>
      <c r="U154" s="4" t="s">
        <v>45</v>
      </c>
      <c r="V154" s="5">
        <v>1</v>
      </c>
      <c r="W154" s="5">
        <v>0</v>
      </c>
      <c r="X154" s="5">
        <v>100</v>
      </c>
      <c r="Y154" s="5">
        <v>26.08</v>
      </c>
      <c r="Z154" s="4" t="s">
        <v>45</v>
      </c>
      <c r="AA154" s="5" t="s">
        <v>45</v>
      </c>
      <c r="AB154" s="4" t="s">
        <v>52</v>
      </c>
      <c r="AC154" s="4" t="s">
        <v>45</v>
      </c>
      <c r="AD154" s="5">
        <v>0</v>
      </c>
      <c r="AE154" s="4" t="s">
        <v>53</v>
      </c>
      <c r="AF154" s="3">
        <v>45627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63</v>
      </c>
      <c r="AO154" s="4" t="s">
        <v>45</v>
      </c>
      <c r="AP154" s="4" t="s">
        <v>45</v>
      </c>
    </row>
    <row r="155" spans="1:42" x14ac:dyDescent="0.2">
      <c r="A155" s="2">
        <v>1891456</v>
      </c>
      <c r="B155" s="3">
        <v>45882</v>
      </c>
      <c r="C155" s="4" t="s">
        <v>396</v>
      </c>
      <c r="D155" s="2">
        <v>1800776</v>
      </c>
      <c r="E155" s="4" t="s">
        <v>411</v>
      </c>
      <c r="F155" s="4" t="s">
        <v>412</v>
      </c>
      <c r="G155" s="2">
        <v>862283453</v>
      </c>
      <c r="H155" s="4" t="s">
        <v>45</v>
      </c>
      <c r="I155" s="4" t="s">
        <v>45</v>
      </c>
      <c r="J155" s="4" t="s">
        <v>46</v>
      </c>
      <c r="K155" s="4" t="s">
        <v>47</v>
      </c>
      <c r="L155" s="3">
        <v>45870</v>
      </c>
      <c r="M155" s="4" t="s">
        <v>48</v>
      </c>
      <c r="N155" s="4" t="s">
        <v>45</v>
      </c>
      <c r="O155" s="4" t="s">
        <v>49</v>
      </c>
      <c r="P155" s="4" t="s">
        <v>45</v>
      </c>
      <c r="Q155" s="2">
        <v>1</v>
      </c>
      <c r="R155" s="2">
        <v>17</v>
      </c>
      <c r="S155" s="4" t="s">
        <v>50</v>
      </c>
      <c r="T155" s="4" t="s">
        <v>62</v>
      </c>
      <c r="U155" s="4" t="s">
        <v>45</v>
      </c>
      <c r="V155" s="5">
        <v>1</v>
      </c>
      <c r="W155" s="5">
        <v>0</v>
      </c>
      <c r="X155" s="5">
        <v>100</v>
      </c>
      <c r="Y155" s="5">
        <v>26.08</v>
      </c>
      <c r="Z155" s="4" t="s">
        <v>45</v>
      </c>
      <c r="AA155" s="5" t="s">
        <v>45</v>
      </c>
      <c r="AB155" s="4" t="s">
        <v>52</v>
      </c>
      <c r="AC155" s="4" t="s">
        <v>45</v>
      </c>
      <c r="AD155" s="5">
        <v>0</v>
      </c>
      <c r="AE155" s="4" t="s">
        <v>53</v>
      </c>
      <c r="AF155" s="3">
        <v>45627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63</v>
      </c>
      <c r="AO155" s="4" t="s">
        <v>45</v>
      </c>
      <c r="AP155" s="4" t="s">
        <v>45</v>
      </c>
    </row>
    <row r="156" spans="1:42" x14ac:dyDescent="0.2">
      <c r="A156" s="2">
        <v>1891456</v>
      </c>
      <c r="B156" s="3">
        <v>45882</v>
      </c>
      <c r="C156" s="4" t="s">
        <v>396</v>
      </c>
      <c r="D156" s="2">
        <v>1800776</v>
      </c>
      <c r="E156" s="4" t="s">
        <v>413</v>
      </c>
      <c r="F156" s="4" t="s">
        <v>414</v>
      </c>
      <c r="G156" s="2">
        <v>989966453</v>
      </c>
      <c r="H156" s="4" t="s">
        <v>45</v>
      </c>
      <c r="I156" s="4" t="s">
        <v>45</v>
      </c>
      <c r="J156" s="4" t="s">
        <v>46</v>
      </c>
      <c r="K156" s="4" t="s">
        <v>47</v>
      </c>
      <c r="L156" s="3">
        <v>45870</v>
      </c>
      <c r="M156" s="4" t="s">
        <v>48</v>
      </c>
      <c r="N156" s="4" t="s">
        <v>45</v>
      </c>
      <c r="O156" s="4" t="s">
        <v>49</v>
      </c>
      <c r="P156" s="4" t="s">
        <v>45</v>
      </c>
      <c r="Q156" s="2">
        <v>1</v>
      </c>
      <c r="R156" s="2">
        <v>17</v>
      </c>
      <c r="S156" s="4" t="s">
        <v>50</v>
      </c>
      <c r="T156" s="4" t="s">
        <v>51</v>
      </c>
      <c r="U156" s="4" t="s">
        <v>45</v>
      </c>
      <c r="V156" s="5">
        <v>1</v>
      </c>
      <c r="W156" s="5">
        <v>0</v>
      </c>
      <c r="X156" s="5">
        <v>100</v>
      </c>
      <c r="Y156" s="5">
        <v>26.08</v>
      </c>
      <c r="Z156" s="4" t="s">
        <v>45</v>
      </c>
      <c r="AA156" s="5" t="s">
        <v>45</v>
      </c>
      <c r="AB156" s="4" t="s">
        <v>52</v>
      </c>
      <c r="AC156" s="4" t="s">
        <v>45</v>
      </c>
      <c r="AD156" s="5">
        <v>0</v>
      </c>
      <c r="AE156" s="4" t="s">
        <v>53</v>
      </c>
      <c r="AF156" s="3">
        <v>45627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58</v>
      </c>
      <c r="AO156" s="4" t="s">
        <v>45</v>
      </c>
      <c r="AP156" s="4" t="s">
        <v>45</v>
      </c>
    </row>
    <row r="157" spans="1:42" x14ac:dyDescent="0.2">
      <c r="A157" s="2">
        <v>1891456</v>
      </c>
      <c r="B157" s="3">
        <v>45882</v>
      </c>
      <c r="C157" s="4" t="s">
        <v>415</v>
      </c>
      <c r="D157" s="2">
        <v>1808524</v>
      </c>
      <c r="E157" s="4" t="s">
        <v>416</v>
      </c>
      <c r="F157" s="4" t="s">
        <v>417</v>
      </c>
      <c r="G157" s="2">
        <v>697740421</v>
      </c>
      <c r="H157" s="4" t="s">
        <v>45</v>
      </c>
      <c r="I157" s="4" t="s">
        <v>45</v>
      </c>
      <c r="J157" s="4" t="s">
        <v>46</v>
      </c>
      <c r="K157" s="4" t="s">
        <v>47</v>
      </c>
      <c r="L157" s="3">
        <v>45870</v>
      </c>
      <c r="M157" s="4" t="s">
        <v>48</v>
      </c>
      <c r="N157" s="4" t="s">
        <v>45</v>
      </c>
      <c r="O157" s="4" t="s">
        <v>49</v>
      </c>
      <c r="P157" s="4" t="s">
        <v>45</v>
      </c>
      <c r="Q157" s="2">
        <v>1</v>
      </c>
      <c r="R157" s="2">
        <v>17</v>
      </c>
      <c r="S157" s="4" t="s">
        <v>50</v>
      </c>
      <c r="T157" s="4" t="s">
        <v>62</v>
      </c>
      <c r="U157" s="4" t="s">
        <v>45</v>
      </c>
      <c r="V157" s="5">
        <v>1</v>
      </c>
      <c r="W157" s="5">
        <v>0</v>
      </c>
      <c r="X157" s="5">
        <v>100</v>
      </c>
      <c r="Y157" s="5">
        <v>26.08</v>
      </c>
      <c r="Z157" s="4" t="s">
        <v>45</v>
      </c>
      <c r="AA157" s="5" t="s">
        <v>45</v>
      </c>
      <c r="AB157" s="4" t="s">
        <v>52</v>
      </c>
      <c r="AC157" s="4" t="s">
        <v>45</v>
      </c>
      <c r="AD157" s="5">
        <v>0</v>
      </c>
      <c r="AE157" s="4" t="s">
        <v>53</v>
      </c>
      <c r="AF157" s="3">
        <v>45505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63</v>
      </c>
      <c r="AO157" s="4" t="s">
        <v>45</v>
      </c>
      <c r="AP157" s="4" t="s">
        <v>45</v>
      </c>
    </row>
    <row r="158" spans="1:42" x14ac:dyDescent="0.2">
      <c r="A158" s="2">
        <v>1891456</v>
      </c>
      <c r="B158" s="3">
        <v>45882</v>
      </c>
      <c r="C158" s="4" t="s">
        <v>418</v>
      </c>
      <c r="D158" s="2">
        <v>1815594</v>
      </c>
      <c r="E158" s="4" t="s">
        <v>419</v>
      </c>
      <c r="F158" s="4" t="s">
        <v>420</v>
      </c>
      <c r="G158" s="2">
        <v>833957134</v>
      </c>
      <c r="H158" s="4" t="s">
        <v>45</v>
      </c>
      <c r="I158" s="4" t="s">
        <v>45</v>
      </c>
      <c r="J158" s="4" t="s">
        <v>46</v>
      </c>
      <c r="K158" s="4" t="s">
        <v>47</v>
      </c>
      <c r="L158" s="3">
        <v>45870</v>
      </c>
      <c r="M158" s="4" t="s">
        <v>48</v>
      </c>
      <c r="N158" s="4" t="s">
        <v>45</v>
      </c>
      <c r="O158" s="4" t="s">
        <v>49</v>
      </c>
      <c r="P158" s="4" t="s">
        <v>45</v>
      </c>
      <c r="Q158" s="2">
        <v>1</v>
      </c>
      <c r="R158" s="2">
        <v>17</v>
      </c>
      <c r="S158" s="4" t="s">
        <v>50</v>
      </c>
      <c r="T158" s="4" t="s">
        <v>51</v>
      </c>
      <c r="U158" s="4" t="s">
        <v>45</v>
      </c>
      <c r="V158" s="5">
        <v>1</v>
      </c>
      <c r="W158" s="5">
        <v>0</v>
      </c>
      <c r="X158" s="5">
        <v>100</v>
      </c>
      <c r="Y158" s="5">
        <v>26.08</v>
      </c>
      <c r="Z158" s="4" t="s">
        <v>45</v>
      </c>
      <c r="AA158" s="5" t="s">
        <v>45</v>
      </c>
      <c r="AB158" s="4" t="s">
        <v>52</v>
      </c>
      <c r="AC158" s="4" t="s">
        <v>45</v>
      </c>
      <c r="AD158" s="5">
        <v>0</v>
      </c>
      <c r="AE158" s="4" t="s">
        <v>53</v>
      </c>
      <c r="AF158" s="3">
        <v>45474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54</v>
      </c>
      <c r="AO158" s="4" t="s">
        <v>45</v>
      </c>
      <c r="AP158" s="4" t="s">
        <v>45</v>
      </c>
    </row>
    <row r="159" spans="1:42" x14ac:dyDescent="0.2">
      <c r="A159" s="2">
        <v>1891456</v>
      </c>
      <c r="B159" s="3">
        <v>45882</v>
      </c>
      <c r="C159" s="4" t="s">
        <v>418</v>
      </c>
      <c r="D159" s="2">
        <v>1815594</v>
      </c>
      <c r="E159" s="4" t="s">
        <v>421</v>
      </c>
      <c r="F159" s="4" t="s">
        <v>422</v>
      </c>
      <c r="G159" s="2">
        <v>28197140</v>
      </c>
      <c r="H159" s="4" t="s">
        <v>45</v>
      </c>
      <c r="I159" s="4" t="s">
        <v>45</v>
      </c>
      <c r="J159" s="4" t="s">
        <v>46</v>
      </c>
      <c r="K159" s="4" t="s">
        <v>47</v>
      </c>
      <c r="L159" s="3">
        <v>45870</v>
      </c>
      <c r="M159" s="4" t="s">
        <v>48</v>
      </c>
      <c r="N159" s="4" t="s">
        <v>45</v>
      </c>
      <c r="O159" s="4" t="s">
        <v>49</v>
      </c>
      <c r="P159" s="4" t="s">
        <v>45</v>
      </c>
      <c r="Q159" s="2">
        <v>1</v>
      </c>
      <c r="R159" s="2">
        <v>17</v>
      </c>
      <c r="S159" s="4" t="s">
        <v>50</v>
      </c>
      <c r="T159" s="4" t="s">
        <v>51</v>
      </c>
      <c r="U159" s="4" t="s">
        <v>45</v>
      </c>
      <c r="V159" s="5">
        <v>1</v>
      </c>
      <c r="W159" s="5">
        <v>0</v>
      </c>
      <c r="X159" s="5">
        <v>100</v>
      </c>
      <c r="Y159" s="5">
        <v>26.08</v>
      </c>
      <c r="Z159" s="4" t="s">
        <v>45</v>
      </c>
      <c r="AA159" s="5" t="s">
        <v>45</v>
      </c>
      <c r="AB159" s="4" t="s">
        <v>52</v>
      </c>
      <c r="AC159" s="4" t="s">
        <v>45</v>
      </c>
      <c r="AD159" s="5">
        <v>0</v>
      </c>
      <c r="AE159" s="4" t="s">
        <v>53</v>
      </c>
      <c r="AF159" s="3">
        <v>45627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58</v>
      </c>
      <c r="AO159" s="4" t="s">
        <v>45</v>
      </c>
      <c r="AP159" s="4" t="s">
        <v>45</v>
      </c>
    </row>
    <row r="160" spans="1:42" x14ac:dyDescent="0.2">
      <c r="A160" s="2">
        <v>1891456</v>
      </c>
      <c r="B160" s="3">
        <v>45882</v>
      </c>
      <c r="C160" s="4" t="s">
        <v>418</v>
      </c>
      <c r="D160" s="2">
        <v>1815594</v>
      </c>
      <c r="E160" s="4" t="s">
        <v>423</v>
      </c>
      <c r="F160" s="4" t="s">
        <v>424</v>
      </c>
      <c r="G160" s="2">
        <v>615154090</v>
      </c>
      <c r="H160" s="4" t="s">
        <v>45</v>
      </c>
      <c r="I160" s="4" t="s">
        <v>45</v>
      </c>
      <c r="J160" s="4" t="s">
        <v>46</v>
      </c>
      <c r="K160" s="4" t="s">
        <v>47</v>
      </c>
      <c r="L160" s="3">
        <v>45870</v>
      </c>
      <c r="M160" s="4" t="s">
        <v>48</v>
      </c>
      <c r="N160" s="4" t="s">
        <v>45</v>
      </c>
      <c r="O160" s="4" t="s">
        <v>49</v>
      </c>
      <c r="P160" s="4" t="s">
        <v>45</v>
      </c>
      <c r="Q160" s="2">
        <v>1</v>
      </c>
      <c r="R160" s="2">
        <v>17</v>
      </c>
      <c r="S160" s="4" t="s">
        <v>50</v>
      </c>
      <c r="T160" s="4" t="s">
        <v>51</v>
      </c>
      <c r="U160" s="4" t="s">
        <v>45</v>
      </c>
      <c r="V160" s="5">
        <v>1</v>
      </c>
      <c r="W160" s="5">
        <v>0</v>
      </c>
      <c r="X160" s="5">
        <v>100</v>
      </c>
      <c r="Y160" s="5">
        <v>26.08</v>
      </c>
      <c r="Z160" s="4" t="s">
        <v>45</v>
      </c>
      <c r="AA160" s="5" t="s">
        <v>45</v>
      </c>
      <c r="AB160" s="4" t="s">
        <v>52</v>
      </c>
      <c r="AC160" s="4" t="s">
        <v>45</v>
      </c>
      <c r="AD160" s="5">
        <v>0</v>
      </c>
      <c r="AE160" s="4" t="s">
        <v>53</v>
      </c>
      <c r="AF160" s="3">
        <v>45627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58</v>
      </c>
      <c r="AO160" s="4" t="s">
        <v>45</v>
      </c>
      <c r="AP160" s="4" t="s">
        <v>45</v>
      </c>
    </row>
    <row r="161" spans="1:42" x14ac:dyDescent="0.2">
      <c r="A161" s="2">
        <v>1891456</v>
      </c>
      <c r="B161" s="3">
        <v>45882</v>
      </c>
      <c r="C161" s="4" t="s">
        <v>425</v>
      </c>
      <c r="D161" s="2">
        <v>1831320</v>
      </c>
      <c r="E161" s="4" t="s">
        <v>426</v>
      </c>
      <c r="F161" s="4" t="s">
        <v>427</v>
      </c>
      <c r="G161" s="2">
        <v>561246174</v>
      </c>
      <c r="H161" s="4" t="s">
        <v>45</v>
      </c>
      <c r="I161" s="4" t="s">
        <v>45</v>
      </c>
      <c r="J161" s="4" t="s">
        <v>46</v>
      </c>
      <c r="K161" s="4" t="s">
        <v>47</v>
      </c>
      <c r="L161" s="3">
        <v>45870</v>
      </c>
      <c r="M161" s="4" t="s">
        <v>48</v>
      </c>
      <c r="N161" s="4" t="s">
        <v>45</v>
      </c>
      <c r="O161" s="4" t="s">
        <v>49</v>
      </c>
      <c r="P161" s="4" t="s">
        <v>45</v>
      </c>
      <c r="Q161" s="2">
        <v>1</v>
      </c>
      <c r="R161" s="2">
        <v>17</v>
      </c>
      <c r="S161" s="4" t="s">
        <v>50</v>
      </c>
      <c r="T161" s="4" t="s">
        <v>62</v>
      </c>
      <c r="U161" s="4" t="s">
        <v>45</v>
      </c>
      <c r="V161" s="5">
        <v>1</v>
      </c>
      <c r="W161" s="5">
        <v>0</v>
      </c>
      <c r="X161" s="5">
        <v>100</v>
      </c>
      <c r="Y161" s="5">
        <v>26.08</v>
      </c>
      <c r="Z161" s="4" t="s">
        <v>45</v>
      </c>
      <c r="AA161" s="5" t="s">
        <v>45</v>
      </c>
      <c r="AB161" s="4" t="s">
        <v>52</v>
      </c>
      <c r="AC161" s="4" t="s">
        <v>45</v>
      </c>
      <c r="AD161" s="5">
        <v>0</v>
      </c>
      <c r="AE161" s="4" t="s">
        <v>53</v>
      </c>
      <c r="AF161" s="3">
        <v>45597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63</v>
      </c>
      <c r="AO161" s="4" t="s">
        <v>45</v>
      </c>
      <c r="AP161" s="4" t="s">
        <v>45</v>
      </c>
    </row>
    <row r="162" spans="1:42" x14ac:dyDescent="0.2">
      <c r="A162" s="2">
        <v>1891456</v>
      </c>
      <c r="B162" s="3">
        <v>45882</v>
      </c>
      <c r="C162" s="4" t="s">
        <v>425</v>
      </c>
      <c r="D162" s="2">
        <v>1831320</v>
      </c>
      <c r="E162" s="4" t="s">
        <v>428</v>
      </c>
      <c r="F162" s="4" t="s">
        <v>429</v>
      </c>
      <c r="G162" s="2">
        <v>40234063</v>
      </c>
      <c r="H162" s="4" t="s">
        <v>45</v>
      </c>
      <c r="I162" s="4" t="s">
        <v>45</v>
      </c>
      <c r="J162" s="4" t="s">
        <v>46</v>
      </c>
      <c r="K162" s="4" t="s">
        <v>47</v>
      </c>
      <c r="L162" s="3">
        <v>45870</v>
      </c>
      <c r="M162" s="4" t="s">
        <v>48</v>
      </c>
      <c r="N162" s="4" t="s">
        <v>45</v>
      </c>
      <c r="O162" s="4" t="s">
        <v>49</v>
      </c>
      <c r="P162" s="4" t="s">
        <v>45</v>
      </c>
      <c r="Q162" s="2">
        <v>1</v>
      </c>
      <c r="R162" s="2">
        <v>17</v>
      </c>
      <c r="S162" s="4" t="s">
        <v>50</v>
      </c>
      <c r="T162" s="4" t="s">
        <v>62</v>
      </c>
      <c r="U162" s="4" t="s">
        <v>45</v>
      </c>
      <c r="V162" s="5">
        <v>1</v>
      </c>
      <c r="W162" s="5">
        <v>0</v>
      </c>
      <c r="X162" s="5">
        <v>100</v>
      </c>
      <c r="Y162" s="5">
        <v>26.08</v>
      </c>
      <c r="Z162" s="4" t="s">
        <v>45</v>
      </c>
      <c r="AA162" s="5" t="s">
        <v>45</v>
      </c>
      <c r="AB162" s="4" t="s">
        <v>52</v>
      </c>
      <c r="AC162" s="4" t="s">
        <v>45</v>
      </c>
      <c r="AD162" s="5">
        <v>0</v>
      </c>
      <c r="AE162" s="4" t="s">
        <v>53</v>
      </c>
      <c r="AF162" s="3">
        <v>45505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63</v>
      </c>
      <c r="AO162" s="4" t="s">
        <v>45</v>
      </c>
      <c r="AP162" s="4" t="s">
        <v>45</v>
      </c>
    </row>
    <row r="163" spans="1:42" x14ac:dyDescent="0.2">
      <c r="A163" s="2">
        <v>1891456</v>
      </c>
      <c r="B163" s="3">
        <v>45882</v>
      </c>
      <c r="C163" s="4" t="s">
        <v>430</v>
      </c>
      <c r="D163" s="2">
        <v>1831491</v>
      </c>
      <c r="E163" s="4" t="s">
        <v>431</v>
      </c>
      <c r="F163" s="4" t="s">
        <v>432</v>
      </c>
      <c r="G163" s="2">
        <v>703540533</v>
      </c>
      <c r="H163" s="4" t="s">
        <v>45</v>
      </c>
      <c r="I163" s="4" t="s">
        <v>45</v>
      </c>
      <c r="J163" s="4" t="s">
        <v>46</v>
      </c>
      <c r="K163" s="4" t="s">
        <v>47</v>
      </c>
      <c r="L163" s="3">
        <v>45870</v>
      </c>
      <c r="M163" s="4" t="s">
        <v>48</v>
      </c>
      <c r="N163" s="4" t="s">
        <v>45</v>
      </c>
      <c r="O163" s="4" t="s">
        <v>49</v>
      </c>
      <c r="P163" s="4" t="s">
        <v>45</v>
      </c>
      <c r="Q163" s="2">
        <v>1</v>
      </c>
      <c r="R163" s="2">
        <v>17</v>
      </c>
      <c r="S163" s="4" t="s">
        <v>50</v>
      </c>
      <c r="T163" s="4" t="s">
        <v>62</v>
      </c>
      <c r="U163" s="4" t="s">
        <v>45</v>
      </c>
      <c r="V163" s="5">
        <v>1</v>
      </c>
      <c r="W163" s="5">
        <v>0</v>
      </c>
      <c r="X163" s="5">
        <v>100</v>
      </c>
      <c r="Y163" s="5">
        <v>26.08</v>
      </c>
      <c r="Z163" s="4" t="s">
        <v>45</v>
      </c>
      <c r="AA163" s="5" t="s">
        <v>45</v>
      </c>
      <c r="AB163" s="4" t="s">
        <v>52</v>
      </c>
      <c r="AC163" s="4" t="s">
        <v>45</v>
      </c>
      <c r="AD163" s="5">
        <v>0</v>
      </c>
      <c r="AE163" s="4" t="s">
        <v>53</v>
      </c>
      <c r="AF163" s="3">
        <v>45536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63</v>
      </c>
      <c r="AO163" s="4" t="s">
        <v>45</v>
      </c>
      <c r="AP163" s="4" t="s">
        <v>45</v>
      </c>
    </row>
    <row r="164" spans="1:42" x14ac:dyDescent="0.2">
      <c r="A164" s="2">
        <v>1891456</v>
      </c>
      <c r="B164" s="3">
        <v>45882</v>
      </c>
      <c r="C164" s="4" t="s">
        <v>430</v>
      </c>
      <c r="D164" s="2">
        <v>1831491</v>
      </c>
      <c r="E164" s="4" t="s">
        <v>433</v>
      </c>
      <c r="F164" s="4" t="s">
        <v>434</v>
      </c>
      <c r="G164" s="2">
        <v>11055240</v>
      </c>
      <c r="H164" s="4" t="s">
        <v>45</v>
      </c>
      <c r="I164" s="4" t="s">
        <v>45</v>
      </c>
      <c r="J164" s="4" t="s">
        <v>46</v>
      </c>
      <c r="K164" s="4" t="s">
        <v>47</v>
      </c>
      <c r="L164" s="3">
        <v>45870</v>
      </c>
      <c r="M164" s="4" t="s">
        <v>48</v>
      </c>
      <c r="N164" s="4" t="s">
        <v>45</v>
      </c>
      <c r="O164" s="4" t="s">
        <v>49</v>
      </c>
      <c r="P164" s="4" t="s">
        <v>45</v>
      </c>
      <c r="Q164" s="2">
        <v>1</v>
      </c>
      <c r="R164" s="2">
        <v>17</v>
      </c>
      <c r="S164" s="4" t="s">
        <v>50</v>
      </c>
      <c r="T164" s="4" t="s">
        <v>51</v>
      </c>
      <c r="U164" s="4" t="s">
        <v>45</v>
      </c>
      <c r="V164" s="5">
        <v>1</v>
      </c>
      <c r="W164" s="5">
        <v>0</v>
      </c>
      <c r="X164" s="5">
        <v>100</v>
      </c>
      <c r="Y164" s="5">
        <v>26.08</v>
      </c>
      <c r="Z164" s="4" t="s">
        <v>45</v>
      </c>
      <c r="AA164" s="5" t="s">
        <v>45</v>
      </c>
      <c r="AB164" s="4" t="s">
        <v>52</v>
      </c>
      <c r="AC164" s="4" t="s">
        <v>45</v>
      </c>
      <c r="AD164" s="5">
        <v>0</v>
      </c>
      <c r="AE164" s="4" t="s">
        <v>53</v>
      </c>
      <c r="AF164" s="3">
        <v>45536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58</v>
      </c>
      <c r="AO164" s="4" t="s">
        <v>45</v>
      </c>
      <c r="AP164" s="4" t="s">
        <v>45</v>
      </c>
    </row>
    <row r="165" spans="1:42" x14ac:dyDescent="0.2">
      <c r="A165" s="2">
        <v>1891456</v>
      </c>
      <c r="B165" s="3">
        <v>45882</v>
      </c>
      <c r="C165" s="4" t="s">
        <v>430</v>
      </c>
      <c r="D165" s="2">
        <v>1831491</v>
      </c>
      <c r="E165" s="4" t="s">
        <v>435</v>
      </c>
      <c r="F165" s="4" t="s">
        <v>436</v>
      </c>
      <c r="G165" s="2">
        <v>62408191</v>
      </c>
      <c r="H165" s="4" t="s">
        <v>45</v>
      </c>
      <c r="I165" s="4" t="s">
        <v>45</v>
      </c>
      <c r="J165" s="4" t="s">
        <v>46</v>
      </c>
      <c r="K165" s="4" t="s">
        <v>47</v>
      </c>
      <c r="L165" s="3">
        <v>45870</v>
      </c>
      <c r="M165" s="4" t="s">
        <v>48</v>
      </c>
      <c r="N165" s="4" t="s">
        <v>45</v>
      </c>
      <c r="O165" s="4" t="s">
        <v>49</v>
      </c>
      <c r="P165" s="4" t="s">
        <v>45</v>
      </c>
      <c r="Q165" s="2">
        <v>1</v>
      </c>
      <c r="R165" s="2">
        <v>17</v>
      </c>
      <c r="S165" s="4" t="s">
        <v>50</v>
      </c>
      <c r="T165" s="4" t="s">
        <v>62</v>
      </c>
      <c r="U165" s="4" t="s">
        <v>45</v>
      </c>
      <c r="V165" s="5">
        <v>1</v>
      </c>
      <c r="W165" s="5">
        <v>0</v>
      </c>
      <c r="X165" s="5">
        <v>100</v>
      </c>
      <c r="Y165" s="5">
        <v>26.08</v>
      </c>
      <c r="Z165" s="4" t="s">
        <v>45</v>
      </c>
      <c r="AA165" s="5" t="s">
        <v>45</v>
      </c>
      <c r="AB165" s="4" t="s">
        <v>52</v>
      </c>
      <c r="AC165" s="4" t="s">
        <v>45</v>
      </c>
      <c r="AD165" s="5">
        <v>0</v>
      </c>
      <c r="AE165" s="4" t="s">
        <v>53</v>
      </c>
      <c r="AF165" s="3">
        <v>45566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63</v>
      </c>
      <c r="AO165" s="4" t="s">
        <v>45</v>
      </c>
      <c r="AP165" s="4" t="s">
        <v>45</v>
      </c>
    </row>
    <row r="166" spans="1:42" x14ac:dyDescent="0.2">
      <c r="A166" s="2">
        <v>1891456</v>
      </c>
      <c r="B166" s="3">
        <v>45882</v>
      </c>
      <c r="C166" s="4" t="s">
        <v>430</v>
      </c>
      <c r="D166" s="2">
        <v>1831491</v>
      </c>
      <c r="E166" s="4" t="s">
        <v>437</v>
      </c>
      <c r="F166" s="4" t="s">
        <v>438</v>
      </c>
      <c r="G166" s="2">
        <v>429597071</v>
      </c>
      <c r="H166" s="4" t="s">
        <v>45</v>
      </c>
      <c r="I166" s="4" t="s">
        <v>45</v>
      </c>
      <c r="J166" s="4" t="s">
        <v>46</v>
      </c>
      <c r="K166" s="4" t="s">
        <v>47</v>
      </c>
      <c r="L166" s="3">
        <v>45870</v>
      </c>
      <c r="M166" s="4" t="s">
        <v>48</v>
      </c>
      <c r="N166" s="4" t="s">
        <v>45</v>
      </c>
      <c r="O166" s="4" t="s">
        <v>49</v>
      </c>
      <c r="P166" s="4" t="s">
        <v>45</v>
      </c>
      <c r="Q166" s="2">
        <v>1</v>
      </c>
      <c r="R166" s="2">
        <v>17</v>
      </c>
      <c r="S166" s="4" t="s">
        <v>50</v>
      </c>
      <c r="T166" s="4" t="s">
        <v>62</v>
      </c>
      <c r="U166" s="4" t="s">
        <v>45</v>
      </c>
      <c r="V166" s="5">
        <v>1</v>
      </c>
      <c r="W166" s="5">
        <v>0</v>
      </c>
      <c r="X166" s="5">
        <v>100</v>
      </c>
      <c r="Y166" s="5">
        <v>26.08</v>
      </c>
      <c r="Z166" s="4" t="s">
        <v>45</v>
      </c>
      <c r="AA166" s="5" t="s">
        <v>45</v>
      </c>
      <c r="AB166" s="4" t="s">
        <v>52</v>
      </c>
      <c r="AC166" s="4" t="s">
        <v>45</v>
      </c>
      <c r="AD166" s="5">
        <v>0</v>
      </c>
      <c r="AE166" s="4" t="s">
        <v>53</v>
      </c>
      <c r="AF166" s="3">
        <v>45627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63</v>
      </c>
      <c r="AO166" s="4" t="s">
        <v>45</v>
      </c>
      <c r="AP166" s="4" t="s">
        <v>45</v>
      </c>
    </row>
    <row r="167" spans="1:42" x14ac:dyDescent="0.2">
      <c r="A167" s="2">
        <v>1891456</v>
      </c>
      <c r="B167" s="3">
        <v>45882</v>
      </c>
      <c r="C167" s="4" t="s">
        <v>439</v>
      </c>
      <c r="D167" s="2">
        <v>1855975</v>
      </c>
      <c r="E167" s="4" t="s">
        <v>440</v>
      </c>
      <c r="F167" s="4" t="s">
        <v>441</v>
      </c>
      <c r="G167" s="2">
        <v>720925411</v>
      </c>
      <c r="H167" s="4" t="s">
        <v>45</v>
      </c>
      <c r="I167" s="4" t="s">
        <v>45</v>
      </c>
      <c r="J167" s="4" t="s">
        <v>46</v>
      </c>
      <c r="K167" s="4" t="s">
        <v>47</v>
      </c>
      <c r="L167" s="3">
        <v>45870</v>
      </c>
      <c r="M167" s="4" t="s">
        <v>48</v>
      </c>
      <c r="N167" s="4" t="s">
        <v>45</v>
      </c>
      <c r="O167" s="4" t="s">
        <v>49</v>
      </c>
      <c r="P167" s="4" t="s">
        <v>45</v>
      </c>
      <c r="Q167" s="2">
        <v>1</v>
      </c>
      <c r="R167" s="2">
        <v>17</v>
      </c>
      <c r="S167" s="4" t="s">
        <v>50</v>
      </c>
      <c r="T167" s="4" t="s">
        <v>62</v>
      </c>
      <c r="U167" s="4" t="s">
        <v>45</v>
      </c>
      <c r="V167" s="5">
        <v>1</v>
      </c>
      <c r="W167" s="5">
        <v>0</v>
      </c>
      <c r="X167" s="5">
        <v>100</v>
      </c>
      <c r="Y167" s="5">
        <v>26.08</v>
      </c>
      <c r="Z167" s="4" t="s">
        <v>45</v>
      </c>
      <c r="AA167" s="5" t="s">
        <v>45</v>
      </c>
      <c r="AB167" s="4" t="s">
        <v>52</v>
      </c>
      <c r="AC167" s="4" t="s">
        <v>45</v>
      </c>
      <c r="AD167" s="5">
        <v>0</v>
      </c>
      <c r="AE167" s="4" t="s">
        <v>53</v>
      </c>
      <c r="AF167" s="3">
        <v>45566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63</v>
      </c>
      <c r="AO167" s="4" t="s">
        <v>45</v>
      </c>
      <c r="AP167" s="4" t="s">
        <v>45</v>
      </c>
    </row>
    <row r="168" spans="1:42" x14ac:dyDescent="0.2">
      <c r="A168" s="2">
        <v>1891456</v>
      </c>
      <c r="B168" s="3">
        <v>45882</v>
      </c>
      <c r="C168" s="4" t="s">
        <v>439</v>
      </c>
      <c r="D168" s="2">
        <v>1855975</v>
      </c>
      <c r="E168" s="4" t="s">
        <v>442</v>
      </c>
      <c r="F168" s="4" t="s">
        <v>443</v>
      </c>
      <c r="G168" s="2">
        <v>55647156</v>
      </c>
      <c r="H168" s="4" t="s">
        <v>45</v>
      </c>
      <c r="I168" s="4" t="s">
        <v>45</v>
      </c>
      <c r="J168" s="4" t="s">
        <v>46</v>
      </c>
      <c r="K168" s="4" t="s">
        <v>47</v>
      </c>
      <c r="L168" s="3">
        <v>45870</v>
      </c>
      <c r="M168" s="4" t="s">
        <v>48</v>
      </c>
      <c r="N168" s="4" t="s">
        <v>45</v>
      </c>
      <c r="O168" s="4" t="s">
        <v>49</v>
      </c>
      <c r="P168" s="4" t="s">
        <v>45</v>
      </c>
      <c r="Q168" s="2">
        <v>1</v>
      </c>
      <c r="R168" s="2">
        <v>17</v>
      </c>
      <c r="S168" s="4" t="s">
        <v>50</v>
      </c>
      <c r="T168" s="4" t="s">
        <v>62</v>
      </c>
      <c r="U168" s="4" t="s">
        <v>45</v>
      </c>
      <c r="V168" s="5">
        <v>1</v>
      </c>
      <c r="W168" s="5">
        <v>0</v>
      </c>
      <c r="X168" s="5">
        <v>100</v>
      </c>
      <c r="Y168" s="5">
        <v>26.08</v>
      </c>
      <c r="Z168" s="4" t="s">
        <v>45</v>
      </c>
      <c r="AA168" s="5" t="s">
        <v>45</v>
      </c>
      <c r="AB168" s="4" t="s">
        <v>52</v>
      </c>
      <c r="AC168" s="4" t="s">
        <v>45</v>
      </c>
      <c r="AD168" s="5">
        <v>0</v>
      </c>
      <c r="AE168" s="4" t="s">
        <v>53</v>
      </c>
      <c r="AF168" s="3">
        <v>45597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63</v>
      </c>
      <c r="AO168" s="4" t="s">
        <v>45</v>
      </c>
      <c r="AP168" s="4" t="s">
        <v>45</v>
      </c>
    </row>
    <row r="169" spans="1:42" x14ac:dyDescent="0.2">
      <c r="A169" s="2">
        <v>1891456</v>
      </c>
      <c r="B169" s="3">
        <v>45882</v>
      </c>
      <c r="C169" s="4" t="s">
        <v>439</v>
      </c>
      <c r="D169" s="2">
        <v>1855975</v>
      </c>
      <c r="E169" s="4" t="s">
        <v>444</v>
      </c>
      <c r="F169" s="4" t="s">
        <v>445</v>
      </c>
      <c r="G169" s="2">
        <v>790522210</v>
      </c>
      <c r="H169" s="4" t="s">
        <v>45</v>
      </c>
      <c r="I169" s="4" t="s">
        <v>45</v>
      </c>
      <c r="J169" s="4" t="s">
        <v>46</v>
      </c>
      <c r="K169" s="4" t="s">
        <v>47</v>
      </c>
      <c r="L169" s="3">
        <v>45870</v>
      </c>
      <c r="M169" s="4" t="s">
        <v>48</v>
      </c>
      <c r="N169" s="4" t="s">
        <v>45</v>
      </c>
      <c r="O169" s="4" t="s">
        <v>49</v>
      </c>
      <c r="P169" s="4" t="s">
        <v>45</v>
      </c>
      <c r="Q169" s="2">
        <v>1</v>
      </c>
      <c r="R169" s="2">
        <v>17</v>
      </c>
      <c r="S169" s="4" t="s">
        <v>50</v>
      </c>
      <c r="T169" s="4" t="s">
        <v>51</v>
      </c>
      <c r="U169" s="4" t="s">
        <v>45</v>
      </c>
      <c r="V169" s="5">
        <v>1</v>
      </c>
      <c r="W169" s="5">
        <v>0</v>
      </c>
      <c r="X169" s="5">
        <v>100</v>
      </c>
      <c r="Y169" s="5">
        <v>26.08</v>
      </c>
      <c r="Z169" s="4" t="s">
        <v>45</v>
      </c>
      <c r="AA169" s="5" t="s">
        <v>45</v>
      </c>
      <c r="AB169" s="4" t="s">
        <v>52</v>
      </c>
      <c r="AC169" s="4" t="s">
        <v>45</v>
      </c>
      <c r="AD169" s="5">
        <v>0</v>
      </c>
      <c r="AE169" s="4" t="s">
        <v>53</v>
      </c>
      <c r="AF169" s="3">
        <v>45597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54</v>
      </c>
      <c r="AO169" s="4" t="s">
        <v>45</v>
      </c>
      <c r="AP169" s="4" t="s">
        <v>45</v>
      </c>
    </row>
    <row r="170" spans="1:42" x14ac:dyDescent="0.2">
      <c r="A170" s="2">
        <v>1891456</v>
      </c>
      <c r="B170" s="3">
        <v>45882</v>
      </c>
      <c r="C170" s="4" t="s">
        <v>446</v>
      </c>
      <c r="D170" s="2">
        <v>1900606</v>
      </c>
      <c r="E170" s="4" t="s">
        <v>447</v>
      </c>
      <c r="F170" s="4" t="s">
        <v>448</v>
      </c>
      <c r="G170" s="2">
        <v>546568527</v>
      </c>
      <c r="H170" s="4" t="s">
        <v>45</v>
      </c>
      <c r="I170" s="4" t="s">
        <v>45</v>
      </c>
      <c r="J170" s="4" t="s">
        <v>46</v>
      </c>
      <c r="K170" s="4" t="s">
        <v>47</v>
      </c>
      <c r="L170" s="3">
        <v>45870</v>
      </c>
      <c r="M170" s="4" t="s">
        <v>48</v>
      </c>
      <c r="N170" s="4" t="s">
        <v>45</v>
      </c>
      <c r="O170" s="4" t="s">
        <v>49</v>
      </c>
      <c r="P170" s="4" t="s">
        <v>45</v>
      </c>
      <c r="Q170" s="2">
        <v>1</v>
      </c>
      <c r="R170" s="2">
        <v>17</v>
      </c>
      <c r="S170" s="4" t="s">
        <v>50</v>
      </c>
      <c r="T170" s="4" t="s">
        <v>62</v>
      </c>
      <c r="U170" s="4" t="s">
        <v>45</v>
      </c>
      <c r="V170" s="5">
        <v>1</v>
      </c>
      <c r="W170" s="5">
        <v>0</v>
      </c>
      <c r="X170" s="5">
        <v>100</v>
      </c>
      <c r="Y170" s="5">
        <v>26.08</v>
      </c>
      <c r="Z170" s="4" t="s">
        <v>45</v>
      </c>
      <c r="AA170" s="5" t="s">
        <v>45</v>
      </c>
      <c r="AB170" s="4" t="s">
        <v>52</v>
      </c>
      <c r="AC170" s="4" t="s">
        <v>45</v>
      </c>
      <c r="AD170" s="5">
        <v>0</v>
      </c>
      <c r="AE170" s="4" t="s">
        <v>53</v>
      </c>
      <c r="AF170" s="3">
        <v>45597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63</v>
      </c>
      <c r="AO170" s="4" t="s">
        <v>45</v>
      </c>
      <c r="AP170" s="4" t="s">
        <v>45</v>
      </c>
    </row>
    <row r="171" spans="1:42" x14ac:dyDescent="0.2">
      <c r="A171" s="2">
        <v>1891456</v>
      </c>
      <c r="B171" s="3">
        <v>45882</v>
      </c>
      <c r="C171" s="4" t="s">
        <v>449</v>
      </c>
      <c r="D171" s="2">
        <v>1913090</v>
      </c>
      <c r="E171" s="4" t="s">
        <v>450</v>
      </c>
      <c r="F171" s="4" t="s">
        <v>451</v>
      </c>
      <c r="G171" s="2">
        <v>52566133</v>
      </c>
      <c r="H171" s="4" t="s">
        <v>452</v>
      </c>
      <c r="I171" s="4" t="s">
        <v>45</v>
      </c>
      <c r="J171" s="4" t="s">
        <v>46</v>
      </c>
      <c r="K171" s="4" t="s">
        <v>47</v>
      </c>
      <c r="L171" s="3">
        <v>45901</v>
      </c>
      <c r="M171" s="4" t="s">
        <v>69</v>
      </c>
      <c r="N171" s="4" t="s">
        <v>45</v>
      </c>
      <c r="O171" s="4" t="s">
        <v>70</v>
      </c>
      <c r="P171" s="4" t="s">
        <v>45</v>
      </c>
      <c r="Q171" s="2">
        <v>1</v>
      </c>
      <c r="R171" s="2">
        <v>17</v>
      </c>
      <c r="S171" s="4" t="s">
        <v>50</v>
      </c>
      <c r="T171" s="4" t="s">
        <v>62</v>
      </c>
      <c r="U171" s="4" t="s">
        <v>45</v>
      </c>
      <c r="V171" s="5">
        <v>-0.33</v>
      </c>
      <c r="W171" s="5">
        <v>0</v>
      </c>
      <c r="X171" s="5">
        <v>100</v>
      </c>
      <c r="Y171" s="5">
        <v>-104.33</v>
      </c>
      <c r="Z171" s="4" t="s">
        <v>45</v>
      </c>
      <c r="AA171" s="5" t="s">
        <v>45</v>
      </c>
      <c r="AB171" s="4" t="s">
        <v>71</v>
      </c>
      <c r="AC171" s="4" t="s">
        <v>45</v>
      </c>
      <c r="AD171" s="5">
        <v>0</v>
      </c>
      <c r="AE171" s="4" t="s">
        <v>72</v>
      </c>
      <c r="AF171" s="3">
        <v>45901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63</v>
      </c>
      <c r="AO171" s="4" t="s">
        <v>45</v>
      </c>
      <c r="AP171" s="4" t="s">
        <v>45</v>
      </c>
    </row>
    <row r="172" spans="1:42" x14ac:dyDescent="0.2">
      <c r="A172" s="2">
        <v>1891456</v>
      </c>
      <c r="B172" s="3">
        <v>45882</v>
      </c>
      <c r="C172" s="4" t="s">
        <v>449</v>
      </c>
      <c r="D172" s="2">
        <v>1913090</v>
      </c>
      <c r="E172" s="4" t="s">
        <v>450</v>
      </c>
      <c r="F172" s="4" t="s">
        <v>451</v>
      </c>
      <c r="G172" s="2">
        <v>52566133</v>
      </c>
      <c r="H172" s="4" t="s">
        <v>452</v>
      </c>
      <c r="I172" s="4" t="s">
        <v>45</v>
      </c>
      <c r="J172" s="4" t="s">
        <v>46</v>
      </c>
      <c r="K172" s="4" t="s">
        <v>47</v>
      </c>
      <c r="L172" s="3">
        <v>45870</v>
      </c>
      <c r="M172" s="4" t="s">
        <v>48</v>
      </c>
      <c r="N172" s="4" t="s">
        <v>45</v>
      </c>
      <c r="O172" s="4" t="s">
        <v>70</v>
      </c>
      <c r="P172" s="4" t="s">
        <v>45</v>
      </c>
      <c r="Q172" s="2">
        <v>1</v>
      </c>
      <c r="R172" s="2">
        <v>17</v>
      </c>
      <c r="S172" s="4" t="s">
        <v>50</v>
      </c>
      <c r="T172" s="4" t="s">
        <v>62</v>
      </c>
      <c r="U172" s="4" t="s">
        <v>45</v>
      </c>
      <c r="V172" s="5">
        <v>0.42</v>
      </c>
      <c r="W172" s="5">
        <v>0</v>
      </c>
      <c r="X172" s="5">
        <v>100</v>
      </c>
      <c r="Y172" s="5">
        <v>130.41999999999999</v>
      </c>
      <c r="Z172" s="4" t="s">
        <v>45</v>
      </c>
      <c r="AA172" s="5" t="s">
        <v>45</v>
      </c>
      <c r="AB172" s="4" t="s">
        <v>71</v>
      </c>
      <c r="AC172" s="4" t="s">
        <v>45</v>
      </c>
      <c r="AD172" s="5">
        <v>0</v>
      </c>
      <c r="AE172" s="4" t="s">
        <v>72</v>
      </c>
      <c r="AF172" s="3">
        <v>45870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63</v>
      </c>
      <c r="AO172" s="4" t="s">
        <v>45</v>
      </c>
      <c r="AP172" s="4" t="s">
        <v>45</v>
      </c>
    </row>
    <row r="173" spans="1:42" x14ac:dyDescent="0.2">
      <c r="A173" s="2">
        <v>1891456</v>
      </c>
      <c r="B173" s="3">
        <v>45882</v>
      </c>
      <c r="C173" s="4" t="s">
        <v>449</v>
      </c>
      <c r="D173" s="2">
        <v>1913090</v>
      </c>
      <c r="E173" s="4" t="s">
        <v>453</v>
      </c>
      <c r="F173" s="4" t="s">
        <v>454</v>
      </c>
      <c r="G173" s="2">
        <v>706768313</v>
      </c>
      <c r="H173" s="4" t="s">
        <v>455</v>
      </c>
      <c r="I173" s="4" t="s">
        <v>45</v>
      </c>
      <c r="J173" s="4" t="s">
        <v>46</v>
      </c>
      <c r="K173" s="4" t="s">
        <v>47</v>
      </c>
      <c r="L173" s="3">
        <v>45901</v>
      </c>
      <c r="M173" s="4" t="s">
        <v>69</v>
      </c>
      <c r="N173" s="4" t="s">
        <v>45</v>
      </c>
      <c r="O173" s="4" t="s">
        <v>70</v>
      </c>
      <c r="P173" s="4" t="s">
        <v>45</v>
      </c>
      <c r="Q173" s="2">
        <v>1</v>
      </c>
      <c r="R173" s="2">
        <v>17</v>
      </c>
      <c r="S173" s="4" t="s">
        <v>50</v>
      </c>
      <c r="T173" s="4" t="s">
        <v>62</v>
      </c>
      <c r="U173" s="4" t="s">
        <v>45</v>
      </c>
      <c r="V173" s="5">
        <v>0.33</v>
      </c>
      <c r="W173" s="5">
        <v>0</v>
      </c>
      <c r="X173" s="5">
        <v>100</v>
      </c>
      <c r="Y173" s="5">
        <v>104.33</v>
      </c>
      <c r="Z173" s="4" t="s">
        <v>45</v>
      </c>
      <c r="AA173" s="5" t="s">
        <v>45</v>
      </c>
      <c r="AB173" s="4" t="s">
        <v>71</v>
      </c>
      <c r="AC173" s="4" t="s">
        <v>45</v>
      </c>
      <c r="AD173" s="5">
        <v>0</v>
      </c>
      <c r="AE173" s="4" t="s">
        <v>72</v>
      </c>
      <c r="AF173" s="3">
        <v>45901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63</v>
      </c>
      <c r="AO173" s="4" t="s">
        <v>45</v>
      </c>
      <c r="AP173" s="4" t="s">
        <v>45</v>
      </c>
    </row>
    <row r="174" spans="1:42" x14ac:dyDescent="0.2">
      <c r="A174" s="2">
        <v>1891456</v>
      </c>
      <c r="B174" s="3">
        <v>45882</v>
      </c>
      <c r="C174" s="4" t="s">
        <v>456</v>
      </c>
      <c r="D174" s="2">
        <v>1916484</v>
      </c>
      <c r="E174" s="4" t="s">
        <v>457</v>
      </c>
      <c r="F174" s="4" t="s">
        <v>458</v>
      </c>
      <c r="G174" s="2">
        <v>804518180</v>
      </c>
      <c r="H174" s="4" t="s">
        <v>45</v>
      </c>
      <c r="I174" s="4" t="s">
        <v>45</v>
      </c>
      <c r="J174" s="4" t="s">
        <v>46</v>
      </c>
      <c r="K174" s="4" t="s">
        <v>47</v>
      </c>
      <c r="L174" s="3">
        <v>45870</v>
      </c>
      <c r="M174" s="4" t="s">
        <v>48</v>
      </c>
      <c r="N174" s="4" t="s">
        <v>45</v>
      </c>
      <c r="O174" s="4" t="s">
        <v>49</v>
      </c>
      <c r="P174" s="4" t="s">
        <v>45</v>
      </c>
      <c r="Q174" s="2">
        <v>1</v>
      </c>
      <c r="R174" s="2">
        <v>17</v>
      </c>
      <c r="S174" s="4" t="s">
        <v>50</v>
      </c>
      <c r="T174" s="4" t="s">
        <v>51</v>
      </c>
      <c r="U174" s="4" t="s">
        <v>45</v>
      </c>
      <c r="V174" s="5">
        <v>1</v>
      </c>
      <c r="W174" s="5">
        <v>0</v>
      </c>
      <c r="X174" s="5">
        <v>100</v>
      </c>
      <c r="Y174" s="5">
        <v>29.41</v>
      </c>
      <c r="Z174" s="4" t="s">
        <v>45</v>
      </c>
      <c r="AA174" s="5" t="s">
        <v>45</v>
      </c>
      <c r="AB174" s="4" t="s">
        <v>52</v>
      </c>
      <c r="AC174" s="4" t="s">
        <v>45</v>
      </c>
      <c r="AD174" s="5">
        <v>0</v>
      </c>
      <c r="AE174" s="4" t="s">
        <v>53</v>
      </c>
      <c r="AF174" s="3">
        <v>45292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213</v>
      </c>
      <c r="AO174" s="4" t="s">
        <v>45</v>
      </c>
      <c r="AP174" s="4" t="s">
        <v>45</v>
      </c>
    </row>
    <row r="175" spans="1:42" x14ac:dyDescent="0.2">
      <c r="A175" s="2">
        <v>1891456</v>
      </c>
      <c r="B175" s="3">
        <v>45882</v>
      </c>
      <c r="C175" s="4" t="s">
        <v>459</v>
      </c>
      <c r="D175" s="2">
        <v>1982112</v>
      </c>
      <c r="E175" s="4" t="s">
        <v>460</v>
      </c>
      <c r="F175" s="4" t="s">
        <v>461</v>
      </c>
      <c r="G175" s="2">
        <v>115732104</v>
      </c>
      <c r="H175" s="4" t="s">
        <v>462</v>
      </c>
      <c r="I175" s="4" t="s">
        <v>45</v>
      </c>
      <c r="J175" s="4" t="s">
        <v>46</v>
      </c>
      <c r="K175" s="4" t="s">
        <v>47</v>
      </c>
      <c r="L175" s="3">
        <v>45962</v>
      </c>
      <c r="M175" s="4" t="s">
        <v>252</v>
      </c>
      <c r="N175" s="4" t="s">
        <v>45</v>
      </c>
      <c r="O175" s="4" t="s">
        <v>70</v>
      </c>
      <c r="P175" s="4" t="s">
        <v>45</v>
      </c>
      <c r="Q175" s="2">
        <v>1</v>
      </c>
      <c r="R175" s="2">
        <v>17</v>
      </c>
      <c r="S175" s="4" t="s">
        <v>50</v>
      </c>
      <c r="T175" s="4" t="s">
        <v>463</v>
      </c>
      <c r="U175" s="4" t="s">
        <v>45</v>
      </c>
      <c r="V175" s="5">
        <v>0.17</v>
      </c>
      <c r="W175" s="5">
        <v>0</v>
      </c>
      <c r="X175" s="5">
        <v>100</v>
      </c>
      <c r="Y175" s="5">
        <v>9.17</v>
      </c>
      <c r="Z175" s="4" t="s">
        <v>45</v>
      </c>
      <c r="AA175" s="5" t="s">
        <v>45</v>
      </c>
      <c r="AB175" s="4" t="s">
        <v>71</v>
      </c>
      <c r="AC175" s="4" t="s">
        <v>45</v>
      </c>
      <c r="AD175" s="5">
        <v>0</v>
      </c>
      <c r="AE175" s="4" t="s">
        <v>72</v>
      </c>
      <c r="AF175" s="3">
        <v>45962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464</v>
      </c>
      <c r="AO175" s="4" t="s">
        <v>45</v>
      </c>
      <c r="AP175" s="4" t="s">
        <v>45</v>
      </c>
    </row>
    <row r="176" spans="1:42" x14ac:dyDescent="0.2">
      <c r="A176" s="2">
        <v>1891456</v>
      </c>
      <c r="B176" s="3">
        <v>45882</v>
      </c>
      <c r="C176" s="4" t="s">
        <v>465</v>
      </c>
      <c r="D176" s="2">
        <v>1509744</v>
      </c>
      <c r="E176" s="4" t="s">
        <v>466</v>
      </c>
      <c r="F176" s="4" t="s">
        <v>467</v>
      </c>
      <c r="G176" s="4" t="s">
        <v>45</v>
      </c>
      <c r="H176" s="4" t="s">
        <v>45</v>
      </c>
      <c r="I176" s="4" t="s">
        <v>45</v>
      </c>
      <c r="J176" s="4" t="s">
        <v>468</v>
      </c>
      <c r="K176" s="4" t="s">
        <v>469</v>
      </c>
      <c r="L176" s="3">
        <v>45901</v>
      </c>
      <c r="M176" s="4" t="s">
        <v>69</v>
      </c>
      <c r="N176" s="4" t="s">
        <v>45</v>
      </c>
      <c r="O176" s="4" t="s">
        <v>49</v>
      </c>
      <c r="P176" s="4" t="s">
        <v>49</v>
      </c>
      <c r="Q176" s="2">
        <v>2</v>
      </c>
      <c r="R176" s="2">
        <v>60</v>
      </c>
      <c r="S176" s="4" t="s">
        <v>470</v>
      </c>
      <c r="T176" s="4" t="s">
        <v>45</v>
      </c>
      <c r="U176" s="4" t="s">
        <v>45</v>
      </c>
      <c r="V176" s="5">
        <v>10</v>
      </c>
      <c r="W176" s="5">
        <v>26.88</v>
      </c>
      <c r="X176" s="5">
        <v>100</v>
      </c>
      <c r="Y176" s="5">
        <v>2.69</v>
      </c>
      <c r="Z176" s="4" t="s">
        <v>45</v>
      </c>
      <c r="AA176" s="5" t="s">
        <v>45</v>
      </c>
      <c r="AB176" s="4" t="s">
        <v>471</v>
      </c>
      <c r="AC176" s="4" t="s">
        <v>45</v>
      </c>
      <c r="AD176" s="5">
        <v>0</v>
      </c>
      <c r="AE176" s="4" t="s">
        <v>472</v>
      </c>
      <c r="AF176" s="3">
        <v>45307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45</v>
      </c>
      <c r="AO176" s="4" t="s">
        <v>45</v>
      </c>
      <c r="AP176" s="4" t="s">
        <v>45</v>
      </c>
    </row>
    <row r="177" spans="1:42" x14ac:dyDescent="0.2">
      <c r="A177" s="2">
        <v>1891456</v>
      </c>
      <c r="B177" s="3">
        <v>45882</v>
      </c>
      <c r="C177" s="4" t="s">
        <v>473</v>
      </c>
      <c r="D177" s="2">
        <v>1509841</v>
      </c>
      <c r="E177" s="4" t="s">
        <v>474</v>
      </c>
      <c r="F177" s="4" t="s">
        <v>475</v>
      </c>
      <c r="G177" s="4" t="s">
        <v>45</v>
      </c>
      <c r="H177" s="4" t="s">
        <v>45</v>
      </c>
      <c r="I177" s="4" t="s">
        <v>45</v>
      </c>
      <c r="J177" s="4" t="s">
        <v>476</v>
      </c>
      <c r="K177" s="4" t="s">
        <v>477</v>
      </c>
      <c r="L177" s="3">
        <v>45870</v>
      </c>
      <c r="M177" s="4" t="s">
        <v>48</v>
      </c>
      <c r="N177" s="4" t="s">
        <v>45</v>
      </c>
      <c r="O177" s="4" t="s">
        <v>70</v>
      </c>
      <c r="P177" s="4" t="s">
        <v>49</v>
      </c>
      <c r="Q177" s="2">
        <v>6</v>
      </c>
      <c r="R177" s="2">
        <v>3</v>
      </c>
      <c r="S177" s="4" t="s">
        <v>478</v>
      </c>
      <c r="T177" s="4" t="s">
        <v>45</v>
      </c>
      <c r="U177" s="4" t="s">
        <v>45</v>
      </c>
      <c r="V177" s="5">
        <v>10</v>
      </c>
      <c r="W177" s="5">
        <v>414.6</v>
      </c>
      <c r="X177" s="5">
        <v>100</v>
      </c>
      <c r="Y177" s="5">
        <v>41.46</v>
      </c>
      <c r="Z177" s="4" t="s">
        <v>45</v>
      </c>
      <c r="AA177" s="5" t="s">
        <v>45</v>
      </c>
      <c r="AB177" s="4" t="s">
        <v>71</v>
      </c>
      <c r="AC177" s="4" t="s">
        <v>45</v>
      </c>
      <c r="AD177" s="5">
        <v>0</v>
      </c>
      <c r="AE177" s="4" t="s">
        <v>72</v>
      </c>
      <c r="AF177" s="3">
        <v>45658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45</v>
      </c>
      <c r="AO177" s="4" t="s">
        <v>45</v>
      </c>
      <c r="AP177" s="4" t="s">
        <v>45</v>
      </c>
    </row>
    <row r="178" spans="1:42" x14ac:dyDescent="0.2">
      <c r="A178" s="2">
        <v>1891456</v>
      </c>
      <c r="B178" s="3">
        <v>45882</v>
      </c>
      <c r="C178" s="4" t="s">
        <v>473</v>
      </c>
      <c r="D178" s="2">
        <v>1509841</v>
      </c>
      <c r="E178" s="4" t="s">
        <v>474</v>
      </c>
      <c r="F178" s="4" t="s">
        <v>475</v>
      </c>
      <c r="G178" s="4" t="s">
        <v>45</v>
      </c>
      <c r="H178" s="4" t="s">
        <v>45</v>
      </c>
      <c r="I178" s="4" t="s">
        <v>45</v>
      </c>
      <c r="J178" s="4" t="s">
        <v>476</v>
      </c>
      <c r="K178" s="4" t="s">
        <v>477</v>
      </c>
      <c r="L178" s="3">
        <v>45870</v>
      </c>
      <c r="M178" s="4" t="s">
        <v>48</v>
      </c>
      <c r="N178" s="4" t="s">
        <v>45</v>
      </c>
      <c r="O178" s="4" t="s">
        <v>70</v>
      </c>
      <c r="P178" s="4" t="s">
        <v>49</v>
      </c>
      <c r="Q178" s="2">
        <v>5</v>
      </c>
      <c r="R178" s="2">
        <v>60</v>
      </c>
      <c r="S178" s="4" t="s">
        <v>470</v>
      </c>
      <c r="T178" s="4" t="s">
        <v>45</v>
      </c>
      <c r="U178" s="4" t="s">
        <v>45</v>
      </c>
      <c r="V178" s="5">
        <v>10</v>
      </c>
      <c r="W178" s="5">
        <v>49.38</v>
      </c>
      <c r="X178" s="5">
        <v>100</v>
      </c>
      <c r="Y178" s="5">
        <v>4.9400000000000004</v>
      </c>
      <c r="Z178" s="4" t="s">
        <v>45</v>
      </c>
      <c r="AA178" s="5" t="s">
        <v>45</v>
      </c>
      <c r="AB178" s="4" t="s">
        <v>71</v>
      </c>
      <c r="AC178" s="4" t="s">
        <v>45</v>
      </c>
      <c r="AD178" s="5">
        <v>0</v>
      </c>
      <c r="AE178" s="4" t="s">
        <v>72</v>
      </c>
      <c r="AF178" s="3">
        <v>45658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45</v>
      </c>
      <c r="AO178" s="4" t="s">
        <v>45</v>
      </c>
      <c r="AP178" s="4" t="s">
        <v>45</v>
      </c>
    </row>
    <row r="179" spans="1:42" x14ac:dyDescent="0.2">
      <c r="A179" s="2">
        <v>1891456</v>
      </c>
      <c r="B179" s="3">
        <v>45882</v>
      </c>
      <c r="C179" s="4" t="s">
        <v>479</v>
      </c>
      <c r="D179" s="2">
        <v>1510085</v>
      </c>
      <c r="E179" s="4" t="s">
        <v>480</v>
      </c>
      <c r="F179" s="4" t="s">
        <v>481</v>
      </c>
      <c r="G179" s="4" t="s">
        <v>45</v>
      </c>
      <c r="H179" s="4" t="s">
        <v>45</v>
      </c>
      <c r="I179" s="4" t="s">
        <v>45</v>
      </c>
      <c r="J179" s="4" t="s">
        <v>476</v>
      </c>
      <c r="K179" s="4" t="s">
        <v>477</v>
      </c>
      <c r="L179" s="3">
        <v>45870</v>
      </c>
      <c r="M179" s="4" t="s">
        <v>48</v>
      </c>
      <c r="N179" s="4" t="s">
        <v>45</v>
      </c>
      <c r="O179" s="4" t="s">
        <v>49</v>
      </c>
      <c r="P179" s="4" t="s">
        <v>49</v>
      </c>
      <c r="Q179" s="2">
        <v>2</v>
      </c>
      <c r="R179" s="2">
        <v>3</v>
      </c>
      <c r="S179" s="4" t="s">
        <v>478</v>
      </c>
      <c r="T179" s="4" t="s">
        <v>45</v>
      </c>
      <c r="U179" s="4" t="s">
        <v>45</v>
      </c>
      <c r="V179" s="5">
        <v>10</v>
      </c>
      <c r="W179" s="5">
        <v>503.08</v>
      </c>
      <c r="X179" s="5">
        <v>100</v>
      </c>
      <c r="Y179" s="5">
        <v>50.31</v>
      </c>
      <c r="Z179" s="4" t="s">
        <v>45</v>
      </c>
      <c r="AA179" s="5" t="s">
        <v>45</v>
      </c>
      <c r="AB179" s="4" t="s">
        <v>52</v>
      </c>
      <c r="AC179" s="4" t="s">
        <v>45</v>
      </c>
      <c r="AD179" s="5">
        <v>0</v>
      </c>
      <c r="AE179" s="4" t="s">
        <v>53</v>
      </c>
      <c r="AF179" s="3">
        <v>44562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45</v>
      </c>
      <c r="AO179" s="4" t="s">
        <v>45</v>
      </c>
      <c r="AP179" s="4" t="s">
        <v>45</v>
      </c>
    </row>
    <row r="180" spans="1:42" x14ac:dyDescent="0.2">
      <c r="A180" s="2">
        <v>1891456</v>
      </c>
      <c r="B180" s="3">
        <v>45882</v>
      </c>
      <c r="C180" s="4" t="s">
        <v>479</v>
      </c>
      <c r="D180" s="2">
        <v>1510085</v>
      </c>
      <c r="E180" s="4" t="s">
        <v>480</v>
      </c>
      <c r="F180" s="4" t="s">
        <v>481</v>
      </c>
      <c r="G180" s="4" t="s">
        <v>45</v>
      </c>
      <c r="H180" s="4" t="s">
        <v>45</v>
      </c>
      <c r="I180" s="4" t="s">
        <v>45</v>
      </c>
      <c r="J180" s="4" t="s">
        <v>476</v>
      </c>
      <c r="K180" s="4" t="s">
        <v>477</v>
      </c>
      <c r="L180" s="3">
        <v>45870</v>
      </c>
      <c r="M180" s="4" t="s">
        <v>48</v>
      </c>
      <c r="N180" s="4" t="s">
        <v>45</v>
      </c>
      <c r="O180" s="4" t="s">
        <v>49</v>
      </c>
      <c r="P180" s="4" t="s">
        <v>49</v>
      </c>
      <c r="Q180" s="2">
        <v>2</v>
      </c>
      <c r="R180" s="2">
        <v>60</v>
      </c>
      <c r="S180" s="4" t="s">
        <v>470</v>
      </c>
      <c r="T180" s="4" t="s">
        <v>45</v>
      </c>
      <c r="U180" s="4" t="s">
        <v>45</v>
      </c>
      <c r="V180" s="5">
        <v>10</v>
      </c>
      <c r="W180" s="5">
        <v>50.98</v>
      </c>
      <c r="X180" s="5">
        <v>100</v>
      </c>
      <c r="Y180" s="5">
        <v>5.0999999999999996</v>
      </c>
      <c r="Z180" s="4" t="s">
        <v>45</v>
      </c>
      <c r="AA180" s="5" t="s">
        <v>45</v>
      </c>
      <c r="AB180" s="4" t="s">
        <v>52</v>
      </c>
      <c r="AC180" s="4" t="s">
        <v>45</v>
      </c>
      <c r="AD180" s="5">
        <v>0</v>
      </c>
      <c r="AE180" s="4" t="s">
        <v>53</v>
      </c>
      <c r="AF180" s="3">
        <v>44562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45</v>
      </c>
      <c r="AO180" s="4" t="s">
        <v>45</v>
      </c>
      <c r="AP180" s="4" t="s">
        <v>45</v>
      </c>
    </row>
    <row r="181" spans="1:42" x14ac:dyDescent="0.2">
      <c r="A181" s="2">
        <v>1891456</v>
      </c>
      <c r="B181" s="3">
        <v>45882</v>
      </c>
      <c r="C181" s="4" t="s">
        <v>179</v>
      </c>
      <c r="D181" s="2">
        <v>1510420</v>
      </c>
      <c r="E181" s="4" t="s">
        <v>482</v>
      </c>
      <c r="F181" s="4" t="s">
        <v>483</v>
      </c>
      <c r="G181" s="4" t="s">
        <v>45</v>
      </c>
      <c r="H181" s="4" t="s">
        <v>45</v>
      </c>
      <c r="I181" s="4" t="s">
        <v>45</v>
      </c>
      <c r="J181" s="4" t="s">
        <v>468</v>
      </c>
      <c r="K181" s="4" t="s">
        <v>469</v>
      </c>
      <c r="L181" s="3">
        <v>45901</v>
      </c>
      <c r="M181" s="4" t="s">
        <v>69</v>
      </c>
      <c r="N181" s="4" t="s">
        <v>45</v>
      </c>
      <c r="O181" s="4" t="s">
        <v>49</v>
      </c>
      <c r="P181" s="4" t="s">
        <v>49</v>
      </c>
      <c r="Q181" s="2">
        <v>1</v>
      </c>
      <c r="R181" s="2">
        <v>3</v>
      </c>
      <c r="S181" s="4" t="s">
        <v>478</v>
      </c>
      <c r="T181" s="4" t="s">
        <v>45</v>
      </c>
      <c r="U181" s="4" t="s">
        <v>45</v>
      </c>
      <c r="V181" s="5">
        <v>10</v>
      </c>
      <c r="W181" s="5">
        <v>21.54</v>
      </c>
      <c r="X181" s="5">
        <v>100</v>
      </c>
      <c r="Y181" s="5">
        <v>2.15</v>
      </c>
      <c r="Z181" s="4" t="s">
        <v>45</v>
      </c>
      <c r="AA181" s="5" t="s">
        <v>45</v>
      </c>
      <c r="AB181" s="4" t="s">
        <v>471</v>
      </c>
      <c r="AC181" s="4" t="s">
        <v>45</v>
      </c>
      <c r="AD181" s="5">
        <v>0</v>
      </c>
      <c r="AE181" s="4" t="s">
        <v>472</v>
      </c>
      <c r="AF181" s="3">
        <v>40969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45</v>
      </c>
      <c r="AO181" s="4" t="s">
        <v>45</v>
      </c>
      <c r="AP181" s="4" t="s">
        <v>45</v>
      </c>
    </row>
    <row r="182" spans="1:42" x14ac:dyDescent="0.2">
      <c r="A182" s="2">
        <v>1891456</v>
      </c>
      <c r="B182" s="3">
        <v>45882</v>
      </c>
      <c r="C182" s="4" t="s">
        <v>208</v>
      </c>
      <c r="D182" s="2">
        <v>1524629</v>
      </c>
      <c r="E182" s="4" t="s">
        <v>484</v>
      </c>
      <c r="F182" s="4" t="s">
        <v>485</v>
      </c>
      <c r="G182" s="4" t="s">
        <v>45</v>
      </c>
      <c r="H182" s="4" t="s">
        <v>45</v>
      </c>
      <c r="I182" s="4" t="s">
        <v>45</v>
      </c>
      <c r="J182" s="4" t="s">
        <v>486</v>
      </c>
      <c r="K182" s="4" t="s">
        <v>47</v>
      </c>
      <c r="L182" s="3">
        <v>45870</v>
      </c>
      <c r="M182" s="4" t="s">
        <v>48</v>
      </c>
      <c r="N182" s="4" t="s">
        <v>45</v>
      </c>
      <c r="O182" s="4" t="s">
        <v>49</v>
      </c>
      <c r="P182" s="4" t="s">
        <v>49</v>
      </c>
      <c r="Q182" s="2">
        <v>1</v>
      </c>
      <c r="R182" s="2">
        <v>17</v>
      </c>
      <c r="S182" s="4" t="s">
        <v>50</v>
      </c>
      <c r="T182" s="4" t="s">
        <v>45</v>
      </c>
      <c r="U182" s="4" t="s">
        <v>45</v>
      </c>
      <c r="V182" s="5">
        <v>26</v>
      </c>
      <c r="W182" s="5">
        <v>147.1</v>
      </c>
      <c r="X182" s="5">
        <v>100</v>
      </c>
      <c r="Y182" s="5">
        <v>38.25</v>
      </c>
      <c r="Z182" s="5">
        <v>0</v>
      </c>
      <c r="AA182" s="5">
        <v>0</v>
      </c>
      <c r="AB182" s="4" t="s">
        <v>487</v>
      </c>
      <c r="AC182" s="4" t="s">
        <v>45</v>
      </c>
      <c r="AD182" s="5">
        <v>0</v>
      </c>
      <c r="AE182" s="4" t="s">
        <v>488</v>
      </c>
      <c r="AF182" s="3">
        <v>45292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45</v>
      </c>
      <c r="AO182" s="4" t="s">
        <v>45</v>
      </c>
      <c r="AP182" s="4" t="s">
        <v>45</v>
      </c>
    </row>
    <row r="183" spans="1:42" x14ac:dyDescent="0.2">
      <c r="A183" s="2">
        <v>1891456</v>
      </c>
      <c r="B183" s="3">
        <v>45882</v>
      </c>
      <c r="C183" s="4" t="s">
        <v>231</v>
      </c>
      <c r="D183" s="2">
        <v>1545980</v>
      </c>
      <c r="E183" s="4" t="s">
        <v>489</v>
      </c>
      <c r="F183" s="4" t="s">
        <v>490</v>
      </c>
      <c r="G183" s="4" t="s">
        <v>45</v>
      </c>
      <c r="H183" s="4" t="s">
        <v>45</v>
      </c>
      <c r="I183" s="4" t="s">
        <v>45</v>
      </c>
      <c r="J183" s="4" t="s">
        <v>486</v>
      </c>
      <c r="K183" s="4" t="s">
        <v>47</v>
      </c>
      <c r="L183" s="3">
        <v>45870</v>
      </c>
      <c r="M183" s="4" t="s">
        <v>48</v>
      </c>
      <c r="N183" s="4" t="s">
        <v>45</v>
      </c>
      <c r="O183" s="4" t="s">
        <v>70</v>
      </c>
      <c r="P183" s="4" t="s">
        <v>49</v>
      </c>
      <c r="Q183" s="2">
        <v>1</v>
      </c>
      <c r="R183" s="2">
        <v>17</v>
      </c>
      <c r="S183" s="4" t="s">
        <v>50</v>
      </c>
      <c r="T183" s="4" t="s">
        <v>45</v>
      </c>
      <c r="U183" s="4" t="s">
        <v>45</v>
      </c>
      <c r="V183" s="5">
        <v>22</v>
      </c>
      <c r="W183" s="5">
        <v>1830.84</v>
      </c>
      <c r="X183" s="5">
        <v>100</v>
      </c>
      <c r="Y183" s="5">
        <v>402.84</v>
      </c>
      <c r="Z183" s="5">
        <v>0</v>
      </c>
      <c r="AA183" s="5">
        <v>0</v>
      </c>
      <c r="AB183" s="4" t="s">
        <v>491</v>
      </c>
      <c r="AC183" s="4" t="s">
        <v>45</v>
      </c>
      <c r="AD183" s="5">
        <v>0</v>
      </c>
      <c r="AE183" s="4" t="s">
        <v>492</v>
      </c>
      <c r="AF183" s="3">
        <v>45870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45</v>
      </c>
      <c r="AO183" s="4" t="s">
        <v>45</v>
      </c>
      <c r="AP183" s="4" t="s">
        <v>45</v>
      </c>
    </row>
    <row r="184" spans="1:42" x14ac:dyDescent="0.2">
      <c r="A184" s="2">
        <v>1891456</v>
      </c>
      <c r="B184" s="3">
        <v>45882</v>
      </c>
      <c r="C184" s="4" t="s">
        <v>231</v>
      </c>
      <c r="D184" s="2">
        <v>1545980</v>
      </c>
      <c r="E184" s="4" t="s">
        <v>493</v>
      </c>
      <c r="F184" s="4" t="s">
        <v>494</v>
      </c>
      <c r="G184" s="4" t="s">
        <v>45</v>
      </c>
      <c r="H184" s="4" t="s">
        <v>45</v>
      </c>
      <c r="I184" s="4" t="s">
        <v>45</v>
      </c>
      <c r="J184" s="4" t="s">
        <v>486</v>
      </c>
      <c r="K184" s="4" t="s">
        <v>47</v>
      </c>
      <c r="L184" s="3">
        <v>45870</v>
      </c>
      <c r="M184" s="4" t="s">
        <v>48</v>
      </c>
      <c r="N184" s="4" t="s">
        <v>45</v>
      </c>
      <c r="O184" s="4" t="s">
        <v>70</v>
      </c>
      <c r="P184" s="4" t="s">
        <v>49</v>
      </c>
      <c r="Q184" s="2">
        <v>1</v>
      </c>
      <c r="R184" s="2">
        <v>17</v>
      </c>
      <c r="S184" s="4" t="s">
        <v>50</v>
      </c>
      <c r="T184" s="4" t="s">
        <v>45</v>
      </c>
      <c r="U184" s="4" t="s">
        <v>45</v>
      </c>
      <c r="V184" s="5">
        <v>22</v>
      </c>
      <c r="W184" s="5">
        <v>1622.64</v>
      </c>
      <c r="X184" s="5">
        <v>100</v>
      </c>
      <c r="Y184" s="5">
        <v>357</v>
      </c>
      <c r="Z184" s="5">
        <v>0</v>
      </c>
      <c r="AA184" s="5">
        <v>0</v>
      </c>
      <c r="AB184" s="4" t="s">
        <v>491</v>
      </c>
      <c r="AC184" s="4" t="s">
        <v>45</v>
      </c>
      <c r="AD184" s="5">
        <v>0</v>
      </c>
      <c r="AE184" s="4" t="s">
        <v>492</v>
      </c>
      <c r="AF184" s="3">
        <v>45870</v>
      </c>
      <c r="AG184" s="4" t="s">
        <v>45</v>
      </c>
      <c r="AH184" s="4" t="s">
        <v>45</v>
      </c>
      <c r="AI184" s="4" t="s">
        <v>45</v>
      </c>
      <c r="AJ184" s="4" t="s">
        <v>45</v>
      </c>
      <c r="AK184" s="4" t="s">
        <v>45</v>
      </c>
      <c r="AL184" s="4" t="s">
        <v>45</v>
      </c>
      <c r="AM184" s="4" t="s">
        <v>45</v>
      </c>
      <c r="AN184" s="4" t="s">
        <v>45</v>
      </c>
      <c r="AO184" s="4" t="s">
        <v>45</v>
      </c>
      <c r="AP184" s="4" t="s">
        <v>45</v>
      </c>
    </row>
    <row r="185" spans="1:42" x14ac:dyDescent="0.2">
      <c r="A185" s="2">
        <v>1891456</v>
      </c>
      <c r="B185" s="3">
        <v>45882</v>
      </c>
      <c r="C185" s="4" t="s">
        <v>320</v>
      </c>
      <c r="D185" s="2">
        <v>1673763</v>
      </c>
      <c r="E185" s="4" t="s">
        <v>495</v>
      </c>
      <c r="F185" s="4" t="s">
        <v>496</v>
      </c>
      <c r="G185" s="4" t="s">
        <v>45</v>
      </c>
      <c r="H185" s="4" t="s">
        <v>45</v>
      </c>
      <c r="I185" s="4" t="s">
        <v>45</v>
      </c>
      <c r="J185" s="4" t="s">
        <v>486</v>
      </c>
      <c r="K185" s="4" t="s">
        <v>47</v>
      </c>
      <c r="L185" s="3">
        <v>45870</v>
      </c>
      <c r="M185" s="4" t="s">
        <v>48</v>
      </c>
      <c r="N185" s="4" t="s">
        <v>45</v>
      </c>
      <c r="O185" s="4" t="s">
        <v>49</v>
      </c>
      <c r="P185" s="4" t="s">
        <v>49</v>
      </c>
      <c r="Q185" s="2">
        <v>1</v>
      </c>
      <c r="R185" s="2">
        <v>17</v>
      </c>
      <c r="S185" s="4" t="s">
        <v>50</v>
      </c>
      <c r="T185" s="4" t="s">
        <v>45</v>
      </c>
      <c r="U185" s="4" t="s">
        <v>45</v>
      </c>
      <c r="V185" s="5">
        <v>22</v>
      </c>
      <c r="W185" s="5">
        <v>130.08000000000001</v>
      </c>
      <c r="X185" s="5">
        <v>100</v>
      </c>
      <c r="Y185" s="5">
        <v>28.62</v>
      </c>
      <c r="Z185" s="5">
        <v>0</v>
      </c>
      <c r="AA185" s="5">
        <v>0</v>
      </c>
      <c r="AB185" s="4" t="s">
        <v>487</v>
      </c>
      <c r="AC185" s="4" t="s">
        <v>45</v>
      </c>
      <c r="AD185" s="5">
        <v>0</v>
      </c>
      <c r="AE185" s="4" t="s">
        <v>488</v>
      </c>
      <c r="AF185" s="3">
        <v>45444</v>
      </c>
      <c r="AG185" s="4" t="s">
        <v>45</v>
      </c>
      <c r="AH185" s="4" t="s">
        <v>45</v>
      </c>
      <c r="AI185" s="4" t="s">
        <v>45</v>
      </c>
      <c r="AJ185" s="4" t="s">
        <v>45</v>
      </c>
      <c r="AK185" s="4" t="s">
        <v>45</v>
      </c>
      <c r="AL185" s="4" t="s">
        <v>45</v>
      </c>
      <c r="AM185" s="4" t="s">
        <v>45</v>
      </c>
      <c r="AN185" s="4" t="s">
        <v>45</v>
      </c>
      <c r="AO185" s="4" t="s">
        <v>45</v>
      </c>
      <c r="AP185" s="4" t="s">
        <v>45</v>
      </c>
    </row>
    <row r="186" spans="1:42" x14ac:dyDescent="0.2">
      <c r="A186" s="2">
        <v>1891456</v>
      </c>
      <c r="B186" s="3">
        <v>45882</v>
      </c>
      <c r="C186" s="4" t="s">
        <v>320</v>
      </c>
      <c r="D186" s="2">
        <v>1673763</v>
      </c>
      <c r="E186" s="4" t="s">
        <v>497</v>
      </c>
      <c r="F186" s="4" t="s">
        <v>498</v>
      </c>
      <c r="G186" s="4" t="s">
        <v>45</v>
      </c>
      <c r="H186" s="4" t="s">
        <v>45</v>
      </c>
      <c r="I186" s="4" t="s">
        <v>45</v>
      </c>
      <c r="J186" s="4" t="s">
        <v>468</v>
      </c>
      <c r="K186" s="4" t="s">
        <v>469</v>
      </c>
      <c r="L186" s="3">
        <v>45901</v>
      </c>
      <c r="M186" s="4" t="s">
        <v>69</v>
      </c>
      <c r="N186" s="4" t="s">
        <v>45</v>
      </c>
      <c r="O186" s="4" t="s">
        <v>70</v>
      </c>
      <c r="P186" s="4" t="s">
        <v>49</v>
      </c>
      <c r="Q186" s="2">
        <v>2</v>
      </c>
      <c r="R186" s="2">
        <v>60</v>
      </c>
      <c r="S186" s="4" t="s">
        <v>470</v>
      </c>
      <c r="T186" s="4" t="s">
        <v>45</v>
      </c>
      <c r="U186" s="4" t="s">
        <v>45</v>
      </c>
      <c r="V186" s="5">
        <v>10</v>
      </c>
      <c r="W186" s="5">
        <v>23.99</v>
      </c>
      <c r="X186" s="5">
        <v>100</v>
      </c>
      <c r="Y186" s="5">
        <v>2.4</v>
      </c>
      <c r="Z186" s="4" t="s">
        <v>45</v>
      </c>
      <c r="AA186" s="5" t="s">
        <v>45</v>
      </c>
      <c r="AB186" s="4" t="s">
        <v>499</v>
      </c>
      <c r="AC186" s="4" t="s">
        <v>45</v>
      </c>
      <c r="AD186" s="5">
        <v>0</v>
      </c>
      <c r="AE186" s="4" t="s">
        <v>500</v>
      </c>
      <c r="AF186" s="3">
        <v>45870</v>
      </c>
      <c r="AG186" s="4" t="s">
        <v>45</v>
      </c>
      <c r="AH186" s="4" t="s">
        <v>45</v>
      </c>
      <c r="AI186" s="4" t="s">
        <v>45</v>
      </c>
      <c r="AJ186" s="4" t="s">
        <v>45</v>
      </c>
      <c r="AK186" s="4" t="s">
        <v>45</v>
      </c>
      <c r="AL186" s="4" t="s">
        <v>45</v>
      </c>
      <c r="AM186" s="4" t="s">
        <v>45</v>
      </c>
      <c r="AN186" s="4" t="s">
        <v>45</v>
      </c>
      <c r="AO186" s="4" t="s">
        <v>45</v>
      </c>
      <c r="AP186" s="4" t="s">
        <v>45</v>
      </c>
    </row>
    <row r="187" spans="1:42" x14ac:dyDescent="0.2">
      <c r="A187" s="2">
        <v>1891456</v>
      </c>
      <c r="B187" s="3">
        <v>45882</v>
      </c>
      <c r="C187" s="4" t="s">
        <v>501</v>
      </c>
      <c r="D187" s="2">
        <v>1755893</v>
      </c>
      <c r="E187" s="4" t="s">
        <v>502</v>
      </c>
      <c r="F187" s="4" t="s">
        <v>503</v>
      </c>
      <c r="G187" s="4" t="s">
        <v>45</v>
      </c>
      <c r="H187" s="4" t="s">
        <v>45</v>
      </c>
      <c r="I187" s="4" t="s">
        <v>45</v>
      </c>
      <c r="J187" s="4" t="s">
        <v>468</v>
      </c>
      <c r="K187" s="4" t="s">
        <v>469</v>
      </c>
      <c r="L187" s="3">
        <v>45870</v>
      </c>
      <c r="M187" s="4" t="s">
        <v>48</v>
      </c>
      <c r="N187" s="4" t="s">
        <v>45</v>
      </c>
      <c r="O187" s="4" t="s">
        <v>70</v>
      </c>
      <c r="P187" s="4" t="s">
        <v>49</v>
      </c>
      <c r="Q187" s="2">
        <v>1</v>
      </c>
      <c r="R187" s="2">
        <v>60</v>
      </c>
      <c r="S187" s="4" t="s">
        <v>470</v>
      </c>
      <c r="T187" s="4" t="s">
        <v>45</v>
      </c>
      <c r="U187" s="4" t="s">
        <v>45</v>
      </c>
      <c r="V187" s="5">
        <v>10</v>
      </c>
      <c r="W187" s="5">
        <v>12.99</v>
      </c>
      <c r="X187" s="5">
        <v>100</v>
      </c>
      <c r="Y187" s="5">
        <v>36.299999999999997</v>
      </c>
      <c r="Z187" s="4" t="s">
        <v>45</v>
      </c>
      <c r="AA187" s="5" t="s">
        <v>45</v>
      </c>
      <c r="AB187" s="4" t="s">
        <v>499</v>
      </c>
      <c r="AC187" s="4" t="s">
        <v>45</v>
      </c>
      <c r="AD187" s="5">
        <v>0</v>
      </c>
      <c r="AE187" s="4" t="s">
        <v>500</v>
      </c>
      <c r="AF187" s="3">
        <v>45879</v>
      </c>
      <c r="AG187" s="4" t="s">
        <v>45</v>
      </c>
      <c r="AH187" s="4" t="s">
        <v>45</v>
      </c>
      <c r="AI187" s="4" t="s">
        <v>45</v>
      </c>
      <c r="AJ187" s="4" t="s">
        <v>45</v>
      </c>
      <c r="AK187" s="4" t="s">
        <v>45</v>
      </c>
      <c r="AL187" s="4" t="s">
        <v>45</v>
      </c>
      <c r="AM187" s="4" t="s">
        <v>45</v>
      </c>
      <c r="AN187" s="4" t="s">
        <v>45</v>
      </c>
      <c r="AO187" s="4" t="s">
        <v>45</v>
      </c>
      <c r="AP187" s="4" t="s">
        <v>45</v>
      </c>
    </row>
    <row r="188" spans="1:42" x14ac:dyDescent="0.2">
      <c r="A188" s="2">
        <v>1891456</v>
      </c>
      <c r="B188" s="3">
        <v>45882</v>
      </c>
      <c r="C188" s="4" t="s">
        <v>501</v>
      </c>
      <c r="D188" s="2">
        <v>1755893</v>
      </c>
      <c r="E188" s="4" t="s">
        <v>504</v>
      </c>
      <c r="F188" s="4" t="s">
        <v>505</v>
      </c>
      <c r="G188" s="4" t="s">
        <v>45</v>
      </c>
      <c r="H188" s="4" t="s">
        <v>45</v>
      </c>
      <c r="I188" s="4" t="s">
        <v>45</v>
      </c>
      <c r="J188" s="4" t="s">
        <v>468</v>
      </c>
      <c r="K188" s="4" t="s">
        <v>469</v>
      </c>
      <c r="L188" s="3">
        <v>45870</v>
      </c>
      <c r="M188" s="4" t="s">
        <v>48</v>
      </c>
      <c r="N188" s="4" t="s">
        <v>45</v>
      </c>
      <c r="O188" s="4" t="s">
        <v>70</v>
      </c>
      <c r="P188" s="4" t="s">
        <v>49</v>
      </c>
      <c r="Q188" s="2">
        <v>1</v>
      </c>
      <c r="R188" s="2">
        <v>60</v>
      </c>
      <c r="S188" s="4" t="s">
        <v>470</v>
      </c>
      <c r="T188" s="4" t="s">
        <v>45</v>
      </c>
      <c r="U188" s="4" t="s">
        <v>45</v>
      </c>
      <c r="V188" s="5">
        <v>10</v>
      </c>
      <c r="W188" s="5">
        <v>12.99</v>
      </c>
      <c r="X188" s="5">
        <v>100</v>
      </c>
      <c r="Y188" s="5">
        <v>36.299999999999997</v>
      </c>
      <c r="Z188" s="4" t="s">
        <v>45</v>
      </c>
      <c r="AA188" s="5" t="s">
        <v>45</v>
      </c>
      <c r="AB188" s="4" t="s">
        <v>499</v>
      </c>
      <c r="AC188" s="4" t="s">
        <v>45</v>
      </c>
      <c r="AD188" s="5">
        <v>0</v>
      </c>
      <c r="AE188" s="4" t="s">
        <v>500</v>
      </c>
      <c r="AF188" s="3">
        <v>45879</v>
      </c>
      <c r="AG188" s="4" t="s">
        <v>45</v>
      </c>
      <c r="AH188" s="4" t="s">
        <v>45</v>
      </c>
      <c r="AI188" s="4" t="s">
        <v>45</v>
      </c>
      <c r="AJ188" s="4" t="s">
        <v>45</v>
      </c>
      <c r="AK188" s="4" t="s">
        <v>45</v>
      </c>
      <c r="AL188" s="4" t="s">
        <v>45</v>
      </c>
      <c r="AM188" s="4" t="s">
        <v>45</v>
      </c>
      <c r="AN188" s="4" t="s">
        <v>45</v>
      </c>
      <c r="AO188" s="4" t="s">
        <v>45</v>
      </c>
      <c r="AP188" s="4" t="s">
        <v>45</v>
      </c>
    </row>
    <row r="189" spans="1:42" x14ac:dyDescent="0.2">
      <c r="A189" s="2">
        <v>1891456</v>
      </c>
      <c r="B189" s="3">
        <v>45882</v>
      </c>
      <c r="C189" s="4" t="s">
        <v>501</v>
      </c>
      <c r="D189" s="2">
        <v>1755893</v>
      </c>
      <c r="E189" s="4" t="s">
        <v>506</v>
      </c>
      <c r="F189" s="4" t="s">
        <v>507</v>
      </c>
      <c r="G189" s="4" t="s">
        <v>45</v>
      </c>
      <c r="H189" s="4" t="s">
        <v>45</v>
      </c>
      <c r="I189" s="4" t="s">
        <v>45</v>
      </c>
      <c r="J189" s="4" t="s">
        <v>468</v>
      </c>
      <c r="K189" s="4" t="s">
        <v>469</v>
      </c>
      <c r="L189" s="3">
        <v>45870</v>
      </c>
      <c r="M189" s="4" t="s">
        <v>48</v>
      </c>
      <c r="N189" s="4" t="s">
        <v>45</v>
      </c>
      <c r="O189" s="4" t="s">
        <v>70</v>
      </c>
      <c r="P189" s="4" t="s">
        <v>49</v>
      </c>
      <c r="Q189" s="2">
        <v>1</v>
      </c>
      <c r="R189" s="2">
        <v>60</v>
      </c>
      <c r="S189" s="4" t="s">
        <v>470</v>
      </c>
      <c r="T189" s="4" t="s">
        <v>45</v>
      </c>
      <c r="U189" s="4" t="s">
        <v>45</v>
      </c>
      <c r="V189" s="5">
        <v>10</v>
      </c>
      <c r="W189" s="5">
        <v>12.99</v>
      </c>
      <c r="X189" s="5">
        <v>100</v>
      </c>
      <c r="Y189" s="5">
        <v>36.299999999999997</v>
      </c>
      <c r="Z189" s="4" t="s">
        <v>45</v>
      </c>
      <c r="AA189" s="5" t="s">
        <v>45</v>
      </c>
      <c r="AB189" s="4" t="s">
        <v>499</v>
      </c>
      <c r="AC189" s="4" t="s">
        <v>45</v>
      </c>
      <c r="AD189" s="5">
        <v>0</v>
      </c>
      <c r="AE189" s="4" t="s">
        <v>500</v>
      </c>
      <c r="AF189" s="3">
        <v>45880</v>
      </c>
      <c r="AG189" s="4" t="s">
        <v>45</v>
      </c>
      <c r="AH189" s="4" t="s">
        <v>45</v>
      </c>
      <c r="AI189" s="4" t="s">
        <v>45</v>
      </c>
      <c r="AJ189" s="4" t="s">
        <v>45</v>
      </c>
      <c r="AK189" s="4" t="s">
        <v>45</v>
      </c>
      <c r="AL189" s="4" t="s">
        <v>45</v>
      </c>
      <c r="AM189" s="4" t="s">
        <v>45</v>
      </c>
      <c r="AN189" s="4" t="s">
        <v>45</v>
      </c>
      <c r="AO189" s="4" t="s">
        <v>45</v>
      </c>
      <c r="AP189" s="4" t="s">
        <v>45</v>
      </c>
    </row>
    <row r="190" spans="1:42" x14ac:dyDescent="0.2">
      <c r="A190" s="2">
        <v>1891456</v>
      </c>
      <c r="B190" s="3">
        <v>45882</v>
      </c>
      <c r="C190" s="4" t="s">
        <v>370</v>
      </c>
      <c r="D190" s="2">
        <v>1773696</v>
      </c>
      <c r="E190" s="4" t="s">
        <v>508</v>
      </c>
      <c r="F190" s="4" t="s">
        <v>509</v>
      </c>
      <c r="G190" s="4" t="s">
        <v>45</v>
      </c>
      <c r="H190" s="4" t="s">
        <v>45</v>
      </c>
      <c r="I190" s="4" t="s">
        <v>45</v>
      </c>
      <c r="J190" s="4" t="s">
        <v>476</v>
      </c>
      <c r="K190" s="4" t="s">
        <v>477</v>
      </c>
      <c r="L190" s="3">
        <v>45839</v>
      </c>
      <c r="M190" s="4" t="s">
        <v>510</v>
      </c>
      <c r="N190" s="4" t="s">
        <v>45</v>
      </c>
      <c r="O190" s="4" t="s">
        <v>49</v>
      </c>
      <c r="P190" s="4" t="s">
        <v>49</v>
      </c>
      <c r="Q190" s="2">
        <v>28</v>
      </c>
      <c r="R190" s="2">
        <v>3</v>
      </c>
      <c r="S190" s="4" t="s">
        <v>478</v>
      </c>
      <c r="T190" s="4" t="s">
        <v>45</v>
      </c>
      <c r="U190" s="4" t="s">
        <v>45</v>
      </c>
      <c r="V190" s="5">
        <v>10</v>
      </c>
      <c r="W190" s="5">
        <v>247.14</v>
      </c>
      <c r="X190" s="5">
        <v>100</v>
      </c>
      <c r="Y190" s="5">
        <v>24.71</v>
      </c>
      <c r="Z190" s="4" t="s">
        <v>45</v>
      </c>
      <c r="AA190" s="5" t="s">
        <v>45</v>
      </c>
      <c r="AB190" s="4" t="s">
        <v>52</v>
      </c>
      <c r="AC190" s="4" t="s">
        <v>45</v>
      </c>
      <c r="AD190" s="5">
        <v>0</v>
      </c>
      <c r="AE190" s="4" t="s">
        <v>53</v>
      </c>
      <c r="AF190" s="3">
        <v>45474</v>
      </c>
      <c r="AG190" s="4" t="s">
        <v>45</v>
      </c>
      <c r="AH190" s="4" t="s">
        <v>45</v>
      </c>
      <c r="AI190" s="4" t="s">
        <v>45</v>
      </c>
      <c r="AJ190" s="4" t="s">
        <v>45</v>
      </c>
      <c r="AK190" s="4" t="s">
        <v>45</v>
      </c>
      <c r="AL190" s="4" t="s">
        <v>45</v>
      </c>
      <c r="AM190" s="4" t="s">
        <v>45</v>
      </c>
      <c r="AN190" s="4" t="s">
        <v>45</v>
      </c>
      <c r="AO190" s="4" t="s">
        <v>45</v>
      </c>
      <c r="AP190" s="4" t="s">
        <v>45</v>
      </c>
    </row>
    <row r="191" spans="1:42" x14ac:dyDescent="0.2">
      <c r="A191" s="2">
        <v>1891456</v>
      </c>
      <c r="B191" s="3">
        <v>45882</v>
      </c>
      <c r="C191" s="4" t="s">
        <v>370</v>
      </c>
      <c r="D191" s="2">
        <v>1773696</v>
      </c>
      <c r="E191" s="4" t="s">
        <v>508</v>
      </c>
      <c r="F191" s="4" t="s">
        <v>509</v>
      </c>
      <c r="G191" s="4" t="s">
        <v>45</v>
      </c>
      <c r="H191" s="4" t="s">
        <v>45</v>
      </c>
      <c r="I191" s="4" t="s">
        <v>45</v>
      </c>
      <c r="J191" s="4" t="s">
        <v>476</v>
      </c>
      <c r="K191" s="4" t="s">
        <v>477</v>
      </c>
      <c r="L191" s="3">
        <v>45839</v>
      </c>
      <c r="M191" s="4" t="s">
        <v>510</v>
      </c>
      <c r="N191" s="4" t="s">
        <v>45</v>
      </c>
      <c r="O191" s="4" t="s">
        <v>49</v>
      </c>
      <c r="P191" s="4" t="s">
        <v>49</v>
      </c>
      <c r="Q191" s="2">
        <v>30</v>
      </c>
      <c r="R191" s="2">
        <v>60</v>
      </c>
      <c r="S191" s="4" t="s">
        <v>470</v>
      </c>
      <c r="T191" s="4" t="s">
        <v>45</v>
      </c>
      <c r="U191" s="4" t="s">
        <v>45</v>
      </c>
      <c r="V191" s="5">
        <v>10</v>
      </c>
      <c r="W191" s="5">
        <v>63.72</v>
      </c>
      <c r="X191" s="5">
        <v>100</v>
      </c>
      <c r="Y191" s="5">
        <v>6.37</v>
      </c>
      <c r="Z191" s="4" t="s">
        <v>45</v>
      </c>
      <c r="AA191" s="5" t="s">
        <v>45</v>
      </c>
      <c r="AB191" s="4" t="s">
        <v>52</v>
      </c>
      <c r="AC191" s="4" t="s">
        <v>45</v>
      </c>
      <c r="AD191" s="5">
        <v>0</v>
      </c>
      <c r="AE191" s="4" t="s">
        <v>53</v>
      </c>
      <c r="AF191" s="3">
        <v>45474</v>
      </c>
      <c r="AG191" s="4" t="s">
        <v>45</v>
      </c>
      <c r="AH191" s="4" t="s">
        <v>45</v>
      </c>
      <c r="AI191" s="4" t="s">
        <v>45</v>
      </c>
      <c r="AJ191" s="4" t="s">
        <v>45</v>
      </c>
      <c r="AK191" s="4" t="s">
        <v>45</v>
      </c>
      <c r="AL191" s="4" t="s">
        <v>45</v>
      </c>
      <c r="AM191" s="4" t="s">
        <v>45</v>
      </c>
      <c r="AN191" s="4" t="s">
        <v>45</v>
      </c>
      <c r="AO191" s="4" t="s">
        <v>45</v>
      </c>
      <c r="AP191" s="4" t="s">
        <v>45</v>
      </c>
    </row>
    <row r="192" spans="1:42" x14ac:dyDescent="0.2">
      <c r="A192" s="2">
        <v>1891456</v>
      </c>
      <c r="B192" s="3">
        <v>45882</v>
      </c>
      <c r="C192" s="4" t="s">
        <v>370</v>
      </c>
      <c r="D192" s="2">
        <v>1773696</v>
      </c>
      <c r="E192" s="4" t="s">
        <v>508</v>
      </c>
      <c r="F192" s="4" t="s">
        <v>509</v>
      </c>
      <c r="G192" s="4" t="s">
        <v>45</v>
      </c>
      <c r="H192" s="4" t="s">
        <v>45</v>
      </c>
      <c r="I192" s="4" t="s">
        <v>45</v>
      </c>
      <c r="J192" s="4" t="s">
        <v>476</v>
      </c>
      <c r="K192" s="4" t="s">
        <v>477</v>
      </c>
      <c r="L192" s="3">
        <v>45870</v>
      </c>
      <c r="M192" s="4" t="s">
        <v>48</v>
      </c>
      <c r="N192" s="4" t="s">
        <v>45</v>
      </c>
      <c r="O192" s="4" t="s">
        <v>49</v>
      </c>
      <c r="P192" s="4" t="s">
        <v>49</v>
      </c>
      <c r="Q192" s="2">
        <v>28</v>
      </c>
      <c r="R192" s="2">
        <v>3</v>
      </c>
      <c r="S192" s="4" t="s">
        <v>478</v>
      </c>
      <c r="T192" s="4" t="s">
        <v>45</v>
      </c>
      <c r="U192" s="4" t="s">
        <v>45</v>
      </c>
      <c r="V192" s="5">
        <v>10</v>
      </c>
      <c r="W192" s="5">
        <v>922.04</v>
      </c>
      <c r="X192" s="5">
        <v>100</v>
      </c>
      <c r="Y192" s="5">
        <v>92.2</v>
      </c>
      <c r="Z192" s="4" t="s">
        <v>45</v>
      </c>
      <c r="AA192" s="5" t="s">
        <v>45</v>
      </c>
      <c r="AB192" s="4" t="s">
        <v>52</v>
      </c>
      <c r="AC192" s="4" t="s">
        <v>45</v>
      </c>
      <c r="AD192" s="5">
        <v>0</v>
      </c>
      <c r="AE192" s="4" t="s">
        <v>53</v>
      </c>
      <c r="AF192" s="3">
        <v>45474</v>
      </c>
      <c r="AG192" s="4" t="s">
        <v>45</v>
      </c>
      <c r="AH192" s="4" t="s">
        <v>45</v>
      </c>
      <c r="AI192" s="4" t="s">
        <v>45</v>
      </c>
      <c r="AJ192" s="4" t="s">
        <v>45</v>
      </c>
      <c r="AK192" s="4" t="s">
        <v>45</v>
      </c>
      <c r="AL192" s="4" t="s">
        <v>45</v>
      </c>
      <c r="AM192" s="4" t="s">
        <v>45</v>
      </c>
      <c r="AN192" s="4" t="s">
        <v>45</v>
      </c>
      <c r="AO192" s="4" t="s">
        <v>45</v>
      </c>
      <c r="AP192" s="4" t="s">
        <v>45</v>
      </c>
    </row>
    <row r="193" spans="1:42" x14ac:dyDescent="0.2">
      <c r="A193" s="2">
        <v>1891456</v>
      </c>
      <c r="B193" s="3">
        <v>45882</v>
      </c>
      <c r="C193" s="4" t="s">
        <v>370</v>
      </c>
      <c r="D193" s="2">
        <v>1773696</v>
      </c>
      <c r="E193" s="4" t="s">
        <v>508</v>
      </c>
      <c r="F193" s="4" t="s">
        <v>509</v>
      </c>
      <c r="G193" s="4" t="s">
        <v>45</v>
      </c>
      <c r="H193" s="4" t="s">
        <v>45</v>
      </c>
      <c r="I193" s="4" t="s">
        <v>45</v>
      </c>
      <c r="J193" s="4" t="s">
        <v>476</v>
      </c>
      <c r="K193" s="4" t="s">
        <v>477</v>
      </c>
      <c r="L193" s="3">
        <v>45809</v>
      </c>
      <c r="M193" s="4" t="s">
        <v>511</v>
      </c>
      <c r="N193" s="4" t="s">
        <v>45</v>
      </c>
      <c r="O193" s="4" t="s">
        <v>70</v>
      </c>
      <c r="P193" s="4" t="s">
        <v>49</v>
      </c>
      <c r="Q193" s="2">
        <v>48</v>
      </c>
      <c r="R193" s="2">
        <v>5</v>
      </c>
      <c r="S193" s="4" t="s">
        <v>512</v>
      </c>
      <c r="T193" s="4" t="s">
        <v>45</v>
      </c>
      <c r="U193" s="4" t="s">
        <v>45</v>
      </c>
      <c r="V193" s="5">
        <v>10</v>
      </c>
      <c r="W193" s="5">
        <v>2.69</v>
      </c>
      <c r="X193" s="5">
        <v>100</v>
      </c>
      <c r="Y193" s="5">
        <v>0.27</v>
      </c>
      <c r="Z193" s="4" t="s">
        <v>45</v>
      </c>
      <c r="AA193" s="5" t="s">
        <v>45</v>
      </c>
      <c r="AB193" s="4" t="s">
        <v>71</v>
      </c>
      <c r="AC193" s="4" t="s">
        <v>45</v>
      </c>
      <c r="AD193" s="5">
        <v>0</v>
      </c>
      <c r="AE193" s="4" t="s">
        <v>72</v>
      </c>
      <c r="AF193" s="3">
        <v>45474</v>
      </c>
      <c r="AG193" s="4" t="s">
        <v>45</v>
      </c>
      <c r="AH193" s="4" t="s">
        <v>45</v>
      </c>
      <c r="AI193" s="4" t="s">
        <v>45</v>
      </c>
      <c r="AJ193" s="4" t="s">
        <v>45</v>
      </c>
      <c r="AK193" s="4" t="s">
        <v>45</v>
      </c>
      <c r="AL193" s="4" t="s">
        <v>45</v>
      </c>
      <c r="AM193" s="4" t="s">
        <v>45</v>
      </c>
      <c r="AN193" s="4" t="s">
        <v>45</v>
      </c>
      <c r="AO193" s="4" t="s">
        <v>45</v>
      </c>
      <c r="AP193" s="4" t="s">
        <v>45</v>
      </c>
    </row>
    <row r="194" spans="1:42" x14ac:dyDescent="0.2">
      <c r="A194" s="2">
        <v>1891456</v>
      </c>
      <c r="B194" s="3">
        <v>45882</v>
      </c>
      <c r="C194" s="4" t="s">
        <v>370</v>
      </c>
      <c r="D194" s="2">
        <v>1773696</v>
      </c>
      <c r="E194" s="4" t="s">
        <v>508</v>
      </c>
      <c r="F194" s="4" t="s">
        <v>509</v>
      </c>
      <c r="G194" s="4" t="s">
        <v>45</v>
      </c>
      <c r="H194" s="4" t="s">
        <v>45</v>
      </c>
      <c r="I194" s="4" t="s">
        <v>45</v>
      </c>
      <c r="J194" s="4" t="s">
        <v>476</v>
      </c>
      <c r="K194" s="4" t="s">
        <v>477</v>
      </c>
      <c r="L194" s="3">
        <v>45839</v>
      </c>
      <c r="M194" s="4" t="s">
        <v>510</v>
      </c>
      <c r="N194" s="4" t="s">
        <v>45</v>
      </c>
      <c r="O194" s="4" t="s">
        <v>49</v>
      </c>
      <c r="P194" s="4" t="s">
        <v>49</v>
      </c>
      <c r="Q194" s="2">
        <v>48</v>
      </c>
      <c r="R194" s="2">
        <v>5</v>
      </c>
      <c r="S194" s="4" t="s">
        <v>512</v>
      </c>
      <c r="T194" s="4" t="s">
        <v>45</v>
      </c>
      <c r="U194" s="4" t="s">
        <v>45</v>
      </c>
      <c r="V194" s="5">
        <v>10</v>
      </c>
      <c r="W194" s="5">
        <v>7.95</v>
      </c>
      <c r="X194" s="5">
        <v>100</v>
      </c>
      <c r="Y194" s="5">
        <v>0.8</v>
      </c>
      <c r="Z194" s="4" t="s">
        <v>45</v>
      </c>
      <c r="AA194" s="5" t="s">
        <v>45</v>
      </c>
      <c r="AB194" s="4" t="s">
        <v>52</v>
      </c>
      <c r="AC194" s="4" t="s">
        <v>45</v>
      </c>
      <c r="AD194" s="5">
        <v>0</v>
      </c>
      <c r="AE194" s="4" t="s">
        <v>53</v>
      </c>
      <c r="AF194" s="3">
        <v>45474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  <c r="AN194" s="4" t="s">
        <v>45</v>
      </c>
      <c r="AO194" s="4" t="s">
        <v>45</v>
      </c>
      <c r="AP194" s="4" t="s">
        <v>45</v>
      </c>
    </row>
    <row r="195" spans="1:42" x14ac:dyDescent="0.2">
      <c r="A195" s="2">
        <v>1891456</v>
      </c>
      <c r="B195" s="3">
        <v>45882</v>
      </c>
      <c r="C195" s="4" t="s">
        <v>370</v>
      </c>
      <c r="D195" s="2">
        <v>1773696</v>
      </c>
      <c r="E195" s="4" t="s">
        <v>508</v>
      </c>
      <c r="F195" s="4" t="s">
        <v>509</v>
      </c>
      <c r="G195" s="4" t="s">
        <v>45</v>
      </c>
      <c r="H195" s="4" t="s">
        <v>45</v>
      </c>
      <c r="I195" s="4" t="s">
        <v>45</v>
      </c>
      <c r="J195" s="4" t="s">
        <v>476</v>
      </c>
      <c r="K195" s="4" t="s">
        <v>477</v>
      </c>
      <c r="L195" s="3">
        <v>45870</v>
      </c>
      <c r="M195" s="4" t="s">
        <v>48</v>
      </c>
      <c r="N195" s="4" t="s">
        <v>45</v>
      </c>
      <c r="O195" s="4" t="s">
        <v>49</v>
      </c>
      <c r="P195" s="4" t="s">
        <v>49</v>
      </c>
      <c r="Q195" s="2">
        <v>48</v>
      </c>
      <c r="R195" s="2">
        <v>5</v>
      </c>
      <c r="S195" s="4" t="s">
        <v>512</v>
      </c>
      <c r="T195" s="4" t="s">
        <v>45</v>
      </c>
      <c r="U195" s="4" t="s">
        <v>45</v>
      </c>
      <c r="V195" s="5">
        <v>10</v>
      </c>
      <c r="W195" s="5">
        <v>91.91</v>
      </c>
      <c r="X195" s="5">
        <v>100</v>
      </c>
      <c r="Y195" s="5">
        <v>9.19</v>
      </c>
      <c r="Z195" s="4" t="s">
        <v>45</v>
      </c>
      <c r="AA195" s="5" t="s">
        <v>45</v>
      </c>
      <c r="AB195" s="4" t="s">
        <v>52</v>
      </c>
      <c r="AC195" s="4" t="s">
        <v>45</v>
      </c>
      <c r="AD195" s="5">
        <v>0</v>
      </c>
      <c r="AE195" s="4" t="s">
        <v>53</v>
      </c>
      <c r="AF195" s="3">
        <v>45474</v>
      </c>
      <c r="AG195" s="4" t="s">
        <v>45</v>
      </c>
      <c r="AH195" s="4" t="s">
        <v>45</v>
      </c>
      <c r="AI195" s="4" t="s">
        <v>45</v>
      </c>
      <c r="AJ195" s="4" t="s">
        <v>45</v>
      </c>
      <c r="AK195" s="4" t="s">
        <v>45</v>
      </c>
      <c r="AL195" s="4" t="s">
        <v>45</v>
      </c>
      <c r="AM195" s="4" t="s">
        <v>45</v>
      </c>
      <c r="AN195" s="4" t="s">
        <v>45</v>
      </c>
      <c r="AO195" s="4" t="s">
        <v>45</v>
      </c>
      <c r="AP195" s="4" t="s">
        <v>45</v>
      </c>
    </row>
    <row r="196" spans="1:42" x14ac:dyDescent="0.2">
      <c r="A196" s="2">
        <v>1891456</v>
      </c>
      <c r="B196" s="3">
        <v>45882</v>
      </c>
      <c r="C196" s="4" t="s">
        <v>370</v>
      </c>
      <c r="D196" s="2">
        <v>1773696</v>
      </c>
      <c r="E196" s="4" t="s">
        <v>508</v>
      </c>
      <c r="F196" s="4" t="s">
        <v>509</v>
      </c>
      <c r="G196" s="4" t="s">
        <v>45</v>
      </c>
      <c r="H196" s="4" t="s">
        <v>45</v>
      </c>
      <c r="I196" s="4" t="s">
        <v>45</v>
      </c>
      <c r="J196" s="4" t="s">
        <v>476</v>
      </c>
      <c r="K196" s="4" t="s">
        <v>477</v>
      </c>
      <c r="L196" s="3">
        <v>45809</v>
      </c>
      <c r="M196" s="4" t="s">
        <v>511</v>
      </c>
      <c r="N196" s="4" t="s">
        <v>45</v>
      </c>
      <c r="O196" s="4" t="s">
        <v>70</v>
      </c>
      <c r="P196" s="4" t="s">
        <v>49</v>
      </c>
      <c r="Q196" s="2">
        <v>48</v>
      </c>
      <c r="R196" s="2">
        <v>10</v>
      </c>
      <c r="S196" s="4" t="s">
        <v>513</v>
      </c>
      <c r="T196" s="4" t="s">
        <v>45</v>
      </c>
      <c r="U196" s="4" t="s">
        <v>45</v>
      </c>
      <c r="V196" s="5">
        <v>10</v>
      </c>
      <c r="W196" s="5">
        <v>0.62</v>
      </c>
      <c r="X196" s="5">
        <v>100</v>
      </c>
      <c r="Y196" s="5">
        <v>0.06</v>
      </c>
      <c r="Z196" s="4" t="s">
        <v>45</v>
      </c>
      <c r="AA196" s="5" t="s">
        <v>45</v>
      </c>
      <c r="AB196" s="4" t="s">
        <v>71</v>
      </c>
      <c r="AC196" s="4" t="s">
        <v>45</v>
      </c>
      <c r="AD196" s="5">
        <v>0</v>
      </c>
      <c r="AE196" s="4" t="s">
        <v>72</v>
      </c>
      <c r="AF196" s="3">
        <v>45474</v>
      </c>
      <c r="AG196" s="4" t="s">
        <v>45</v>
      </c>
      <c r="AH196" s="4" t="s">
        <v>45</v>
      </c>
      <c r="AI196" s="4" t="s">
        <v>45</v>
      </c>
      <c r="AJ196" s="4" t="s">
        <v>45</v>
      </c>
      <c r="AK196" s="4" t="s">
        <v>45</v>
      </c>
      <c r="AL196" s="4" t="s">
        <v>45</v>
      </c>
      <c r="AM196" s="4" t="s">
        <v>45</v>
      </c>
      <c r="AN196" s="4" t="s">
        <v>45</v>
      </c>
      <c r="AO196" s="4" t="s">
        <v>45</v>
      </c>
      <c r="AP196" s="4" t="s">
        <v>45</v>
      </c>
    </row>
    <row r="197" spans="1:42" x14ac:dyDescent="0.2">
      <c r="A197" s="2">
        <v>1891456</v>
      </c>
      <c r="B197" s="3">
        <v>45882</v>
      </c>
      <c r="C197" s="4" t="s">
        <v>370</v>
      </c>
      <c r="D197" s="2">
        <v>1773696</v>
      </c>
      <c r="E197" s="4" t="s">
        <v>508</v>
      </c>
      <c r="F197" s="4" t="s">
        <v>509</v>
      </c>
      <c r="G197" s="4" t="s">
        <v>45</v>
      </c>
      <c r="H197" s="4" t="s">
        <v>45</v>
      </c>
      <c r="I197" s="4" t="s">
        <v>45</v>
      </c>
      <c r="J197" s="4" t="s">
        <v>476</v>
      </c>
      <c r="K197" s="4" t="s">
        <v>477</v>
      </c>
      <c r="L197" s="3">
        <v>45839</v>
      </c>
      <c r="M197" s="4" t="s">
        <v>510</v>
      </c>
      <c r="N197" s="4" t="s">
        <v>45</v>
      </c>
      <c r="O197" s="4" t="s">
        <v>49</v>
      </c>
      <c r="P197" s="4" t="s">
        <v>49</v>
      </c>
      <c r="Q197" s="2">
        <v>48</v>
      </c>
      <c r="R197" s="2">
        <v>10</v>
      </c>
      <c r="S197" s="4" t="s">
        <v>513</v>
      </c>
      <c r="T197" s="4" t="s">
        <v>45</v>
      </c>
      <c r="U197" s="4" t="s">
        <v>45</v>
      </c>
      <c r="V197" s="5">
        <v>10</v>
      </c>
      <c r="W197" s="5">
        <v>1.84</v>
      </c>
      <c r="X197" s="5">
        <v>100</v>
      </c>
      <c r="Y197" s="5">
        <v>0.18</v>
      </c>
      <c r="Z197" s="4" t="s">
        <v>45</v>
      </c>
      <c r="AA197" s="5" t="s">
        <v>45</v>
      </c>
      <c r="AB197" s="4" t="s">
        <v>52</v>
      </c>
      <c r="AC197" s="4" t="s">
        <v>45</v>
      </c>
      <c r="AD197" s="5">
        <v>0</v>
      </c>
      <c r="AE197" s="4" t="s">
        <v>53</v>
      </c>
      <c r="AF197" s="3">
        <v>45474</v>
      </c>
      <c r="AG197" s="4" t="s">
        <v>45</v>
      </c>
      <c r="AH197" s="4" t="s">
        <v>45</v>
      </c>
      <c r="AI197" s="4" t="s">
        <v>45</v>
      </c>
      <c r="AJ197" s="4" t="s">
        <v>45</v>
      </c>
      <c r="AK197" s="4" t="s">
        <v>45</v>
      </c>
      <c r="AL197" s="4" t="s">
        <v>45</v>
      </c>
      <c r="AM197" s="4" t="s">
        <v>45</v>
      </c>
      <c r="AN197" s="4" t="s">
        <v>45</v>
      </c>
      <c r="AO197" s="4" t="s">
        <v>45</v>
      </c>
      <c r="AP197" s="4" t="s">
        <v>45</v>
      </c>
    </row>
    <row r="198" spans="1:42" x14ac:dyDescent="0.2">
      <c r="A198" s="2">
        <v>1891456</v>
      </c>
      <c r="B198" s="3">
        <v>45882</v>
      </c>
      <c r="C198" s="4" t="s">
        <v>370</v>
      </c>
      <c r="D198" s="2">
        <v>1773696</v>
      </c>
      <c r="E198" s="4" t="s">
        <v>508</v>
      </c>
      <c r="F198" s="4" t="s">
        <v>509</v>
      </c>
      <c r="G198" s="4" t="s">
        <v>45</v>
      </c>
      <c r="H198" s="4" t="s">
        <v>45</v>
      </c>
      <c r="I198" s="4" t="s">
        <v>45</v>
      </c>
      <c r="J198" s="4" t="s">
        <v>476</v>
      </c>
      <c r="K198" s="4" t="s">
        <v>477</v>
      </c>
      <c r="L198" s="3">
        <v>45870</v>
      </c>
      <c r="M198" s="4" t="s">
        <v>48</v>
      </c>
      <c r="N198" s="4" t="s">
        <v>45</v>
      </c>
      <c r="O198" s="4" t="s">
        <v>49</v>
      </c>
      <c r="P198" s="4" t="s">
        <v>49</v>
      </c>
      <c r="Q198" s="2">
        <v>48</v>
      </c>
      <c r="R198" s="2">
        <v>10</v>
      </c>
      <c r="S198" s="4" t="s">
        <v>513</v>
      </c>
      <c r="T198" s="4" t="s">
        <v>45</v>
      </c>
      <c r="U198" s="4" t="s">
        <v>45</v>
      </c>
      <c r="V198" s="5">
        <v>10</v>
      </c>
      <c r="W198" s="5">
        <v>21.21</v>
      </c>
      <c r="X198" s="5">
        <v>100</v>
      </c>
      <c r="Y198" s="5">
        <v>2.12</v>
      </c>
      <c r="Z198" s="4" t="s">
        <v>45</v>
      </c>
      <c r="AA198" s="5" t="s">
        <v>45</v>
      </c>
      <c r="AB198" s="4" t="s">
        <v>52</v>
      </c>
      <c r="AC198" s="4" t="s">
        <v>45</v>
      </c>
      <c r="AD198" s="5">
        <v>0</v>
      </c>
      <c r="AE198" s="4" t="s">
        <v>53</v>
      </c>
      <c r="AF198" s="3">
        <v>45474</v>
      </c>
      <c r="AG198" s="4" t="s">
        <v>45</v>
      </c>
      <c r="AH198" s="4" t="s">
        <v>45</v>
      </c>
      <c r="AI198" s="4" t="s">
        <v>45</v>
      </c>
      <c r="AJ198" s="4" t="s">
        <v>45</v>
      </c>
      <c r="AK198" s="4" t="s">
        <v>45</v>
      </c>
      <c r="AL198" s="4" t="s">
        <v>45</v>
      </c>
      <c r="AM198" s="4" t="s">
        <v>45</v>
      </c>
      <c r="AN198" s="4" t="s">
        <v>45</v>
      </c>
      <c r="AO198" s="4" t="s">
        <v>45</v>
      </c>
      <c r="AP198" s="4" t="s">
        <v>45</v>
      </c>
    </row>
    <row r="199" spans="1:42" x14ac:dyDescent="0.2">
      <c r="A199" s="2">
        <v>1891456</v>
      </c>
      <c r="B199" s="3">
        <v>45882</v>
      </c>
      <c r="C199" s="4" t="s">
        <v>370</v>
      </c>
      <c r="D199" s="2">
        <v>1773696</v>
      </c>
      <c r="E199" s="4" t="s">
        <v>508</v>
      </c>
      <c r="F199" s="4" t="s">
        <v>509</v>
      </c>
      <c r="G199" s="4" t="s">
        <v>45</v>
      </c>
      <c r="H199" s="4" t="s">
        <v>45</v>
      </c>
      <c r="I199" s="4" t="s">
        <v>45</v>
      </c>
      <c r="J199" s="4" t="s">
        <v>476</v>
      </c>
      <c r="K199" s="4" t="s">
        <v>477</v>
      </c>
      <c r="L199" s="3">
        <v>45809</v>
      </c>
      <c r="M199" s="4" t="s">
        <v>511</v>
      </c>
      <c r="N199" s="4" t="s">
        <v>45</v>
      </c>
      <c r="O199" s="4" t="s">
        <v>70</v>
      </c>
      <c r="P199" s="4" t="s">
        <v>49</v>
      </c>
      <c r="Q199" s="2">
        <v>30</v>
      </c>
      <c r="R199" s="2">
        <v>60</v>
      </c>
      <c r="S199" s="4" t="s">
        <v>470</v>
      </c>
      <c r="T199" s="4" t="s">
        <v>45</v>
      </c>
      <c r="U199" s="4" t="s">
        <v>45</v>
      </c>
      <c r="V199" s="5">
        <v>10</v>
      </c>
      <c r="W199" s="5">
        <v>8.44</v>
      </c>
      <c r="X199" s="5">
        <v>100</v>
      </c>
      <c r="Y199" s="5">
        <v>0.84</v>
      </c>
      <c r="Z199" s="4" t="s">
        <v>45</v>
      </c>
      <c r="AA199" s="5" t="s">
        <v>45</v>
      </c>
      <c r="AB199" s="4" t="s">
        <v>71</v>
      </c>
      <c r="AC199" s="4" t="s">
        <v>45</v>
      </c>
      <c r="AD199" s="5">
        <v>0</v>
      </c>
      <c r="AE199" s="4" t="s">
        <v>72</v>
      </c>
      <c r="AF199" s="3">
        <v>45474</v>
      </c>
      <c r="AG199" s="4" t="s">
        <v>45</v>
      </c>
      <c r="AH199" s="4" t="s">
        <v>45</v>
      </c>
      <c r="AI199" s="4" t="s">
        <v>45</v>
      </c>
      <c r="AJ199" s="4" t="s">
        <v>45</v>
      </c>
      <c r="AK199" s="4" t="s">
        <v>45</v>
      </c>
      <c r="AL199" s="4" t="s">
        <v>45</v>
      </c>
      <c r="AM199" s="4" t="s">
        <v>45</v>
      </c>
      <c r="AN199" s="4" t="s">
        <v>45</v>
      </c>
      <c r="AO199" s="4" t="s">
        <v>45</v>
      </c>
      <c r="AP199" s="4" t="s">
        <v>45</v>
      </c>
    </row>
    <row r="200" spans="1:42" x14ac:dyDescent="0.2">
      <c r="A200" s="2">
        <v>1891456</v>
      </c>
      <c r="B200" s="3">
        <v>45882</v>
      </c>
      <c r="C200" s="4" t="s">
        <v>370</v>
      </c>
      <c r="D200" s="2">
        <v>1773696</v>
      </c>
      <c r="E200" s="4" t="s">
        <v>508</v>
      </c>
      <c r="F200" s="4" t="s">
        <v>509</v>
      </c>
      <c r="G200" s="4" t="s">
        <v>45</v>
      </c>
      <c r="H200" s="4" t="s">
        <v>45</v>
      </c>
      <c r="I200" s="4" t="s">
        <v>45</v>
      </c>
      <c r="J200" s="4" t="s">
        <v>476</v>
      </c>
      <c r="K200" s="4" t="s">
        <v>477</v>
      </c>
      <c r="L200" s="3">
        <v>45870</v>
      </c>
      <c r="M200" s="4" t="s">
        <v>48</v>
      </c>
      <c r="N200" s="4" t="s">
        <v>45</v>
      </c>
      <c r="O200" s="4" t="s">
        <v>49</v>
      </c>
      <c r="P200" s="4" t="s">
        <v>49</v>
      </c>
      <c r="Q200" s="2">
        <v>30</v>
      </c>
      <c r="R200" s="2">
        <v>60</v>
      </c>
      <c r="S200" s="4" t="s">
        <v>470</v>
      </c>
      <c r="T200" s="4" t="s">
        <v>45</v>
      </c>
      <c r="U200" s="4" t="s">
        <v>45</v>
      </c>
      <c r="V200" s="5">
        <v>10</v>
      </c>
      <c r="W200" s="5">
        <v>179.55</v>
      </c>
      <c r="X200" s="5">
        <v>100</v>
      </c>
      <c r="Y200" s="5">
        <v>17.96</v>
      </c>
      <c r="Z200" s="4" t="s">
        <v>45</v>
      </c>
      <c r="AA200" s="5" t="s">
        <v>45</v>
      </c>
      <c r="AB200" s="4" t="s">
        <v>52</v>
      </c>
      <c r="AC200" s="4" t="s">
        <v>45</v>
      </c>
      <c r="AD200" s="5">
        <v>0</v>
      </c>
      <c r="AE200" s="4" t="s">
        <v>53</v>
      </c>
      <c r="AF200" s="3">
        <v>45474</v>
      </c>
      <c r="AG200" s="4" t="s">
        <v>45</v>
      </c>
      <c r="AH200" s="4" t="s">
        <v>45</v>
      </c>
      <c r="AI200" s="4" t="s">
        <v>45</v>
      </c>
      <c r="AJ200" s="4" t="s">
        <v>45</v>
      </c>
      <c r="AK200" s="4" t="s">
        <v>45</v>
      </c>
      <c r="AL200" s="4" t="s">
        <v>45</v>
      </c>
      <c r="AM200" s="4" t="s">
        <v>45</v>
      </c>
      <c r="AN200" s="4" t="s">
        <v>45</v>
      </c>
      <c r="AO200" s="4" t="s">
        <v>45</v>
      </c>
      <c r="AP200" s="4" t="s">
        <v>45</v>
      </c>
    </row>
    <row r="201" spans="1:42" x14ac:dyDescent="0.2">
      <c r="A201" s="2">
        <v>1891456</v>
      </c>
      <c r="B201" s="3">
        <v>45882</v>
      </c>
      <c r="C201" s="4" t="s">
        <v>382</v>
      </c>
      <c r="D201" s="2">
        <v>1775329</v>
      </c>
      <c r="E201" s="4" t="s">
        <v>514</v>
      </c>
      <c r="F201" s="4" t="s">
        <v>515</v>
      </c>
      <c r="G201" s="4" t="s">
        <v>45</v>
      </c>
      <c r="H201" s="4" t="s">
        <v>45</v>
      </c>
      <c r="I201" s="4" t="s">
        <v>45</v>
      </c>
      <c r="J201" s="4" t="s">
        <v>486</v>
      </c>
      <c r="K201" s="4" t="s">
        <v>47</v>
      </c>
      <c r="L201" s="3">
        <v>45870</v>
      </c>
      <c r="M201" s="4" t="s">
        <v>48</v>
      </c>
      <c r="N201" s="4" t="s">
        <v>45</v>
      </c>
      <c r="O201" s="4" t="s">
        <v>70</v>
      </c>
      <c r="P201" s="4" t="s">
        <v>49</v>
      </c>
      <c r="Q201" s="2">
        <v>1</v>
      </c>
      <c r="R201" s="2">
        <v>17</v>
      </c>
      <c r="S201" s="4" t="s">
        <v>50</v>
      </c>
      <c r="T201" s="4" t="s">
        <v>45</v>
      </c>
      <c r="U201" s="4" t="s">
        <v>45</v>
      </c>
      <c r="V201" s="5">
        <v>22</v>
      </c>
      <c r="W201" s="5">
        <v>1622.64</v>
      </c>
      <c r="X201" s="5">
        <v>100</v>
      </c>
      <c r="Y201" s="5">
        <v>357</v>
      </c>
      <c r="Z201" s="5">
        <v>0</v>
      </c>
      <c r="AA201" s="5">
        <v>0</v>
      </c>
      <c r="AB201" s="4" t="s">
        <v>491</v>
      </c>
      <c r="AC201" s="4" t="s">
        <v>45</v>
      </c>
      <c r="AD201" s="5">
        <v>0</v>
      </c>
      <c r="AE201" s="4" t="s">
        <v>492</v>
      </c>
      <c r="AF201" s="3">
        <v>45870</v>
      </c>
      <c r="AG201" s="4" t="s">
        <v>45</v>
      </c>
      <c r="AH201" s="4" t="s">
        <v>45</v>
      </c>
      <c r="AI201" s="4" t="s">
        <v>45</v>
      </c>
      <c r="AJ201" s="4" t="s">
        <v>45</v>
      </c>
      <c r="AK201" s="4" t="s">
        <v>45</v>
      </c>
      <c r="AL201" s="4" t="s">
        <v>45</v>
      </c>
      <c r="AM201" s="4" t="s">
        <v>45</v>
      </c>
      <c r="AN201" s="4" t="s">
        <v>45</v>
      </c>
      <c r="AO201" s="4" t="s">
        <v>45</v>
      </c>
      <c r="AP201" s="4" t="s">
        <v>45</v>
      </c>
    </row>
    <row r="202" spans="1:42" x14ac:dyDescent="0.2">
      <c r="A202" s="2">
        <v>1891456</v>
      </c>
      <c r="B202" s="3">
        <v>45882</v>
      </c>
      <c r="C202" s="4" t="s">
        <v>430</v>
      </c>
      <c r="D202" s="2">
        <v>1831491</v>
      </c>
      <c r="E202" s="4" t="s">
        <v>516</v>
      </c>
      <c r="F202" s="4" t="s">
        <v>517</v>
      </c>
      <c r="G202" s="4" t="s">
        <v>45</v>
      </c>
      <c r="H202" s="4" t="s">
        <v>45</v>
      </c>
      <c r="I202" s="4" t="s">
        <v>45</v>
      </c>
      <c r="J202" s="4" t="s">
        <v>486</v>
      </c>
      <c r="K202" s="4" t="s">
        <v>47</v>
      </c>
      <c r="L202" s="3">
        <v>45870</v>
      </c>
      <c r="M202" s="4" t="s">
        <v>48</v>
      </c>
      <c r="N202" s="4" t="s">
        <v>45</v>
      </c>
      <c r="O202" s="4" t="s">
        <v>70</v>
      </c>
      <c r="P202" s="4" t="s">
        <v>49</v>
      </c>
      <c r="Q202" s="2">
        <v>1</v>
      </c>
      <c r="R202" s="2">
        <v>17</v>
      </c>
      <c r="S202" s="4" t="s">
        <v>50</v>
      </c>
      <c r="T202" s="4" t="s">
        <v>45</v>
      </c>
      <c r="U202" s="4" t="s">
        <v>45</v>
      </c>
      <c r="V202" s="5">
        <v>22</v>
      </c>
      <c r="W202" s="5">
        <v>1863.24</v>
      </c>
      <c r="X202" s="5">
        <v>100</v>
      </c>
      <c r="Y202" s="5">
        <v>409.92</v>
      </c>
      <c r="Z202" s="5">
        <v>0</v>
      </c>
      <c r="AA202" s="5">
        <v>0</v>
      </c>
      <c r="AB202" s="4" t="s">
        <v>491</v>
      </c>
      <c r="AC202" s="4" t="s">
        <v>45</v>
      </c>
      <c r="AD202" s="5">
        <v>0</v>
      </c>
      <c r="AE202" s="4" t="s">
        <v>492</v>
      </c>
      <c r="AF202" s="3">
        <v>45870</v>
      </c>
      <c r="AG202" s="4" t="s">
        <v>45</v>
      </c>
      <c r="AH202" s="4" t="s">
        <v>45</v>
      </c>
      <c r="AI202" s="4" t="s">
        <v>45</v>
      </c>
      <c r="AJ202" s="4" t="s">
        <v>45</v>
      </c>
      <c r="AK202" s="4" t="s">
        <v>45</v>
      </c>
      <c r="AL202" s="4" t="s">
        <v>45</v>
      </c>
      <c r="AM202" s="4" t="s">
        <v>45</v>
      </c>
      <c r="AN202" s="4" t="s">
        <v>45</v>
      </c>
      <c r="AO202" s="4" t="s">
        <v>45</v>
      </c>
      <c r="AP202" s="4" t="s">
        <v>45</v>
      </c>
    </row>
    <row r="203" spans="1:42" x14ac:dyDescent="0.2">
      <c r="A203" s="2">
        <v>1891456</v>
      </c>
      <c r="B203" s="3">
        <v>45882</v>
      </c>
      <c r="C203" s="4" t="s">
        <v>430</v>
      </c>
      <c r="D203" s="2">
        <v>1831491</v>
      </c>
      <c r="E203" s="4" t="s">
        <v>518</v>
      </c>
      <c r="F203" s="4" t="s">
        <v>519</v>
      </c>
      <c r="G203" s="4" t="s">
        <v>45</v>
      </c>
      <c r="H203" s="4" t="s">
        <v>45</v>
      </c>
      <c r="I203" s="4" t="s">
        <v>45</v>
      </c>
      <c r="J203" s="4" t="s">
        <v>468</v>
      </c>
      <c r="K203" s="4" t="s">
        <v>469</v>
      </c>
      <c r="L203" s="3">
        <v>45962</v>
      </c>
      <c r="M203" s="4" t="s">
        <v>252</v>
      </c>
      <c r="N203" s="4" t="s">
        <v>45</v>
      </c>
      <c r="O203" s="4" t="s">
        <v>70</v>
      </c>
      <c r="P203" s="4" t="s">
        <v>49</v>
      </c>
      <c r="Q203" s="2">
        <v>2</v>
      </c>
      <c r="R203" s="2">
        <v>60</v>
      </c>
      <c r="S203" s="4" t="s">
        <v>470</v>
      </c>
      <c r="T203" s="4" t="s">
        <v>45</v>
      </c>
      <c r="U203" s="4" t="s">
        <v>45</v>
      </c>
      <c r="V203" s="5">
        <v>10</v>
      </c>
      <c r="W203" s="5">
        <v>26.88</v>
      </c>
      <c r="X203" s="5">
        <v>100</v>
      </c>
      <c r="Y203" s="5">
        <v>37.69</v>
      </c>
      <c r="Z203" s="4" t="s">
        <v>45</v>
      </c>
      <c r="AA203" s="5" t="s">
        <v>45</v>
      </c>
      <c r="AB203" s="4" t="s">
        <v>499</v>
      </c>
      <c r="AC203" s="4" t="s">
        <v>45</v>
      </c>
      <c r="AD203" s="5">
        <v>0</v>
      </c>
      <c r="AE203" s="4" t="s">
        <v>500</v>
      </c>
      <c r="AF203" s="3">
        <v>45962</v>
      </c>
      <c r="AG203" s="4" t="s">
        <v>45</v>
      </c>
      <c r="AH203" s="4" t="s">
        <v>45</v>
      </c>
      <c r="AI203" s="4" t="s">
        <v>45</v>
      </c>
      <c r="AJ203" s="4" t="s">
        <v>45</v>
      </c>
      <c r="AK203" s="4" t="s">
        <v>45</v>
      </c>
      <c r="AL203" s="4" t="s">
        <v>45</v>
      </c>
      <c r="AM203" s="4" t="s">
        <v>45</v>
      </c>
      <c r="AN203" s="4" t="s">
        <v>45</v>
      </c>
      <c r="AO203" s="4" t="s">
        <v>45</v>
      </c>
      <c r="AP203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FA27-1F35-4495-99EA-6576C91CBD91}">
  <dimension ref="A1:V203"/>
  <sheetViews>
    <sheetView tabSelected="1" topLeftCell="A184" workbookViewId="0">
      <selection activeCell="O2" sqref="O2:O202"/>
    </sheetView>
  </sheetViews>
  <sheetFormatPr defaultRowHeight="12.75" x14ac:dyDescent="0.2"/>
  <cols>
    <col min="1" max="1" width="24.7109375" style="7" bestFit="1" customWidth="1"/>
    <col min="2" max="2" width="14.28515625" style="7" customWidth="1"/>
    <col min="3" max="3" width="28.5703125" style="7" bestFit="1" customWidth="1"/>
    <col min="4" max="4" width="13.28515625" style="7" bestFit="1" customWidth="1"/>
    <col min="5" max="6" width="11.42578125" style="7" bestFit="1" customWidth="1"/>
    <col min="7" max="7" width="13.28515625" style="7" customWidth="1"/>
    <col min="8" max="8" width="8.7109375" style="7" customWidth="1"/>
    <col min="9" max="9" width="7.7109375" style="7" customWidth="1"/>
    <col min="10" max="10" width="9.5703125" style="7" bestFit="1" customWidth="1"/>
    <col min="11" max="11" width="11.5703125" style="7" customWidth="1"/>
    <col min="12" max="12" width="11.42578125" style="7" bestFit="1" customWidth="1"/>
    <col min="13" max="13" width="13.7109375" style="7" bestFit="1" customWidth="1"/>
    <col min="14" max="14" width="24.42578125" style="7" bestFit="1" customWidth="1"/>
    <col min="15" max="15" width="21.5703125" style="7" bestFit="1" customWidth="1"/>
    <col min="16" max="16" width="9.140625" style="7"/>
    <col min="17" max="17" width="13.42578125" style="7" bestFit="1" customWidth="1"/>
    <col min="18" max="19" width="9.140625" style="7"/>
    <col min="20" max="20" width="31.42578125" style="7" bestFit="1" customWidth="1"/>
    <col min="21" max="21" width="13.7109375" style="7" bestFit="1" customWidth="1"/>
    <col min="22" max="22" width="22" style="7" bestFit="1" customWidth="1"/>
    <col min="23" max="16384" width="9.140625" style="7"/>
  </cols>
  <sheetData>
    <row r="1" spans="1:22" x14ac:dyDescent="0.2">
      <c r="A1" s="6" t="s">
        <v>2</v>
      </c>
      <c r="B1" s="6" t="s">
        <v>3</v>
      </c>
      <c r="C1" s="6" t="s">
        <v>4</v>
      </c>
      <c r="D1" s="6" t="s">
        <v>5</v>
      </c>
      <c r="E1" s="6" t="s">
        <v>11</v>
      </c>
      <c r="F1" s="6" t="s">
        <v>12</v>
      </c>
      <c r="G1" s="6" t="s">
        <v>18</v>
      </c>
      <c r="H1" s="6" t="s">
        <v>19</v>
      </c>
      <c r="I1" s="6" t="s">
        <v>21</v>
      </c>
      <c r="J1" s="6" t="s">
        <v>22</v>
      </c>
      <c r="K1" s="6" t="s">
        <v>24</v>
      </c>
      <c r="L1" s="6" t="s">
        <v>27</v>
      </c>
      <c r="M1" s="6" t="s">
        <v>31</v>
      </c>
    </row>
    <row r="2" spans="1:22" x14ac:dyDescent="0.2">
      <c r="A2" s="8" t="s">
        <v>385</v>
      </c>
      <c r="B2" s="9">
        <v>19396223</v>
      </c>
      <c r="C2" s="8" t="s">
        <v>386</v>
      </c>
      <c r="D2" s="8" t="s">
        <v>387</v>
      </c>
      <c r="E2" s="11">
        <v>45870</v>
      </c>
      <c r="F2" s="8" t="s">
        <v>48</v>
      </c>
      <c r="G2" s="8" t="s">
        <v>50</v>
      </c>
      <c r="H2" s="8" t="s">
        <v>62</v>
      </c>
      <c r="I2" s="12">
        <v>1</v>
      </c>
      <c r="J2" s="12">
        <v>1</v>
      </c>
      <c r="K2" s="12">
        <v>32.5</v>
      </c>
      <c r="L2" s="8" t="s">
        <v>52</v>
      </c>
      <c r="M2" s="11">
        <v>45597</v>
      </c>
      <c r="N2" s="7" t="s">
        <v>524</v>
      </c>
      <c r="O2" s="7" t="s">
        <v>532</v>
      </c>
      <c r="Q2" s="8" t="s">
        <v>387</v>
      </c>
      <c r="R2" s="7" t="str">
        <f>CONCATENATE(Q2,6)</f>
        <v>00011519472K6</v>
      </c>
      <c r="T2" s="8" t="s">
        <v>537</v>
      </c>
      <c r="U2" s="7" t="s">
        <v>538</v>
      </c>
      <c r="V2" s="7" t="str">
        <f>CONCATENATE(U2, " ", T2)</f>
        <v>KHAIRUNNISA MOHIUDDIN</v>
      </c>
    </row>
    <row r="3" spans="1:22" x14ac:dyDescent="0.2">
      <c r="A3" s="8" t="s">
        <v>277</v>
      </c>
      <c r="B3" s="9">
        <v>16212649</v>
      </c>
      <c r="C3" s="8" t="s">
        <v>278</v>
      </c>
      <c r="D3" s="8" t="s">
        <v>279</v>
      </c>
      <c r="E3" s="11">
        <v>45870</v>
      </c>
      <c r="F3" s="8" t="s">
        <v>48</v>
      </c>
      <c r="G3" s="8" t="s">
        <v>50</v>
      </c>
      <c r="H3" s="8" t="s">
        <v>62</v>
      </c>
      <c r="I3" s="12">
        <v>1</v>
      </c>
      <c r="J3" s="12">
        <v>1</v>
      </c>
      <c r="K3" s="12">
        <v>32.5</v>
      </c>
      <c r="L3" s="8" t="s">
        <v>52</v>
      </c>
      <c r="M3" s="11">
        <v>45474</v>
      </c>
      <c r="N3" s="7" t="s">
        <v>524</v>
      </c>
      <c r="O3" s="7" t="s">
        <v>532</v>
      </c>
      <c r="Q3" s="8" t="s">
        <v>279</v>
      </c>
      <c r="R3" s="7" t="str">
        <f>CONCATENATE(Q3,6)</f>
        <v>00021783471K6</v>
      </c>
      <c r="T3" s="8" t="s">
        <v>534</v>
      </c>
      <c r="U3" s="7" t="s">
        <v>535</v>
      </c>
      <c r="V3" s="7" t="str">
        <f>CONCATENATE(U3, " ", T3)</f>
        <v>MARYCLARE BENTLEY</v>
      </c>
    </row>
    <row r="4" spans="1:22" x14ac:dyDescent="0.2">
      <c r="A4" s="8" t="s">
        <v>277</v>
      </c>
      <c r="B4" s="9">
        <v>16212649</v>
      </c>
      <c r="C4" s="8" t="s">
        <v>280</v>
      </c>
      <c r="D4" s="8" t="s">
        <v>281</v>
      </c>
      <c r="E4" s="11">
        <v>45870</v>
      </c>
      <c r="F4" s="8" t="s">
        <v>48</v>
      </c>
      <c r="G4" s="8" t="s">
        <v>50</v>
      </c>
      <c r="H4" s="8" t="s">
        <v>62</v>
      </c>
      <c r="I4" s="12">
        <v>1</v>
      </c>
      <c r="J4" s="12">
        <v>1</v>
      </c>
      <c r="K4" s="12">
        <v>32.5</v>
      </c>
      <c r="L4" s="8" t="s">
        <v>52</v>
      </c>
      <c r="M4" s="11">
        <v>45444</v>
      </c>
      <c r="N4" s="7" t="s">
        <v>524</v>
      </c>
      <c r="O4" s="7" t="s">
        <v>532</v>
      </c>
      <c r="Q4" s="8" t="s">
        <v>281</v>
      </c>
      <c r="R4" s="7" t="str">
        <f>CONCATENATE(Q4,6)</f>
        <v>00021784141K6</v>
      </c>
      <c r="T4" s="8" t="s">
        <v>534</v>
      </c>
      <c r="U4" s="7" t="s">
        <v>536</v>
      </c>
      <c r="V4" s="7" t="str">
        <f>CONCATENATE(U4, " ", T4)</f>
        <v>ROBERT BENTLEY</v>
      </c>
    </row>
    <row r="5" spans="1:22" x14ac:dyDescent="0.2">
      <c r="A5" s="8" t="s">
        <v>456</v>
      </c>
      <c r="B5" s="9">
        <v>8971826</v>
      </c>
      <c r="C5" s="8" t="s">
        <v>457</v>
      </c>
      <c r="D5" s="8" t="s">
        <v>458</v>
      </c>
      <c r="E5" s="11">
        <v>45870</v>
      </c>
      <c r="F5" s="8" t="s">
        <v>48</v>
      </c>
      <c r="G5" s="8" t="s">
        <v>50</v>
      </c>
      <c r="H5" s="8" t="s">
        <v>51</v>
      </c>
      <c r="I5" s="12">
        <v>1</v>
      </c>
      <c r="J5" s="12">
        <v>1</v>
      </c>
      <c r="K5" s="12">
        <v>29.41</v>
      </c>
      <c r="L5" s="8" t="s">
        <v>52</v>
      </c>
      <c r="M5" s="11">
        <v>45292</v>
      </c>
      <c r="N5" s="7" t="s">
        <v>522</v>
      </c>
      <c r="O5" s="7" t="s">
        <v>531</v>
      </c>
      <c r="Q5" s="8" t="s">
        <v>458</v>
      </c>
      <c r="R5" s="7" t="str">
        <f>CONCATENATE(Q5,6)</f>
        <v>00021023598K6</v>
      </c>
      <c r="T5" s="8" t="s">
        <v>553</v>
      </c>
      <c r="U5" s="7" t="s">
        <v>554</v>
      </c>
      <c r="V5" s="7" t="str">
        <f>CONCATENATE(U5, " ", T5)</f>
        <v>JAMES MCBRIDE</v>
      </c>
    </row>
    <row r="6" spans="1:22" x14ac:dyDescent="0.2">
      <c r="A6" s="8" t="s">
        <v>314</v>
      </c>
      <c r="B6" s="9">
        <v>17425766</v>
      </c>
      <c r="C6" s="8" t="s">
        <v>315</v>
      </c>
      <c r="D6" s="8" t="s">
        <v>316</v>
      </c>
      <c r="E6" s="11">
        <v>45870</v>
      </c>
      <c r="F6" s="8" t="s">
        <v>48</v>
      </c>
      <c r="G6" s="8" t="s">
        <v>50</v>
      </c>
      <c r="H6" s="8" t="s">
        <v>62</v>
      </c>
      <c r="I6" s="12">
        <v>1</v>
      </c>
      <c r="J6" s="12">
        <v>1</v>
      </c>
      <c r="K6" s="12">
        <v>29.41</v>
      </c>
      <c r="L6" s="8" t="s">
        <v>52</v>
      </c>
      <c r="M6" s="11">
        <v>45597</v>
      </c>
      <c r="N6" s="7" t="s">
        <v>522</v>
      </c>
      <c r="O6" s="7" t="s">
        <v>531</v>
      </c>
      <c r="Q6" s="8" t="s">
        <v>316</v>
      </c>
      <c r="R6" s="7" t="str">
        <f>CONCATENATE(Q6,6)</f>
        <v>00022112017K6</v>
      </c>
      <c r="T6" s="8" t="s">
        <v>561</v>
      </c>
      <c r="U6" s="7" t="s">
        <v>562</v>
      </c>
      <c r="V6" s="7" t="str">
        <f>CONCATENATE(U6, " ", T6)</f>
        <v>RICKY ORLANDO</v>
      </c>
    </row>
    <row r="7" spans="1:22" x14ac:dyDescent="0.2">
      <c r="A7" s="8" t="s">
        <v>208</v>
      </c>
      <c r="B7" s="9">
        <v>15278437</v>
      </c>
      <c r="C7" s="8" t="s">
        <v>211</v>
      </c>
      <c r="D7" s="8" t="s">
        <v>212</v>
      </c>
      <c r="E7" s="11">
        <v>45870</v>
      </c>
      <c r="F7" s="8" t="s">
        <v>48</v>
      </c>
      <c r="G7" s="8" t="s">
        <v>50</v>
      </c>
      <c r="H7" s="8" t="s">
        <v>51</v>
      </c>
      <c r="I7" s="12">
        <v>1</v>
      </c>
      <c r="J7" s="12">
        <v>1</v>
      </c>
      <c r="K7" s="12">
        <v>29.41</v>
      </c>
      <c r="L7" s="8" t="s">
        <v>52</v>
      </c>
      <c r="M7" s="11">
        <v>45139</v>
      </c>
      <c r="N7" s="7" t="s">
        <v>522</v>
      </c>
      <c r="O7" s="7" t="s">
        <v>531</v>
      </c>
      <c r="Q7" s="8" t="s">
        <v>212</v>
      </c>
      <c r="R7" s="7" t="str">
        <f>CONCATENATE(Q7,6)</f>
        <v>00020570339K6</v>
      </c>
      <c r="T7" s="8" t="s">
        <v>547</v>
      </c>
      <c r="U7" s="7" t="s">
        <v>548</v>
      </c>
      <c r="V7" s="7" t="str">
        <f>CONCATENATE(U7, " ", T7)</f>
        <v>CLAIRE HAUGH</v>
      </c>
    </row>
    <row r="8" spans="1:22" x14ac:dyDescent="0.2">
      <c r="A8" s="8" t="s">
        <v>208</v>
      </c>
      <c r="B8" s="9">
        <v>15278437</v>
      </c>
      <c r="C8" s="8" t="s">
        <v>216</v>
      </c>
      <c r="D8" s="8" t="s">
        <v>217</v>
      </c>
      <c r="E8" s="11">
        <v>45870</v>
      </c>
      <c r="F8" s="8" t="s">
        <v>48</v>
      </c>
      <c r="G8" s="8" t="s">
        <v>50</v>
      </c>
      <c r="H8" s="8" t="s">
        <v>62</v>
      </c>
      <c r="I8" s="12">
        <v>1</v>
      </c>
      <c r="J8" s="12">
        <v>1</v>
      </c>
      <c r="K8" s="12">
        <v>29.41</v>
      </c>
      <c r="L8" s="8" t="s">
        <v>52</v>
      </c>
      <c r="M8" s="11">
        <v>45383</v>
      </c>
      <c r="N8" s="7" t="s">
        <v>522</v>
      </c>
      <c r="O8" s="7" t="s">
        <v>531</v>
      </c>
      <c r="Q8" s="8" t="s">
        <v>217</v>
      </c>
      <c r="R8" s="7" t="str">
        <f>CONCATENATE(Q8,6)</f>
        <v>00021622015K6</v>
      </c>
      <c r="T8" s="8" t="s">
        <v>555</v>
      </c>
      <c r="U8" s="7" t="s">
        <v>556</v>
      </c>
      <c r="V8" s="7" t="str">
        <f>CONCATENATE(U8, " ", T8)</f>
        <v>MICHAEL MCKENNA</v>
      </c>
    </row>
    <row r="9" spans="1:22" x14ac:dyDescent="0.2">
      <c r="A9" s="8" t="s">
        <v>208</v>
      </c>
      <c r="B9" s="9">
        <v>15278437</v>
      </c>
      <c r="C9" s="8" t="s">
        <v>214</v>
      </c>
      <c r="D9" s="8" t="s">
        <v>215</v>
      </c>
      <c r="E9" s="11">
        <v>45870</v>
      </c>
      <c r="F9" s="8" t="s">
        <v>48</v>
      </c>
      <c r="G9" s="8" t="s">
        <v>50</v>
      </c>
      <c r="H9" s="8" t="s">
        <v>51</v>
      </c>
      <c r="I9" s="12">
        <v>1</v>
      </c>
      <c r="J9" s="12">
        <v>1</v>
      </c>
      <c r="K9" s="12">
        <v>29.41</v>
      </c>
      <c r="L9" s="8" t="s">
        <v>52</v>
      </c>
      <c r="M9" s="11">
        <v>45292</v>
      </c>
      <c r="N9" s="7" t="s">
        <v>522</v>
      </c>
      <c r="O9" s="7" t="s">
        <v>531</v>
      </c>
      <c r="Q9" s="8" t="s">
        <v>215</v>
      </c>
      <c r="R9" s="7" t="str">
        <f>CONCATENATE(Q9,6)</f>
        <v>00021167294K6</v>
      </c>
      <c r="T9" s="8" t="s">
        <v>567</v>
      </c>
      <c r="U9" s="7" t="s">
        <v>541</v>
      </c>
      <c r="V9" s="7" t="str">
        <f>CONCATENATE(U9, " ", T9)</f>
        <v>THOMAS TAYLOR</v>
      </c>
    </row>
    <row r="10" spans="1:22" x14ac:dyDescent="0.2">
      <c r="A10" s="8" t="s">
        <v>320</v>
      </c>
      <c r="B10" s="9">
        <v>17528908</v>
      </c>
      <c r="C10" s="8" t="s">
        <v>337</v>
      </c>
      <c r="D10" s="8" t="s">
        <v>338</v>
      </c>
      <c r="E10" s="11">
        <v>45870</v>
      </c>
      <c r="F10" s="8" t="s">
        <v>48</v>
      </c>
      <c r="G10" s="8" t="s">
        <v>50</v>
      </c>
      <c r="H10" s="8" t="s">
        <v>62</v>
      </c>
      <c r="I10" s="12">
        <v>1</v>
      </c>
      <c r="J10" s="12">
        <v>1</v>
      </c>
      <c r="K10" s="12">
        <v>29.41</v>
      </c>
      <c r="L10" s="8" t="s">
        <v>52</v>
      </c>
      <c r="M10" s="11">
        <v>45566</v>
      </c>
      <c r="N10" s="7" t="s">
        <v>522</v>
      </c>
      <c r="O10" s="7" t="s">
        <v>531</v>
      </c>
      <c r="Q10" s="8" t="s">
        <v>338</v>
      </c>
      <c r="R10" s="7" t="str">
        <f>CONCATENATE(Q10,6)</f>
        <v>00021969632K6</v>
      </c>
      <c r="T10" s="8" t="s">
        <v>539</v>
      </c>
      <c r="U10" s="7" t="s">
        <v>540</v>
      </c>
      <c r="V10" s="7" t="str">
        <f>CONCATENATE(U10, " ", T10)</f>
        <v>MARGARET BASHLINE</v>
      </c>
    </row>
    <row r="11" spans="1:22" x14ac:dyDescent="0.2">
      <c r="A11" s="8" t="s">
        <v>320</v>
      </c>
      <c r="B11" s="9">
        <v>17528908</v>
      </c>
      <c r="C11" s="8" t="s">
        <v>333</v>
      </c>
      <c r="D11" s="8" t="s">
        <v>334</v>
      </c>
      <c r="E11" s="11">
        <v>45870</v>
      </c>
      <c r="F11" s="8" t="s">
        <v>48</v>
      </c>
      <c r="G11" s="8" t="s">
        <v>50</v>
      </c>
      <c r="H11" s="8" t="s">
        <v>62</v>
      </c>
      <c r="I11" s="12">
        <v>1</v>
      </c>
      <c r="J11" s="12">
        <v>1</v>
      </c>
      <c r="K11" s="12">
        <v>29.41</v>
      </c>
      <c r="L11" s="8" t="s">
        <v>52</v>
      </c>
      <c r="M11" s="11">
        <v>45292</v>
      </c>
      <c r="N11" s="7" t="s">
        <v>522</v>
      </c>
      <c r="O11" s="7" t="s">
        <v>531</v>
      </c>
      <c r="Q11" s="8" t="s">
        <v>334</v>
      </c>
      <c r="R11" s="7" t="str">
        <f>CONCATENATE(Q11,6)</f>
        <v>00021246316K6</v>
      </c>
      <c r="T11" s="8" t="s">
        <v>539</v>
      </c>
      <c r="U11" s="7" t="s">
        <v>541</v>
      </c>
      <c r="V11" s="7" t="str">
        <f>CONCATENATE(U11, " ", T11)</f>
        <v>THOMAS BASHLINE</v>
      </c>
    </row>
    <row r="12" spans="1:22" x14ac:dyDescent="0.2">
      <c r="A12" s="8" t="s">
        <v>320</v>
      </c>
      <c r="B12" s="9">
        <v>17528908</v>
      </c>
      <c r="C12" s="8" t="s">
        <v>329</v>
      </c>
      <c r="D12" s="8" t="s">
        <v>330</v>
      </c>
      <c r="E12" s="11">
        <v>45870</v>
      </c>
      <c r="F12" s="8" t="s">
        <v>48</v>
      </c>
      <c r="G12" s="8" t="s">
        <v>50</v>
      </c>
      <c r="H12" s="8" t="s">
        <v>62</v>
      </c>
      <c r="I12" s="12">
        <v>1</v>
      </c>
      <c r="J12" s="12">
        <v>1</v>
      </c>
      <c r="K12" s="12">
        <v>29.41</v>
      </c>
      <c r="L12" s="8" t="s">
        <v>52</v>
      </c>
      <c r="M12" s="11">
        <v>45292</v>
      </c>
      <c r="N12" s="7" t="s">
        <v>522</v>
      </c>
      <c r="O12" s="7" t="s">
        <v>531</v>
      </c>
      <c r="Q12" s="8" t="s">
        <v>330</v>
      </c>
      <c r="R12" s="7" t="str">
        <f>CONCATENATE(Q12,6)</f>
        <v>00020932178K6</v>
      </c>
      <c r="T12" s="8" t="s">
        <v>542</v>
      </c>
      <c r="U12" s="7" t="s">
        <v>543</v>
      </c>
      <c r="V12" s="7" t="str">
        <f>CONCATENATE(U12, " ", T12)</f>
        <v>LINDA BROOKS</v>
      </c>
    </row>
    <row r="13" spans="1:22" x14ac:dyDescent="0.2">
      <c r="A13" s="8" t="s">
        <v>320</v>
      </c>
      <c r="B13" s="9">
        <v>17528908</v>
      </c>
      <c r="C13" s="8" t="s">
        <v>327</v>
      </c>
      <c r="D13" s="8" t="s">
        <v>328</v>
      </c>
      <c r="E13" s="11">
        <v>45870</v>
      </c>
      <c r="F13" s="8" t="s">
        <v>48</v>
      </c>
      <c r="G13" s="8" t="s">
        <v>50</v>
      </c>
      <c r="H13" s="8" t="s">
        <v>62</v>
      </c>
      <c r="I13" s="12">
        <v>1</v>
      </c>
      <c r="J13" s="12">
        <v>1</v>
      </c>
      <c r="K13" s="12">
        <v>29.41</v>
      </c>
      <c r="L13" s="8" t="s">
        <v>52</v>
      </c>
      <c r="M13" s="11">
        <v>45292</v>
      </c>
      <c r="N13" s="7" t="s">
        <v>522</v>
      </c>
      <c r="O13" s="7" t="s">
        <v>531</v>
      </c>
      <c r="Q13" s="8" t="s">
        <v>328</v>
      </c>
      <c r="R13" s="7" t="str">
        <f>CONCATENATE(Q13,6)</f>
        <v>00020818326K6</v>
      </c>
      <c r="T13" s="8" t="s">
        <v>544</v>
      </c>
      <c r="U13" s="7" t="s">
        <v>536</v>
      </c>
      <c r="V13" s="7" t="str">
        <f>CONCATENATE(U13, " ", T13)</f>
        <v>ROBERT CLARK</v>
      </c>
    </row>
    <row r="14" spans="1:22" x14ac:dyDescent="0.2">
      <c r="A14" s="8" t="s">
        <v>320</v>
      </c>
      <c r="B14" s="9">
        <v>17528908</v>
      </c>
      <c r="C14" s="8" t="s">
        <v>321</v>
      </c>
      <c r="D14" s="8" t="s">
        <v>322</v>
      </c>
      <c r="E14" s="11">
        <v>45870</v>
      </c>
      <c r="F14" s="8" t="s">
        <v>48</v>
      </c>
      <c r="G14" s="8" t="s">
        <v>50</v>
      </c>
      <c r="H14" s="8" t="s">
        <v>62</v>
      </c>
      <c r="I14" s="12">
        <v>1</v>
      </c>
      <c r="J14" s="12">
        <v>1</v>
      </c>
      <c r="K14" s="12">
        <v>29.41</v>
      </c>
      <c r="L14" s="8" t="s">
        <v>52</v>
      </c>
      <c r="M14" s="11">
        <v>45292</v>
      </c>
      <c r="N14" s="7" t="s">
        <v>522</v>
      </c>
      <c r="O14" s="7" t="s">
        <v>531</v>
      </c>
      <c r="Q14" s="8" t="s">
        <v>322</v>
      </c>
      <c r="R14" s="7" t="str">
        <f>CONCATENATE(Q14,6)</f>
        <v>00006588811K6</v>
      </c>
      <c r="T14" s="8" t="s">
        <v>551</v>
      </c>
      <c r="U14" s="7" t="s">
        <v>552</v>
      </c>
      <c r="V14" s="7" t="str">
        <f>CONCATENATE(U14, " ", T14)</f>
        <v>BERNIDETTA LUNDY</v>
      </c>
    </row>
    <row r="15" spans="1:22" x14ac:dyDescent="0.2">
      <c r="A15" s="8" t="s">
        <v>320</v>
      </c>
      <c r="B15" s="9">
        <v>17528908</v>
      </c>
      <c r="C15" s="8" t="s">
        <v>323</v>
      </c>
      <c r="D15" s="8" t="s">
        <v>324</v>
      </c>
      <c r="E15" s="11">
        <v>45870</v>
      </c>
      <c r="F15" s="8" t="s">
        <v>48</v>
      </c>
      <c r="G15" s="8" t="s">
        <v>50</v>
      </c>
      <c r="H15" s="8" t="s">
        <v>62</v>
      </c>
      <c r="I15" s="12">
        <v>1</v>
      </c>
      <c r="J15" s="12">
        <v>1</v>
      </c>
      <c r="K15" s="12">
        <v>29.41</v>
      </c>
      <c r="L15" s="8" t="s">
        <v>52</v>
      </c>
      <c r="M15" s="11">
        <v>45292</v>
      </c>
      <c r="N15" s="7" t="s">
        <v>522</v>
      </c>
      <c r="O15" s="7" t="s">
        <v>531</v>
      </c>
      <c r="Q15" s="8" t="s">
        <v>324</v>
      </c>
      <c r="R15" s="7" t="str">
        <f>CONCATENATE(Q15,6)</f>
        <v>00010536959K6</v>
      </c>
      <c r="T15" s="8" t="s">
        <v>557</v>
      </c>
      <c r="U15" s="7" t="s">
        <v>558</v>
      </c>
      <c r="V15" s="7" t="str">
        <f>CONCATENATE(U15, " ", T15)</f>
        <v>JOCELYN MONACELLI</v>
      </c>
    </row>
    <row r="16" spans="1:22" x14ac:dyDescent="0.2">
      <c r="A16" s="8" t="s">
        <v>320</v>
      </c>
      <c r="B16" s="9">
        <v>17528908</v>
      </c>
      <c r="C16" s="8" t="s">
        <v>335</v>
      </c>
      <c r="D16" s="8" t="s">
        <v>336</v>
      </c>
      <c r="E16" s="11">
        <v>45870</v>
      </c>
      <c r="F16" s="8" t="s">
        <v>48</v>
      </c>
      <c r="G16" s="8" t="s">
        <v>50</v>
      </c>
      <c r="H16" s="8" t="s">
        <v>62</v>
      </c>
      <c r="I16" s="12">
        <v>1</v>
      </c>
      <c r="J16" s="12">
        <v>1</v>
      </c>
      <c r="K16" s="12">
        <v>29.41</v>
      </c>
      <c r="L16" s="8" t="s">
        <v>52</v>
      </c>
      <c r="M16" s="11">
        <v>45292</v>
      </c>
      <c r="N16" s="7" t="s">
        <v>522</v>
      </c>
      <c r="O16" s="7" t="s">
        <v>531</v>
      </c>
      <c r="Q16" s="8" t="s">
        <v>336</v>
      </c>
      <c r="R16" s="7" t="str">
        <f>CONCATENATE(Q16,6)</f>
        <v>00021339188K6</v>
      </c>
      <c r="T16" s="8" t="s">
        <v>559</v>
      </c>
      <c r="U16" s="7" t="s">
        <v>560</v>
      </c>
      <c r="V16" s="7" t="str">
        <f>CONCATENATE(U16, " ", T16)</f>
        <v>RICHARD NACHREINER</v>
      </c>
    </row>
    <row r="17" spans="1:22" x14ac:dyDescent="0.2">
      <c r="A17" s="8" t="s">
        <v>320</v>
      </c>
      <c r="B17" s="9">
        <v>17528908</v>
      </c>
      <c r="C17" s="8" t="s">
        <v>331</v>
      </c>
      <c r="D17" s="8" t="s">
        <v>332</v>
      </c>
      <c r="E17" s="11">
        <v>45870</v>
      </c>
      <c r="F17" s="8" t="s">
        <v>48</v>
      </c>
      <c r="G17" s="8" t="s">
        <v>50</v>
      </c>
      <c r="H17" s="8" t="s">
        <v>62</v>
      </c>
      <c r="I17" s="12">
        <v>1</v>
      </c>
      <c r="J17" s="12">
        <v>1</v>
      </c>
      <c r="K17" s="12">
        <v>29.41</v>
      </c>
      <c r="L17" s="8" t="s">
        <v>52</v>
      </c>
      <c r="M17" s="11">
        <v>45292</v>
      </c>
      <c r="N17" s="7" t="s">
        <v>522</v>
      </c>
      <c r="O17" s="7" t="s">
        <v>531</v>
      </c>
      <c r="Q17" s="8" t="s">
        <v>332</v>
      </c>
      <c r="R17" s="7" t="str">
        <f>CONCATENATE(Q17,6)</f>
        <v>00021243283K6</v>
      </c>
      <c r="T17" s="8" t="s">
        <v>851</v>
      </c>
      <c r="U17" s="7" t="s">
        <v>543</v>
      </c>
      <c r="V17" s="7" t="str">
        <f>CONCATENATE(U17, " ", T17)</f>
        <v>LINDA O BRIEN</v>
      </c>
    </row>
    <row r="18" spans="1:22" x14ac:dyDescent="0.2">
      <c r="A18" s="8" t="s">
        <v>320</v>
      </c>
      <c r="B18" s="9">
        <v>17528908</v>
      </c>
      <c r="C18" s="8" t="s">
        <v>325</v>
      </c>
      <c r="D18" s="8" t="s">
        <v>326</v>
      </c>
      <c r="E18" s="11">
        <v>45870</v>
      </c>
      <c r="F18" s="8" t="s">
        <v>48</v>
      </c>
      <c r="G18" s="8" t="s">
        <v>50</v>
      </c>
      <c r="H18" s="8" t="s">
        <v>62</v>
      </c>
      <c r="I18" s="12">
        <v>1</v>
      </c>
      <c r="J18" s="12">
        <v>1</v>
      </c>
      <c r="K18" s="12">
        <v>29.41</v>
      </c>
      <c r="L18" s="8" t="s">
        <v>52</v>
      </c>
      <c r="M18" s="11">
        <v>45170</v>
      </c>
      <c r="N18" s="7" t="s">
        <v>522</v>
      </c>
      <c r="O18" s="7" t="s">
        <v>531</v>
      </c>
      <c r="Q18" s="8" t="s">
        <v>326</v>
      </c>
      <c r="R18" s="7" t="str">
        <f>CONCATENATE(Q18,6)</f>
        <v>00020676577K6</v>
      </c>
      <c r="T18" s="8" t="s">
        <v>565</v>
      </c>
      <c r="U18" s="7" t="s">
        <v>566</v>
      </c>
      <c r="V18" s="7" t="str">
        <f>CONCATENATE(U18, " ", T18)</f>
        <v>JOSEPH SABOL</v>
      </c>
    </row>
    <row r="19" spans="1:22" x14ac:dyDescent="0.2">
      <c r="A19" s="8" t="s">
        <v>361</v>
      </c>
      <c r="B19" s="9">
        <v>18794740</v>
      </c>
      <c r="C19" s="8" t="s">
        <v>362</v>
      </c>
      <c r="D19" s="8" t="s">
        <v>363</v>
      </c>
      <c r="E19" s="11">
        <v>45870</v>
      </c>
      <c r="F19" s="8" t="s">
        <v>48</v>
      </c>
      <c r="G19" s="8" t="s">
        <v>50</v>
      </c>
      <c r="H19" s="8" t="s">
        <v>364</v>
      </c>
      <c r="I19" s="12">
        <v>1</v>
      </c>
      <c r="J19" s="12">
        <v>1</v>
      </c>
      <c r="K19" s="12">
        <v>29.41</v>
      </c>
      <c r="L19" s="8" t="s">
        <v>52</v>
      </c>
      <c r="M19" s="11">
        <v>45292</v>
      </c>
      <c r="N19" s="7" t="s">
        <v>522</v>
      </c>
      <c r="O19" s="7" t="s">
        <v>531</v>
      </c>
      <c r="Q19" s="8" t="s">
        <v>363</v>
      </c>
      <c r="R19" s="7" t="str">
        <f>CONCATENATE(Q19,6)</f>
        <v>00000854688H6</v>
      </c>
      <c r="T19" s="8" t="s">
        <v>545</v>
      </c>
      <c r="U19" s="7" t="s">
        <v>546</v>
      </c>
      <c r="V19" s="7" t="str">
        <f>CONCATENATE(U19, " ", T19)</f>
        <v>GEORGINE DAVIDHEISER</v>
      </c>
    </row>
    <row r="20" spans="1:22" x14ac:dyDescent="0.2">
      <c r="A20" s="8" t="s">
        <v>361</v>
      </c>
      <c r="B20" s="9">
        <v>18794740</v>
      </c>
      <c r="C20" s="8" t="s">
        <v>368</v>
      </c>
      <c r="D20" s="8" t="s">
        <v>369</v>
      </c>
      <c r="E20" s="11">
        <v>45870</v>
      </c>
      <c r="F20" s="8" t="s">
        <v>48</v>
      </c>
      <c r="G20" s="8" t="s">
        <v>50</v>
      </c>
      <c r="H20" s="8" t="s">
        <v>62</v>
      </c>
      <c r="I20" s="12">
        <v>1</v>
      </c>
      <c r="J20" s="12">
        <v>1</v>
      </c>
      <c r="K20" s="12">
        <v>29.41</v>
      </c>
      <c r="L20" s="8" t="s">
        <v>52</v>
      </c>
      <c r="M20" s="11">
        <v>45536</v>
      </c>
      <c r="N20" s="7" t="s">
        <v>522</v>
      </c>
      <c r="O20" s="7" t="s">
        <v>531</v>
      </c>
      <c r="Q20" s="8" t="s">
        <v>369</v>
      </c>
      <c r="R20" s="7" t="str">
        <f>CONCATENATE(Q20,6)</f>
        <v>00021951591K6</v>
      </c>
      <c r="T20" s="8" t="s">
        <v>549</v>
      </c>
      <c r="U20" s="7" t="s">
        <v>550</v>
      </c>
      <c r="V20" s="7" t="str">
        <f>CONCATENATE(U20, " ", T20)</f>
        <v>RAYMOND HOCK</v>
      </c>
    </row>
    <row r="21" spans="1:22" x14ac:dyDescent="0.2">
      <c r="A21" s="8" t="s">
        <v>231</v>
      </c>
      <c r="B21" s="9">
        <v>9079571</v>
      </c>
      <c r="C21" s="8" t="s">
        <v>246</v>
      </c>
      <c r="D21" s="8" t="s">
        <v>247</v>
      </c>
      <c r="E21" s="11">
        <v>45870</v>
      </c>
      <c r="F21" s="8" t="s">
        <v>48</v>
      </c>
      <c r="G21" s="8" t="s">
        <v>50</v>
      </c>
      <c r="H21" s="8" t="s">
        <v>62</v>
      </c>
      <c r="I21" s="12">
        <v>1</v>
      </c>
      <c r="J21" s="12">
        <v>1</v>
      </c>
      <c r="K21" s="12">
        <v>29.41</v>
      </c>
      <c r="L21" s="8" t="s">
        <v>52</v>
      </c>
      <c r="M21" s="11">
        <v>45292</v>
      </c>
      <c r="N21" s="7" t="s">
        <v>522</v>
      </c>
      <c r="O21" s="7" t="s">
        <v>531</v>
      </c>
      <c r="Q21" s="8" t="s">
        <v>247</v>
      </c>
      <c r="R21" s="7" t="str">
        <f>CONCATENATE(Q21,6)</f>
        <v>00021044590K6</v>
      </c>
      <c r="T21" s="8" t="s">
        <v>563</v>
      </c>
      <c r="U21" s="7" t="s">
        <v>564</v>
      </c>
      <c r="V21" s="7" t="str">
        <f>CONCATENATE(U21, " ", T21)</f>
        <v>TINA POOLE</v>
      </c>
    </row>
    <row r="22" spans="1:22" x14ac:dyDescent="0.2">
      <c r="A22" s="8" t="s">
        <v>430</v>
      </c>
      <c r="B22" s="9">
        <v>18828278</v>
      </c>
      <c r="C22" s="8" t="s">
        <v>516</v>
      </c>
      <c r="D22" s="8" t="s">
        <v>517</v>
      </c>
      <c r="E22" s="11">
        <v>45870</v>
      </c>
      <c r="F22" s="8" t="s">
        <v>48</v>
      </c>
      <c r="G22" s="8" t="s">
        <v>50</v>
      </c>
      <c r="H22" s="8" t="s">
        <v>45</v>
      </c>
      <c r="I22" s="12">
        <v>22</v>
      </c>
      <c r="J22" s="12">
        <v>1863.24</v>
      </c>
      <c r="K22" s="12">
        <v>409.92</v>
      </c>
      <c r="L22" s="8" t="s">
        <v>491</v>
      </c>
      <c r="M22" s="11">
        <v>45870</v>
      </c>
      <c r="N22" s="7" t="s">
        <v>526</v>
      </c>
      <c r="Q22" s="8" t="s">
        <v>517</v>
      </c>
      <c r="R22" s="7" t="str">
        <f>CONCATENATE(Q22,8)</f>
        <v>00001031859A8</v>
      </c>
      <c r="T22" s="8" t="s">
        <v>576</v>
      </c>
      <c r="U22" s="7" t="s">
        <v>541</v>
      </c>
      <c r="V22" s="7" t="str">
        <f>CONCATENATE(U22, " ", T22)</f>
        <v>THOMAS STOKES</v>
      </c>
    </row>
    <row r="23" spans="1:22" x14ac:dyDescent="0.2">
      <c r="A23" s="8" t="s">
        <v>320</v>
      </c>
      <c r="B23" s="9">
        <v>17528908</v>
      </c>
      <c r="C23" s="8" t="s">
        <v>495</v>
      </c>
      <c r="D23" s="8" t="s">
        <v>496</v>
      </c>
      <c r="E23" s="11">
        <v>45870</v>
      </c>
      <c r="F23" s="8" t="s">
        <v>48</v>
      </c>
      <c r="G23" s="8" t="s">
        <v>50</v>
      </c>
      <c r="H23" s="8" t="s">
        <v>45</v>
      </c>
      <c r="I23" s="12">
        <v>22</v>
      </c>
      <c r="J23" s="12">
        <v>130.08000000000001</v>
      </c>
      <c r="K23" s="12">
        <v>28.62</v>
      </c>
      <c r="L23" s="8" t="s">
        <v>487</v>
      </c>
      <c r="M23" s="11">
        <v>45444</v>
      </c>
      <c r="N23" s="7" t="s">
        <v>526</v>
      </c>
      <c r="Q23" s="8" t="s">
        <v>496</v>
      </c>
      <c r="R23" s="7" t="str">
        <f>CONCATENATE(Q23,8)</f>
        <v>00000839470A8</v>
      </c>
      <c r="T23" s="8" t="s">
        <v>572</v>
      </c>
      <c r="U23" s="7" t="s">
        <v>573</v>
      </c>
      <c r="V23" s="7" t="str">
        <f>CONCATENATE(U23, " ", T23)</f>
        <v>DEBRA MILLER</v>
      </c>
    </row>
    <row r="24" spans="1:22" x14ac:dyDescent="0.2">
      <c r="A24" s="8" t="s">
        <v>382</v>
      </c>
      <c r="B24" s="9">
        <v>5442438</v>
      </c>
      <c r="C24" s="8" t="s">
        <v>514</v>
      </c>
      <c r="D24" s="8" t="s">
        <v>515</v>
      </c>
      <c r="E24" s="11">
        <v>45870</v>
      </c>
      <c r="F24" s="8" t="s">
        <v>48</v>
      </c>
      <c r="G24" s="8" t="s">
        <v>50</v>
      </c>
      <c r="H24" s="8" t="s">
        <v>45</v>
      </c>
      <c r="I24" s="12">
        <v>22</v>
      </c>
      <c r="J24" s="12">
        <v>1622.64</v>
      </c>
      <c r="K24" s="12">
        <v>357</v>
      </c>
      <c r="L24" s="8" t="s">
        <v>491</v>
      </c>
      <c r="M24" s="11">
        <v>45870</v>
      </c>
      <c r="N24" s="7" t="s">
        <v>526</v>
      </c>
      <c r="Q24" s="8" t="s">
        <v>515</v>
      </c>
      <c r="R24" s="7" t="str">
        <f>CONCATENATE(Q24,8)</f>
        <v>00001031165A8</v>
      </c>
      <c r="T24" s="8" t="s">
        <v>574</v>
      </c>
      <c r="U24" s="7" t="s">
        <v>575</v>
      </c>
      <c r="V24" s="7" t="str">
        <f>CONCATENATE(U24, " ", T24)</f>
        <v>BRIDGET RAHR</v>
      </c>
    </row>
    <row r="25" spans="1:22" x14ac:dyDescent="0.2">
      <c r="A25" s="8" t="s">
        <v>231</v>
      </c>
      <c r="B25" s="9">
        <v>9079571</v>
      </c>
      <c r="C25" s="8" t="s">
        <v>493</v>
      </c>
      <c r="D25" s="8" t="s">
        <v>494</v>
      </c>
      <c r="E25" s="11">
        <v>45870</v>
      </c>
      <c r="F25" s="8" t="s">
        <v>48</v>
      </c>
      <c r="G25" s="8" t="s">
        <v>50</v>
      </c>
      <c r="H25" s="8" t="s">
        <v>45</v>
      </c>
      <c r="I25" s="12">
        <v>22</v>
      </c>
      <c r="J25" s="12">
        <v>1622.64</v>
      </c>
      <c r="K25" s="12">
        <v>357</v>
      </c>
      <c r="L25" s="8" t="s">
        <v>491</v>
      </c>
      <c r="M25" s="11">
        <v>45870</v>
      </c>
      <c r="N25" s="7" t="s">
        <v>526</v>
      </c>
      <c r="Q25" s="8" t="s">
        <v>494</v>
      </c>
      <c r="R25" s="7" t="str">
        <f>CONCATENATE(Q25,8)</f>
        <v>00001032231A8</v>
      </c>
      <c r="T25" s="8" t="s">
        <v>568</v>
      </c>
      <c r="U25" s="7" t="s">
        <v>569</v>
      </c>
      <c r="V25" s="7" t="str">
        <f>CONCATENATE(U25, " ", T25)</f>
        <v>JENNIFER ALLEN</v>
      </c>
    </row>
    <row r="26" spans="1:22" x14ac:dyDescent="0.2">
      <c r="A26" s="8" t="s">
        <v>231</v>
      </c>
      <c r="B26" s="9">
        <v>9079571</v>
      </c>
      <c r="C26" s="8" t="s">
        <v>489</v>
      </c>
      <c r="D26" s="8" t="s">
        <v>490</v>
      </c>
      <c r="E26" s="11">
        <v>45870</v>
      </c>
      <c r="F26" s="8" t="s">
        <v>48</v>
      </c>
      <c r="G26" s="8" t="s">
        <v>50</v>
      </c>
      <c r="H26" s="8" t="s">
        <v>45</v>
      </c>
      <c r="I26" s="12">
        <v>22</v>
      </c>
      <c r="J26" s="12">
        <v>1830.84</v>
      </c>
      <c r="K26" s="12">
        <v>402.84</v>
      </c>
      <c r="L26" s="8" t="s">
        <v>491</v>
      </c>
      <c r="M26" s="11">
        <v>45870</v>
      </c>
      <c r="N26" s="7" t="s">
        <v>526</v>
      </c>
      <c r="Q26" s="8" t="s">
        <v>490</v>
      </c>
      <c r="R26" s="7" t="str">
        <f>CONCATENATE(Q26,8)</f>
        <v>00001031593A8</v>
      </c>
      <c r="T26" s="8" t="s">
        <v>570</v>
      </c>
      <c r="U26" s="7" t="s">
        <v>571</v>
      </c>
      <c r="V26" s="7" t="str">
        <f>CONCATENATE(U26, " ", T26)</f>
        <v>ERIC GERBER</v>
      </c>
    </row>
    <row r="27" spans="1:22" x14ac:dyDescent="0.2">
      <c r="A27" s="8" t="s">
        <v>208</v>
      </c>
      <c r="B27" s="9">
        <v>15278437</v>
      </c>
      <c r="C27" s="8" t="s">
        <v>484</v>
      </c>
      <c r="D27" s="8" t="s">
        <v>485</v>
      </c>
      <c r="E27" s="11">
        <v>45870</v>
      </c>
      <c r="F27" s="8" t="s">
        <v>48</v>
      </c>
      <c r="G27" s="8" t="s">
        <v>50</v>
      </c>
      <c r="H27" s="8" t="s">
        <v>45</v>
      </c>
      <c r="I27" s="12">
        <v>26</v>
      </c>
      <c r="J27" s="12">
        <v>147.1</v>
      </c>
      <c r="K27" s="12">
        <v>38.25</v>
      </c>
      <c r="L27" s="8" t="s">
        <v>487</v>
      </c>
      <c r="M27" s="11">
        <v>45292</v>
      </c>
      <c r="N27" s="7" t="s">
        <v>527</v>
      </c>
      <c r="Q27" s="8" t="s">
        <v>485</v>
      </c>
      <c r="R27" s="7" t="str">
        <f>CONCATENATE(Q27,8)</f>
        <v>00000106089A8</v>
      </c>
      <c r="T27" s="8" t="s">
        <v>577</v>
      </c>
      <c r="U27" s="7" t="s">
        <v>578</v>
      </c>
      <c r="V27" s="7" t="str">
        <f>CONCATENATE(U27, " ", T27)</f>
        <v>JACQUELINE TRAINOR</v>
      </c>
    </row>
    <row r="28" spans="1:22" x14ac:dyDescent="0.2">
      <c r="A28" s="8" t="s">
        <v>465</v>
      </c>
      <c r="B28" s="9">
        <v>8244481</v>
      </c>
      <c r="C28" s="8" t="s">
        <v>466</v>
      </c>
      <c r="D28" s="10">
        <v>9028352660</v>
      </c>
      <c r="E28" s="11">
        <v>45901</v>
      </c>
      <c r="F28" s="8" t="s">
        <v>69</v>
      </c>
      <c r="G28" s="8" t="s">
        <v>470</v>
      </c>
      <c r="H28" s="8" t="s">
        <v>45</v>
      </c>
      <c r="I28" s="12">
        <v>10</v>
      </c>
      <c r="J28" s="12">
        <v>26.88</v>
      </c>
      <c r="K28" s="12">
        <v>2.69</v>
      </c>
      <c r="L28" s="8" t="s">
        <v>471</v>
      </c>
      <c r="M28" s="11">
        <v>45307</v>
      </c>
      <c r="N28" s="7" t="s">
        <v>521</v>
      </c>
      <c r="Q28" s="10">
        <v>9028352660</v>
      </c>
      <c r="R28" s="7" t="str">
        <f>CONCATENATE(Q28,4)</f>
        <v>90283526604</v>
      </c>
      <c r="T28" s="8" t="s">
        <v>589</v>
      </c>
      <c r="U28" s="7" t="s">
        <v>590</v>
      </c>
      <c r="V28" s="7" t="str">
        <f>CONCATENATE(U28, " ", T28)</f>
        <v>Andrew Patton</v>
      </c>
    </row>
    <row r="29" spans="1:22" x14ac:dyDescent="0.2">
      <c r="A29" s="8" t="s">
        <v>430</v>
      </c>
      <c r="B29" s="9">
        <v>18828278</v>
      </c>
      <c r="C29" s="8" t="s">
        <v>518</v>
      </c>
      <c r="D29" s="10">
        <v>9030996000</v>
      </c>
      <c r="E29" s="11">
        <v>45962</v>
      </c>
      <c r="F29" s="8" t="s">
        <v>252</v>
      </c>
      <c r="G29" s="8" t="s">
        <v>470</v>
      </c>
      <c r="H29" s="8" t="s">
        <v>45</v>
      </c>
      <c r="I29" s="12">
        <v>10</v>
      </c>
      <c r="J29" s="12">
        <v>376.9</v>
      </c>
      <c r="K29" s="12">
        <v>37.69</v>
      </c>
      <c r="L29" s="8" t="s">
        <v>499</v>
      </c>
      <c r="M29" s="11">
        <v>45962</v>
      </c>
      <c r="N29" s="7" t="s">
        <v>521</v>
      </c>
      <c r="Q29" s="10">
        <v>9030996000</v>
      </c>
      <c r="R29" s="7" t="str">
        <f>CONCATENATE(Q29,4)</f>
        <v>90309960004</v>
      </c>
      <c r="T29" s="8" t="s">
        <v>591</v>
      </c>
      <c r="U29" s="7" t="s">
        <v>592</v>
      </c>
      <c r="V29" s="7" t="str">
        <f>CONCATENATE(U29, " ", T29)</f>
        <v>Dana Quiram</v>
      </c>
    </row>
    <row r="30" spans="1:22" x14ac:dyDescent="0.2">
      <c r="A30" s="8" t="s">
        <v>179</v>
      </c>
      <c r="B30" s="9">
        <v>7146581</v>
      </c>
      <c r="C30" s="8" t="s">
        <v>482</v>
      </c>
      <c r="D30" s="10">
        <v>9007573590</v>
      </c>
      <c r="E30" s="11">
        <v>45901</v>
      </c>
      <c r="F30" s="8" t="s">
        <v>69</v>
      </c>
      <c r="G30" s="8" t="s">
        <v>478</v>
      </c>
      <c r="H30" s="8" t="s">
        <v>45</v>
      </c>
      <c r="I30" s="12">
        <v>10</v>
      </c>
      <c r="J30" s="12">
        <v>21.54</v>
      </c>
      <c r="K30" s="12">
        <v>2.15</v>
      </c>
      <c r="L30" s="8" t="s">
        <v>471</v>
      </c>
      <c r="M30" s="11">
        <v>40969</v>
      </c>
      <c r="N30" s="7" t="s">
        <v>521</v>
      </c>
      <c r="Q30" s="10">
        <v>9007573590</v>
      </c>
      <c r="R30" s="7" t="str">
        <f>CONCATENATE(Q30,4)</f>
        <v>90075735904</v>
      </c>
      <c r="T30" s="8" t="s">
        <v>585</v>
      </c>
      <c r="U30" s="7" t="s">
        <v>586</v>
      </c>
      <c r="V30" s="7" t="str">
        <f>CONCATENATE(U30, " ", T30)</f>
        <v>Amy Kisner</v>
      </c>
    </row>
    <row r="31" spans="1:22" x14ac:dyDescent="0.2">
      <c r="A31" s="8" t="s">
        <v>320</v>
      </c>
      <c r="B31" s="9" t="s">
        <v>853</v>
      </c>
      <c r="C31" s="8" t="s">
        <v>497</v>
      </c>
      <c r="D31" s="10">
        <v>9030804870</v>
      </c>
      <c r="E31" s="11">
        <v>45901</v>
      </c>
      <c r="F31" s="8" t="s">
        <v>69</v>
      </c>
      <c r="G31" s="8" t="s">
        <v>470</v>
      </c>
      <c r="H31" s="8" t="s">
        <v>45</v>
      </c>
      <c r="I31" s="12">
        <v>10</v>
      </c>
      <c r="J31" s="12">
        <v>23.99</v>
      </c>
      <c r="K31" s="12">
        <v>2.4</v>
      </c>
      <c r="L31" s="8" t="s">
        <v>499</v>
      </c>
      <c r="M31" s="11">
        <v>45870</v>
      </c>
      <c r="N31" s="7" t="s">
        <v>521</v>
      </c>
      <c r="Q31" s="10">
        <v>9030804870</v>
      </c>
      <c r="R31" s="7" t="str">
        <f>CONCATENATE(Q31,4)</f>
        <v>90308048704</v>
      </c>
      <c r="T31" s="8" t="s">
        <v>579</v>
      </c>
      <c r="U31" s="7" t="s">
        <v>580</v>
      </c>
      <c r="V31" s="7" t="str">
        <f>CONCATENATE(U31, " ", T31)</f>
        <v>Penelope Casella</v>
      </c>
    </row>
    <row r="32" spans="1:22" x14ac:dyDescent="0.2">
      <c r="A32" s="8" t="s">
        <v>501</v>
      </c>
      <c r="B32" s="9">
        <v>18710070</v>
      </c>
      <c r="C32" s="8" t="s">
        <v>506</v>
      </c>
      <c r="D32" s="10">
        <v>9030982010</v>
      </c>
      <c r="E32" s="11">
        <v>45870</v>
      </c>
      <c r="F32" s="8" t="s">
        <v>48</v>
      </c>
      <c r="G32" s="8" t="s">
        <v>470</v>
      </c>
      <c r="H32" s="8" t="s">
        <v>45</v>
      </c>
      <c r="I32" s="12">
        <v>10</v>
      </c>
      <c r="J32" s="12">
        <v>363</v>
      </c>
      <c r="K32" s="12">
        <v>36.299999999999997</v>
      </c>
      <c r="L32" s="8" t="s">
        <v>499</v>
      </c>
      <c r="M32" s="11">
        <v>45880</v>
      </c>
      <c r="N32" s="7" t="s">
        <v>521</v>
      </c>
      <c r="Q32" s="10">
        <v>9030982010</v>
      </c>
      <c r="R32" s="7" t="str">
        <f>CONCATENATE(Q32,4)</f>
        <v>90309820104</v>
      </c>
      <c r="T32" s="8" t="s">
        <v>581</v>
      </c>
      <c r="U32" s="7" t="s">
        <v>582</v>
      </c>
      <c r="V32" s="7" t="str">
        <f>CONCATENATE(U32, " ", T32)</f>
        <v>Tyler Daube</v>
      </c>
    </row>
    <row r="33" spans="1:22" x14ac:dyDescent="0.2">
      <c r="A33" s="8" t="s">
        <v>501</v>
      </c>
      <c r="B33" s="9">
        <v>18710070</v>
      </c>
      <c r="C33" s="8" t="s">
        <v>504</v>
      </c>
      <c r="D33" s="10">
        <v>9030969880</v>
      </c>
      <c r="E33" s="11">
        <v>45870</v>
      </c>
      <c r="F33" s="8" t="s">
        <v>48</v>
      </c>
      <c r="G33" s="8" t="s">
        <v>470</v>
      </c>
      <c r="H33" s="8" t="s">
        <v>45</v>
      </c>
      <c r="I33" s="12">
        <v>10</v>
      </c>
      <c r="J33" s="12">
        <v>363</v>
      </c>
      <c r="K33" s="12">
        <v>36.299999999999997</v>
      </c>
      <c r="L33" s="8" t="s">
        <v>499</v>
      </c>
      <c r="M33" s="11">
        <v>45879</v>
      </c>
      <c r="N33" s="7" t="s">
        <v>521</v>
      </c>
      <c r="Q33" s="10">
        <v>9030969880</v>
      </c>
      <c r="R33" s="7" t="str">
        <f>CONCATENATE(Q33,4)</f>
        <v>90309698804</v>
      </c>
      <c r="T33" s="8" t="s">
        <v>583</v>
      </c>
      <c r="U33" s="7" t="s">
        <v>584</v>
      </c>
      <c r="V33" s="7" t="str">
        <f>CONCATENATE(U33, " ", T33)</f>
        <v>Hengameh Estakhri</v>
      </c>
    </row>
    <row r="34" spans="1:22" x14ac:dyDescent="0.2">
      <c r="A34" s="8" t="s">
        <v>501</v>
      </c>
      <c r="B34" s="9">
        <v>18710070</v>
      </c>
      <c r="C34" s="8" t="s">
        <v>502</v>
      </c>
      <c r="D34" s="10">
        <v>9030969870</v>
      </c>
      <c r="E34" s="11">
        <v>45870</v>
      </c>
      <c r="F34" s="8" t="s">
        <v>48</v>
      </c>
      <c r="G34" s="8" t="s">
        <v>470</v>
      </c>
      <c r="H34" s="8" t="s">
        <v>45</v>
      </c>
      <c r="I34" s="12">
        <v>10</v>
      </c>
      <c r="J34" s="12">
        <v>363</v>
      </c>
      <c r="K34" s="12">
        <v>36.299999999999997</v>
      </c>
      <c r="L34" s="8" t="s">
        <v>499</v>
      </c>
      <c r="M34" s="11">
        <v>45879</v>
      </c>
      <c r="N34" s="7" t="s">
        <v>521</v>
      </c>
      <c r="Q34" s="10">
        <v>9030969870</v>
      </c>
      <c r="R34" s="7" t="str">
        <f>CONCATENATE(Q34,4)</f>
        <v>90309698704</v>
      </c>
      <c r="T34" s="8" t="s">
        <v>587</v>
      </c>
      <c r="U34" s="7" t="s">
        <v>588</v>
      </c>
      <c r="V34" s="7" t="str">
        <f>CONCATENATE(U34, " ", T34)</f>
        <v>Jeffrey Monk</v>
      </c>
    </row>
    <row r="35" spans="1:22" x14ac:dyDescent="0.2">
      <c r="A35" s="8" t="s">
        <v>479</v>
      </c>
      <c r="B35" s="9">
        <v>6634327</v>
      </c>
      <c r="C35" s="8" t="s">
        <v>480</v>
      </c>
      <c r="D35" s="10">
        <v>853911</v>
      </c>
      <c r="E35" s="11">
        <v>45870</v>
      </c>
      <c r="F35" s="8" t="s">
        <v>48</v>
      </c>
      <c r="G35" s="8" t="s">
        <v>478</v>
      </c>
      <c r="H35" s="8" t="s">
        <v>45</v>
      </c>
      <c r="I35" s="12">
        <v>10</v>
      </c>
      <c r="J35" s="12">
        <v>503.08</v>
      </c>
      <c r="K35" s="12">
        <v>50.31</v>
      </c>
      <c r="L35" s="8" t="s">
        <v>52</v>
      </c>
      <c r="M35" s="11">
        <v>44562</v>
      </c>
      <c r="N35" s="7" t="s">
        <v>520</v>
      </c>
      <c r="Q35" s="10">
        <v>853911</v>
      </c>
      <c r="R35" s="7" t="str">
        <f>CONCATENATE(Q35,7)</f>
        <v>8539117</v>
      </c>
      <c r="T35" s="8" t="s">
        <v>598</v>
      </c>
      <c r="U35" s="7" t="s">
        <v>599</v>
      </c>
      <c r="V35" s="8" t="s">
        <v>480</v>
      </c>
    </row>
    <row r="36" spans="1:22" x14ac:dyDescent="0.2">
      <c r="A36" s="8" t="s">
        <v>479</v>
      </c>
      <c r="B36" s="9">
        <v>6634327</v>
      </c>
      <c r="C36" s="8" t="s">
        <v>480</v>
      </c>
      <c r="D36" s="10">
        <v>853911</v>
      </c>
      <c r="E36" s="11">
        <v>45870</v>
      </c>
      <c r="F36" s="8" t="s">
        <v>48</v>
      </c>
      <c r="G36" s="8" t="s">
        <v>470</v>
      </c>
      <c r="H36" s="8" t="s">
        <v>45</v>
      </c>
      <c r="I36" s="12">
        <v>10</v>
      </c>
      <c r="J36" s="12">
        <v>50.98</v>
      </c>
      <c r="K36" s="12">
        <v>5.0999999999999996</v>
      </c>
      <c r="L36" s="8" t="s">
        <v>52</v>
      </c>
      <c r="M36" s="11">
        <v>44562</v>
      </c>
      <c r="N36" s="7" t="s">
        <v>520</v>
      </c>
      <c r="Q36" s="10">
        <v>853911</v>
      </c>
      <c r="R36" s="7" t="str">
        <f>CONCATENATE(Q36,7)</f>
        <v>8539117</v>
      </c>
      <c r="T36" s="8" t="s">
        <v>598</v>
      </c>
      <c r="U36" s="7" t="s">
        <v>599</v>
      </c>
      <c r="V36" s="8" t="s">
        <v>480</v>
      </c>
    </row>
    <row r="37" spans="1:22" x14ac:dyDescent="0.2">
      <c r="A37" s="8" t="s">
        <v>473</v>
      </c>
      <c r="B37" s="9">
        <v>14177521</v>
      </c>
      <c r="C37" s="8" t="s">
        <v>474</v>
      </c>
      <c r="D37" s="10">
        <v>416672</v>
      </c>
      <c r="E37" s="11">
        <v>45870</v>
      </c>
      <c r="F37" s="8" t="s">
        <v>48</v>
      </c>
      <c r="G37" s="8" t="s">
        <v>478</v>
      </c>
      <c r="H37" s="8" t="s">
        <v>45</v>
      </c>
      <c r="I37" s="12">
        <v>10</v>
      </c>
      <c r="J37" s="12">
        <v>414.6</v>
      </c>
      <c r="K37" s="12">
        <v>41.46</v>
      </c>
      <c r="L37" s="8" t="s">
        <v>71</v>
      </c>
      <c r="M37" s="11">
        <v>45658</v>
      </c>
      <c r="N37" s="7" t="s">
        <v>520</v>
      </c>
      <c r="Q37" s="10">
        <v>416672</v>
      </c>
      <c r="R37" s="7" t="str">
        <f>CONCATENATE(Q37,7)</f>
        <v>4166727</v>
      </c>
      <c r="T37" s="8" t="s">
        <v>593</v>
      </c>
      <c r="U37" s="7" t="s">
        <v>594</v>
      </c>
      <c r="V37" s="8" t="s">
        <v>474</v>
      </c>
    </row>
    <row r="38" spans="1:22" x14ac:dyDescent="0.2">
      <c r="A38" s="8" t="s">
        <v>473</v>
      </c>
      <c r="B38" s="9">
        <v>14177521</v>
      </c>
      <c r="C38" s="8" t="s">
        <v>474</v>
      </c>
      <c r="D38" s="10">
        <v>416672</v>
      </c>
      <c r="E38" s="11">
        <v>45870</v>
      </c>
      <c r="F38" s="8" t="s">
        <v>48</v>
      </c>
      <c r="G38" s="8" t="s">
        <v>470</v>
      </c>
      <c r="H38" s="8" t="s">
        <v>45</v>
      </c>
      <c r="I38" s="12">
        <v>10</v>
      </c>
      <c r="J38" s="12">
        <v>49.38</v>
      </c>
      <c r="K38" s="12">
        <v>4.9400000000000004</v>
      </c>
      <c r="L38" s="8" t="s">
        <v>71</v>
      </c>
      <c r="M38" s="11">
        <v>45658</v>
      </c>
      <c r="N38" s="7" t="s">
        <v>520</v>
      </c>
      <c r="Q38" s="10">
        <v>416672</v>
      </c>
      <c r="R38" s="7" t="str">
        <f>CONCATENATE(Q38,7)</f>
        <v>4166727</v>
      </c>
      <c r="T38" s="8" t="s">
        <v>593</v>
      </c>
      <c r="U38" s="7" t="s">
        <v>594</v>
      </c>
      <c r="V38" s="8" t="s">
        <v>474</v>
      </c>
    </row>
    <row r="39" spans="1:22" x14ac:dyDescent="0.2">
      <c r="A39" s="8" t="s">
        <v>370</v>
      </c>
      <c r="B39" s="9">
        <v>18754354</v>
      </c>
      <c r="C39" s="8" t="s">
        <v>508</v>
      </c>
      <c r="D39" s="10">
        <v>413180</v>
      </c>
      <c r="E39" s="11">
        <v>45809</v>
      </c>
      <c r="F39" s="8" t="s">
        <v>511</v>
      </c>
      <c r="G39" s="8" t="s">
        <v>513</v>
      </c>
      <c r="H39" s="8" t="s">
        <v>45</v>
      </c>
      <c r="I39" s="12">
        <v>10</v>
      </c>
      <c r="J39" s="12">
        <v>0.62</v>
      </c>
      <c r="K39" s="12">
        <v>0.06</v>
      </c>
      <c r="L39" s="8" t="s">
        <v>71</v>
      </c>
      <c r="M39" s="11">
        <v>45474</v>
      </c>
      <c r="N39" s="7" t="s">
        <v>520</v>
      </c>
      <c r="Q39" s="10">
        <v>413180</v>
      </c>
      <c r="R39" s="7" t="str">
        <f>CONCATENATE(Q39,7)</f>
        <v>4131807</v>
      </c>
      <c r="T39" s="8" t="s">
        <v>596</v>
      </c>
      <c r="U39" s="7" t="s">
        <v>597</v>
      </c>
      <c r="V39" s="8" t="s">
        <v>508</v>
      </c>
    </row>
    <row r="40" spans="1:22" x14ac:dyDescent="0.2">
      <c r="A40" s="8" t="s">
        <v>370</v>
      </c>
      <c r="B40" s="9">
        <v>18754354</v>
      </c>
      <c r="C40" s="8" t="s">
        <v>508</v>
      </c>
      <c r="D40" s="10">
        <v>413180</v>
      </c>
      <c r="E40" s="11">
        <v>45839</v>
      </c>
      <c r="F40" s="8" t="s">
        <v>510</v>
      </c>
      <c r="G40" s="8" t="s">
        <v>513</v>
      </c>
      <c r="H40" s="8" t="s">
        <v>45</v>
      </c>
      <c r="I40" s="12">
        <v>10</v>
      </c>
      <c r="J40" s="12">
        <v>1.84</v>
      </c>
      <c r="K40" s="12">
        <v>0.18</v>
      </c>
      <c r="L40" s="8" t="s">
        <v>52</v>
      </c>
      <c r="M40" s="11">
        <v>45474</v>
      </c>
      <c r="N40" s="7" t="s">
        <v>520</v>
      </c>
      <c r="Q40" s="10">
        <v>413180</v>
      </c>
      <c r="R40" s="7" t="str">
        <f>CONCATENATE(Q40,7)</f>
        <v>4131807</v>
      </c>
      <c r="T40" s="8" t="s">
        <v>596</v>
      </c>
      <c r="U40" s="7" t="s">
        <v>597</v>
      </c>
      <c r="V40" s="8" t="s">
        <v>508</v>
      </c>
    </row>
    <row r="41" spans="1:22" x14ac:dyDescent="0.2">
      <c r="A41" s="8" t="s">
        <v>370</v>
      </c>
      <c r="B41" s="9">
        <v>18754354</v>
      </c>
      <c r="C41" s="8" t="s">
        <v>508</v>
      </c>
      <c r="D41" s="10">
        <v>413180</v>
      </c>
      <c r="E41" s="11">
        <v>45870</v>
      </c>
      <c r="F41" s="8" t="s">
        <v>48</v>
      </c>
      <c r="G41" s="8" t="s">
        <v>513</v>
      </c>
      <c r="H41" s="8" t="s">
        <v>45</v>
      </c>
      <c r="I41" s="12">
        <v>10</v>
      </c>
      <c r="J41" s="12">
        <v>21.21</v>
      </c>
      <c r="K41" s="12">
        <v>2.12</v>
      </c>
      <c r="L41" s="8" t="s">
        <v>52</v>
      </c>
      <c r="M41" s="11">
        <v>45474</v>
      </c>
      <c r="N41" s="7" t="s">
        <v>520</v>
      </c>
      <c r="Q41" s="10">
        <v>413180</v>
      </c>
      <c r="R41" s="7" t="str">
        <f>CONCATENATE(Q41,7)</f>
        <v>4131807</v>
      </c>
      <c r="T41" s="8" t="s">
        <v>596</v>
      </c>
      <c r="U41" s="7" t="s">
        <v>597</v>
      </c>
      <c r="V41" s="8" t="s">
        <v>508</v>
      </c>
    </row>
    <row r="42" spans="1:22" x14ac:dyDescent="0.2">
      <c r="A42" s="8" t="s">
        <v>370</v>
      </c>
      <c r="B42" s="9">
        <v>18754354</v>
      </c>
      <c r="C42" s="8" t="s">
        <v>508</v>
      </c>
      <c r="D42" s="10">
        <v>413180</v>
      </c>
      <c r="E42" s="11">
        <v>45809</v>
      </c>
      <c r="F42" s="8" t="s">
        <v>511</v>
      </c>
      <c r="G42" s="8" t="s">
        <v>512</v>
      </c>
      <c r="H42" s="8" t="s">
        <v>45</v>
      </c>
      <c r="I42" s="12">
        <v>10</v>
      </c>
      <c r="J42" s="12">
        <v>2.69</v>
      </c>
      <c r="K42" s="12">
        <v>0.27</v>
      </c>
      <c r="L42" s="8" t="s">
        <v>71</v>
      </c>
      <c r="M42" s="11">
        <v>45474</v>
      </c>
      <c r="N42" s="7" t="s">
        <v>520</v>
      </c>
      <c r="Q42" s="10">
        <v>413180</v>
      </c>
      <c r="R42" s="7" t="str">
        <f>CONCATENATE(Q42,7)</f>
        <v>4131807</v>
      </c>
      <c r="T42" s="8" t="s">
        <v>596</v>
      </c>
      <c r="U42" s="7" t="s">
        <v>597</v>
      </c>
      <c r="V42" s="8" t="s">
        <v>508</v>
      </c>
    </row>
    <row r="43" spans="1:22" x14ac:dyDescent="0.2">
      <c r="A43" s="8" t="s">
        <v>370</v>
      </c>
      <c r="B43" s="9">
        <v>18754354</v>
      </c>
      <c r="C43" s="8" t="s">
        <v>508</v>
      </c>
      <c r="D43" s="10">
        <v>413180</v>
      </c>
      <c r="E43" s="11">
        <v>45839</v>
      </c>
      <c r="F43" s="8" t="s">
        <v>510</v>
      </c>
      <c r="G43" s="8" t="s">
        <v>512</v>
      </c>
      <c r="H43" s="8" t="s">
        <v>45</v>
      </c>
      <c r="I43" s="12">
        <v>10</v>
      </c>
      <c r="J43" s="12">
        <v>7.95</v>
      </c>
      <c r="K43" s="12">
        <v>0.8</v>
      </c>
      <c r="L43" s="8" t="s">
        <v>52</v>
      </c>
      <c r="M43" s="11">
        <v>45474</v>
      </c>
      <c r="N43" s="7" t="s">
        <v>520</v>
      </c>
      <c r="Q43" s="10">
        <v>413180</v>
      </c>
      <c r="R43" s="7" t="str">
        <f>CONCATENATE(Q43,7)</f>
        <v>4131807</v>
      </c>
      <c r="T43" s="8" t="s">
        <v>596</v>
      </c>
      <c r="U43" s="7" t="s">
        <v>597</v>
      </c>
      <c r="V43" s="8" t="s">
        <v>508</v>
      </c>
    </row>
    <row r="44" spans="1:22" x14ac:dyDescent="0.2">
      <c r="A44" s="8" t="s">
        <v>370</v>
      </c>
      <c r="B44" s="9">
        <v>18754354</v>
      </c>
      <c r="C44" s="8" t="s">
        <v>508</v>
      </c>
      <c r="D44" s="10">
        <v>413180</v>
      </c>
      <c r="E44" s="11">
        <v>45870</v>
      </c>
      <c r="F44" s="8" t="s">
        <v>48</v>
      </c>
      <c r="G44" s="8" t="s">
        <v>512</v>
      </c>
      <c r="H44" s="8" t="s">
        <v>45</v>
      </c>
      <c r="I44" s="12">
        <v>10</v>
      </c>
      <c r="J44" s="12">
        <v>91.91</v>
      </c>
      <c r="K44" s="12">
        <v>9.19</v>
      </c>
      <c r="L44" s="8" t="s">
        <v>52</v>
      </c>
      <c r="M44" s="11">
        <v>45474</v>
      </c>
      <c r="N44" s="7" t="s">
        <v>520</v>
      </c>
      <c r="Q44" s="10">
        <v>413180</v>
      </c>
      <c r="R44" s="7" t="str">
        <f>CONCATENATE(Q44,7)</f>
        <v>4131807</v>
      </c>
      <c r="T44" s="8" t="s">
        <v>596</v>
      </c>
      <c r="U44" s="7" t="s">
        <v>597</v>
      </c>
      <c r="V44" s="8" t="s">
        <v>508</v>
      </c>
    </row>
    <row r="45" spans="1:22" x14ac:dyDescent="0.2">
      <c r="A45" s="8" t="s">
        <v>370</v>
      </c>
      <c r="B45" s="9">
        <v>18754354</v>
      </c>
      <c r="C45" s="8" t="s">
        <v>508</v>
      </c>
      <c r="D45" s="10">
        <v>413180</v>
      </c>
      <c r="E45" s="11">
        <v>45839</v>
      </c>
      <c r="F45" s="8" t="s">
        <v>510</v>
      </c>
      <c r="G45" s="8" t="s">
        <v>478</v>
      </c>
      <c r="H45" s="8" t="s">
        <v>45</v>
      </c>
      <c r="I45" s="12">
        <v>10</v>
      </c>
      <c r="J45" s="12">
        <v>247.14</v>
      </c>
      <c r="K45" s="12">
        <v>24.71</v>
      </c>
      <c r="L45" s="8" t="s">
        <v>52</v>
      </c>
      <c r="M45" s="11">
        <v>45474</v>
      </c>
      <c r="N45" s="7" t="s">
        <v>520</v>
      </c>
      <c r="Q45" s="10">
        <v>413180</v>
      </c>
      <c r="R45" s="7" t="str">
        <f>CONCATENATE(Q45,7)</f>
        <v>4131807</v>
      </c>
      <c r="T45" s="8" t="s">
        <v>596</v>
      </c>
      <c r="U45" s="7" t="s">
        <v>597</v>
      </c>
      <c r="V45" s="8" t="s">
        <v>508</v>
      </c>
    </row>
    <row r="46" spans="1:22" x14ac:dyDescent="0.2">
      <c r="A46" s="8" t="s">
        <v>370</v>
      </c>
      <c r="B46" s="9">
        <v>18754354</v>
      </c>
      <c r="C46" s="8" t="s">
        <v>508</v>
      </c>
      <c r="D46" s="10">
        <v>413180</v>
      </c>
      <c r="E46" s="11">
        <v>45870</v>
      </c>
      <c r="F46" s="8" t="s">
        <v>48</v>
      </c>
      <c r="G46" s="8" t="s">
        <v>478</v>
      </c>
      <c r="H46" s="8" t="s">
        <v>45</v>
      </c>
      <c r="I46" s="12">
        <v>10</v>
      </c>
      <c r="J46" s="12">
        <v>922.04</v>
      </c>
      <c r="K46" s="12">
        <v>92.2</v>
      </c>
      <c r="L46" s="8" t="s">
        <v>52</v>
      </c>
      <c r="M46" s="11">
        <v>45474</v>
      </c>
      <c r="N46" s="7" t="s">
        <v>520</v>
      </c>
      <c r="Q46" s="10">
        <v>413180</v>
      </c>
      <c r="R46" s="7" t="str">
        <f>CONCATENATE(Q46,7)</f>
        <v>4131807</v>
      </c>
      <c r="T46" s="8" t="s">
        <v>596</v>
      </c>
      <c r="U46" s="7" t="s">
        <v>597</v>
      </c>
      <c r="V46" s="8" t="s">
        <v>508</v>
      </c>
    </row>
    <row r="47" spans="1:22" x14ac:dyDescent="0.2">
      <c r="A47" s="8" t="s">
        <v>370</v>
      </c>
      <c r="B47" s="9">
        <v>18754354</v>
      </c>
      <c r="C47" s="8" t="s">
        <v>508</v>
      </c>
      <c r="D47" s="10">
        <v>413180</v>
      </c>
      <c r="E47" s="11">
        <v>45839</v>
      </c>
      <c r="F47" s="8" t="s">
        <v>510</v>
      </c>
      <c r="G47" s="8" t="s">
        <v>470</v>
      </c>
      <c r="H47" s="8" t="s">
        <v>45</v>
      </c>
      <c r="I47" s="12">
        <v>10</v>
      </c>
      <c r="J47" s="12">
        <v>63.72</v>
      </c>
      <c r="K47" s="12">
        <v>6.37</v>
      </c>
      <c r="L47" s="8" t="s">
        <v>52</v>
      </c>
      <c r="M47" s="11">
        <v>45474</v>
      </c>
      <c r="N47" s="7" t="s">
        <v>520</v>
      </c>
      <c r="Q47" s="10">
        <v>413180</v>
      </c>
      <c r="R47" s="7" t="str">
        <f>CONCATENATE(Q47,7)</f>
        <v>4131807</v>
      </c>
      <c r="T47" s="8" t="s">
        <v>596</v>
      </c>
      <c r="U47" s="7" t="s">
        <v>597</v>
      </c>
      <c r="V47" s="8" t="s">
        <v>508</v>
      </c>
    </row>
    <row r="48" spans="1:22" x14ac:dyDescent="0.2">
      <c r="A48" s="8" t="s">
        <v>370</v>
      </c>
      <c r="B48" s="9">
        <v>18754354</v>
      </c>
      <c r="C48" s="8" t="s">
        <v>508</v>
      </c>
      <c r="D48" s="10">
        <v>413180</v>
      </c>
      <c r="E48" s="11">
        <v>45809</v>
      </c>
      <c r="F48" s="8" t="s">
        <v>511</v>
      </c>
      <c r="G48" s="8" t="s">
        <v>470</v>
      </c>
      <c r="H48" s="8" t="s">
        <v>45</v>
      </c>
      <c r="I48" s="12">
        <v>10</v>
      </c>
      <c r="J48" s="12">
        <v>8.44</v>
      </c>
      <c r="K48" s="12">
        <v>0.84</v>
      </c>
      <c r="L48" s="8" t="s">
        <v>71</v>
      </c>
      <c r="M48" s="11">
        <v>45474</v>
      </c>
      <c r="N48" s="7" t="s">
        <v>520</v>
      </c>
      <c r="Q48" s="10">
        <v>413180</v>
      </c>
      <c r="R48" s="7" t="str">
        <f>CONCATENATE(Q48,7)</f>
        <v>4131807</v>
      </c>
      <c r="T48" s="8" t="s">
        <v>596</v>
      </c>
      <c r="U48" s="7" t="s">
        <v>597</v>
      </c>
      <c r="V48" s="8" t="s">
        <v>508</v>
      </c>
    </row>
    <row r="49" spans="1:22" x14ac:dyDescent="0.2">
      <c r="A49" s="8" t="s">
        <v>370</v>
      </c>
      <c r="B49" s="9">
        <v>18754354</v>
      </c>
      <c r="C49" s="8" t="s">
        <v>508</v>
      </c>
      <c r="D49" s="10">
        <v>413180</v>
      </c>
      <c r="E49" s="11">
        <v>45870</v>
      </c>
      <c r="F49" s="8" t="s">
        <v>48</v>
      </c>
      <c r="G49" s="8" t="s">
        <v>470</v>
      </c>
      <c r="H49" s="8" t="s">
        <v>45</v>
      </c>
      <c r="I49" s="12">
        <v>10</v>
      </c>
      <c r="J49" s="12">
        <v>179.55</v>
      </c>
      <c r="K49" s="12">
        <v>17.96</v>
      </c>
      <c r="L49" s="8" t="s">
        <v>52</v>
      </c>
      <c r="M49" s="11">
        <v>45474</v>
      </c>
      <c r="N49" s="7" t="s">
        <v>520</v>
      </c>
      <c r="Q49" s="10">
        <v>413180</v>
      </c>
      <c r="R49" s="7" t="str">
        <f>CONCATENATE(Q49,7)</f>
        <v>4131807</v>
      </c>
      <c r="T49" s="8" t="s">
        <v>596</v>
      </c>
      <c r="U49" s="7" t="s">
        <v>597</v>
      </c>
      <c r="V49" s="8" t="s">
        <v>508</v>
      </c>
    </row>
    <row r="50" spans="1:22" x14ac:dyDescent="0.2">
      <c r="A50" s="8" t="s">
        <v>385</v>
      </c>
      <c r="B50" s="9">
        <v>19396223</v>
      </c>
      <c r="C50" s="8" t="s">
        <v>390</v>
      </c>
      <c r="D50" s="8" t="s">
        <v>391</v>
      </c>
      <c r="E50" s="11">
        <v>45870</v>
      </c>
      <c r="F50" s="8" t="s">
        <v>48</v>
      </c>
      <c r="G50" s="8" t="s">
        <v>50</v>
      </c>
      <c r="H50" s="8" t="s">
        <v>51</v>
      </c>
      <c r="I50" s="12">
        <v>1</v>
      </c>
      <c r="J50" s="12">
        <v>1</v>
      </c>
      <c r="K50" s="12">
        <v>26.08</v>
      </c>
      <c r="L50" s="8" t="s">
        <v>52</v>
      </c>
      <c r="M50" s="11">
        <v>45566</v>
      </c>
      <c r="N50" s="7" t="s">
        <v>523</v>
      </c>
      <c r="O50" s="7" t="s">
        <v>530</v>
      </c>
      <c r="Q50" s="8" t="s">
        <v>391</v>
      </c>
      <c r="R50" s="7" t="str">
        <f>CONCATENATE(Q50,6)</f>
        <v>00022063091K6</v>
      </c>
      <c r="T50" s="8" t="s">
        <v>600</v>
      </c>
      <c r="U50" s="7" t="s">
        <v>601</v>
      </c>
      <c r="V50" s="7" t="str">
        <f>CONCATENATE(U50, " ", T50)</f>
        <v>FARZANA AKRAM</v>
      </c>
    </row>
    <row r="51" spans="1:22" x14ac:dyDescent="0.2">
      <c r="A51" s="8" t="s">
        <v>385</v>
      </c>
      <c r="B51" s="9">
        <v>19396223</v>
      </c>
      <c r="C51" s="8" t="s">
        <v>394</v>
      </c>
      <c r="D51" s="8" t="s">
        <v>395</v>
      </c>
      <c r="E51" s="11">
        <v>45870</v>
      </c>
      <c r="F51" s="8" t="s">
        <v>48</v>
      </c>
      <c r="G51" s="8" t="s">
        <v>50</v>
      </c>
      <c r="H51" s="8" t="s">
        <v>51</v>
      </c>
      <c r="I51" s="12">
        <v>1</v>
      </c>
      <c r="J51" s="12">
        <v>1</v>
      </c>
      <c r="K51" s="12">
        <v>26.08</v>
      </c>
      <c r="L51" s="8" t="s">
        <v>52</v>
      </c>
      <c r="M51" s="11">
        <v>45627</v>
      </c>
      <c r="N51" s="7" t="s">
        <v>523</v>
      </c>
      <c r="O51" s="7" t="s">
        <v>530</v>
      </c>
      <c r="Q51" s="8" t="s">
        <v>395</v>
      </c>
      <c r="R51" s="7" t="str">
        <f>CONCATENATE(Q51,6)</f>
        <v>00022627896K6</v>
      </c>
      <c r="T51" s="8" t="s">
        <v>736</v>
      </c>
      <c r="U51" s="7" t="s">
        <v>677</v>
      </c>
      <c r="V51" s="7" t="str">
        <f>CONCATENATE(U51, " ", T51)</f>
        <v>MARY LUPOU</v>
      </c>
    </row>
    <row r="52" spans="1:22" x14ac:dyDescent="0.2">
      <c r="A52" s="8" t="s">
        <v>385</v>
      </c>
      <c r="B52" s="9">
        <v>19396223</v>
      </c>
      <c r="C52" s="8" t="s">
        <v>388</v>
      </c>
      <c r="D52" s="8" t="s">
        <v>389</v>
      </c>
      <c r="E52" s="11">
        <v>45870</v>
      </c>
      <c r="F52" s="8" t="s">
        <v>48</v>
      </c>
      <c r="G52" s="8" t="s">
        <v>50</v>
      </c>
      <c r="H52" s="8" t="s">
        <v>62</v>
      </c>
      <c r="I52" s="12">
        <v>1</v>
      </c>
      <c r="J52" s="12">
        <v>1</v>
      </c>
      <c r="K52" s="12">
        <v>26.08</v>
      </c>
      <c r="L52" s="8" t="s">
        <v>52</v>
      </c>
      <c r="M52" s="11">
        <v>45627</v>
      </c>
      <c r="N52" s="7" t="s">
        <v>523</v>
      </c>
      <c r="O52" s="7" t="s">
        <v>530</v>
      </c>
      <c r="Q52" s="8" t="s">
        <v>389</v>
      </c>
      <c r="R52" s="7" t="str">
        <f>CONCATENATE(Q52,6)</f>
        <v>00017632868K6</v>
      </c>
      <c r="T52" s="8" t="s">
        <v>790</v>
      </c>
      <c r="U52" s="7" t="s">
        <v>791</v>
      </c>
      <c r="V52" s="7" t="str">
        <f>CONCATENATE(U52, " ", T52)</f>
        <v>MOHAMMED SALEEM</v>
      </c>
    </row>
    <row r="53" spans="1:22" x14ac:dyDescent="0.2">
      <c r="A53" s="8" t="s">
        <v>385</v>
      </c>
      <c r="B53" s="9">
        <v>19396223</v>
      </c>
      <c r="C53" s="8" t="s">
        <v>392</v>
      </c>
      <c r="D53" s="8" t="s">
        <v>393</v>
      </c>
      <c r="E53" s="11">
        <v>45870</v>
      </c>
      <c r="F53" s="8" t="s">
        <v>48</v>
      </c>
      <c r="G53" s="8" t="s">
        <v>50</v>
      </c>
      <c r="H53" s="8" t="s">
        <v>62</v>
      </c>
      <c r="I53" s="12">
        <v>1</v>
      </c>
      <c r="J53" s="12">
        <v>1</v>
      </c>
      <c r="K53" s="12">
        <v>26.08</v>
      </c>
      <c r="L53" s="8" t="s">
        <v>52</v>
      </c>
      <c r="M53" s="11">
        <v>45597</v>
      </c>
      <c r="N53" s="7" t="s">
        <v>523</v>
      </c>
      <c r="O53" s="7" t="s">
        <v>530</v>
      </c>
      <c r="Q53" s="8" t="s">
        <v>393</v>
      </c>
      <c r="R53" s="7" t="str">
        <f>CONCATENATE(Q53,6)</f>
        <v>00022386017K6</v>
      </c>
      <c r="T53" s="8" t="s">
        <v>852</v>
      </c>
      <c r="U53" s="7" t="s">
        <v>827</v>
      </c>
      <c r="V53" s="7" t="str">
        <f>CONCATENATE(U53, " ", T53)</f>
        <v>KATHY VAN HORN</v>
      </c>
    </row>
    <row r="54" spans="1:22" x14ac:dyDescent="0.2">
      <c r="A54" s="8" t="s">
        <v>73</v>
      </c>
      <c r="B54" s="9">
        <v>7470776</v>
      </c>
      <c r="C54" s="8" t="s">
        <v>74</v>
      </c>
      <c r="D54" s="8" t="s">
        <v>75</v>
      </c>
      <c r="E54" s="11">
        <v>45870</v>
      </c>
      <c r="F54" s="8" t="s">
        <v>48</v>
      </c>
      <c r="G54" s="8" t="s">
        <v>50</v>
      </c>
      <c r="H54" s="8" t="s">
        <v>62</v>
      </c>
      <c r="I54" s="12">
        <v>1</v>
      </c>
      <c r="J54" s="12">
        <v>1</v>
      </c>
      <c r="K54" s="12">
        <v>26.08</v>
      </c>
      <c r="L54" s="8" t="s">
        <v>52</v>
      </c>
      <c r="M54" s="11">
        <v>45627</v>
      </c>
      <c r="N54" s="7" t="s">
        <v>523</v>
      </c>
      <c r="O54" s="7" t="s">
        <v>530</v>
      </c>
      <c r="Q54" s="8" t="s">
        <v>75</v>
      </c>
      <c r="R54" s="7" t="str">
        <f>CONCATENATE(Q54,6)</f>
        <v>00022193283K6</v>
      </c>
      <c r="T54" s="8" t="s">
        <v>741</v>
      </c>
      <c r="U54" s="7" t="s">
        <v>742</v>
      </c>
      <c r="V54" s="7" t="str">
        <f>CONCATENATE(U54, " ", T54)</f>
        <v>JOHN MCGARY</v>
      </c>
    </row>
    <row r="55" spans="1:22" x14ac:dyDescent="0.2">
      <c r="A55" s="8" t="s">
        <v>248</v>
      </c>
      <c r="B55" s="9">
        <v>1706194</v>
      </c>
      <c r="C55" s="8" t="s">
        <v>253</v>
      </c>
      <c r="D55" s="8" t="s">
        <v>254</v>
      </c>
      <c r="E55" s="11">
        <v>45901</v>
      </c>
      <c r="F55" s="8" t="s">
        <v>69</v>
      </c>
      <c r="G55" s="8" t="s">
        <v>50</v>
      </c>
      <c r="H55" s="8" t="s">
        <v>62</v>
      </c>
      <c r="I55" s="12">
        <v>0.33</v>
      </c>
      <c r="J55" s="12">
        <v>1</v>
      </c>
      <c r="K55" s="12">
        <v>104.33</v>
      </c>
      <c r="L55" s="8" t="s">
        <v>71</v>
      </c>
      <c r="M55" s="11">
        <v>45901</v>
      </c>
      <c r="N55" s="7" t="s">
        <v>523</v>
      </c>
      <c r="O55" s="7" t="s">
        <v>529</v>
      </c>
      <c r="Q55" s="8" t="s">
        <v>254</v>
      </c>
      <c r="R55" s="7" t="str">
        <f>CONCATENATE(Q55,6)</f>
        <v>00023554173K6</v>
      </c>
      <c r="T55" s="8" t="s">
        <v>818</v>
      </c>
      <c r="U55" s="7" t="s">
        <v>801</v>
      </c>
      <c r="V55" s="7" t="str">
        <f>CONCATENATE(U55, " ", T55)</f>
        <v>MARILYN TIBALDI</v>
      </c>
    </row>
    <row r="56" spans="1:22" x14ac:dyDescent="0.2">
      <c r="A56" s="8" t="s">
        <v>248</v>
      </c>
      <c r="B56" s="9">
        <v>1706194</v>
      </c>
      <c r="C56" s="8" t="s">
        <v>249</v>
      </c>
      <c r="D56" s="8" t="s">
        <v>250</v>
      </c>
      <c r="E56" s="11">
        <v>45962</v>
      </c>
      <c r="F56" s="8" t="s">
        <v>252</v>
      </c>
      <c r="G56" s="8" t="s">
        <v>50</v>
      </c>
      <c r="H56" s="8" t="s">
        <v>90</v>
      </c>
      <c r="I56" s="12">
        <v>0.17</v>
      </c>
      <c r="J56" s="12">
        <v>1</v>
      </c>
      <c r="K56" s="12">
        <v>52.17</v>
      </c>
      <c r="L56" s="8" t="s">
        <v>71</v>
      </c>
      <c r="M56" s="11">
        <v>45962</v>
      </c>
      <c r="N56" s="7" t="s">
        <v>523</v>
      </c>
      <c r="O56" s="7" t="s">
        <v>533</v>
      </c>
      <c r="Q56" s="8" t="s">
        <v>250</v>
      </c>
      <c r="R56" s="7" t="str">
        <f>CONCATENATE(Q56,6)</f>
        <v>00023539684K6</v>
      </c>
      <c r="T56" s="8" t="s">
        <v>846</v>
      </c>
      <c r="U56" s="7" t="s">
        <v>630</v>
      </c>
      <c r="V56" s="7" t="str">
        <f>CONCATENATE(U56, " ", T56)</f>
        <v>LISA YOUNG</v>
      </c>
    </row>
    <row r="57" spans="1:22" x14ac:dyDescent="0.2">
      <c r="A57" s="8" t="s">
        <v>282</v>
      </c>
      <c r="B57" s="9">
        <v>17126004</v>
      </c>
      <c r="C57" s="8" t="s">
        <v>293</v>
      </c>
      <c r="D57" s="8" t="s">
        <v>294</v>
      </c>
      <c r="E57" s="11">
        <v>45870</v>
      </c>
      <c r="F57" s="8" t="s">
        <v>48</v>
      </c>
      <c r="G57" s="8" t="s">
        <v>50</v>
      </c>
      <c r="H57" s="8" t="s">
        <v>62</v>
      </c>
      <c r="I57" s="12">
        <v>1</v>
      </c>
      <c r="J57" s="12">
        <v>1</v>
      </c>
      <c r="K57" s="12">
        <v>26.08</v>
      </c>
      <c r="L57" s="8" t="s">
        <v>52</v>
      </c>
      <c r="M57" s="11">
        <v>45566</v>
      </c>
      <c r="N57" s="7" t="s">
        <v>523</v>
      </c>
      <c r="O57" s="7" t="s">
        <v>530</v>
      </c>
      <c r="Q57" s="8" t="s">
        <v>294</v>
      </c>
      <c r="R57" s="7" t="str">
        <f>CONCATENATE(Q57,6)</f>
        <v>00022082807K6</v>
      </c>
      <c r="T57" s="8" t="s">
        <v>631</v>
      </c>
      <c r="U57" s="7" t="s">
        <v>632</v>
      </c>
      <c r="V57" s="7" t="str">
        <f>CONCATENATE(U57, " ", T57)</f>
        <v>MARCELINO CENTENO</v>
      </c>
    </row>
    <row r="58" spans="1:22" x14ac:dyDescent="0.2">
      <c r="A58" s="8" t="s">
        <v>282</v>
      </c>
      <c r="B58" s="9">
        <v>17126004</v>
      </c>
      <c r="C58" s="8" t="s">
        <v>291</v>
      </c>
      <c r="D58" s="8" t="s">
        <v>292</v>
      </c>
      <c r="E58" s="11">
        <v>45870</v>
      </c>
      <c r="F58" s="8" t="s">
        <v>48</v>
      </c>
      <c r="G58" s="8" t="s">
        <v>50</v>
      </c>
      <c r="H58" s="8" t="s">
        <v>62</v>
      </c>
      <c r="I58" s="12">
        <v>1</v>
      </c>
      <c r="J58" s="12">
        <v>1</v>
      </c>
      <c r="K58" s="12">
        <v>26.08</v>
      </c>
      <c r="L58" s="8" t="s">
        <v>52</v>
      </c>
      <c r="M58" s="11">
        <v>45566</v>
      </c>
      <c r="N58" s="7" t="s">
        <v>523</v>
      </c>
      <c r="O58" s="7" t="s">
        <v>530</v>
      </c>
      <c r="Q58" s="8" t="s">
        <v>292</v>
      </c>
      <c r="R58" s="7" t="str">
        <f>CONCATENATE(Q58,6)</f>
        <v>00021970944K6</v>
      </c>
      <c r="T58" s="8" t="s">
        <v>638</v>
      </c>
      <c r="U58" s="7" t="s">
        <v>639</v>
      </c>
      <c r="V58" s="7" t="str">
        <f>CONCATENATE(U58, " ", T58)</f>
        <v>BRIAN CHINDERLE</v>
      </c>
    </row>
    <row r="59" spans="1:22" x14ac:dyDescent="0.2">
      <c r="A59" s="8" t="s">
        <v>282</v>
      </c>
      <c r="B59" s="9">
        <v>17126004</v>
      </c>
      <c r="C59" s="8" t="s">
        <v>297</v>
      </c>
      <c r="D59" s="8" t="s">
        <v>298</v>
      </c>
      <c r="E59" s="11">
        <v>45870</v>
      </c>
      <c r="F59" s="8" t="s">
        <v>48</v>
      </c>
      <c r="G59" s="8" t="s">
        <v>50</v>
      </c>
      <c r="H59" s="8" t="s">
        <v>62</v>
      </c>
      <c r="I59" s="12">
        <v>1</v>
      </c>
      <c r="J59" s="12">
        <v>1</v>
      </c>
      <c r="K59" s="12">
        <v>26.08</v>
      </c>
      <c r="L59" s="8" t="s">
        <v>52</v>
      </c>
      <c r="M59" s="11">
        <v>45627</v>
      </c>
      <c r="N59" s="7" t="s">
        <v>523</v>
      </c>
      <c r="O59" s="7" t="s">
        <v>530</v>
      </c>
      <c r="Q59" s="8" t="s">
        <v>298</v>
      </c>
      <c r="R59" s="7" t="str">
        <f>CONCATENATE(Q59,6)</f>
        <v>00022643625K6</v>
      </c>
      <c r="T59" s="8" t="s">
        <v>680</v>
      </c>
      <c r="U59" s="7" t="s">
        <v>681</v>
      </c>
      <c r="V59" s="7" t="str">
        <f>CONCATENATE(U59, " ", T59)</f>
        <v>LORRAINE HACKMAN</v>
      </c>
    </row>
    <row r="60" spans="1:22" x14ac:dyDescent="0.2">
      <c r="A60" s="8" t="s">
        <v>282</v>
      </c>
      <c r="B60" s="9">
        <v>17126004</v>
      </c>
      <c r="C60" s="8" t="s">
        <v>287</v>
      </c>
      <c r="D60" s="8" t="s">
        <v>288</v>
      </c>
      <c r="E60" s="11">
        <v>45870</v>
      </c>
      <c r="F60" s="8" t="s">
        <v>48</v>
      </c>
      <c r="G60" s="8" t="s">
        <v>50</v>
      </c>
      <c r="H60" s="8" t="s">
        <v>62</v>
      </c>
      <c r="I60" s="12">
        <v>1</v>
      </c>
      <c r="J60" s="12">
        <v>1</v>
      </c>
      <c r="K60" s="12">
        <v>26.08</v>
      </c>
      <c r="L60" s="8" t="s">
        <v>52</v>
      </c>
      <c r="M60" s="11">
        <v>45505</v>
      </c>
      <c r="N60" s="7" t="s">
        <v>523</v>
      </c>
      <c r="O60" s="7" t="s">
        <v>530</v>
      </c>
      <c r="Q60" s="8" t="s">
        <v>288</v>
      </c>
      <c r="R60" s="7" t="str">
        <f>CONCATENATE(Q60,6)</f>
        <v>00021908647K6</v>
      </c>
      <c r="T60" s="8" t="s">
        <v>743</v>
      </c>
      <c r="U60" s="7" t="s">
        <v>688</v>
      </c>
      <c r="V60" s="7" t="str">
        <f>CONCATENATE(U60, " ", T60)</f>
        <v>PATRICIA MCGRAIL</v>
      </c>
    </row>
    <row r="61" spans="1:22" x14ac:dyDescent="0.2">
      <c r="A61" s="8" t="s">
        <v>282</v>
      </c>
      <c r="B61" s="9">
        <v>17126004</v>
      </c>
      <c r="C61" s="8" t="s">
        <v>283</v>
      </c>
      <c r="D61" s="8" t="s">
        <v>284</v>
      </c>
      <c r="E61" s="11">
        <v>45870</v>
      </c>
      <c r="F61" s="8" t="s">
        <v>48</v>
      </c>
      <c r="G61" s="8" t="s">
        <v>50</v>
      </c>
      <c r="H61" s="8" t="s">
        <v>62</v>
      </c>
      <c r="I61" s="12">
        <v>1</v>
      </c>
      <c r="J61" s="12">
        <v>1</v>
      </c>
      <c r="K61" s="12">
        <v>26.08</v>
      </c>
      <c r="L61" s="8" t="s">
        <v>52</v>
      </c>
      <c r="M61" s="11">
        <v>45536</v>
      </c>
      <c r="N61" s="7" t="s">
        <v>523</v>
      </c>
      <c r="O61" s="7" t="s">
        <v>530</v>
      </c>
      <c r="Q61" s="8" t="s">
        <v>284</v>
      </c>
      <c r="R61" s="7" t="str">
        <f>CONCATENATE(Q61,6)</f>
        <v>00016845150K6</v>
      </c>
      <c r="T61" s="8" t="s">
        <v>851</v>
      </c>
      <c r="U61" s="7" t="s">
        <v>758</v>
      </c>
      <c r="V61" s="7" t="str">
        <f>CONCATENATE(U61, " ", T61)</f>
        <v>MARIANNE O BRIEN</v>
      </c>
    </row>
    <row r="62" spans="1:22" x14ac:dyDescent="0.2">
      <c r="A62" s="8" t="s">
        <v>282</v>
      </c>
      <c r="B62" s="9">
        <v>17126004</v>
      </c>
      <c r="C62" s="8" t="s">
        <v>295</v>
      </c>
      <c r="D62" s="8" t="s">
        <v>296</v>
      </c>
      <c r="E62" s="11">
        <v>45870</v>
      </c>
      <c r="F62" s="8" t="s">
        <v>48</v>
      </c>
      <c r="G62" s="8" t="s">
        <v>50</v>
      </c>
      <c r="H62" s="8" t="s">
        <v>62</v>
      </c>
      <c r="I62" s="12">
        <v>1</v>
      </c>
      <c r="J62" s="12">
        <v>1</v>
      </c>
      <c r="K62" s="12">
        <v>26.08</v>
      </c>
      <c r="L62" s="8" t="s">
        <v>52</v>
      </c>
      <c r="M62" s="11">
        <v>45627</v>
      </c>
      <c r="N62" s="7" t="s">
        <v>523</v>
      </c>
      <c r="O62" s="7" t="s">
        <v>530</v>
      </c>
      <c r="Q62" s="8" t="s">
        <v>296</v>
      </c>
      <c r="R62" s="7" t="str">
        <f>CONCATENATE(Q62,6)</f>
        <v>00022106958K6</v>
      </c>
      <c r="T62" s="8" t="s">
        <v>770</v>
      </c>
      <c r="U62" s="7" t="s">
        <v>771</v>
      </c>
      <c r="V62" s="7" t="str">
        <f>CONCATENATE(U62, " ", T62)</f>
        <v>DOREEN PUDLOWSKI</v>
      </c>
    </row>
    <row r="63" spans="1:22" x14ac:dyDescent="0.2">
      <c r="A63" s="8" t="s">
        <v>282</v>
      </c>
      <c r="B63" s="9">
        <v>17126004</v>
      </c>
      <c r="C63" s="8" t="s">
        <v>289</v>
      </c>
      <c r="D63" s="8" t="s">
        <v>290</v>
      </c>
      <c r="E63" s="11">
        <v>45870</v>
      </c>
      <c r="F63" s="8" t="s">
        <v>48</v>
      </c>
      <c r="G63" s="8" t="s">
        <v>50</v>
      </c>
      <c r="H63" s="8" t="s">
        <v>62</v>
      </c>
      <c r="I63" s="12">
        <v>1</v>
      </c>
      <c r="J63" s="12">
        <v>1</v>
      </c>
      <c r="K63" s="12">
        <v>26.08</v>
      </c>
      <c r="L63" s="8" t="s">
        <v>52</v>
      </c>
      <c r="M63" s="11">
        <v>45505</v>
      </c>
      <c r="N63" s="7" t="s">
        <v>523</v>
      </c>
      <c r="O63" s="7" t="s">
        <v>530</v>
      </c>
      <c r="Q63" s="8" t="s">
        <v>290</v>
      </c>
      <c r="R63" s="7" t="str">
        <f>CONCATENATE(Q63,6)</f>
        <v>00021937596K6</v>
      </c>
      <c r="T63" s="8" t="s">
        <v>772</v>
      </c>
      <c r="U63" s="7" t="s">
        <v>773</v>
      </c>
      <c r="V63" s="7" t="str">
        <f>CONCATENATE(U63, " ", T63)</f>
        <v>ALEXANDER RANCE</v>
      </c>
    </row>
    <row r="64" spans="1:22" x14ac:dyDescent="0.2">
      <c r="A64" s="8" t="s">
        <v>282</v>
      </c>
      <c r="B64" s="9">
        <v>17126004</v>
      </c>
      <c r="C64" s="8" t="s">
        <v>285</v>
      </c>
      <c r="D64" s="8" t="s">
        <v>286</v>
      </c>
      <c r="E64" s="11">
        <v>45870</v>
      </c>
      <c r="F64" s="8" t="s">
        <v>48</v>
      </c>
      <c r="G64" s="8" t="s">
        <v>50</v>
      </c>
      <c r="H64" s="8" t="s">
        <v>62</v>
      </c>
      <c r="I64" s="12">
        <v>1</v>
      </c>
      <c r="J64" s="12">
        <v>1</v>
      </c>
      <c r="K64" s="12">
        <v>26.08</v>
      </c>
      <c r="L64" s="8" t="s">
        <v>52</v>
      </c>
      <c r="M64" s="11">
        <v>45474</v>
      </c>
      <c r="N64" s="7" t="s">
        <v>523</v>
      </c>
      <c r="O64" s="7" t="s">
        <v>530</v>
      </c>
      <c r="Q64" s="8" t="s">
        <v>286</v>
      </c>
      <c r="R64" s="7" t="str">
        <f>CONCATENATE(Q64,6)</f>
        <v>00021892187K6</v>
      </c>
      <c r="T64" s="8" t="s">
        <v>794</v>
      </c>
      <c r="U64" s="7" t="s">
        <v>795</v>
      </c>
      <c r="V64" s="7" t="str">
        <f>CONCATENATE(U64, " ", T64)</f>
        <v>FRANK SCARDINA</v>
      </c>
    </row>
    <row r="65" spans="1:22" x14ac:dyDescent="0.2">
      <c r="A65" s="8" t="s">
        <v>430</v>
      </c>
      <c r="B65" s="9">
        <v>18828278</v>
      </c>
      <c r="C65" s="8" t="s">
        <v>435</v>
      </c>
      <c r="D65" s="8" t="s">
        <v>436</v>
      </c>
      <c r="E65" s="11">
        <v>45870</v>
      </c>
      <c r="F65" s="8" t="s">
        <v>48</v>
      </c>
      <c r="G65" s="8" t="s">
        <v>50</v>
      </c>
      <c r="H65" s="8" t="s">
        <v>62</v>
      </c>
      <c r="I65" s="12">
        <v>1</v>
      </c>
      <c r="J65" s="12">
        <v>1</v>
      </c>
      <c r="K65" s="12">
        <v>26.08</v>
      </c>
      <c r="L65" s="8" t="s">
        <v>52</v>
      </c>
      <c r="M65" s="11">
        <v>45566</v>
      </c>
      <c r="N65" s="7" t="s">
        <v>523</v>
      </c>
      <c r="O65" s="7" t="s">
        <v>530</v>
      </c>
      <c r="Q65" s="8" t="s">
        <v>436</v>
      </c>
      <c r="R65" s="7" t="str">
        <f>CONCATENATE(Q65,6)</f>
        <v>00022217599K6</v>
      </c>
      <c r="T65" s="8" t="s">
        <v>640</v>
      </c>
      <c r="U65" s="7" t="s">
        <v>641</v>
      </c>
      <c r="V65" s="7" t="str">
        <f>CONCATENATE(U65, " ", T65)</f>
        <v>CHRISTY CHUBICK</v>
      </c>
    </row>
    <row r="66" spans="1:22" x14ac:dyDescent="0.2">
      <c r="A66" s="8" t="s">
        <v>430</v>
      </c>
      <c r="B66" s="9">
        <v>18828278</v>
      </c>
      <c r="C66" s="8" t="s">
        <v>431</v>
      </c>
      <c r="D66" s="8" t="s">
        <v>432</v>
      </c>
      <c r="E66" s="11">
        <v>45870</v>
      </c>
      <c r="F66" s="8" t="s">
        <v>48</v>
      </c>
      <c r="G66" s="8" t="s">
        <v>50</v>
      </c>
      <c r="H66" s="8" t="s">
        <v>62</v>
      </c>
      <c r="I66" s="12">
        <v>1</v>
      </c>
      <c r="J66" s="12">
        <v>1</v>
      </c>
      <c r="K66" s="12">
        <v>26.08</v>
      </c>
      <c r="L66" s="8" t="s">
        <v>52</v>
      </c>
      <c r="M66" s="11">
        <v>45536</v>
      </c>
      <c r="N66" s="7" t="s">
        <v>523</v>
      </c>
      <c r="O66" s="7" t="s">
        <v>530</v>
      </c>
      <c r="Q66" s="8" t="s">
        <v>432</v>
      </c>
      <c r="R66" s="7" t="str">
        <f>CONCATENATE(Q66,6)</f>
        <v>00020751148K6</v>
      </c>
      <c r="T66" s="8" t="s">
        <v>646</v>
      </c>
      <c r="U66" s="7" t="s">
        <v>647</v>
      </c>
      <c r="V66" s="7" t="str">
        <f>CONCATENATE(U66, " ", T66)</f>
        <v>STEVEN CONNOR</v>
      </c>
    </row>
    <row r="67" spans="1:22" x14ac:dyDescent="0.2">
      <c r="A67" s="8" t="s">
        <v>430</v>
      </c>
      <c r="B67" s="9">
        <v>18828278</v>
      </c>
      <c r="C67" s="8" t="s">
        <v>433</v>
      </c>
      <c r="D67" s="8" t="s">
        <v>434</v>
      </c>
      <c r="E67" s="11">
        <v>45870</v>
      </c>
      <c r="F67" s="8" t="s">
        <v>48</v>
      </c>
      <c r="G67" s="8" t="s">
        <v>50</v>
      </c>
      <c r="H67" s="8" t="s">
        <v>51</v>
      </c>
      <c r="I67" s="12">
        <v>1</v>
      </c>
      <c r="J67" s="12">
        <v>1</v>
      </c>
      <c r="K67" s="12">
        <v>26.08</v>
      </c>
      <c r="L67" s="8" t="s">
        <v>52</v>
      </c>
      <c r="M67" s="11">
        <v>45536</v>
      </c>
      <c r="N67" s="7" t="s">
        <v>523</v>
      </c>
      <c r="O67" s="7" t="s">
        <v>530</v>
      </c>
      <c r="Q67" s="8" t="s">
        <v>434</v>
      </c>
      <c r="R67" s="7" t="str">
        <f>CONCATENATE(Q67,6)</f>
        <v>00021976197K6</v>
      </c>
      <c r="T67" s="8" t="s">
        <v>798</v>
      </c>
      <c r="U67" s="7" t="s">
        <v>799</v>
      </c>
      <c r="V67" s="7" t="str">
        <f>CONCATENATE(U67, " ", T67)</f>
        <v>SANDRA SCHEIDENHELM</v>
      </c>
    </row>
    <row r="68" spans="1:22" x14ac:dyDescent="0.2">
      <c r="A68" s="8" t="s">
        <v>430</v>
      </c>
      <c r="B68" s="9">
        <v>18828278</v>
      </c>
      <c r="C68" s="8" t="s">
        <v>437</v>
      </c>
      <c r="D68" s="8" t="s">
        <v>438</v>
      </c>
      <c r="E68" s="11">
        <v>45870</v>
      </c>
      <c r="F68" s="8" t="s">
        <v>48</v>
      </c>
      <c r="G68" s="8" t="s">
        <v>50</v>
      </c>
      <c r="H68" s="8" t="s">
        <v>62</v>
      </c>
      <c r="I68" s="12">
        <v>1</v>
      </c>
      <c r="J68" s="12">
        <v>1</v>
      </c>
      <c r="K68" s="12">
        <v>26.08</v>
      </c>
      <c r="L68" s="8" t="s">
        <v>52</v>
      </c>
      <c r="M68" s="11">
        <v>45627</v>
      </c>
      <c r="N68" s="7" t="s">
        <v>523</v>
      </c>
      <c r="O68" s="7" t="s">
        <v>530</v>
      </c>
      <c r="Q68" s="8" t="s">
        <v>438</v>
      </c>
      <c r="R68" s="7" t="str">
        <f>CONCATENATE(Q68,6)</f>
        <v>00022524693K6</v>
      </c>
      <c r="T68" s="8" t="s">
        <v>800</v>
      </c>
      <c r="U68" s="7" t="s">
        <v>801</v>
      </c>
      <c r="V68" s="7" t="str">
        <f>CONCATENATE(U68, " ", T68)</f>
        <v>MARILYN SCHUMM</v>
      </c>
    </row>
    <row r="69" spans="1:22" x14ac:dyDescent="0.2">
      <c r="A69" s="8" t="s">
        <v>339</v>
      </c>
      <c r="B69" s="9">
        <v>17774994</v>
      </c>
      <c r="C69" s="8" t="s">
        <v>340</v>
      </c>
      <c r="D69" s="8" t="s">
        <v>341</v>
      </c>
      <c r="E69" s="11">
        <v>45870</v>
      </c>
      <c r="F69" s="8" t="s">
        <v>48</v>
      </c>
      <c r="G69" s="8" t="s">
        <v>50</v>
      </c>
      <c r="H69" s="8" t="s">
        <v>62</v>
      </c>
      <c r="I69" s="12">
        <v>1</v>
      </c>
      <c r="J69" s="12">
        <v>1</v>
      </c>
      <c r="K69" s="12">
        <v>26.08</v>
      </c>
      <c r="L69" s="8" t="s">
        <v>52</v>
      </c>
      <c r="M69" s="11">
        <v>45597</v>
      </c>
      <c r="N69" s="7" t="s">
        <v>523</v>
      </c>
      <c r="O69" s="7" t="s">
        <v>530</v>
      </c>
      <c r="Q69" s="8" t="s">
        <v>341</v>
      </c>
      <c r="R69" s="7" t="str">
        <f>CONCATENATE(Q69,6)</f>
        <v>00022242482K6</v>
      </c>
      <c r="T69" s="8" t="s">
        <v>734</v>
      </c>
      <c r="U69" s="7" t="s">
        <v>735</v>
      </c>
      <c r="V69" s="7" t="str">
        <f>CONCATENATE(U69, " ", T69)</f>
        <v>MONICA LOREY</v>
      </c>
    </row>
    <row r="70" spans="1:22" x14ac:dyDescent="0.2">
      <c r="A70" s="8" t="s">
        <v>314</v>
      </c>
      <c r="B70" s="9">
        <v>17425766</v>
      </c>
      <c r="C70" s="8" t="s">
        <v>317</v>
      </c>
      <c r="D70" s="8" t="s">
        <v>318</v>
      </c>
      <c r="E70" s="11">
        <v>45962</v>
      </c>
      <c r="F70" s="8" t="s">
        <v>252</v>
      </c>
      <c r="G70" s="8" t="s">
        <v>50</v>
      </c>
      <c r="H70" s="8" t="s">
        <v>51</v>
      </c>
      <c r="I70" s="12">
        <v>0.17</v>
      </c>
      <c r="J70" s="12">
        <v>1</v>
      </c>
      <c r="K70" s="12">
        <v>52.17</v>
      </c>
      <c r="L70" s="8" t="s">
        <v>71</v>
      </c>
      <c r="M70" s="11">
        <v>45962</v>
      </c>
      <c r="N70" s="7" t="s">
        <v>523</v>
      </c>
      <c r="O70" s="7" t="s">
        <v>533</v>
      </c>
      <c r="Q70" s="8" t="s">
        <v>318</v>
      </c>
      <c r="R70" s="7" t="str">
        <f>CONCATENATE(Q70,6)</f>
        <v>00023543293K6</v>
      </c>
      <c r="T70" s="8" t="s">
        <v>750</v>
      </c>
      <c r="U70" s="7" t="s">
        <v>751</v>
      </c>
      <c r="V70" s="7" t="str">
        <f>CONCATENATE(U70, " ", T70)</f>
        <v>ZAGORKA MIRKOVIC</v>
      </c>
    </row>
    <row r="71" spans="1:22" x14ac:dyDescent="0.2">
      <c r="A71" s="8" t="s">
        <v>274</v>
      </c>
      <c r="B71" s="9">
        <v>16865615</v>
      </c>
      <c r="C71" s="8" t="s">
        <v>275</v>
      </c>
      <c r="D71" s="8" t="s">
        <v>276</v>
      </c>
      <c r="E71" s="11">
        <v>45870</v>
      </c>
      <c r="F71" s="8" t="s">
        <v>48</v>
      </c>
      <c r="G71" s="8" t="s">
        <v>50</v>
      </c>
      <c r="H71" s="8" t="s">
        <v>51</v>
      </c>
      <c r="I71" s="12">
        <v>1</v>
      </c>
      <c r="J71" s="12">
        <v>1</v>
      </c>
      <c r="K71" s="12">
        <v>26.08</v>
      </c>
      <c r="L71" s="8" t="s">
        <v>52</v>
      </c>
      <c r="M71" s="11">
        <v>45566</v>
      </c>
      <c r="N71" s="7" t="s">
        <v>523</v>
      </c>
      <c r="O71" s="7" t="s">
        <v>530</v>
      </c>
      <c r="Q71" s="8" t="s">
        <v>276</v>
      </c>
      <c r="R71" s="7" t="str">
        <f>CONCATENATE(Q71,6)</f>
        <v>00022033172K6</v>
      </c>
      <c r="T71" s="8" t="s">
        <v>806</v>
      </c>
      <c r="U71" s="7" t="s">
        <v>807</v>
      </c>
      <c r="V71" s="7" t="str">
        <f>CONCATENATE(U71, " ", T71)</f>
        <v>DEBBY SHEDD</v>
      </c>
    </row>
    <row r="72" spans="1:22" x14ac:dyDescent="0.2">
      <c r="A72" s="8" t="s">
        <v>299</v>
      </c>
      <c r="B72" s="9">
        <v>17094718</v>
      </c>
      <c r="C72" s="8" t="s">
        <v>300</v>
      </c>
      <c r="D72" s="8" t="s">
        <v>301</v>
      </c>
      <c r="E72" s="11">
        <v>45658</v>
      </c>
      <c r="F72" s="8" t="s">
        <v>303</v>
      </c>
      <c r="G72" s="8" t="s">
        <v>50</v>
      </c>
      <c r="H72" s="8" t="s">
        <v>51</v>
      </c>
      <c r="I72" s="12">
        <v>-0.42</v>
      </c>
      <c r="J72" s="12">
        <v>-1</v>
      </c>
      <c r="K72" s="12">
        <v>-130.41999999999999</v>
      </c>
      <c r="L72" s="8" t="s">
        <v>71</v>
      </c>
      <c r="M72" s="11">
        <v>45658</v>
      </c>
      <c r="N72" s="7" t="s">
        <v>523</v>
      </c>
      <c r="O72" s="7" t="s">
        <v>528</v>
      </c>
      <c r="Q72" s="8" t="s">
        <v>301</v>
      </c>
      <c r="R72" s="7" t="str">
        <f>CONCATENATE(Q72,6)</f>
        <v>00022904522K6</v>
      </c>
      <c r="T72" s="8" t="s">
        <v>695</v>
      </c>
      <c r="U72" s="7" t="s">
        <v>696</v>
      </c>
      <c r="V72" s="7" t="str">
        <f>CONCATENATE(U72, " ", T72)</f>
        <v>JESSE HAYDEN</v>
      </c>
    </row>
    <row r="73" spans="1:22" x14ac:dyDescent="0.2">
      <c r="A73" s="8" t="s">
        <v>304</v>
      </c>
      <c r="B73" s="9">
        <v>17301495</v>
      </c>
      <c r="C73" s="8" t="s">
        <v>311</v>
      </c>
      <c r="D73" s="8" t="s">
        <v>312</v>
      </c>
      <c r="E73" s="11">
        <v>45901</v>
      </c>
      <c r="F73" s="8" t="s">
        <v>69</v>
      </c>
      <c r="G73" s="8" t="s">
        <v>50</v>
      </c>
      <c r="H73" s="8" t="s">
        <v>62</v>
      </c>
      <c r="I73" s="12">
        <v>0.33</v>
      </c>
      <c r="J73" s="12">
        <v>1</v>
      </c>
      <c r="K73" s="12">
        <v>104.33</v>
      </c>
      <c r="L73" s="8" t="s">
        <v>71</v>
      </c>
      <c r="M73" s="11">
        <v>45901</v>
      </c>
      <c r="N73" s="7" t="s">
        <v>523</v>
      </c>
      <c r="O73" s="7" t="s">
        <v>529</v>
      </c>
      <c r="Q73" s="8" t="s">
        <v>312</v>
      </c>
      <c r="R73" s="7" t="str">
        <f>CONCATENATE(Q73,6)</f>
        <v>00023554373K6</v>
      </c>
      <c r="T73" s="8" t="s">
        <v>662</v>
      </c>
      <c r="U73" s="7" t="s">
        <v>663</v>
      </c>
      <c r="V73" s="7" t="str">
        <f>CONCATENATE(U73, " ", T73)</f>
        <v>VIANEY ELIGIO</v>
      </c>
    </row>
    <row r="74" spans="1:22" x14ac:dyDescent="0.2">
      <c r="A74" s="8" t="s">
        <v>304</v>
      </c>
      <c r="B74" s="9">
        <v>17301495</v>
      </c>
      <c r="C74" s="8" t="s">
        <v>305</v>
      </c>
      <c r="D74" s="8" t="s">
        <v>306</v>
      </c>
      <c r="E74" s="11">
        <v>45870</v>
      </c>
      <c r="F74" s="8" t="s">
        <v>48</v>
      </c>
      <c r="G74" s="8" t="s">
        <v>50</v>
      </c>
      <c r="H74" s="8" t="s">
        <v>62</v>
      </c>
      <c r="I74" s="12">
        <v>1</v>
      </c>
      <c r="J74" s="12">
        <v>1</v>
      </c>
      <c r="K74" s="12">
        <v>26.08</v>
      </c>
      <c r="L74" s="8" t="s">
        <v>52</v>
      </c>
      <c r="M74" s="11">
        <v>45536</v>
      </c>
      <c r="N74" s="7" t="s">
        <v>523</v>
      </c>
      <c r="O74" s="7" t="s">
        <v>530</v>
      </c>
      <c r="Q74" s="8" t="s">
        <v>306</v>
      </c>
      <c r="R74" s="7" t="str">
        <f>CONCATENATE(Q74,6)</f>
        <v>00001672119K6</v>
      </c>
      <c r="T74" s="8" t="s">
        <v>684</v>
      </c>
      <c r="U74" s="7" t="s">
        <v>685</v>
      </c>
      <c r="V74" s="7" t="str">
        <f>CONCATENATE(U74, " ", T74)</f>
        <v>DONNIE HAMILTON</v>
      </c>
    </row>
    <row r="75" spans="1:22" x14ac:dyDescent="0.2">
      <c r="A75" s="8" t="s">
        <v>304</v>
      </c>
      <c r="B75" s="9">
        <v>17301495</v>
      </c>
      <c r="C75" s="8" t="s">
        <v>309</v>
      </c>
      <c r="D75" s="8" t="s">
        <v>310</v>
      </c>
      <c r="E75" s="11">
        <v>45870</v>
      </c>
      <c r="F75" s="8" t="s">
        <v>48</v>
      </c>
      <c r="G75" s="8" t="s">
        <v>50</v>
      </c>
      <c r="H75" s="8" t="s">
        <v>51</v>
      </c>
      <c r="I75" s="12">
        <v>1</v>
      </c>
      <c r="J75" s="12">
        <v>1</v>
      </c>
      <c r="K75" s="12">
        <v>26.08</v>
      </c>
      <c r="L75" s="8" t="s">
        <v>52</v>
      </c>
      <c r="M75" s="11">
        <v>45627</v>
      </c>
      <c r="N75" s="7" t="s">
        <v>523</v>
      </c>
      <c r="O75" s="7" t="s">
        <v>530</v>
      </c>
      <c r="Q75" s="8" t="s">
        <v>310</v>
      </c>
      <c r="R75" s="7" t="str">
        <f>CONCATENATE(Q75,6)</f>
        <v>00022671607K6</v>
      </c>
      <c r="T75" s="8" t="s">
        <v>792</v>
      </c>
      <c r="U75" s="7" t="s">
        <v>793</v>
      </c>
      <c r="V75" s="7" t="str">
        <f>CONCATENATE(U75, " ", T75)</f>
        <v>ANTONIO SANCHEZ</v>
      </c>
    </row>
    <row r="76" spans="1:22" x14ac:dyDescent="0.2">
      <c r="A76" s="8" t="s">
        <v>304</v>
      </c>
      <c r="B76" s="9">
        <v>17301495</v>
      </c>
      <c r="C76" s="8" t="s">
        <v>307</v>
      </c>
      <c r="D76" s="8" t="s">
        <v>308</v>
      </c>
      <c r="E76" s="11">
        <v>45870</v>
      </c>
      <c r="F76" s="8" t="s">
        <v>48</v>
      </c>
      <c r="G76" s="8" t="s">
        <v>50</v>
      </c>
      <c r="H76" s="8" t="s">
        <v>51</v>
      </c>
      <c r="I76" s="12">
        <v>1</v>
      </c>
      <c r="J76" s="12">
        <v>1</v>
      </c>
      <c r="K76" s="12">
        <v>26.08</v>
      </c>
      <c r="L76" s="8" t="s">
        <v>52</v>
      </c>
      <c r="M76" s="11">
        <v>45505</v>
      </c>
      <c r="N76" s="7" t="s">
        <v>523</v>
      </c>
      <c r="O76" s="7" t="s">
        <v>530</v>
      </c>
      <c r="Q76" s="8" t="s">
        <v>308</v>
      </c>
      <c r="R76" s="7" t="str">
        <f>CONCATENATE(Q76,6)</f>
        <v>00013131759K6</v>
      </c>
      <c r="T76" s="8" t="s">
        <v>820</v>
      </c>
      <c r="U76" s="7" t="s">
        <v>821</v>
      </c>
      <c r="V76" s="7" t="str">
        <f>CONCATENATE(U76, " ", T76)</f>
        <v>RUBEN TORRES</v>
      </c>
    </row>
    <row r="77" spans="1:22" x14ac:dyDescent="0.2">
      <c r="A77" s="8" t="s">
        <v>208</v>
      </c>
      <c r="B77" s="9">
        <v>15278437</v>
      </c>
      <c r="C77" s="8" t="s">
        <v>209</v>
      </c>
      <c r="D77" s="8" t="s">
        <v>210</v>
      </c>
      <c r="E77" s="11">
        <v>45870</v>
      </c>
      <c r="F77" s="8" t="s">
        <v>48</v>
      </c>
      <c r="G77" s="8" t="s">
        <v>50</v>
      </c>
      <c r="H77" s="8" t="s">
        <v>62</v>
      </c>
      <c r="I77" s="12">
        <v>1</v>
      </c>
      <c r="J77" s="12">
        <v>1</v>
      </c>
      <c r="K77" s="12">
        <v>26.08</v>
      </c>
      <c r="L77" s="8" t="s">
        <v>52</v>
      </c>
      <c r="M77" s="11">
        <v>45078</v>
      </c>
      <c r="N77" s="7" t="s">
        <v>523</v>
      </c>
      <c r="O77" s="7" t="s">
        <v>530</v>
      </c>
      <c r="Q77" s="8" t="s">
        <v>210</v>
      </c>
      <c r="R77" s="7" t="str">
        <f>CONCATENATE(Q77,6)</f>
        <v>00020444605K6</v>
      </c>
      <c r="T77" s="8" t="s">
        <v>648</v>
      </c>
      <c r="U77" s="7" t="s">
        <v>649</v>
      </c>
      <c r="V77" s="7" t="str">
        <f>CONCATENATE(U77, " ", T77)</f>
        <v>DANIEL COSTA</v>
      </c>
    </row>
    <row r="78" spans="1:22" x14ac:dyDescent="0.2">
      <c r="A78" s="8" t="s">
        <v>208</v>
      </c>
      <c r="B78" s="9">
        <v>15278437</v>
      </c>
      <c r="C78" s="8" t="s">
        <v>218</v>
      </c>
      <c r="D78" s="8" t="s">
        <v>219</v>
      </c>
      <c r="E78" s="11">
        <v>45870</v>
      </c>
      <c r="F78" s="8" t="s">
        <v>48</v>
      </c>
      <c r="G78" s="8" t="s">
        <v>50</v>
      </c>
      <c r="H78" s="8" t="s">
        <v>62</v>
      </c>
      <c r="I78" s="12">
        <v>1</v>
      </c>
      <c r="J78" s="12">
        <v>1</v>
      </c>
      <c r="K78" s="12">
        <v>26.08</v>
      </c>
      <c r="L78" s="8" t="s">
        <v>52</v>
      </c>
      <c r="M78" s="11">
        <v>45444</v>
      </c>
      <c r="N78" s="7" t="s">
        <v>523</v>
      </c>
      <c r="O78" s="7" t="s">
        <v>530</v>
      </c>
      <c r="Q78" s="8" t="s">
        <v>219</v>
      </c>
      <c r="R78" s="7" t="str">
        <f>CONCATENATE(Q78,6)</f>
        <v>00021801538K6</v>
      </c>
      <c r="T78" s="8" t="s">
        <v>676</v>
      </c>
      <c r="U78" s="7" t="s">
        <v>677</v>
      </c>
      <c r="V78" s="7" t="str">
        <f>CONCATENATE(U78, " ", T78)</f>
        <v>MARY GIOVINCO</v>
      </c>
    </row>
    <row r="79" spans="1:22" x14ac:dyDescent="0.2">
      <c r="A79" s="8" t="s">
        <v>55</v>
      </c>
      <c r="B79" s="9">
        <v>2158366</v>
      </c>
      <c r="C79" s="8" t="s">
        <v>56</v>
      </c>
      <c r="D79" s="8" t="s">
        <v>57</v>
      </c>
      <c r="E79" s="11">
        <v>45870</v>
      </c>
      <c r="F79" s="8" t="s">
        <v>48</v>
      </c>
      <c r="G79" s="8" t="s">
        <v>50</v>
      </c>
      <c r="H79" s="8" t="s">
        <v>51</v>
      </c>
      <c r="I79" s="12">
        <v>1</v>
      </c>
      <c r="J79" s="12">
        <v>1</v>
      </c>
      <c r="K79" s="12">
        <v>26.08</v>
      </c>
      <c r="L79" s="8" t="s">
        <v>52</v>
      </c>
      <c r="M79" s="11">
        <v>45627</v>
      </c>
      <c r="N79" s="7" t="s">
        <v>523</v>
      </c>
      <c r="O79" s="7" t="s">
        <v>530</v>
      </c>
      <c r="Q79" s="8" t="s">
        <v>57</v>
      </c>
      <c r="R79" s="7" t="str">
        <f>CONCATENATE(Q79,6)</f>
        <v>00022413863K6</v>
      </c>
      <c r="T79" s="8" t="s">
        <v>656</v>
      </c>
      <c r="U79" s="7" t="s">
        <v>636</v>
      </c>
      <c r="V79" s="7" t="str">
        <f>CONCATENATE(U79, " ", T79)</f>
        <v>DONNA DRUCKER</v>
      </c>
    </row>
    <row r="80" spans="1:22" x14ac:dyDescent="0.2">
      <c r="A80" s="8" t="s">
        <v>179</v>
      </c>
      <c r="B80" s="9">
        <v>7146581</v>
      </c>
      <c r="C80" s="8" t="s">
        <v>184</v>
      </c>
      <c r="D80" s="8" t="s">
        <v>185</v>
      </c>
      <c r="E80" s="11">
        <v>45870</v>
      </c>
      <c r="F80" s="8" t="s">
        <v>48</v>
      </c>
      <c r="G80" s="8" t="s">
        <v>50</v>
      </c>
      <c r="H80" s="8" t="s">
        <v>51</v>
      </c>
      <c r="I80" s="12">
        <v>1</v>
      </c>
      <c r="J80" s="12">
        <v>1</v>
      </c>
      <c r="K80" s="12">
        <v>26.08</v>
      </c>
      <c r="L80" s="8" t="s">
        <v>52</v>
      </c>
      <c r="M80" s="11">
        <v>45536</v>
      </c>
      <c r="N80" s="7" t="s">
        <v>523</v>
      </c>
      <c r="O80" s="7" t="s">
        <v>530</v>
      </c>
      <c r="Q80" s="8" t="s">
        <v>185</v>
      </c>
      <c r="R80" s="7" t="str">
        <f>CONCATENATE(Q80,6)</f>
        <v>00021915889K6</v>
      </c>
      <c r="T80" s="8" t="s">
        <v>623</v>
      </c>
      <c r="U80" s="7" t="s">
        <v>624</v>
      </c>
      <c r="V80" s="7" t="str">
        <f>CONCATENATE(U80, " ", T80)</f>
        <v>TERRY BRYAN</v>
      </c>
    </row>
    <row r="81" spans="1:22" x14ac:dyDescent="0.2">
      <c r="A81" s="8" t="s">
        <v>179</v>
      </c>
      <c r="B81" s="9">
        <v>7146581</v>
      </c>
      <c r="C81" s="8" t="s">
        <v>202</v>
      </c>
      <c r="D81" s="8" t="s">
        <v>203</v>
      </c>
      <c r="E81" s="11">
        <v>45870</v>
      </c>
      <c r="F81" s="8" t="s">
        <v>48</v>
      </c>
      <c r="G81" s="8" t="s">
        <v>50</v>
      </c>
      <c r="H81" s="8" t="s">
        <v>62</v>
      </c>
      <c r="I81" s="12">
        <v>1</v>
      </c>
      <c r="J81" s="12">
        <v>1</v>
      </c>
      <c r="K81" s="12">
        <v>26.08</v>
      </c>
      <c r="L81" s="8" t="s">
        <v>52</v>
      </c>
      <c r="M81" s="11">
        <v>45566</v>
      </c>
      <c r="N81" s="7" t="s">
        <v>523</v>
      </c>
      <c r="O81" s="7" t="s">
        <v>530</v>
      </c>
      <c r="Q81" s="8" t="s">
        <v>203</v>
      </c>
      <c r="R81" s="7" t="str">
        <f>CONCATENATE(Q81,6)</f>
        <v>00022088151K6</v>
      </c>
      <c r="T81" s="8" t="s">
        <v>629</v>
      </c>
      <c r="U81" s="7" t="s">
        <v>630</v>
      </c>
      <c r="V81" s="7" t="str">
        <f>CONCATENATE(U81, " ", T81)</f>
        <v>LISA CAVITT</v>
      </c>
    </row>
    <row r="82" spans="1:22" x14ac:dyDescent="0.2">
      <c r="A82" s="8" t="s">
        <v>179</v>
      </c>
      <c r="B82" s="9">
        <v>7146581</v>
      </c>
      <c r="C82" s="8" t="s">
        <v>196</v>
      </c>
      <c r="D82" s="8" t="s">
        <v>197</v>
      </c>
      <c r="E82" s="11">
        <v>45870</v>
      </c>
      <c r="F82" s="8" t="s">
        <v>48</v>
      </c>
      <c r="G82" s="8" t="s">
        <v>50</v>
      </c>
      <c r="H82" s="8" t="s">
        <v>62</v>
      </c>
      <c r="I82" s="12">
        <v>1</v>
      </c>
      <c r="J82" s="12">
        <v>1</v>
      </c>
      <c r="K82" s="12">
        <v>26.08</v>
      </c>
      <c r="L82" s="8" t="s">
        <v>52</v>
      </c>
      <c r="M82" s="11">
        <v>45566</v>
      </c>
      <c r="N82" s="7" t="s">
        <v>523</v>
      </c>
      <c r="O82" s="7" t="s">
        <v>530</v>
      </c>
      <c r="Q82" s="8" t="s">
        <v>197</v>
      </c>
      <c r="R82" s="7" t="str">
        <f>CONCATENATE(Q82,6)</f>
        <v>00022021737K6</v>
      </c>
      <c r="T82" s="8" t="s">
        <v>633</v>
      </c>
      <c r="U82" s="7" t="s">
        <v>634</v>
      </c>
      <c r="V82" s="7" t="str">
        <f>CONCATENATE(U82, " ", T82)</f>
        <v>GAITSCH CHADDERDON</v>
      </c>
    </row>
    <row r="83" spans="1:22" x14ac:dyDescent="0.2">
      <c r="A83" s="8" t="s">
        <v>179</v>
      </c>
      <c r="B83" s="9">
        <v>7146581</v>
      </c>
      <c r="C83" s="8" t="s">
        <v>190</v>
      </c>
      <c r="D83" s="8" t="s">
        <v>191</v>
      </c>
      <c r="E83" s="11">
        <v>45870</v>
      </c>
      <c r="F83" s="8" t="s">
        <v>48</v>
      </c>
      <c r="G83" s="8" t="s">
        <v>50</v>
      </c>
      <c r="H83" s="8" t="s">
        <v>62</v>
      </c>
      <c r="I83" s="12">
        <v>1</v>
      </c>
      <c r="J83" s="12">
        <v>1</v>
      </c>
      <c r="K83" s="12">
        <v>26.08</v>
      </c>
      <c r="L83" s="8" t="s">
        <v>52</v>
      </c>
      <c r="M83" s="11">
        <v>45536</v>
      </c>
      <c r="N83" s="7" t="s">
        <v>523</v>
      </c>
      <c r="O83" s="7" t="s">
        <v>530</v>
      </c>
      <c r="Q83" s="8" t="s">
        <v>191</v>
      </c>
      <c r="R83" s="7" t="str">
        <f>CONCATENATE(Q83,6)</f>
        <v>00021938762K6</v>
      </c>
      <c r="T83" s="8" t="s">
        <v>637</v>
      </c>
      <c r="U83" s="7" t="s">
        <v>636</v>
      </c>
      <c r="V83" s="7" t="str">
        <f>CONCATENATE(U83, " ", T83)</f>
        <v>DONNA CHILDS</v>
      </c>
    </row>
    <row r="84" spans="1:22" x14ac:dyDescent="0.2">
      <c r="A84" s="8" t="s">
        <v>179</v>
      </c>
      <c r="B84" s="9">
        <v>7146581</v>
      </c>
      <c r="C84" s="8" t="s">
        <v>182</v>
      </c>
      <c r="D84" s="8" t="s">
        <v>183</v>
      </c>
      <c r="E84" s="11">
        <v>45870</v>
      </c>
      <c r="F84" s="8" t="s">
        <v>48</v>
      </c>
      <c r="G84" s="8" t="s">
        <v>50</v>
      </c>
      <c r="H84" s="8" t="s">
        <v>62</v>
      </c>
      <c r="I84" s="12">
        <v>1</v>
      </c>
      <c r="J84" s="12">
        <v>1</v>
      </c>
      <c r="K84" s="12">
        <v>26.08</v>
      </c>
      <c r="L84" s="8" t="s">
        <v>52</v>
      </c>
      <c r="M84" s="11">
        <v>45474</v>
      </c>
      <c r="N84" s="7" t="s">
        <v>523</v>
      </c>
      <c r="O84" s="7" t="s">
        <v>530</v>
      </c>
      <c r="Q84" s="8" t="s">
        <v>183</v>
      </c>
      <c r="R84" s="7" t="str">
        <f>CONCATENATE(Q84,6)</f>
        <v>00021876313K6</v>
      </c>
      <c r="T84" s="8" t="s">
        <v>642</v>
      </c>
      <c r="U84" s="7" t="s">
        <v>643</v>
      </c>
      <c r="V84" s="7" t="str">
        <f>CONCATENATE(U84, " ", T84)</f>
        <v>TODD COHEN</v>
      </c>
    </row>
    <row r="85" spans="1:22" x14ac:dyDescent="0.2">
      <c r="A85" s="8" t="s">
        <v>179</v>
      </c>
      <c r="B85" s="9">
        <v>7146581</v>
      </c>
      <c r="C85" s="8" t="s">
        <v>186</v>
      </c>
      <c r="D85" s="8" t="s">
        <v>187</v>
      </c>
      <c r="E85" s="11">
        <v>45870</v>
      </c>
      <c r="F85" s="8" t="s">
        <v>48</v>
      </c>
      <c r="G85" s="8" t="s">
        <v>50</v>
      </c>
      <c r="H85" s="8" t="s">
        <v>51</v>
      </c>
      <c r="I85" s="12">
        <v>1</v>
      </c>
      <c r="J85" s="12">
        <v>1</v>
      </c>
      <c r="K85" s="12">
        <v>26.08</v>
      </c>
      <c r="L85" s="8" t="s">
        <v>52</v>
      </c>
      <c r="M85" s="11">
        <v>45505</v>
      </c>
      <c r="N85" s="7" t="s">
        <v>523</v>
      </c>
      <c r="O85" s="7" t="s">
        <v>530</v>
      </c>
      <c r="Q85" s="8" t="s">
        <v>187</v>
      </c>
      <c r="R85" s="7" t="str">
        <f>CONCATENATE(Q85,6)</f>
        <v>00021918216K6</v>
      </c>
      <c r="T85" s="8" t="s">
        <v>652</v>
      </c>
      <c r="U85" s="7" t="s">
        <v>653</v>
      </c>
      <c r="V85" s="7" t="str">
        <f>CONCATENATE(U85, " ", T85)</f>
        <v>KRISTY DOLPH</v>
      </c>
    </row>
    <row r="86" spans="1:22" x14ac:dyDescent="0.2">
      <c r="A86" s="8" t="s">
        <v>179</v>
      </c>
      <c r="B86" s="9">
        <v>7146581</v>
      </c>
      <c r="C86" s="8" t="s">
        <v>188</v>
      </c>
      <c r="D86" s="8" t="s">
        <v>189</v>
      </c>
      <c r="E86" s="11">
        <v>45870</v>
      </c>
      <c r="F86" s="8" t="s">
        <v>48</v>
      </c>
      <c r="G86" s="8" t="s">
        <v>50</v>
      </c>
      <c r="H86" s="8" t="s">
        <v>62</v>
      </c>
      <c r="I86" s="12">
        <v>1</v>
      </c>
      <c r="J86" s="12">
        <v>1</v>
      </c>
      <c r="K86" s="12">
        <v>26.08</v>
      </c>
      <c r="L86" s="8" t="s">
        <v>52</v>
      </c>
      <c r="M86" s="11">
        <v>45505</v>
      </c>
      <c r="N86" s="7" t="s">
        <v>523</v>
      </c>
      <c r="O86" s="7" t="s">
        <v>530</v>
      </c>
      <c r="Q86" s="8" t="s">
        <v>189</v>
      </c>
      <c r="R86" s="7" t="str">
        <f>CONCATENATE(Q86,6)</f>
        <v>00021926659K6</v>
      </c>
      <c r="T86" s="8" t="s">
        <v>713</v>
      </c>
      <c r="U86" s="7" t="s">
        <v>714</v>
      </c>
      <c r="V86" s="7" t="str">
        <f>CONCATENATE(U86, " ", T86)</f>
        <v>PATRICK JOCHUM</v>
      </c>
    </row>
    <row r="87" spans="1:22" x14ac:dyDescent="0.2">
      <c r="A87" s="8" t="s">
        <v>179</v>
      </c>
      <c r="B87" s="9">
        <v>7146581</v>
      </c>
      <c r="C87" s="8" t="s">
        <v>206</v>
      </c>
      <c r="D87" s="8" t="s">
        <v>207</v>
      </c>
      <c r="E87" s="11">
        <v>45870</v>
      </c>
      <c r="F87" s="8" t="s">
        <v>48</v>
      </c>
      <c r="G87" s="8" t="s">
        <v>50</v>
      </c>
      <c r="H87" s="8" t="s">
        <v>62</v>
      </c>
      <c r="I87" s="12">
        <v>1</v>
      </c>
      <c r="J87" s="12">
        <v>1</v>
      </c>
      <c r="K87" s="12">
        <v>26.08</v>
      </c>
      <c r="L87" s="8" t="s">
        <v>52</v>
      </c>
      <c r="M87" s="11">
        <v>45627</v>
      </c>
      <c r="N87" s="7" t="s">
        <v>523</v>
      </c>
      <c r="O87" s="7" t="s">
        <v>530</v>
      </c>
      <c r="Q87" s="8" t="s">
        <v>207</v>
      </c>
      <c r="R87" s="7" t="str">
        <f>CONCATENATE(Q87,6)</f>
        <v>00022571242K6</v>
      </c>
      <c r="T87" s="8" t="s">
        <v>730</v>
      </c>
      <c r="U87" s="7" t="s">
        <v>731</v>
      </c>
      <c r="V87" s="7" t="str">
        <f>CONCATENATE(U87, " ", T87)</f>
        <v>ANTHONY LEONE</v>
      </c>
    </row>
    <row r="88" spans="1:22" x14ac:dyDescent="0.2">
      <c r="A88" s="8" t="s">
        <v>179</v>
      </c>
      <c r="B88" s="9">
        <v>7146581</v>
      </c>
      <c r="C88" s="8" t="s">
        <v>200</v>
      </c>
      <c r="D88" s="8" t="s">
        <v>201</v>
      </c>
      <c r="E88" s="11">
        <v>45870</v>
      </c>
      <c r="F88" s="8" t="s">
        <v>48</v>
      </c>
      <c r="G88" s="8" t="s">
        <v>50</v>
      </c>
      <c r="H88" s="8" t="s">
        <v>62</v>
      </c>
      <c r="I88" s="12">
        <v>1</v>
      </c>
      <c r="J88" s="12">
        <v>1</v>
      </c>
      <c r="K88" s="12">
        <v>26.08</v>
      </c>
      <c r="L88" s="8" t="s">
        <v>52</v>
      </c>
      <c r="M88" s="11">
        <v>45566</v>
      </c>
      <c r="N88" s="7" t="s">
        <v>523</v>
      </c>
      <c r="O88" s="7" t="s">
        <v>530</v>
      </c>
      <c r="Q88" s="8" t="s">
        <v>201</v>
      </c>
      <c r="R88" s="7" t="str">
        <f>CONCATENATE(Q88,6)</f>
        <v>00022087983K6</v>
      </c>
      <c r="T88" s="8" t="s">
        <v>763</v>
      </c>
      <c r="U88" s="7" t="s">
        <v>714</v>
      </c>
      <c r="V88" s="7" t="str">
        <f>CONCATENATE(U88, " ", T88)</f>
        <v>PATRICK OTTO</v>
      </c>
    </row>
    <row r="89" spans="1:22" x14ac:dyDescent="0.2">
      <c r="A89" s="8" t="s">
        <v>179</v>
      </c>
      <c r="B89" s="9">
        <v>7146581</v>
      </c>
      <c r="C89" s="8" t="s">
        <v>192</v>
      </c>
      <c r="D89" s="8" t="s">
        <v>193</v>
      </c>
      <c r="E89" s="11">
        <v>45870</v>
      </c>
      <c r="F89" s="8" t="s">
        <v>48</v>
      </c>
      <c r="G89" s="8" t="s">
        <v>50</v>
      </c>
      <c r="H89" s="8" t="s">
        <v>62</v>
      </c>
      <c r="I89" s="12">
        <v>1</v>
      </c>
      <c r="J89" s="12">
        <v>1</v>
      </c>
      <c r="K89" s="12">
        <v>26.08</v>
      </c>
      <c r="L89" s="8" t="s">
        <v>52</v>
      </c>
      <c r="M89" s="11">
        <v>45566</v>
      </c>
      <c r="N89" s="7" t="s">
        <v>523</v>
      </c>
      <c r="O89" s="7" t="s">
        <v>530</v>
      </c>
      <c r="Q89" s="8" t="s">
        <v>193</v>
      </c>
      <c r="R89" s="7" t="str">
        <f>CONCATENATE(Q89,6)</f>
        <v>00021973818K6</v>
      </c>
      <c r="T89" s="8" t="s">
        <v>778</v>
      </c>
      <c r="U89" s="7" t="s">
        <v>779</v>
      </c>
      <c r="V89" s="7" t="str">
        <f>CONCATENATE(U89, " ", T89)</f>
        <v>BRENDA REIMANN</v>
      </c>
    </row>
    <row r="90" spans="1:22" x14ac:dyDescent="0.2">
      <c r="A90" s="8" t="s">
        <v>179</v>
      </c>
      <c r="B90" s="9">
        <v>7146581</v>
      </c>
      <c r="C90" s="8" t="s">
        <v>204</v>
      </c>
      <c r="D90" s="8" t="s">
        <v>205</v>
      </c>
      <c r="E90" s="11">
        <v>45870</v>
      </c>
      <c r="F90" s="8" t="s">
        <v>48</v>
      </c>
      <c r="G90" s="8" t="s">
        <v>50</v>
      </c>
      <c r="H90" s="8" t="s">
        <v>62</v>
      </c>
      <c r="I90" s="12">
        <v>1</v>
      </c>
      <c r="J90" s="12">
        <v>1</v>
      </c>
      <c r="K90" s="12">
        <v>26.08</v>
      </c>
      <c r="L90" s="8" t="s">
        <v>52</v>
      </c>
      <c r="M90" s="11">
        <v>45627</v>
      </c>
      <c r="N90" s="7" t="s">
        <v>523</v>
      </c>
      <c r="O90" s="7" t="s">
        <v>530</v>
      </c>
      <c r="Q90" s="8" t="s">
        <v>205</v>
      </c>
      <c r="R90" s="7" t="str">
        <f>CONCATENATE(Q90,6)</f>
        <v>00022498051K6</v>
      </c>
      <c r="T90" s="8" t="s">
        <v>782</v>
      </c>
      <c r="U90" s="7" t="s">
        <v>783</v>
      </c>
      <c r="V90" s="7" t="str">
        <f>CONCATENATE(U90, " ", T90)</f>
        <v>AUDREY RIDLEN</v>
      </c>
    </row>
    <row r="91" spans="1:22" x14ac:dyDescent="0.2">
      <c r="A91" s="8" t="s">
        <v>179</v>
      </c>
      <c r="B91" s="9">
        <v>7146581</v>
      </c>
      <c r="C91" s="8" t="s">
        <v>198</v>
      </c>
      <c r="D91" s="8" t="s">
        <v>199</v>
      </c>
      <c r="E91" s="11">
        <v>45870</v>
      </c>
      <c r="F91" s="8" t="s">
        <v>48</v>
      </c>
      <c r="G91" s="8" t="s">
        <v>50</v>
      </c>
      <c r="H91" s="8" t="s">
        <v>51</v>
      </c>
      <c r="I91" s="12">
        <v>1</v>
      </c>
      <c r="J91" s="12">
        <v>1</v>
      </c>
      <c r="K91" s="12">
        <v>26.08</v>
      </c>
      <c r="L91" s="8" t="s">
        <v>52</v>
      </c>
      <c r="M91" s="11">
        <v>45536</v>
      </c>
      <c r="N91" s="7" t="s">
        <v>523</v>
      </c>
      <c r="O91" s="7" t="s">
        <v>530</v>
      </c>
      <c r="Q91" s="8" t="s">
        <v>199</v>
      </c>
      <c r="R91" s="7" t="str">
        <f>CONCATENATE(Q91,6)</f>
        <v>00022023339K6</v>
      </c>
      <c r="T91" s="8" t="s">
        <v>787</v>
      </c>
      <c r="U91" s="7" t="s">
        <v>624</v>
      </c>
      <c r="V91" s="7" t="str">
        <f>CONCATENATE(U91, " ", T91)</f>
        <v>TERRY ROSS</v>
      </c>
    </row>
    <row r="92" spans="1:22" x14ac:dyDescent="0.2">
      <c r="A92" s="8" t="s">
        <v>179</v>
      </c>
      <c r="B92" s="9">
        <v>7146581</v>
      </c>
      <c r="C92" s="8" t="s">
        <v>180</v>
      </c>
      <c r="D92" s="8" t="s">
        <v>181</v>
      </c>
      <c r="E92" s="11">
        <v>45870</v>
      </c>
      <c r="F92" s="8" t="s">
        <v>48</v>
      </c>
      <c r="G92" s="8" t="s">
        <v>50</v>
      </c>
      <c r="H92" s="8" t="s">
        <v>62</v>
      </c>
      <c r="I92" s="12">
        <v>1</v>
      </c>
      <c r="J92" s="12">
        <v>1</v>
      </c>
      <c r="K92" s="12">
        <v>26.08</v>
      </c>
      <c r="L92" s="8" t="s">
        <v>52</v>
      </c>
      <c r="M92" s="11">
        <v>45505</v>
      </c>
      <c r="N92" s="7" t="s">
        <v>523</v>
      </c>
      <c r="O92" s="7" t="s">
        <v>530</v>
      </c>
      <c r="Q92" s="8" t="s">
        <v>181</v>
      </c>
      <c r="R92" s="7" t="str">
        <f>CONCATENATE(Q92,6)</f>
        <v>00010066661K6</v>
      </c>
      <c r="T92" s="8" t="s">
        <v>828</v>
      </c>
      <c r="U92" s="7" t="s">
        <v>829</v>
      </c>
      <c r="V92" s="7" t="str">
        <f>CONCATENATE(U92, " ", T92)</f>
        <v>GERRI WALTHERS</v>
      </c>
    </row>
    <row r="93" spans="1:22" x14ac:dyDescent="0.2">
      <c r="A93" s="8" t="s">
        <v>179</v>
      </c>
      <c r="B93" s="9">
        <v>7146581</v>
      </c>
      <c r="C93" s="8" t="s">
        <v>194</v>
      </c>
      <c r="D93" s="8" t="s">
        <v>195</v>
      </c>
      <c r="E93" s="11">
        <v>45870</v>
      </c>
      <c r="F93" s="8" t="s">
        <v>48</v>
      </c>
      <c r="G93" s="8" t="s">
        <v>50</v>
      </c>
      <c r="H93" s="8" t="s">
        <v>62</v>
      </c>
      <c r="I93" s="12">
        <v>1</v>
      </c>
      <c r="J93" s="12">
        <v>1</v>
      </c>
      <c r="K93" s="12">
        <v>26.08</v>
      </c>
      <c r="L93" s="8" t="s">
        <v>52</v>
      </c>
      <c r="M93" s="11">
        <v>45536</v>
      </c>
      <c r="N93" s="7" t="s">
        <v>523</v>
      </c>
      <c r="O93" s="7" t="s">
        <v>530</v>
      </c>
      <c r="Q93" s="8" t="s">
        <v>195</v>
      </c>
      <c r="R93" s="7" t="str">
        <f>CONCATENATE(Q93,6)</f>
        <v>00021996169K6</v>
      </c>
      <c r="T93" s="8" t="s">
        <v>841</v>
      </c>
      <c r="U93" s="7" t="s">
        <v>842</v>
      </c>
      <c r="V93" s="7" t="str">
        <f>CONCATENATE(U93, " ", T93)</f>
        <v>KENNETH WONG</v>
      </c>
    </row>
    <row r="94" spans="1:22" x14ac:dyDescent="0.2">
      <c r="A94" s="8" t="s">
        <v>59</v>
      </c>
      <c r="B94" s="9">
        <v>8814784</v>
      </c>
      <c r="C94" s="8" t="s">
        <v>60</v>
      </c>
      <c r="D94" s="8" t="s">
        <v>61</v>
      </c>
      <c r="E94" s="11">
        <v>45870</v>
      </c>
      <c r="F94" s="8" t="s">
        <v>48</v>
      </c>
      <c r="G94" s="8" t="s">
        <v>50</v>
      </c>
      <c r="H94" s="8" t="s">
        <v>62</v>
      </c>
      <c r="I94" s="12">
        <v>1</v>
      </c>
      <c r="J94" s="12">
        <v>1</v>
      </c>
      <c r="K94" s="12">
        <v>26.08</v>
      </c>
      <c r="L94" s="8" t="s">
        <v>52</v>
      </c>
      <c r="M94" s="11">
        <v>45566</v>
      </c>
      <c r="N94" s="7" t="s">
        <v>523</v>
      </c>
      <c r="O94" s="7" t="s">
        <v>530</v>
      </c>
      <c r="Q94" s="8" t="s">
        <v>61</v>
      </c>
      <c r="R94" s="7" t="str">
        <f>CONCATENATE(Q94,6)</f>
        <v>00022077277K6</v>
      </c>
      <c r="T94" s="8" t="s">
        <v>664</v>
      </c>
      <c r="U94" s="7" t="s">
        <v>665</v>
      </c>
      <c r="V94" s="7" t="str">
        <f>CONCATENATE(U94, " ", T94)</f>
        <v>MAURICE ENWIA</v>
      </c>
    </row>
    <row r="95" spans="1:22" x14ac:dyDescent="0.2">
      <c r="A95" s="8" t="s">
        <v>59</v>
      </c>
      <c r="B95" s="9">
        <v>8814784</v>
      </c>
      <c r="C95" s="8" t="s">
        <v>66</v>
      </c>
      <c r="D95" s="8" t="s">
        <v>67</v>
      </c>
      <c r="E95" s="11">
        <v>45901</v>
      </c>
      <c r="F95" s="8" t="s">
        <v>69</v>
      </c>
      <c r="G95" s="8" t="s">
        <v>50</v>
      </c>
      <c r="H95" s="8" t="s">
        <v>62</v>
      </c>
      <c r="I95" s="12">
        <v>0.33</v>
      </c>
      <c r="J95" s="12">
        <v>1</v>
      </c>
      <c r="K95" s="12">
        <v>104.33</v>
      </c>
      <c r="L95" s="8" t="s">
        <v>71</v>
      </c>
      <c r="M95" s="11">
        <v>45901</v>
      </c>
      <c r="N95" s="7" t="s">
        <v>523</v>
      </c>
      <c r="O95" s="7" t="s">
        <v>529</v>
      </c>
      <c r="Q95" s="8" t="s">
        <v>67</v>
      </c>
      <c r="R95" s="7" t="str">
        <f>CONCATENATE(Q95,6)</f>
        <v>00023545006K6</v>
      </c>
      <c r="T95" s="8" t="s">
        <v>756</v>
      </c>
      <c r="U95" s="7" t="s">
        <v>757</v>
      </c>
      <c r="V95" s="7" t="str">
        <f>CONCATENATE(U95, " ", T95)</f>
        <v>SNEJANKA NIKOLOVA</v>
      </c>
    </row>
    <row r="96" spans="1:22" x14ac:dyDescent="0.2">
      <c r="A96" s="8" t="s">
        <v>59</v>
      </c>
      <c r="B96" s="9">
        <v>8814784</v>
      </c>
      <c r="C96" s="8" t="s">
        <v>64</v>
      </c>
      <c r="D96" s="8" t="s">
        <v>65</v>
      </c>
      <c r="E96" s="11">
        <v>45870</v>
      </c>
      <c r="F96" s="8" t="s">
        <v>48</v>
      </c>
      <c r="G96" s="8" t="s">
        <v>50</v>
      </c>
      <c r="H96" s="8" t="s">
        <v>51</v>
      </c>
      <c r="I96" s="12">
        <v>1</v>
      </c>
      <c r="J96" s="12">
        <v>1</v>
      </c>
      <c r="K96" s="12">
        <v>26.08</v>
      </c>
      <c r="L96" s="8" t="s">
        <v>52</v>
      </c>
      <c r="M96" s="11">
        <v>45566</v>
      </c>
      <c r="N96" s="7" t="s">
        <v>523</v>
      </c>
      <c r="O96" s="7" t="s">
        <v>530</v>
      </c>
      <c r="Q96" s="8" t="s">
        <v>65</v>
      </c>
      <c r="R96" s="7" t="str">
        <f>CONCATENATE(Q96,6)</f>
        <v>00022107554K6</v>
      </c>
      <c r="T96" s="8" t="s">
        <v>764</v>
      </c>
      <c r="U96" s="7" t="s">
        <v>765</v>
      </c>
      <c r="V96" s="7" t="str">
        <f>CONCATENATE(U96, " ", T96)</f>
        <v>DRAGISA PAVLOVIC</v>
      </c>
    </row>
    <row r="97" spans="1:22" x14ac:dyDescent="0.2">
      <c r="A97" s="8" t="s">
        <v>361</v>
      </c>
      <c r="B97" s="9">
        <v>18794740</v>
      </c>
      <c r="C97" s="8" t="s">
        <v>366</v>
      </c>
      <c r="D97" s="8" t="s">
        <v>367</v>
      </c>
      <c r="E97" s="11">
        <v>45870</v>
      </c>
      <c r="F97" s="8" t="s">
        <v>48</v>
      </c>
      <c r="G97" s="8" t="s">
        <v>50</v>
      </c>
      <c r="H97" s="8" t="s">
        <v>62</v>
      </c>
      <c r="I97" s="12">
        <v>1</v>
      </c>
      <c r="J97" s="12">
        <v>1</v>
      </c>
      <c r="K97" s="12">
        <v>26.08</v>
      </c>
      <c r="L97" s="8" t="s">
        <v>52</v>
      </c>
      <c r="M97" s="11">
        <v>45292</v>
      </c>
      <c r="N97" s="7" t="s">
        <v>523</v>
      </c>
      <c r="O97" s="7" t="s">
        <v>530</v>
      </c>
      <c r="Q97" s="8" t="s">
        <v>367</v>
      </c>
      <c r="R97" s="7" t="str">
        <f>CONCATENATE(Q97,6)</f>
        <v>00021335415K6</v>
      </c>
      <c r="T97" s="8" t="s">
        <v>776</v>
      </c>
      <c r="U97" s="7" t="s">
        <v>777</v>
      </c>
      <c r="V97" s="7" t="str">
        <f>CONCATENATE(U97, " ", T97)</f>
        <v>EILEEN REED</v>
      </c>
    </row>
    <row r="98" spans="1:22" x14ac:dyDescent="0.2">
      <c r="A98" s="8" t="s">
        <v>382</v>
      </c>
      <c r="B98" s="9">
        <v>5442438</v>
      </c>
      <c r="C98" s="8" t="s">
        <v>383</v>
      </c>
      <c r="D98" s="8" t="s">
        <v>384</v>
      </c>
      <c r="E98" s="11">
        <v>45870</v>
      </c>
      <c r="F98" s="8" t="s">
        <v>48</v>
      </c>
      <c r="G98" s="8" t="s">
        <v>50</v>
      </c>
      <c r="H98" s="8" t="s">
        <v>62</v>
      </c>
      <c r="I98" s="12">
        <v>1</v>
      </c>
      <c r="J98" s="12">
        <v>1</v>
      </c>
      <c r="K98" s="12">
        <v>26.08</v>
      </c>
      <c r="L98" s="8" t="s">
        <v>52</v>
      </c>
      <c r="M98" s="11">
        <v>45536</v>
      </c>
      <c r="N98" s="7" t="s">
        <v>523</v>
      </c>
      <c r="O98" s="7" t="s">
        <v>530</v>
      </c>
      <c r="Q98" s="8" t="s">
        <v>384</v>
      </c>
      <c r="R98" s="7" t="str">
        <f>CONCATENATE(Q98,6)</f>
        <v>00022011876K6</v>
      </c>
      <c r="T98" s="8" t="s">
        <v>621</v>
      </c>
      <c r="U98" s="7" t="s">
        <v>622</v>
      </c>
      <c r="V98" s="7" t="str">
        <f>CONCATENATE(U98, " ", T98)</f>
        <v>TRACEY BROWN</v>
      </c>
    </row>
    <row r="99" spans="1:22" x14ac:dyDescent="0.2">
      <c r="A99" s="8" t="s">
        <v>42</v>
      </c>
      <c r="B99" s="9">
        <v>371819</v>
      </c>
      <c r="C99" s="8" t="s">
        <v>43</v>
      </c>
      <c r="D99" s="8" t="s">
        <v>44</v>
      </c>
      <c r="E99" s="11">
        <v>45870</v>
      </c>
      <c r="F99" s="8" t="s">
        <v>48</v>
      </c>
      <c r="G99" s="8" t="s">
        <v>50</v>
      </c>
      <c r="H99" s="8" t="s">
        <v>51</v>
      </c>
      <c r="I99" s="12">
        <v>1</v>
      </c>
      <c r="J99" s="12">
        <v>1</v>
      </c>
      <c r="K99" s="12">
        <v>26.08</v>
      </c>
      <c r="L99" s="8" t="s">
        <v>52</v>
      </c>
      <c r="M99" s="11">
        <v>45627</v>
      </c>
      <c r="N99" s="7" t="s">
        <v>523</v>
      </c>
      <c r="O99" s="7" t="s">
        <v>530</v>
      </c>
      <c r="Q99" s="8" t="s">
        <v>44</v>
      </c>
      <c r="R99" s="7" t="str">
        <f>CONCATENATE(Q99,6)</f>
        <v>00022517390K6</v>
      </c>
      <c r="T99" s="8" t="s">
        <v>627</v>
      </c>
      <c r="U99" s="7" t="s">
        <v>628</v>
      </c>
      <c r="V99" s="7" t="str">
        <f>CONCATENATE(U99, " ", T99)</f>
        <v>DONARIA CARVALHO</v>
      </c>
    </row>
    <row r="100" spans="1:22" x14ac:dyDescent="0.2">
      <c r="A100" s="8" t="s">
        <v>342</v>
      </c>
      <c r="B100" s="9">
        <v>9213293</v>
      </c>
      <c r="C100" s="8" t="s">
        <v>349</v>
      </c>
      <c r="D100" s="8" t="s">
        <v>350</v>
      </c>
      <c r="E100" s="11">
        <v>45870</v>
      </c>
      <c r="F100" s="8" t="s">
        <v>48</v>
      </c>
      <c r="G100" s="8" t="s">
        <v>50</v>
      </c>
      <c r="H100" s="8" t="s">
        <v>62</v>
      </c>
      <c r="I100" s="12">
        <v>1</v>
      </c>
      <c r="J100" s="12">
        <v>1</v>
      </c>
      <c r="K100" s="12">
        <v>26.08</v>
      </c>
      <c r="L100" s="8" t="s">
        <v>52</v>
      </c>
      <c r="M100" s="11">
        <v>45536</v>
      </c>
      <c r="N100" s="7" t="s">
        <v>523</v>
      </c>
      <c r="O100" s="7" t="s">
        <v>530</v>
      </c>
      <c r="Q100" s="8" t="s">
        <v>350</v>
      </c>
      <c r="R100" s="7" t="str">
        <f>CONCATENATE(Q100,6)</f>
        <v>00021906634K6</v>
      </c>
      <c r="T100" s="8" t="s">
        <v>719</v>
      </c>
      <c r="U100" s="7" t="s">
        <v>720</v>
      </c>
      <c r="V100" s="7" t="str">
        <f>CONCATENATE(U100, " ", T100)</f>
        <v>CHRISTINE KALIS</v>
      </c>
    </row>
    <row r="101" spans="1:22" x14ac:dyDescent="0.2">
      <c r="A101" s="8" t="s">
        <v>342</v>
      </c>
      <c r="B101" s="9">
        <v>9213293</v>
      </c>
      <c r="C101" s="8" t="s">
        <v>357</v>
      </c>
      <c r="D101" s="8" t="s">
        <v>358</v>
      </c>
      <c r="E101" s="11">
        <v>45870</v>
      </c>
      <c r="F101" s="8" t="s">
        <v>48</v>
      </c>
      <c r="G101" s="8" t="s">
        <v>50</v>
      </c>
      <c r="H101" s="8" t="s">
        <v>62</v>
      </c>
      <c r="I101" s="12">
        <v>1</v>
      </c>
      <c r="J101" s="12">
        <v>1</v>
      </c>
      <c r="K101" s="12">
        <v>26.08</v>
      </c>
      <c r="L101" s="8" t="s">
        <v>52</v>
      </c>
      <c r="M101" s="11">
        <v>45536</v>
      </c>
      <c r="N101" s="7" t="s">
        <v>523</v>
      </c>
      <c r="O101" s="7" t="s">
        <v>530</v>
      </c>
      <c r="Q101" s="8" t="s">
        <v>358</v>
      </c>
      <c r="R101" s="7" t="str">
        <f>CONCATENATE(Q101,6)</f>
        <v>00022026537K6</v>
      </c>
      <c r="T101" s="8" t="s">
        <v>726</v>
      </c>
      <c r="U101" s="7" t="s">
        <v>727</v>
      </c>
      <c r="V101" s="7" t="str">
        <f>CONCATENATE(U101, " ", T101)</f>
        <v>JEANA LASSITER</v>
      </c>
    </row>
    <row r="102" spans="1:22" x14ac:dyDescent="0.2">
      <c r="A102" s="8" t="s">
        <v>342</v>
      </c>
      <c r="B102" s="9">
        <v>9213293</v>
      </c>
      <c r="C102" s="8" t="s">
        <v>345</v>
      </c>
      <c r="D102" s="8" t="s">
        <v>346</v>
      </c>
      <c r="E102" s="11">
        <v>45870</v>
      </c>
      <c r="F102" s="8" t="s">
        <v>48</v>
      </c>
      <c r="G102" s="8" t="s">
        <v>50</v>
      </c>
      <c r="H102" s="8" t="s">
        <v>62</v>
      </c>
      <c r="I102" s="12">
        <v>1</v>
      </c>
      <c r="J102" s="12">
        <v>1</v>
      </c>
      <c r="K102" s="12">
        <v>26.08</v>
      </c>
      <c r="L102" s="8" t="s">
        <v>52</v>
      </c>
      <c r="M102" s="11">
        <v>45474</v>
      </c>
      <c r="N102" s="7" t="s">
        <v>523</v>
      </c>
      <c r="O102" s="7" t="s">
        <v>530</v>
      </c>
      <c r="Q102" s="8" t="s">
        <v>346</v>
      </c>
      <c r="R102" s="7" t="str">
        <f>CONCATENATE(Q102,6)</f>
        <v>00021878864K6</v>
      </c>
      <c r="T102" s="8" t="s">
        <v>748</v>
      </c>
      <c r="U102" s="7" t="s">
        <v>749</v>
      </c>
      <c r="V102" s="7" t="str">
        <f>CONCATENATE(U102, " ", T102)</f>
        <v>LAURA MELVIN</v>
      </c>
    </row>
    <row r="103" spans="1:22" x14ac:dyDescent="0.2">
      <c r="A103" s="8" t="s">
        <v>342</v>
      </c>
      <c r="B103" s="9">
        <v>9213293</v>
      </c>
      <c r="C103" s="8" t="s">
        <v>353</v>
      </c>
      <c r="D103" s="8" t="s">
        <v>354</v>
      </c>
      <c r="E103" s="11">
        <v>45870</v>
      </c>
      <c r="F103" s="8" t="s">
        <v>48</v>
      </c>
      <c r="G103" s="8" t="s">
        <v>50</v>
      </c>
      <c r="H103" s="8" t="s">
        <v>62</v>
      </c>
      <c r="I103" s="12">
        <v>1</v>
      </c>
      <c r="J103" s="12">
        <v>1</v>
      </c>
      <c r="K103" s="12">
        <v>26.08</v>
      </c>
      <c r="L103" s="8" t="s">
        <v>52</v>
      </c>
      <c r="M103" s="11">
        <v>45505</v>
      </c>
      <c r="N103" s="7" t="s">
        <v>523</v>
      </c>
      <c r="O103" s="7" t="s">
        <v>530</v>
      </c>
      <c r="Q103" s="8" t="s">
        <v>354</v>
      </c>
      <c r="R103" s="7" t="str">
        <f>CONCATENATE(Q103,6)</f>
        <v>00021921861K6</v>
      </c>
      <c r="T103" s="8" t="s">
        <v>824</v>
      </c>
      <c r="U103" s="7" t="s">
        <v>825</v>
      </c>
      <c r="V103" s="7" t="str">
        <f>CONCATENATE(U103, " ", T103)</f>
        <v>EDITA VALENZUELA</v>
      </c>
    </row>
    <row r="104" spans="1:22" x14ac:dyDescent="0.2">
      <c r="A104" s="8" t="s">
        <v>342</v>
      </c>
      <c r="B104" s="9">
        <v>9213293</v>
      </c>
      <c r="C104" s="8" t="s">
        <v>351</v>
      </c>
      <c r="D104" s="8" t="s">
        <v>352</v>
      </c>
      <c r="E104" s="11">
        <v>45870</v>
      </c>
      <c r="F104" s="8" t="s">
        <v>48</v>
      </c>
      <c r="G104" s="8" t="s">
        <v>50</v>
      </c>
      <c r="H104" s="8" t="s">
        <v>62</v>
      </c>
      <c r="I104" s="12">
        <v>1</v>
      </c>
      <c r="J104" s="12">
        <v>1</v>
      </c>
      <c r="K104" s="12">
        <v>26.08</v>
      </c>
      <c r="L104" s="8" t="s">
        <v>52</v>
      </c>
      <c r="M104" s="11">
        <v>45505</v>
      </c>
      <c r="N104" s="7" t="s">
        <v>523</v>
      </c>
      <c r="O104" s="7" t="s">
        <v>530</v>
      </c>
      <c r="Q104" s="8" t="s">
        <v>352</v>
      </c>
      <c r="R104" s="7" t="str">
        <f>CONCATENATE(Q104,6)</f>
        <v>00021920643K6</v>
      </c>
      <c r="T104" s="8" t="s">
        <v>824</v>
      </c>
      <c r="U104" s="7" t="s">
        <v>826</v>
      </c>
      <c r="V104" s="7" t="str">
        <f>CONCATENATE(U104, " ", T104)</f>
        <v>GIL VALENZUELA</v>
      </c>
    </row>
    <row r="105" spans="1:22" x14ac:dyDescent="0.2">
      <c r="A105" s="8" t="s">
        <v>342</v>
      </c>
      <c r="B105" s="9">
        <v>9213293</v>
      </c>
      <c r="C105" s="8" t="s">
        <v>343</v>
      </c>
      <c r="D105" s="8" t="s">
        <v>344</v>
      </c>
      <c r="E105" s="11">
        <v>45870</v>
      </c>
      <c r="F105" s="8" t="s">
        <v>48</v>
      </c>
      <c r="G105" s="8" t="s">
        <v>50</v>
      </c>
      <c r="H105" s="8" t="s">
        <v>62</v>
      </c>
      <c r="I105" s="12">
        <v>1</v>
      </c>
      <c r="J105" s="12">
        <v>1</v>
      </c>
      <c r="K105" s="12">
        <v>26.08</v>
      </c>
      <c r="L105" s="8" t="s">
        <v>52</v>
      </c>
      <c r="M105" s="11">
        <v>45505</v>
      </c>
      <c r="N105" s="7" t="s">
        <v>523</v>
      </c>
      <c r="O105" s="7" t="s">
        <v>530</v>
      </c>
      <c r="Q105" s="8" t="s">
        <v>344</v>
      </c>
      <c r="R105" s="7" t="str">
        <f>CONCATENATE(Q105,6)</f>
        <v>00021876763K6</v>
      </c>
      <c r="T105" s="8" t="s">
        <v>830</v>
      </c>
      <c r="U105" s="7" t="s">
        <v>831</v>
      </c>
      <c r="V105" s="7" t="str">
        <f>CONCATENATE(U105, " ", T105)</f>
        <v>SCOTT WAXMAN</v>
      </c>
    </row>
    <row r="106" spans="1:22" x14ac:dyDescent="0.2">
      <c r="A106" s="8" t="s">
        <v>342</v>
      </c>
      <c r="B106" s="9">
        <v>9213293</v>
      </c>
      <c r="C106" s="8" t="s">
        <v>359</v>
      </c>
      <c r="D106" s="8" t="s">
        <v>360</v>
      </c>
      <c r="E106" s="11">
        <v>45870</v>
      </c>
      <c r="F106" s="8" t="s">
        <v>48</v>
      </c>
      <c r="G106" s="8" t="s">
        <v>50</v>
      </c>
      <c r="H106" s="8" t="s">
        <v>51</v>
      </c>
      <c r="I106" s="12">
        <v>1</v>
      </c>
      <c r="J106" s="12">
        <v>1</v>
      </c>
      <c r="K106" s="12">
        <v>26.08</v>
      </c>
      <c r="L106" s="8" t="s">
        <v>52</v>
      </c>
      <c r="M106" s="11">
        <v>45627</v>
      </c>
      <c r="N106" s="7" t="s">
        <v>523</v>
      </c>
      <c r="O106" s="7" t="s">
        <v>530</v>
      </c>
      <c r="Q106" s="8" t="s">
        <v>360</v>
      </c>
      <c r="R106" s="7" t="str">
        <f>CONCATENATE(Q106,6)</f>
        <v>00022646876K6</v>
      </c>
      <c r="T106" s="8" t="s">
        <v>595</v>
      </c>
      <c r="U106" s="7" t="s">
        <v>837</v>
      </c>
      <c r="V106" s="7" t="str">
        <f>CONCATENATE(U106, " ", T106)</f>
        <v>JUAN WILSON</v>
      </c>
    </row>
    <row r="107" spans="1:22" x14ac:dyDescent="0.2">
      <c r="A107" s="8" t="s">
        <v>342</v>
      </c>
      <c r="B107" s="9">
        <v>9213293</v>
      </c>
      <c r="C107" s="8" t="s">
        <v>347</v>
      </c>
      <c r="D107" s="8" t="s">
        <v>348</v>
      </c>
      <c r="E107" s="11">
        <v>45870</v>
      </c>
      <c r="F107" s="8" t="s">
        <v>48</v>
      </c>
      <c r="G107" s="8" t="s">
        <v>50</v>
      </c>
      <c r="H107" s="8" t="s">
        <v>62</v>
      </c>
      <c r="I107" s="12">
        <v>1</v>
      </c>
      <c r="J107" s="12">
        <v>1</v>
      </c>
      <c r="K107" s="12">
        <v>26.08</v>
      </c>
      <c r="L107" s="8" t="s">
        <v>52</v>
      </c>
      <c r="M107" s="11">
        <v>45474</v>
      </c>
      <c r="N107" s="7" t="s">
        <v>523</v>
      </c>
      <c r="O107" s="7" t="s">
        <v>530</v>
      </c>
      <c r="Q107" s="8" t="s">
        <v>348</v>
      </c>
      <c r="R107" s="7" t="str">
        <f>CONCATENATE(Q107,6)</f>
        <v>00021895596K6</v>
      </c>
      <c r="T107" s="8" t="s">
        <v>839</v>
      </c>
      <c r="U107" s="7" t="s">
        <v>840</v>
      </c>
      <c r="V107" s="7" t="str">
        <f>CONCATENATE(U107, " ", T107)</f>
        <v>MITCH WISE</v>
      </c>
    </row>
    <row r="108" spans="1:22" x14ac:dyDescent="0.2">
      <c r="A108" s="8" t="s">
        <v>342</v>
      </c>
      <c r="B108" s="9">
        <v>9213293</v>
      </c>
      <c r="C108" s="8" t="s">
        <v>355</v>
      </c>
      <c r="D108" s="8" t="s">
        <v>356</v>
      </c>
      <c r="E108" s="11">
        <v>45870</v>
      </c>
      <c r="F108" s="8" t="s">
        <v>48</v>
      </c>
      <c r="G108" s="8" t="s">
        <v>50</v>
      </c>
      <c r="H108" s="8" t="s">
        <v>62</v>
      </c>
      <c r="I108" s="12">
        <v>1</v>
      </c>
      <c r="J108" s="12">
        <v>1</v>
      </c>
      <c r="K108" s="12">
        <v>26.08</v>
      </c>
      <c r="L108" s="8" t="s">
        <v>52</v>
      </c>
      <c r="M108" s="11">
        <v>45536</v>
      </c>
      <c r="N108" s="7" t="s">
        <v>523</v>
      </c>
      <c r="O108" s="7" t="s">
        <v>530</v>
      </c>
      <c r="Q108" s="8" t="s">
        <v>356</v>
      </c>
      <c r="R108" s="7" t="str">
        <f>CONCATENATE(Q108,6)</f>
        <v>00022014220K6</v>
      </c>
      <c r="T108" s="8" t="s">
        <v>847</v>
      </c>
      <c r="U108" s="7" t="s">
        <v>848</v>
      </c>
      <c r="V108" s="7" t="str">
        <f>CONCATENATE(U108, " ", T108)</f>
        <v>STEVE ZAFIRIADIS</v>
      </c>
    </row>
    <row r="109" spans="1:22" x14ac:dyDescent="0.2">
      <c r="A109" s="8" t="s">
        <v>439</v>
      </c>
      <c r="B109" s="9">
        <v>19645587</v>
      </c>
      <c r="C109" s="8" t="s">
        <v>440</v>
      </c>
      <c r="D109" s="8" t="s">
        <v>441</v>
      </c>
      <c r="E109" s="11">
        <v>45870</v>
      </c>
      <c r="F109" s="8" t="s">
        <v>48</v>
      </c>
      <c r="G109" s="8" t="s">
        <v>50</v>
      </c>
      <c r="H109" s="8" t="s">
        <v>62</v>
      </c>
      <c r="I109" s="12">
        <v>1</v>
      </c>
      <c r="J109" s="12">
        <v>1</v>
      </c>
      <c r="K109" s="12">
        <v>26.08</v>
      </c>
      <c r="L109" s="8" t="s">
        <v>52</v>
      </c>
      <c r="M109" s="11">
        <v>45566</v>
      </c>
      <c r="N109" s="7" t="s">
        <v>523</v>
      </c>
      <c r="O109" s="7" t="s">
        <v>530</v>
      </c>
      <c r="Q109" s="8" t="s">
        <v>441</v>
      </c>
      <c r="R109" s="7" t="str">
        <f>CONCATENATE(Q109,6)</f>
        <v>00021948322K6</v>
      </c>
      <c r="T109" s="8" t="s">
        <v>654</v>
      </c>
      <c r="U109" s="7" t="s">
        <v>655</v>
      </c>
      <c r="V109" s="7" t="str">
        <f>CONCATENATE(U109, " ", T109)</f>
        <v>TERESA DRAGONETTI</v>
      </c>
    </row>
    <row r="110" spans="1:22" x14ac:dyDescent="0.2">
      <c r="A110" s="8" t="s">
        <v>439</v>
      </c>
      <c r="B110" s="9">
        <v>19645587</v>
      </c>
      <c r="C110" s="8" t="s">
        <v>444</v>
      </c>
      <c r="D110" s="8" t="s">
        <v>445</v>
      </c>
      <c r="E110" s="11">
        <v>45870</v>
      </c>
      <c r="F110" s="8" t="s">
        <v>48</v>
      </c>
      <c r="G110" s="8" t="s">
        <v>50</v>
      </c>
      <c r="H110" s="8" t="s">
        <v>51</v>
      </c>
      <c r="I110" s="12">
        <v>1</v>
      </c>
      <c r="J110" s="12">
        <v>1</v>
      </c>
      <c r="K110" s="12">
        <v>26.08</v>
      </c>
      <c r="L110" s="8" t="s">
        <v>52</v>
      </c>
      <c r="M110" s="11">
        <v>45597</v>
      </c>
      <c r="N110" s="7" t="s">
        <v>523</v>
      </c>
      <c r="O110" s="7" t="s">
        <v>530</v>
      </c>
      <c r="Q110" s="8" t="s">
        <v>445</v>
      </c>
      <c r="R110" s="7" t="str">
        <f>CONCATENATE(Q110,6)</f>
        <v>00022256745K6</v>
      </c>
      <c r="T110" s="8" t="s">
        <v>709</v>
      </c>
      <c r="U110" s="7" t="s">
        <v>710</v>
      </c>
      <c r="V110" s="7" t="str">
        <f>CONCATENATE(U110, " ", T110)</f>
        <v>EUGENE JACKSON</v>
      </c>
    </row>
    <row r="111" spans="1:22" x14ac:dyDescent="0.2">
      <c r="A111" s="8" t="s">
        <v>439</v>
      </c>
      <c r="B111" s="9">
        <v>19645587</v>
      </c>
      <c r="C111" s="8" t="s">
        <v>442</v>
      </c>
      <c r="D111" s="8" t="s">
        <v>443</v>
      </c>
      <c r="E111" s="11">
        <v>45870</v>
      </c>
      <c r="F111" s="8" t="s">
        <v>48</v>
      </c>
      <c r="G111" s="8" t="s">
        <v>50</v>
      </c>
      <c r="H111" s="8" t="s">
        <v>62</v>
      </c>
      <c r="I111" s="12">
        <v>1</v>
      </c>
      <c r="J111" s="12">
        <v>1</v>
      </c>
      <c r="K111" s="12">
        <v>26.08</v>
      </c>
      <c r="L111" s="8" t="s">
        <v>52</v>
      </c>
      <c r="M111" s="11">
        <v>45597</v>
      </c>
      <c r="N111" s="7" t="s">
        <v>523</v>
      </c>
      <c r="O111" s="7" t="s">
        <v>530</v>
      </c>
      <c r="Q111" s="8" t="s">
        <v>443</v>
      </c>
      <c r="R111" s="7" t="str">
        <f>CONCATENATE(Q111,6)</f>
        <v>00021970740K6</v>
      </c>
      <c r="T111" s="8" t="s">
        <v>762</v>
      </c>
      <c r="U111" s="7" t="s">
        <v>742</v>
      </c>
      <c r="V111" s="7" t="str">
        <f>CONCATENATE(U111, " ", T111)</f>
        <v>JOHN OSBORNE</v>
      </c>
    </row>
    <row r="112" spans="1:22" x14ac:dyDescent="0.2">
      <c r="A112" s="8" t="s">
        <v>231</v>
      </c>
      <c r="B112" s="9">
        <v>9079571</v>
      </c>
      <c r="C112" s="8" t="s">
        <v>238</v>
      </c>
      <c r="D112" s="8" t="s">
        <v>239</v>
      </c>
      <c r="E112" s="11">
        <v>45870</v>
      </c>
      <c r="F112" s="8" t="s">
        <v>48</v>
      </c>
      <c r="G112" s="8" t="s">
        <v>50</v>
      </c>
      <c r="H112" s="8" t="s">
        <v>62</v>
      </c>
      <c r="I112" s="12">
        <v>1</v>
      </c>
      <c r="J112" s="12">
        <v>1</v>
      </c>
      <c r="K112" s="12">
        <v>26.08</v>
      </c>
      <c r="L112" s="8" t="s">
        <v>52</v>
      </c>
      <c r="M112" s="11">
        <v>45170</v>
      </c>
      <c r="N112" s="7" t="s">
        <v>523</v>
      </c>
      <c r="O112" s="7" t="s">
        <v>530</v>
      </c>
      <c r="Q112" s="8" t="s">
        <v>239</v>
      </c>
      <c r="R112" s="7" t="str">
        <f>CONCATENATE(Q112,6)</f>
        <v>00020649688K6</v>
      </c>
      <c r="T112" s="8" t="s">
        <v>635</v>
      </c>
      <c r="U112" s="7" t="s">
        <v>636</v>
      </c>
      <c r="V112" s="7" t="str">
        <f>CONCATENATE(U112, " ", T112)</f>
        <v>DONNA CHASE</v>
      </c>
    </row>
    <row r="113" spans="1:22" x14ac:dyDescent="0.2">
      <c r="A113" s="8" t="s">
        <v>231</v>
      </c>
      <c r="B113" s="9">
        <v>9079571</v>
      </c>
      <c r="C113" s="8" t="s">
        <v>236</v>
      </c>
      <c r="D113" s="8" t="s">
        <v>237</v>
      </c>
      <c r="E113" s="11">
        <v>45870</v>
      </c>
      <c r="F113" s="8" t="s">
        <v>48</v>
      </c>
      <c r="G113" s="8" t="s">
        <v>50</v>
      </c>
      <c r="H113" s="8" t="s">
        <v>62</v>
      </c>
      <c r="I113" s="12">
        <v>1</v>
      </c>
      <c r="J113" s="12">
        <v>1</v>
      </c>
      <c r="K113" s="12">
        <v>26.08</v>
      </c>
      <c r="L113" s="8" t="s">
        <v>52</v>
      </c>
      <c r="M113" s="11">
        <v>45200</v>
      </c>
      <c r="N113" s="7" t="s">
        <v>523</v>
      </c>
      <c r="O113" s="7" t="s">
        <v>530</v>
      </c>
      <c r="Q113" s="8" t="s">
        <v>237</v>
      </c>
      <c r="R113" s="7" t="str">
        <f>CONCATENATE(Q113,6)</f>
        <v>00020571654K6</v>
      </c>
      <c r="T113" s="8" t="s">
        <v>666</v>
      </c>
      <c r="U113" s="7" t="s">
        <v>667</v>
      </c>
      <c r="V113" s="7" t="str">
        <f>CONCATENATE(U113, " ", T113)</f>
        <v>CHARLOTTE FERRELL</v>
      </c>
    </row>
    <row r="114" spans="1:22" x14ac:dyDescent="0.2">
      <c r="A114" s="8" t="s">
        <v>231</v>
      </c>
      <c r="B114" s="9">
        <v>9079571</v>
      </c>
      <c r="C114" s="8" t="s">
        <v>234</v>
      </c>
      <c r="D114" s="8" t="s">
        <v>235</v>
      </c>
      <c r="E114" s="11">
        <v>45870</v>
      </c>
      <c r="F114" s="8" t="s">
        <v>48</v>
      </c>
      <c r="G114" s="8" t="s">
        <v>50</v>
      </c>
      <c r="H114" s="8" t="s">
        <v>51</v>
      </c>
      <c r="I114" s="12">
        <v>1</v>
      </c>
      <c r="J114" s="12">
        <v>1</v>
      </c>
      <c r="K114" s="12">
        <v>26.08</v>
      </c>
      <c r="L114" s="8" t="s">
        <v>52</v>
      </c>
      <c r="M114" s="11">
        <v>45139</v>
      </c>
      <c r="N114" s="7" t="s">
        <v>523</v>
      </c>
      <c r="O114" s="7" t="s">
        <v>530</v>
      </c>
      <c r="Q114" s="8" t="s">
        <v>235</v>
      </c>
      <c r="R114" s="7" t="str">
        <f>CONCATENATE(Q114,6)</f>
        <v>00020568097K6</v>
      </c>
      <c r="T114" s="8" t="s">
        <v>722</v>
      </c>
      <c r="U114" s="7" t="s">
        <v>723</v>
      </c>
      <c r="V114" s="7" t="str">
        <f>CONCATENATE(U114, " ", T114)</f>
        <v>ALICE KLAUZA</v>
      </c>
    </row>
    <row r="115" spans="1:22" x14ac:dyDescent="0.2">
      <c r="A115" s="8" t="s">
        <v>231</v>
      </c>
      <c r="B115" s="9">
        <v>9079571</v>
      </c>
      <c r="C115" s="8" t="s">
        <v>232</v>
      </c>
      <c r="D115" s="8" t="s">
        <v>233</v>
      </c>
      <c r="E115" s="11">
        <v>45870</v>
      </c>
      <c r="F115" s="8" t="s">
        <v>48</v>
      </c>
      <c r="G115" s="8" t="s">
        <v>50</v>
      </c>
      <c r="H115" s="8" t="s">
        <v>62</v>
      </c>
      <c r="I115" s="12">
        <v>1</v>
      </c>
      <c r="J115" s="12">
        <v>1</v>
      </c>
      <c r="K115" s="12">
        <v>26.08</v>
      </c>
      <c r="L115" s="8" t="s">
        <v>52</v>
      </c>
      <c r="M115" s="11">
        <v>45292</v>
      </c>
      <c r="N115" s="7" t="s">
        <v>523</v>
      </c>
      <c r="O115" s="7" t="s">
        <v>530</v>
      </c>
      <c r="Q115" s="8" t="s">
        <v>233</v>
      </c>
      <c r="R115" s="7" t="str">
        <f>CONCATENATE(Q115,6)</f>
        <v>00018178652K6</v>
      </c>
      <c r="T115" s="8" t="s">
        <v>784</v>
      </c>
      <c r="U115" s="7" t="s">
        <v>733</v>
      </c>
      <c r="V115" s="7" t="str">
        <f>CONCATENATE(U115, " ", T115)</f>
        <v>DAVID ROCCIO</v>
      </c>
    </row>
    <row r="116" spans="1:22" x14ac:dyDescent="0.2">
      <c r="A116" s="8" t="s">
        <v>231</v>
      </c>
      <c r="B116" s="9">
        <v>9079571</v>
      </c>
      <c r="C116" s="8" t="s">
        <v>244</v>
      </c>
      <c r="D116" s="8" t="s">
        <v>245</v>
      </c>
      <c r="E116" s="11">
        <v>45870</v>
      </c>
      <c r="F116" s="8" t="s">
        <v>48</v>
      </c>
      <c r="G116" s="8" t="s">
        <v>50</v>
      </c>
      <c r="H116" s="8" t="s">
        <v>62</v>
      </c>
      <c r="I116" s="12">
        <v>1</v>
      </c>
      <c r="J116" s="12">
        <v>1</v>
      </c>
      <c r="K116" s="12">
        <v>26.08</v>
      </c>
      <c r="L116" s="8" t="s">
        <v>52</v>
      </c>
      <c r="M116" s="11">
        <v>45261</v>
      </c>
      <c r="N116" s="7" t="s">
        <v>523</v>
      </c>
      <c r="O116" s="7" t="s">
        <v>530</v>
      </c>
      <c r="Q116" s="8" t="s">
        <v>245</v>
      </c>
      <c r="R116" s="7" t="str">
        <f>CONCATENATE(Q116,6)</f>
        <v>00020992055K6</v>
      </c>
      <c r="T116" s="8" t="s">
        <v>816</v>
      </c>
      <c r="U116" s="7" t="s">
        <v>817</v>
      </c>
      <c r="V116" s="7" t="str">
        <f>CONCATENATE(U116, " ", T116)</f>
        <v>JOANNE TERESZCUK</v>
      </c>
    </row>
    <row r="117" spans="1:22" x14ac:dyDescent="0.2">
      <c r="A117" s="8" t="s">
        <v>231</v>
      </c>
      <c r="B117" s="9">
        <v>9079571</v>
      </c>
      <c r="C117" s="8" t="s">
        <v>240</v>
      </c>
      <c r="D117" s="8" t="s">
        <v>241</v>
      </c>
      <c r="E117" s="11">
        <v>45870</v>
      </c>
      <c r="F117" s="8" t="s">
        <v>48</v>
      </c>
      <c r="G117" s="8" t="s">
        <v>50</v>
      </c>
      <c r="H117" s="8" t="s">
        <v>51</v>
      </c>
      <c r="I117" s="12">
        <v>1</v>
      </c>
      <c r="J117" s="12">
        <v>1</v>
      </c>
      <c r="K117" s="12">
        <v>26.08</v>
      </c>
      <c r="L117" s="8" t="s">
        <v>52</v>
      </c>
      <c r="M117" s="11">
        <v>45170</v>
      </c>
      <c r="N117" s="7" t="s">
        <v>523</v>
      </c>
      <c r="O117" s="7" t="s">
        <v>530</v>
      </c>
      <c r="Q117" s="8" t="s">
        <v>241</v>
      </c>
      <c r="R117" s="7" t="str">
        <f>CONCATENATE(Q117,6)</f>
        <v>00020695105K6</v>
      </c>
      <c r="T117" s="8" t="s">
        <v>835</v>
      </c>
      <c r="U117" s="7" t="s">
        <v>836</v>
      </c>
      <c r="V117" s="7" t="str">
        <f>CONCATENATE(U117, " ", T117)</f>
        <v>JUDY WILKE</v>
      </c>
    </row>
    <row r="118" spans="1:22" x14ac:dyDescent="0.2">
      <c r="A118" s="8" t="s">
        <v>231</v>
      </c>
      <c r="B118" s="9">
        <v>9079571</v>
      </c>
      <c r="C118" s="8" t="s">
        <v>242</v>
      </c>
      <c r="D118" s="8" t="s">
        <v>243</v>
      </c>
      <c r="E118" s="11">
        <v>45870</v>
      </c>
      <c r="F118" s="8" t="s">
        <v>48</v>
      </c>
      <c r="G118" s="8" t="s">
        <v>50</v>
      </c>
      <c r="H118" s="8" t="s">
        <v>62</v>
      </c>
      <c r="I118" s="12">
        <v>1</v>
      </c>
      <c r="J118" s="12">
        <v>1</v>
      </c>
      <c r="K118" s="12">
        <v>26.08</v>
      </c>
      <c r="L118" s="8" t="s">
        <v>52</v>
      </c>
      <c r="M118" s="11">
        <v>45292</v>
      </c>
      <c r="N118" s="7" t="s">
        <v>523</v>
      </c>
      <c r="O118" s="7" t="s">
        <v>530</v>
      </c>
      <c r="Q118" s="8" t="s">
        <v>243</v>
      </c>
      <c r="R118" s="7" t="str">
        <f>CONCATENATE(Q118,6)</f>
        <v>00020902900K6</v>
      </c>
      <c r="T118" s="8" t="s">
        <v>838</v>
      </c>
      <c r="U118" s="7" t="s">
        <v>560</v>
      </c>
      <c r="V118" s="7" t="str">
        <f>CONCATENATE(U118, " ", T118)</f>
        <v>RICHARD WINKLER</v>
      </c>
    </row>
    <row r="119" spans="1:22" x14ac:dyDescent="0.2">
      <c r="A119" s="8" t="s">
        <v>271</v>
      </c>
      <c r="B119" s="9">
        <v>16509456</v>
      </c>
      <c r="C119" s="8" t="s">
        <v>272</v>
      </c>
      <c r="D119" s="8" t="s">
        <v>273</v>
      </c>
      <c r="E119" s="11">
        <v>45870</v>
      </c>
      <c r="F119" s="8" t="s">
        <v>48</v>
      </c>
      <c r="G119" s="8" t="s">
        <v>50</v>
      </c>
      <c r="H119" s="8" t="s">
        <v>51</v>
      </c>
      <c r="I119" s="12">
        <v>1</v>
      </c>
      <c r="J119" s="12">
        <v>1</v>
      </c>
      <c r="K119" s="12">
        <v>26.08</v>
      </c>
      <c r="L119" s="8" t="s">
        <v>52</v>
      </c>
      <c r="M119" s="11">
        <v>45139</v>
      </c>
      <c r="N119" s="7" t="s">
        <v>523</v>
      </c>
      <c r="O119" s="7" t="s">
        <v>530</v>
      </c>
      <c r="Q119" s="8" t="s">
        <v>273</v>
      </c>
      <c r="R119" s="7" t="str">
        <f>CONCATENATE(Q119,6)</f>
        <v>00020589444K6</v>
      </c>
      <c r="T119" s="8" t="s">
        <v>768</v>
      </c>
      <c r="U119" s="7" t="s">
        <v>769</v>
      </c>
      <c r="V119" s="7" t="str">
        <f>CONCATENATE(U119, " ", T119)</f>
        <v>DIANA PRYCE</v>
      </c>
    </row>
    <row r="120" spans="1:22" x14ac:dyDescent="0.2">
      <c r="A120" s="8" t="s">
        <v>227</v>
      </c>
      <c r="B120" s="9">
        <v>16228684</v>
      </c>
      <c r="C120" s="8" t="s">
        <v>228</v>
      </c>
      <c r="D120" s="8" t="s">
        <v>229</v>
      </c>
      <c r="E120" s="11">
        <v>45901</v>
      </c>
      <c r="F120" s="8" t="s">
        <v>69</v>
      </c>
      <c r="G120" s="8" t="s">
        <v>50</v>
      </c>
      <c r="H120" s="8" t="s">
        <v>51</v>
      </c>
      <c r="I120" s="12">
        <v>0.33</v>
      </c>
      <c r="J120" s="12">
        <v>1</v>
      </c>
      <c r="K120" s="12">
        <v>104.33</v>
      </c>
      <c r="L120" s="8" t="s">
        <v>71</v>
      </c>
      <c r="M120" s="11">
        <v>45901</v>
      </c>
      <c r="N120" s="7" t="s">
        <v>523</v>
      </c>
      <c r="O120" s="7" t="s">
        <v>529</v>
      </c>
      <c r="Q120" s="8" t="s">
        <v>229</v>
      </c>
      <c r="R120" s="7" t="str">
        <f>CONCATENATE(Q120,6)</f>
        <v>00023550119K6</v>
      </c>
      <c r="T120" s="8" t="s">
        <v>711</v>
      </c>
      <c r="U120" s="7" t="s">
        <v>712</v>
      </c>
      <c r="V120" s="7" t="str">
        <f>CONCATENATE(U120, " ", T120)</f>
        <v>KAREN JENSEN</v>
      </c>
    </row>
    <row r="121" spans="1:22" x14ac:dyDescent="0.2">
      <c r="A121" s="8" t="s">
        <v>396</v>
      </c>
      <c r="B121" s="9">
        <v>19200754</v>
      </c>
      <c r="C121" s="8" t="s">
        <v>397</v>
      </c>
      <c r="D121" s="8" t="s">
        <v>398</v>
      </c>
      <c r="E121" s="11">
        <v>45870</v>
      </c>
      <c r="F121" s="8" t="s">
        <v>48</v>
      </c>
      <c r="G121" s="8" t="s">
        <v>50</v>
      </c>
      <c r="H121" s="8" t="s">
        <v>62</v>
      </c>
      <c r="I121" s="12">
        <v>1</v>
      </c>
      <c r="J121" s="12">
        <v>1</v>
      </c>
      <c r="K121" s="12">
        <v>26.08</v>
      </c>
      <c r="L121" s="8" t="s">
        <v>52</v>
      </c>
      <c r="M121" s="11">
        <v>45474</v>
      </c>
      <c r="N121" s="7" t="s">
        <v>523</v>
      </c>
      <c r="O121" s="7" t="s">
        <v>530</v>
      </c>
      <c r="Q121" s="8" t="s">
        <v>398</v>
      </c>
      <c r="R121" s="7" t="str">
        <f>CONCATENATE(Q121,6)</f>
        <v>00021883797K6</v>
      </c>
      <c r="T121" s="8" t="s">
        <v>605</v>
      </c>
      <c r="U121" s="7" t="s">
        <v>606</v>
      </c>
      <c r="V121" s="7" t="str">
        <f>CONCATENATE(U121, " ", T121)</f>
        <v>CHESTER ANTCZAK</v>
      </c>
    </row>
    <row r="122" spans="1:22" x14ac:dyDescent="0.2">
      <c r="A122" s="8" t="s">
        <v>396</v>
      </c>
      <c r="B122" s="9">
        <v>19200754</v>
      </c>
      <c r="C122" s="8" t="s">
        <v>405</v>
      </c>
      <c r="D122" s="8" t="s">
        <v>406</v>
      </c>
      <c r="E122" s="11">
        <v>45870</v>
      </c>
      <c r="F122" s="8" t="s">
        <v>48</v>
      </c>
      <c r="G122" s="8" t="s">
        <v>50</v>
      </c>
      <c r="H122" s="8" t="s">
        <v>51</v>
      </c>
      <c r="I122" s="12">
        <v>1</v>
      </c>
      <c r="J122" s="12">
        <v>1</v>
      </c>
      <c r="K122" s="12">
        <v>26.08</v>
      </c>
      <c r="L122" s="8" t="s">
        <v>52</v>
      </c>
      <c r="M122" s="11">
        <v>45566</v>
      </c>
      <c r="N122" s="7" t="s">
        <v>523</v>
      </c>
      <c r="O122" s="7" t="s">
        <v>530</v>
      </c>
      <c r="Q122" s="8" t="s">
        <v>406</v>
      </c>
      <c r="R122" s="7" t="str">
        <f>CONCATENATE(Q122,6)</f>
        <v>00022094990K6</v>
      </c>
      <c r="T122" s="8" t="s">
        <v>609</v>
      </c>
      <c r="U122" s="7" t="s">
        <v>610</v>
      </c>
      <c r="V122" s="7" t="str">
        <f>CONCATENATE(U122, " ", T122)</f>
        <v>HENRY ASEGA</v>
      </c>
    </row>
    <row r="123" spans="1:22" x14ac:dyDescent="0.2">
      <c r="A123" s="8" t="s">
        <v>396</v>
      </c>
      <c r="B123" s="9">
        <v>19200754</v>
      </c>
      <c r="C123" s="8" t="s">
        <v>413</v>
      </c>
      <c r="D123" s="8" t="s">
        <v>414</v>
      </c>
      <c r="E123" s="11">
        <v>45870</v>
      </c>
      <c r="F123" s="8" t="s">
        <v>48</v>
      </c>
      <c r="G123" s="8" t="s">
        <v>50</v>
      </c>
      <c r="H123" s="8" t="s">
        <v>51</v>
      </c>
      <c r="I123" s="12">
        <v>1</v>
      </c>
      <c r="J123" s="12">
        <v>1</v>
      </c>
      <c r="K123" s="12">
        <v>26.08</v>
      </c>
      <c r="L123" s="8" t="s">
        <v>52</v>
      </c>
      <c r="M123" s="11">
        <v>45627</v>
      </c>
      <c r="N123" s="7" t="s">
        <v>523</v>
      </c>
      <c r="O123" s="7" t="s">
        <v>530</v>
      </c>
      <c r="Q123" s="8" t="s">
        <v>414</v>
      </c>
      <c r="R123" s="7" t="str">
        <f>CONCATENATE(Q123,6)</f>
        <v>00022659909K6</v>
      </c>
      <c r="T123" s="8" t="s">
        <v>616</v>
      </c>
      <c r="U123" s="7" t="s">
        <v>608</v>
      </c>
      <c r="V123" s="7" t="str">
        <f>CONCATENATE(U123, " ", T123)</f>
        <v>PAUL BORASH</v>
      </c>
    </row>
    <row r="124" spans="1:22" x14ac:dyDescent="0.2">
      <c r="A124" s="8" t="s">
        <v>396</v>
      </c>
      <c r="B124" s="9">
        <v>19200754</v>
      </c>
      <c r="C124" s="8" t="s">
        <v>401</v>
      </c>
      <c r="D124" s="8" t="s">
        <v>402</v>
      </c>
      <c r="E124" s="11">
        <v>45870</v>
      </c>
      <c r="F124" s="8" t="s">
        <v>48</v>
      </c>
      <c r="G124" s="8" t="s">
        <v>50</v>
      </c>
      <c r="H124" s="8" t="s">
        <v>51</v>
      </c>
      <c r="I124" s="12">
        <v>1</v>
      </c>
      <c r="J124" s="12">
        <v>1</v>
      </c>
      <c r="K124" s="12">
        <v>26.08</v>
      </c>
      <c r="L124" s="8" t="s">
        <v>52</v>
      </c>
      <c r="M124" s="11">
        <v>45566</v>
      </c>
      <c r="N124" s="7" t="s">
        <v>523</v>
      </c>
      <c r="O124" s="7" t="s">
        <v>530</v>
      </c>
      <c r="Q124" s="8" t="s">
        <v>402</v>
      </c>
      <c r="R124" s="7" t="str">
        <f>CONCATENATE(Q124,6)</f>
        <v>00022085971K6</v>
      </c>
      <c r="T124" s="8" t="s">
        <v>737</v>
      </c>
      <c r="U124" s="7" t="s">
        <v>738</v>
      </c>
      <c r="V124" s="7" t="str">
        <f>CONCATENATE(U124, " ", T124)</f>
        <v>SUSAN MADETE</v>
      </c>
    </row>
    <row r="125" spans="1:22" x14ac:dyDescent="0.2">
      <c r="A125" s="8" t="s">
        <v>396</v>
      </c>
      <c r="B125" s="9">
        <v>19200754</v>
      </c>
      <c r="C125" s="8" t="s">
        <v>407</v>
      </c>
      <c r="D125" s="8" t="s">
        <v>408</v>
      </c>
      <c r="E125" s="11">
        <v>45870</v>
      </c>
      <c r="F125" s="8" t="s">
        <v>48</v>
      </c>
      <c r="G125" s="8" t="s">
        <v>50</v>
      </c>
      <c r="H125" s="8" t="s">
        <v>51</v>
      </c>
      <c r="I125" s="12">
        <v>1</v>
      </c>
      <c r="J125" s="12">
        <v>1</v>
      </c>
      <c r="K125" s="12">
        <v>26.08</v>
      </c>
      <c r="L125" s="8" t="s">
        <v>52</v>
      </c>
      <c r="M125" s="11">
        <v>45597</v>
      </c>
      <c r="N125" s="7" t="s">
        <v>523</v>
      </c>
      <c r="O125" s="7" t="s">
        <v>530</v>
      </c>
      <c r="Q125" s="8" t="s">
        <v>408</v>
      </c>
      <c r="R125" s="7" t="str">
        <f>CONCATENATE(Q125,6)</f>
        <v>00022148995K6</v>
      </c>
      <c r="T125" s="8" t="s">
        <v>608</v>
      </c>
      <c r="U125" s="7" t="s">
        <v>677</v>
      </c>
      <c r="V125" s="7" t="str">
        <f>CONCATENATE(U125, " ", T125)</f>
        <v>MARY PAUL</v>
      </c>
    </row>
    <row r="126" spans="1:22" x14ac:dyDescent="0.2">
      <c r="A126" s="8" t="s">
        <v>396</v>
      </c>
      <c r="B126" s="9">
        <v>19200754</v>
      </c>
      <c r="C126" s="8" t="s">
        <v>399</v>
      </c>
      <c r="D126" s="8" t="s">
        <v>400</v>
      </c>
      <c r="E126" s="11">
        <v>45870</v>
      </c>
      <c r="F126" s="8" t="s">
        <v>48</v>
      </c>
      <c r="G126" s="8" t="s">
        <v>50</v>
      </c>
      <c r="H126" s="8" t="s">
        <v>51</v>
      </c>
      <c r="I126" s="12">
        <v>1</v>
      </c>
      <c r="J126" s="12">
        <v>1</v>
      </c>
      <c r="K126" s="12">
        <v>26.08</v>
      </c>
      <c r="L126" s="8" t="s">
        <v>52</v>
      </c>
      <c r="M126" s="11">
        <v>45566</v>
      </c>
      <c r="N126" s="7" t="s">
        <v>523</v>
      </c>
      <c r="O126" s="7" t="s">
        <v>530</v>
      </c>
      <c r="Q126" s="8" t="s">
        <v>400</v>
      </c>
      <c r="R126" s="7" t="str">
        <f>CONCATENATE(Q126,6)</f>
        <v>00022077041K6</v>
      </c>
      <c r="T126" s="8" t="s">
        <v>802</v>
      </c>
      <c r="U126" s="7" t="s">
        <v>803</v>
      </c>
      <c r="V126" s="7" t="str">
        <f>CONCATENATE(U126, " ", T126)</f>
        <v>SHAZIA SHAHRUKH</v>
      </c>
    </row>
    <row r="127" spans="1:22" x14ac:dyDescent="0.2">
      <c r="A127" s="8" t="s">
        <v>396</v>
      </c>
      <c r="B127" s="9">
        <v>19200754</v>
      </c>
      <c r="C127" s="8" t="s">
        <v>411</v>
      </c>
      <c r="D127" s="8" t="s">
        <v>412</v>
      </c>
      <c r="E127" s="11">
        <v>45870</v>
      </c>
      <c r="F127" s="8" t="s">
        <v>48</v>
      </c>
      <c r="G127" s="8" t="s">
        <v>50</v>
      </c>
      <c r="H127" s="8" t="s">
        <v>62</v>
      </c>
      <c r="I127" s="12">
        <v>1</v>
      </c>
      <c r="J127" s="12">
        <v>1</v>
      </c>
      <c r="K127" s="12">
        <v>26.08</v>
      </c>
      <c r="L127" s="8" t="s">
        <v>52</v>
      </c>
      <c r="M127" s="11">
        <v>45627</v>
      </c>
      <c r="N127" s="7" t="s">
        <v>523</v>
      </c>
      <c r="O127" s="7" t="s">
        <v>530</v>
      </c>
      <c r="Q127" s="8" t="s">
        <v>412</v>
      </c>
      <c r="R127" s="7" t="str">
        <f>CONCATENATE(Q127,6)</f>
        <v>00022462923K6</v>
      </c>
      <c r="T127" s="8" t="s">
        <v>811</v>
      </c>
      <c r="U127" s="7" t="s">
        <v>812</v>
      </c>
      <c r="V127" s="7" t="str">
        <f>CONCATENATE(U127, " ", T127)</f>
        <v>ADELAIDA SILVA</v>
      </c>
    </row>
    <row r="128" spans="1:22" x14ac:dyDescent="0.2">
      <c r="A128" s="8" t="s">
        <v>396</v>
      </c>
      <c r="B128" s="9">
        <v>19200754</v>
      </c>
      <c r="C128" s="8" t="s">
        <v>409</v>
      </c>
      <c r="D128" s="8" t="s">
        <v>410</v>
      </c>
      <c r="E128" s="11">
        <v>45870</v>
      </c>
      <c r="F128" s="8" t="s">
        <v>48</v>
      </c>
      <c r="G128" s="8" t="s">
        <v>50</v>
      </c>
      <c r="H128" s="8" t="s">
        <v>62</v>
      </c>
      <c r="I128" s="12">
        <v>1</v>
      </c>
      <c r="J128" s="12">
        <v>1</v>
      </c>
      <c r="K128" s="12">
        <v>26.08</v>
      </c>
      <c r="L128" s="8" t="s">
        <v>52</v>
      </c>
      <c r="M128" s="11">
        <v>45627</v>
      </c>
      <c r="N128" s="7" t="s">
        <v>523</v>
      </c>
      <c r="O128" s="7" t="s">
        <v>530</v>
      </c>
      <c r="Q128" s="8" t="s">
        <v>410</v>
      </c>
      <c r="R128" s="7" t="str">
        <f>CONCATENATE(Q128,6)</f>
        <v>00022406995K6</v>
      </c>
      <c r="T128" s="8" t="s">
        <v>811</v>
      </c>
      <c r="U128" s="7" t="s">
        <v>813</v>
      </c>
      <c r="V128" s="7" t="str">
        <f>CONCATENATE(U128, " ", T128)</f>
        <v>NICOMEDES SILVA</v>
      </c>
    </row>
    <row r="129" spans="1:22" x14ac:dyDescent="0.2">
      <c r="A129" s="8" t="s">
        <v>396</v>
      </c>
      <c r="B129" s="9">
        <v>19200754</v>
      </c>
      <c r="C129" s="8" t="s">
        <v>403</v>
      </c>
      <c r="D129" s="8" t="s">
        <v>404</v>
      </c>
      <c r="E129" s="11">
        <v>45870</v>
      </c>
      <c r="F129" s="8" t="s">
        <v>48</v>
      </c>
      <c r="G129" s="8" t="s">
        <v>50</v>
      </c>
      <c r="H129" s="8" t="s">
        <v>51</v>
      </c>
      <c r="I129" s="12">
        <v>1</v>
      </c>
      <c r="J129" s="12">
        <v>1</v>
      </c>
      <c r="K129" s="12">
        <v>26.08</v>
      </c>
      <c r="L129" s="8" t="s">
        <v>52</v>
      </c>
      <c r="M129" s="11">
        <v>45566</v>
      </c>
      <c r="N129" s="7" t="s">
        <v>523</v>
      </c>
      <c r="O129" s="7" t="s">
        <v>530</v>
      </c>
      <c r="Q129" s="8" t="s">
        <v>404</v>
      </c>
      <c r="R129" s="7" t="str">
        <f>CONCATENATE(Q129,6)</f>
        <v>00022092926K6</v>
      </c>
      <c r="T129" s="8" t="s">
        <v>815</v>
      </c>
      <c r="U129" s="7" t="s">
        <v>742</v>
      </c>
      <c r="V129" s="7" t="str">
        <f>CONCATENATE(U129, " ", T129)</f>
        <v>JOHN SMITH</v>
      </c>
    </row>
    <row r="130" spans="1:22" x14ac:dyDescent="0.2">
      <c r="A130" s="8" t="s">
        <v>418</v>
      </c>
      <c r="B130" s="9">
        <v>19586992</v>
      </c>
      <c r="C130" s="8" t="s">
        <v>423</v>
      </c>
      <c r="D130" s="8" t="s">
        <v>424</v>
      </c>
      <c r="E130" s="11">
        <v>45870</v>
      </c>
      <c r="F130" s="8" t="s">
        <v>48</v>
      </c>
      <c r="G130" s="8" t="s">
        <v>50</v>
      </c>
      <c r="H130" s="8" t="s">
        <v>51</v>
      </c>
      <c r="I130" s="12">
        <v>1</v>
      </c>
      <c r="J130" s="12">
        <v>1</v>
      </c>
      <c r="K130" s="12">
        <v>26.08</v>
      </c>
      <c r="L130" s="8" t="s">
        <v>52</v>
      </c>
      <c r="M130" s="11">
        <v>45627</v>
      </c>
      <c r="N130" s="7" t="s">
        <v>523</v>
      </c>
      <c r="O130" s="7" t="s">
        <v>530</v>
      </c>
      <c r="Q130" s="8" t="s">
        <v>424</v>
      </c>
      <c r="R130" s="7" t="str">
        <f>CONCATENATE(Q130,6)</f>
        <v>00022698535K6</v>
      </c>
      <c r="T130" s="8" t="s">
        <v>615</v>
      </c>
      <c r="U130" s="7" t="s">
        <v>554</v>
      </c>
      <c r="V130" s="7" t="str">
        <f>CONCATENATE(U130, " ", T130)</f>
        <v>JAMES BECKWITH</v>
      </c>
    </row>
    <row r="131" spans="1:22" x14ac:dyDescent="0.2">
      <c r="A131" s="8" t="s">
        <v>418</v>
      </c>
      <c r="B131" s="9">
        <v>19586992</v>
      </c>
      <c r="C131" s="8" t="s">
        <v>421</v>
      </c>
      <c r="D131" s="8" t="s">
        <v>422</v>
      </c>
      <c r="E131" s="11">
        <v>45870</v>
      </c>
      <c r="F131" s="8" t="s">
        <v>48</v>
      </c>
      <c r="G131" s="8" t="s">
        <v>50</v>
      </c>
      <c r="H131" s="8" t="s">
        <v>51</v>
      </c>
      <c r="I131" s="12">
        <v>1</v>
      </c>
      <c r="J131" s="12">
        <v>1</v>
      </c>
      <c r="K131" s="12">
        <v>26.08</v>
      </c>
      <c r="L131" s="8" t="s">
        <v>52</v>
      </c>
      <c r="M131" s="11">
        <v>45627</v>
      </c>
      <c r="N131" s="7" t="s">
        <v>523</v>
      </c>
      <c r="O131" s="7" t="s">
        <v>530</v>
      </c>
      <c r="Q131" s="8" t="s">
        <v>422</v>
      </c>
      <c r="R131" s="7" t="str">
        <f>CONCATENATE(Q131,6)</f>
        <v>00022674415K6</v>
      </c>
      <c r="T131" s="8" t="s">
        <v>686</v>
      </c>
      <c r="U131" s="7" t="s">
        <v>554</v>
      </c>
      <c r="V131" s="7" t="str">
        <f>CONCATENATE(U131, " ", T131)</f>
        <v>JAMES HARBACEK</v>
      </c>
    </row>
    <row r="132" spans="1:22" x14ac:dyDescent="0.2">
      <c r="A132" s="8" t="s">
        <v>418</v>
      </c>
      <c r="B132" s="9">
        <v>19586992</v>
      </c>
      <c r="C132" s="8" t="s">
        <v>419</v>
      </c>
      <c r="D132" s="8" t="s">
        <v>420</v>
      </c>
      <c r="E132" s="11">
        <v>45870</v>
      </c>
      <c r="F132" s="8" t="s">
        <v>48</v>
      </c>
      <c r="G132" s="8" t="s">
        <v>50</v>
      </c>
      <c r="H132" s="8" t="s">
        <v>51</v>
      </c>
      <c r="I132" s="12">
        <v>1</v>
      </c>
      <c r="J132" s="12">
        <v>1</v>
      </c>
      <c r="K132" s="12">
        <v>26.08</v>
      </c>
      <c r="L132" s="8" t="s">
        <v>52</v>
      </c>
      <c r="M132" s="11">
        <v>45474</v>
      </c>
      <c r="N132" s="7" t="s">
        <v>523</v>
      </c>
      <c r="O132" s="7" t="s">
        <v>530</v>
      </c>
      <c r="Q132" s="8" t="s">
        <v>420</v>
      </c>
      <c r="R132" s="7" t="str">
        <f>CONCATENATE(Q132,6)</f>
        <v>00017505325K6</v>
      </c>
      <c r="T132" s="8" t="s">
        <v>814</v>
      </c>
      <c r="U132" s="7" t="s">
        <v>573</v>
      </c>
      <c r="V132" s="7" t="str">
        <f>CONCATENATE(U132, " ", T132)</f>
        <v>DEBRA SIMS</v>
      </c>
    </row>
    <row r="133" spans="1:22" x14ac:dyDescent="0.2">
      <c r="A133" s="8" t="s">
        <v>446</v>
      </c>
      <c r="B133" s="9">
        <v>20490188</v>
      </c>
      <c r="C133" s="8" t="s">
        <v>447</v>
      </c>
      <c r="D133" s="8" t="s">
        <v>448</v>
      </c>
      <c r="E133" s="11">
        <v>45870</v>
      </c>
      <c r="F133" s="8" t="s">
        <v>48</v>
      </c>
      <c r="G133" s="8" t="s">
        <v>50</v>
      </c>
      <c r="H133" s="8" t="s">
        <v>62</v>
      </c>
      <c r="I133" s="12">
        <v>1</v>
      </c>
      <c r="J133" s="12">
        <v>1</v>
      </c>
      <c r="K133" s="12">
        <v>26.08</v>
      </c>
      <c r="L133" s="8" t="s">
        <v>52</v>
      </c>
      <c r="M133" s="11">
        <v>45597</v>
      </c>
      <c r="N133" s="7" t="s">
        <v>523</v>
      </c>
      <c r="O133" s="7" t="s">
        <v>530</v>
      </c>
      <c r="Q133" s="8" t="s">
        <v>448</v>
      </c>
      <c r="R133" s="7" t="str">
        <f>CONCATENATE(Q133,6)</f>
        <v>00000076874F6</v>
      </c>
      <c r="T133" s="8" t="s">
        <v>796</v>
      </c>
      <c r="U133" s="7" t="s">
        <v>797</v>
      </c>
      <c r="V133" s="7" t="str">
        <f>CONCATENATE(U133, " ", T133)</f>
        <v>CAROL SCHABER</v>
      </c>
    </row>
    <row r="134" spans="1:22" x14ac:dyDescent="0.2">
      <c r="A134" s="8" t="s">
        <v>449</v>
      </c>
      <c r="B134" s="9">
        <v>7565575</v>
      </c>
      <c r="C134" s="8" t="s">
        <v>453</v>
      </c>
      <c r="D134" s="8" t="s">
        <v>454</v>
      </c>
      <c r="E134" s="11">
        <v>45901</v>
      </c>
      <c r="F134" s="8" t="s">
        <v>69</v>
      </c>
      <c r="G134" s="8" t="s">
        <v>50</v>
      </c>
      <c r="H134" s="8" t="s">
        <v>62</v>
      </c>
      <c r="I134" s="12">
        <v>0.33</v>
      </c>
      <c r="J134" s="12">
        <v>1</v>
      </c>
      <c r="K134" s="12">
        <v>104.33</v>
      </c>
      <c r="L134" s="8" t="s">
        <v>71</v>
      </c>
      <c r="M134" s="11">
        <v>45901</v>
      </c>
      <c r="N134" s="7" t="s">
        <v>523</v>
      </c>
      <c r="O134" s="7" t="s">
        <v>529</v>
      </c>
      <c r="Q134" s="8" t="s">
        <v>454</v>
      </c>
      <c r="R134" s="7" t="str">
        <f>CONCATENATE(Q134,6)</f>
        <v>00023552486K6</v>
      </c>
      <c r="T134" s="8" t="s">
        <v>661</v>
      </c>
      <c r="U134" s="7" t="s">
        <v>554</v>
      </c>
      <c r="V134" s="7" t="str">
        <f>CONCATENATE(U134, " ", T134)</f>
        <v>JAMES ELDRENKAMP</v>
      </c>
    </row>
    <row r="135" spans="1:22" x14ac:dyDescent="0.2">
      <c r="A135" s="8" t="s">
        <v>449</v>
      </c>
      <c r="B135" s="9">
        <v>7565575</v>
      </c>
      <c r="C135" s="8" t="s">
        <v>450</v>
      </c>
      <c r="D135" s="8" t="s">
        <v>451</v>
      </c>
      <c r="E135" s="11">
        <v>45901</v>
      </c>
      <c r="F135" s="8" t="s">
        <v>69</v>
      </c>
      <c r="G135" s="8" t="s">
        <v>50</v>
      </c>
      <c r="H135" s="8" t="s">
        <v>62</v>
      </c>
      <c r="I135" s="12">
        <v>-0.33</v>
      </c>
      <c r="J135" s="12">
        <v>-1</v>
      </c>
      <c r="K135" s="12">
        <v>-104.33</v>
      </c>
      <c r="L135" s="8" t="s">
        <v>71</v>
      </c>
      <c r="M135" s="11">
        <v>45901</v>
      </c>
      <c r="N135" s="7" t="s">
        <v>523</v>
      </c>
      <c r="O135" s="7" t="s">
        <v>529</v>
      </c>
      <c r="Q135" s="8" t="s">
        <v>451</v>
      </c>
      <c r="R135" s="7" t="str">
        <f>CONCATENATE(Q135,6)</f>
        <v>00023509197K6</v>
      </c>
      <c r="T135" s="8" t="s">
        <v>672</v>
      </c>
      <c r="U135" s="7" t="s">
        <v>560</v>
      </c>
      <c r="V135" s="7" t="str">
        <f>CONCATENATE(U135, " ", T135)</f>
        <v>RICHARD GALASINSKI</v>
      </c>
    </row>
    <row r="136" spans="1:22" x14ac:dyDescent="0.2">
      <c r="A136" s="8" t="s">
        <v>449</v>
      </c>
      <c r="B136" s="9">
        <v>7565575</v>
      </c>
      <c r="C136" s="8" t="s">
        <v>450</v>
      </c>
      <c r="D136" s="8" t="s">
        <v>451</v>
      </c>
      <c r="E136" s="11">
        <v>45870</v>
      </c>
      <c r="F136" s="8" t="s">
        <v>48</v>
      </c>
      <c r="G136" s="8" t="s">
        <v>50</v>
      </c>
      <c r="H136" s="8" t="s">
        <v>62</v>
      </c>
      <c r="I136" s="12">
        <v>0.42</v>
      </c>
      <c r="J136" s="12">
        <v>1</v>
      </c>
      <c r="K136" s="12">
        <v>130.41999999999999</v>
      </c>
      <c r="L136" s="8" t="s">
        <v>71</v>
      </c>
      <c r="M136" s="11">
        <v>45870</v>
      </c>
      <c r="N136" s="7" t="s">
        <v>523</v>
      </c>
      <c r="O136" s="7" t="s">
        <v>528</v>
      </c>
      <c r="Q136" s="8" t="s">
        <v>451</v>
      </c>
      <c r="R136" s="7" t="str">
        <f>CONCATENATE(Q136,6)</f>
        <v>00023509197K6</v>
      </c>
      <c r="T136" s="8" t="s">
        <v>672</v>
      </c>
      <c r="U136" s="7" t="s">
        <v>560</v>
      </c>
      <c r="V136" s="7" t="str">
        <f>CONCATENATE(U136, " ", T136)</f>
        <v>RICHARD GALASINSKI</v>
      </c>
    </row>
    <row r="137" spans="1:22" x14ac:dyDescent="0.2">
      <c r="A137" s="8" t="s">
        <v>425</v>
      </c>
      <c r="B137" s="9">
        <v>19681796</v>
      </c>
      <c r="C137" s="8" t="s">
        <v>428</v>
      </c>
      <c r="D137" s="8" t="s">
        <v>429</v>
      </c>
      <c r="E137" s="11">
        <v>45870</v>
      </c>
      <c r="F137" s="8" t="s">
        <v>48</v>
      </c>
      <c r="G137" s="8" t="s">
        <v>50</v>
      </c>
      <c r="H137" s="8" t="s">
        <v>62</v>
      </c>
      <c r="I137" s="12">
        <v>1</v>
      </c>
      <c r="J137" s="12">
        <v>1</v>
      </c>
      <c r="K137" s="12">
        <v>26.08</v>
      </c>
      <c r="L137" s="8" t="s">
        <v>52</v>
      </c>
      <c r="M137" s="11">
        <v>45505</v>
      </c>
      <c r="N137" s="7" t="s">
        <v>523</v>
      </c>
      <c r="O137" s="7" t="s">
        <v>530</v>
      </c>
      <c r="Q137" s="8" t="s">
        <v>429</v>
      </c>
      <c r="R137" s="7" t="str">
        <f>CONCATENATE(Q137,6)</f>
        <v>00021920479K6</v>
      </c>
      <c r="T137" s="8" t="s">
        <v>832</v>
      </c>
      <c r="U137" s="7" t="s">
        <v>833</v>
      </c>
      <c r="V137" s="7" t="str">
        <f>CONCATENATE(U137, " ", T137)</f>
        <v>MARSHA WEBSTER</v>
      </c>
    </row>
    <row r="138" spans="1:22" x14ac:dyDescent="0.2">
      <c r="A138" s="8" t="s">
        <v>425</v>
      </c>
      <c r="B138" s="9">
        <v>19681796</v>
      </c>
      <c r="C138" s="8" t="s">
        <v>426</v>
      </c>
      <c r="D138" s="8" t="s">
        <v>427</v>
      </c>
      <c r="E138" s="11">
        <v>45870</v>
      </c>
      <c r="F138" s="8" t="s">
        <v>48</v>
      </c>
      <c r="G138" s="8" t="s">
        <v>50</v>
      </c>
      <c r="H138" s="8" t="s">
        <v>62</v>
      </c>
      <c r="I138" s="12">
        <v>1</v>
      </c>
      <c r="J138" s="12">
        <v>1</v>
      </c>
      <c r="K138" s="12">
        <v>26.08</v>
      </c>
      <c r="L138" s="8" t="s">
        <v>52</v>
      </c>
      <c r="M138" s="11">
        <v>45597</v>
      </c>
      <c r="N138" s="7" t="s">
        <v>523</v>
      </c>
      <c r="O138" s="7" t="s">
        <v>530</v>
      </c>
      <c r="Q138" s="8" t="s">
        <v>427</v>
      </c>
      <c r="R138" s="7" t="str">
        <f>CONCATENATE(Q138,6)</f>
        <v>00018671925K6</v>
      </c>
      <c r="T138" s="8" t="s">
        <v>845</v>
      </c>
      <c r="U138" s="7" t="s">
        <v>712</v>
      </c>
      <c r="V138" s="7" t="str">
        <f>CONCATENATE(U138, " ", T138)</f>
        <v>KAREN YOSHIKAWA</v>
      </c>
    </row>
    <row r="139" spans="1:22" x14ac:dyDescent="0.2">
      <c r="A139" s="8" t="s">
        <v>76</v>
      </c>
      <c r="B139" s="9">
        <v>8307933</v>
      </c>
      <c r="C139" s="8" t="s">
        <v>151</v>
      </c>
      <c r="D139" s="8" t="s">
        <v>152</v>
      </c>
      <c r="E139" s="11">
        <v>45870</v>
      </c>
      <c r="F139" s="8" t="s">
        <v>48</v>
      </c>
      <c r="G139" s="8" t="s">
        <v>50</v>
      </c>
      <c r="H139" s="8" t="s">
        <v>62</v>
      </c>
      <c r="I139" s="12">
        <v>1</v>
      </c>
      <c r="J139" s="12">
        <v>1</v>
      </c>
      <c r="K139" s="12">
        <v>26.08</v>
      </c>
      <c r="L139" s="8" t="s">
        <v>52</v>
      </c>
      <c r="M139" s="11">
        <v>45444</v>
      </c>
      <c r="N139" s="7" t="s">
        <v>523</v>
      </c>
      <c r="O139" s="7" t="s">
        <v>530</v>
      </c>
      <c r="Q139" s="8" t="s">
        <v>152</v>
      </c>
      <c r="R139" s="7" t="str">
        <f>CONCATENATE(Q139,6)</f>
        <v>00021686716K6</v>
      </c>
      <c r="T139" s="8" t="s">
        <v>602</v>
      </c>
      <c r="U139" s="7" t="s">
        <v>603</v>
      </c>
      <c r="V139" s="7" t="str">
        <f>CONCATENATE(U139, " ", T139)</f>
        <v>LONNIE ALTOM</v>
      </c>
    </row>
    <row r="140" spans="1:22" x14ac:dyDescent="0.2">
      <c r="A140" s="8" t="s">
        <v>76</v>
      </c>
      <c r="B140" s="9">
        <v>8307933</v>
      </c>
      <c r="C140" s="8" t="s">
        <v>77</v>
      </c>
      <c r="D140" s="8" t="s">
        <v>78</v>
      </c>
      <c r="E140" s="11">
        <v>45870</v>
      </c>
      <c r="F140" s="8" t="s">
        <v>48</v>
      </c>
      <c r="G140" s="8" t="s">
        <v>50</v>
      </c>
      <c r="H140" s="8" t="s">
        <v>62</v>
      </c>
      <c r="I140" s="12">
        <v>1</v>
      </c>
      <c r="J140" s="12">
        <v>1</v>
      </c>
      <c r="K140" s="12">
        <v>26.08</v>
      </c>
      <c r="L140" s="8" t="s">
        <v>52</v>
      </c>
      <c r="M140" s="11">
        <v>45383</v>
      </c>
      <c r="N140" s="7" t="s">
        <v>523</v>
      </c>
      <c r="O140" s="7" t="s">
        <v>530</v>
      </c>
      <c r="Q140" s="8" t="s">
        <v>78</v>
      </c>
      <c r="R140" s="7" t="str">
        <f>CONCATENATE(Q140,6)</f>
        <v>00017785577K6</v>
      </c>
      <c r="T140" s="8" t="s">
        <v>602</v>
      </c>
      <c r="U140" s="7" t="s">
        <v>604</v>
      </c>
      <c r="V140" s="7" t="str">
        <f>CONCATENATE(U140, " ", T140)</f>
        <v>SHARON ALTOM</v>
      </c>
    </row>
    <row r="141" spans="1:22" x14ac:dyDescent="0.2">
      <c r="A141" s="8" t="s">
        <v>76</v>
      </c>
      <c r="B141" s="9">
        <v>8307933</v>
      </c>
      <c r="C141" s="8" t="s">
        <v>115</v>
      </c>
      <c r="D141" s="8" t="s">
        <v>116</v>
      </c>
      <c r="E141" s="11">
        <v>45870</v>
      </c>
      <c r="F141" s="8" t="s">
        <v>48</v>
      </c>
      <c r="G141" s="8" t="s">
        <v>50</v>
      </c>
      <c r="H141" s="8" t="s">
        <v>62</v>
      </c>
      <c r="I141" s="12">
        <v>1</v>
      </c>
      <c r="J141" s="12">
        <v>1</v>
      </c>
      <c r="K141" s="12">
        <v>26.08</v>
      </c>
      <c r="L141" s="8" t="s">
        <v>52</v>
      </c>
      <c r="M141" s="11">
        <v>45200</v>
      </c>
      <c r="N141" s="7" t="s">
        <v>523</v>
      </c>
      <c r="O141" s="7" t="s">
        <v>530</v>
      </c>
      <c r="Q141" s="8" t="s">
        <v>116</v>
      </c>
      <c r="R141" s="7" t="str">
        <f>CONCATENATE(Q141,6)</f>
        <v>00020732566K6</v>
      </c>
      <c r="T141" s="8" t="s">
        <v>611</v>
      </c>
      <c r="U141" s="7" t="s">
        <v>612</v>
      </c>
      <c r="V141" s="7" t="str">
        <f>CONCATENATE(U141, " ", T141)</f>
        <v>KEVIN BAILEY</v>
      </c>
    </row>
    <row r="142" spans="1:22" x14ac:dyDescent="0.2">
      <c r="A142" s="8" t="s">
        <v>76</v>
      </c>
      <c r="B142" s="9">
        <v>8307933</v>
      </c>
      <c r="C142" s="8" t="s">
        <v>161</v>
      </c>
      <c r="D142" s="8" t="s">
        <v>162</v>
      </c>
      <c r="E142" s="11">
        <v>45870</v>
      </c>
      <c r="F142" s="8" t="s">
        <v>48</v>
      </c>
      <c r="G142" s="8" t="s">
        <v>50</v>
      </c>
      <c r="H142" s="8" t="s">
        <v>62</v>
      </c>
      <c r="I142" s="12">
        <v>1</v>
      </c>
      <c r="J142" s="12">
        <v>1</v>
      </c>
      <c r="K142" s="12">
        <v>26.08</v>
      </c>
      <c r="L142" s="8" t="s">
        <v>52</v>
      </c>
      <c r="M142" s="11">
        <v>45597</v>
      </c>
      <c r="N142" s="7" t="s">
        <v>523</v>
      </c>
      <c r="O142" s="7" t="s">
        <v>530</v>
      </c>
      <c r="Q142" s="8" t="s">
        <v>162</v>
      </c>
      <c r="R142" s="7" t="str">
        <f>CONCATENATE(Q142,6)</f>
        <v>00021999707K6</v>
      </c>
      <c r="T142" s="8" t="s">
        <v>613</v>
      </c>
      <c r="U142" s="7" t="s">
        <v>614</v>
      </c>
      <c r="V142" s="7" t="str">
        <f>CONCATENATE(U142, " ", T142)</f>
        <v>GAY BAKKER</v>
      </c>
    </row>
    <row r="143" spans="1:22" x14ac:dyDescent="0.2">
      <c r="A143" s="8" t="s">
        <v>76</v>
      </c>
      <c r="B143" s="9">
        <v>8307933</v>
      </c>
      <c r="C143" s="8" t="s">
        <v>106</v>
      </c>
      <c r="D143" s="8" t="s">
        <v>107</v>
      </c>
      <c r="E143" s="11">
        <v>45870</v>
      </c>
      <c r="F143" s="8" t="s">
        <v>48</v>
      </c>
      <c r="G143" s="8" t="s">
        <v>50</v>
      </c>
      <c r="H143" s="8" t="s">
        <v>62</v>
      </c>
      <c r="I143" s="12">
        <v>1</v>
      </c>
      <c r="J143" s="12">
        <v>1</v>
      </c>
      <c r="K143" s="12">
        <v>26.08</v>
      </c>
      <c r="L143" s="8" t="s">
        <v>52</v>
      </c>
      <c r="M143" s="11">
        <v>45292</v>
      </c>
      <c r="N143" s="7" t="s">
        <v>523</v>
      </c>
      <c r="O143" s="7" t="s">
        <v>530</v>
      </c>
      <c r="Q143" s="8" t="s">
        <v>107</v>
      </c>
      <c r="R143" s="7" t="str">
        <f>CONCATENATE(Q143,6)</f>
        <v>00020589807K6</v>
      </c>
      <c r="T143" s="8" t="s">
        <v>619</v>
      </c>
      <c r="U143" s="7" t="s">
        <v>620</v>
      </c>
      <c r="V143" s="7" t="str">
        <f>CONCATENATE(U143, " ", T143)</f>
        <v>JODY BOYD</v>
      </c>
    </row>
    <row r="144" spans="1:22" x14ac:dyDescent="0.2">
      <c r="A144" s="8" t="s">
        <v>76</v>
      </c>
      <c r="B144" s="9">
        <v>8307933</v>
      </c>
      <c r="C144" s="8" t="s">
        <v>81</v>
      </c>
      <c r="D144" s="8" t="s">
        <v>82</v>
      </c>
      <c r="E144" s="11">
        <v>45870</v>
      </c>
      <c r="F144" s="8" t="s">
        <v>48</v>
      </c>
      <c r="G144" s="8" t="s">
        <v>50</v>
      </c>
      <c r="H144" s="8" t="s">
        <v>62</v>
      </c>
      <c r="I144" s="12">
        <v>1</v>
      </c>
      <c r="J144" s="12">
        <v>1</v>
      </c>
      <c r="K144" s="12">
        <v>26.08</v>
      </c>
      <c r="L144" s="8" t="s">
        <v>52</v>
      </c>
      <c r="M144" s="11">
        <v>45047</v>
      </c>
      <c r="N144" s="7" t="s">
        <v>523</v>
      </c>
      <c r="O144" s="7" t="s">
        <v>530</v>
      </c>
      <c r="Q144" s="8" t="s">
        <v>82</v>
      </c>
      <c r="R144" s="7" t="str">
        <f>CONCATENATE(Q144,6)</f>
        <v>00020321865K6</v>
      </c>
      <c r="T144" s="8" t="s">
        <v>625</v>
      </c>
      <c r="U144" s="7" t="s">
        <v>626</v>
      </c>
      <c r="V144" s="7" t="str">
        <f>CONCATENATE(U144, " ", T144)</f>
        <v>PEDRO CADENA</v>
      </c>
    </row>
    <row r="145" spans="1:22" x14ac:dyDescent="0.2">
      <c r="A145" s="8" t="s">
        <v>76</v>
      </c>
      <c r="B145" s="9">
        <v>8307933</v>
      </c>
      <c r="C145" s="8" t="s">
        <v>131</v>
      </c>
      <c r="D145" s="8" t="s">
        <v>132</v>
      </c>
      <c r="E145" s="11">
        <v>45870</v>
      </c>
      <c r="F145" s="8" t="s">
        <v>48</v>
      </c>
      <c r="G145" s="8" t="s">
        <v>50</v>
      </c>
      <c r="H145" s="8" t="s">
        <v>62</v>
      </c>
      <c r="I145" s="12">
        <v>1</v>
      </c>
      <c r="J145" s="12">
        <v>1</v>
      </c>
      <c r="K145" s="12">
        <v>26.08</v>
      </c>
      <c r="L145" s="8" t="s">
        <v>52</v>
      </c>
      <c r="M145" s="11">
        <v>45292</v>
      </c>
      <c r="N145" s="7" t="s">
        <v>523</v>
      </c>
      <c r="O145" s="7" t="s">
        <v>530</v>
      </c>
      <c r="Q145" s="8" t="s">
        <v>132</v>
      </c>
      <c r="R145" s="7" t="str">
        <f>CONCATENATE(Q145,6)</f>
        <v>00021277491K6</v>
      </c>
      <c r="T145" s="8" t="s">
        <v>644</v>
      </c>
      <c r="U145" s="7" t="s">
        <v>645</v>
      </c>
      <c r="V145" s="7" t="str">
        <f>CONCATENATE(U145, " ", T145)</f>
        <v>BARBARA COLSON</v>
      </c>
    </row>
    <row r="146" spans="1:22" x14ac:dyDescent="0.2">
      <c r="A146" s="8" t="s">
        <v>76</v>
      </c>
      <c r="B146" s="9">
        <v>8307933</v>
      </c>
      <c r="C146" s="8" t="s">
        <v>133</v>
      </c>
      <c r="D146" s="8" t="s">
        <v>134</v>
      </c>
      <c r="E146" s="11">
        <v>45870</v>
      </c>
      <c r="F146" s="8" t="s">
        <v>48</v>
      </c>
      <c r="G146" s="8" t="s">
        <v>50</v>
      </c>
      <c r="H146" s="8" t="s">
        <v>62</v>
      </c>
      <c r="I146" s="12">
        <v>1</v>
      </c>
      <c r="J146" s="12">
        <v>1</v>
      </c>
      <c r="K146" s="12">
        <v>26.08</v>
      </c>
      <c r="L146" s="8" t="s">
        <v>52</v>
      </c>
      <c r="M146" s="11">
        <v>45292</v>
      </c>
      <c r="N146" s="7" t="s">
        <v>523</v>
      </c>
      <c r="O146" s="7" t="s">
        <v>530</v>
      </c>
      <c r="Q146" s="8" t="s">
        <v>134</v>
      </c>
      <c r="R146" s="7" t="str">
        <f>CONCATENATE(Q146,6)</f>
        <v>00021357828K6</v>
      </c>
      <c r="T146" s="8" t="s">
        <v>644</v>
      </c>
      <c r="U146" s="7" t="s">
        <v>554</v>
      </c>
      <c r="V146" s="7" t="str">
        <f>CONCATENATE(U146, " ", T146)</f>
        <v>JAMES COLSON</v>
      </c>
    </row>
    <row r="147" spans="1:22" x14ac:dyDescent="0.2">
      <c r="A147" s="8" t="s">
        <v>76</v>
      </c>
      <c r="B147" s="9">
        <v>8307933</v>
      </c>
      <c r="C147" s="8" t="s">
        <v>169</v>
      </c>
      <c r="D147" s="8" t="s">
        <v>170</v>
      </c>
      <c r="E147" s="11">
        <v>45870</v>
      </c>
      <c r="F147" s="8" t="s">
        <v>48</v>
      </c>
      <c r="G147" s="8" t="s">
        <v>50</v>
      </c>
      <c r="H147" s="8" t="s">
        <v>62</v>
      </c>
      <c r="I147" s="12">
        <v>1</v>
      </c>
      <c r="J147" s="12">
        <v>1</v>
      </c>
      <c r="K147" s="12">
        <v>26.08</v>
      </c>
      <c r="L147" s="8" t="s">
        <v>52</v>
      </c>
      <c r="M147" s="11">
        <v>45627</v>
      </c>
      <c r="N147" s="7" t="s">
        <v>523</v>
      </c>
      <c r="O147" s="7" t="s">
        <v>530</v>
      </c>
      <c r="Q147" s="8" t="s">
        <v>170</v>
      </c>
      <c r="R147" s="7" t="str">
        <f>CONCATENATE(Q147,6)</f>
        <v>00022074715K6</v>
      </c>
      <c r="T147" s="8" t="s">
        <v>668</v>
      </c>
      <c r="U147" s="7" t="s">
        <v>669</v>
      </c>
      <c r="V147" s="7" t="str">
        <f>CONCATENATE(U147, " ", T147)</f>
        <v>MIKE FOLLANSBEE</v>
      </c>
    </row>
    <row r="148" spans="1:22" x14ac:dyDescent="0.2">
      <c r="A148" s="8" t="s">
        <v>76</v>
      </c>
      <c r="B148" s="9">
        <v>8307933</v>
      </c>
      <c r="C148" s="8" t="s">
        <v>167</v>
      </c>
      <c r="D148" s="8" t="s">
        <v>168</v>
      </c>
      <c r="E148" s="11">
        <v>45870</v>
      </c>
      <c r="F148" s="8" t="s">
        <v>48</v>
      </c>
      <c r="G148" s="8" t="s">
        <v>50</v>
      </c>
      <c r="H148" s="8" t="s">
        <v>51</v>
      </c>
      <c r="I148" s="12">
        <v>1</v>
      </c>
      <c r="J148" s="12">
        <v>1</v>
      </c>
      <c r="K148" s="12">
        <v>26.08</v>
      </c>
      <c r="L148" s="8" t="s">
        <v>52</v>
      </c>
      <c r="M148" s="11">
        <v>45597</v>
      </c>
      <c r="N148" s="7" t="s">
        <v>523</v>
      </c>
      <c r="O148" s="7" t="s">
        <v>530</v>
      </c>
      <c r="Q148" s="8" t="s">
        <v>168</v>
      </c>
      <c r="R148" s="7" t="str">
        <f>CONCATENATE(Q148,6)</f>
        <v>00022070044K6</v>
      </c>
      <c r="T148" s="8" t="s">
        <v>670</v>
      </c>
      <c r="U148" s="7" t="s">
        <v>671</v>
      </c>
      <c r="V148" s="7" t="str">
        <f>CONCATENATE(U148, " ", T148)</f>
        <v>SUZI FRIESE</v>
      </c>
    </row>
    <row r="149" spans="1:22" x14ac:dyDescent="0.2">
      <c r="A149" s="8" t="s">
        <v>76</v>
      </c>
      <c r="B149" s="9">
        <v>8307933</v>
      </c>
      <c r="C149" s="8" t="s">
        <v>171</v>
      </c>
      <c r="D149" s="8" t="s">
        <v>172</v>
      </c>
      <c r="E149" s="11">
        <v>45870</v>
      </c>
      <c r="F149" s="8" t="s">
        <v>48</v>
      </c>
      <c r="G149" s="8" t="s">
        <v>50</v>
      </c>
      <c r="H149" s="8" t="s">
        <v>62</v>
      </c>
      <c r="I149" s="12">
        <v>1</v>
      </c>
      <c r="J149" s="12">
        <v>1</v>
      </c>
      <c r="K149" s="12">
        <v>26.08</v>
      </c>
      <c r="L149" s="8" t="s">
        <v>52</v>
      </c>
      <c r="M149" s="11">
        <v>45597</v>
      </c>
      <c r="N149" s="7" t="s">
        <v>523</v>
      </c>
      <c r="O149" s="7" t="s">
        <v>530</v>
      </c>
      <c r="Q149" s="8" t="s">
        <v>172</v>
      </c>
      <c r="R149" s="7" t="str">
        <f>CONCATENATE(Q149,6)</f>
        <v>00022077130K6</v>
      </c>
      <c r="T149" s="8" t="s">
        <v>674</v>
      </c>
      <c r="U149" s="7" t="s">
        <v>675</v>
      </c>
      <c r="V149" s="7" t="str">
        <f>CONCATENATE(U149, " ", T149)</f>
        <v>JEFFREY GILBERT</v>
      </c>
    </row>
    <row r="150" spans="1:22" x14ac:dyDescent="0.2">
      <c r="A150" s="8" t="s">
        <v>76</v>
      </c>
      <c r="B150" s="9">
        <v>8307933</v>
      </c>
      <c r="C150" s="8" t="s">
        <v>110</v>
      </c>
      <c r="D150" s="8" t="s">
        <v>111</v>
      </c>
      <c r="E150" s="11">
        <v>45870</v>
      </c>
      <c r="F150" s="8" t="s">
        <v>48</v>
      </c>
      <c r="G150" s="8" t="s">
        <v>50</v>
      </c>
      <c r="H150" s="8" t="s">
        <v>62</v>
      </c>
      <c r="I150" s="12">
        <v>1</v>
      </c>
      <c r="J150" s="12">
        <v>1</v>
      </c>
      <c r="K150" s="12">
        <v>26.08</v>
      </c>
      <c r="L150" s="8" t="s">
        <v>52</v>
      </c>
      <c r="M150" s="11">
        <v>45170</v>
      </c>
      <c r="N150" s="7" t="s">
        <v>523</v>
      </c>
      <c r="O150" s="7" t="s">
        <v>530</v>
      </c>
      <c r="Q150" s="8" t="s">
        <v>111</v>
      </c>
      <c r="R150" s="7" t="str">
        <f>CONCATENATE(Q150,6)</f>
        <v>00020693708K6</v>
      </c>
      <c r="T150" s="8" t="s">
        <v>687</v>
      </c>
      <c r="U150" s="7" t="s">
        <v>688</v>
      </c>
      <c r="V150" s="7" t="str">
        <f>CONCATENATE(U150, " ", T150)</f>
        <v>PATRICIA HARKER</v>
      </c>
    </row>
    <row r="151" spans="1:22" x14ac:dyDescent="0.2">
      <c r="A151" s="8" t="s">
        <v>76</v>
      </c>
      <c r="B151" s="9">
        <v>8307933</v>
      </c>
      <c r="C151" s="8" t="s">
        <v>117</v>
      </c>
      <c r="D151" s="8" t="s">
        <v>118</v>
      </c>
      <c r="E151" s="11">
        <v>45870</v>
      </c>
      <c r="F151" s="8" t="s">
        <v>48</v>
      </c>
      <c r="G151" s="8" t="s">
        <v>50</v>
      </c>
      <c r="H151" s="8" t="s">
        <v>62</v>
      </c>
      <c r="I151" s="12">
        <v>1</v>
      </c>
      <c r="J151" s="12">
        <v>1</v>
      </c>
      <c r="K151" s="12">
        <v>26.08</v>
      </c>
      <c r="L151" s="8" t="s">
        <v>52</v>
      </c>
      <c r="M151" s="11">
        <v>45292</v>
      </c>
      <c r="N151" s="7" t="s">
        <v>523</v>
      </c>
      <c r="O151" s="7" t="s">
        <v>530</v>
      </c>
      <c r="Q151" s="8" t="s">
        <v>118</v>
      </c>
      <c r="R151" s="7" t="str">
        <f>CONCATENATE(Q151,6)</f>
        <v>00020808788K6</v>
      </c>
      <c r="T151" s="8" t="s">
        <v>689</v>
      </c>
      <c r="U151" s="7" t="s">
        <v>690</v>
      </c>
      <c r="V151" s="7" t="str">
        <f>CONCATENATE(U151, " ", T151)</f>
        <v>KIM HATFIELD</v>
      </c>
    </row>
    <row r="152" spans="1:22" x14ac:dyDescent="0.2">
      <c r="A152" s="8" t="s">
        <v>76</v>
      </c>
      <c r="B152" s="9">
        <v>8307933</v>
      </c>
      <c r="C152" s="8" t="s">
        <v>119</v>
      </c>
      <c r="D152" s="8" t="s">
        <v>120</v>
      </c>
      <c r="E152" s="11">
        <v>45870</v>
      </c>
      <c r="F152" s="8" t="s">
        <v>48</v>
      </c>
      <c r="G152" s="8" t="s">
        <v>50</v>
      </c>
      <c r="H152" s="8" t="s">
        <v>62</v>
      </c>
      <c r="I152" s="12">
        <v>1</v>
      </c>
      <c r="J152" s="12">
        <v>1</v>
      </c>
      <c r="K152" s="12">
        <v>26.08</v>
      </c>
      <c r="L152" s="8" t="s">
        <v>52</v>
      </c>
      <c r="M152" s="11">
        <v>45292</v>
      </c>
      <c r="N152" s="7" t="s">
        <v>523</v>
      </c>
      <c r="O152" s="7" t="s">
        <v>530</v>
      </c>
      <c r="Q152" s="8" t="s">
        <v>120</v>
      </c>
      <c r="R152" s="7" t="str">
        <f>CONCATENATE(Q152,6)</f>
        <v>00020842891K6</v>
      </c>
      <c r="T152" s="8" t="s">
        <v>689</v>
      </c>
      <c r="U152" s="7" t="s">
        <v>691</v>
      </c>
      <c r="V152" s="7" t="str">
        <f>CONCATENATE(U152, " ", T152)</f>
        <v>LAWRENCE HATFIELD</v>
      </c>
    </row>
    <row r="153" spans="1:22" x14ac:dyDescent="0.2">
      <c r="A153" s="8" t="s">
        <v>76</v>
      </c>
      <c r="B153" s="9">
        <v>8307933</v>
      </c>
      <c r="C153" s="8" t="s">
        <v>157</v>
      </c>
      <c r="D153" s="8" t="s">
        <v>158</v>
      </c>
      <c r="E153" s="11">
        <v>45870</v>
      </c>
      <c r="F153" s="8" t="s">
        <v>48</v>
      </c>
      <c r="G153" s="8" t="s">
        <v>50</v>
      </c>
      <c r="H153" s="8" t="s">
        <v>62</v>
      </c>
      <c r="I153" s="12">
        <v>1</v>
      </c>
      <c r="J153" s="12">
        <v>1</v>
      </c>
      <c r="K153" s="12">
        <v>26.08</v>
      </c>
      <c r="L153" s="8" t="s">
        <v>52</v>
      </c>
      <c r="M153" s="11">
        <v>45505</v>
      </c>
      <c r="N153" s="7" t="s">
        <v>523</v>
      </c>
      <c r="O153" s="7" t="s">
        <v>530</v>
      </c>
      <c r="Q153" s="8" t="s">
        <v>158</v>
      </c>
      <c r="R153" s="7" t="str">
        <f>CONCATENATE(Q153,6)</f>
        <v>00021792778K6</v>
      </c>
      <c r="T153" s="8" t="s">
        <v>692</v>
      </c>
      <c r="U153" s="7" t="s">
        <v>693</v>
      </c>
      <c r="V153" s="7" t="str">
        <f>CONCATENATE(U153, " ", T153)</f>
        <v>TIMOTHY HATMAKER</v>
      </c>
    </row>
    <row r="154" spans="1:22" x14ac:dyDescent="0.2">
      <c r="A154" s="8" t="s">
        <v>76</v>
      </c>
      <c r="B154" s="9">
        <v>8307933</v>
      </c>
      <c r="C154" s="8" t="s">
        <v>92</v>
      </c>
      <c r="D154" s="8" t="s">
        <v>93</v>
      </c>
      <c r="E154" s="11">
        <v>45870</v>
      </c>
      <c r="F154" s="8" t="s">
        <v>48</v>
      </c>
      <c r="G154" s="8" t="s">
        <v>50</v>
      </c>
      <c r="H154" s="8" t="s">
        <v>51</v>
      </c>
      <c r="I154" s="12">
        <v>1</v>
      </c>
      <c r="J154" s="12">
        <v>1</v>
      </c>
      <c r="K154" s="12">
        <v>26.08</v>
      </c>
      <c r="L154" s="8" t="s">
        <v>52</v>
      </c>
      <c r="M154" s="11">
        <v>45078</v>
      </c>
      <c r="N154" s="7" t="s">
        <v>523</v>
      </c>
      <c r="O154" s="7" t="s">
        <v>530</v>
      </c>
      <c r="Q154" s="8" t="s">
        <v>93</v>
      </c>
      <c r="R154" s="7" t="str">
        <f>CONCATENATE(Q154,6)</f>
        <v>00020373510K6</v>
      </c>
      <c r="T154" s="8" t="s">
        <v>694</v>
      </c>
      <c r="U154" s="7" t="s">
        <v>573</v>
      </c>
      <c r="V154" s="7" t="str">
        <f>CONCATENATE(U154, " ", T154)</f>
        <v>DEBRA HAUFF</v>
      </c>
    </row>
    <row r="155" spans="1:22" x14ac:dyDescent="0.2">
      <c r="A155" s="8" t="s">
        <v>76</v>
      </c>
      <c r="B155" s="9">
        <v>8307933</v>
      </c>
      <c r="C155" s="8" t="s">
        <v>108</v>
      </c>
      <c r="D155" s="8" t="s">
        <v>109</v>
      </c>
      <c r="E155" s="11">
        <v>45870</v>
      </c>
      <c r="F155" s="8" t="s">
        <v>48</v>
      </c>
      <c r="G155" s="8" t="s">
        <v>50</v>
      </c>
      <c r="H155" s="8" t="s">
        <v>62</v>
      </c>
      <c r="I155" s="12">
        <v>1</v>
      </c>
      <c r="J155" s="12">
        <v>1</v>
      </c>
      <c r="K155" s="12">
        <v>26.08</v>
      </c>
      <c r="L155" s="8" t="s">
        <v>52</v>
      </c>
      <c r="M155" s="11">
        <v>45170</v>
      </c>
      <c r="N155" s="7" t="s">
        <v>523</v>
      </c>
      <c r="O155" s="7" t="s">
        <v>530</v>
      </c>
      <c r="Q155" s="8" t="s">
        <v>109</v>
      </c>
      <c r="R155" s="7" t="str">
        <f>CONCATENATE(Q155,6)</f>
        <v>00020683226K6</v>
      </c>
      <c r="T155" s="8" t="s">
        <v>697</v>
      </c>
      <c r="U155" s="7" t="s">
        <v>698</v>
      </c>
      <c r="V155" s="7" t="str">
        <f>CONCATENATE(U155, " ", T155)</f>
        <v>KATHERINE HEIL</v>
      </c>
    </row>
    <row r="156" spans="1:22" x14ac:dyDescent="0.2">
      <c r="A156" s="8" t="s">
        <v>76</v>
      </c>
      <c r="B156" s="9">
        <v>8307933</v>
      </c>
      <c r="C156" s="8" t="s">
        <v>137</v>
      </c>
      <c r="D156" s="8" t="s">
        <v>138</v>
      </c>
      <c r="E156" s="11">
        <v>45870</v>
      </c>
      <c r="F156" s="8" t="s">
        <v>48</v>
      </c>
      <c r="G156" s="8" t="s">
        <v>50</v>
      </c>
      <c r="H156" s="8" t="s">
        <v>62</v>
      </c>
      <c r="I156" s="12">
        <v>1</v>
      </c>
      <c r="J156" s="12">
        <v>1</v>
      </c>
      <c r="K156" s="12">
        <v>26.08</v>
      </c>
      <c r="L156" s="8" t="s">
        <v>52</v>
      </c>
      <c r="M156" s="11">
        <v>45323</v>
      </c>
      <c r="N156" s="7" t="s">
        <v>523</v>
      </c>
      <c r="O156" s="7" t="s">
        <v>530</v>
      </c>
      <c r="Q156" s="8" t="s">
        <v>138</v>
      </c>
      <c r="R156" s="7" t="str">
        <f>CONCATENATE(Q156,6)</f>
        <v>00021503102K6</v>
      </c>
      <c r="T156" s="8" t="s">
        <v>699</v>
      </c>
      <c r="U156" s="7" t="s">
        <v>556</v>
      </c>
      <c r="V156" s="7" t="str">
        <f>CONCATENATE(U156, " ", T156)</f>
        <v>MICHAEL HEIN</v>
      </c>
    </row>
    <row r="157" spans="1:22" x14ac:dyDescent="0.2">
      <c r="A157" s="8" t="s">
        <v>76</v>
      </c>
      <c r="B157" s="9">
        <v>8307933</v>
      </c>
      <c r="C157" s="8" t="s">
        <v>165</v>
      </c>
      <c r="D157" s="8" t="s">
        <v>166</v>
      </c>
      <c r="E157" s="11">
        <v>45870</v>
      </c>
      <c r="F157" s="8" t="s">
        <v>48</v>
      </c>
      <c r="G157" s="8" t="s">
        <v>50</v>
      </c>
      <c r="H157" s="8" t="s">
        <v>90</v>
      </c>
      <c r="I157" s="12">
        <v>1</v>
      </c>
      <c r="J157" s="12">
        <v>1</v>
      </c>
      <c r="K157" s="12">
        <v>26.08</v>
      </c>
      <c r="L157" s="8" t="s">
        <v>52</v>
      </c>
      <c r="M157" s="11">
        <v>45627</v>
      </c>
      <c r="N157" s="7" t="s">
        <v>523</v>
      </c>
      <c r="O157" s="7" t="s">
        <v>530</v>
      </c>
      <c r="Q157" s="8" t="s">
        <v>166</v>
      </c>
      <c r="R157" s="7" t="str">
        <f>CONCATENATE(Q157,6)</f>
        <v>00022049020K6</v>
      </c>
      <c r="T157" s="8" t="s">
        <v>700</v>
      </c>
      <c r="U157" s="7" t="s">
        <v>554</v>
      </c>
      <c r="V157" s="7" t="str">
        <f>CONCATENATE(U157, " ", T157)</f>
        <v>JAMES HILBURN</v>
      </c>
    </row>
    <row r="158" spans="1:22" x14ac:dyDescent="0.2">
      <c r="A158" s="8" t="s">
        <v>76</v>
      </c>
      <c r="B158" s="9">
        <v>8307933</v>
      </c>
      <c r="C158" s="8" t="s">
        <v>177</v>
      </c>
      <c r="D158" s="8" t="s">
        <v>178</v>
      </c>
      <c r="E158" s="11">
        <v>45870</v>
      </c>
      <c r="F158" s="8" t="s">
        <v>48</v>
      </c>
      <c r="G158" s="8" t="s">
        <v>50</v>
      </c>
      <c r="H158" s="8" t="s">
        <v>62</v>
      </c>
      <c r="I158" s="12">
        <v>1</v>
      </c>
      <c r="J158" s="12">
        <v>1</v>
      </c>
      <c r="K158" s="12">
        <v>26.08</v>
      </c>
      <c r="L158" s="8" t="s">
        <v>52</v>
      </c>
      <c r="M158" s="11">
        <v>45627</v>
      </c>
      <c r="N158" s="7" t="s">
        <v>523</v>
      </c>
      <c r="O158" s="7" t="s">
        <v>530</v>
      </c>
      <c r="Q158" s="8" t="s">
        <v>178</v>
      </c>
      <c r="R158" s="7" t="str">
        <f>CONCATENATE(Q158,6)</f>
        <v>00022602838K6</v>
      </c>
      <c r="T158" s="8" t="s">
        <v>701</v>
      </c>
      <c r="U158" s="7" t="s">
        <v>543</v>
      </c>
      <c r="V158" s="7" t="str">
        <f>CONCATENATE(U158, " ", T158)</f>
        <v>LINDA HOEKS</v>
      </c>
    </row>
    <row r="159" spans="1:22" x14ac:dyDescent="0.2">
      <c r="A159" s="8" t="s">
        <v>76</v>
      </c>
      <c r="B159" s="9">
        <v>8307933</v>
      </c>
      <c r="C159" s="8" t="s">
        <v>123</v>
      </c>
      <c r="D159" s="8" t="s">
        <v>124</v>
      </c>
      <c r="E159" s="11">
        <v>45870</v>
      </c>
      <c r="F159" s="8" t="s">
        <v>48</v>
      </c>
      <c r="G159" s="8" t="s">
        <v>50</v>
      </c>
      <c r="H159" s="8" t="s">
        <v>62</v>
      </c>
      <c r="I159" s="12">
        <v>1</v>
      </c>
      <c r="J159" s="12">
        <v>1</v>
      </c>
      <c r="K159" s="12">
        <v>26.08</v>
      </c>
      <c r="L159" s="8" t="s">
        <v>52</v>
      </c>
      <c r="M159" s="11">
        <v>45292</v>
      </c>
      <c r="N159" s="7" t="s">
        <v>523</v>
      </c>
      <c r="O159" s="7" t="s">
        <v>530</v>
      </c>
      <c r="Q159" s="8" t="s">
        <v>124</v>
      </c>
      <c r="R159" s="7" t="str">
        <f>CONCATENATE(Q159,6)</f>
        <v>00020923530K6</v>
      </c>
      <c r="T159" s="8" t="s">
        <v>702</v>
      </c>
      <c r="U159" s="7" t="s">
        <v>573</v>
      </c>
      <c r="V159" s="7" t="str">
        <f>CONCATENATE(U159, " ", T159)</f>
        <v>DEBRA HOWARD</v>
      </c>
    </row>
    <row r="160" spans="1:22" x14ac:dyDescent="0.2">
      <c r="A160" s="8" t="s">
        <v>76</v>
      </c>
      <c r="B160" s="9">
        <v>8307933</v>
      </c>
      <c r="C160" s="8" t="s">
        <v>141</v>
      </c>
      <c r="D160" s="8" t="s">
        <v>142</v>
      </c>
      <c r="E160" s="11">
        <v>45870</v>
      </c>
      <c r="F160" s="8" t="s">
        <v>48</v>
      </c>
      <c r="G160" s="8" t="s">
        <v>50</v>
      </c>
      <c r="H160" s="8" t="s">
        <v>90</v>
      </c>
      <c r="I160" s="12">
        <v>1</v>
      </c>
      <c r="J160" s="12">
        <v>1</v>
      </c>
      <c r="K160" s="12">
        <v>26.08</v>
      </c>
      <c r="L160" s="8" t="s">
        <v>52</v>
      </c>
      <c r="M160" s="11">
        <v>45413</v>
      </c>
      <c r="N160" s="7" t="s">
        <v>523</v>
      </c>
      <c r="O160" s="7" t="s">
        <v>530</v>
      </c>
      <c r="Q160" s="8" t="s">
        <v>142</v>
      </c>
      <c r="R160" s="7" t="str">
        <f>CONCATENATE(Q160,6)</f>
        <v>00021559362K6</v>
      </c>
      <c r="T160" s="8" t="s">
        <v>703</v>
      </c>
      <c r="U160" s="7" t="s">
        <v>704</v>
      </c>
      <c r="V160" s="7" t="str">
        <f>CONCATENATE(U160, " ", T160)</f>
        <v>CHARLES HULTS</v>
      </c>
    </row>
    <row r="161" spans="1:22" x14ac:dyDescent="0.2">
      <c r="A161" s="8" t="s">
        <v>76</v>
      </c>
      <c r="B161" s="9">
        <v>8307933</v>
      </c>
      <c r="C161" s="8" t="s">
        <v>149</v>
      </c>
      <c r="D161" s="8" t="s">
        <v>150</v>
      </c>
      <c r="E161" s="11">
        <v>45870</v>
      </c>
      <c r="F161" s="8" t="s">
        <v>48</v>
      </c>
      <c r="G161" s="8" t="s">
        <v>50</v>
      </c>
      <c r="H161" s="8" t="s">
        <v>62</v>
      </c>
      <c r="I161" s="12">
        <v>1</v>
      </c>
      <c r="J161" s="12">
        <v>1</v>
      </c>
      <c r="K161" s="12">
        <v>26.08</v>
      </c>
      <c r="L161" s="8" t="s">
        <v>52</v>
      </c>
      <c r="M161" s="11">
        <v>45444</v>
      </c>
      <c r="N161" s="7" t="s">
        <v>523</v>
      </c>
      <c r="O161" s="7" t="s">
        <v>530</v>
      </c>
      <c r="Q161" s="8" t="s">
        <v>150</v>
      </c>
      <c r="R161" s="7" t="str">
        <f>CONCATENATE(Q161,6)</f>
        <v>00021641743K6</v>
      </c>
      <c r="T161" s="8" t="s">
        <v>705</v>
      </c>
      <c r="U161" s="7" t="s">
        <v>550</v>
      </c>
      <c r="V161" s="7" t="str">
        <f>CONCATENATE(U161, " ", T161)</f>
        <v>RAYMOND HUMPHRIES</v>
      </c>
    </row>
    <row r="162" spans="1:22" x14ac:dyDescent="0.2">
      <c r="A162" s="8" t="s">
        <v>76</v>
      </c>
      <c r="B162" s="9">
        <v>8307933</v>
      </c>
      <c r="C162" s="8" t="s">
        <v>159</v>
      </c>
      <c r="D162" s="8" t="s">
        <v>160</v>
      </c>
      <c r="E162" s="11">
        <v>45870</v>
      </c>
      <c r="F162" s="8" t="s">
        <v>48</v>
      </c>
      <c r="G162" s="8" t="s">
        <v>50</v>
      </c>
      <c r="H162" s="8" t="s">
        <v>62</v>
      </c>
      <c r="I162" s="12">
        <v>1</v>
      </c>
      <c r="J162" s="12">
        <v>1</v>
      </c>
      <c r="K162" s="12">
        <v>26.08</v>
      </c>
      <c r="L162" s="8" t="s">
        <v>52</v>
      </c>
      <c r="M162" s="11">
        <v>45444</v>
      </c>
      <c r="N162" s="7" t="s">
        <v>523</v>
      </c>
      <c r="O162" s="7" t="s">
        <v>530</v>
      </c>
      <c r="Q162" s="8" t="s">
        <v>160</v>
      </c>
      <c r="R162" s="7" t="str">
        <f>CONCATENATE(Q162,6)</f>
        <v>00021883866K6</v>
      </c>
      <c r="T162" s="8" t="s">
        <v>707</v>
      </c>
      <c r="U162" s="7" t="s">
        <v>708</v>
      </c>
      <c r="V162" s="7" t="str">
        <f>CONCATENATE(U162, " ", T162)</f>
        <v>DOLLY IRIZARRY</v>
      </c>
    </row>
    <row r="163" spans="1:22" x14ac:dyDescent="0.2">
      <c r="A163" s="8" t="s">
        <v>76</v>
      </c>
      <c r="B163" s="9">
        <v>8307933</v>
      </c>
      <c r="C163" s="8" t="s">
        <v>97</v>
      </c>
      <c r="D163" s="8" t="s">
        <v>98</v>
      </c>
      <c r="E163" s="11">
        <v>45870</v>
      </c>
      <c r="F163" s="8" t="s">
        <v>48</v>
      </c>
      <c r="G163" s="8" t="s">
        <v>50</v>
      </c>
      <c r="H163" s="8" t="s">
        <v>62</v>
      </c>
      <c r="I163" s="12">
        <v>1</v>
      </c>
      <c r="J163" s="12">
        <v>1</v>
      </c>
      <c r="K163" s="12">
        <v>26.08</v>
      </c>
      <c r="L163" s="8" t="s">
        <v>52</v>
      </c>
      <c r="M163" s="11">
        <v>45078</v>
      </c>
      <c r="N163" s="7" t="s">
        <v>523</v>
      </c>
      <c r="O163" s="7" t="s">
        <v>530</v>
      </c>
      <c r="Q163" s="8" t="s">
        <v>98</v>
      </c>
      <c r="R163" s="7" t="str">
        <f>CONCATENATE(Q163,6)</f>
        <v>00020414954K6</v>
      </c>
      <c r="T163" s="8" t="s">
        <v>715</v>
      </c>
      <c r="U163" s="7" t="s">
        <v>716</v>
      </c>
      <c r="V163" s="7" t="str">
        <f>CONCATENATE(U163, " ", T163)</f>
        <v>CALVIN JOHNSON</v>
      </c>
    </row>
    <row r="164" spans="1:22" x14ac:dyDescent="0.2">
      <c r="A164" s="8" t="s">
        <v>76</v>
      </c>
      <c r="B164" s="9">
        <v>8307933</v>
      </c>
      <c r="C164" s="8" t="s">
        <v>113</v>
      </c>
      <c r="D164" s="8" t="s">
        <v>114</v>
      </c>
      <c r="E164" s="11">
        <v>45870</v>
      </c>
      <c r="F164" s="8" t="s">
        <v>48</v>
      </c>
      <c r="G164" s="8" t="s">
        <v>50</v>
      </c>
      <c r="H164" s="8" t="s">
        <v>62</v>
      </c>
      <c r="I164" s="12">
        <v>1</v>
      </c>
      <c r="J164" s="12">
        <v>1</v>
      </c>
      <c r="K164" s="12">
        <v>26.08</v>
      </c>
      <c r="L164" s="8" t="s">
        <v>52</v>
      </c>
      <c r="M164" s="11">
        <v>45200</v>
      </c>
      <c r="N164" s="7" t="s">
        <v>523</v>
      </c>
      <c r="O164" s="7" t="s">
        <v>530</v>
      </c>
      <c r="Q164" s="8" t="s">
        <v>114</v>
      </c>
      <c r="R164" s="7" t="str">
        <f>CONCATENATE(Q164,6)</f>
        <v>00020708049K6</v>
      </c>
      <c r="T164" s="8" t="s">
        <v>717</v>
      </c>
      <c r="U164" s="7" t="s">
        <v>718</v>
      </c>
      <c r="V164" s="7" t="str">
        <f>CONCATENATE(U164, " ", T164)</f>
        <v>JANET KALCSICS</v>
      </c>
    </row>
    <row r="165" spans="1:22" x14ac:dyDescent="0.2">
      <c r="A165" s="8" t="s">
        <v>76</v>
      </c>
      <c r="B165" s="9">
        <v>8307933</v>
      </c>
      <c r="C165" s="8" t="s">
        <v>88</v>
      </c>
      <c r="D165" s="8" t="s">
        <v>89</v>
      </c>
      <c r="E165" s="11">
        <v>45870</v>
      </c>
      <c r="F165" s="8" t="s">
        <v>48</v>
      </c>
      <c r="G165" s="8" t="s">
        <v>50</v>
      </c>
      <c r="H165" s="8" t="s">
        <v>90</v>
      </c>
      <c r="I165" s="12">
        <v>1</v>
      </c>
      <c r="J165" s="12">
        <v>1</v>
      </c>
      <c r="K165" s="12">
        <v>26.08</v>
      </c>
      <c r="L165" s="8" t="s">
        <v>52</v>
      </c>
      <c r="M165" s="11">
        <v>45108</v>
      </c>
      <c r="N165" s="7" t="s">
        <v>523</v>
      </c>
      <c r="O165" s="7" t="s">
        <v>530</v>
      </c>
      <c r="Q165" s="8" t="s">
        <v>89</v>
      </c>
      <c r="R165" s="7" t="str">
        <f>CONCATENATE(Q165,6)</f>
        <v>00020366906K6</v>
      </c>
      <c r="T165" s="8" t="s">
        <v>721</v>
      </c>
      <c r="U165" s="7" t="s">
        <v>675</v>
      </c>
      <c r="V165" s="7" t="str">
        <f>CONCATENATE(U165, " ", T165)</f>
        <v>JEFFREY KINKAID</v>
      </c>
    </row>
    <row r="166" spans="1:22" x14ac:dyDescent="0.2">
      <c r="A166" s="8" t="s">
        <v>76</v>
      </c>
      <c r="B166" s="9">
        <v>8307933</v>
      </c>
      <c r="C166" s="8" t="s">
        <v>153</v>
      </c>
      <c r="D166" s="8" t="s">
        <v>154</v>
      </c>
      <c r="E166" s="11">
        <v>45870</v>
      </c>
      <c r="F166" s="8" t="s">
        <v>48</v>
      </c>
      <c r="G166" s="8" t="s">
        <v>50</v>
      </c>
      <c r="H166" s="8" t="s">
        <v>62</v>
      </c>
      <c r="I166" s="12">
        <v>1</v>
      </c>
      <c r="J166" s="12">
        <v>1</v>
      </c>
      <c r="K166" s="12">
        <v>26.08</v>
      </c>
      <c r="L166" s="8" t="s">
        <v>52</v>
      </c>
      <c r="M166" s="11">
        <v>45474</v>
      </c>
      <c r="N166" s="7" t="s">
        <v>523</v>
      </c>
      <c r="O166" s="7" t="s">
        <v>530</v>
      </c>
      <c r="Q166" s="8" t="s">
        <v>154</v>
      </c>
      <c r="R166" s="7" t="str">
        <f>CONCATENATE(Q166,6)</f>
        <v>00021754102K6</v>
      </c>
      <c r="T166" s="8" t="s">
        <v>728</v>
      </c>
      <c r="U166" s="7" t="s">
        <v>729</v>
      </c>
      <c r="V166" s="7" t="str">
        <f>CONCATENATE(U166, " ", T166)</f>
        <v>CATHERINE LAUDERDALE</v>
      </c>
    </row>
    <row r="167" spans="1:22" x14ac:dyDescent="0.2">
      <c r="A167" s="8" t="s">
        <v>76</v>
      </c>
      <c r="B167" s="9">
        <v>8307933</v>
      </c>
      <c r="C167" s="8" t="s">
        <v>79</v>
      </c>
      <c r="D167" s="8" t="s">
        <v>80</v>
      </c>
      <c r="E167" s="11">
        <v>45870</v>
      </c>
      <c r="F167" s="8" t="s">
        <v>48</v>
      </c>
      <c r="G167" s="8" t="s">
        <v>50</v>
      </c>
      <c r="H167" s="8" t="s">
        <v>62</v>
      </c>
      <c r="I167" s="12">
        <v>1</v>
      </c>
      <c r="J167" s="12">
        <v>1</v>
      </c>
      <c r="K167" s="12">
        <v>26.08</v>
      </c>
      <c r="L167" s="8" t="s">
        <v>52</v>
      </c>
      <c r="M167" s="11">
        <v>45047</v>
      </c>
      <c r="N167" s="7" t="s">
        <v>523</v>
      </c>
      <c r="O167" s="7" t="s">
        <v>530</v>
      </c>
      <c r="Q167" s="8" t="s">
        <v>80</v>
      </c>
      <c r="R167" s="7" t="str">
        <f>CONCATENATE(Q167,6)</f>
        <v>00020297143K6</v>
      </c>
      <c r="T167" s="8" t="s">
        <v>739</v>
      </c>
      <c r="U167" s="7" t="s">
        <v>740</v>
      </c>
      <c r="V167" s="7" t="str">
        <f>CONCATENATE(U167, " ", T167)</f>
        <v>RICKEY MCDANIEL</v>
      </c>
    </row>
    <row r="168" spans="1:22" x14ac:dyDescent="0.2">
      <c r="A168" s="8" t="s">
        <v>76</v>
      </c>
      <c r="B168" s="9">
        <v>8307933</v>
      </c>
      <c r="C168" s="8" t="s">
        <v>83</v>
      </c>
      <c r="D168" s="8" t="s">
        <v>84</v>
      </c>
      <c r="E168" s="11">
        <v>45870</v>
      </c>
      <c r="F168" s="8" t="s">
        <v>48</v>
      </c>
      <c r="G168" s="8" t="s">
        <v>50</v>
      </c>
      <c r="H168" s="8" t="s">
        <v>62</v>
      </c>
      <c r="I168" s="12">
        <v>1</v>
      </c>
      <c r="J168" s="12">
        <v>1</v>
      </c>
      <c r="K168" s="12">
        <v>26.08</v>
      </c>
      <c r="L168" s="8" t="s">
        <v>52</v>
      </c>
      <c r="M168" s="11">
        <v>45078</v>
      </c>
      <c r="N168" s="7" t="s">
        <v>523</v>
      </c>
      <c r="O168" s="7" t="s">
        <v>530</v>
      </c>
      <c r="Q168" s="8" t="s">
        <v>84</v>
      </c>
      <c r="R168" s="7" t="str">
        <f>CONCATENATE(Q168,6)</f>
        <v>00020347756K6</v>
      </c>
      <c r="T168" s="8" t="s">
        <v>744</v>
      </c>
      <c r="U168" s="7" t="s">
        <v>745</v>
      </c>
      <c r="V168" s="7" t="str">
        <f>CONCATENATE(U168, " ", T168)</f>
        <v>JUANA MCMULLIN</v>
      </c>
    </row>
    <row r="169" spans="1:22" x14ac:dyDescent="0.2">
      <c r="A169" s="8" t="s">
        <v>76</v>
      </c>
      <c r="B169" s="9">
        <v>8307933</v>
      </c>
      <c r="C169" s="8" t="s">
        <v>121</v>
      </c>
      <c r="D169" s="8" t="s">
        <v>122</v>
      </c>
      <c r="E169" s="11">
        <v>45870</v>
      </c>
      <c r="F169" s="8" t="s">
        <v>48</v>
      </c>
      <c r="G169" s="8" t="s">
        <v>50</v>
      </c>
      <c r="H169" s="8" t="s">
        <v>62</v>
      </c>
      <c r="I169" s="12">
        <v>1</v>
      </c>
      <c r="J169" s="12">
        <v>1</v>
      </c>
      <c r="K169" s="12">
        <v>26.08</v>
      </c>
      <c r="L169" s="8" t="s">
        <v>52</v>
      </c>
      <c r="M169" s="11">
        <v>45292</v>
      </c>
      <c r="N169" s="7" t="s">
        <v>523</v>
      </c>
      <c r="O169" s="7" t="s">
        <v>530</v>
      </c>
      <c r="Q169" s="8" t="s">
        <v>122</v>
      </c>
      <c r="R169" s="7" t="str">
        <f>CONCATENATE(Q169,6)</f>
        <v>00020895862K6</v>
      </c>
      <c r="T169" s="8" t="s">
        <v>744</v>
      </c>
      <c r="U169" s="7" t="s">
        <v>608</v>
      </c>
      <c r="V169" s="7" t="str">
        <f>CONCATENATE(U169, " ", T169)</f>
        <v>PAUL MCMULLIN</v>
      </c>
    </row>
    <row r="170" spans="1:22" x14ac:dyDescent="0.2">
      <c r="A170" s="8" t="s">
        <v>76</v>
      </c>
      <c r="B170" s="9">
        <v>8307933</v>
      </c>
      <c r="C170" s="8" t="s">
        <v>139</v>
      </c>
      <c r="D170" s="8" t="s">
        <v>140</v>
      </c>
      <c r="E170" s="11">
        <v>45870</v>
      </c>
      <c r="F170" s="8" t="s">
        <v>48</v>
      </c>
      <c r="G170" s="8" t="s">
        <v>50</v>
      </c>
      <c r="H170" s="8" t="s">
        <v>62</v>
      </c>
      <c r="I170" s="12">
        <v>1</v>
      </c>
      <c r="J170" s="12">
        <v>1</v>
      </c>
      <c r="K170" s="12">
        <v>26.08</v>
      </c>
      <c r="L170" s="8" t="s">
        <v>52</v>
      </c>
      <c r="M170" s="11">
        <v>45413</v>
      </c>
      <c r="N170" s="7" t="s">
        <v>523</v>
      </c>
      <c r="O170" s="7" t="s">
        <v>530</v>
      </c>
      <c r="Q170" s="8" t="s">
        <v>140</v>
      </c>
      <c r="R170" s="7" t="str">
        <f>CONCATENATE(Q170,6)</f>
        <v>00021538841K6</v>
      </c>
      <c r="T170" s="8" t="s">
        <v>746</v>
      </c>
      <c r="U170" s="7" t="s">
        <v>747</v>
      </c>
      <c r="V170" s="7" t="str">
        <f>CONCATENATE(U170, " ", T170)</f>
        <v>CATHY MCVICKER</v>
      </c>
    </row>
    <row r="171" spans="1:22" x14ac:dyDescent="0.2">
      <c r="A171" s="8" t="s">
        <v>76</v>
      </c>
      <c r="B171" s="9">
        <v>8307933</v>
      </c>
      <c r="C171" s="8" t="s">
        <v>125</v>
      </c>
      <c r="D171" s="8" t="s">
        <v>126</v>
      </c>
      <c r="E171" s="11">
        <v>45870</v>
      </c>
      <c r="F171" s="8" t="s">
        <v>48</v>
      </c>
      <c r="G171" s="8" t="s">
        <v>50</v>
      </c>
      <c r="H171" s="8" t="s">
        <v>51</v>
      </c>
      <c r="I171" s="12">
        <v>1</v>
      </c>
      <c r="J171" s="12">
        <v>1</v>
      </c>
      <c r="K171" s="12">
        <v>26.08</v>
      </c>
      <c r="L171" s="8" t="s">
        <v>52</v>
      </c>
      <c r="M171" s="11">
        <v>45231</v>
      </c>
      <c r="N171" s="7" t="s">
        <v>523</v>
      </c>
      <c r="O171" s="7" t="s">
        <v>530</v>
      </c>
      <c r="Q171" s="8" t="s">
        <v>126</v>
      </c>
      <c r="R171" s="7" t="str">
        <f>CONCATENATE(Q171,6)</f>
        <v>00020966759K6</v>
      </c>
      <c r="T171" s="8" t="s">
        <v>752</v>
      </c>
      <c r="U171" s="7" t="s">
        <v>753</v>
      </c>
      <c r="V171" s="7" t="str">
        <f>CONCATENATE(U171, " ", T171)</f>
        <v>BONNIE MOONEY</v>
      </c>
    </row>
    <row r="172" spans="1:22" x14ac:dyDescent="0.2">
      <c r="A172" s="8" t="s">
        <v>76</v>
      </c>
      <c r="B172" s="9">
        <v>8307933</v>
      </c>
      <c r="C172" s="8" t="s">
        <v>99</v>
      </c>
      <c r="D172" s="8" t="s">
        <v>100</v>
      </c>
      <c r="E172" s="11">
        <v>45870</v>
      </c>
      <c r="F172" s="8" t="s">
        <v>48</v>
      </c>
      <c r="G172" s="8" t="s">
        <v>50</v>
      </c>
      <c r="H172" s="8" t="s">
        <v>51</v>
      </c>
      <c r="I172" s="12">
        <v>1</v>
      </c>
      <c r="J172" s="12">
        <v>1</v>
      </c>
      <c r="K172" s="12">
        <v>26.08</v>
      </c>
      <c r="L172" s="8" t="s">
        <v>52</v>
      </c>
      <c r="M172" s="11">
        <v>45108</v>
      </c>
      <c r="N172" s="7" t="s">
        <v>523</v>
      </c>
      <c r="O172" s="7" t="s">
        <v>530</v>
      </c>
      <c r="Q172" s="8" t="s">
        <v>100</v>
      </c>
      <c r="R172" s="7" t="str">
        <f>CONCATENATE(Q172,6)</f>
        <v>00020444350K6</v>
      </c>
      <c r="T172" s="8" t="s">
        <v>754</v>
      </c>
      <c r="U172" s="7" t="s">
        <v>543</v>
      </c>
      <c r="V172" s="7" t="str">
        <f>CONCATENATE(U172, " ", T172)</f>
        <v>LINDA MORAN</v>
      </c>
    </row>
    <row r="173" spans="1:22" x14ac:dyDescent="0.2">
      <c r="A173" s="8" t="s">
        <v>76</v>
      </c>
      <c r="B173" s="9">
        <v>8307933</v>
      </c>
      <c r="C173" s="8" t="s">
        <v>147</v>
      </c>
      <c r="D173" s="8" t="s">
        <v>148</v>
      </c>
      <c r="E173" s="11">
        <v>45870</v>
      </c>
      <c r="F173" s="8" t="s">
        <v>48</v>
      </c>
      <c r="G173" s="8" t="s">
        <v>50</v>
      </c>
      <c r="H173" s="8" t="s">
        <v>62</v>
      </c>
      <c r="I173" s="12">
        <v>1</v>
      </c>
      <c r="J173" s="12">
        <v>1</v>
      </c>
      <c r="K173" s="12">
        <v>26.08</v>
      </c>
      <c r="L173" s="8" t="s">
        <v>52</v>
      </c>
      <c r="M173" s="11">
        <v>45413</v>
      </c>
      <c r="N173" s="7" t="s">
        <v>523</v>
      </c>
      <c r="O173" s="7" t="s">
        <v>530</v>
      </c>
      <c r="Q173" s="8" t="s">
        <v>148</v>
      </c>
      <c r="R173" s="7" t="str">
        <f>CONCATENATE(Q173,6)</f>
        <v>00021594731K6</v>
      </c>
      <c r="T173" s="8" t="s">
        <v>755</v>
      </c>
      <c r="U173" s="7" t="s">
        <v>723</v>
      </c>
      <c r="V173" s="7" t="str">
        <f>CONCATENATE(U173, " ", T173)</f>
        <v>ALICE NASIFE</v>
      </c>
    </row>
    <row r="174" spans="1:22" x14ac:dyDescent="0.2">
      <c r="A174" s="8" t="s">
        <v>76</v>
      </c>
      <c r="B174" s="9">
        <v>8307933</v>
      </c>
      <c r="C174" s="8" t="s">
        <v>102</v>
      </c>
      <c r="D174" s="8" t="s">
        <v>103</v>
      </c>
      <c r="E174" s="11">
        <v>45870</v>
      </c>
      <c r="F174" s="8" t="s">
        <v>48</v>
      </c>
      <c r="G174" s="8" t="s">
        <v>50</v>
      </c>
      <c r="H174" s="8" t="s">
        <v>62</v>
      </c>
      <c r="I174" s="12">
        <v>1</v>
      </c>
      <c r="J174" s="12">
        <v>1</v>
      </c>
      <c r="K174" s="12">
        <v>26.08</v>
      </c>
      <c r="L174" s="8" t="s">
        <v>52</v>
      </c>
      <c r="M174" s="11">
        <v>45139</v>
      </c>
      <c r="N174" s="7" t="s">
        <v>523</v>
      </c>
      <c r="O174" s="7" t="s">
        <v>530</v>
      </c>
      <c r="Q174" s="8" t="s">
        <v>103</v>
      </c>
      <c r="R174" s="7" t="str">
        <f>CONCATENATE(Q174,6)</f>
        <v>00020478015K6</v>
      </c>
      <c r="T174" s="8" t="s">
        <v>759</v>
      </c>
      <c r="U174" s="7" t="s">
        <v>604</v>
      </c>
      <c r="V174" s="7" t="str">
        <f>CONCATENATE(U174, " ", T174)</f>
        <v>SHARON OLSEN</v>
      </c>
    </row>
    <row r="175" spans="1:22" x14ac:dyDescent="0.2">
      <c r="A175" s="8" t="s">
        <v>76</v>
      </c>
      <c r="B175" s="9">
        <v>8307933</v>
      </c>
      <c r="C175" s="8" t="s">
        <v>145</v>
      </c>
      <c r="D175" s="8" t="s">
        <v>146</v>
      </c>
      <c r="E175" s="11">
        <v>45870</v>
      </c>
      <c r="F175" s="8" t="s">
        <v>48</v>
      </c>
      <c r="G175" s="8" t="s">
        <v>50</v>
      </c>
      <c r="H175" s="8" t="s">
        <v>62</v>
      </c>
      <c r="I175" s="12">
        <v>1</v>
      </c>
      <c r="J175" s="12">
        <v>1</v>
      </c>
      <c r="K175" s="12">
        <v>26.08</v>
      </c>
      <c r="L175" s="8" t="s">
        <v>52</v>
      </c>
      <c r="M175" s="11">
        <v>45352</v>
      </c>
      <c r="N175" s="7" t="s">
        <v>523</v>
      </c>
      <c r="O175" s="7" t="s">
        <v>530</v>
      </c>
      <c r="Q175" s="8" t="s">
        <v>146</v>
      </c>
      <c r="R175" s="7" t="str">
        <f>CONCATENATE(Q175,6)</f>
        <v>00021584191K6</v>
      </c>
      <c r="T175" s="8" t="s">
        <v>760</v>
      </c>
      <c r="U175" s="7" t="s">
        <v>761</v>
      </c>
      <c r="V175" s="7" t="str">
        <f>CONCATENATE(U175, " ", T175)</f>
        <v>PRISCILLA ORTIZ</v>
      </c>
    </row>
    <row r="176" spans="1:22" x14ac:dyDescent="0.2">
      <c r="A176" s="8" t="s">
        <v>76</v>
      </c>
      <c r="B176" s="9">
        <v>8307933</v>
      </c>
      <c r="C176" s="8" t="s">
        <v>155</v>
      </c>
      <c r="D176" s="8" t="s">
        <v>156</v>
      </c>
      <c r="E176" s="11">
        <v>45870</v>
      </c>
      <c r="F176" s="8" t="s">
        <v>48</v>
      </c>
      <c r="G176" s="8" t="s">
        <v>50</v>
      </c>
      <c r="H176" s="8" t="s">
        <v>62</v>
      </c>
      <c r="I176" s="12">
        <v>1</v>
      </c>
      <c r="J176" s="12">
        <v>1</v>
      </c>
      <c r="K176" s="12">
        <v>26.08</v>
      </c>
      <c r="L176" s="8" t="s">
        <v>52</v>
      </c>
      <c r="M176" s="11">
        <v>45444</v>
      </c>
      <c r="N176" s="7" t="s">
        <v>523</v>
      </c>
      <c r="O176" s="7" t="s">
        <v>530</v>
      </c>
      <c r="Q176" s="8" t="s">
        <v>156</v>
      </c>
      <c r="R176" s="7" t="str">
        <f>CONCATENATE(Q176,6)</f>
        <v>00021778915K6</v>
      </c>
      <c r="T176" s="8" t="s">
        <v>766</v>
      </c>
      <c r="U176" s="7" t="s">
        <v>710</v>
      </c>
      <c r="V176" s="7" t="str">
        <f>CONCATENATE(U176, " ", T176)</f>
        <v>EUGENE PAYNE</v>
      </c>
    </row>
    <row r="177" spans="1:22" x14ac:dyDescent="0.2">
      <c r="A177" s="8" t="s">
        <v>76</v>
      </c>
      <c r="B177" s="9">
        <v>8307933</v>
      </c>
      <c r="C177" s="8" t="s">
        <v>175</v>
      </c>
      <c r="D177" s="8" t="s">
        <v>176</v>
      </c>
      <c r="E177" s="11">
        <v>45870</v>
      </c>
      <c r="F177" s="8" t="s">
        <v>48</v>
      </c>
      <c r="G177" s="8" t="s">
        <v>50</v>
      </c>
      <c r="H177" s="8" t="s">
        <v>62</v>
      </c>
      <c r="I177" s="12">
        <v>1</v>
      </c>
      <c r="J177" s="12">
        <v>1</v>
      </c>
      <c r="K177" s="12">
        <v>26.08</v>
      </c>
      <c r="L177" s="8" t="s">
        <v>52</v>
      </c>
      <c r="M177" s="11">
        <v>45597</v>
      </c>
      <c r="N177" s="7" t="s">
        <v>523</v>
      </c>
      <c r="O177" s="7" t="s">
        <v>530</v>
      </c>
      <c r="Q177" s="8" t="s">
        <v>176</v>
      </c>
      <c r="R177" s="7" t="str">
        <f>CONCATENATE(Q177,6)</f>
        <v>00022351069K6</v>
      </c>
      <c r="T177" s="8" t="s">
        <v>774</v>
      </c>
      <c r="U177" s="7" t="s">
        <v>775</v>
      </c>
      <c r="V177" s="7" t="str">
        <f>CONCATENATE(U177, " ", T177)</f>
        <v>THEROLD RATHGEB</v>
      </c>
    </row>
    <row r="178" spans="1:22" x14ac:dyDescent="0.2">
      <c r="A178" s="8" t="s">
        <v>76</v>
      </c>
      <c r="B178" s="9">
        <v>8307933</v>
      </c>
      <c r="C178" s="8" t="s">
        <v>173</v>
      </c>
      <c r="D178" s="8" t="s">
        <v>174</v>
      </c>
      <c r="E178" s="11">
        <v>45870</v>
      </c>
      <c r="F178" s="8" t="s">
        <v>48</v>
      </c>
      <c r="G178" s="8" t="s">
        <v>50</v>
      </c>
      <c r="H178" s="8" t="s">
        <v>51</v>
      </c>
      <c r="I178" s="12">
        <v>1</v>
      </c>
      <c r="J178" s="12">
        <v>1</v>
      </c>
      <c r="K178" s="12">
        <v>26.08</v>
      </c>
      <c r="L178" s="8" t="s">
        <v>52</v>
      </c>
      <c r="M178" s="11">
        <v>45627</v>
      </c>
      <c r="N178" s="7" t="s">
        <v>523</v>
      </c>
      <c r="O178" s="7" t="s">
        <v>530</v>
      </c>
      <c r="Q178" s="8" t="s">
        <v>174</v>
      </c>
      <c r="R178" s="7" t="str">
        <f>CONCATENATE(Q178,6)</f>
        <v>00022078841K6</v>
      </c>
      <c r="T178" s="8" t="s">
        <v>785</v>
      </c>
      <c r="U178" s="7" t="s">
        <v>786</v>
      </c>
      <c r="V178" s="7" t="str">
        <f>CONCATENATE(U178, " ", T178)</f>
        <v>LORI RODGERS</v>
      </c>
    </row>
    <row r="179" spans="1:22" x14ac:dyDescent="0.2">
      <c r="A179" s="8" t="s">
        <v>76</v>
      </c>
      <c r="B179" s="9">
        <v>8307933</v>
      </c>
      <c r="C179" s="8" t="s">
        <v>127</v>
      </c>
      <c r="D179" s="8" t="s">
        <v>128</v>
      </c>
      <c r="E179" s="11">
        <v>45870</v>
      </c>
      <c r="F179" s="8" t="s">
        <v>48</v>
      </c>
      <c r="G179" s="8" t="s">
        <v>50</v>
      </c>
      <c r="H179" s="8" t="s">
        <v>62</v>
      </c>
      <c r="I179" s="12">
        <v>1</v>
      </c>
      <c r="J179" s="12">
        <v>1</v>
      </c>
      <c r="K179" s="12">
        <v>26.08</v>
      </c>
      <c r="L179" s="8" t="s">
        <v>52</v>
      </c>
      <c r="M179" s="11">
        <v>45292</v>
      </c>
      <c r="N179" s="7" t="s">
        <v>523</v>
      </c>
      <c r="O179" s="7" t="s">
        <v>530</v>
      </c>
      <c r="Q179" s="8" t="s">
        <v>128</v>
      </c>
      <c r="R179" s="7" t="str">
        <f>CONCATENATE(Q179,6)</f>
        <v>00020971174K6</v>
      </c>
      <c r="T179" s="8" t="s">
        <v>787</v>
      </c>
      <c r="U179" s="7" t="s">
        <v>742</v>
      </c>
      <c r="V179" s="7" t="str">
        <f>CONCATENATE(U179, " ", T179)</f>
        <v>JOHN ROSS</v>
      </c>
    </row>
    <row r="180" spans="1:22" x14ac:dyDescent="0.2">
      <c r="A180" s="8" t="s">
        <v>76</v>
      </c>
      <c r="B180" s="9">
        <v>8307933</v>
      </c>
      <c r="C180" s="8" t="s">
        <v>104</v>
      </c>
      <c r="D180" s="8" t="s">
        <v>105</v>
      </c>
      <c r="E180" s="11">
        <v>45870</v>
      </c>
      <c r="F180" s="8" t="s">
        <v>48</v>
      </c>
      <c r="G180" s="8" t="s">
        <v>50</v>
      </c>
      <c r="H180" s="8" t="s">
        <v>62</v>
      </c>
      <c r="I180" s="12">
        <v>1</v>
      </c>
      <c r="J180" s="12">
        <v>1</v>
      </c>
      <c r="K180" s="12">
        <v>26.08</v>
      </c>
      <c r="L180" s="8" t="s">
        <v>52</v>
      </c>
      <c r="M180" s="11">
        <v>45139</v>
      </c>
      <c r="N180" s="7" t="s">
        <v>523</v>
      </c>
      <c r="O180" s="7" t="s">
        <v>530</v>
      </c>
      <c r="Q180" s="8" t="s">
        <v>105</v>
      </c>
      <c r="R180" s="7" t="str">
        <f>CONCATENATE(Q180,6)</f>
        <v>00020575930K6</v>
      </c>
      <c r="T180" s="8" t="s">
        <v>810</v>
      </c>
      <c r="U180" s="7" t="s">
        <v>571</v>
      </c>
      <c r="V180" s="7" t="str">
        <f>CONCATENATE(U180, " ", T180)</f>
        <v>ERIC SHULTZ</v>
      </c>
    </row>
    <row r="181" spans="1:22" x14ac:dyDescent="0.2">
      <c r="A181" s="8" t="s">
        <v>76</v>
      </c>
      <c r="B181" s="9">
        <v>8307933</v>
      </c>
      <c r="C181" s="8" t="s">
        <v>129</v>
      </c>
      <c r="D181" s="8" t="s">
        <v>130</v>
      </c>
      <c r="E181" s="11">
        <v>45870</v>
      </c>
      <c r="F181" s="8" t="s">
        <v>48</v>
      </c>
      <c r="G181" s="8" t="s">
        <v>50</v>
      </c>
      <c r="H181" s="8" t="s">
        <v>62</v>
      </c>
      <c r="I181" s="12">
        <v>1</v>
      </c>
      <c r="J181" s="12">
        <v>1</v>
      </c>
      <c r="K181" s="12">
        <v>26.08</v>
      </c>
      <c r="L181" s="8" t="s">
        <v>52</v>
      </c>
      <c r="M181" s="11">
        <v>45261</v>
      </c>
      <c r="N181" s="7" t="s">
        <v>523</v>
      </c>
      <c r="O181" s="7" t="s">
        <v>530</v>
      </c>
      <c r="Q181" s="8" t="s">
        <v>130</v>
      </c>
      <c r="R181" s="7" t="str">
        <f>CONCATENATE(Q181,6)</f>
        <v>00021141899K6</v>
      </c>
      <c r="T181" s="8" t="s">
        <v>810</v>
      </c>
      <c r="U181" s="7" t="s">
        <v>543</v>
      </c>
      <c r="V181" s="7" t="str">
        <f>CONCATENATE(U181, " ", T181)</f>
        <v>LINDA SHULTZ</v>
      </c>
    </row>
    <row r="182" spans="1:22" x14ac:dyDescent="0.2">
      <c r="A182" s="8" t="s">
        <v>76</v>
      </c>
      <c r="B182" s="9">
        <v>8307933</v>
      </c>
      <c r="C182" s="8" t="s">
        <v>85</v>
      </c>
      <c r="D182" s="8" t="s">
        <v>86</v>
      </c>
      <c r="E182" s="11">
        <v>45870</v>
      </c>
      <c r="F182" s="8" t="s">
        <v>48</v>
      </c>
      <c r="G182" s="8" t="s">
        <v>50</v>
      </c>
      <c r="H182" s="8" t="s">
        <v>62</v>
      </c>
      <c r="I182" s="12">
        <v>1</v>
      </c>
      <c r="J182" s="12">
        <v>1</v>
      </c>
      <c r="K182" s="12">
        <v>26.08</v>
      </c>
      <c r="L182" s="8" t="s">
        <v>52</v>
      </c>
      <c r="M182" s="11">
        <v>45047</v>
      </c>
      <c r="N182" s="7" t="s">
        <v>523</v>
      </c>
      <c r="O182" s="7" t="s">
        <v>530</v>
      </c>
      <c r="Q182" s="8" t="s">
        <v>86</v>
      </c>
      <c r="R182" s="7" t="str">
        <f>CONCATENATE(Q182,6)</f>
        <v>00020366504K6</v>
      </c>
      <c r="T182" s="8" t="s">
        <v>819</v>
      </c>
      <c r="U182" s="7" t="s">
        <v>556</v>
      </c>
      <c r="V182" s="7" t="str">
        <f>CONCATENATE(U182, " ", T182)</f>
        <v>MICHAEL TODARO</v>
      </c>
    </row>
    <row r="183" spans="1:22" x14ac:dyDescent="0.2">
      <c r="A183" s="8" t="s">
        <v>76</v>
      </c>
      <c r="B183" s="9">
        <v>8307933</v>
      </c>
      <c r="C183" s="8" t="s">
        <v>95</v>
      </c>
      <c r="D183" s="8" t="s">
        <v>96</v>
      </c>
      <c r="E183" s="11">
        <v>45870</v>
      </c>
      <c r="F183" s="8" t="s">
        <v>48</v>
      </c>
      <c r="G183" s="8" t="s">
        <v>50</v>
      </c>
      <c r="H183" s="8" t="s">
        <v>62</v>
      </c>
      <c r="I183" s="12">
        <v>1</v>
      </c>
      <c r="J183" s="12">
        <v>1</v>
      </c>
      <c r="K183" s="12">
        <v>26.08</v>
      </c>
      <c r="L183" s="8" t="s">
        <v>52</v>
      </c>
      <c r="M183" s="11">
        <v>45078</v>
      </c>
      <c r="N183" s="7" t="s">
        <v>523</v>
      </c>
      <c r="O183" s="7" t="s">
        <v>530</v>
      </c>
      <c r="Q183" s="8" t="s">
        <v>96</v>
      </c>
      <c r="R183" s="7" t="str">
        <f>CONCATENATE(Q183,6)</f>
        <v>00020397039K6</v>
      </c>
      <c r="T183" s="8" t="s">
        <v>822</v>
      </c>
      <c r="U183" s="7" t="s">
        <v>651</v>
      </c>
      <c r="V183" s="7" t="str">
        <f>CONCATENATE(U183, " ", T183)</f>
        <v>ROBIN TREW</v>
      </c>
    </row>
    <row r="184" spans="1:22" x14ac:dyDescent="0.2">
      <c r="A184" s="8" t="s">
        <v>76</v>
      </c>
      <c r="B184" s="9">
        <v>8307933</v>
      </c>
      <c r="C184" s="8" t="s">
        <v>135</v>
      </c>
      <c r="D184" s="8" t="s">
        <v>136</v>
      </c>
      <c r="E184" s="11">
        <v>45870</v>
      </c>
      <c r="F184" s="8" t="s">
        <v>48</v>
      </c>
      <c r="G184" s="8" t="s">
        <v>50</v>
      </c>
      <c r="H184" s="8" t="s">
        <v>62</v>
      </c>
      <c r="I184" s="12">
        <v>1</v>
      </c>
      <c r="J184" s="12">
        <v>1</v>
      </c>
      <c r="K184" s="12">
        <v>26.08</v>
      </c>
      <c r="L184" s="8" t="s">
        <v>52</v>
      </c>
      <c r="M184" s="11">
        <v>45292</v>
      </c>
      <c r="N184" s="7" t="s">
        <v>523</v>
      </c>
      <c r="O184" s="7" t="s">
        <v>530</v>
      </c>
      <c r="Q184" s="8" t="s">
        <v>136</v>
      </c>
      <c r="R184" s="7" t="str">
        <f>CONCATENATE(Q184,6)</f>
        <v>00021436640K6</v>
      </c>
      <c r="T184" s="8" t="s">
        <v>823</v>
      </c>
      <c r="U184" s="7" t="s">
        <v>733</v>
      </c>
      <c r="V184" s="7" t="str">
        <f>CONCATENATE(U184, " ", T184)</f>
        <v>DAVID TURNER</v>
      </c>
    </row>
    <row r="185" spans="1:22" x14ac:dyDescent="0.2">
      <c r="A185" s="8" t="s">
        <v>76</v>
      </c>
      <c r="B185" s="9">
        <v>8307933</v>
      </c>
      <c r="C185" s="8" t="s">
        <v>143</v>
      </c>
      <c r="D185" s="8" t="s">
        <v>144</v>
      </c>
      <c r="E185" s="11">
        <v>45870</v>
      </c>
      <c r="F185" s="8" t="s">
        <v>48</v>
      </c>
      <c r="G185" s="8" t="s">
        <v>50</v>
      </c>
      <c r="H185" s="8" t="s">
        <v>62</v>
      </c>
      <c r="I185" s="12">
        <v>1</v>
      </c>
      <c r="J185" s="12">
        <v>1</v>
      </c>
      <c r="K185" s="12">
        <v>26.08</v>
      </c>
      <c r="L185" s="8" t="s">
        <v>52</v>
      </c>
      <c r="M185" s="11">
        <v>45383</v>
      </c>
      <c r="N185" s="7" t="s">
        <v>523</v>
      </c>
      <c r="O185" s="7" t="s">
        <v>530</v>
      </c>
      <c r="Q185" s="8" t="s">
        <v>144</v>
      </c>
      <c r="R185" s="7" t="str">
        <f>CONCATENATE(Q185,6)</f>
        <v>00021570979K6</v>
      </c>
      <c r="T185" s="8" t="s">
        <v>834</v>
      </c>
      <c r="U185" s="7" t="s">
        <v>660</v>
      </c>
      <c r="V185" s="7" t="str">
        <f>CONCATENATE(U185, " ", T185)</f>
        <v>TERRI WENINEGAR</v>
      </c>
    </row>
    <row r="186" spans="1:22" x14ac:dyDescent="0.2">
      <c r="A186" s="8" t="s">
        <v>76</v>
      </c>
      <c r="B186" s="9">
        <v>8307933</v>
      </c>
      <c r="C186" s="8" t="s">
        <v>163</v>
      </c>
      <c r="D186" s="8" t="s">
        <v>164</v>
      </c>
      <c r="E186" s="11">
        <v>45870</v>
      </c>
      <c r="F186" s="8" t="s">
        <v>48</v>
      </c>
      <c r="G186" s="8" t="s">
        <v>50</v>
      </c>
      <c r="H186" s="8" t="s">
        <v>62</v>
      </c>
      <c r="I186" s="12">
        <v>1</v>
      </c>
      <c r="J186" s="12">
        <v>1</v>
      </c>
      <c r="K186" s="12">
        <v>26.08</v>
      </c>
      <c r="L186" s="8" t="s">
        <v>52</v>
      </c>
      <c r="M186" s="11">
        <v>45566</v>
      </c>
      <c r="N186" s="7" t="s">
        <v>523</v>
      </c>
      <c r="O186" s="7" t="s">
        <v>530</v>
      </c>
      <c r="Q186" s="8" t="s">
        <v>164</v>
      </c>
      <c r="R186" s="7" t="str">
        <f>CONCATENATE(Q186,6)</f>
        <v>00022033067K6</v>
      </c>
      <c r="T186" s="8" t="s">
        <v>843</v>
      </c>
      <c r="U186" s="7" t="s">
        <v>844</v>
      </c>
      <c r="V186" s="7" t="str">
        <f>CONCATENATE(U186, " ", T186)</f>
        <v>ALEX YAKULIS</v>
      </c>
    </row>
    <row r="187" spans="1:22" x14ac:dyDescent="0.2">
      <c r="A187" s="8" t="s">
        <v>220</v>
      </c>
      <c r="B187" s="9">
        <v>8325282</v>
      </c>
      <c r="C187" s="8" t="s">
        <v>223</v>
      </c>
      <c r="D187" s="8" t="s">
        <v>224</v>
      </c>
      <c r="E187" s="11">
        <v>45870</v>
      </c>
      <c r="F187" s="8" t="s">
        <v>48</v>
      </c>
      <c r="G187" s="8" t="s">
        <v>50</v>
      </c>
      <c r="H187" s="8" t="s">
        <v>62</v>
      </c>
      <c r="I187" s="12">
        <v>1</v>
      </c>
      <c r="J187" s="12">
        <v>1</v>
      </c>
      <c r="K187" s="12">
        <v>26.08</v>
      </c>
      <c r="L187" s="8" t="s">
        <v>52</v>
      </c>
      <c r="M187" s="11">
        <v>45627</v>
      </c>
      <c r="N187" s="7" t="s">
        <v>523</v>
      </c>
      <c r="O187" s="7" t="s">
        <v>530</v>
      </c>
      <c r="Q187" s="8" t="s">
        <v>224</v>
      </c>
      <c r="R187" s="7" t="str">
        <f>CONCATENATE(Q187,6)</f>
        <v>00022235665K6</v>
      </c>
      <c r="T187" s="8" t="s">
        <v>650</v>
      </c>
      <c r="U187" s="7" t="s">
        <v>651</v>
      </c>
      <c r="V187" s="7" t="str">
        <f>CONCATENATE(U187, " ", T187)</f>
        <v>ROBIN DIEDERICH</v>
      </c>
    </row>
    <row r="188" spans="1:22" x14ac:dyDescent="0.2">
      <c r="A188" s="8" t="s">
        <v>220</v>
      </c>
      <c r="B188" s="9">
        <v>8325282</v>
      </c>
      <c r="C188" s="8" t="s">
        <v>225</v>
      </c>
      <c r="D188" s="8" t="s">
        <v>226</v>
      </c>
      <c r="E188" s="11">
        <v>45870</v>
      </c>
      <c r="F188" s="8" t="s">
        <v>48</v>
      </c>
      <c r="G188" s="8" t="s">
        <v>50</v>
      </c>
      <c r="H188" s="8" t="s">
        <v>51</v>
      </c>
      <c r="I188" s="12">
        <v>1</v>
      </c>
      <c r="J188" s="12">
        <v>1</v>
      </c>
      <c r="K188" s="12">
        <v>26.08</v>
      </c>
      <c r="L188" s="8" t="s">
        <v>52</v>
      </c>
      <c r="M188" s="11">
        <v>45627</v>
      </c>
      <c r="N188" s="7" t="s">
        <v>523</v>
      </c>
      <c r="O188" s="7" t="s">
        <v>530</v>
      </c>
      <c r="Q188" s="8" t="s">
        <v>226</v>
      </c>
      <c r="R188" s="7" t="str">
        <f>CONCATENATE(Q188,6)</f>
        <v>00022763707K6</v>
      </c>
      <c r="T188" s="8" t="s">
        <v>780</v>
      </c>
      <c r="U188" s="7" t="s">
        <v>781</v>
      </c>
      <c r="V188" s="7" t="str">
        <f>CONCATENATE(U188, " ", T188)</f>
        <v>RALPH RICHMOND</v>
      </c>
    </row>
    <row r="189" spans="1:22" x14ac:dyDescent="0.2">
      <c r="A189" s="8" t="s">
        <v>220</v>
      </c>
      <c r="B189" s="9">
        <v>8325282</v>
      </c>
      <c r="C189" s="8" t="s">
        <v>221</v>
      </c>
      <c r="D189" s="8" t="s">
        <v>222</v>
      </c>
      <c r="E189" s="11">
        <v>45870</v>
      </c>
      <c r="F189" s="8" t="s">
        <v>48</v>
      </c>
      <c r="G189" s="8" t="s">
        <v>50</v>
      </c>
      <c r="H189" s="8" t="s">
        <v>51</v>
      </c>
      <c r="I189" s="12">
        <v>1</v>
      </c>
      <c r="J189" s="12">
        <v>1</v>
      </c>
      <c r="K189" s="12">
        <v>26.08</v>
      </c>
      <c r="L189" s="8" t="s">
        <v>52</v>
      </c>
      <c r="M189" s="11">
        <v>45566</v>
      </c>
      <c r="N189" s="7" t="s">
        <v>523</v>
      </c>
      <c r="O189" s="7" t="s">
        <v>530</v>
      </c>
      <c r="Q189" s="8" t="s">
        <v>222</v>
      </c>
      <c r="R189" s="7" t="str">
        <f>CONCATENATE(Q189,6)</f>
        <v>00022083688K6</v>
      </c>
      <c r="T189" s="8" t="s">
        <v>808</v>
      </c>
      <c r="U189" s="7" t="s">
        <v>809</v>
      </c>
      <c r="V189" s="7" t="str">
        <f>CONCATENATE(U189, " ", T189)</f>
        <v>SHIRLEY SHELTON</v>
      </c>
    </row>
    <row r="190" spans="1:22" x14ac:dyDescent="0.2">
      <c r="A190" s="8" t="s">
        <v>415</v>
      </c>
      <c r="B190" s="9">
        <v>19481808</v>
      </c>
      <c r="C190" s="8" t="s">
        <v>416</v>
      </c>
      <c r="D190" s="8" t="s">
        <v>417</v>
      </c>
      <c r="E190" s="11">
        <v>45870</v>
      </c>
      <c r="F190" s="8" t="s">
        <v>48</v>
      </c>
      <c r="G190" s="8" t="s">
        <v>50</v>
      </c>
      <c r="H190" s="8" t="s">
        <v>62</v>
      </c>
      <c r="I190" s="12">
        <v>1</v>
      </c>
      <c r="J190" s="12">
        <v>1</v>
      </c>
      <c r="K190" s="12">
        <v>26.08</v>
      </c>
      <c r="L190" s="8" t="s">
        <v>52</v>
      </c>
      <c r="M190" s="11">
        <v>45505</v>
      </c>
      <c r="N190" s="7" t="s">
        <v>523</v>
      </c>
      <c r="O190" s="7" t="s">
        <v>530</v>
      </c>
      <c r="Q190" s="8" t="s">
        <v>417</v>
      </c>
      <c r="R190" s="7" t="str">
        <f>CONCATENATE(Q190,6)</f>
        <v>00021942365K6</v>
      </c>
      <c r="T190" s="8" t="s">
        <v>788</v>
      </c>
      <c r="U190" s="7" t="s">
        <v>789</v>
      </c>
      <c r="V190" s="7" t="str">
        <f>CONCATENATE(U190, " ", T190)</f>
        <v>EDWARD RYAN</v>
      </c>
    </row>
    <row r="191" spans="1:22" x14ac:dyDescent="0.2">
      <c r="A191" s="8" t="s">
        <v>370</v>
      </c>
      <c r="B191" s="9">
        <v>18754354</v>
      </c>
      <c r="C191" s="8" t="s">
        <v>373</v>
      </c>
      <c r="D191" s="8" t="s">
        <v>374</v>
      </c>
      <c r="E191" s="11">
        <v>45870</v>
      </c>
      <c r="F191" s="8" t="s">
        <v>48</v>
      </c>
      <c r="G191" s="8" t="s">
        <v>50</v>
      </c>
      <c r="H191" s="8" t="s">
        <v>51</v>
      </c>
      <c r="I191" s="12">
        <v>1</v>
      </c>
      <c r="J191" s="12">
        <v>1</v>
      </c>
      <c r="K191" s="12">
        <v>26.08</v>
      </c>
      <c r="L191" s="8" t="s">
        <v>52</v>
      </c>
      <c r="M191" s="11">
        <v>45505</v>
      </c>
      <c r="N191" s="7" t="s">
        <v>523</v>
      </c>
      <c r="O191" s="7" t="s">
        <v>530</v>
      </c>
      <c r="Q191" s="8" t="s">
        <v>374</v>
      </c>
      <c r="R191" s="7" t="str">
        <f>CONCATENATE(Q191,6)</f>
        <v>00021961080K6</v>
      </c>
      <c r="T191" s="8" t="s">
        <v>607</v>
      </c>
      <c r="U191" s="7" t="s">
        <v>608</v>
      </c>
      <c r="V191" s="7" t="str">
        <f>CONCATENATE(U191, " ", T191)</f>
        <v>PAUL ARNOLD</v>
      </c>
    </row>
    <row r="192" spans="1:22" x14ac:dyDescent="0.2">
      <c r="A192" s="8" t="s">
        <v>370</v>
      </c>
      <c r="B192" s="9">
        <v>18754354</v>
      </c>
      <c r="C192" s="8" t="s">
        <v>377</v>
      </c>
      <c r="D192" s="8" t="s">
        <v>378</v>
      </c>
      <c r="E192" s="11">
        <v>45870</v>
      </c>
      <c r="F192" s="8" t="s">
        <v>48</v>
      </c>
      <c r="G192" s="8" t="s">
        <v>50</v>
      </c>
      <c r="H192" s="8" t="s">
        <v>62</v>
      </c>
      <c r="I192" s="12">
        <v>1</v>
      </c>
      <c r="J192" s="12">
        <v>1</v>
      </c>
      <c r="K192" s="12">
        <v>26.08</v>
      </c>
      <c r="L192" s="8" t="s">
        <v>52</v>
      </c>
      <c r="M192" s="11">
        <v>45597</v>
      </c>
      <c r="N192" s="7" t="s">
        <v>523</v>
      </c>
      <c r="O192" s="7" t="s">
        <v>530</v>
      </c>
      <c r="Q192" s="8" t="s">
        <v>378</v>
      </c>
      <c r="R192" s="7" t="str">
        <f>CONCATENATE(Q192,6)</f>
        <v>00022241122K6</v>
      </c>
      <c r="T192" s="8" t="s">
        <v>659</v>
      </c>
      <c r="U192" s="7" t="s">
        <v>660</v>
      </c>
      <c r="V192" s="7" t="str">
        <f>CONCATENATE(U192, " ", T192)</f>
        <v>TERRI EATON</v>
      </c>
    </row>
    <row r="193" spans="1:22" x14ac:dyDescent="0.2">
      <c r="A193" s="8" t="s">
        <v>370</v>
      </c>
      <c r="B193" s="9">
        <v>18754354</v>
      </c>
      <c r="C193" s="8" t="s">
        <v>375</v>
      </c>
      <c r="D193" s="8" t="s">
        <v>376</v>
      </c>
      <c r="E193" s="11">
        <v>45870</v>
      </c>
      <c r="F193" s="8" t="s">
        <v>48</v>
      </c>
      <c r="G193" s="8" t="s">
        <v>50</v>
      </c>
      <c r="H193" s="8" t="s">
        <v>62</v>
      </c>
      <c r="I193" s="12">
        <v>1</v>
      </c>
      <c r="J193" s="12">
        <v>1</v>
      </c>
      <c r="K193" s="12">
        <v>26.08</v>
      </c>
      <c r="L193" s="8" t="s">
        <v>52</v>
      </c>
      <c r="M193" s="11">
        <v>45566</v>
      </c>
      <c r="N193" s="7" t="s">
        <v>523</v>
      </c>
      <c r="O193" s="7" t="s">
        <v>530</v>
      </c>
      <c r="Q193" s="8" t="s">
        <v>376</v>
      </c>
      <c r="R193" s="7" t="str">
        <f>CONCATENATE(Q193,6)</f>
        <v>00022084599K6</v>
      </c>
      <c r="T193" s="8" t="s">
        <v>673</v>
      </c>
      <c r="U193" s="7" t="s">
        <v>540</v>
      </c>
      <c r="V193" s="7" t="str">
        <f>CONCATENATE(U193, " ", T193)</f>
        <v>MARGARET GARRITY</v>
      </c>
    </row>
    <row r="194" spans="1:22" x14ac:dyDescent="0.2">
      <c r="A194" s="8" t="s">
        <v>370</v>
      </c>
      <c r="B194" s="9">
        <v>18754354</v>
      </c>
      <c r="C194" s="8" t="s">
        <v>371</v>
      </c>
      <c r="D194" s="8" t="s">
        <v>372</v>
      </c>
      <c r="E194" s="11">
        <v>45870</v>
      </c>
      <c r="F194" s="8" t="s">
        <v>48</v>
      </c>
      <c r="G194" s="8" t="s">
        <v>50</v>
      </c>
      <c r="H194" s="8" t="s">
        <v>62</v>
      </c>
      <c r="I194" s="12">
        <v>1</v>
      </c>
      <c r="J194" s="12">
        <v>1</v>
      </c>
      <c r="K194" s="12">
        <v>26.08</v>
      </c>
      <c r="L194" s="8" t="s">
        <v>52</v>
      </c>
      <c r="M194" s="11">
        <v>45505</v>
      </c>
      <c r="N194" s="7" t="s">
        <v>523</v>
      </c>
      <c r="O194" s="7" t="s">
        <v>530</v>
      </c>
      <c r="Q194" s="8" t="s">
        <v>372</v>
      </c>
      <c r="R194" s="7" t="str">
        <f>CONCATENATE(Q194,6)</f>
        <v>00021881964K6</v>
      </c>
      <c r="T194" s="8" t="s">
        <v>732</v>
      </c>
      <c r="U194" s="7" t="s">
        <v>733</v>
      </c>
      <c r="V194" s="7" t="str">
        <f>CONCATENATE(U194, " ", T194)</f>
        <v>DAVID LEWAKOWSKI</v>
      </c>
    </row>
    <row r="195" spans="1:22" x14ac:dyDescent="0.2">
      <c r="A195" s="8" t="s">
        <v>370</v>
      </c>
      <c r="B195" s="9">
        <v>18754354</v>
      </c>
      <c r="C195" s="8" t="s">
        <v>379</v>
      </c>
      <c r="D195" s="8" t="s">
        <v>380</v>
      </c>
      <c r="E195" s="11">
        <v>45962</v>
      </c>
      <c r="F195" s="8" t="s">
        <v>252</v>
      </c>
      <c r="G195" s="8" t="s">
        <v>50</v>
      </c>
      <c r="H195" s="8" t="s">
        <v>51</v>
      </c>
      <c r="I195" s="12">
        <v>0.17</v>
      </c>
      <c r="J195" s="12">
        <v>1</v>
      </c>
      <c r="K195" s="12">
        <v>52.17</v>
      </c>
      <c r="L195" s="8" t="s">
        <v>71</v>
      </c>
      <c r="M195" s="11">
        <v>45962</v>
      </c>
      <c r="N195" s="7" t="s">
        <v>523</v>
      </c>
      <c r="O195" s="7" t="s">
        <v>533</v>
      </c>
      <c r="Q195" s="8" t="s">
        <v>380</v>
      </c>
      <c r="R195" s="7" t="str">
        <f>CONCATENATE(Q195,6)</f>
        <v>00023542006K6</v>
      </c>
      <c r="T195" s="8" t="s">
        <v>767</v>
      </c>
      <c r="U195" s="7" t="s">
        <v>749</v>
      </c>
      <c r="V195" s="7" t="str">
        <f>CONCATENATE(U195, " ", T195)</f>
        <v>LAURA PHIPPS</v>
      </c>
    </row>
    <row r="196" spans="1:22" x14ac:dyDescent="0.2">
      <c r="A196" s="8" t="s">
        <v>256</v>
      </c>
      <c r="B196" s="9">
        <v>16633294</v>
      </c>
      <c r="C196" s="8" t="s">
        <v>259</v>
      </c>
      <c r="D196" s="8" t="s">
        <v>260</v>
      </c>
      <c r="E196" s="11">
        <v>45870</v>
      </c>
      <c r="F196" s="8" t="s">
        <v>48</v>
      </c>
      <c r="G196" s="8" t="s">
        <v>50</v>
      </c>
      <c r="H196" s="8" t="s">
        <v>62</v>
      </c>
      <c r="I196" s="12">
        <v>1</v>
      </c>
      <c r="J196" s="12">
        <v>1</v>
      </c>
      <c r="K196" s="12">
        <v>26.08</v>
      </c>
      <c r="L196" s="8" t="s">
        <v>52</v>
      </c>
      <c r="M196" s="11">
        <v>45566</v>
      </c>
      <c r="N196" s="7" t="s">
        <v>523</v>
      </c>
      <c r="O196" s="7" t="s">
        <v>530</v>
      </c>
      <c r="Q196" s="8" t="s">
        <v>260</v>
      </c>
      <c r="R196" s="7" t="str">
        <f>CONCATENATE(Q196,6)</f>
        <v>00020195670K6</v>
      </c>
      <c r="T196" s="8" t="s">
        <v>617</v>
      </c>
      <c r="U196" s="7" t="s">
        <v>618</v>
      </c>
      <c r="V196" s="7" t="str">
        <f>CONCATENATE(U196, " ", T196)</f>
        <v>LARRY BOUBEL</v>
      </c>
    </row>
    <row r="197" spans="1:22" x14ac:dyDescent="0.2">
      <c r="A197" s="8" t="s">
        <v>256</v>
      </c>
      <c r="B197" s="9">
        <v>16633294</v>
      </c>
      <c r="C197" s="8" t="s">
        <v>269</v>
      </c>
      <c r="D197" s="8" t="s">
        <v>270</v>
      </c>
      <c r="E197" s="11">
        <v>45870</v>
      </c>
      <c r="F197" s="8" t="s">
        <v>48</v>
      </c>
      <c r="G197" s="8" t="s">
        <v>50</v>
      </c>
      <c r="H197" s="8" t="s">
        <v>62</v>
      </c>
      <c r="I197" s="12">
        <v>1</v>
      </c>
      <c r="J197" s="12">
        <v>1</v>
      </c>
      <c r="K197" s="12">
        <v>26.08</v>
      </c>
      <c r="L197" s="8" t="s">
        <v>52</v>
      </c>
      <c r="M197" s="11">
        <v>45627</v>
      </c>
      <c r="N197" s="7" t="s">
        <v>523</v>
      </c>
      <c r="O197" s="7" t="s">
        <v>530</v>
      </c>
      <c r="Q197" s="8" t="s">
        <v>270</v>
      </c>
      <c r="R197" s="7" t="str">
        <f>CONCATENATE(Q197,6)</f>
        <v>00022688863K6</v>
      </c>
      <c r="T197" s="8" t="s">
        <v>657</v>
      </c>
      <c r="U197" s="7" t="s">
        <v>658</v>
      </c>
      <c r="V197" s="7" t="str">
        <f>CONCATENATE(U197, " ", T197)</f>
        <v>DOLORES DUNCAN</v>
      </c>
    </row>
    <row r="198" spans="1:22" x14ac:dyDescent="0.2">
      <c r="A198" s="8" t="s">
        <v>256</v>
      </c>
      <c r="B198" s="9">
        <v>16633294</v>
      </c>
      <c r="C198" s="8" t="s">
        <v>267</v>
      </c>
      <c r="D198" s="8" t="s">
        <v>268</v>
      </c>
      <c r="E198" s="11">
        <v>45870</v>
      </c>
      <c r="F198" s="8" t="s">
        <v>48</v>
      </c>
      <c r="G198" s="8" t="s">
        <v>50</v>
      </c>
      <c r="H198" s="8" t="s">
        <v>62</v>
      </c>
      <c r="I198" s="12">
        <v>1</v>
      </c>
      <c r="J198" s="12">
        <v>1</v>
      </c>
      <c r="K198" s="12">
        <v>26.08</v>
      </c>
      <c r="L198" s="8" t="s">
        <v>52</v>
      </c>
      <c r="M198" s="11">
        <v>45627</v>
      </c>
      <c r="N198" s="7" t="s">
        <v>523</v>
      </c>
      <c r="O198" s="7" t="s">
        <v>530</v>
      </c>
      <c r="Q198" s="8" t="s">
        <v>268</v>
      </c>
      <c r="R198" s="7" t="str">
        <f>CONCATENATE(Q198,6)</f>
        <v>00022466880K6</v>
      </c>
      <c r="T198" s="8" t="s">
        <v>678</v>
      </c>
      <c r="U198" s="7" t="s">
        <v>679</v>
      </c>
      <c r="V198" s="7" t="str">
        <f>CONCATENATE(U198, " ", T198)</f>
        <v>MALGORZATA GONET</v>
      </c>
    </row>
    <row r="199" spans="1:22" x14ac:dyDescent="0.2">
      <c r="A199" s="8" t="s">
        <v>256</v>
      </c>
      <c r="B199" s="9">
        <v>16633294</v>
      </c>
      <c r="C199" s="8" t="s">
        <v>261</v>
      </c>
      <c r="D199" s="8" t="s">
        <v>262</v>
      </c>
      <c r="E199" s="11">
        <v>45870</v>
      </c>
      <c r="F199" s="8" t="s">
        <v>48</v>
      </c>
      <c r="G199" s="8" t="s">
        <v>50</v>
      </c>
      <c r="H199" s="8" t="s">
        <v>62</v>
      </c>
      <c r="I199" s="12">
        <v>1</v>
      </c>
      <c r="J199" s="12">
        <v>1</v>
      </c>
      <c r="K199" s="12">
        <v>26.08</v>
      </c>
      <c r="L199" s="8" t="s">
        <v>52</v>
      </c>
      <c r="M199" s="11">
        <v>45505</v>
      </c>
      <c r="N199" s="7" t="s">
        <v>523</v>
      </c>
      <c r="O199" s="7" t="s">
        <v>530</v>
      </c>
      <c r="Q199" s="8" t="s">
        <v>262</v>
      </c>
      <c r="R199" s="7" t="str">
        <f>CONCATENATE(Q199,6)</f>
        <v>00021938736K6</v>
      </c>
      <c r="T199" s="8" t="s">
        <v>682</v>
      </c>
      <c r="U199" s="7" t="s">
        <v>683</v>
      </c>
      <c r="V199" s="7" t="str">
        <f>CONCATENATE(U199, " ", T199)</f>
        <v>TERRANCE HALLMAN</v>
      </c>
    </row>
    <row r="200" spans="1:22" x14ac:dyDescent="0.2">
      <c r="A200" s="8" t="s">
        <v>256</v>
      </c>
      <c r="B200" s="9">
        <v>16633294</v>
      </c>
      <c r="C200" s="8" t="s">
        <v>257</v>
      </c>
      <c r="D200" s="8" t="s">
        <v>258</v>
      </c>
      <c r="E200" s="11">
        <v>45870</v>
      </c>
      <c r="F200" s="8" t="s">
        <v>48</v>
      </c>
      <c r="G200" s="8" t="s">
        <v>50</v>
      </c>
      <c r="H200" s="8" t="s">
        <v>51</v>
      </c>
      <c r="I200" s="12">
        <v>1</v>
      </c>
      <c r="J200" s="12">
        <v>1</v>
      </c>
      <c r="K200" s="12">
        <v>26.08</v>
      </c>
      <c r="L200" s="8" t="s">
        <v>52</v>
      </c>
      <c r="M200" s="11">
        <v>45566</v>
      </c>
      <c r="N200" s="7" t="s">
        <v>523</v>
      </c>
      <c r="O200" s="7" t="s">
        <v>530</v>
      </c>
      <c r="Q200" s="8" t="s">
        <v>258</v>
      </c>
      <c r="R200" s="7" t="str">
        <f>CONCATENATE(Q200,6)</f>
        <v>00011182221K6</v>
      </c>
      <c r="T200" s="8" t="s">
        <v>706</v>
      </c>
      <c r="U200" s="7" t="s">
        <v>677</v>
      </c>
      <c r="V200" s="7" t="str">
        <f>CONCATENATE(U200, " ", T200)</f>
        <v>MARY HUSTON</v>
      </c>
    </row>
    <row r="201" spans="1:22" x14ac:dyDescent="0.2">
      <c r="A201" s="8" t="s">
        <v>256</v>
      </c>
      <c r="B201" s="9">
        <v>16633294</v>
      </c>
      <c r="C201" s="8" t="s">
        <v>265</v>
      </c>
      <c r="D201" s="8" t="s">
        <v>266</v>
      </c>
      <c r="E201" s="11">
        <v>45870</v>
      </c>
      <c r="F201" s="8" t="s">
        <v>48</v>
      </c>
      <c r="G201" s="8" t="s">
        <v>50</v>
      </c>
      <c r="H201" s="8" t="s">
        <v>62</v>
      </c>
      <c r="I201" s="12">
        <v>1</v>
      </c>
      <c r="J201" s="12">
        <v>1</v>
      </c>
      <c r="K201" s="12">
        <v>26.08</v>
      </c>
      <c r="L201" s="8" t="s">
        <v>52</v>
      </c>
      <c r="M201" s="11">
        <v>45597</v>
      </c>
      <c r="N201" s="7" t="s">
        <v>523</v>
      </c>
      <c r="O201" s="7" t="s">
        <v>530</v>
      </c>
      <c r="Q201" s="8" t="s">
        <v>266</v>
      </c>
      <c r="R201" s="7" t="str">
        <f>CONCATENATE(Q201,6)</f>
        <v>00022137026K6</v>
      </c>
      <c r="T201" s="8" t="s">
        <v>724</v>
      </c>
      <c r="U201" s="7" t="s">
        <v>725</v>
      </c>
      <c r="V201" s="7" t="str">
        <f>CONCATENATE(U201, " ", T201)</f>
        <v>ANNETTE KNOX</v>
      </c>
    </row>
    <row r="202" spans="1:22" x14ac:dyDescent="0.2">
      <c r="A202" s="8" t="s">
        <v>256</v>
      </c>
      <c r="B202" s="9">
        <v>16633294</v>
      </c>
      <c r="C202" s="8" t="s">
        <v>263</v>
      </c>
      <c r="D202" s="8" t="s">
        <v>264</v>
      </c>
      <c r="E202" s="11">
        <v>45870</v>
      </c>
      <c r="F202" s="8" t="s">
        <v>48</v>
      </c>
      <c r="G202" s="8" t="s">
        <v>50</v>
      </c>
      <c r="H202" s="8" t="s">
        <v>62</v>
      </c>
      <c r="I202" s="12">
        <v>1</v>
      </c>
      <c r="J202" s="12">
        <v>1</v>
      </c>
      <c r="K202" s="12">
        <v>26.08</v>
      </c>
      <c r="L202" s="8" t="s">
        <v>52</v>
      </c>
      <c r="M202" s="11">
        <v>45597</v>
      </c>
      <c r="N202" s="7" t="s">
        <v>523</v>
      </c>
      <c r="O202" s="7" t="s">
        <v>530</v>
      </c>
      <c r="Q202" s="8" t="s">
        <v>264</v>
      </c>
      <c r="R202" s="7" t="str">
        <f>CONCATENATE(Q202,6)</f>
        <v>00022085271K6</v>
      </c>
      <c r="T202" s="8" t="s">
        <v>804</v>
      </c>
      <c r="U202" s="7" t="s">
        <v>805</v>
      </c>
      <c r="V202" s="7" t="str">
        <f>CONCATENATE(U202, " ", T202)</f>
        <v>ELLEN SHAKER</v>
      </c>
    </row>
    <row r="203" spans="1:22" x14ac:dyDescent="0.2">
      <c r="A203" s="8" t="s">
        <v>459</v>
      </c>
      <c r="B203" s="9">
        <v>20724564</v>
      </c>
      <c r="C203" s="8" t="s">
        <v>460</v>
      </c>
      <c r="D203" s="8" t="s">
        <v>461</v>
      </c>
      <c r="E203" s="11">
        <v>45962</v>
      </c>
      <c r="F203" s="8" t="s">
        <v>252</v>
      </c>
      <c r="G203" s="8" t="s">
        <v>50</v>
      </c>
      <c r="H203" s="8" t="s">
        <v>463</v>
      </c>
      <c r="I203" s="12">
        <v>9.17</v>
      </c>
      <c r="J203" s="12">
        <v>9.17</v>
      </c>
      <c r="K203" s="12">
        <v>9.17</v>
      </c>
      <c r="L203" s="8" t="s">
        <v>71</v>
      </c>
      <c r="M203" s="11">
        <v>45962</v>
      </c>
      <c r="N203" s="7" t="s">
        <v>525</v>
      </c>
      <c r="Q203" s="8" t="s">
        <v>461</v>
      </c>
      <c r="R203" s="7" t="str">
        <f>CONCATENATE(Q203,9)</f>
        <v>00023545815K9</v>
      </c>
      <c r="T203" s="8" t="s">
        <v>849</v>
      </c>
      <c r="U203" s="7" t="s">
        <v>850</v>
      </c>
      <c r="V203" s="7" t="str">
        <f>CONCATENATE(U203, " ", T203)</f>
        <v>DANNY VORIS</v>
      </c>
    </row>
  </sheetData>
  <sortState xmlns:xlrd2="http://schemas.microsoft.com/office/spreadsheetml/2017/richdata2" ref="A2:AP203">
    <sortCondition ref="N2:N2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2025-08-14T18:54:55Z</dcterms:created>
  <dcterms:modified xsi:type="dcterms:W3CDTF">2025-08-14T20:58:07Z</dcterms:modified>
</cp:coreProperties>
</file>