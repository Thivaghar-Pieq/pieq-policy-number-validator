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3-26-25\"/>
    </mc:Choice>
  </mc:AlternateContent>
  <xr:revisionPtr revIDLastSave="0" documentId="13_ncr:9_{1722EA1C-32AB-4F59-AA6A-3BBEA47A7A92}" xr6:coauthVersionLast="47" xr6:coauthVersionMax="47" xr10:uidLastSave="{00000000-0000-0000-0000-000000000000}"/>
  <bookViews>
    <workbookView xWindow="28680" yWindow="-120" windowWidth="29040" windowHeight="16440" activeTab="1" xr2:uid="{C7377621-AEDB-4874-AEFE-2AAF7BED5F16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1" i="3"/>
  <c r="R5" i="2"/>
  <c r="R30" i="2"/>
  <c r="R31" i="2"/>
  <c r="R4" i="2"/>
  <c r="R3" i="2"/>
  <c r="R2" i="2"/>
  <c r="R13" i="2"/>
  <c r="R27" i="2"/>
  <c r="R26" i="2"/>
  <c r="R25" i="2"/>
  <c r="R24" i="2"/>
  <c r="R9" i="2"/>
  <c r="R12" i="2"/>
  <c r="R11" i="2"/>
  <c r="R10" i="2"/>
  <c r="R37" i="2"/>
  <c r="R36" i="2"/>
  <c r="R16" i="2"/>
  <c r="R20" i="2"/>
  <c r="R35" i="2"/>
  <c r="R34" i="2"/>
  <c r="R33" i="2"/>
  <c r="R32" i="2"/>
  <c r="R7" i="2"/>
  <c r="R6" i="2"/>
  <c r="R18" i="2"/>
  <c r="R21" i="2"/>
  <c r="R22" i="2"/>
  <c r="R29" i="2"/>
  <c r="R17" i="2"/>
  <c r="R28" i="2"/>
  <c r="R15" i="2"/>
  <c r="R23" i="2"/>
  <c r="R8" i="2"/>
  <c r="R19" i="2"/>
  <c r="R14" i="2"/>
</calcChain>
</file>

<file path=xl/sharedStrings.xml><?xml version="1.0" encoding="utf-8"?>
<sst xmlns="http://schemas.openxmlformats.org/spreadsheetml/2006/main" count="1512" uniqueCount="294">
  <si>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</si>
  <si>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</si>
  <si>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</si>
  <si>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</si>
  <si>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</si>
  <si>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</si>
  <si>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</si>
  <si>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</si>
  <si>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</si>
  <si>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</si>
  <si>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</si>
  <si>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</si>
  <si>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</si>
  <si>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</si>
  <si>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</si>
  <si>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</si>
  <si>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</si>
  <si>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</si>
  <si>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</si>
  <si>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</si>
  <si>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</si>
  <si>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</si>
  <si>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</si>
  <si>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</si>
  <si>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</si>
  <si>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</si>
  <si>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</si>
  <si>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</si>
  <si>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</si>
  <si>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</si>
  <si>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</si>
  <si>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</si>
  <si>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</si>
  <si>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</si>
  <si>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</si>
  <si>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</si>
  <si>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</si>
  <si>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</si>
  <si>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</si>
  <si>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</si>
  <si>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</si>
  <si>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</si>
  <si>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CHOI ANDREW J</t>
  </si>
  <si>
    <t>FEAR CLAIRE M</t>
  </si>
  <si>
    <t>00005232205K</t>
  </si>
  <si>
    <t>8PA2GH5UH05</t>
  </si>
  <si>
    <t/>
  </si>
  <si>
    <t>MA</t>
  </si>
  <si>
    <t>LV</t>
  </si>
  <si>
    <t>JAN</t>
  </si>
  <si>
    <t>F</t>
  </si>
  <si>
    <t>MEDICARE</t>
  </si>
  <si>
    <t>MEP</t>
  </si>
  <si>
    <t>MEDICARE 2ND HALF FIRST YEAR COMM</t>
  </si>
  <si>
    <t>MED2</t>
  </si>
  <si>
    <t>H5216</t>
  </si>
  <si>
    <t>FIRST YEAR COMMISSIONS</t>
  </si>
  <si>
    <t>ARCF</t>
  </si>
  <si>
    <t>TEIPEL GREGORY K</t>
  </si>
  <si>
    <t>JOHNSON PATRICIA L</t>
  </si>
  <si>
    <t>00022090243K</t>
  </si>
  <si>
    <t>5HW0K73RM35</t>
  </si>
  <si>
    <t>BRANSTETTER ROBERT L</t>
  </si>
  <si>
    <t>00022502430K</t>
  </si>
  <si>
    <t>4EK4ET5MA77</t>
  </si>
  <si>
    <t>FEB</t>
  </si>
  <si>
    <t>BLACKER DON A</t>
  </si>
  <si>
    <t>00023203793K</t>
  </si>
  <si>
    <t>1NY8K71GG43</t>
  </si>
  <si>
    <t>APR</t>
  </si>
  <si>
    <t>ALOFF ARNOLD T</t>
  </si>
  <si>
    <t>BOWIE SANDRA L</t>
  </si>
  <si>
    <t>00023213919K</t>
  </si>
  <si>
    <t>6UN6P15MV45</t>
  </si>
  <si>
    <t>PDP</t>
  </si>
  <si>
    <t>S5884</t>
  </si>
  <si>
    <t>LEE JOEL N</t>
  </si>
  <si>
    <t>HICKMAN SUSAN G</t>
  </si>
  <si>
    <t>00023204136K</t>
  </si>
  <si>
    <t>6EK7J10CD49</t>
  </si>
  <si>
    <t>HUNSBERGER ANTHONY J</t>
  </si>
  <si>
    <t>MELCHERT MICHAEL A</t>
  </si>
  <si>
    <t>00023200368K</t>
  </si>
  <si>
    <t>1UA3N68GD91</t>
  </si>
  <si>
    <t>WALENGA DALE J</t>
  </si>
  <si>
    <t>DEHN RICHARD E</t>
  </si>
  <si>
    <t>00023200313K</t>
  </si>
  <si>
    <t>7KD4KY4QV77</t>
  </si>
  <si>
    <t>MER</t>
  </si>
  <si>
    <t>H1468</t>
  </si>
  <si>
    <t>YALE RICHARD A A</t>
  </si>
  <si>
    <t>CHUA SUSANA T</t>
  </si>
  <si>
    <t>00023200099K</t>
  </si>
  <si>
    <t>9QJ6HP0PJ73</t>
  </si>
  <si>
    <t>GESKE HEATHER M</t>
  </si>
  <si>
    <t>LACEY CYNTHIA M</t>
  </si>
  <si>
    <t>00018884961K</t>
  </si>
  <si>
    <t>4H53RY3VF88</t>
  </si>
  <si>
    <t>HERRERA-LARSEN ESTHER M</t>
  </si>
  <si>
    <t>GONZALEZ ELIA</t>
  </si>
  <si>
    <t>00015132666K</t>
  </si>
  <si>
    <t>6QF5Q93WU58</t>
  </si>
  <si>
    <t>FOLEY CAROL</t>
  </si>
  <si>
    <t>SETRON STEVEN J</t>
  </si>
  <si>
    <t>00023202122K</t>
  </si>
  <si>
    <t>4CC6U26AH65</t>
  </si>
  <si>
    <t>PORTUGAL GARY</t>
  </si>
  <si>
    <t>HOUSTON TONY L</t>
  </si>
  <si>
    <t>00002045751K</t>
  </si>
  <si>
    <t>9AK1Y73FN37</t>
  </si>
  <si>
    <t>ROMIG MICHAEL V</t>
  </si>
  <si>
    <t>00018370093K</t>
  </si>
  <si>
    <t>1UF2C83TH89</t>
  </si>
  <si>
    <t>DO LEE H</t>
  </si>
  <si>
    <t>00023203836K</t>
  </si>
  <si>
    <t>1UK7GP8HF31</t>
  </si>
  <si>
    <t>WILKENS LARRY M</t>
  </si>
  <si>
    <t>00023212957K</t>
  </si>
  <si>
    <t>9VQ5J50JR54</t>
  </si>
  <si>
    <t>HODGMAN TIMOTHY</t>
  </si>
  <si>
    <t>HUTMACHER WILLIAM J</t>
  </si>
  <si>
    <t>00017407420K</t>
  </si>
  <si>
    <t>9EJ9FR4HX34</t>
  </si>
  <si>
    <t>ABDUL SAADIA S</t>
  </si>
  <si>
    <t>KHAN TAHERA</t>
  </si>
  <si>
    <t>00005661676K</t>
  </si>
  <si>
    <t>9HH6CU3AK43</t>
  </si>
  <si>
    <t>SHAH VEENA B</t>
  </si>
  <si>
    <t>00014364251K</t>
  </si>
  <si>
    <t>5V82A62YY96</t>
  </si>
  <si>
    <t>DI CICCO LAURA A</t>
  </si>
  <si>
    <t>00020112096K</t>
  </si>
  <si>
    <t>3Y96MN0TM66</t>
  </si>
  <si>
    <t>TAUGNER CHRISTIAN</t>
  </si>
  <si>
    <t>SUSMAN JODY L</t>
  </si>
  <si>
    <t>00023200476K</t>
  </si>
  <si>
    <t>5VK9W08JK35</t>
  </si>
  <si>
    <t>KOZACHECK ANNE MARIE</t>
  </si>
  <si>
    <t>THOMAS DONALD R</t>
  </si>
  <si>
    <t>00023213469K</t>
  </si>
  <si>
    <t>8D06NR1PY58</t>
  </si>
  <si>
    <t>MAY</t>
  </si>
  <si>
    <t>H5525</t>
  </si>
  <si>
    <t>STROHMAN BRIAN C</t>
  </si>
  <si>
    <t>RICHER HARRY W</t>
  </si>
  <si>
    <t>00023208350K</t>
  </si>
  <si>
    <t>2AW5RD6FD88</t>
  </si>
  <si>
    <t>Moss Allan</t>
  </si>
  <si>
    <t>3245007030</t>
  </si>
  <si>
    <t>IN</t>
  </si>
  <si>
    <t>CB</t>
  </si>
  <si>
    <t>R</t>
  </si>
  <si>
    <t>DENTAL</t>
  </si>
  <si>
    <t>COMPBENEFITS RENEWAL COMMISSION</t>
  </si>
  <si>
    <t>CRCM</t>
  </si>
  <si>
    <t>Hanahan Barbara</t>
  </si>
  <si>
    <t>9025228750</t>
  </si>
  <si>
    <t>RICHTER ADAM J</t>
  </si>
  <si>
    <t>OBROCKI CRAIG</t>
  </si>
  <si>
    <t>00000946073A</t>
  </si>
  <si>
    <t>MS</t>
  </si>
  <si>
    <t>MED SUPP ANNUALIZED STANDARD</t>
  </si>
  <si>
    <t>MSAS</t>
  </si>
  <si>
    <t>KELLY DONALD P</t>
  </si>
  <si>
    <t>00000951168A</t>
  </si>
  <si>
    <t>MAR</t>
  </si>
  <si>
    <t>INSKIPT DEBORAH L</t>
  </si>
  <si>
    <t>SCHUBERT DAVID</t>
  </si>
  <si>
    <t>00000789641A</t>
  </si>
  <si>
    <t>MED SUPP RENEWAL ACHIEVE</t>
  </si>
  <si>
    <t>MSRA</t>
  </si>
  <si>
    <t>MCCORKLE MICHELLE</t>
  </si>
  <si>
    <t>Ricciuti Angela</t>
  </si>
  <si>
    <t>9030267890</t>
  </si>
  <si>
    <t>VISION</t>
  </si>
  <si>
    <t>COMPBENEFITS FIRST YEAR COMMISSION</t>
  </si>
  <si>
    <t>CRCF</t>
  </si>
  <si>
    <t>MAX RONALD J</t>
  </si>
  <si>
    <t>COOPER ROBERT A</t>
  </si>
  <si>
    <t>00000954171A</t>
  </si>
  <si>
    <t>WISEMAN SANDRA K</t>
  </si>
  <si>
    <t>00000968949A</t>
  </si>
  <si>
    <t>DUNAVANT MICHAEL</t>
  </si>
  <si>
    <t>Smith Jeffrey</t>
  </si>
  <si>
    <t>9030268320</t>
  </si>
  <si>
    <t>Rudden Jon</t>
  </si>
  <si>
    <t>9030115330</t>
  </si>
  <si>
    <t>[%/$=313][prorate=9/12]</t>
  </si>
  <si>
    <t>[%/$=313][prorate=10/12]</t>
  </si>
  <si>
    <t>[%/$=313][prorate=8/12]</t>
  </si>
  <si>
    <t>Humana Dental &amp; Vision</t>
  </si>
  <si>
    <t>Humana 81+ AL, AZ, AR, GA, etc. All Except N OE &amp; UW</t>
  </si>
  <si>
    <t>Humana 65-80 AL, AZ, AR, GA, etc. All Except N OE &amp; UW</t>
  </si>
  <si>
    <t>Humana AL, AZ, AR, GA, etc. Plan N OE &amp; UW</t>
  </si>
  <si>
    <t>[%/$=353][prorate=8/12]</t>
  </si>
  <si>
    <t>Humana 2025 CT, PA, DC *</t>
  </si>
  <si>
    <t>Humana PDP 2025!</t>
  </si>
  <si>
    <t>Humana MAPD 2025*</t>
  </si>
  <si>
    <t>18828278SUB2</t>
  </si>
  <si>
    <t>KHAN</t>
  </si>
  <si>
    <t>TAHERA</t>
  </si>
  <si>
    <t>SHAH</t>
  </si>
  <si>
    <t>VEENA</t>
  </si>
  <si>
    <t>LAURA</t>
  </si>
  <si>
    <t>BOWIE</t>
  </si>
  <si>
    <t>SANDRA</t>
  </si>
  <si>
    <t>FEAR</t>
  </si>
  <si>
    <t>CLAIRE</t>
  </si>
  <si>
    <t>Smith</t>
  </si>
  <si>
    <t>Jeffrey</t>
  </si>
  <si>
    <t>SETRON</t>
  </si>
  <si>
    <t>STEVEN</t>
  </si>
  <si>
    <t>LACEY</t>
  </si>
  <si>
    <t>CYNTHIA</t>
  </si>
  <si>
    <t>GONZALEZ</t>
  </si>
  <si>
    <t>ELIA</t>
  </si>
  <si>
    <t>HUTMACHER</t>
  </si>
  <si>
    <t>WILLIAM</t>
  </si>
  <si>
    <t>Moss</t>
  </si>
  <si>
    <t>Allan</t>
  </si>
  <si>
    <t>Hanahan</t>
  </si>
  <si>
    <t>Barbara</t>
  </si>
  <si>
    <t>MELCHERT</t>
  </si>
  <si>
    <t>MICHAEL</t>
  </si>
  <si>
    <t>SCHUBERT</t>
  </si>
  <si>
    <t>DAVID</t>
  </si>
  <si>
    <t>THOMAS</t>
  </si>
  <si>
    <t>DONALD</t>
  </si>
  <si>
    <t>Rudden</t>
  </si>
  <si>
    <t>Jon</t>
  </si>
  <si>
    <t>HICKMAN</t>
  </si>
  <si>
    <t>SUSAN</t>
  </si>
  <si>
    <t>COOPER</t>
  </si>
  <si>
    <t>ROBERT</t>
  </si>
  <si>
    <t>WISEMAN</t>
  </si>
  <si>
    <t>Ricciuti</t>
  </si>
  <si>
    <t>Angela</t>
  </si>
  <si>
    <t>HOUSTON</t>
  </si>
  <si>
    <t>TONY</t>
  </si>
  <si>
    <t>ROMIG</t>
  </si>
  <si>
    <t>DO</t>
  </si>
  <si>
    <t>LEE</t>
  </si>
  <si>
    <t>WILKENS</t>
  </si>
  <si>
    <t>LARRY</t>
  </si>
  <si>
    <t>KELLY</t>
  </si>
  <si>
    <t>OBROCKI</t>
  </si>
  <si>
    <t>CRAIG</t>
  </si>
  <si>
    <t>RICHER</t>
  </si>
  <si>
    <t>HARRY</t>
  </si>
  <si>
    <t>SUSMAN</t>
  </si>
  <si>
    <t>JODY</t>
  </si>
  <si>
    <t>JOHNSON</t>
  </si>
  <si>
    <t>PATRICIA</t>
  </si>
  <si>
    <t>BRANSTETTER</t>
  </si>
  <si>
    <t>BLACKER</t>
  </si>
  <si>
    <t>DON</t>
  </si>
  <si>
    <t>DEHN</t>
  </si>
  <si>
    <t>RICHARD</t>
  </si>
  <si>
    <t>CHUA</t>
  </si>
  <si>
    <t>SUSANA</t>
  </si>
  <si>
    <t>DI CICCO</t>
  </si>
  <si>
    <t>TAHERA KHAN</t>
  </si>
  <si>
    <t>VEENA SHAH</t>
  </si>
  <si>
    <t>LAURA DI CICCO</t>
  </si>
  <si>
    <t>SANDRA BOWIE</t>
  </si>
  <si>
    <t>CLAIRE FEAR</t>
  </si>
  <si>
    <t>Jeffrey Smith</t>
  </si>
  <si>
    <t>STEVEN SETRON</t>
  </si>
  <si>
    <t>CYNTHIA LACEY</t>
  </si>
  <si>
    <t>ELIA GONZALEZ</t>
  </si>
  <si>
    <t>WILLIAM HUTMACHER</t>
  </si>
  <si>
    <t>Allan Moss</t>
  </si>
  <si>
    <t>Barbara Hanahan</t>
  </si>
  <si>
    <t>MICHAEL MELCHERT</t>
  </si>
  <si>
    <t>DAVID SCHUBERT</t>
  </si>
  <si>
    <t>DONALD THOMAS</t>
  </si>
  <si>
    <t>Jon Rudden</t>
  </si>
  <si>
    <t>SUSAN HICKMAN</t>
  </si>
  <si>
    <t>ROBERT COOPER</t>
  </si>
  <si>
    <t>SANDRA WISEMAN</t>
  </si>
  <si>
    <t>Angela Ricciuti</t>
  </si>
  <si>
    <t>TONY HOUSTON</t>
  </si>
  <si>
    <t>MICHAEL ROMIG</t>
  </si>
  <si>
    <t>LEE DO</t>
  </si>
  <si>
    <t>LARRY WILKENS</t>
  </si>
  <si>
    <t>DONALD KELLY</t>
  </si>
  <si>
    <t>CRAIG OBROCKI</t>
  </si>
  <si>
    <t>HARRY RICHER</t>
  </si>
  <si>
    <t>JODY SUSMAN</t>
  </si>
  <si>
    <t>PATRICIA JOHNSON</t>
  </si>
  <si>
    <t>ROBERT BRANSTETTER</t>
  </si>
  <si>
    <t>DON BLACKER</t>
  </si>
  <si>
    <t>RICHARD DEHN</t>
  </si>
  <si>
    <t>SUSANA CHUA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</si>
</sst>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2"/>
      <color rgb="FF000000"/>
      <name val="Ebrima"/>
    </font>
    <font>
      <sz val="10"/>
      <name val="Arial"/>
      <family val="2"/>
    </font>
    <font>
      <sz val="12"/>
      <color rgb="FF212529"/>
      <name val="Ebri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horizontal="left" vertical="center"/>
    </xf>
    <xf numFmtId="1" fontId="0" fillId="0" borderId="0" xfId="0" applyNumberFormat="1" applyFill="1" applyAlignment="1">
      <alignment vertical="center"/>
    </xf>
    <xf numFmtId="14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0" fontId="21" fillId="0" borderId="0" xfId="0" applyFont="1" applyFill="1"/>
    <xf numFmtId="0" fontId="19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49" fontId="20" fillId="0" borderId="0" xfId="0" applyNumberFormat="1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7233-C59A-472E-B1A9-A4F767E6EE34}">
  <dimension ref="A1:AP37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45742</v>
      </c>
      <c r="C2" s="4" t="s">
        <v>42</v>
      </c>
      <c r="D2" s="2">
        <v>1466196</v>
      </c>
      <c r="E2" s="4" t="s">
        <v>43</v>
      </c>
      <c r="F2" s="4" t="s">
        <v>44</v>
      </c>
      <c r="G2" s="2">
        <v>778641253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45658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-234.75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45742</v>
      </c>
      <c r="C3" s="4" t="s">
        <v>42</v>
      </c>
      <c r="D3" s="2">
        <v>1466196</v>
      </c>
      <c r="E3" s="4" t="s">
        <v>43</v>
      </c>
      <c r="F3" s="4" t="s">
        <v>44</v>
      </c>
      <c r="G3" s="2">
        <v>778641253</v>
      </c>
      <c r="H3" s="4" t="s">
        <v>45</v>
      </c>
      <c r="I3" s="4" t="s">
        <v>46</v>
      </c>
      <c r="J3" s="4" t="s">
        <v>47</v>
      </c>
      <c r="K3" s="4" t="s">
        <v>48</v>
      </c>
      <c r="L3" s="3">
        <v>45658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-0.75</v>
      </c>
      <c r="W3" s="5">
        <v>0</v>
      </c>
      <c r="X3" s="5">
        <v>100</v>
      </c>
      <c r="Y3" s="5">
        <v>-234.75</v>
      </c>
      <c r="Z3" s="4" t="s">
        <v>46</v>
      </c>
      <c r="AA3" s="5" t="s">
        <v>46</v>
      </c>
      <c r="AB3" s="4" t="s">
        <v>56</v>
      </c>
      <c r="AC3" s="4" t="s">
        <v>46</v>
      </c>
      <c r="AD3" s="5">
        <v>0</v>
      </c>
      <c r="AE3" s="4" t="s">
        <v>57</v>
      </c>
      <c r="AF3" s="3">
        <v>45658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45742</v>
      </c>
      <c r="C4" s="4" t="s">
        <v>58</v>
      </c>
      <c r="D4" s="2">
        <v>1509770</v>
      </c>
      <c r="E4" s="4" t="s">
        <v>59</v>
      </c>
      <c r="F4" s="4" t="s">
        <v>60</v>
      </c>
      <c r="G4" s="2">
        <v>13934235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45658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-0.75</v>
      </c>
      <c r="W4" s="5">
        <v>0</v>
      </c>
      <c r="X4" s="5">
        <v>100</v>
      </c>
      <c r="Y4" s="5">
        <v>-234.75</v>
      </c>
      <c r="Z4" s="4" t="s">
        <v>46</v>
      </c>
      <c r="AA4" s="5" t="s">
        <v>46</v>
      </c>
      <c r="AB4" s="4" t="s">
        <v>56</v>
      </c>
      <c r="AC4" s="4" t="s">
        <v>46</v>
      </c>
      <c r="AD4" s="5">
        <v>0</v>
      </c>
      <c r="AE4" s="4" t="s">
        <v>57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45742</v>
      </c>
      <c r="C5" s="4" t="s">
        <v>58</v>
      </c>
      <c r="D5" s="2">
        <v>1509770</v>
      </c>
      <c r="E5" s="4" t="s">
        <v>62</v>
      </c>
      <c r="F5" s="4" t="s">
        <v>63</v>
      </c>
      <c r="G5" s="2">
        <v>126488191</v>
      </c>
      <c r="H5" s="4" t="s">
        <v>64</v>
      </c>
      <c r="I5" s="4" t="s">
        <v>46</v>
      </c>
      <c r="J5" s="4" t="s">
        <v>47</v>
      </c>
      <c r="K5" s="4" t="s">
        <v>48</v>
      </c>
      <c r="L5" s="3">
        <v>45689</v>
      </c>
      <c r="M5" s="4" t="s">
        <v>65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-260.83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45689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45742</v>
      </c>
      <c r="C6" s="4" t="s">
        <v>58</v>
      </c>
      <c r="D6" s="2">
        <v>1509770</v>
      </c>
      <c r="E6" s="4" t="s">
        <v>62</v>
      </c>
      <c r="F6" s="4" t="s">
        <v>63</v>
      </c>
      <c r="G6" s="2">
        <v>126488191</v>
      </c>
      <c r="H6" s="4" t="s">
        <v>64</v>
      </c>
      <c r="I6" s="4" t="s">
        <v>46</v>
      </c>
      <c r="J6" s="4" t="s">
        <v>47</v>
      </c>
      <c r="K6" s="4" t="s">
        <v>48</v>
      </c>
      <c r="L6" s="3">
        <v>45689</v>
      </c>
      <c r="M6" s="4" t="s">
        <v>65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-0.67</v>
      </c>
      <c r="W6" s="5">
        <v>0</v>
      </c>
      <c r="X6" s="5">
        <v>100</v>
      </c>
      <c r="Y6" s="5">
        <v>-208.67</v>
      </c>
      <c r="Z6" s="4" t="s">
        <v>46</v>
      </c>
      <c r="AA6" s="5" t="s">
        <v>46</v>
      </c>
      <c r="AB6" s="4" t="s">
        <v>56</v>
      </c>
      <c r="AC6" s="4" t="s">
        <v>46</v>
      </c>
      <c r="AD6" s="5">
        <v>0</v>
      </c>
      <c r="AE6" s="4" t="s">
        <v>57</v>
      </c>
      <c r="AF6" s="3">
        <v>45689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45742</v>
      </c>
      <c r="C7" s="4" t="s">
        <v>58</v>
      </c>
      <c r="D7" s="2">
        <v>1509770</v>
      </c>
      <c r="E7" s="4" t="s">
        <v>66</v>
      </c>
      <c r="F7" s="4" t="s">
        <v>67</v>
      </c>
      <c r="G7" s="2">
        <v>459745393</v>
      </c>
      <c r="H7" s="4" t="s">
        <v>68</v>
      </c>
      <c r="I7" s="4" t="s">
        <v>46</v>
      </c>
      <c r="J7" s="4" t="s">
        <v>47</v>
      </c>
      <c r="K7" s="4" t="s">
        <v>48</v>
      </c>
      <c r="L7" s="3">
        <v>45748</v>
      </c>
      <c r="M7" s="4" t="s">
        <v>69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0.75</v>
      </c>
      <c r="W7" s="5">
        <v>0</v>
      </c>
      <c r="X7" s="5">
        <v>100</v>
      </c>
      <c r="Y7" s="5">
        <v>234.75</v>
      </c>
      <c r="Z7" s="4" t="s">
        <v>46</v>
      </c>
      <c r="AA7" s="5" t="s">
        <v>46</v>
      </c>
      <c r="AB7" s="4" t="s">
        <v>56</v>
      </c>
      <c r="AC7" s="4" t="s">
        <v>46</v>
      </c>
      <c r="AD7" s="5">
        <v>0</v>
      </c>
      <c r="AE7" s="4" t="s">
        <v>57</v>
      </c>
      <c r="AF7" s="3">
        <v>45748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45742</v>
      </c>
      <c r="C8" s="4" t="s">
        <v>70</v>
      </c>
      <c r="D8" s="2">
        <v>1509866</v>
      </c>
      <c r="E8" s="4" t="s">
        <v>71</v>
      </c>
      <c r="F8" s="4" t="s">
        <v>72</v>
      </c>
      <c r="G8" s="2">
        <v>985352403</v>
      </c>
      <c r="H8" s="4" t="s">
        <v>73</v>
      </c>
      <c r="I8" s="4" t="s">
        <v>46</v>
      </c>
      <c r="J8" s="4" t="s">
        <v>47</v>
      </c>
      <c r="K8" s="4" t="s">
        <v>48</v>
      </c>
      <c r="L8" s="3">
        <v>45748</v>
      </c>
      <c r="M8" s="4" t="s">
        <v>69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74</v>
      </c>
      <c r="U8" s="4" t="s">
        <v>46</v>
      </c>
      <c r="V8" s="5">
        <v>0.75</v>
      </c>
      <c r="W8" s="5">
        <v>0</v>
      </c>
      <c r="X8" s="5">
        <v>100</v>
      </c>
      <c r="Y8" s="5">
        <v>41.25</v>
      </c>
      <c r="Z8" s="4" t="s">
        <v>46</v>
      </c>
      <c r="AA8" s="5" t="s">
        <v>46</v>
      </c>
      <c r="AB8" s="4" t="s">
        <v>56</v>
      </c>
      <c r="AC8" s="4" t="s">
        <v>46</v>
      </c>
      <c r="AD8" s="5">
        <v>0</v>
      </c>
      <c r="AE8" s="4" t="s">
        <v>57</v>
      </c>
      <c r="AF8" s="3">
        <v>45748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45742</v>
      </c>
      <c r="C9" s="4" t="s">
        <v>76</v>
      </c>
      <c r="D9" s="2">
        <v>1510085</v>
      </c>
      <c r="E9" s="4" t="s">
        <v>77</v>
      </c>
      <c r="F9" s="4" t="s">
        <v>78</v>
      </c>
      <c r="G9" s="2">
        <v>551631140</v>
      </c>
      <c r="H9" s="4" t="s">
        <v>79</v>
      </c>
      <c r="I9" s="4" t="s">
        <v>46</v>
      </c>
      <c r="J9" s="4" t="s">
        <v>47</v>
      </c>
      <c r="K9" s="4" t="s">
        <v>48</v>
      </c>
      <c r="L9" s="3">
        <v>45748</v>
      </c>
      <c r="M9" s="4" t="s">
        <v>69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0.75</v>
      </c>
      <c r="W9" s="5">
        <v>0</v>
      </c>
      <c r="X9" s="5">
        <v>100</v>
      </c>
      <c r="Y9" s="5">
        <v>234.75</v>
      </c>
      <c r="Z9" s="4" t="s">
        <v>46</v>
      </c>
      <c r="AA9" s="5" t="s">
        <v>46</v>
      </c>
      <c r="AB9" s="4" t="s">
        <v>56</v>
      </c>
      <c r="AC9" s="4" t="s">
        <v>46</v>
      </c>
      <c r="AD9" s="5">
        <v>0</v>
      </c>
      <c r="AE9" s="4" t="s">
        <v>57</v>
      </c>
      <c r="AF9" s="3">
        <v>45748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45742</v>
      </c>
      <c r="C10" s="4" t="s">
        <v>80</v>
      </c>
      <c r="D10" s="2">
        <v>1510420</v>
      </c>
      <c r="E10" s="4" t="s">
        <v>81</v>
      </c>
      <c r="F10" s="4" t="s">
        <v>82</v>
      </c>
      <c r="G10" s="2">
        <v>486903193</v>
      </c>
      <c r="H10" s="4" t="s">
        <v>83</v>
      </c>
      <c r="I10" s="4" t="s">
        <v>46</v>
      </c>
      <c r="J10" s="4" t="s">
        <v>47</v>
      </c>
      <c r="K10" s="4" t="s">
        <v>48</v>
      </c>
      <c r="L10" s="3">
        <v>45748</v>
      </c>
      <c r="M10" s="4" t="s">
        <v>69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0.75</v>
      </c>
      <c r="W10" s="5">
        <v>0</v>
      </c>
      <c r="X10" s="5">
        <v>100</v>
      </c>
      <c r="Y10" s="5">
        <v>234.75</v>
      </c>
      <c r="Z10" s="4" t="s">
        <v>46</v>
      </c>
      <c r="AA10" s="5" t="s">
        <v>46</v>
      </c>
      <c r="AB10" s="4" t="s">
        <v>56</v>
      </c>
      <c r="AC10" s="4" t="s">
        <v>46</v>
      </c>
      <c r="AD10" s="5">
        <v>0</v>
      </c>
      <c r="AE10" s="4" t="s">
        <v>57</v>
      </c>
      <c r="AF10" s="3">
        <v>45748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45742</v>
      </c>
      <c r="C11" s="4" t="s">
        <v>84</v>
      </c>
      <c r="D11" s="2">
        <v>1535078</v>
      </c>
      <c r="E11" s="4" t="s">
        <v>85</v>
      </c>
      <c r="F11" s="4" t="s">
        <v>86</v>
      </c>
      <c r="G11" s="2">
        <v>467204023</v>
      </c>
      <c r="H11" s="4" t="s">
        <v>87</v>
      </c>
      <c r="I11" s="4" t="s">
        <v>46</v>
      </c>
      <c r="J11" s="4" t="s">
        <v>47</v>
      </c>
      <c r="K11" s="4" t="s">
        <v>48</v>
      </c>
      <c r="L11" s="3">
        <v>45748</v>
      </c>
      <c r="M11" s="4" t="s">
        <v>69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88</v>
      </c>
      <c r="U11" s="4" t="s">
        <v>46</v>
      </c>
      <c r="V11" s="5">
        <v>0.75</v>
      </c>
      <c r="W11" s="5">
        <v>0</v>
      </c>
      <c r="X11" s="5">
        <v>100</v>
      </c>
      <c r="Y11" s="5">
        <v>234.75</v>
      </c>
      <c r="Z11" s="4" t="s">
        <v>46</v>
      </c>
      <c r="AA11" s="5" t="s">
        <v>46</v>
      </c>
      <c r="AB11" s="4" t="s">
        <v>56</v>
      </c>
      <c r="AC11" s="4" t="s">
        <v>46</v>
      </c>
      <c r="AD11" s="5">
        <v>0</v>
      </c>
      <c r="AE11" s="4" t="s">
        <v>57</v>
      </c>
      <c r="AF11" s="3">
        <v>45748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89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45742</v>
      </c>
      <c r="C12" s="4" t="s">
        <v>90</v>
      </c>
      <c r="D12" s="2">
        <v>1573279</v>
      </c>
      <c r="E12" s="4" t="s">
        <v>91</v>
      </c>
      <c r="F12" s="4" t="s">
        <v>92</v>
      </c>
      <c r="G12" s="2">
        <v>381034324</v>
      </c>
      <c r="H12" s="4" t="s">
        <v>93</v>
      </c>
      <c r="I12" s="4" t="s">
        <v>46</v>
      </c>
      <c r="J12" s="4" t="s">
        <v>47</v>
      </c>
      <c r="K12" s="4" t="s">
        <v>48</v>
      </c>
      <c r="L12" s="3">
        <v>45748</v>
      </c>
      <c r="M12" s="4" t="s">
        <v>69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88</v>
      </c>
      <c r="U12" s="4" t="s">
        <v>46</v>
      </c>
      <c r="V12" s="5">
        <v>0.75</v>
      </c>
      <c r="W12" s="5">
        <v>0</v>
      </c>
      <c r="X12" s="5">
        <v>100</v>
      </c>
      <c r="Y12" s="5">
        <v>234.75</v>
      </c>
      <c r="Z12" s="4" t="s">
        <v>46</v>
      </c>
      <c r="AA12" s="5" t="s">
        <v>46</v>
      </c>
      <c r="AB12" s="4" t="s">
        <v>56</v>
      </c>
      <c r="AC12" s="4" t="s">
        <v>46</v>
      </c>
      <c r="AD12" s="5">
        <v>0</v>
      </c>
      <c r="AE12" s="4" t="s">
        <v>57</v>
      </c>
      <c r="AF12" s="3">
        <v>45748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89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45742</v>
      </c>
      <c r="C13" s="4" t="s">
        <v>94</v>
      </c>
      <c r="D13" s="2">
        <v>1594305</v>
      </c>
      <c r="E13" s="4" t="s">
        <v>95</v>
      </c>
      <c r="F13" s="4" t="s">
        <v>96</v>
      </c>
      <c r="G13" s="2">
        <v>958731514</v>
      </c>
      <c r="H13" s="4" t="s">
        <v>97</v>
      </c>
      <c r="I13" s="4" t="s">
        <v>46</v>
      </c>
      <c r="J13" s="4" t="s">
        <v>47</v>
      </c>
      <c r="K13" s="4" t="s">
        <v>48</v>
      </c>
      <c r="L13" s="3">
        <v>45658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-0.75</v>
      </c>
      <c r="W13" s="5">
        <v>0</v>
      </c>
      <c r="X13" s="5">
        <v>100</v>
      </c>
      <c r="Y13" s="5">
        <v>-234.75</v>
      </c>
      <c r="Z13" s="4" t="s">
        <v>46</v>
      </c>
      <c r="AA13" s="5" t="s">
        <v>46</v>
      </c>
      <c r="AB13" s="4" t="s">
        <v>56</v>
      </c>
      <c r="AC13" s="4" t="s">
        <v>46</v>
      </c>
      <c r="AD13" s="5">
        <v>0</v>
      </c>
      <c r="AE13" s="4" t="s">
        <v>57</v>
      </c>
      <c r="AF13" s="3">
        <v>45658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45742</v>
      </c>
      <c r="C14" s="4" t="s">
        <v>94</v>
      </c>
      <c r="D14" s="2">
        <v>1594305</v>
      </c>
      <c r="E14" s="4" t="s">
        <v>95</v>
      </c>
      <c r="F14" s="4" t="s">
        <v>96</v>
      </c>
      <c r="G14" s="2">
        <v>958731514</v>
      </c>
      <c r="H14" s="4" t="s">
        <v>97</v>
      </c>
      <c r="I14" s="4" t="s">
        <v>46</v>
      </c>
      <c r="J14" s="4" t="s">
        <v>47</v>
      </c>
      <c r="K14" s="4" t="s">
        <v>48</v>
      </c>
      <c r="L14" s="3">
        <v>45748</v>
      </c>
      <c r="M14" s="4" t="s">
        <v>69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0.75</v>
      </c>
      <c r="W14" s="5">
        <v>0</v>
      </c>
      <c r="X14" s="5">
        <v>100</v>
      </c>
      <c r="Y14" s="5">
        <v>234.75</v>
      </c>
      <c r="Z14" s="4" t="s">
        <v>46</v>
      </c>
      <c r="AA14" s="5" t="s">
        <v>46</v>
      </c>
      <c r="AB14" s="4" t="s">
        <v>56</v>
      </c>
      <c r="AC14" s="4" t="s">
        <v>46</v>
      </c>
      <c r="AD14" s="5">
        <v>0</v>
      </c>
      <c r="AE14" s="4" t="s">
        <v>57</v>
      </c>
      <c r="AF14" s="3">
        <v>45748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45742</v>
      </c>
      <c r="C15" s="4" t="s">
        <v>98</v>
      </c>
      <c r="D15" s="2">
        <v>1646082</v>
      </c>
      <c r="E15" s="4" t="s">
        <v>99</v>
      </c>
      <c r="F15" s="4" t="s">
        <v>100</v>
      </c>
      <c r="G15" s="2">
        <v>865106743</v>
      </c>
      <c r="H15" s="4" t="s">
        <v>101</v>
      </c>
      <c r="I15" s="4" t="s">
        <v>46</v>
      </c>
      <c r="J15" s="4" t="s">
        <v>47</v>
      </c>
      <c r="K15" s="4" t="s">
        <v>48</v>
      </c>
      <c r="L15" s="3">
        <v>45748</v>
      </c>
      <c r="M15" s="4" t="s">
        <v>69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88</v>
      </c>
      <c r="U15" s="4" t="s">
        <v>46</v>
      </c>
      <c r="V15" s="5">
        <v>0.75</v>
      </c>
      <c r="W15" s="5">
        <v>0</v>
      </c>
      <c r="X15" s="5">
        <v>100</v>
      </c>
      <c r="Y15" s="5">
        <v>234.75</v>
      </c>
      <c r="Z15" s="4" t="s">
        <v>46</v>
      </c>
      <c r="AA15" s="5" t="s">
        <v>46</v>
      </c>
      <c r="AB15" s="4" t="s">
        <v>56</v>
      </c>
      <c r="AC15" s="4" t="s">
        <v>46</v>
      </c>
      <c r="AD15" s="5">
        <v>0</v>
      </c>
      <c r="AE15" s="4" t="s">
        <v>57</v>
      </c>
      <c r="AF15" s="3">
        <v>45748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89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45742</v>
      </c>
      <c r="C16" s="4" t="s">
        <v>102</v>
      </c>
      <c r="D16" s="2">
        <v>1673202</v>
      </c>
      <c r="E16" s="4" t="s">
        <v>103</v>
      </c>
      <c r="F16" s="4" t="s">
        <v>104</v>
      </c>
      <c r="G16" s="2">
        <v>46632135</v>
      </c>
      <c r="H16" s="4" t="s">
        <v>105</v>
      </c>
      <c r="I16" s="4" t="s">
        <v>46</v>
      </c>
      <c r="J16" s="4" t="s">
        <v>47</v>
      </c>
      <c r="K16" s="4" t="s">
        <v>48</v>
      </c>
      <c r="L16" s="3">
        <v>45748</v>
      </c>
      <c r="M16" s="4" t="s">
        <v>69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0.75</v>
      </c>
      <c r="W16" s="5">
        <v>0</v>
      </c>
      <c r="X16" s="5">
        <v>100</v>
      </c>
      <c r="Y16" s="5">
        <v>234.75</v>
      </c>
      <c r="Z16" s="4" t="s">
        <v>46</v>
      </c>
      <c r="AA16" s="5" t="s">
        <v>46</v>
      </c>
      <c r="AB16" s="4" t="s">
        <v>56</v>
      </c>
      <c r="AC16" s="4" t="s">
        <v>46</v>
      </c>
      <c r="AD16" s="5">
        <v>0</v>
      </c>
      <c r="AE16" s="4" t="s">
        <v>57</v>
      </c>
      <c r="AF16" s="3">
        <v>45748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45742</v>
      </c>
      <c r="C17" s="4" t="s">
        <v>106</v>
      </c>
      <c r="D17" s="2">
        <v>1703942</v>
      </c>
      <c r="E17" s="4" t="s">
        <v>107</v>
      </c>
      <c r="F17" s="4" t="s">
        <v>108</v>
      </c>
      <c r="G17" s="2">
        <v>390908133</v>
      </c>
      <c r="H17" s="4" t="s">
        <v>109</v>
      </c>
      <c r="I17" s="4" t="s">
        <v>46</v>
      </c>
      <c r="J17" s="4" t="s">
        <v>47</v>
      </c>
      <c r="K17" s="4" t="s">
        <v>48</v>
      </c>
      <c r="L17" s="3">
        <v>45748</v>
      </c>
      <c r="M17" s="4" t="s">
        <v>69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0.75</v>
      </c>
      <c r="W17" s="5">
        <v>0</v>
      </c>
      <c r="X17" s="5">
        <v>100</v>
      </c>
      <c r="Y17" s="5">
        <v>234.75</v>
      </c>
      <c r="Z17" s="4" t="s">
        <v>46</v>
      </c>
      <c r="AA17" s="5" t="s">
        <v>46</v>
      </c>
      <c r="AB17" s="4" t="s">
        <v>56</v>
      </c>
      <c r="AC17" s="4" t="s">
        <v>46</v>
      </c>
      <c r="AD17" s="5">
        <v>0</v>
      </c>
      <c r="AE17" s="4" t="s">
        <v>57</v>
      </c>
      <c r="AF17" s="3">
        <v>45748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45742</v>
      </c>
      <c r="C18" s="4" t="s">
        <v>106</v>
      </c>
      <c r="D18" s="2">
        <v>1703942</v>
      </c>
      <c r="E18" s="4" t="s">
        <v>110</v>
      </c>
      <c r="F18" s="4" t="s">
        <v>111</v>
      </c>
      <c r="G18" s="2">
        <v>826968272</v>
      </c>
      <c r="H18" s="4" t="s">
        <v>112</v>
      </c>
      <c r="I18" s="4" t="s">
        <v>46</v>
      </c>
      <c r="J18" s="4" t="s">
        <v>47</v>
      </c>
      <c r="K18" s="4" t="s">
        <v>48</v>
      </c>
      <c r="L18" s="3">
        <v>45748</v>
      </c>
      <c r="M18" s="4" t="s">
        <v>69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88</v>
      </c>
      <c r="U18" s="4" t="s">
        <v>46</v>
      </c>
      <c r="V18" s="5">
        <v>0.75</v>
      </c>
      <c r="W18" s="5">
        <v>0</v>
      </c>
      <c r="X18" s="5">
        <v>100</v>
      </c>
      <c r="Y18" s="5">
        <v>234.75</v>
      </c>
      <c r="Z18" s="4" t="s">
        <v>46</v>
      </c>
      <c r="AA18" s="5" t="s">
        <v>46</v>
      </c>
      <c r="AB18" s="4" t="s">
        <v>56</v>
      </c>
      <c r="AC18" s="4" t="s">
        <v>46</v>
      </c>
      <c r="AD18" s="5">
        <v>0</v>
      </c>
      <c r="AE18" s="4" t="s">
        <v>57</v>
      </c>
      <c r="AF18" s="3">
        <v>45748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89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45742</v>
      </c>
      <c r="C19" s="4" t="s">
        <v>106</v>
      </c>
      <c r="D19" s="2">
        <v>1703942</v>
      </c>
      <c r="E19" s="4" t="s">
        <v>113</v>
      </c>
      <c r="F19" s="4" t="s">
        <v>114</v>
      </c>
      <c r="G19" s="2">
        <v>473753172</v>
      </c>
      <c r="H19" s="4" t="s">
        <v>115</v>
      </c>
      <c r="I19" s="4" t="s">
        <v>46</v>
      </c>
      <c r="J19" s="4" t="s">
        <v>47</v>
      </c>
      <c r="K19" s="4" t="s">
        <v>48</v>
      </c>
      <c r="L19" s="3">
        <v>45748</v>
      </c>
      <c r="M19" s="4" t="s">
        <v>69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88</v>
      </c>
      <c r="U19" s="4" t="s">
        <v>46</v>
      </c>
      <c r="V19" s="5">
        <v>0.75</v>
      </c>
      <c r="W19" s="5">
        <v>0</v>
      </c>
      <c r="X19" s="5">
        <v>100</v>
      </c>
      <c r="Y19" s="5">
        <v>234.75</v>
      </c>
      <c r="Z19" s="4" t="s">
        <v>46</v>
      </c>
      <c r="AA19" s="5" t="s">
        <v>46</v>
      </c>
      <c r="AB19" s="4" t="s">
        <v>56</v>
      </c>
      <c r="AC19" s="4" t="s">
        <v>46</v>
      </c>
      <c r="AD19" s="5">
        <v>0</v>
      </c>
      <c r="AE19" s="4" t="s">
        <v>57</v>
      </c>
      <c r="AF19" s="3">
        <v>45748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89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45742</v>
      </c>
      <c r="C20" s="4" t="s">
        <v>106</v>
      </c>
      <c r="D20" s="2">
        <v>1703942</v>
      </c>
      <c r="E20" s="4" t="s">
        <v>116</v>
      </c>
      <c r="F20" s="4" t="s">
        <v>117</v>
      </c>
      <c r="G20" s="2">
        <v>765894374</v>
      </c>
      <c r="H20" s="4" t="s">
        <v>118</v>
      </c>
      <c r="I20" s="4" t="s">
        <v>46</v>
      </c>
      <c r="J20" s="4" t="s">
        <v>47</v>
      </c>
      <c r="K20" s="4" t="s">
        <v>48</v>
      </c>
      <c r="L20" s="3">
        <v>45748</v>
      </c>
      <c r="M20" s="4" t="s">
        <v>69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0.75</v>
      </c>
      <c r="W20" s="5">
        <v>0</v>
      </c>
      <c r="X20" s="5">
        <v>100</v>
      </c>
      <c r="Y20" s="5">
        <v>234.75</v>
      </c>
      <c r="Z20" s="4" t="s">
        <v>46</v>
      </c>
      <c r="AA20" s="5" t="s">
        <v>46</v>
      </c>
      <c r="AB20" s="4" t="s">
        <v>56</v>
      </c>
      <c r="AC20" s="4" t="s">
        <v>46</v>
      </c>
      <c r="AD20" s="5">
        <v>0</v>
      </c>
      <c r="AE20" s="4" t="s">
        <v>57</v>
      </c>
      <c r="AF20" s="3">
        <v>45748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45742</v>
      </c>
      <c r="C21" s="4" t="s">
        <v>119</v>
      </c>
      <c r="D21" s="2">
        <v>1753522</v>
      </c>
      <c r="E21" s="4" t="s">
        <v>120</v>
      </c>
      <c r="F21" s="4" t="s">
        <v>121</v>
      </c>
      <c r="G21" s="2">
        <v>915579014</v>
      </c>
      <c r="H21" s="4" t="s">
        <v>122</v>
      </c>
      <c r="I21" s="4" t="s">
        <v>46</v>
      </c>
      <c r="J21" s="4" t="s">
        <v>47</v>
      </c>
      <c r="K21" s="4" t="s">
        <v>48</v>
      </c>
      <c r="L21" s="3">
        <v>45748</v>
      </c>
      <c r="M21" s="4" t="s">
        <v>69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0.75</v>
      </c>
      <c r="W21" s="5">
        <v>0</v>
      </c>
      <c r="X21" s="5">
        <v>100</v>
      </c>
      <c r="Y21" s="5">
        <v>234.75</v>
      </c>
      <c r="Z21" s="4" t="s">
        <v>46</v>
      </c>
      <c r="AA21" s="5" t="s">
        <v>46</v>
      </c>
      <c r="AB21" s="4" t="s">
        <v>56</v>
      </c>
      <c r="AC21" s="4" t="s">
        <v>46</v>
      </c>
      <c r="AD21" s="5">
        <v>0</v>
      </c>
      <c r="AE21" s="4" t="s">
        <v>57</v>
      </c>
      <c r="AF21" s="3">
        <v>45748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45742</v>
      </c>
      <c r="C22" s="4" t="s">
        <v>123</v>
      </c>
      <c r="D22" s="2">
        <v>1800759</v>
      </c>
      <c r="E22" s="4" t="s">
        <v>124</v>
      </c>
      <c r="F22" s="4" t="s">
        <v>125</v>
      </c>
      <c r="G22" s="2">
        <v>374971321</v>
      </c>
      <c r="H22" s="4" t="s">
        <v>126</v>
      </c>
      <c r="I22" s="4" t="s">
        <v>46</v>
      </c>
      <c r="J22" s="4" t="s">
        <v>47</v>
      </c>
      <c r="K22" s="4" t="s">
        <v>48</v>
      </c>
      <c r="L22" s="3">
        <v>45658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-0.75</v>
      </c>
      <c r="W22" s="5">
        <v>0</v>
      </c>
      <c r="X22" s="5">
        <v>100</v>
      </c>
      <c r="Y22" s="5">
        <v>-234.75</v>
      </c>
      <c r="Z22" s="4" t="s">
        <v>46</v>
      </c>
      <c r="AA22" s="5" t="s">
        <v>46</v>
      </c>
      <c r="AB22" s="4" t="s">
        <v>56</v>
      </c>
      <c r="AC22" s="4" t="s">
        <v>46</v>
      </c>
      <c r="AD22" s="5">
        <v>0</v>
      </c>
      <c r="AE22" s="4" t="s">
        <v>57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45742</v>
      </c>
      <c r="C23" s="4" t="s">
        <v>123</v>
      </c>
      <c r="D23" s="2">
        <v>1800759</v>
      </c>
      <c r="E23" s="4" t="s">
        <v>127</v>
      </c>
      <c r="F23" s="4" t="s">
        <v>128</v>
      </c>
      <c r="G23" s="2">
        <v>852566573</v>
      </c>
      <c r="H23" s="4" t="s">
        <v>129</v>
      </c>
      <c r="I23" s="4" t="s">
        <v>46</v>
      </c>
      <c r="J23" s="4" t="s">
        <v>47</v>
      </c>
      <c r="K23" s="4" t="s">
        <v>48</v>
      </c>
      <c r="L23" s="3">
        <v>45658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-0.75</v>
      </c>
      <c r="W23" s="5">
        <v>0</v>
      </c>
      <c r="X23" s="5">
        <v>100</v>
      </c>
      <c r="Y23" s="5">
        <v>-234.75</v>
      </c>
      <c r="Z23" s="4" t="s">
        <v>46</v>
      </c>
      <c r="AA23" s="5" t="s">
        <v>46</v>
      </c>
      <c r="AB23" s="4" t="s">
        <v>56</v>
      </c>
      <c r="AC23" s="4" t="s">
        <v>46</v>
      </c>
      <c r="AD23" s="5">
        <v>0</v>
      </c>
      <c r="AE23" s="4" t="s">
        <v>57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45742</v>
      </c>
      <c r="C24" s="4" t="s">
        <v>123</v>
      </c>
      <c r="D24" s="2">
        <v>1800759</v>
      </c>
      <c r="E24" s="4" t="s">
        <v>130</v>
      </c>
      <c r="F24" s="4" t="s">
        <v>131</v>
      </c>
      <c r="G24" s="2">
        <v>92659143</v>
      </c>
      <c r="H24" s="4" t="s">
        <v>132</v>
      </c>
      <c r="I24" s="4" t="s">
        <v>46</v>
      </c>
      <c r="J24" s="4" t="s">
        <v>47</v>
      </c>
      <c r="K24" s="4" t="s">
        <v>48</v>
      </c>
      <c r="L24" s="3">
        <v>45658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-0.75</v>
      </c>
      <c r="W24" s="5">
        <v>0</v>
      </c>
      <c r="X24" s="5">
        <v>100</v>
      </c>
      <c r="Y24" s="5">
        <v>-234.75</v>
      </c>
      <c r="Z24" s="4" t="s">
        <v>46</v>
      </c>
      <c r="AA24" s="5" t="s">
        <v>46</v>
      </c>
      <c r="AB24" s="4" t="s">
        <v>56</v>
      </c>
      <c r="AC24" s="4" t="s">
        <v>46</v>
      </c>
      <c r="AD24" s="5">
        <v>0</v>
      </c>
      <c r="AE24" s="4" t="s">
        <v>57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45742</v>
      </c>
      <c r="C25" s="4" t="s">
        <v>133</v>
      </c>
      <c r="D25" s="2">
        <v>1831320</v>
      </c>
      <c r="E25" s="4" t="s">
        <v>134</v>
      </c>
      <c r="F25" s="4" t="s">
        <v>135</v>
      </c>
      <c r="G25" s="2">
        <v>534077284</v>
      </c>
      <c r="H25" s="4" t="s">
        <v>136</v>
      </c>
      <c r="I25" s="4" t="s">
        <v>46</v>
      </c>
      <c r="J25" s="4" t="s">
        <v>47</v>
      </c>
      <c r="K25" s="4" t="s">
        <v>48</v>
      </c>
      <c r="L25" s="3">
        <v>45748</v>
      </c>
      <c r="M25" s="4" t="s">
        <v>69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88</v>
      </c>
      <c r="U25" s="4" t="s">
        <v>46</v>
      </c>
      <c r="V25" s="5">
        <v>0.75</v>
      </c>
      <c r="W25" s="5">
        <v>0</v>
      </c>
      <c r="X25" s="5">
        <v>100</v>
      </c>
      <c r="Y25" s="5">
        <v>234.75</v>
      </c>
      <c r="Z25" s="4" t="s">
        <v>46</v>
      </c>
      <c r="AA25" s="5" t="s">
        <v>46</v>
      </c>
      <c r="AB25" s="4" t="s">
        <v>56</v>
      </c>
      <c r="AC25" s="4" t="s">
        <v>46</v>
      </c>
      <c r="AD25" s="5">
        <v>0</v>
      </c>
      <c r="AE25" s="4" t="s">
        <v>57</v>
      </c>
      <c r="AF25" s="3">
        <v>45748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89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45742</v>
      </c>
      <c r="C26" s="4" t="s">
        <v>137</v>
      </c>
      <c r="D26" s="2">
        <v>1875462</v>
      </c>
      <c r="E26" s="4" t="s">
        <v>138</v>
      </c>
      <c r="F26" s="4" t="s">
        <v>139</v>
      </c>
      <c r="G26" s="2">
        <v>889515130</v>
      </c>
      <c r="H26" s="4" t="s">
        <v>140</v>
      </c>
      <c r="I26" s="4" t="s">
        <v>46</v>
      </c>
      <c r="J26" s="4" t="s">
        <v>47</v>
      </c>
      <c r="K26" s="4" t="s">
        <v>48</v>
      </c>
      <c r="L26" s="3">
        <v>45778</v>
      </c>
      <c r="M26" s="4" t="s">
        <v>141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0.67</v>
      </c>
      <c r="W26" s="5">
        <v>0</v>
      </c>
      <c r="X26" s="5">
        <v>100</v>
      </c>
      <c r="Y26" s="5">
        <v>235.33</v>
      </c>
      <c r="Z26" s="4" t="s">
        <v>46</v>
      </c>
      <c r="AA26" s="5" t="s">
        <v>46</v>
      </c>
      <c r="AB26" s="4" t="s">
        <v>56</v>
      </c>
      <c r="AC26" s="4" t="s">
        <v>46</v>
      </c>
      <c r="AD26" s="5">
        <v>0</v>
      </c>
      <c r="AE26" s="4" t="s">
        <v>57</v>
      </c>
      <c r="AF26" s="3">
        <v>45778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142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45742</v>
      </c>
      <c r="C27" s="4" t="s">
        <v>143</v>
      </c>
      <c r="D27" s="2">
        <v>1953307</v>
      </c>
      <c r="E27" s="4" t="s">
        <v>144</v>
      </c>
      <c r="F27" s="4" t="s">
        <v>145</v>
      </c>
      <c r="G27" s="2">
        <v>604061158</v>
      </c>
      <c r="H27" s="4" t="s">
        <v>146</v>
      </c>
      <c r="I27" s="4" t="s">
        <v>46</v>
      </c>
      <c r="J27" s="4" t="s">
        <v>47</v>
      </c>
      <c r="K27" s="4" t="s">
        <v>48</v>
      </c>
      <c r="L27" s="3">
        <v>45748</v>
      </c>
      <c r="M27" s="4" t="s">
        <v>69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0.75</v>
      </c>
      <c r="W27" s="5">
        <v>0</v>
      </c>
      <c r="X27" s="5">
        <v>100</v>
      </c>
      <c r="Y27" s="5">
        <v>234.75</v>
      </c>
      <c r="Z27" s="4" t="s">
        <v>46</v>
      </c>
      <c r="AA27" s="5" t="s">
        <v>46</v>
      </c>
      <c r="AB27" s="4" t="s">
        <v>56</v>
      </c>
      <c r="AC27" s="4" t="s">
        <v>46</v>
      </c>
      <c r="AD27" s="5">
        <v>0</v>
      </c>
      <c r="AE27" s="4" t="s">
        <v>57</v>
      </c>
      <c r="AF27" s="3">
        <v>45748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45742</v>
      </c>
      <c r="C28" s="4" t="s">
        <v>80</v>
      </c>
      <c r="D28" s="2">
        <v>1510420</v>
      </c>
      <c r="E28" s="4" t="s">
        <v>147</v>
      </c>
      <c r="F28" s="4" t="s">
        <v>148</v>
      </c>
      <c r="G28" s="4" t="s">
        <v>46</v>
      </c>
      <c r="H28" s="4" t="s">
        <v>46</v>
      </c>
      <c r="I28" s="4" t="s">
        <v>46</v>
      </c>
      <c r="J28" s="4" t="s">
        <v>149</v>
      </c>
      <c r="K28" s="4" t="s">
        <v>150</v>
      </c>
      <c r="L28" s="3">
        <v>45748</v>
      </c>
      <c r="M28" s="4" t="s">
        <v>69</v>
      </c>
      <c r="N28" s="4" t="s">
        <v>46</v>
      </c>
      <c r="O28" s="4" t="s">
        <v>151</v>
      </c>
      <c r="P28" s="4" t="s">
        <v>151</v>
      </c>
      <c r="Q28" s="2">
        <v>1</v>
      </c>
      <c r="R28" s="2">
        <v>3</v>
      </c>
      <c r="S28" s="4" t="s">
        <v>152</v>
      </c>
      <c r="T28" s="4" t="s">
        <v>46</v>
      </c>
      <c r="U28" s="4" t="s">
        <v>46</v>
      </c>
      <c r="V28" s="5">
        <v>10</v>
      </c>
      <c r="W28" s="5">
        <v>13.93</v>
      </c>
      <c r="X28" s="5">
        <v>100</v>
      </c>
      <c r="Y28" s="5">
        <v>1.39</v>
      </c>
      <c r="Z28" s="4" t="s">
        <v>46</v>
      </c>
      <c r="AA28" s="5" t="s">
        <v>46</v>
      </c>
      <c r="AB28" s="4" t="s">
        <v>153</v>
      </c>
      <c r="AC28" s="4" t="s">
        <v>46</v>
      </c>
      <c r="AD28" s="5">
        <v>0</v>
      </c>
      <c r="AE28" s="4" t="s">
        <v>154</v>
      </c>
      <c r="AF28" s="3">
        <v>43709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45742</v>
      </c>
      <c r="C29" s="4" t="s">
        <v>80</v>
      </c>
      <c r="D29" s="2">
        <v>1510420</v>
      </c>
      <c r="E29" s="4" t="s">
        <v>155</v>
      </c>
      <c r="F29" s="4" t="s">
        <v>156</v>
      </c>
      <c r="G29" s="4" t="s">
        <v>46</v>
      </c>
      <c r="H29" s="4" t="s">
        <v>46</v>
      </c>
      <c r="I29" s="4" t="s">
        <v>46</v>
      </c>
      <c r="J29" s="4" t="s">
        <v>149</v>
      </c>
      <c r="K29" s="4" t="s">
        <v>150</v>
      </c>
      <c r="L29" s="3">
        <v>45748</v>
      </c>
      <c r="M29" s="4" t="s">
        <v>69</v>
      </c>
      <c r="N29" s="4" t="s">
        <v>46</v>
      </c>
      <c r="O29" s="4" t="s">
        <v>151</v>
      </c>
      <c r="P29" s="4" t="s">
        <v>151</v>
      </c>
      <c r="Q29" s="2">
        <v>1</v>
      </c>
      <c r="R29" s="2">
        <v>3</v>
      </c>
      <c r="S29" s="4" t="s">
        <v>152</v>
      </c>
      <c r="T29" s="4" t="s">
        <v>46</v>
      </c>
      <c r="U29" s="4" t="s">
        <v>46</v>
      </c>
      <c r="V29" s="5">
        <v>10</v>
      </c>
      <c r="W29" s="5">
        <v>52.78</v>
      </c>
      <c r="X29" s="5">
        <v>100</v>
      </c>
      <c r="Y29" s="5">
        <v>5.28</v>
      </c>
      <c r="Z29" s="4" t="s">
        <v>46</v>
      </c>
      <c r="AA29" s="5" t="s">
        <v>46</v>
      </c>
      <c r="AB29" s="4" t="s">
        <v>153</v>
      </c>
      <c r="AC29" s="4" t="s">
        <v>46</v>
      </c>
      <c r="AD29" s="5">
        <v>0</v>
      </c>
      <c r="AE29" s="4" t="s">
        <v>154</v>
      </c>
      <c r="AF29" s="3">
        <v>44586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45742</v>
      </c>
      <c r="C30" s="4" t="s">
        <v>157</v>
      </c>
      <c r="D30" s="2">
        <v>1545980</v>
      </c>
      <c r="E30" s="4" t="s">
        <v>158</v>
      </c>
      <c r="F30" s="4" t="s">
        <v>159</v>
      </c>
      <c r="G30" s="4" t="s">
        <v>46</v>
      </c>
      <c r="H30" s="4" t="s">
        <v>46</v>
      </c>
      <c r="I30" s="4" t="s">
        <v>46</v>
      </c>
      <c r="J30" s="4" t="s">
        <v>160</v>
      </c>
      <c r="K30" s="4" t="s">
        <v>48</v>
      </c>
      <c r="L30" s="3">
        <v>45689</v>
      </c>
      <c r="M30" s="4" t="s">
        <v>65</v>
      </c>
      <c r="N30" s="4" t="s">
        <v>46</v>
      </c>
      <c r="O30" s="4" t="s">
        <v>50</v>
      </c>
      <c r="P30" s="4" t="s">
        <v>151</v>
      </c>
      <c r="Q30" s="2">
        <v>1</v>
      </c>
      <c r="R30" s="2">
        <v>17</v>
      </c>
      <c r="S30" s="4" t="s">
        <v>51</v>
      </c>
      <c r="T30" s="4" t="s">
        <v>46</v>
      </c>
      <c r="U30" s="4" t="s">
        <v>46</v>
      </c>
      <c r="V30" s="5">
        <v>11</v>
      </c>
      <c r="W30" s="5">
        <v>2080.44</v>
      </c>
      <c r="X30" s="5">
        <v>100</v>
      </c>
      <c r="Y30" s="5">
        <v>228.84</v>
      </c>
      <c r="Z30" s="5">
        <v>0</v>
      </c>
      <c r="AA30" s="5">
        <v>0</v>
      </c>
      <c r="AB30" s="4" t="s">
        <v>161</v>
      </c>
      <c r="AC30" s="4" t="s">
        <v>46</v>
      </c>
      <c r="AD30" s="5">
        <v>0</v>
      </c>
      <c r="AE30" s="4" t="s">
        <v>162</v>
      </c>
      <c r="AF30" s="3">
        <v>45689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45742</v>
      </c>
      <c r="C31" s="4" t="s">
        <v>157</v>
      </c>
      <c r="D31" s="2">
        <v>1545980</v>
      </c>
      <c r="E31" s="4" t="s">
        <v>163</v>
      </c>
      <c r="F31" s="4" t="s">
        <v>164</v>
      </c>
      <c r="G31" s="4" t="s">
        <v>46</v>
      </c>
      <c r="H31" s="4" t="s">
        <v>46</v>
      </c>
      <c r="I31" s="4" t="s">
        <v>46</v>
      </c>
      <c r="J31" s="4" t="s">
        <v>160</v>
      </c>
      <c r="K31" s="4" t="s">
        <v>48</v>
      </c>
      <c r="L31" s="3">
        <v>45717</v>
      </c>
      <c r="M31" s="4" t="s">
        <v>165</v>
      </c>
      <c r="N31" s="4" t="s">
        <v>46</v>
      </c>
      <c r="O31" s="4" t="s">
        <v>50</v>
      </c>
      <c r="P31" s="4" t="s">
        <v>151</v>
      </c>
      <c r="Q31" s="2">
        <v>1</v>
      </c>
      <c r="R31" s="2">
        <v>17</v>
      </c>
      <c r="S31" s="4" t="s">
        <v>51</v>
      </c>
      <c r="T31" s="4" t="s">
        <v>46</v>
      </c>
      <c r="U31" s="4" t="s">
        <v>46</v>
      </c>
      <c r="V31" s="5">
        <v>22</v>
      </c>
      <c r="W31" s="5">
        <v>1830.84</v>
      </c>
      <c r="X31" s="5">
        <v>100</v>
      </c>
      <c r="Y31" s="5">
        <v>402.84</v>
      </c>
      <c r="Z31" s="5">
        <v>0</v>
      </c>
      <c r="AA31" s="5">
        <v>0</v>
      </c>
      <c r="AB31" s="4" t="s">
        <v>161</v>
      </c>
      <c r="AC31" s="4" t="s">
        <v>46</v>
      </c>
      <c r="AD31" s="5">
        <v>0</v>
      </c>
      <c r="AE31" s="4" t="s">
        <v>162</v>
      </c>
      <c r="AF31" s="3">
        <v>45717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45742</v>
      </c>
      <c r="C32" s="4" t="s">
        <v>166</v>
      </c>
      <c r="D32" s="2">
        <v>1673763</v>
      </c>
      <c r="E32" s="4" t="s">
        <v>167</v>
      </c>
      <c r="F32" s="4" t="s">
        <v>168</v>
      </c>
      <c r="G32" s="4" t="s">
        <v>46</v>
      </c>
      <c r="H32" s="4" t="s">
        <v>46</v>
      </c>
      <c r="I32" s="4" t="s">
        <v>46</v>
      </c>
      <c r="J32" s="4" t="s">
        <v>160</v>
      </c>
      <c r="K32" s="4" t="s">
        <v>48</v>
      </c>
      <c r="L32" s="3">
        <v>45748</v>
      </c>
      <c r="M32" s="4" t="s">
        <v>69</v>
      </c>
      <c r="N32" s="4" t="s">
        <v>46</v>
      </c>
      <c r="O32" s="4" t="s">
        <v>151</v>
      </c>
      <c r="P32" s="4" t="s">
        <v>151</v>
      </c>
      <c r="Q32" s="2">
        <v>1</v>
      </c>
      <c r="R32" s="2">
        <v>17</v>
      </c>
      <c r="S32" s="4" t="s">
        <v>51</v>
      </c>
      <c r="T32" s="4" t="s">
        <v>46</v>
      </c>
      <c r="U32" s="4" t="s">
        <v>46</v>
      </c>
      <c r="V32" s="5">
        <v>26</v>
      </c>
      <c r="W32" s="5">
        <v>307</v>
      </c>
      <c r="X32" s="5">
        <v>100</v>
      </c>
      <c r="Y32" s="5">
        <v>79.819999999999993</v>
      </c>
      <c r="Z32" s="5">
        <v>0</v>
      </c>
      <c r="AA32" s="5">
        <v>0</v>
      </c>
      <c r="AB32" s="4" t="s">
        <v>169</v>
      </c>
      <c r="AC32" s="4" t="s">
        <v>46</v>
      </c>
      <c r="AD32" s="5">
        <v>0</v>
      </c>
      <c r="AE32" s="4" t="s">
        <v>170</v>
      </c>
      <c r="AF32" s="3">
        <v>45292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45742</v>
      </c>
      <c r="C33" s="4" t="s">
        <v>171</v>
      </c>
      <c r="D33" s="2">
        <v>1755893</v>
      </c>
      <c r="E33" s="4" t="s">
        <v>172</v>
      </c>
      <c r="F33" s="4" t="s">
        <v>173</v>
      </c>
      <c r="G33" s="4" t="s">
        <v>46</v>
      </c>
      <c r="H33" s="4" t="s">
        <v>46</v>
      </c>
      <c r="I33" s="4" t="s">
        <v>46</v>
      </c>
      <c r="J33" s="4" t="s">
        <v>149</v>
      </c>
      <c r="K33" s="4" t="s">
        <v>150</v>
      </c>
      <c r="L33" s="3">
        <v>45748</v>
      </c>
      <c r="M33" s="4" t="s">
        <v>69</v>
      </c>
      <c r="N33" s="4" t="s">
        <v>46</v>
      </c>
      <c r="O33" s="4" t="s">
        <v>50</v>
      </c>
      <c r="P33" s="4" t="s">
        <v>151</v>
      </c>
      <c r="Q33" s="2">
        <v>1</v>
      </c>
      <c r="R33" s="2">
        <v>60</v>
      </c>
      <c r="S33" s="4" t="s">
        <v>174</v>
      </c>
      <c r="T33" s="4" t="s">
        <v>46</v>
      </c>
      <c r="U33" s="4" t="s">
        <v>46</v>
      </c>
      <c r="V33" s="5">
        <v>10</v>
      </c>
      <c r="W33" s="5">
        <v>12.99</v>
      </c>
      <c r="X33" s="5">
        <v>100</v>
      </c>
      <c r="Y33" s="5">
        <v>36.299999999999997</v>
      </c>
      <c r="Z33" s="4" t="s">
        <v>46</v>
      </c>
      <c r="AA33" s="5" t="s">
        <v>46</v>
      </c>
      <c r="AB33" s="4" t="s">
        <v>175</v>
      </c>
      <c r="AC33" s="4" t="s">
        <v>46</v>
      </c>
      <c r="AD33" s="5">
        <v>0</v>
      </c>
      <c r="AE33" s="4" t="s">
        <v>176</v>
      </c>
      <c r="AF33" s="3">
        <v>45748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45742</v>
      </c>
      <c r="C34" s="4" t="s">
        <v>177</v>
      </c>
      <c r="D34" s="2">
        <v>1775329</v>
      </c>
      <c r="E34" s="4" t="s">
        <v>178</v>
      </c>
      <c r="F34" s="4" t="s">
        <v>179</v>
      </c>
      <c r="G34" s="4" t="s">
        <v>46</v>
      </c>
      <c r="H34" s="4" t="s">
        <v>46</v>
      </c>
      <c r="I34" s="4" t="s">
        <v>46</v>
      </c>
      <c r="J34" s="4" t="s">
        <v>160</v>
      </c>
      <c r="K34" s="4" t="s">
        <v>48</v>
      </c>
      <c r="L34" s="3">
        <v>45717</v>
      </c>
      <c r="M34" s="4" t="s">
        <v>165</v>
      </c>
      <c r="N34" s="4" t="s">
        <v>46</v>
      </c>
      <c r="O34" s="4" t="s">
        <v>50</v>
      </c>
      <c r="P34" s="4" t="s">
        <v>151</v>
      </c>
      <c r="Q34" s="2">
        <v>1</v>
      </c>
      <c r="R34" s="2">
        <v>17</v>
      </c>
      <c r="S34" s="4" t="s">
        <v>51</v>
      </c>
      <c r="T34" s="4" t="s">
        <v>46</v>
      </c>
      <c r="U34" s="4" t="s">
        <v>46</v>
      </c>
      <c r="V34" s="5">
        <v>22</v>
      </c>
      <c r="W34" s="5">
        <v>1830.84</v>
      </c>
      <c r="X34" s="5">
        <v>100</v>
      </c>
      <c r="Y34" s="5">
        <v>402.84</v>
      </c>
      <c r="Z34" s="5">
        <v>0</v>
      </c>
      <c r="AA34" s="5">
        <v>0</v>
      </c>
      <c r="AB34" s="4" t="s">
        <v>161</v>
      </c>
      <c r="AC34" s="4" t="s">
        <v>46</v>
      </c>
      <c r="AD34" s="5">
        <v>0</v>
      </c>
      <c r="AE34" s="4" t="s">
        <v>162</v>
      </c>
      <c r="AF34" s="3">
        <v>45717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45742</v>
      </c>
      <c r="C35" s="4" t="s">
        <v>177</v>
      </c>
      <c r="D35" s="2">
        <v>1775329</v>
      </c>
      <c r="E35" s="4" t="s">
        <v>180</v>
      </c>
      <c r="F35" s="4" t="s">
        <v>181</v>
      </c>
      <c r="G35" s="4" t="s">
        <v>46</v>
      </c>
      <c r="H35" s="4" t="s">
        <v>46</v>
      </c>
      <c r="I35" s="4" t="s">
        <v>46</v>
      </c>
      <c r="J35" s="4" t="s">
        <v>160</v>
      </c>
      <c r="K35" s="4" t="s">
        <v>48</v>
      </c>
      <c r="L35" s="3">
        <v>45717</v>
      </c>
      <c r="M35" s="4" t="s">
        <v>165</v>
      </c>
      <c r="N35" s="4" t="s">
        <v>46</v>
      </c>
      <c r="O35" s="4" t="s">
        <v>50</v>
      </c>
      <c r="P35" s="4" t="s">
        <v>151</v>
      </c>
      <c r="Q35" s="2">
        <v>1</v>
      </c>
      <c r="R35" s="2">
        <v>17</v>
      </c>
      <c r="S35" s="4" t="s">
        <v>51</v>
      </c>
      <c r="T35" s="4" t="s">
        <v>46</v>
      </c>
      <c r="U35" s="4" t="s">
        <v>46</v>
      </c>
      <c r="V35" s="5">
        <v>22</v>
      </c>
      <c r="W35" s="5">
        <v>1622.64</v>
      </c>
      <c r="X35" s="5">
        <v>100</v>
      </c>
      <c r="Y35" s="5">
        <v>357</v>
      </c>
      <c r="Z35" s="5">
        <v>0</v>
      </c>
      <c r="AA35" s="5">
        <v>0</v>
      </c>
      <c r="AB35" s="4" t="s">
        <v>161</v>
      </c>
      <c r="AC35" s="4" t="s">
        <v>46</v>
      </c>
      <c r="AD35" s="5">
        <v>0</v>
      </c>
      <c r="AE35" s="4" t="s">
        <v>162</v>
      </c>
      <c r="AF35" s="3">
        <v>45717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45742</v>
      </c>
      <c r="C36" s="4" t="s">
        <v>182</v>
      </c>
      <c r="D36" s="2">
        <v>1831491</v>
      </c>
      <c r="E36" s="4" t="s">
        <v>183</v>
      </c>
      <c r="F36" s="4" t="s">
        <v>184</v>
      </c>
      <c r="G36" s="4" t="s">
        <v>46</v>
      </c>
      <c r="H36" s="4" t="s">
        <v>46</v>
      </c>
      <c r="I36" s="4" t="s">
        <v>46</v>
      </c>
      <c r="J36" s="4" t="s">
        <v>149</v>
      </c>
      <c r="K36" s="4" t="s">
        <v>150</v>
      </c>
      <c r="L36" s="3">
        <v>45778</v>
      </c>
      <c r="M36" s="4" t="s">
        <v>141</v>
      </c>
      <c r="N36" s="4" t="s">
        <v>46</v>
      </c>
      <c r="O36" s="4" t="s">
        <v>50</v>
      </c>
      <c r="P36" s="4" t="s">
        <v>151</v>
      </c>
      <c r="Q36" s="2">
        <v>1</v>
      </c>
      <c r="R36" s="2">
        <v>60</v>
      </c>
      <c r="S36" s="4" t="s">
        <v>174</v>
      </c>
      <c r="T36" s="4" t="s">
        <v>46</v>
      </c>
      <c r="U36" s="4" t="s">
        <v>46</v>
      </c>
      <c r="V36" s="5">
        <v>10</v>
      </c>
      <c r="W36" s="5">
        <v>13.93</v>
      </c>
      <c r="X36" s="5">
        <v>100</v>
      </c>
      <c r="Y36" s="5">
        <v>36.39</v>
      </c>
      <c r="Z36" s="4" t="s">
        <v>46</v>
      </c>
      <c r="AA36" s="5" t="s">
        <v>46</v>
      </c>
      <c r="AB36" s="4" t="s">
        <v>175</v>
      </c>
      <c r="AC36" s="4" t="s">
        <v>46</v>
      </c>
      <c r="AD36" s="5">
        <v>0</v>
      </c>
      <c r="AE36" s="4" t="s">
        <v>176</v>
      </c>
      <c r="AF36" s="3">
        <v>45778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45742</v>
      </c>
      <c r="C37" s="4" t="s">
        <v>137</v>
      </c>
      <c r="D37" s="2">
        <v>1875462</v>
      </c>
      <c r="E37" s="4" t="s">
        <v>185</v>
      </c>
      <c r="F37" s="4" t="s">
        <v>186</v>
      </c>
      <c r="G37" s="4" t="s">
        <v>46</v>
      </c>
      <c r="H37" s="4" t="s">
        <v>46</v>
      </c>
      <c r="I37" s="4" t="s">
        <v>46</v>
      </c>
      <c r="J37" s="4" t="s">
        <v>149</v>
      </c>
      <c r="K37" s="4" t="s">
        <v>150</v>
      </c>
      <c r="L37" s="3">
        <v>45748</v>
      </c>
      <c r="M37" s="4" t="s">
        <v>69</v>
      </c>
      <c r="N37" s="4" t="s">
        <v>46</v>
      </c>
      <c r="O37" s="4" t="s">
        <v>50</v>
      </c>
      <c r="P37" s="4" t="s">
        <v>151</v>
      </c>
      <c r="Q37" s="2">
        <v>2</v>
      </c>
      <c r="R37" s="2">
        <v>60</v>
      </c>
      <c r="S37" s="4" t="s">
        <v>174</v>
      </c>
      <c r="T37" s="4" t="s">
        <v>46</v>
      </c>
      <c r="U37" s="4" t="s">
        <v>46</v>
      </c>
      <c r="V37" s="5">
        <v>10</v>
      </c>
      <c r="W37" s="5">
        <v>27.42</v>
      </c>
      <c r="X37" s="5">
        <v>100</v>
      </c>
      <c r="Y37" s="5">
        <v>2.74</v>
      </c>
      <c r="Z37" s="4" t="s">
        <v>46</v>
      </c>
      <c r="AA37" s="5" t="s">
        <v>46</v>
      </c>
      <c r="AB37" s="4" t="s">
        <v>175</v>
      </c>
      <c r="AC37" s="4" t="s">
        <v>46</v>
      </c>
      <c r="AD37" s="5">
        <v>0</v>
      </c>
      <c r="AE37" s="4" t="s">
        <v>176</v>
      </c>
      <c r="AF37" s="3">
        <v>45713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BD18-D215-4AA1-B655-12748915DDCA}">
  <dimension ref="A1:R37"/>
  <sheetViews>
    <sheetView tabSelected="1" topLeftCell="C1" workbookViewId="0">
      <selection activeCell="G14" sqref="G14"/>
    </sheetView>
  </sheetViews>
  <sheetFormatPr defaultRowHeight="12.75" x14ac:dyDescent="0.2"/>
  <cols>
    <col min="1" max="1" width="24.7109375" style="7" bestFit="1" customWidth="1"/>
    <col min="2" max="2" width="9" style="7" bestFit="1" customWidth="1"/>
    <col min="3" max="3" width="28.5703125" style="7" bestFit="1" customWidth="1"/>
    <col min="4" max="4" width="13.28515625" style="7" bestFit="1" customWidth="1"/>
    <col min="5" max="5" width="9.5703125" style="7" bestFit="1" customWidth="1"/>
    <col min="6" max="7" width="11.42578125" style="7" bestFit="1" customWidth="1"/>
    <col min="8" max="8" width="5.7109375" style="7" bestFit="1" customWidth="1"/>
    <col min="9" max="9" width="15.28515625" style="7" bestFit="1" customWidth="1"/>
    <col min="10" max="10" width="13.7109375" style="7" bestFit="1" customWidth="1"/>
    <col min="11" max="11" width="9.5703125" style="7" bestFit="1" customWidth="1"/>
    <col min="12" max="12" width="15.28515625" style="7" bestFit="1" customWidth="1"/>
    <col min="13" max="13" width="40.5703125" style="7" bestFit="1" customWidth="1"/>
    <col min="14" max="14" width="13.7109375" style="7" bestFit="1" customWidth="1"/>
    <col min="15" max="15" width="59.42578125" style="7" bestFit="1" customWidth="1"/>
    <col min="16" max="16" width="29" style="7" bestFit="1" customWidth="1"/>
    <col min="17" max="17" width="13.42578125" style="7" bestFit="1" customWidth="1"/>
    <col min="18" max="18" width="14.42578125" style="7" bestFit="1" customWidth="1"/>
    <col min="19" max="16384" width="9.140625" style="7"/>
  </cols>
  <sheetData>
    <row r="1" spans="1:18" x14ac:dyDescent="0.2">
      <c r="A1" s="6" t="s">
        <v>2</v>
      </c>
      <c r="B1" s="6" t="s">
        <v>3</v>
      </c>
      <c r="C1" s="6" t="s">
        <v>4</v>
      </c>
      <c r="D1" s="6" t="s">
        <v>5</v>
      </c>
      <c r="E1" s="6" t="s">
        <v>9</v>
      </c>
      <c r="F1" s="6" t="s">
        <v>11</v>
      </c>
      <c r="G1" s="6" t="s">
        <v>12</v>
      </c>
      <c r="H1" s="6" t="s">
        <v>16</v>
      </c>
      <c r="I1" s="6" t="s">
        <v>18</v>
      </c>
      <c r="J1" s="6" t="s">
        <v>21</v>
      </c>
      <c r="K1" s="6" t="s">
        <v>22</v>
      </c>
      <c r="L1" s="6" t="s">
        <v>24</v>
      </c>
      <c r="M1" s="6" t="s">
        <v>27</v>
      </c>
      <c r="N1" s="6" t="s">
        <v>31</v>
      </c>
    </row>
    <row r="2" spans="1:18" ht="17.25" x14ac:dyDescent="0.2">
      <c r="A2" s="8" t="s">
        <v>123</v>
      </c>
      <c r="B2" s="9">
        <v>19396223</v>
      </c>
      <c r="C2" t="s">
        <v>261</v>
      </c>
      <c r="D2" s="8" t="s">
        <v>125</v>
      </c>
      <c r="E2" s="8" t="s">
        <v>47</v>
      </c>
      <c r="F2" s="10">
        <v>45658</v>
      </c>
      <c r="G2" s="8" t="s">
        <v>49</v>
      </c>
      <c r="H2" s="9">
        <v>1</v>
      </c>
      <c r="I2" s="8" t="s">
        <v>51</v>
      </c>
      <c r="J2" s="11">
        <v>-0.75</v>
      </c>
      <c r="K2" s="11">
        <v>0</v>
      </c>
      <c r="L2" s="11">
        <v>-234.75</v>
      </c>
      <c r="M2" s="8" t="s">
        <v>56</v>
      </c>
      <c r="N2" s="10">
        <v>45658</v>
      </c>
      <c r="O2" s="7" t="s">
        <v>197</v>
      </c>
      <c r="P2" s="13" t="s">
        <v>187</v>
      </c>
      <c r="Q2" s="8" t="s">
        <v>125</v>
      </c>
      <c r="R2" s="7" t="str">
        <f>CONCATENATE(Q2,6)</f>
        <v>00005661676K6</v>
      </c>
    </row>
    <row r="3" spans="1:18" ht="17.25" x14ac:dyDescent="0.2">
      <c r="A3" s="8" t="s">
        <v>123</v>
      </c>
      <c r="B3" s="9">
        <v>19396223</v>
      </c>
      <c r="C3" t="s">
        <v>262</v>
      </c>
      <c r="D3" s="8" t="s">
        <v>128</v>
      </c>
      <c r="E3" s="8" t="s">
        <v>47</v>
      </c>
      <c r="F3" s="10">
        <v>45658</v>
      </c>
      <c r="G3" s="8" t="s">
        <v>49</v>
      </c>
      <c r="H3" s="9">
        <v>1</v>
      </c>
      <c r="I3" s="8" t="s">
        <v>51</v>
      </c>
      <c r="J3" s="11">
        <v>-0.75</v>
      </c>
      <c r="K3" s="11">
        <v>0</v>
      </c>
      <c r="L3" s="11">
        <v>-234.75</v>
      </c>
      <c r="M3" s="8" t="s">
        <v>56</v>
      </c>
      <c r="N3" s="10">
        <v>45658</v>
      </c>
      <c r="O3" s="7" t="s">
        <v>197</v>
      </c>
      <c r="P3" s="13" t="s">
        <v>187</v>
      </c>
      <c r="Q3" s="8" t="s">
        <v>128</v>
      </c>
      <c r="R3" s="7" t="str">
        <f>CONCATENATE(Q3,6)</f>
        <v>00014364251K6</v>
      </c>
    </row>
    <row r="4" spans="1:18" ht="17.25" x14ac:dyDescent="0.2">
      <c r="A4" s="8" t="s">
        <v>123</v>
      </c>
      <c r="B4" s="9">
        <v>19396223</v>
      </c>
      <c r="C4" t="s">
        <v>263</v>
      </c>
      <c r="D4" s="8" t="s">
        <v>131</v>
      </c>
      <c r="E4" s="8" t="s">
        <v>47</v>
      </c>
      <c r="F4" s="10">
        <v>45658</v>
      </c>
      <c r="G4" s="8" t="s">
        <v>49</v>
      </c>
      <c r="H4" s="9">
        <v>1</v>
      </c>
      <c r="I4" s="8" t="s">
        <v>51</v>
      </c>
      <c r="J4" s="11">
        <v>-0.75</v>
      </c>
      <c r="K4" s="11">
        <v>0</v>
      </c>
      <c r="L4" s="11">
        <v>-234.75</v>
      </c>
      <c r="M4" s="8" t="s">
        <v>56</v>
      </c>
      <c r="N4" s="10">
        <v>45658</v>
      </c>
      <c r="O4" s="7" t="s">
        <v>197</v>
      </c>
      <c r="P4" s="13" t="s">
        <v>187</v>
      </c>
      <c r="Q4" s="8" t="s">
        <v>131</v>
      </c>
      <c r="R4" s="7" t="str">
        <f>CONCATENATE(Q4,6)</f>
        <v>00020112096K6</v>
      </c>
    </row>
    <row r="5" spans="1:18" ht="17.25" x14ac:dyDescent="0.2">
      <c r="A5" s="8" t="s">
        <v>70</v>
      </c>
      <c r="B5" s="9">
        <v>3475518</v>
      </c>
      <c r="C5" t="s">
        <v>264</v>
      </c>
      <c r="D5" s="8" t="s">
        <v>72</v>
      </c>
      <c r="E5" s="8" t="s">
        <v>47</v>
      </c>
      <c r="F5" s="10">
        <v>45748</v>
      </c>
      <c r="G5" s="8" t="s">
        <v>69</v>
      </c>
      <c r="H5" s="9">
        <v>1</v>
      </c>
      <c r="I5" s="8" t="s">
        <v>51</v>
      </c>
      <c r="J5" s="11">
        <v>0.75</v>
      </c>
      <c r="K5" s="11">
        <v>0</v>
      </c>
      <c r="L5" s="11">
        <v>41.25</v>
      </c>
      <c r="M5" s="8" t="s">
        <v>56</v>
      </c>
      <c r="N5" s="10">
        <v>45748</v>
      </c>
      <c r="O5" s="7" t="s">
        <v>196</v>
      </c>
      <c r="P5" s="13"/>
      <c r="Q5" s="8" t="s">
        <v>72</v>
      </c>
      <c r="R5" s="7" t="str">
        <f>CONCATENATE(Q5,9)</f>
        <v>00023213919K9</v>
      </c>
    </row>
    <row r="6" spans="1:18" ht="17.25" x14ac:dyDescent="0.3">
      <c r="A6" s="8" t="s">
        <v>42</v>
      </c>
      <c r="B6" s="9">
        <v>7470776</v>
      </c>
      <c r="C6" t="s">
        <v>265</v>
      </c>
      <c r="D6" s="8" t="s">
        <v>44</v>
      </c>
      <c r="E6" s="8" t="s">
        <v>47</v>
      </c>
      <c r="F6" s="10">
        <v>45658</v>
      </c>
      <c r="G6" s="8" t="s">
        <v>49</v>
      </c>
      <c r="H6" s="9">
        <v>1</v>
      </c>
      <c r="I6" s="8" t="s">
        <v>51</v>
      </c>
      <c r="J6" s="11">
        <v>0</v>
      </c>
      <c r="K6" s="11">
        <v>0</v>
      </c>
      <c r="L6" s="11">
        <v>-234.75</v>
      </c>
      <c r="M6" s="8" t="s">
        <v>53</v>
      </c>
      <c r="N6" s="10">
        <v>45658</v>
      </c>
      <c r="O6" s="12" t="s">
        <v>197</v>
      </c>
      <c r="P6" s="13" t="s">
        <v>187</v>
      </c>
      <c r="Q6" s="8" t="s">
        <v>44</v>
      </c>
      <c r="R6" s="7" t="str">
        <f>CONCATENATE(Q6,6)</f>
        <v>00005232205K6</v>
      </c>
    </row>
    <row r="7" spans="1:18" ht="17.25" x14ac:dyDescent="0.3">
      <c r="A7" s="8" t="s">
        <v>42</v>
      </c>
      <c r="B7" s="9">
        <v>7470776</v>
      </c>
      <c r="C7" t="s">
        <v>265</v>
      </c>
      <c r="D7" s="8" t="s">
        <v>44</v>
      </c>
      <c r="E7" s="8" t="s">
        <v>47</v>
      </c>
      <c r="F7" s="10">
        <v>45658</v>
      </c>
      <c r="G7" s="8" t="s">
        <v>49</v>
      </c>
      <c r="H7" s="9">
        <v>1</v>
      </c>
      <c r="I7" s="8" t="s">
        <v>51</v>
      </c>
      <c r="J7" s="11">
        <v>-0.75</v>
      </c>
      <c r="K7" s="11">
        <v>0</v>
      </c>
      <c r="L7" s="11">
        <v>-234.75</v>
      </c>
      <c r="M7" s="8" t="s">
        <v>56</v>
      </c>
      <c r="N7" s="10">
        <v>45658</v>
      </c>
      <c r="O7" s="12" t="s">
        <v>197</v>
      </c>
      <c r="P7" s="13" t="s">
        <v>187</v>
      </c>
      <c r="Q7" s="8" t="s">
        <v>44</v>
      </c>
      <c r="R7" s="7" t="str">
        <f>CONCATENATE(Q7,6)</f>
        <v>00005232205K6</v>
      </c>
    </row>
    <row r="8" spans="1:18" ht="17.25" x14ac:dyDescent="0.3">
      <c r="A8" s="8" t="s">
        <v>182</v>
      </c>
      <c r="B8" s="9" t="s">
        <v>198</v>
      </c>
      <c r="C8" t="s">
        <v>266</v>
      </c>
      <c r="D8" s="14">
        <v>9030268320</v>
      </c>
      <c r="E8" s="8" t="s">
        <v>149</v>
      </c>
      <c r="F8" s="10">
        <v>45778</v>
      </c>
      <c r="G8" s="8" t="s">
        <v>141</v>
      </c>
      <c r="H8" s="9">
        <v>1</v>
      </c>
      <c r="I8" s="8" t="s">
        <v>174</v>
      </c>
      <c r="J8" s="11">
        <v>10</v>
      </c>
      <c r="K8" s="11">
        <v>13.93</v>
      </c>
      <c r="L8" s="11">
        <v>36.39</v>
      </c>
      <c r="M8" s="8" t="s">
        <v>175</v>
      </c>
      <c r="N8" s="10">
        <v>45778</v>
      </c>
      <c r="O8" s="12" t="s">
        <v>190</v>
      </c>
      <c r="P8" s="13"/>
      <c r="Q8" s="14">
        <v>9030268320</v>
      </c>
      <c r="R8" s="7" t="str">
        <f>CONCATENATE(Q8,4)</f>
        <v>90302683204</v>
      </c>
    </row>
    <row r="9" spans="1:18" ht="17.25" x14ac:dyDescent="0.2">
      <c r="A9" s="8" t="s">
        <v>102</v>
      </c>
      <c r="B9" s="9">
        <v>17425766</v>
      </c>
      <c r="C9" t="s">
        <v>267</v>
      </c>
      <c r="D9" s="8" t="s">
        <v>104</v>
      </c>
      <c r="E9" s="8" t="s">
        <v>47</v>
      </c>
      <c r="F9" s="10">
        <v>45748</v>
      </c>
      <c r="G9" s="8" t="s">
        <v>69</v>
      </c>
      <c r="H9" s="9">
        <v>1</v>
      </c>
      <c r="I9" s="8" t="s">
        <v>51</v>
      </c>
      <c r="J9" s="11">
        <v>0.75</v>
      </c>
      <c r="K9" s="11">
        <v>0</v>
      </c>
      <c r="L9" s="11">
        <v>234.75</v>
      </c>
      <c r="M9" s="8" t="s">
        <v>56</v>
      </c>
      <c r="N9" s="10">
        <v>45748</v>
      </c>
      <c r="O9" s="7" t="s">
        <v>197</v>
      </c>
      <c r="P9" s="13" t="s">
        <v>187</v>
      </c>
      <c r="Q9" s="8" t="s">
        <v>104</v>
      </c>
      <c r="R9" s="7" t="str">
        <f>CONCATENATE(Q9,6)</f>
        <v>00023202122K6</v>
      </c>
    </row>
    <row r="10" spans="1:18" ht="17.25" x14ac:dyDescent="0.2">
      <c r="A10" s="8" t="s">
        <v>94</v>
      </c>
      <c r="B10" s="9">
        <v>16865615</v>
      </c>
      <c r="C10" t="s">
        <v>268</v>
      </c>
      <c r="D10" s="8" t="s">
        <v>96</v>
      </c>
      <c r="E10" s="8" t="s">
        <v>47</v>
      </c>
      <c r="F10" s="10">
        <v>45658</v>
      </c>
      <c r="G10" s="8" t="s">
        <v>49</v>
      </c>
      <c r="H10" s="9">
        <v>1</v>
      </c>
      <c r="I10" s="8" t="s">
        <v>51</v>
      </c>
      <c r="J10" s="11">
        <v>-0.75</v>
      </c>
      <c r="K10" s="11">
        <v>0</v>
      </c>
      <c r="L10" s="11">
        <v>-234.75</v>
      </c>
      <c r="M10" s="8" t="s">
        <v>56</v>
      </c>
      <c r="N10" s="10">
        <v>45658</v>
      </c>
      <c r="O10" s="7" t="s">
        <v>197</v>
      </c>
      <c r="P10" s="13" t="s">
        <v>187</v>
      </c>
      <c r="Q10" s="8" t="s">
        <v>96</v>
      </c>
      <c r="R10" s="7" t="str">
        <f>CONCATENATE(Q10,6)</f>
        <v>00018884961K6</v>
      </c>
    </row>
    <row r="11" spans="1:18" ht="17.25" x14ac:dyDescent="0.2">
      <c r="A11" s="8" t="s">
        <v>94</v>
      </c>
      <c r="B11" s="9">
        <v>16865615</v>
      </c>
      <c r="C11" t="s">
        <v>268</v>
      </c>
      <c r="D11" s="8" t="s">
        <v>96</v>
      </c>
      <c r="E11" s="8" t="s">
        <v>47</v>
      </c>
      <c r="F11" s="10">
        <v>45748</v>
      </c>
      <c r="G11" s="8" t="s">
        <v>69</v>
      </c>
      <c r="H11" s="9">
        <v>1</v>
      </c>
      <c r="I11" s="8" t="s">
        <v>51</v>
      </c>
      <c r="J11" s="11">
        <v>0.75</v>
      </c>
      <c r="K11" s="11">
        <v>0</v>
      </c>
      <c r="L11" s="11">
        <v>234.75</v>
      </c>
      <c r="M11" s="8" t="s">
        <v>56</v>
      </c>
      <c r="N11" s="10">
        <v>45748</v>
      </c>
      <c r="O11" s="7" t="s">
        <v>197</v>
      </c>
      <c r="P11" s="13" t="s">
        <v>187</v>
      </c>
      <c r="Q11" s="8" t="s">
        <v>96</v>
      </c>
      <c r="R11" s="7" t="str">
        <f>CONCATENATE(Q11,6)</f>
        <v>00018884961K6</v>
      </c>
    </row>
    <row r="12" spans="1:18" ht="17.25" x14ac:dyDescent="0.2">
      <c r="A12" s="8" t="s">
        <v>98</v>
      </c>
      <c r="B12" s="9">
        <v>17301495</v>
      </c>
      <c r="C12" t="s">
        <v>269</v>
      </c>
      <c r="D12" s="8" t="s">
        <v>100</v>
      </c>
      <c r="E12" s="8" t="s">
        <v>47</v>
      </c>
      <c r="F12" s="10">
        <v>45748</v>
      </c>
      <c r="G12" s="8" t="s">
        <v>69</v>
      </c>
      <c r="H12" s="9">
        <v>1</v>
      </c>
      <c r="I12" s="8" t="s">
        <v>51</v>
      </c>
      <c r="J12" s="11">
        <v>0.75</v>
      </c>
      <c r="K12" s="11">
        <v>0</v>
      </c>
      <c r="L12" s="11">
        <v>234.75</v>
      </c>
      <c r="M12" s="8" t="s">
        <v>56</v>
      </c>
      <c r="N12" s="10">
        <v>45748</v>
      </c>
      <c r="O12" s="7" t="s">
        <v>197</v>
      </c>
      <c r="P12" s="13" t="s">
        <v>187</v>
      </c>
      <c r="Q12" s="8" t="s">
        <v>100</v>
      </c>
      <c r="R12" s="7" t="str">
        <f>CONCATENATE(Q12,6)</f>
        <v>00015132666K6</v>
      </c>
    </row>
    <row r="13" spans="1:18" ht="17.25" x14ac:dyDescent="0.2">
      <c r="A13" s="8" t="s">
        <v>119</v>
      </c>
      <c r="B13" s="9">
        <v>18581063</v>
      </c>
      <c r="C13" t="s">
        <v>270</v>
      </c>
      <c r="D13" s="8" t="s">
        <v>121</v>
      </c>
      <c r="E13" s="8" t="s">
        <v>47</v>
      </c>
      <c r="F13" s="10">
        <v>45748</v>
      </c>
      <c r="G13" s="8" t="s">
        <v>69</v>
      </c>
      <c r="H13" s="9">
        <v>1</v>
      </c>
      <c r="I13" s="8" t="s">
        <v>51</v>
      </c>
      <c r="J13" s="11">
        <v>0.75</v>
      </c>
      <c r="K13" s="11">
        <v>0</v>
      </c>
      <c r="L13" s="11">
        <v>234.75</v>
      </c>
      <c r="M13" s="8" t="s">
        <v>56</v>
      </c>
      <c r="N13" s="10">
        <v>45748</v>
      </c>
      <c r="O13" s="7" t="s">
        <v>197</v>
      </c>
      <c r="P13" s="13" t="s">
        <v>187</v>
      </c>
      <c r="Q13" s="8" t="s">
        <v>121</v>
      </c>
      <c r="R13" s="7" t="str">
        <f>CONCATENATE(Q13,6)</f>
        <v>00017407420K6</v>
      </c>
    </row>
    <row r="14" spans="1:18" ht="17.25" x14ac:dyDescent="0.3">
      <c r="A14" s="8" t="s">
        <v>80</v>
      </c>
      <c r="B14" s="9">
        <v>7146581</v>
      </c>
      <c r="C14" t="s">
        <v>271</v>
      </c>
      <c r="D14" s="14">
        <v>3245007030</v>
      </c>
      <c r="E14" s="8" t="s">
        <v>149</v>
      </c>
      <c r="F14" s="10">
        <v>45748</v>
      </c>
      <c r="G14" s="8" t="s">
        <v>69</v>
      </c>
      <c r="H14" s="9">
        <v>1</v>
      </c>
      <c r="I14" s="8" t="s">
        <v>152</v>
      </c>
      <c r="J14" s="11">
        <v>10</v>
      </c>
      <c r="K14" s="11">
        <v>13.93</v>
      </c>
      <c r="L14" s="11">
        <v>1.39</v>
      </c>
      <c r="M14" s="8" t="s">
        <v>153</v>
      </c>
      <c r="N14" s="10">
        <v>43709</v>
      </c>
      <c r="O14" s="12" t="s">
        <v>190</v>
      </c>
      <c r="P14" s="13"/>
      <c r="Q14" s="14">
        <v>3245007030</v>
      </c>
      <c r="R14" s="7" t="str">
        <f>CONCATENATE(Q14,4)</f>
        <v>32450070304</v>
      </c>
    </row>
    <row r="15" spans="1:18" ht="17.25" x14ac:dyDescent="0.3">
      <c r="A15" s="8" t="s">
        <v>80</v>
      </c>
      <c r="B15" s="9">
        <v>7146581</v>
      </c>
      <c r="C15" t="s">
        <v>272</v>
      </c>
      <c r="D15" s="14">
        <v>9025228750</v>
      </c>
      <c r="E15" s="8" t="s">
        <v>149</v>
      </c>
      <c r="F15" s="10">
        <v>45748</v>
      </c>
      <c r="G15" s="8" t="s">
        <v>69</v>
      </c>
      <c r="H15" s="9">
        <v>1</v>
      </c>
      <c r="I15" s="8" t="s">
        <v>152</v>
      </c>
      <c r="J15" s="11">
        <v>10</v>
      </c>
      <c r="K15" s="11">
        <v>52.78</v>
      </c>
      <c r="L15" s="11">
        <v>5.28</v>
      </c>
      <c r="M15" s="8" t="s">
        <v>153</v>
      </c>
      <c r="N15" s="10">
        <v>44586</v>
      </c>
      <c r="O15" s="12" t="s">
        <v>190</v>
      </c>
      <c r="P15" s="13"/>
      <c r="Q15" s="14">
        <v>9025228750</v>
      </c>
      <c r="R15" s="7" t="str">
        <f>CONCATENATE(Q15,4)</f>
        <v>90252287504</v>
      </c>
    </row>
    <row r="16" spans="1:18" ht="17.25" x14ac:dyDescent="0.2">
      <c r="A16" s="8" t="s">
        <v>80</v>
      </c>
      <c r="B16" s="9">
        <v>7146581</v>
      </c>
      <c r="C16" t="s">
        <v>273</v>
      </c>
      <c r="D16" s="8" t="s">
        <v>82</v>
      </c>
      <c r="E16" s="8" t="s">
        <v>47</v>
      </c>
      <c r="F16" s="10">
        <v>45748</v>
      </c>
      <c r="G16" s="8" t="s">
        <v>69</v>
      </c>
      <c r="H16" s="9">
        <v>1</v>
      </c>
      <c r="I16" s="8" t="s">
        <v>51</v>
      </c>
      <c r="J16" s="11">
        <v>0.75</v>
      </c>
      <c r="K16" s="11">
        <v>0</v>
      </c>
      <c r="L16" s="11">
        <v>234.75</v>
      </c>
      <c r="M16" s="8" t="s">
        <v>56</v>
      </c>
      <c r="N16" s="10">
        <v>45748</v>
      </c>
      <c r="O16" s="7" t="s">
        <v>197</v>
      </c>
      <c r="P16" s="13" t="s">
        <v>187</v>
      </c>
      <c r="Q16" s="8" t="s">
        <v>82</v>
      </c>
      <c r="R16" s="7" t="str">
        <f>CONCATENATE(Q16,6)</f>
        <v>00023200368K6</v>
      </c>
    </row>
    <row r="17" spans="1:18" ht="17.25" x14ac:dyDescent="0.3">
      <c r="A17" s="8" t="s">
        <v>166</v>
      </c>
      <c r="B17" s="9">
        <v>17528908</v>
      </c>
      <c r="C17" t="s">
        <v>274</v>
      </c>
      <c r="D17" s="8" t="s">
        <v>168</v>
      </c>
      <c r="E17" s="8" t="s">
        <v>160</v>
      </c>
      <c r="F17" s="10">
        <v>45748</v>
      </c>
      <c r="G17" s="8" t="s">
        <v>69</v>
      </c>
      <c r="H17" s="9">
        <v>1</v>
      </c>
      <c r="I17" s="8" t="s">
        <v>51</v>
      </c>
      <c r="J17" s="11">
        <v>26</v>
      </c>
      <c r="K17" s="11">
        <v>307</v>
      </c>
      <c r="L17" s="11">
        <v>79.819999999999993</v>
      </c>
      <c r="M17" s="8" t="s">
        <v>169</v>
      </c>
      <c r="N17" s="10">
        <v>45292</v>
      </c>
      <c r="O17" s="12" t="s">
        <v>193</v>
      </c>
      <c r="P17" s="13"/>
      <c r="Q17" s="8" t="s">
        <v>168</v>
      </c>
      <c r="R17" s="7" t="str">
        <f>CONCATENATE(Q17,8)</f>
        <v>00000789641A8</v>
      </c>
    </row>
    <row r="18" spans="1:18" ht="17.25" x14ac:dyDescent="0.3">
      <c r="A18" s="8" t="s">
        <v>137</v>
      </c>
      <c r="B18" s="9">
        <v>19278370</v>
      </c>
      <c r="C18" t="s">
        <v>275</v>
      </c>
      <c r="D18" s="8" t="s">
        <v>139</v>
      </c>
      <c r="E18" s="8" t="s">
        <v>47</v>
      </c>
      <c r="F18" s="10">
        <v>45778</v>
      </c>
      <c r="G18" s="8" t="s">
        <v>141</v>
      </c>
      <c r="H18" s="9">
        <v>1</v>
      </c>
      <c r="I18" s="8" t="s">
        <v>51</v>
      </c>
      <c r="J18" s="11">
        <v>0.67</v>
      </c>
      <c r="K18" s="11">
        <v>0</v>
      </c>
      <c r="L18" s="11">
        <v>235.33</v>
      </c>
      <c r="M18" s="8" t="s">
        <v>56</v>
      </c>
      <c r="N18" s="10">
        <v>45778</v>
      </c>
      <c r="O18" s="12" t="s">
        <v>195</v>
      </c>
      <c r="P18" s="13" t="s">
        <v>194</v>
      </c>
      <c r="Q18" s="8" t="s">
        <v>139</v>
      </c>
      <c r="R18" s="7" t="str">
        <f>CONCATENATE(Q18,6)</f>
        <v>00023213469K6</v>
      </c>
    </row>
    <row r="19" spans="1:18" ht="17.25" x14ac:dyDescent="0.3">
      <c r="A19" s="8" t="s">
        <v>137</v>
      </c>
      <c r="B19" s="9">
        <v>19278370</v>
      </c>
      <c r="C19" t="s">
        <v>276</v>
      </c>
      <c r="D19" s="14">
        <v>9030115330</v>
      </c>
      <c r="E19" s="8" t="s">
        <v>149</v>
      </c>
      <c r="F19" s="10">
        <v>45748</v>
      </c>
      <c r="G19" s="8" t="s">
        <v>69</v>
      </c>
      <c r="H19" s="9">
        <v>2</v>
      </c>
      <c r="I19" s="8" t="s">
        <v>174</v>
      </c>
      <c r="J19" s="11">
        <v>10</v>
      </c>
      <c r="K19" s="11">
        <v>27.42</v>
      </c>
      <c r="L19" s="11">
        <v>2.74</v>
      </c>
      <c r="M19" s="8" t="s">
        <v>175</v>
      </c>
      <c r="N19" s="10">
        <v>45713</v>
      </c>
      <c r="O19" s="12" t="s">
        <v>190</v>
      </c>
      <c r="P19" s="13"/>
      <c r="Q19" s="14">
        <v>9030115330</v>
      </c>
      <c r="R19" s="7" t="str">
        <f>CONCATENATE(Q19,4)</f>
        <v>90301153304</v>
      </c>
    </row>
    <row r="20" spans="1:18" ht="17.25" x14ac:dyDescent="0.2">
      <c r="A20" s="8" t="s">
        <v>76</v>
      </c>
      <c r="B20" s="9">
        <v>6634327</v>
      </c>
      <c r="C20" t="s">
        <v>277</v>
      </c>
      <c r="D20" s="8" t="s">
        <v>78</v>
      </c>
      <c r="E20" s="8" t="s">
        <v>47</v>
      </c>
      <c r="F20" s="10">
        <v>45748</v>
      </c>
      <c r="G20" s="8" t="s">
        <v>69</v>
      </c>
      <c r="H20" s="9">
        <v>1</v>
      </c>
      <c r="I20" s="8" t="s">
        <v>51</v>
      </c>
      <c r="J20" s="11">
        <v>0.75</v>
      </c>
      <c r="K20" s="11">
        <v>0</v>
      </c>
      <c r="L20" s="11">
        <v>234.75</v>
      </c>
      <c r="M20" s="8" t="s">
        <v>56</v>
      </c>
      <c r="N20" s="10">
        <v>45748</v>
      </c>
      <c r="O20" s="7" t="s">
        <v>197</v>
      </c>
      <c r="P20" s="13" t="s">
        <v>187</v>
      </c>
      <c r="Q20" s="8" t="s">
        <v>78</v>
      </c>
      <c r="R20" s="7" t="str">
        <f>CONCATENATE(Q20,6)</f>
        <v>00023204136K6</v>
      </c>
    </row>
    <row r="21" spans="1:18" ht="17.25" x14ac:dyDescent="0.3">
      <c r="A21" s="8" t="s">
        <v>177</v>
      </c>
      <c r="B21" s="9">
        <v>5442438</v>
      </c>
      <c r="C21" t="s">
        <v>278</v>
      </c>
      <c r="D21" s="8" t="s">
        <v>179</v>
      </c>
      <c r="E21" s="8" t="s">
        <v>160</v>
      </c>
      <c r="F21" s="10">
        <v>45717</v>
      </c>
      <c r="G21" s="8" t="s">
        <v>165</v>
      </c>
      <c r="H21" s="9">
        <v>1</v>
      </c>
      <c r="I21" s="8" t="s">
        <v>51</v>
      </c>
      <c r="J21" s="11">
        <v>22</v>
      </c>
      <c r="K21" s="11">
        <v>1830.84</v>
      </c>
      <c r="L21" s="11">
        <v>402.84</v>
      </c>
      <c r="M21" s="8" t="s">
        <v>161</v>
      </c>
      <c r="N21" s="10">
        <v>45717</v>
      </c>
      <c r="O21" s="12" t="s">
        <v>192</v>
      </c>
      <c r="P21" s="13"/>
      <c r="Q21" s="8" t="s">
        <v>179</v>
      </c>
      <c r="R21" s="7" t="str">
        <f>CONCATENATE(Q21,8)</f>
        <v>00000954171A8</v>
      </c>
    </row>
    <row r="22" spans="1:18" ht="17.25" x14ac:dyDescent="0.3">
      <c r="A22" s="8" t="s">
        <v>177</v>
      </c>
      <c r="B22" s="9">
        <v>5442438</v>
      </c>
      <c r="C22" t="s">
        <v>279</v>
      </c>
      <c r="D22" s="8" t="s">
        <v>181</v>
      </c>
      <c r="E22" s="8" t="s">
        <v>160</v>
      </c>
      <c r="F22" s="10">
        <v>45717</v>
      </c>
      <c r="G22" s="8" t="s">
        <v>165</v>
      </c>
      <c r="H22" s="9">
        <v>1</v>
      </c>
      <c r="I22" s="8" t="s">
        <v>51</v>
      </c>
      <c r="J22" s="11">
        <v>22</v>
      </c>
      <c r="K22" s="11">
        <v>1622.64</v>
      </c>
      <c r="L22" s="11">
        <v>357</v>
      </c>
      <c r="M22" s="8" t="s">
        <v>161</v>
      </c>
      <c r="N22" s="10">
        <v>45717</v>
      </c>
      <c r="O22" s="12" t="s">
        <v>192</v>
      </c>
      <c r="P22" s="13"/>
      <c r="Q22" s="8" t="s">
        <v>181</v>
      </c>
      <c r="R22" s="7" t="str">
        <f>CONCATENATE(Q22,8)</f>
        <v>00000968949A8</v>
      </c>
    </row>
    <row r="23" spans="1:18" ht="17.25" x14ac:dyDescent="0.3">
      <c r="A23" s="8" t="s">
        <v>171</v>
      </c>
      <c r="B23" s="9">
        <v>18710070</v>
      </c>
      <c r="C23" t="s">
        <v>280</v>
      </c>
      <c r="D23" s="14">
        <v>9030267890</v>
      </c>
      <c r="E23" s="8" t="s">
        <v>149</v>
      </c>
      <c r="F23" s="10">
        <v>45748</v>
      </c>
      <c r="G23" s="8" t="s">
        <v>69</v>
      </c>
      <c r="H23" s="9">
        <v>1</v>
      </c>
      <c r="I23" s="8" t="s">
        <v>174</v>
      </c>
      <c r="J23" s="11">
        <v>10</v>
      </c>
      <c r="K23" s="11">
        <v>12.99</v>
      </c>
      <c r="L23" s="11">
        <v>36.299999999999997</v>
      </c>
      <c r="M23" s="8" t="s">
        <v>175</v>
      </c>
      <c r="N23" s="10">
        <v>45748</v>
      </c>
      <c r="O23" s="12" t="s">
        <v>190</v>
      </c>
      <c r="P23" s="13"/>
      <c r="Q23" s="14">
        <v>9030267890</v>
      </c>
      <c r="R23" s="7" t="str">
        <f>CONCATENATE(Q23,4)</f>
        <v>90302678904</v>
      </c>
    </row>
    <row r="24" spans="1:18" ht="17.25" x14ac:dyDescent="0.2">
      <c r="A24" s="8" t="s">
        <v>106</v>
      </c>
      <c r="B24" s="9">
        <v>9213293</v>
      </c>
      <c r="C24" t="s">
        <v>281</v>
      </c>
      <c r="D24" s="8" t="s">
        <v>108</v>
      </c>
      <c r="E24" s="8" t="s">
        <v>47</v>
      </c>
      <c r="F24" s="10">
        <v>45748</v>
      </c>
      <c r="G24" s="8" t="s">
        <v>69</v>
      </c>
      <c r="H24" s="9">
        <v>1</v>
      </c>
      <c r="I24" s="8" t="s">
        <v>51</v>
      </c>
      <c r="J24" s="11">
        <v>0.75</v>
      </c>
      <c r="K24" s="11">
        <v>0</v>
      </c>
      <c r="L24" s="11">
        <v>234.75</v>
      </c>
      <c r="M24" s="8" t="s">
        <v>56</v>
      </c>
      <c r="N24" s="10">
        <v>45748</v>
      </c>
      <c r="O24" s="7" t="s">
        <v>197</v>
      </c>
      <c r="P24" s="13" t="s">
        <v>187</v>
      </c>
      <c r="Q24" s="8" t="s">
        <v>108</v>
      </c>
      <c r="R24" s="7" t="str">
        <f>CONCATENATE(Q24,6)</f>
        <v>00002045751K6</v>
      </c>
    </row>
    <row r="25" spans="1:18" ht="17.25" x14ac:dyDescent="0.2">
      <c r="A25" s="8" t="s">
        <v>106</v>
      </c>
      <c r="B25" s="9">
        <v>9213293</v>
      </c>
      <c r="C25" t="s">
        <v>282</v>
      </c>
      <c r="D25" s="8" t="s">
        <v>111</v>
      </c>
      <c r="E25" s="8" t="s">
        <v>47</v>
      </c>
      <c r="F25" s="10">
        <v>45748</v>
      </c>
      <c r="G25" s="8" t="s">
        <v>69</v>
      </c>
      <c r="H25" s="9">
        <v>1</v>
      </c>
      <c r="I25" s="8" t="s">
        <v>51</v>
      </c>
      <c r="J25" s="11">
        <v>0.75</v>
      </c>
      <c r="K25" s="11">
        <v>0</v>
      </c>
      <c r="L25" s="11">
        <v>234.75</v>
      </c>
      <c r="M25" s="8" t="s">
        <v>56</v>
      </c>
      <c r="N25" s="10">
        <v>45748</v>
      </c>
      <c r="O25" s="7" t="s">
        <v>197</v>
      </c>
      <c r="P25" s="13" t="s">
        <v>187</v>
      </c>
      <c r="Q25" s="8" t="s">
        <v>111</v>
      </c>
      <c r="R25" s="7" t="str">
        <f>CONCATENATE(Q25,6)</f>
        <v>00018370093K6</v>
      </c>
    </row>
    <row r="26" spans="1:18" ht="17.25" x14ac:dyDescent="0.2">
      <c r="A26" s="8" t="s">
        <v>106</v>
      </c>
      <c r="B26" s="9">
        <v>9213293</v>
      </c>
      <c r="C26" t="s">
        <v>283</v>
      </c>
      <c r="D26" s="8" t="s">
        <v>114</v>
      </c>
      <c r="E26" s="8" t="s">
        <v>47</v>
      </c>
      <c r="F26" s="10">
        <v>45748</v>
      </c>
      <c r="G26" s="8" t="s">
        <v>69</v>
      </c>
      <c r="H26" s="9">
        <v>1</v>
      </c>
      <c r="I26" s="8" t="s">
        <v>51</v>
      </c>
      <c r="J26" s="11">
        <v>0.75</v>
      </c>
      <c r="K26" s="11">
        <v>0</v>
      </c>
      <c r="L26" s="11">
        <v>234.75</v>
      </c>
      <c r="M26" s="8" t="s">
        <v>56</v>
      </c>
      <c r="N26" s="10">
        <v>45748</v>
      </c>
      <c r="O26" s="7" t="s">
        <v>197</v>
      </c>
      <c r="P26" s="13" t="s">
        <v>187</v>
      </c>
      <c r="Q26" s="8" t="s">
        <v>114</v>
      </c>
      <c r="R26" s="7" t="str">
        <f>CONCATENATE(Q26,6)</f>
        <v>00023203836K6</v>
      </c>
    </row>
    <row r="27" spans="1:18" ht="17.25" x14ac:dyDescent="0.2">
      <c r="A27" s="8" t="s">
        <v>106</v>
      </c>
      <c r="B27" s="9">
        <v>9213293</v>
      </c>
      <c r="C27" t="s">
        <v>284</v>
      </c>
      <c r="D27" s="8" t="s">
        <v>117</v>
      </c>
      <c r="E27" s="8" t="s">
        <v>47</v>
      </c>
      <c r="F27" s="10">
        <v>45748</v>
      </c>
      <c r="G27" s="8" t="s">
        <v>69</v>
      </c>
      <c r="H27" s="9">
        <v>1</v>
      </c>
      <c r="I27" s="8" t="s">
        <v>51</v>
      </c>
      <c r="J27" s="11">
        <v>0.75</v>
      </c>
      <c r="K27" s="11">
        <v>0</v>
      </c>
      <c r="L27" s="11">
        <v>234.75</v>
      </c>
      <c r="M27" s="8" t="s">
        <v>56</v>
      </c>
      <c r="N27" s="10">
        <v>45748</v>
      </c>
      <c r="O27" s="7" t="s">
        <v>197</v>
      </c>
      <c r="P27" s="13" t="s">
        <v>187</v>
      </c>
      <c r="Q27" s="8" t="s">
        <v>117</v>
      </c>
      <c r="R27" s="7" t="str">
        <f>CONCATENATE(Q27,6)</f>
        <v>00023212957K6</v>
      </c>
    </row>
    <row r="28" spans="1:18" ht="17.25" x14ac:dyDescent="0.3">
      <c r="A28" s="8" t="s">
        <v>157</v>
      </c>
      <c r="B28" s="9">
        <v>9079571</v>
      </c>
      <c r="C28" t="s">
        <v>285</v>
      </c>
      <c r="D28" s="8" t="s">
        <v>164</v>
      </c>
      <c r="E28" s="8" t="s">
        <v>160</v>
      </c>
      <c r="F28" s="10">
        <v>45717</v>
      </c>
      <c r="G28" s="8" t="s">
        <v>165</v>
      </c>
      <c r="H28" s="9">
        <v>1</v>
      </c>
      <c r="I28" s="8" t="s">
        <v>51</v>
      </c>
      <c r="J28" s="11">
        <v>22</v>
      </c>
      <c r="K28" s="11">
        <v>1830.84</v>
      </c>
      <c r="L28" s="11">
        <v>402.84</v>
      </c>
      <c r="M28" s="8" t="s">
        <v>161</v>
      </c>
      <c r="N28" s="10">
        <v>45717</v>
      </c>
      <c r="O28" s="12" t="s">
        <v>192</v>
      </c>
      <c r="P28" s="13"/>
      <c r="Q28" s="8" t="s">
        <v>164</v>
      </c>
      <c r="R28" s="7" t="str">
        <f>CONCATENATE(Q28,8)</f>
        <v>00000951168A8</v>
      </c>
    </row>
    <row r="29" spans="1:18" ht="17.25" x14ac:dyDescent="0.3">
      <c r="A29" s="8" t="s">
        <v>157</v>
      </c>
      <c r="B29" s="9">
        <v>9079571</v>
      </c>
      <c r="C29" t="s">
        <v>286</v>
      </c>
      <c r="D29" s="8" t="s">
        <v>159</v>
      </c>
      <c r="E29" s="8" t="s">
        <v>160</v>
      </c>
      <c r="F29" s="10">
        <v>45689</v>
      </c>
      <c r="G29" s="8" t="s">
        <v>65</v>
      </c>
      <c r="H29" s="9">
        <v>1</v>
      </c>
      <c r="I29" s="8" t="s">
        <v>51</v>
      </c>
      <c r="J29" s="11">
        <v>11</v>
      </c>
      <c r="K29" s="11">
        <v>2080.44</v>
      </c>
      <c r="L29" s="11">
        <v>228.84</v>
      </c>
      <c r="M29" s="8" t="s">
        <v>161</v>
      </c>
      <c r="N29" s="10">
        <v>45689</v>
      </c>
      <c r="O29" s="12" t="s">
        <v>191</v>
      </c>
      <c r="P29" s="13"/>
      <c r="Q29" s="8" t="s">
        <v>159</v>
      </c>
      <c r="R29" s="7" t="str">
        <f>CONCATENATE(Q29,8)</f>
        <v>00000946073A8</v>
      </c>
    </row>
    <row r="30" spans="1:18" ht="17.25" x14ac:dyDescent="0.2">
      <c r="A30" s="8" t="s">
        <v>143</v>
      </c>
      <c r="B30" s="9">
        <v>21104854</v>
      </c>
      <c r="C30" t="s">
        <v>287</v>
      </c>
      <c r="D30" s="8" t="s">
        <v>145</v>
      </c>
      <c r="E30" s="8" t="s">
        <v>47</v>
      </c>
      <c r="F30" s="10">
        <v>45748</v>
      </c>
      <c r="G30" s="8" t="s">
        <v>69</v>
      </c>
      <c r="H30" s="9">
        <v>1</v>
      </c>
      <c r="I30" s="8" t="s">
        <v>51</v>
      </c>
      <c r="J30" s="11">
        <v>0.75</v>
      </c>
      <c r="K30" s="11">
        <v>0</v>
      </c>
      <c r="L30" s="11">
        <v>234.75</v>
      </c>
      <c r="M30" s="8" t="s">
        <v>56</v>
      </c>
      <c r="N30" s="10">
        <v>45748</v>
      </c>
      <c r="O30" s="7" t="s">
        <v>197</v>
      </c>
      <c r="P30" s="13" t="s">
        <v>187</v>
      </c>
      <c r="Q30" s="8" t="s">
        <v>145</v>
      </c>
      <c r="R30" s="7" t="str">
        <f>CONCATENATE(Q30,6)</f>
        <v>00023208350K6</v>
      </c>
    </row>
    <row r="31" spans="1:18" ht="17.25" x14ac:dyDescent="0.2">
      <c r="A31" s="8" t="s">
        <v>133</v>
      </c>
      <c r="B31" s="9">
        <v>19681796</v>
      </c>
      <c r="C31" t="s">
        <v>288</v>
      </c>
      <c r="D31" s="8" t="s">
        <v>135</v>
      </c>
      <c r="E31" s="8" t="s">
        <v>47</v>
      </c>
      <c r="F31" s="10">
        <v>45748</v>
      </c>
      <c r="G31" s="8" t="s">
        <v>69</v>
      </c>
      <c r="H31" s="9">
        <v>1</v>
      </c>
      <c r="I31" s="8" t="s">
        <v>51</v>
      </c>
      <c r="J31" s="11">
        <v>0.75</v>
      </c>
      <c r="K31" s="11">
        <v>0</v>
      </c>
      <c r="L31" s="11">
        <v>234.75</v>
      </c>
      <c r="M31" s="8" t="s">
        <v>56</v>
      </c>
      <c r="N31" s="10">
        <v>45748</v>
      </c>
      <c r="O31" s="7" t="s">
        <v>197</v>
      </c>
      <c r="P31" s="13" t="s">
        <v>187</v>
      </c>
      <c r="Q31" s="8" t="s">
        <v>135</v>
      </c>
      <c r="R31" s="7" t="str">
        <f>CONCATENATE(Q31,6)</f>
        <v>00023200476K6</v>
      </c>
    </row>
    <row r="32" spans="1:18" ht="17.25" x14ac:dyDescent="0.3">
      <c r="A32" s="8" t="s">
        <v>58</v>
      </c>
      <c r="B32" s="9">
        <v>8307933</v>
      </c>
      <c r="C32" t="s">
        <v>289</v>
      </c>
      <c r="D32" s="8" t="s">
        <v>60</v>
      </c>
      <c r="E32" s="8" t="s">
        <v>47</v>
      </c>
      <c r="F32" s="10">
        <v>45658</v>
      </c>
      <c r="G32" s="8" t="s">
        <v>49</v>
      </c>
      <c r="H32" s="9">
        <v>1</v>
      </c>
      <c r="I32" s="8" t="s">
        <v>51</v>
      </c>
      <c r="J32" s="11">
        <v>-0.75</v>
      </c>
      <c r="K32" s="11">
        <v>0</v>
      </c>
      <c r="L32" s="11">
        <v>-234.75</v>
      </c>
      <c r="M32" s="8" t="s">
        <v>56</v>
      </c>
      <c r="N32" s="10">
        <v>45658</v>
      </c>
      <c r="O32" s="12" t="s">
        <v>197</v>
      </c>
      <c r="P32" s="13" t="s">
        <v>187</v>
      </c>
      <c r="Q32" s="8" t="s">
        <v>60</v>
      </c>
      <c r="R32" s="7" t="str">
        <f>CONCATENATE(Q32,6)</f>
        <v>00022090243K6</v>
      </c>
    </row>
    <row r="33" spans="1:18" ht="17.25" x14ac:dyDescent="0.3">
      <c r="A33" s="8" t="s">
        <v>58</v>
      </c>
      <c r="B33" s="9">
        <v>8307933</v>
      </c>
      <c r="C33" t="s">
        <v>290</v>
      </c>
      <c r="D33" s="8" t="s">
        <v>63</v>
      </c>
      <c r="E33" s="8" t="s">
        <v>47</v>
      </c>
      <c r="F33" s="10">
        <v>45689</v>
      </c>
      <c r="G33" s="8" t="s">
        <v>65</v>
      </c>
      <c r="H33" s="9">
        <v>1</v>
      </c>
      <c r="I33" s="8" t="s">
        <v>51</v>
      </c>
      <c r="J33" s="11">
        <v>0</v>
      </c>
      <c r="K33" s="11">
        <v>0</v>
      </c>
      <c r="L33" s="11">
        <v>-260.83</v>
      </c>
      <c r="M33" s="8" t="s">
        <v>53</v>
      </c>
      <c r="N33" s="10">
        <v>45689</v>
      </c>
      <c r="O33" s="12" t="s">
        <v>197</v>
      </c>
      <c r="P33" s="13" t="s">
        <v>188</v>
      </c>
      <c r="Q33" s="8" t="s">
        <v>63</v>
      </c>
      <c r="R33" s="7" t="str">
        <f>CONCATENATE(Q33,6)</f>
        <v>00022502430K6</v>
      </c>
    </row>
    <row r="34" spans="1:18" ht="17.25" x14ac:dyDescent="0.2">
      <c r="A34" s="8" t="s">
        <v>58</v>
      </c>
      <c r="B34" s="9">
        <v>8307933</v>
      </c>
      <c r="C34" t="s">
        <v>290</v>
      </c>
      <c r="D34" s="8" t="s">
        <v>63</v>
      </c>
      <c r="E34" s="8" t="s">
        <v>47</v>
      </c>
      <c r="F34" s="10">
        <v>45689</v>
      </c>
      <c r="G34" s="8" t="s">
        <v>65</v>
      </c>
      <c r="H34" s="9">
        <v>1</v>
      </c>
      <c r="I34" s="8" t="s">
        <v>51</v>
      </c>
      <c r="J34" s="11">
        <v>-0.67</v>
      </c>
      <c r="K34" s="11">
        <v>0</v>
      </c>
      <c r="L34" s="11">
        <v>-208.67</v>
      </c>
      <c r="M34" s="8" t="s">
        <v>56</v>
      </c>
      <c r="N34" s="10">
        <v>45689</v>
      </c>
      <c r="O34" s="7" t="s">
        <v>197</v>
      </c>
      <c r="P34" s="13" t="s">
        <v>189</v>
      </c>
      <c r="Q34" s="8" t="s">
        <v>63</v>
      </c>
      <c r="R34" s="7" t="str">
        <f>CONCATENATE(Q34,6)</f>
        <v>00022502430K6</v>
      </c>
    </row>
    <row r="35" spans="1:18" ht="17.25" x14ac:dyDescent="0.2">
      <c r="A35" s="8" t="s">
        <v>58</v>
      </c>
      <c r="B35" s="9">
        <v>8307933</v>
      </c>
      <c r="C35" t="s">
        <v>291</v>
      </c>
      <c r="D35" s="8" t="s">
        <v>67</v>
      </c>
      <c r="E35" s="8" t="s">
        <v>47</v>
      </c>
      <c r="F35" s="10">
        <v>45748</v>
      </c>
      <c r="G35" s="8" t="s">
        <v>69</v>
      </c>
      <c r="H35" s="9">
        <v>1</v>
      </c>
      <c r="I35" s="8" t="s">
        <v>51</v>
      </c>
      <c r="J35" s="11">
        <v>0.75</v>
      </c>
      <c r="K35" s="11">
        <v>0</v>
      </c>
      <c r="L35" s="11">
        <v>234.75</v>
      </c>
      <c r="M35" s="8" t="s">
        <v>56</v>
      </c>
      <c r="N35" s="10">
        <v>45748</v>
      </c>
      <c r="O35" s="7" t="s">
        <v>197</v>
      </c>
      <c r="P35" s="13" t="s">
        <v>187</v>
      </c>
      <c r="Q35" s="8" t="s">
        <v>67</v>
      </c>
      <c r="R35" s="7" t="str">
        <f>CONCATENATE(Q35,6)</f>
        <v>00023203793K6</v>
      </c>
    </row>
    <row r="36" spans="1:18" ht="17.25" x14ac:dyDescent="0.2">
      <c r="A36" s="8" t="s">
        <v>84</v>
      </c>
      <c r="B36" s="9">
        <v>8325282</v>
      </c>
      <c r="C36" t="s">
        <v>292</v>
      </c>
      <c r="D36" s="8" t="s">
        <v>86</v>
      </c>
      <c r="E36" s="8" t="s">
        <v>47</v>
      </c>
      <c r="F36" s="10">
        <v>45748</v>
      </c>
      <c r="G36" s="8" t="s">
        <v>69</v>
      </c>
      <c r="H36" s="9">
        <v>1</v>
      </c>
      <c r="I36" s="8" t="s">
        <v>51</v>
      </c>
      <c r="J36" s="11">
        <v>0.75</v>
      </c>
      <c r="K36" s="11">
        <v>0</v>
      </c>
      <c r="L36" s="11">
        <v>234.75</v>
      </c>
      <c r="M36" s="8" t="s">
        <v>56</v>
      </c>
      <c r="N36" s="10">
        <v>45748</v>
      </c>
      <c r="O36" s="7" t="s">
        <v>197</v>
      </c>
      <c r="P36" s="13" t="s">
        <v>187</v>
      </c>
      <c r="Q36" s="8" t="s">
        <v>86</v>
      </c>
      <c r="R36" s="7" t="str">
        <f>CONCATENATE(Q36,6)</f>
        <v>00023200313K6</v>
      </c>
    </row>
    <row r="37" spans="1:18" ht="17.25" x14ac:dyDescent="0.2">
      <c r="A37" s="8" t="s">
        <v>90</v>
      </c>
      <c r="B37" s="9">
        <v>16633294</v>
      </c>
      <c r="C37" t="s">
        <v>293</v>
      </c>
      <c r="D37" s="8" t="s">
        <v>92</v>
      </c>
      <c r="E37" s="8" t="s">
        <v>47</v>
      </c>
      <c r="F37" s="10">
        <v>45748</v>
      </c>
      <c r="G37" s="8" t="s">
        <v>69</v>
      </c>
      <c r="H37" s="9">
        <v>1</v>
      </c>
      <c r="I37" s="8" t="s">
        <v>51</v>
      </c>
      <c r="J37" s="11">
        <v>0.75</v>
      </c>
      <c r="K37" s="11">
        <v>0</v>
      </c>
      <c r="L37" s="11">
        <v>234.75</v>
      </c>
      <c r="M37" s="8" t="s">
        <v>56</v>
      </c>
      <c r="N37" s="10">
        <v>45748</v>
      </c>
      <c r="O37" s="7" t="s">
        <v>197</v>
      </c>
      <c r="P37" s="13" t="s">
        <v>187</v>
      </c>
      <c r="Q37" s="8" t="s">
        <v>92</v>
      </c>
      <c r="R37" s="7" t="str">
        <f>CONCATENATE(Q37,6)</f>
        <v>00023200099K6</v>
      </c>
    </row>
  </sheetData>
  <sortState xmlns:xlrd2="http://schemas.microsoft.com/office/spreadsheetml/2017/richdata2" ref="A2:AQ37">
    <sortCondition ref="A2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6025-7649-4925-B066-B853F9DB31CB}">
  <dimension ref="A1:C36"/>
  <sheetViews>
    <sheetView workbookViewId="0">
      <selection activeCell="C1" sqref="C1:C36"/>
    </sheetView>
  </sheetViews>
  <sheetFormatPr defaultRowHeight="12.75" x14ac:dyDescent="0.2"/>
  <cols>
    <col min="1" max="1" width="24.42578125" bestFit="1" customWidth="1"/>
    <col min="3" max="3" width="14.28515625" bestFit="1" customWidth="1"/>
  </cols>
  <sheetData>
    <row r="1" spans="1:3" x14ac:dyDescent="0.2">
      <c r="A1" s="8" t="s">
        <v>199</v>
      </c>
      <c r="B1" t="s">
        <v>200</v>
      </c>
      <c r="C1" t="str">
        <f>CONCATENATE(B1, " ",A1)</f>
        <v>TAHERA KHAN</v>
      </c>
    </row>
    <row r="2" spans="1:3" x14ac:dyDescent="0.2">
      <c r="A2" s="8" t="s">
        <v>201</v>
      </c>
      <c r="B2" t="s">
        <v>202</v>
      </c>
      <c r="C2" t="str">
        <f t="shared" ref="C2:C36" si="0">CONCATENATE(B2, " ",A2)</f>
        <v>VEENA SHAH</v>
      </c>
    </row>
    <row r="3" spans="1:3" x14ac:dyDescent="0.2">
      <c r="A3" s="15" t="s">
        <v>260</v>
      </c>
      <c r="B3" t="s">
        <v>203</v>
      </c>
      <c r="C3" t="str">
        <f t="shared" si="0"/>
        <v>LAURA DI CICCO</v>
      </c>
    </row>
    <row r="4" spans="1:3" x14ac:dyDescent="0.2">
      <c r="A4" s="8" t="s">
        <v>204</v>
      </c>
      <c r="B4" t="s">
        <v>205</v>
      </c>
      <c r="C4" t="str">
        <f t="shared" si="0"/>
        <v>SANDRA BOWIE</v>
      </c>
    </row>
    <row r="5" spans="1:3" x14ac:dyDescent="0.2">
      <c r="A5" s="8" t="s">
        <v>206</v>
      </c>
      <c r="B5" t="s">
        <v>207</v>
      </c>
      <c r="C5" t="str">
        <f t="shared" si="0"/>
        <v>CLAIRE FEAR</v>
      </c>
    </row>
    <row r="6" spans="1:3" x14ac:dyDescent="0.2">
      <c r="A6" s="8" t="s">
        <v>206</v>
      </c>
      <c r="B6" t="s">
        <v>207</v>
      </c>
      <c r="C6" t="str">
        <f t="shared" si="0"/>
        <v>CLAIRE FEAR</v>
      </c>
    </row>
    <row r="7" spans="1:3" x14ac:dyDescent="0.2">
      <c r="A7" s="8" t="s">
        <v>208</v>
      </c>
      <c r="B7" t="s">
        <v>209</v>
      </c>
      <c r="C7" t="str">
        <f t="shared" si="0"/>
        <v>Jeffrey Smith</v>
      </c>
    </row>
    <row r="8" spans="1:3" x14ac:dyDescent="0.2">
      <c r="A8" s="8" t="s">
        <v>210</v>
      </c>
      <c r="B8" t="s">
        <v>211</v>
      </c>
      <c r="C8" t="str">
        <f t="shared" si="0"/>
        <v>STEVEN SETRON</v>
      </c>
    </row>
    <row r="9" spans="1:3" x14ac:dyDescent="0.2">
      <c r="A9" s="8" t="s">
        <v>212</v>
      </c>
      <c r="B9" t="s">
        <v>213</v>
      </c>
      <c r="C9" t="str">
        <f t="shared" si="0"/>
        <v>CYNTHIA LACEY</v>
      </c>
    </row>
    <row r="10" spans="1:3" x14ac:dyDescent="0.2">
      <c r="A10" s="8" t="s">
        <v>212</v>
      </c>
      <c r="B10" t="s">
        <v>213</v>
      </c>
      <c r="C10" t="str">
        <f t="shared" si="0"/>
        <v>CYNTHIA LACEY</v>
      </c>
    </row>
    <row r="11" spans="1:3" x14ac:dyDescent="0.2">
      <c r="A11" s="8" t="s">
        <v>214</v>
      </c>
      <c r="B11" t="s">
        <v>215</v>
      </c>
      <c r="C11" t="str">
        <f t="shared" si="0"/>
        <v>ELIA GONZALEZ</v>
      </c>
    </row>
    <row r="12" spans="1:3" x14ac:dyDescent="0.2">
      <c r="A12" s="8" t="s">
        <v>216</v>
      </c>
      <c r="B12" t="s">
        <v>217</v>
      </c>
      <c r="C12" t="str">
        <f t="shared" si="0"/>
        <v>WILLIAM HUTMACHER</v>
      </c>
    </row>
    <row r="13" spans="1:3" x14ac:dyDescent="0.2">
      <c r="A13" s="8" t="s">
        <v>218</v>
      </c>
      <c r="B13" t="s">
        <v>219</v>
      </c>
      <c r="C13" t="str">
        <f t="shared" si="0"/>
        <v>Allan Moss</v>
      </c>
    </row>
    <row r="14" spans="1:3" x14ac:dyDescent="0.2">
      <c r="A14" s="8" t="s">
        <v>220</v>
      </c>
      <c r="B14" t="s">
        <v>221</v>
      </c>
      <c r="C14" t="str">
        <f t="shared" si="0"/>
        <v>Barbara Hanahan</v>
      </c>
    </row>
    <row r="15" spans="1:3" x14ac:dyDescent="0.2">
      <c r="A15" s="8" t="s">
        <v>222</v>
      </c>
      <c r="B15" t="s">
        <v>223</v>
      </c>
      <c r="C15" t="str">
        <f t="shared" si="0"/>
        <v>MICHAEL MELCHERT</v>
      </c>
    </row>
    <row r="16" spans="1:3" x14ac:dyDescent="0.2">
      <c r="A16" s="8" t="s">
        <v>224</v>
      </c>
      <c r="B16" t="s">
        <v>225</v>
      </c>
      <c r="C16" t="str">
        <f t="shared" si="0"/>
        <v>DAVID SCHUBERT</v>
      </c>
    </row>
    <row r="17" spans="1:3" x14ac:dyDescent="0.2">
      <c r="A17" s="8" t="s">
        <v>226</v>
      </c>
      <c r="B17" t="s">
        <v>227</v>
      </c>
      <c r="C17" t="str">
        <f t="shared" si="0"/>
        <v>DONALD THOMAS</v>
      </c>
    </row>
    <row r="18" spans="1:3" x14ac:dyDescent="0.2">
      <c r="A18" s="8" t="s">
        <v>228</v>
      </c>
      <c r="B18" t="s">
        <v>229</v>
      </c>
      <c r="C18" t="str">
        <f t="shared" si="0"/>
        <v>Jon Rudden</v>
      </c>
    </row>
    <row r="19" spans="1:3" x14ac:dyDescent="0.2">
      <c r="A19" s="8" t="s">
        <v>230</v>
      </c>
      <c r="B19" t="s">
        <v>231</v>
      </c>
      <c r="C19" t="str">
        <f t="shared" si="0"/>
        <v>SUSAN HICKMAN</v>
      </c>
    </row>
    <row r="20" spans="1:3" x14ac:dyDescent="0.2">
      <c r="A20" s="8" t="s">
        <v>232</v>
      </c>
      <c r="B20" t="s">
        <v>233</v>
      </c>
      <c r="C20" t="str">
        <f t="shared" si="0"/>
        <v>ROBERT COOPER</v>
      </c>
    </row>
    <row r="21" spans="1:3" x14ac:dyDescent="0.2">
      <c r="A21" s="8" t="s">
        <v>234</v>
      </c>
      <c r="B21" t="s">
        <v>205</v>
      </c>
      <c r="C21" t="str">
        <f t="shared" si="0"/>
        <v>SANDRA WISEMAN</v>
      </c>
    </row>
    <row r="22" spans="1:3" x14ac:dyDescent="0.2">
      <c r="A22" s="8" t="s">
        <v>235</v>
      </c>
      <c r="B22" t="s">
        <v>236</v>
      </c>
      <c r="C22" t="str">
        <f t="shared" si="0"/>
        <v>Angela Ricciuti</v>
      </c>
    </row>
    <row r="23" spans="1:3" x14ac:dyDescent="0.2">
      <c r="A23" s="8" t="s">
        <v>237</v>
      </c>
      <c r="B23" t="s">
        <v>238</v>
      </c>
      <c r="C23" t="str">
        <f t="shared" si="0"/>
        <v>TONY HOUSTON</v>
      </c>
    </row>
    <row r="24" spans="1:3" x14ac:dyDescent="0.2">
      <c r="A24" s="8" t="s">
        <v>239</v>
      </c>
      <c r="B24" t="s">
        <v>223</v>
      </c>
      <c r="C24" t="str">
        <f t="shared" si="0"/>
        <v>MICHAEL ROMIG</v>
      </c>
    </row>
    <row r="25" spans="1:3" x14ac:dyDescent="0.2">
      <c r="A25" s="8" t="s">
        <v>240</v>
      </c>
      <c r="B25" t="s">
        <v>241</v>
      </c>
      <c r="C25" t="str">
        <f t="shared" si="0"/>
        <v>LEE DO</v>
      </c>
    </row>
    <row r="26" spans="1:3" x14ac:dyDescent="0.2">
      <c r="A26" s="8" t="s">
        <v>242</v>
      </c>
      <c r="B26" t="s">
        <v>243</v>
      </c>
      <c r="C26" t="str">
        <f t="shared" si="0"/>
        <v>LARRY WILKENS</v>
      </c>
    </row>
    <row r="27" spans="1:3" x14ac:dyDescent="0.2">
      <c r="A27" s="8" t="s">
        <v>244</v>
      </c>
      <c r="B27" t="s">
        <v>227</v>
      </c>
      <c r="C27" t="str">
        <f t="shared" si="0"/>
        <v>DONALD KELLY</v>
      </c>
    </row>
    <row r="28" spans="1:3" x14ac:dyDescent="0.2">
      <c r="A28" s="8" t="s">
        <v>245</v>
      </c>
      <c r="B28" t="s">
        <v>246</v>
      </c>
      <c r="C28" t="str">
        <f t="shared" si="0"/>
        <v>CRAIG OBROCKI</v>
      </c>
    </row>
    <row r="29" spans="1:3" x14ac:dyDescent="0.2">
      <c r="A29" s="8" t="s">
        <v>247</v>
      </c>
      <c r="B29" t="s">
        <v>248</v>
      </c>
      <c r="C29" t="str">
        <f t="shared" si="0"/>
        <v>HARRY RICHER</v>
      </c>
    </row>
    <row r="30" spans="1:3" x14ac:dyDescent="0.2">
      <c r="A30" s="8" t="s">
        <v>249</v>
      </c>
      <c r="B30" t="s">
        <v>250</v>
      </c>
      <c r="C30" t="str">
        <f t="shared" si="0"/>
        <v>JODY SUSMAN</v>
      </c>
    </row>
    <row r="31" spans="1:3" x14ac:dyDescent="0.2">
      <c r="A31" s="8" t="s">
        <v>251</v>
      </c>
      <c r="B31" t="s">
        <v>252</v>
      </c>
      <c r="C31" t="str">
        <f t="shared" si="0"/>
        <v>PATRICIA JOHNSON</v>
      </c>
    </row>
    <row r="32" spans="1:3" x14ac:dyDescent="0.2">
      <c r="A32" s="8" t="s">
        <v>253</v>
      </c>
      <c r="B32" t="s">
        <v>233</v>
      </c>
      <c r="C32" t="str">
        <f t="shared" si="0"/>
        <v>ROBERT BRANSTETTER</v>
      </c>
    </row>
    <row r="33" spans="1:3" x14ac:dyDescent="0.2">
      <c r="A33" s="8" t="s">
        <v>253</v>
      </c>
      <c r="B33" t="s">
        <v>233</v>
      </c>
      <c r="C33" t="str">
        <f t="shared" si="0"/>
        <v>ROBERT BRANSTETTER</v>
      </c>
    </row>
    <row r="34" spans="1:3" x14ac:dyDescent="0.2">
      <c r="A34" s="8" t="s">
        <v>254</v>
      </c>
      <c r="B34" t="s">
        <v>255</v>
      </c>
      <c r="C34" t="str">
        <f t="shared" si="0"/>
        <v>DON BLACKER</v>
      </c>
    </row>
    <row r="35" spans="1:3" x14ac:dyDescent="0.2">
      <c r="A35" s="8" t="s">
        <v>256</v>
      </c>
      <c r="B35" t="s">
        <v>257</v>
      </c>
      <c r="C35" t="str">
        <f t="shared" si="0"/>
        <v>RICHARD DEHN</v>
      </c>
    </row>
    <row r="36" spans="1:3" x14ac:dyDescent="0.2">
      <c r="A36" s="8" t="s">
        <v>258</v>
      </c>
      <c r="B36" t="s">
        <v>259</v>
      </c>
      <c r="C36" t="str">
        <f t="shared" si="0"/>
        <v>SUSANA CHUA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2025-03-28T12:48:52Z</dcterms:created>
  <dcterms:modified xsi:type="dcterms:W3CDTF">2025-03-28T15:06:38Z</dcterms:modified>
</cp:coreProperties>
</file>