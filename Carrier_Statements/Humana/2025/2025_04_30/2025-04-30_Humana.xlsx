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4-30-25\"/>
    </mc:Choice>
  </mc:AlternateContent>
  <xr:revisionPtr revIDLastSave="0" documentId="13_ncr:1_{78CBA5A8-9ED8-4D03-AC54-8F0912823833}" xr6:coauthVersionLast="47" xr6:coauthVersionMax="47" xr10:uidLastSave="{00000000-0000-0000-0000-000000000000}"/>
  <bookViews>
    <workbookView xWindow="-57720" yWindow="-45" windowWidth="29040" windowHeight="15720" xr2:uid="{7102384E-7FFB-4C57-932F-41FC6923BA5F}"/>
  </bookViews>
  <sheets>
    <sheet name="CommissionData_1" sheetId="1" r:id="rId1"/>
    <sheet name="Sheet1" sheetId="2" r:id="rId2"/>
    <sheet name="Sheet2" sheetId="3" r:id="rId3"/>
  </sheets>
  <definedNames>
    <definedName name="_xlnm._FilterDatabase" localSheetId="0" hidden="1">CommissionData_1!$A$1:$AP$27</definedName>
    <definedName name="_xlnm._FilterDatabase" localSheetId="1" hidden="1">Sheet1!$A$1:$O$26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1" i="3"/>
  <c r="B25" i="3"/>
  <c r="B24" i="3"/>
  <c r="B23" i="3"/>
  <c r="B22" i="3"/>
  <c r="B20" i="3"/>
  <c r="B19" i="3"/>
  <c r="B21" i="3"/>
  <c r="B14" i="3"/>
  <c r="B11" i="3"/>
  <c r="B3" i="3"/>
  <c r="B18" i="3"/>
  <c r="B17" i="3"/>
  <c r="B16" i="3"/>
  <c r="B15" i="3"/>
  <c r="B13" i="3"/>
  <c r="B12" i="3"/>
  <c r="B10" i="3"/>
  <c r="B9" i="3"/>
  <c r="B8" i="3"/>
  <c r="B7" i="3"/>
  <c r="B6" i="3"/>
  <c r="B5" i="3"/>
  <c r="B4" i="3"/>
  <c r="B2" i="3"/>
  <c r="B1" i="3"/>
</calcChain>
</file>

<file path=xl/sharedStrings.xml><?xml version="1.0" encoding="utf-8"?>
<sst xmlns="http://schemas.openxmlformats.org/spreadsheetml/2006/main" count="1112" uniqueCount="265">
  <si>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</si>
  <si>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</si>
  <si>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</si>
  <si>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</si>
  <si>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</si>
  <si>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</si>
  <si>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</si>
  <si>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</si>
  <si>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</si>
  <si>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</si>
  <si>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</si>
  <si>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</si>
  <si>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</si>
  <si>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</si>
  <si>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</si>
  <si>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</si>
  <si>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</si>
  <si>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</si>
  <si>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</si>
  <si>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</si>
  <si>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</si>
  <si>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</si>
  <si>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</si>
  <si>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</si>
  <si>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</si>
  <si>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</si>
  <si>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</si>
  <si>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</si>
  <si>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</si>
  <si>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</si>
  <si>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</si>
  <si>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</si>
  <si>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</si>
  <si>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</si>
  <si>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</si>
  <si>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</si>
  <si>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</si>
  <si>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</si>
  <si>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</si>
  <si>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</si>
  <si>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</si>
  <si>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</si>
  <si>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</si>
  <si>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PSARRAKOS MARIA</t>
  </si>
  <si>
    <t>00022693103K</t>
  </si>
  <si>
    <t>8JR2WQ5GW09</t>
  </si>
  <si>
    <t/>
  </si>
  <si>
    <t>MA</t>
  </si>
  <si>
    <t>LV</t>
  </si>
  <si>
    <t>JAN</t>
  </si>
  <si>
    <t>F</t>
  </si>
  <si>
    <t>MEDICARE</t>
  </si>
  <si>
    <t>MEP</t>
  </si>
  <si>
    <t>FIRST YEAR COMMISSIONS</t>
  </si>
  <si>
    <t>ARCF</t>
  </si>
  <si>
    <t>H5216</t>
  </si>
  <si>
    <t>TEIPEL GREGORY K</t>
  </si>
  <si>
    <t>WHITTAKER KENN E</t>
  </si>
  <si>
    <t>00023295856K</t>
  </si>
  <si>
    <t>3D92KR2YW25</t>
  </si>
  <si>
    <t>JUL</t>
  </si>
  <si>
    <t>LEE JOEL N</t>
  </si>
  <si>
    <t>WOOD SUSANNE F</t>
  </si>
  <si>
    <t>00023308477K</t>
  </si>
  <si>
    <t>9QH7EY8PR20</t>
  </si>
  <si>
    <t>MAY</t>
  </si>
  <si>
    <t>PDP</t>
  </si>
  <si>
    <t>S5884</t>
  </si>
  <si>
    <t>DAUGHERTY MATTHEW</t>
  </si>
  <si>
    <t>HARRIS JIM</t>
  </si>
  <si>
    <t>00023301792K</t>
  </si>
  <si>
    <t>3MF3CJ8AF77</t>
  </si>
  <si>
    <t>YALE RICHARD A A</t>
  </si>
  <si>
    <t>MALONEY LYNN M</t>
  </si>
  <si>
    <t>00009173203K</t>
  </si>
  <si>
    <t>7YX3H64RW14</t>
  </si>
  <si>
    <t>MALONEY RICHARD D</t>
  </si>
  <si>
    <t>00014663843K</t>
  </si>
  <si>
    <t>7K71TT9HR00</t>
  </si>
  <si>
    <t>DAUN VICTORIA L</t>
  </si>
  <si>
    <t>00020132266K</t>
  </si>
  <si>
    <t>7QF7FV9DP64</t>
  </si>
  <si>
    <t>FEB</t>
  </si>
  <si>
    <t>MER</t>
  </si>
  <si>
    <t>H1036</t>
  </si>
  <si>
    <t>VICTOR LENORE J</t>
  </si>
  <si>
    <t>00020310714K</t>
  </si>
  <si>
    <t>6CA5HN1UN99</t>
  </si>
  <si>
    <t>H1468</t>
  </si>
  <si>
    <t>ZAICA GHEORGHE</t>
  </si>
  <si>
    <t>00022936899K</t>
  </si>
  <si>
    <t>6W71QP9RH12</t>
  </si>
  <si>
    <t>KAPLAN ALAN R</t>
  </si>
  <si>
    <t>00023307783K</t>
  </si>
  <si>
    <t>8FG5YW9HQ95</t>
  </si>
  <si>
    <t>HANSFORD GREGORY</t>
  </si>
  <si>
    <t>CASTILLO FRYDA E</t>
  </si>
  <si>
    <t>00013199675K</t>
  </si>
  <si>
    <t>3FF9DW6HQ15</t>
  </si>
  <si>
    <t>LONG PATRICIA M</t>
  </si>
  <si>
    <t>HOFFMAN ANN L</t>
  </si>
  <si>
    <t>00023308495K</t>
  </si>
  <si>
    <t>8H12TX6CE93</t>
  </si>
  <si>
    <t>H5525</t>
  </si>
  <si>
    <t>YALE JACOB D</t>
  </si>
  <si>
    <t>KERR FRANCES A</t>
  </si>
  <si>
    <t>00023305563K</t>
  </si>
  <si>
    <t>3J25JH8MR93</t>
  </si>
  <si>
    <t>MAX RONALD J</t>
  </si>
  <si>
    <t>KOLB TERRY L</t>
  </si>
  <si>
    <t>00023298890K</t>
  </si>
  <si>
    <t>6WN5WV2AA59</t>
  </si>
  <si>
    <t>JUN</t>
  </si>
  <si>
    <t>WERNER STEVEN D</t>
  </si>
  <si>
    <t>KAPLAN ANDREA M</t>
  </si>
  <si>
    <t>00023300360K</t>
  </si>
  <si>
    <t>1KP1F34TN29</t>
  </si>
  <si>
    <t>WUENSCH RICHARD</t>
  </si>
  <si>
    <t>SMITH LAURA L</t>
  </si>
  <si>
    <t>00019767533K</t>
  </si>
  <si>
    <t>1GE5DU5ED54</t>
  </si>
  <si>
    <t>TORRES JOSE</t>
  </si>
  <si>
    <t>GALINDO TORRES J</t>
  </si>
  <si>
    <t>00023063791K</t>
  </si>
  <si>
    <t>6J46PH4MP83</t>
  </si>
  <si>
    <t>FUENTES VICTOR</t>
  </si>
  <si>
    <t>RAKES WILLIAM P</t>
  </si>
  <si>
    <t>00023304076K</t>
  </si>
  <si>
    <t>7WA6V83RE42</t>
  </si>
  <si>
    <t>HUNSBERGER ANTHONY J</t>
  </si>
  <si>
    <t>Moss Allan</t>
  </si>
  <si>
    <t>IN</t>
  </si>
  <si>
    <t>CB</t>
  </si>
  <si>
    <t>R</t>
  </si>
  <si>
    <t>DENTAL</t>
  </si>
  <si>
    <t>COMPBENEFITS RENEWAL COMMISSION</t>
  </si>
  <si>
    <t>CRCM</t>
  </si>
  <si>
    <t>Hanahan Barbara</t>
  </si>
  <si>
    <t>HOFFMANN JASON R</t>
  </si>
  <si>
    <t>SUTHERLAND SHERRY L</t>
  </si>
  <si>
    <t>00000960540A</t>
  </si>
  <si>
    <t>MS</t>
  </si>
  <si>
    <t>APR</t>
  </si>
  <si>
    <t>MED SUPP ANNUALIZED ACHIEVE</t>
  </si>
  <si>
    <t>MSAA</t>
  </si>
  <si>
    <t>MCCORKLE MICHELLE</t>
  </si>
  <si>
    <t>Aiello Lisa</t>
  </si>
  <si>
    <t>VISION</t>
  </si>
  <si>
    <t>COMPBENEFITS FIRST YEAR COMMISSION</t>
  </si>
  <si>
    <t>CRCF</t>
  </si>
  <si>
    <t>KOZACHECK ANNE MARIE</t>
  </si>
  <si>
    <t>Rudden Jon</t>
  </si>
  <si>
    <t>Reardon-Bressi Shane M</t>
  </si>
  <si>
    <t>Breedy Patrick</t>
  </si>
  <si>
    <t>MED SUPP BONUS</t>
  </si>
  <si>
    <t>MSBN</t>
  </si>
  <si>
    <t>Humana Dental &amp; Vision</t>
  </si>
  <si>
    <t>Humana AL, AZ, AR, GA, etc. Plan N OE &amp; UW</t>
  </si>
  <si>
    <t>Humana PDP 2025!</t>
  </si>
  <si>
    <t>Humana MAPD 2025*</t>
  </si>
  <si>
    <t>Humana 2025 CT, PA, DC *</t>
  </si>
  <si>
    <t>[%/$=353][prorate=8/12]</t>
  </si>
  <si>
    <t>[%/$=313][prorate=8/12]</t>
  </si>
  <si>
    <t>[%/$=313][prorate=6/12]</t>
  </si>
  <si>
    <t>[%/$=313][prorate=11/12]</t>
  </si>
  <si>
    <t>[%/$=313][prorate=7/12]</t>
  </si>
  <si>
    <t>00022693103K6</t>
  </si>
  <si>
    <t>00023295856K6</t>
  </si>
  <si>
    <t>00023308477K9</t>
  </si>
  <si>
    <t>00023301792K6</t>
  </si>
  <si>
    <t>00009173203K6</t>
  </si>
  <si>
    <t>00014663843K6</t>
  </si>
  <si>
    <t>00020132266K6</t>
  </si>
  <si>
    <t>00020310714K6</t>
  </si>
  <si>
    <t>00022936899K6</t>
  </si>
  <si>
    <t>00023307783K6</t>
  </si>
  <si>
    <t>00013199675K9</t>
  </si>
  <si>
    <t>00023308495K6</t>
  </si>
  <si>
    <t>00023305563K6</t>
  </si>
  <si>
    <t>00023298890K9</t>
  </si>
  <si>
    <t>00023300360K6</t>
  </si>
  <si>
    <t>00019767533K6</t>
  </si>
  <si>
    <t>00023063791K6</t>
  </si>
  <si>
    <t>00023304076K6</t>
  </si>
  <si>
    <t>00000960540A8</t>
  </si>
  <si>
    <t>PSARRAKOS</t>
  </si>
  <si>
    <t>MARIA</t>
  </si>
  <si>
    <t>WHITTAKER</t>
  </si>
  <si>
    <t>KENN</t>
  </si>
  <si>
    <t>E</t>
  </si>
  <si>
    <t>WOOD</t>
  </si>
  <si>
    <t>SUSANNE</t>
  </si>
  <si>
    <t>HARRIS</t>
  </si>
  <si>
    <t>JIM</t>
  </si>
  <si>
    <t>MALONEY</t>
  </si>
  <si>
    <t>LYNN</t>
  </si>
  <si>
    <t>M</t>
  </si>
  <si>
    <t>RICHARD</t>
  </si>
  <si>
    <t>D</t>
  </si>
  <si>
    <t>DAUN</t>
  </si>
  <si>
    <t>VICTORIA</t>
  </si>
  <si>
    <t>L</t>
  </si>
  <si>
    <t>VICTOR</t>
  </si>
  <si>
    <t>LENORE</t>
  </si>
  <si>
    <t>J</t>
  </si>
  <si>
    <t>ZAICA</t>
  </si>
  <si>
    <t>GHEORGHE</t>
  </si>
  <si>
    <t>KAPLAN</t>
  </si>
  <si>
    <t>ALAN</t>
  </si>
  <si>
    <t>CASTILLO</t>
  </si>
  <si>
    <t>FRYDA</t>
  </si>
  <si>
    <t>HOFFMAN</t>
  </si>
  <si>
    <t>ANN</t>
  </si>
  <si>
    <t>KERR</t>
  </si>
  <si>
    <t>FRANCES</t>
  </si>
  <si>
    <t>A</t>
  </si>
  <si>
    <t>KOLB</t>
  </si>
  <si>
    <t>TERRY</t>
  </si>
  <si>
    <t>ANDREA</t>
  </si>
  <si>
    <t>SMITH</t>
  </si>
  <si>
    <t>LAURA</t>
  </si>
  <si>
    <t>GALINDO</t>
  </si>
  <si>
    <t>TORRES</t>
  </si>
  <si>
    <t>RAKES</t>
  </si>
  <si>
    <t>WILLIAM</t>
  </si>
  <si>
    <t>P</t>
  </si>
  <si>
    <t>Moss</t>
  </si>
  <si>
    <t>Allan</t>
  </si>
  <si>
    <t>Hanahan</t>
  </si>
  <si>
    <t>Barbara</t>
  </si>
  <si>
    <t>SUTHERLAND</t>
  </si>
  <si>
    <t>SHERRY</t>
  </si>
  <si>
    <t>Aiello</t>
  </si>
  <si>
    <t>Lisa</t>
  </si>
  <si>
    <t>Rudden</t>
  </si>
  <si>
    <t>Jon</t>
  </si>
  <si>
    <t>Reardon-Bressi</t>
  </si>
  <si>
    <t>Shane</t>
  </si>
  <si>
    <t>Breedy</t>
  </si>
  <si>
    <t>Patrick</t>
  </si>
  <si>
    <t>MARIA PSARRAKOS</t>
  </si>
  <si>
    <t>KENN WHITTAKER</t>
  </si>
  <si>
    <t>SUSANNE WOOD</t>
  </si>
  <si>
    <t>JIM HARRIS</t>
  </si>
  <si>
    <t>LYNN MALONEY</t>
  </si>
  <si>
    <t>RICHARD MALONEY</t>
  </si>
  <si>
    <t>VICTORIA DAUN</t>
  </si>
  <si>
    <t>LENORE VICTOR</t>
  </si>
  <si>
    <t>GHEORGHE ZAICA</t>
  </si>
  <si>
    <t>ALAN KAPLAN</t>
  </si>
  <si>
    <t>FRYDA CASTILLO</t>
  </si>
  <si>
    <t>ANN HOFFMAN</t>
  </si>
  <si>
    <t>FRANCES KERR</t>
  </si>
  <si>
    <t>TERRY KOLB</t>
  </si>
  <si>
    <t>ANDREA KAPLAN</t>
  </si>
  <si>
    <t>LAURA SMITH</t>
  </si>
  <si>
    <t>TORRES GALINDO</t>
  </si>
  <si>
    <t>WILLIAM RAKES</t>
  </si>
  <si>
    <t>Allan Moss</t>
  </si>
  <si>
    <t>Barbara Hanahan</t>
  </si>
  <si>
    <t>SHERRY SUTHERLAND</t>
  </si>
  <si>
    <t>Lisa Aiello</t>
  </si>
  <si>
    <t>Jon Rudden</t>
  </si>
  <si>
    <t>Shane Reardon-Bressi</t>
  </si>
  <si>
    <t>Patrick Breedy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</si>
</sst>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0" fontId="0" fillId="35" borderId="0" xfId="0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19" fillId="0" borderId="0" xfId="0" applyFont="1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35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0596-98BD-4B69-AB5D-AD709D79892F}">
  <dimension ref="A1:AP27"/>
  <sheetViews>
    <sheetView tabSelected="1" workbookViewId="0">
      <selection activeCell="F26" sqref="F2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3.7109375" bestFit="1" customWidth="1"/>
    <col min="12" max="12" width="10.42578125" bestFit="1" customWidth="1"/>
    <col min="13" max="15" width="11.42578125" bestFit="1" customWidth="1"/>
    <col min="16" max="17" width="10.42578125" bestFit="1" customWidth="1"/>
    <col min="18" max="18" width="5.7109375" bestFit="1" customWidth="1"/>
    <col min="19" max="21" width="15.28515625" bestFit="1" customWidth="1"/>
    <col min="22" max="22" width="11.42578125" bestFit="1" customWidth="1"/>
    <col min="23" max="23" width="13.7109375" bestFit="1" customWidth="1"/>
    <col min="24" max="24" width="9.5703125" bestFit="1" customWidth="1"/>
    <col min="25" max="25" width="12.42578125" bestFit="1" customWidth="1"/>
    <col min="26" max="26" width="15.28515625" bestFit="1" customWidth="1"/>
    <col min="27" max="27" width="13.7109375" bestFit="1" customWidth="1"/>
    <col min="28" max="28" width="30.42578125" bestFit="1" customWidth="1"/>
    <col min="29" max="29" width="11.42578125" bestFit="1" customWidth="1"/>
    <col min="30" max="30" width="12.5703125" bestFit="1" customWidth="1"/>
    <col min="31" max="31" width="10.7109375" bestFit="1" customWidth="1"/>
    <col min="32" max="32" width="9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45777</v>
      </c>
      <c r="C2" s="4" t="s">
        <v>72</v>
      </c>
      <c r="D2" s="2">
        <v>1573279</v>
      </c>
      <c r="E2" s="4" t="s">
        <v>73</v>
      </c>
      <c r="F2" s="4" t="s">
        <v>74</v>
      </c>
      <c r="G2" s="2">
        <v>249817594</v>
      </c>
      <c r="H2" s="4" t="s">
        <v>75</v>
      </c>
      <c r="I2" s="4" t="s">
        <v>46</v>
      </c>
      <c r="J2" s="4" t="s">
        <v>47</v>
      </c>
      <c r="K2" s="3">
        <v>45778</v>
      </c>
      <c r="L2" s="4" t="s">
        <v>48</v>
      </c>
      <c r="M2" s="3">
        <v>45778</v>
      </c>
      <c r="N2" s="4" t="s">
        <v>65</v>
      </c>
      <c r="O2" s="4" t="s">
        <v>46</v>
      </c>
      <c r="P2" s="4" t="s">
        <v>50</v>
      </c>
      <c r="Q2" s="4" t="s">
        <v>46</v>
      </c>
      <c r="R2" s="2">
        <v>1</v>
      </c>
      <c r="S2" s="2">
        <v>17</v>
      </c>
      <c r="T2" s="4" t="s">
        <v>51</v>
      </c>
      <c r="U2" s="4" t="s">
        <v>52</v>
      </c>
      <c r="V2" s="4" t="s">
        <v>46</v>
      </c>
      <c r="W2" s="5">
        <v>0.67</v>
      </c>
      <c r="X2" s="5">
        <v>0</v>
      </c>
      <c r="Y2" s="5">
        <v>100</v>
      </c>
      <c r="Z2" s="5">
        <v>208.67</v>
      </c>
      <c r="AA2" s="4" t="s">
        <v>46</v>
      </c>
      <c r="AB2" s="5" t="s">
        <v>46</v>
      </c>
      <c r="AC2" s="4" t="s">
        <v>53</v>
      </c>
      <c r="AD2" s="4" t="s">
        <v>46</v>
      </c>
      <c r="AE2" s="5">
        <v>0</v>
      </c>
      <c r="AF2" s="4" t="s">
        <v>54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45777</v>
      </c>
      <c r="C3" s="4" t="s">
        <v>72</v>
      </c>
      <c r="D3" s="2">
        <v>1573279</v>
      </c>
      <c r="E3" s="4" t="s">
        <v>76</v>
      </c>
      <c r="F3" s="4" t="s">
        <v>77</v>
      </c>
      <c r="G3" s="2">
        <v>51256483</v>
      </c>
      <c r="H3" s="4" t="s">
        <v>78</v>
      </c>
      <c r="I3" s="4" t="s">
        <v>46</v>
      </c>
      <c r="J3" s="4" t="s">
        <v>47</v>
      </c>
      <c r="K3" s="3">
        <v>45778</v>
      </c>
      <c r="L3" s="4" t="s">
        <v>48</v>
      </c>
      <c r="M3" s="3">
        <v>45778</v>
      </c>
      <c r="N3" s="4" t="s">
        <v>65</v>
      </c>
      <c r="O3" s="4" t="s">
        <v>46</v>
      </c>
      <c r="P3" s="4" t="s">
        <v>50</v>
      </c>
      <c r="Q3" s="4" t="s">
        <v>46</v>
      </c>
      <c r="R3" s="2">
        <v>1</v>
      </c>
      <c r="S3" s="2">
        <v>17</v>
      </c>
      <c r="T3" s="4" t="s">
        <v>51</v>
      </c>
      <c r="U3" s="4" t="s">
        <v>52</v>
      </c>
      <c r="V3" s="4" t="s">
        <v>46</v>
      </c>
      <c r="W3" s="5">
        <v>0.67</v>
      </c>
      <c r="X3" s="5">
        <v>0</v>
      </c>
      <c r="Y3" s="5">
        <v>100</v>
      </c>
      <c r="Z3" s="5">
        <v>208.67</v>
      </c>
      <c r="AA3" s="4" t="s">
        <v>46</v>
      </c>
      <c r="AB3" s="5" t="s">
        <v>46</v>
      </c>
      <c r="AC3" s="4" t="s">
        <v>53</v>
      </c>
      <c r="AD3" s="4" t="s">
        <v>46</v>
      </c>
      <c r="AE3" s="5">
        <v>0</v>
      </c>
      <c r="AF3" s="4" t="s">
        <v>54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45777</v>
      </c>
      <c r="C4" s="4" t="s">
        <v>72</v>
      </c>
      <c r="D4" s="2">
        <v>1573279</v>
      </c>
      <c r="E4" s="4" t="s">
        <v>79</v>
      </c>
      <c r="F4" s="4" t="s">
        <v>80</v>
      </c>
      <c r="G4" s="2">
        <v>620033164</v>
      </c>
      <c r="H4" s="4" t="s">
        <v>81</v>
      </c>
      <c r="I4" s="4" t="s">
        <v>46</v>
      </c>
      <c r="J4" s="4" t="s">
        <v>47</v>
      </c>
      <c r="K4" s="3">
        <v>45689</v>
      </c>
      <c r="L4" s="4" t="s">
        <v>48</v>
      </c>
      <c r="M4" s="3">
        <v>45689</v>
      </c>
      <c r="N4" s="4" t="s">
        <v>82</v>
      </c>
      <c r="O4" s="4" t="s">
        <v>46</v>
      </c>
      <c r="P4" s="4" t="s">
        <v>50</v>
      </c>
      <c r="Q4" s="4" t="s">
        <v>46</v>
      </c>
      <c r="R4" s="2">
        <v>1</v>
      </c>
      <c r="S4" s="2">
        <v>17</v>
      </c>
      <c r="T4" s="4" t="s">
        <v>51</v>
      </c>
      <c r="U4" s="4" t="s">
        <v>83</v>
      </c>
      <c r="V4" s="4" t="s">
        <v>46</v>
      </c>
      <c r="W4" s="5">
        <v>-0.92</v>
      </c>
      <c r="X4" s="5">
        <v>0</v>
      </c>
      <c r="Y4" s="5">
        <v>100</v>
      </c>
      <c r="Z4" s="5">
        <v>-286.92</v>
      </c>
      <c r="AA4" s="4" t="s">
        <v>46</v>
      </c>
      <c r="AB4" s="5" t="s">
        <v>46</v>
      </c>
      <c r="AC4" s="4" t="s">
        <v>53</v>
      </c>
      <c r="AD4" s="4" t="s">
        <v>46</v>
      </c>
      <c r="AE4" s="5">
        <v>0</v>
      </c>
      <c r="AF4" s="4" t="s">
        <v>54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84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45777</v>
      </c>
      <c r="C5" s="4" t="s">
        <v>72</v>
      </c>
      <c r="D5" s="2">
        <v>1573279</v>
      </c>
      <c r="E5" s="4" t="s">
        <v>85</v>
      </c>
      <c r="F5" s="4" t="s">
        <v>86</v>
      </c>
      <c r="G5" s="2">
        <v>777889503</v>
      </c>
      <c r="H5" s="4" t="s">
        <v>87</v>
      </c>
      <c r="I5" s="4" t="s">
        <v>46</v>
      </c>
      <c r="J5" s="4" t="s">
        <v>47</v>
      </c>
      <c r="K5" s="3">
        <v>45689</v>
      </c>
      <c r="L5" s="4" t="s">
        <v>48</v>
      </c>
      <c r="M5" s="3">
        <v>45689</v>
      </c>
      <c r="N5" s="4" t="s">
        <v>82</v>
      </c>
      <c r="O5" s="4" t="s">
        <v>46</v>
      </c>
      <c r="P5" s="4" t="s">
        <v>50</v>
      </c>
      <c r="Q5" s="4" t="s">
        <v>46</v>
      </c>
      <c r="R5" s="2">
        <v>1</v>
      </c>
      <c r="S5" s="2">
        <v>17</v>
      </c>
      <c r="T5" s="4" t="s">
        <v>51</v>
      </c>
      <c r="U5" s="4" t="s">
        <v>83</v>
      </c>
      <c r="V5" s="4" t="s">
        <v>46</v>
      </c>
      <c r="W5" s="5">
        <v>-0.92</v>
      </c>
      <c r="X5" s="5">
        <v>0</v>
      </c>
      <c r="Y5" s="5">
        <v>100</v>
      </c>
      <c r="Z5" s="5">
        <v>-286.92</v>
      </c>
      <c r="AA5" s="4" t="s">
        <v>46</v>
      </c>
      <c r="AB5" s="5" t="s">
        <v>46</v>
      </c>
      <c r="AC5" s="4" t="s">
        <v>53</v>
      </c>
      <c r="AD5" s="4" t="s">
        <v>46</v>
      </c>
      <c r="AE5" s="5">
        <v>0</v>
      </c>
      <c r="AF5" s="4" t="s">
        <v>54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88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45777</v>
      </c>
      <c r="C6" s="4" t="s">
        <v>72</v>
      </c>
      <c r="D6" s="2">
        <v>1573279</v>
      </c>
      <c r="E6" s="4" t="s">
        <v>89</v>
      </c>
      <c r="F6" s="4" t="s">
        <v>90</v>
      </c>
      <c r="G6" s="2">
        <v>250412060</v>
      </c>
      <c r="H6" s="4" t="s">
        <v>91</v>
      </c>
      <c r="I6" s="4" t="s">
        <v>46</v>
      </c>
      <c r="J6" s="4" t="s">
        <v>47</v>
      </c>
      <c r="K6" s="3">
        <v>45658</v>
      </c>
      <c r="L6" s="4" t="s">
        <v>48</v>
      </c>
      <c r="M6" s="3">
        <v>45658</v>
      </c>
      <c r="N6" s="4" t="s">
        <v>49</v>
      </c>
      <c r="O6" s="4" t="s">
        <v>46</v>
      </c>
      <c r="P6" s="4" t="s">
        <v>50</v>
      </c>
      <c r="Q6" s="4" t="s">
        <v>46</v>
      </c>
      <c r="R6" s="2">
        <v>1</v>
      </c>
      <c r="S6" s="2">
        <v>17</v>
      </c>
      <c r="T6" s="4" t="s">
        <v>51</v>
      </c>
      <c r="U6" s="4" t="s">
        <v>52</v>
      </c>
      <c r="V6" s="4" t="s">
        <v>46</v>
      </c>
      <c r="W6" s="5">
        <v>-0.67</v>
      </c>
      <c r="X6" s="5">
        <v>0</v>
      </c>
      <c r="Y6" s="5">
        <v>100</v>
      </c>
      <c r="Z6" s="5">
        <v>-208.67</v>
      </c>
      <c r="AA6" s="4" t="s">
        <v>46</v>
      </c>
      <c r="AB6" s="5" t="s">
        <v>46</v>
      </c>
      <c r="AC6" s="4" t="s">
        <v>53</v>
      </c>
      <c r="AD6" s="4" t="s">
        <v>46</v>
      </c>
      <c r="AE6" s="5">
        <v>0</v>
      </c>
      <c r="AF6" s="4" t="s">
        <v>54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45777</v>
      </c>
      <c r="C7" s="4" t="s">
        <v>72</v>
      </c>
      <c r="D7" s="2">
        <v>1573279</v>
      </c>
      <c r="E7" s="4" t="s">
        <v>92</v>
      </c>
      <c r="F7" s="4" t="s">
        <v>93</v>
      </c>
      <c r="G7" s="2">
        <v>992029195</v>
      </c>
      <c r="H7" s="4" t="s">
        <v>94</v>
      </c>
      <c r="I7" s="4" t="s">
        <v>46</v>
      </c>
      <c r="J7" s="4" t="s">
        <v>47</v>
      </c>
      <c r="K7" s="3">
        <v>45778</v>
      </c>
      <c r="L7" s="4" t="s">
        <v>48</v>
      </c>
      <c r="M7" s="3">
        <v>45778</v>
      </c>
      <c r="N7" s="4" t="s">
        <v>65</v>
      </c>
      <c r="O7" s="4" t="s">
        <v>46</v>
      </c>
      <c r="P7" s="4" t="s">
        <v>50</v>
      </c>
      <c r="Q7" s="4" t="s">
        <v>46</v>
      </c>
      <c r="R7" s="2">
        <v>1</v>
      </c>
      <c r="S7" s="2">
        <v>17</v>
      </c>
      <c r="T7" s="4" t="s">
        <v>51</v>
      </c>
      <c r="U7" s="4" t="s">
        <v>52</v>
      </c>
      <c r="V7" s="4" t="s">
        <v>46</v>
      </c>
      <c r="W7" s="5">
        <v>0.67</v>
      </c>
      <c r="X7" s="5">
        <v>0</v>
      </c>
      <c r="Y7" s="5">
        <v>100</v>
      </c>
      <c r="Z7" s="5">
        <v>208.67</v>
      </c>
      <c r="AA7" s="4" t="s">
        <v>46</v>
      </c>
      <c r="AB7" s="5" t="s">
        <v>46</v>
      </c>
      <c r="AC7" s="4" t="s">
        <v>53</v>
      </c>
      <c r="AD7" s="4" t="s">
        <v>46</v>
      </c>
      <c r="AE7" s="5">
        <v>0</v>
      </c>
      <c r="AF7" s="4" t="s">
        <v>54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45777</v>
      </c>
      <c r="C8" s="4" t="s">
        <v>104</v>
      </c>
      <c r="D8" s="2">
        <v>1773696</v>
      </c>
      <c r="E8" s="4" t="s">
        <v>105</v>
      </c>
      <c r="F8" s="4" t="s">
        <v>106</v>
      </c>
      <c r="G8" s="2">
        <v>222334245</v>
      </c>
      <c r="H8" s="4" t="s">
        <v>107</v>
      </c>
      <c r="I8" s="4" t="s">
        <v>46</v>
      </c>
      <c r="J8" s="4" t="s">
        <v>47</v>
      </c>
      <c r="K8" s="3">
        <v>45778</v>
      </c>
      <c r="L8" s="4" t="s">
        <v>48</v>
      </c>
      <c r="M8" s="3">
        <v>45778</v>
      </c>
      <c r="N8" s="4" t="s">
        <v>65</v>
      </c>
      <c r="O8" s="4" t="s">
        <v>46</v>
      </c>
      <c r="P8" s="4" t="s">
        <v>50</v>
      </c>
      <c r="Q8" s="4" t="s">
        <v>46</v>
      </c>
      <c r="R8" s="2">
        <v>1</v>
      </c>
      <c r="S8" s="2">
        <v>17</v>
      </c>
      <c r="T8" s="4" t="s">
        <v>51</v>
      </c>
      <c r="U8" s="4" t="s">
        <v>52</v>
      </c>
      <c r="V8" s="4" t="s">
        <v>46</v>
      </c>
      <c r="W8" s="5">
        <v>0.67</v>
      </c>
      <c r="X8" s="5">
        <v>0</v>
      </c>
      <c r="Y8" s="5">
        <v>100</v>
      </c>
      <c r="Z8" s="5">
        <v>208.67</v>
      </c>
      <c r="AA8" s="4" t="s">
        <v>46</v>
      </c>
      <c r="AB8" s="5" t="s">
        <v>46</v>
      </c>
      <c r="AC8" s="4" t="s">
        <v>53</v>
      </c>
      <c r="AD8" s="4" t="s">
        <v>46</v>
      </c>
      <c r="AE8" s="5">
        <v>0</v>
      </c>
      <c r="AF8" s="4" t="s">
        <v>54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45777</v>
      </c>
      <c r="C9" s="4" t="s">
        <v>117</v>
      </c>
      <c r="D9" s="2">
        <v>1820648</v>
      </c>
      <c r="E9" s="4" t="s">
        <v>118</v>
      </c>
      <c r="F9" s="4" t="s">
        <v>119</v>
      </c>
      <c r="G9" s="2">
        <v>641989030</v>
      </c>
      <c r="H9" s="4" t="s">
        <v>120</v>
      </c>
      <c r="I9" s="4" t="s">
        <v>46</v>
      </c>
      <c r="J9" s="4" t="s">
        <v>47</v>
      </c>
      <c r="K9" s="3">
        <v>45658</v>
      </c>
      <c r="L9" s="4" t="s">
        <v>48</v>
      </c>
      <c r="M9" s="3">
        <v>45658</v>
      </c>
      <c r="N9" s="4" t="s">
        <v>49</v>
      </c>
      <c r="O9" s="4" t="s">
        <v>46</v>
      </c>
      <c r="P9" s="4" t="s">
        <v>50</v>
      </c>
      <c r="Q9" s="4" t="s">
        <v>46</v>
      </c>
      <c r="R9" s="2">
        <v>1</v>
      </c>
      <c r="S9" s="2">
        <v>17</v>
      </c>
      <c r="T9" s="4" t="s">
        <v>51</v>
      </c>
      <c r="U9" s="4" t="s">
        <v>52</v>
      </c>
      <c r="V9" s="4" t="s">
        <v>46</v>
      </c>
      <c r="W9" s="5">
        <v>-0.67</v>
      </c>
      <c r="X9" s="5">
        <v>0</v>
      </c>
      <c r="Y9" s="5">
        <v>100</v>
      </c>
      <c r="Z9" s="5">
        <v>-208.67</v>
      </c>
      <c r="AA9" s="4" t="s">
        <v>46</v>
      </c>
      <c r="AB9" s="5" t="s">
        <v>46</v>
      </c>
      <c r="AC9" s="4" t="s">
        <v>53</v>
      </c>
      <c r="AD9" s="4" t="s">
        <v>46</v>
      </c>
      <c r="AE9" s="5">
        <v>0</v>
      </c>
      <c r="AF9" s="4" t="s">
        <v>54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45777</v>
      </c>
      <c r="C10" s="4" t="s">
        <v>113</v>
      </c>
      <c r="D10" s="2">
        <v>1808524</v>
      </c>
      <c r="E10" s="4" t="s">
        <v>114</v>
      </c>
      <c r="F10" s="4" t="s">
        <v>115</v>
      </c>
      <c r="G10" s="2">
        <v>259351093</v>
      </c>
      <c r="H10" s="4" t="s">
        <v>116</v>
      </c>
      <c r="I10" s="4" t="s">
        <v>46</v>
      </c>
      <c r="J10" s="4" t="s">
        <v>47</v>
      </c>
      <c r="K10" s="3">
        <v>45809</v>
      </c>
      <c r="L10" s="4" t="s">
        <v>48</v>
      </c>
      <c r="M10" s="3">
        <v>45809</v>
      </c>
      <c r="N10" s="4" t="s">
        <v>112</v>
      </c>
      <c r="O10" s="4" t="s">
        <v>46</v>
      </c>
      <c r="P10" s="4" t="s">
        <v>50</v>
      </c>
      <c r="Q10" s="4" t="s">
        <v>46</v>
      </c>
      <c r="R10" s="2">
        <v>1</v>
      </c>
      <c r="S10" s="2">
        <v>17</v>
      </c>
      <c r="T10" s="4" t="s">
        <v>51</v>
      </c>
      <c r="U10" s="4" t="s">
        <v>52</v>
      </c>
      <c r="V10" s="4" t="s">
        <v>46</v>
      </c>
      <c r="W10" s="5">
        <v>0.57999999999999996</v>
      </c>
      <c r="X10" s="5">
        <v>0</v>
      </c>
      <c r="Y10" s="5">
        <v>100</v>
      </c>
      <c r="Z10" s="5">
        <v>182.58</v>
      </c>
      <c r="AA10" s="4" t="s">
        <v>46</v>
      </c>
      <c r="AB10" s="5" t="s">
        <v>46</v>
      </c>
      <c r="AC10" s="4" t="s">
        <v>53</v>
      </c>
      <c r="AD10" s="4" t="s">
        <v>46</v>
      </c>
      <c r="AE10" s="5">
        <v>0</v>
      </c>
      <c r="AF10" s="4" t="s">
        <v>54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45777</v>
      </c>
      <c r="C11" s="4" t="s">
        <v>121</v>
      </c>
      <c r="D11" s="2">
        <v>1903197</v>
      </c>
      <c r="E11" s="4" t="s">
        <v>122</v>
      </c>
      <c r="F11" s="4" t="s">
        <v>123</v>
      </c>
      <c r="G11" s="2">
        <v>692329453</v>
      </c>
      <c r="H11" s="4" t="s">
        <v>124</v>
      </c>
      <c r="I11" s="4" t="s">
        <v>46</v>
      </c>
      <c r="J11" s="4" t="s">
        <v>47</v>
      </c>
      <c r="K11" s="3">
        <v>45778</v>
      </c>
      <c r="L11" s="4" t="s">
        <v>48</v>
      </c>
      <c r="M11" s="3">
        <v>45778</v>
      </c>
      <c r="N11" s="4" t="s">
        <v>65</v>
      </c>
      <c r="O11" s="4" t="s">
        <v>46</v>
      </c>
      <c r="P11" s="4" t="s">
        <v>50</v>
      </c>
      <c r="Q11" s="4" t="s">
        <v>46</v>
      </c>
      <c r="R11" s="2">
        <v>1</v>
      </c>
      <c r="S11" s="2">
        <v>17</v>
      </c>
      <c r="T11" s="4" t="s">
        <v>51</v>
      </c>
      <c r="U11" s="4" t="s">
        <v>83</v>
      </c>
      <c r="V11" s="4" t="s">
        <v>46</v>
      </c>
      <c r="W11" s="5">
        <v>0.67</v>
      </c>
      <c r="X11" s="5">
        <v>0</v>
      </c>
      <c r="Y11" s="5">
        <v>100</v>
      </c>
      <c r="Z11" s="5">
        <v>208.67</v>
      </c>
      <c r="AA11" s="4" t="s">
        <v>46</v>
      </c>
      <c r="AB11" s="5" t="s">
        <v>46</v>
      </c>
      <c r="AC11" s="4" t="s">
        <v>53</v>
      </c>
      <c r="AD11" s="4" t="s">
        <v>46</v>
      </c>
      <c r="AE11" s="5">
        <v>0</v>
      </c>
      <c r="AF11" s="4" t="s">
        <v>54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45777</v>
      </c>
      <c r="C12" s="4" t="s">
        <v>56</v>
      </c>
      <c r="D12" s="2">
        <v>1509770</v>
      </c>
      <c r="E12" s="4" t="s">
        <v>57</v>
      </c>
      <c r="F12" s="4" t="s">
        <v>58</v>
      </c>
      <c r="G12" s="2">
        <v>473896503</v>
      </c>
      <c r="H12" s="4" t="s">
        <v>59</v>
      </c>
      <c r="I12" s="4" t="s">
        <v>46</v>
      </c>
      <c r="J12" s="4" t="s">
        <v>47</v>
      </c>
      <c r="K12" s="3">
        <v>45839</v>
      </c>
      <c r="L12" s="4" t="s">
        <v>48</v>
      </c>
      <c r="M12" s="3">
        <v>45839</v>
      </c>
      <c r="N12" s="4" t="s">
        <v>60</v>
      </c>
      <c r="O12" s="4" t="s">
        <v>46</v>
      </c>
      <c r="P12" s="4" t="s">
        <v>50</v>
      </c>
      <c r="Q12" s="4" t="s">
        <v>46</v>
      </c>
      <c r="R12" s="2">
        <v>1</v>
      </c>
      <c r="S12" s="2">
        <v>17</v>
      </c>
      <c r="T12" s="4" t="s">
        <v>51</v>
      </c>
      <c r="U12" s="4" t="s">
        <v>52</v>
      </c>
      <c r="V12" s="4" t="s">
        <v>46</v>
      </c>
      <c r="W12" s="5">
        <v>0.5</v>
      </c>
      <c r="X12" s="5">
        <v>0</v>
      </c>
      <c r="Y12" s="5">
        <v>100</v>
      </c>
      <c r="Z12" s="5">
        <v>156.5</v>
      </c>
      <c r="AA12" s="4" t="s">
        <v>46</v>
      </c>
      <c r="AB12" s="5" t="s">
        <v>46</v>
      </c>
      <c r="AC12" s="4" t="s">
        <v>53</v>
      </c>
      <c r="AD12" s="4" t="s">
        <v>46</v>
      </c>
      <c r="AE12" s="5">
        <v>0</v>
      </c>
      <c r="AF12" s="4" t="s">
        <v>54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45777</v>
      </c>
      <c r="C13" s="4" t="s">
        <v>145</v>
      </c>
      <c r="D13" s="2">
        <v>1755893</v>
      </c>
      <c r="E13" s="4" t="s">
        <v>146</v>
      </c>
      <c r="F13" s="26">
        <v>9030370880</v>
      </c>
      <c r="G13" s="4" t="s">
        <v>46</v>
      </c>
      <c r="H13" s="4" t="s">
        <v>46</v>
      </c>
      <c r="I13" s="4" t="s">
        <v>46</v>
      </c>
      <c r="J13" s="4" t="s">
        <v>131</v>
      </c>
      <c r="K13" s="3">
        <v>45778</v>
      </c>
      <c r="L13" s="4" t="s">
        <v>132</v>
      </c>
      <c r="M13" s="3">
        <v>45778</v>
      </c>
      <c r="N13" s="4" t="s">
        <v>65</v>
      </c>
      <c r="O13" s="4" t="s">
        <v>46</v>
      </c>
      <c r="P13" s="4" t="s">
        <v>50</v>
      </c>
      <c r="Q13" s="4" t="s">
        <v>133</v>
      </c>
      <c r="R13" s="2">
        <v>1</v>
      </c>
      <c r="S13" s="2">
        <v>60</v>
      </c>
      <c r="T13" s="4" t="s">
        <v>147</v>
      </c>
      <c r="U13" s="4" t="s">
        <v>46</v>
      </c>
      <c r="V13" s="4" t="s">
        <v>46</v>
      </c>
      <c r="W13" s="5">
        <v>10</v>
      </c>
      <c r="X13" s="5">
        <v>25.98</v>
      </c>
      <c r="Y13" s="5">
        <v>100</v>
      </c>
      <c r="Z13" s="5">
        <v>37.6</v>
      </c>
      <c r="AA13" s="4" t="s">
        <v>46</v>
      </c>
      <c r="AB13" s="5" t="s">
        <v>46</v>
      </c>
      <c r="AC13" s="4" t="s">
        <v>148</v>
      </c>
      <c r="AD13" s="4" t="s">
        <v>46</v>
      </c>
      <c r="AE13" s="5">
        <v>0</v>
      </c>
      <c r="AF13" s="4" t="s">
        <v>149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45777</v>
      </c>
      <c r="C14" s="4" t="s">
        <v>108</v>
      </c>
      <c r="D14" s="2">
        <v>1775329</v>
      </c>
      <c r="E14" s="4" t="s">
        <v>109</v>
      </c>
      <c r="F14" s="4" t="s">
        <v>110</v>
      </c>
      <c r="G14" s="2">
        <v>728868019</v>
      </c>
      <c r="H14" s="4" t="s">
        <v>111</v>
      </c>
      <c r="I14" s="4" t="s">
        <v>46</v>
      </c>
      <c r="J14" s="4" t="s">
        <v>47</v>
      </c>
      <c r="K14" s="3">
        <v>45809</v>
      </c>
      <c r="L14" s="4" t="s">
        <v>48</v>
      </c>
      <c r="M14" s="3">
        <v>45809</v>
      </c>
      <c r="N14" s="4" t="s">
        <v>112</v>
      </c>
      <c r="O14" s="4" t="s">
        <v>46</v>
      </c>
      <c r="P14" s="4" t="s">
        <v>50</v>
      </c>
      <c r="Q14" s="4" t="s">
        <v>46</v>
      </c>
      <c r="R14" s="2">
        <v>1</v>
      </c>
      <c r="S14" s="2">
        <v>17</v>
      </c>
      <c r="T14" s="4" t="s">
        <v>51</v>
      </c>
      <c r="U14" s="4" t="s">
        <v>66</v>
      </c>
      <c r="V14" s="4" t="s">
        <v>46</v>
      </c>
      <c r="W14" s="5">
        <v>0.57999999999999996</v>
      </c>
      <c r="X14" s="5">
        <v>0</v>
      </c>
      <c r="Y14" s="5">
        <v>100</v>
      </c>
      <c r="Z14" s="5">
        <v>32.08</v>
      </c>
      <c r="AA14" s="4" t="s">
        <v>46</v>
      </c>
      <c r="AB14" s="5" t="s">
        <v>46</v>
      </c>
      <c r="AC14" s="4" t="s">
        <v>53</v>
      </c>
      <c r="AD14" s="4" t="s">
        <v>46</v>
      </c>
      <c r="AE14" s="5">
        <v>0</v>
      </c>
      <c r="AF14" s="4" t="s">
        <v>54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67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45777</v>
      </c>
      <c r="C15" s="4" t="s">
        <v>99</v>
      </c>
      <c r="D15" s="2">
        <v>1758433</v>
      </c>
      <c r="E15" s="4" t="s">
        <v>100</v>
      </c>
      <c r="F15" s="4" t="s">
        <v>101</v>
      </c>
      <c r="G15" s="2">
        <v>425863094</v>
      </c>
      <c r="H15" s="4" t="s">
        <v>102</v>
      </c>
      <c r="I15" s="4" t="s">
        <v>46</v>
      </c>
      <c r="J15" s="4" t="s">
        <v>47</v>
      </c>
      <c r="K15" s="3">
        <v>45778</v>
      </c>
      <c r="L15" s="4" t="s">
        <v>48</v>
      </c>
      <c r="M15" s="3">
        <v>45778</v>
      </c>
      <c r="N15" s="4" t="s">
        <v>65</v>
      </c>
      <c r="O15" s="4" t="s">
        <v>46</v>
      </c>
      <c r="P15" s="4" t="s">
        <v>50</v>
      </c>
      <c r="Q15" s="4" t="s">
        <v>46</v>
      </c>
      <c r="R15" s="2">
        <v>1</v>
      </c>
      <c r="S15" s="2">
        <v>17</v>
      </c>
      <c r="T15" s="4" t="s">
        <v>51</v>
      </c>
      <c r="U15" s="4" t="s">
        <v>52</v>
      </c>
      <c r="V15" s="4" t="s">
        <v>46</v>
      </c>
      <c r="W15" s="5">
        <v>0.67</v>
      </c>
      <c r="X15" s="5">
        <v>0</v>
      </c>
      <c r="Y15" s="5">
        <v>100</v>
      </c>
      <c r="Z15" s="5">
        <v>235.33</v>
      </c>
      <c r="AA15" s="4" t="s">
        <v>46</v>
      </c>
      <c r="AB15" s="5" t="s">
        <v>46</v>
      </c>
      <c r="AC15" s="4" t="s">
        <v>53</v>
      </c>
      <c r="AD15" s="4" t="s">
        <v>46</v>
      </c>
      <c r="AE15" s="5">
        <v>0</v>
      </c>
      <c r="AF15" s="4" t="s">
        <v>54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103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45777</v>
      </c>
      <c r="C16" s="4" t="s">
        <v>42</v>
      </c>
      <c r="D16" s="2">
        <v>1427681</v>
      </c>
      <c r="E16" s="4" t="s">
        <v>43</v>
      </c>
      <c r="F16" s="4" t="s">
        <v>44</v>
      </c>
      <c r="G16" s="2">
        <v>932680241</v>
      </c>
      <c r="H16" s="4" t="s">
        <v>45</v>
      </c>
      <c r="I16" s="4" t="s">
        <v>46</v>
      </c>
      <c r="J16" s="4" t="s">
        <v>47</v>
      </c>
      <c r="K16" s="3">
        <v>45658</v>
      </c>
      <c r="L16" s="4" t="s">
        <v>48</v>
      </c>
      <c r="M16" s="3">
        <v>45658</v>
      </c>
      <c r="N16" s="4" t="s">
        <v>49</v>
      </c>
      <c r="O16" s="4" t="s">
        <v>46</v>
      </c>
      <c r="P16" s="4" t="s">
        <v>50</v>
      </c>
      <c r="Q16" s="4" t="s">
        <v>46</v>
      </c>
      <c r="R16" s="2">
        <v>1</v>
      </c>
      <c r="S16" s="2">
        <v>17</v>
      </c>
      <c r="T16" s="4" t="s">
        <v>51</v>
      </c>
      <c r="U16" s="4" t="s">
        <v>52</v>
      </c>
      <c r="V16" s="4" t="s">
        <v>46</v>
      </c>
      <c r="W16" s="5">
        <v>-0.67</v>
      </c>
      <c r="X16" s="5">
        <v>0</v>
      </c>
      <c r="Y16" s="5">
        <v>100</v>
      </c>
      <c r="Z16" s="5">
        <v>-208.67</v>
      </c>
      <c r="AA16" s="4" t="s">
        <v>46</v>
      </c>
      <c r="AB16" s="5" t="s">
        <v>46</v>
      </c>
      <c r="AC16" s="4" t="s">
        <v>53</v>
      </c>
      <c r="AD16" s="4" t="s">
        <v>46</v>
      </c>
      <c r="AE16" s="5">
        <v>0</v>
      </c>
      <c r="AF16" s="4" t="s">
        <v>54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45777</v>
      </c>
      <c r="C17" s="4" t="s">
        <v>61</v>
      </c>
      <c r="D17" s="2">
        <v>1510085</v>
      </c>
      <c r="E17" s="4" t="s">
        <v>62</v>
      </c>
      <c r="F17" s="4" t="s">
        <v>63</v>
      </c>
      <c r="G17" s="2">
        <v>411515262</v>
      </c>
      <c r="H17" s="4" t="s">
        <v>64</v>
      </c>
      <c r="I17" s="4" t="s">
        <v>46</v>
      </c>
      <c r="J17" s="4" t="s">
        <v>47</v>
      </c>
      <c r="K17" s="3">
        <v>45778</v>
      </c>
      <c r="L17" s="4" t="s">
        <v>48</v>
      </c>
      <c r="M17" s="3">
        <v>45778</v>
      </c>
      <c r="N17" s="4" t="s">
        <v>65</v>
      </c>
      <c r="O17" s="4" t="s">
        <v>46</v>
      </c>
      <c r="P17" s="4" t="s">
        <v>50</v>
      </c>
      <c r="Q17" s="4" t="s">
        <v>46</v>
      </c>
      <c r="R17" s="2">
        <v>1</v>
      </c>
      <c r="S17" s="2">
        <v>17</v>
      </c>
      <c r="T17" s="4" t="s">
        <v>51</v>
      </c>
      <c r="U17" s="4" t="s">
        <v>66</v>
      </c>
      <c r="V17" s="4" t="s">
        <v>46</v>
      </c>
      <c r="W17" s="5">
        <v>0.67</v>
      </c>
      <c r="X17" s="5">
        <v>0</v>
      </c>
      <c r="Y17" s="5">
        <v>100</v>
      </c>
      <c r="Z17" s="5">
        <v>36.67</v>
      </c>
      <c r="AA17" s="4" t="s">
        <v>46</v>
      </c>
      <c r="AB17" s="5" t="s">
        <v>46</v>
      </c>
      <c r="AC17" s="4" t="s">
        <v>53</v>
      </c>
      <c r="AD17" s="4" t="s">
        <v>46</v>
      </c>
      <c r="AE17" s="5">
        <v>0</v>
      </c>
      <c r="AF17" s="4" t="s">
        <v>54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67</v>
      </c>
      <c r="AO17" s="4" t="s">
        <v>46</v>
      </c>
      <c r="AP17" s="4" t="s">
        <v>46</v>
      </c>
    </row>
    <row r="18" spans="1:42" s="21" customFormat="1" x14ac:dyDescent="0.2">
      <c r="A18" s="17">
        <v>1891456</v>
      </c>
      <c r="B18" s="19">
        <v>45777</v>
      </c>
      <c r="C18" s="16" t="s">
        <v>150</v>
      </c>
      <c r="D18" s="17">
        <v>1875462</v>
      </c>
      <c r="E18" s="16" t="s">
        <v>151</v>
      </c>
      <c r="F18" s="27">
        <v>9030115330</v>
      </c>
      <c r="G18" s="16" t="s">
        <v>46</v>
      </c>
      <c r="H18" s="16" t="s">
        <v>46</v>
      </c>
      <c r="I18" s="16" t="s">
        <v>46</v>
      </c>
      <c r="J18" s="16" t="s">
        <v>131</v>
      </c>
      <c r="K18" s="19">
        <v>45713</v>
      </c>
      <c r="L18" s="16" t="s">
        <v>132</v>
      </c>
      <c r="M18" s="19">
        <v>45778</v>
      </c>
      <c r="N18" s="16" t="s">
        <v>65</v>
      </c>
      <c r="O18" s="16" t="s">
        <v>46</v>
      </c>
      <c r="P18" s="16" t="s">
        <v>50</v>
      </c>
      <c r="Q18" s="16" t="s">
        <v>133</v>
      </c>
      <c r="R18" s="17">
        <v>2</v>
      </c>
      <c r="S18" s="17">
        <v>60</v>
      </c>
      <c r="T18" s="16" t="s">
        <v>147</v>
      </c>
      <c r="U18" s="16" t="s">
        <v>46</v>
      </c>
      <c r="V18" s="16" t="s">
        <v>46</v>
      </c>
      <c r="W18" s="20">
        <v>10</v>
      </c>
      <c r="X18" s="20">
        <v>23.99</v>
      </c>
      <c r="Y18" s="20">
        <v>100</v>
      </c>
      <c r="Z18" s="20">
        <v>2.4</v>
      </c>
      <c r="AA18" s="16" t="s">
        <v>46</v>
      </c>
      <c r="AB18" s="20" t="s">
        <v>46</v>
      </c>
      <c r="AC18" s="16" t="s">
        <v>148</v>
      </c>
      <c r="AD18" s="16" t="s">
        <v>46</v>
      </c>
      <c r="AE18" s="20">
        <v>0</v>
      </c>
      <c r="AF18" s="16" t="s">
        <v>149</v>
      </c>
      <c r="AG18" s="16" t="s">
        <v>46</v>
      </c>
      <c r="AH18" s="16" t="s">
        <v>46</v>
      </c>
      <c r="AI18" s="16" t="s">
        <v>46</v>
      </c>
      <c r="AJ18" s="16" t="s">
        <v>46</v>
      </c>
      <c r="AK18" s="16" t="s">
        <v>46</v>
      </c>
      <c r="AL18" s="16" t="s">
        <v>46</v>
      </c>
      <c r="AM18" s="16" t="s">
        <v>46</v>
      </c>
      <c r="AN18" s="16" t="s">
        <v>46</v>
      </c>
      <c r="AO18" s="16" t="s">
        <v>46</v>
      </c>
      <c r="AP18" s="16" t="s">
        <v>46</v>
      </c>
    </row>
    <row r="19" spans="1:42" s="21" customFormat="1" x14ac:dyDescent="0.2">
      <c r="A19" s="17">
        <v>1891456</v>
      </c>
      <c r="B19" s="19">
        <v>45777</v>
      </c>
      <c r="C19" s="16" t="s">
        <v>150</v>
      </c>
      <c r="D19" s="17">
        <v>1875462</v>
      </c>
      <c r="E19" s="16" t="s">
        <v>152</v>
      </c>
      <c r="F19" s="27">
        <v>9030377310</v>
      </c>
      <c r="G19" s="16" t="s">
        <v>46</v>
      </c>
      <c r="H19" s="16" t="s">
        <v>46</v>
      </c>
      <c r="I19" s="16" t="s">
        <v>46</v>
      </c>
      <c r="J19" s="16" t="s">
        <v>131</v>
      </c>
      <c r="K19" s="19">
        <v>45778</v>
      </c>
      <c r="L19" s="16" t="s">
        <v>132</v>
      </c>
      <c r="M19" s="19">
        <v>45778</v>
      </c>
      <c r="N19" s="16" t="s">
        <v>65</v>
      </c>
      <c r="O19" s="16" t="s">
        <v>46</v>
      </c>
      <c r="P19" s="16" t="s">
        <v>50</v>
      </c>
      <c r="Q19" s="16" t="s">
        <v>133</v>
      </c>
      <c r="R19" s="17">
        <v>1</v>
      </c>
      <c r="S19" s="17">
        <v>60</v>
      </c>
      <c r="T19" s="16" t="s">
        <v>147</v>
      </c>
      <c r="U19" s="16" t="s">
        <v>46</v>
      </c>
      <c r="V19" s="16" t="s">
        <v>46</v>
      </c>
      <c r="W19" s="20">
        <v>10</v>
      </c>
      <c r="X19" s="20">
        <v>12.99</v>
      </c>
      <c r="Y19" s="20">
        <v>100</v>
      </c>
      <c r="Z19" s="20">
        <v>36.299999999999997</v>
      </c>
      <c r="AA19" s="16" t="s">
        <v>46</v>
      </c>
      <c r="AB19" s="20" t="s">
        <v>46</v>
      </c>
      <c r="AC19" s="16" t="s">
        <v>148</v>
      </c>
      <c r="AD19" s="16" t="s">
        <v>46</v>
      </c>
      <c r="AE19" s="20">
        <v>0</v>
      </c>
      <c r="AF19" s="16" t="s">
        <v>149</v>
      </c>
      <c r="AG19" s="16" t="s">
        <v>46</v>
      </c>
      <c r="AH19" s="16" t="s">
        <v>46</v>
      </c>
      <c r="AI19" s="16" t="s">
        <v>46</v>
      </c>
      <c r="AJ19" s="16" t="s">
        <v>46</v>
      </c>
      <c r="AK19" s="16" t="s">
        <v>46</v>
      </c>
      <c r="AL19" s="16" t="s">
        <v>46</v>
      </c>
      <c r="AM19" s="16" t="s">
        <v>46</v>
      </c>
      <c r="AN19" s="16" t="s">
        <v>46</v>
      </c>
      <c r="AO19" s="16" t="s">
        <v>46</v>
      </c>
      <c r="AP19" s="16" t="s">
        <v>46</v>
      </c>
    </row>
    <row r="20" spans="1:42" s="21" customFormat="1" x14ac:dyDescent="0.2">
      <c r="A20" s="17">
        <v>1891456</v>
      </c>
      <c r="B20" s="19">
        <v>45777</v>
      </c>
      <c r="C20" s="16" t="s">
        <v>150</v>
      </c>
      <c r="D20" s="17">
        <v>1875462</v>
      </c>
      <c r="E20" s="16" t="s">
        <v>153</v>
      </c>
      <c r="F20" s="27">
        <v>9030450680</v>
      </c>
      <c r="G20" s="16" t="s">
        <v>46</v>
      </c>
      <c r="H20" s="16" t="s">
        <v>46</v>
      </c>
      <c r="I20" s="16" t="s">
        <v>46</v>
      </c>
      <c r="J20" s="16" t="s">
        <v>131</v>
      </c>
      <c r="K20" s="19">
        <v>45776</v>
      </c>
      <c r="L20" s="16" t="s">
        <v>132</v>
      </c>
      <c r="M20" s="19">
        <v>45748</v>
      </c>
      <c r="N20" s="16" t="s">
        <v>142</v>
      </c>
      <c r="O20" s="16" t="s">
        <v>46</v>
      </c>
      <c r="P20" s="16" t="s">
        <v>50</v>
      </c>
      <c r="Q20" s="16" t="s">
        <v>133</v>
      </c>
      <c r="R20" s="17">
        <v>2</v>
      </c>
      <c r="S20" s="17">
        <v>60</v>
      </c>
      <c r="T20" s="16" t="s">
        <v>147</v>
      </c>
      <c r="U20" s="16" t="s">
        <v>46</v>
      </c>
      <c r="V20" s="16" t="s">
        <v>46</v>
      </c>
      <c r="W20" s="20">
        <v>10</v>
      </c>
      <c r="X20" s="20">
        <v>23.99</v>
      </c>
      <c r="Y20" s="20">
        <v>100</v>
      </c>
      <c r="Z20" s="20">
        <v>37.4</v>
      </c>
      <c r="AA20" s="16" t="s">
        <v>46</v>
      </c>
      <c r="AB20" s="20" t="s">
        <v>46</v>
      </c>
      <c r="AC20" s="16" t="s">
        <v>148</v>
      </c>
      <c r="AD20" s="16" t="s">
        <v>46</v>
      </c>
      <c r="AE20" s="20">
        <v>0</v>
      </c>
      <c r="AF20" s="16" t="s">
        <v>149</v>
      </c>
      <c r="AG20" s="16" t="s">
        <v>46</v>
      </c>
      <c r="AH20" s="16" t="s">
        <v>46</v>
      </c>
      <c r="AI20" s="16" t="s">
        <v>46</v>
      </c>
      <c r="AJ20" s="16" t="s">
        <v>46</v>
      </c>
      <c r="AK20" s="16" t="s">
        <v>46</v>
      </c>
      <c r="AL20" s="16" t="s">
        <v>46</v>
      </c>
      <c r="AM20" s="16" t="s">
        <v>46</v>
      </c>
      <c r="AN20" s="16" t="s">
        <v>46</v>
      </c>
      <c r="AO20" s="16" t="s">
        <v>46</v>
      </c>
      <c r="AP20" s="16" t="s">
        <v>46</v>
      </c>
    </row>
    <row r="21" spans="1:42" x14ac:dyDescent="0.2">
      <c r="A21" s="2">
        <v>1891456</v>
      </c>
      <c r="B21" s="3">
        <v>45777</v>
      </c>
      <c r="C21" s="4" t="s">
        <v>129</v>
      </c>
      <c r="D21" s="2">
        <v>1510420</v>
      </c>
      <c r="E21" s="4" t="s">
        <v>130</v>
      </c>
      <c r="F21" s="26">
        <v>3245007030</v>
      </c>
      <c r="G21" s="4" t="s">
        <v>46</v>
      </c>
      <c r="H21" s="4" t="s">
        <v>46</v>
      </c>
      <c r="I21" s="4" t="s">
        <v>46</v>
      </c>
      <c r="J21" s="4" t="s">
        <v>131</v>
      </c>
      <c r="K21" s="3">
        <v>43709</v>
      </c>
      <c r="L21" s="4" t="s">
        <v>132</v>
      </c>
      <c r="M21" s="3">
        <v>45778</v>
      </c>
      <c r="N21" s="4" t="s">
        <v>65</v>
      </c>
      <c r="O21" s="4" t="s">
        <v>46</v>
      </c>
      <c r="P21" s="4" t="s">
        <v>133</v>
      </c>
      <c r="Q21" s="4" t="s">
        <v>133</v>
      </c>
      <c r="R21" s="2">
        <v>1</v>
      </c>
      <c r="S21" s="2">
        <v>3</v>
      </c>
      <c r="T21" s="4" t="s">
        <v>134</v>
      </c>
      <c r="U21" s="4" t="s">
        <v>46</v>
      </c>
      <c r="V21" s="4" t="s">
        <v>46</v>
      </c>
      <c r="W21" s="5">
        <v>10</v>
      </c>
      <c r="X21" s="5">
        <v>13.93</v>
      </c>
      <c r="Y21" s="5">
        <v>100</v>
      </c>
      <c r="Z21" s="5">
        <v>1.39</v>
      </c>
      <c r="AA21" s="4" t="s">
        <v>46</v>
      </c>
      <c r="AB21" s="5" t="s">
        <v>46</v>
      </c>
      <c r="AC21" s="4" t="s">
        <v>135</v>
      </c>
      <c r="AD21" s="4" t="s">
        <v>46</v>
      </c>
      <c r="AE21" s="5">
        <v>0</v>
      </c>
      <c r="AF21" s="4" t="s">
        <v>136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45777</v>
      </c>
      <c r="C22" s="4" t="s">
        <v>129</v>
      </c>
      <c r="D22" s="2">
        <v>1510420</v>
      </c>
      <c r="E22" s="4" t="s">
        <v>137</v>
      </c>
      <c r="F22" s="26">
        <v>9025228750</v>
      </c>
      <c r="G22" s="4" t="s">
        <v>46</v>
      </c>
      <c r="H22" s="4" t="s">
        <v>46</v>
      </c>
      <c r="I22" s="4" t="s">
        <v>46</v>
      </c>
      <c r="J22" s="4" t="s">
        <v>131</v>
      </c>
      <c r="K22" s="3">
        <v>44586</v>
      </c>
      <c r="L22" s="4" t="s">
        <v>132</v>
      </c>
      <c r="M22" s="3">
        <v>45778</v>
      </c>
      <c r="N22" s="4" t="s">
        <v>65</v>
      </c>
      <c r="O22" s="4" t="s">
        <v>46</v>
      </c>
      <c r="P22" s="4" t="s">
        <v>133</v>
      </c>
      <c r="Q22" s="4" t="s">
        <v>133</v>
      </c>
      <c r="R22" s="2">
        <v>1</v>
      </c>
      <c r="S22" s="2">
        <v>3</v>
      </c>
      <c r="T22" s="4" t="s">
        <v>134</v>
      </c>
      <c r="U22" s="4" t="s">
        <v>46</v>
      </c>
      <c r="V22" s="4" t="s">
        <v>46</v>
      </c>
      <c r="W22" s="5">
        <v>10</v>
      </c>
      <c r="X22" s="5">
        <v>52.78</v>
      </c>
      <c r="Y22" s="5">
        <v>100</v>
      </c>
      <c r="Z22" s="5">
        <v>5.28</v>
      </c>
      <c r="AA22" s="4" t="s">
        <v>46</v>
      </c>
      <c r="AB22" s="5" t="s">
        <v>46</v>
      </c>
      <c r="AC22" s="4" t="s">
        <v>135</v>
      </c>
      <c r="AD22" s="4" t="s">
        <v>46</v>
      </c>
      <c r="AE22" s="5">
        <v>0</v>
      </c>
      <c r="AF22" s="4" t="s">
        <v>136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45777</v>
      </c>
      <c r="C23" s="4" t="s">
        <v>138</v>
      </c>
      <c r="D23" s="2">
        <v>1524629</v>
      </c>
      <c r="E23" s="4" t="s">
        <v>139</v>
      </c>
      <c r="F23" s="4" t="s">
        <v>140</v>
      </c>
      <c r="G23" s="4" t="s">
        <v>46</v>
      </c>
      <c r="H23" s="4" t="s">
        <v>46</v>
      </c>
      <c r="I23" s="4" t="s">
        <v>46</v>
      </c>
      <c r="J23" s="4" t="s">
        <v>141</v>
      </c>
      <c r="K23" s="3">
        <v>45748</v>
      </c>
      <c r="L23" s="4" t="s">
        <v>48</v>
      </c>
      <c r="M23" s="3">
        <v>45748</v>
      </c>
      <c r="N23" s="4" t="s">
        <v>142</v>
      </c>
      <c r="O23" s="4" t="s">
        <v>46</v>
      </c>
      <c r="P23" s="4" t="s">
        <v>50</v>
      </c>
      <c r="Q23" s="4" t="s">
        <v>133</v>
      </c>
      <c r="R23" s="2">
        <v>1</v>
      </c>
      <c r="S23" s="2">
        <v>17</v>
      </c>
      <c r="T23" s="4" t="s">
        <v>51</v>
      </c>
      <c r="U23" s="4" t="s">
        <v>46</v>
      </c>
      <c r="V23" s="4" t="s">
        <v>46</v>
      </c>
      <c r="W23" s="5">
        <v>26</v>
      </c>
      <c r="X23" s="5">
        <v>926.04</v>
      </c>
      <c r="Y23" s="5">
        <v>100</v>
      </c>
      <c r="Z23" s="5">
        <v>240.72</v>
      </c>
      <c r="AA23" s="5">
        <v>0</v>
      </c>
      <c r="AB23" s="5">
        <v>0</v>
      </c>
      <c r="AC23" s="4" t="s">
        <v>143</v>
      </c>
      <c r="AD23" s="4" t="s">
        <v>46</v>
      </c>
      <c r="AE23" s="5">
        <v>0</v>
      </c>
      <c r="AF23" s="4" t="s">
        <v>144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45777</v>
      </c>
      <c r="C24" s="4" t="s">
        <v>95</v>
      </c>
      <c r="D24" s="2">
        <v>1639670</v>
      </c>
      <c r="E24" s="4" t="s">
        <v>96</v>
      </c>
      <c r="F24" s="4" t="s">
        <v>97</v>
      </c>
      <c r="G24" s="2">
        <v>229728430</v>
      </c>
      <c r="H24" s="4" t="s">
        <v>98</v>
      </c>
      <c r="I24" s="4" t="s">
        <v>46</v>
      </c>
      <c r="J24" s="4" t="s">
        <v>47</v>
      </c>
      <c r="K24" s="3">
        <v>45778</v>
      </c>
      <c r="L24" s="4" t="s">
        <v>48</v>
      </c>
      <c r="M24" s="3">
        <v>45778</v>
      </c>
      <c r="N24" s="4" t="s">
        <v>65</v>
      </c>
      <c r="O24" s="4" t="s">
        <v>46</v>
      </c>
      <c r="P24" s="4" t="s">
        <v>50</v>
      </c>
      <c r="Q24" s="4" t="s">
        <v>46</v>
      </c>
      <c r="R24" s="2">
        <v>1</v>
      </c>
      <c r="S24" s="2">
        <v>17</v>
      </c>
      <c r="T24" s="4" t="s">
        <v>51</v>
      </c>
      <c r="U24" s="4" t="s">
        <v>66</v>
      </c>
      <c r="V24" s="4" t="s">
        <v>46</v>
      </c>
      <c r="W24" s="5">
        <v>0.67</v>
      </c>
      <c r="X24" s="5">
        <v>0</v>
      </c>
      <c r="Y24" s="5">
        <v>100</v>
      </c>
      <c r="Z24" s="5">
        <v>36.67</v>
      </c>
      <c r="AA24" s="4" t="s">
        <v>46</v>
      </c>
      <c r="AB24" s="5" t="s">
        <v>46</v>
      </c>
      <c r="AC24" s="4" t="s">
        <v>53</v>
      </c>
      <c r="AD24" s="4" t="s">
        <v>46</v>
      </c>
      <c r="AE24" s="5">
        <v>0</v>
      </c>
      <c r="AF24" s="4" t="s">
        <v>54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67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45777</v>
      </c>
      <c r="C25" s="4" t="s">
        <v>125</v>
      </c>
      <c r="D25" s="2">
        <v>1969216</v>
      </c>
      <c r="E25" s="4" t="s">
        <v>126</v>
      </c>
      <c r="F25" s="4" t="s">
        <v>127</v>
      </c>
      <c r="G25" s="2">
        <v>789197173</v>
      </c>
      <c r="H25" s="4" t="s">
        <v>128</v>
      </c>
      <c r="I25" s="4" t="s">
        <v>46</v>
      </c>
      <c r="J25" s="4" t="s">
        <v>47</v>
      </c>
      <c r="K25" s="3">
        <v>45778</v>
      </c>
      <c r="L25" s="4" t="s">
        <v>48</v>
      </c>
      <c r="M25" s="3">
        <v>45778</v>
      </c>
      <c r="N25" s="4" t="s">
        <v>65</v>
      </c>
      <c r="O25" s="4" t="s">
        <v>46</v>
      </c>
      <c r="P25" s="4" t="s">
        <v>50</v>
      </c>
      <c r="Q25" s="4" t="s">
        <v>46</v>
      </c>
      <c r="R25" s="2">
        <v>1</v>
      </c>
      <c r="S25" s="2">
        <v>17</v>
      </c>
      <c r="T25" s="4" t="s">
        <v>51</v>
      </c>
      <c r="U25" s="4" t="s">
        <v>52</v>
      </c>
      <c r="V25" s="4" t="s">
        <v>46</v>
      </c>
      <c r="W25" s="5">
        <v>0.67</v>
      </c>
      <c r="X25" s="5">
        <v>0</v>
      </c>
      <c r="Y25" s="5">
        <v>100</v>
      </c>
      <c r="Z25" s="5">
        <v>208.67</v>
      </c>
      <c r="AA25" s="4" t="s">
        <v>46</v>
      </c>
      <c r="AB25" s="5" t="s">
        <v>46</v>
      </c>
      <c r="AC25" s="4" t="s">
        <v>53</v>
      </c>
      <c r="AD25" s="4" t="s">
        <v>46</v>
      </c>
      <c r="AE25" s="5">
        <v>0</v>
      </c>
      <c r="AF25" s="4" t="s">
        <v>54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45777</v>
      </c>
      <c r="C26" s="4" t="s">
        <v>68</v>
      </c>
      <c r="D26" s="2">
        <v>1555496</v>
      </c>
      <c r="E26" s="4" t="s">
        <v>69</v>
      </c>
      <c r="F26" s="4" t="s">
        <v>70</v>
      </c>
      <c r="G26" s="2">
        <v>836790324</v>
      </c>
      <c r="H26" s="4" t="s">
        <v>71</v>
      </c>
      <c r="I26" s="4" t="s">
        <v>46</v>
      </c>
      <c r="J26" s="4" t="s">
        <v>47</v>
      </c>
      <c r="K26" s="3">
        <v>45839</v>
      </c>
      <c r="L26" s="4" t="s">
        <v>48</v>
      </c>
      <c r="M26" s="3">
        <v>45839</v>
      </c>
      <c r="N26" s="4" t="s">
        <v>60</v>
      </c>
      <c r="O26" s="4" t="s">
        <v>46</v>
      </c>
      <c r="P26" s="4" t="s">
        <v>50</v>
      </c>
      <c r="Q26" s="4" t="s">
        <v>46</v>
      </c>
      <c r="R26" s="2">
        <v>1</v>
      </c>
      <c r="S26" s="2">
        <v>17</v>
      </c>
      <c r="T26" s="4" t="s">
        <v>51</v>
      </c>
      <c r="U26" s="4" t="s">
        <v>52</v>
      </c>
      <c r="V26" s="4" t="s">
        <v>46</v>
      </c>
      <c r="W26" s="5">
        <v>0.5</v>
      </c>
      <c r="X26" s="5">
        <v>0</v>
      </c>
      <c r="Y26" s="5">
        <v>100</v>
      </c>
      <c r="Z26" s="5">
        <v>156.5</v>
      </c>
      <c r="AA26" s="4" t="s">
        <v>46</v>
      </c>
      <c r="AB26" s="5" t="s">
        <v>46</v>
      </c>
      <c r="AC26" s="4" t="s">
        <v>53</v>
      </c>
      <c r="AD26" s="4" t="s">
        <v>46</v>
      </c>
      <c r="AE26" s="5">
        <v>0</v>
      </c>
      <c r="AF26" s="4" t="s">
        <v>54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45777</v>
      </c>
      <c r="C27" s="4" t="s">
        <v>46</v>
      </c>
      <c r="D27" s="2" t="s">
        <v>46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46</v>
      </c>
      <c r="K27" s="4" t="s">
        <v>46</v>
      </c>
      <c r="L27" s="4" t="s">
        <v>46</v>
      </c>
      <c r="M27" s="4" t="s">
        <v>46</v>
      </c>
      <c r="N27" s="4" t="s">
        <v>142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  <c r="W27" s="5" t="s">
        <v>46</v>
      </c>
      <c r="X27" s="4" t="s">
        <v>46</v>
      </c>
      <c r="Y27" s="5" t="s">
        <v>46</v>
      </c>
      <c r="Z27" s="4" t="s">
        <v>46</v>
      </c>
      <c r="AA27" s="4" t="s">
        <v>46</v>
      </c>
      <c r="AB27" s="5" t="s">
        <v>46</v>
      </c>
      <c r="AC27" s="4" t="s">
        <v>46</v>
      </c>
      <c r="AD27" s="4" t="s">
        <v>154</v>
      </c>
      <c r="AE27" s="5">
        <v>0</v>
      </c>
      <c r="AF27" s="4" t="s">
        <v>155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</sheetData>
  <sortState xmlns:xlrd2="http://schemas.microsoft.com/office/spreadsheetml/2017/richdata2" ref="A2:AP27">
    <sortCondition ref="C2:C2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D82F-3E10-4AA3-A31E-3C6F1BB74FF2}">
  <dimension ref="A1:AP27"/>
  <sheetViews>
    <sheetView workbookViewId="0">
      <selection activeCell="A8" sqref="A8:XFD10"/>
    </sheetView>
  </sheetViews>
  <sheetFormatPr defaultRowHeight="12.75" x14ac:dyDescent="0.2"/>
  <cols>
    <col min="1" max="1" width="24.7109375" bestFit="1" customWidth="1"/>
    <col min="2" max="2" width="11.5703125" customWidth="1"/>
    <col min="3" max="3" width="28.5703125" bestFit="1" customWidth="1"/>
    <col min="4" max="4" width="14.425781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40.5703125" bestFit="1" customWidth="1"/>
    <col min="13" max="13" width="42.140625" bestFit="1" customWidth="1"/>
    <col min="14" max="14" width="21.570312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</row>
    <row r="2" spans="1:42" x14ac:dyDescent="0.2">
      <c r="A2" s="4" t="s">
        <v>68</v>
      </c>
      <c r="B2" s="2">
        <v>1706194</v>
      </c>
      <c r="C2" s="23" t="s">
        <v>243</v>
      </c>
      <c r="D2" s="23" t="s">
        <v>169</v>
      </c>
      <c r="E2" s="3">
        <v>45839</v>
      </c>
      <c r="F2" s="4" t="s">
        <v>60</v>
      </c>
      <c r="G2" s="4" t="s">
        <v>51</v>
      </c>
      <c r="H2" s="4" t="s">
        <v>52</v>
      </c>
      <c r="I2" s="5">
        <v>0.5</v>
      </c>
      <c r="J2" s="5">
        <v>1</v>
      </c>
      <c r="K2" s="5">
        <v>156.5</v>
      </c>
      <c r="L2" s="4" t="s">
        <v>53</v>
      </c>
      <c r="M2" t="s">
        <v>159</v>
      </c>
      <c r="N2" s="22" t="s">
        <v>163</v>
      </c>
      <c r="O2">
        <v>6</v>
      </c>
    </row>
    <row r="3" spans="1:42" x14ac:dyDescent="0.2">
      <c r="A3" s="4" t="s">
        <v>125</v>
      </c>
      <c r="B3" s="2">
        <v>21283956</v>
      </c>
      <c r="C3" s="23" t="s">
        <v>257</v>
      </c>
      <c r="D3" s="23" t="s">
        <v>183</v>
      </c>
      <c r="E3" s="3">
        <v>45778</v>
      </c>
      <c r="F3" s="4" t="s">
        <v>65</v>
      </c>
      <c r="G3" s="4" t="s">
        <v>51</v>
      </c>
      <c r="H3" s="4" t="s">
        <v>52</v>
      </c>
      <c r="I3" s="5">
        <v>0.67</v>
      </c>
      <c r="J3" s="5">
        <v>1</v>
      </c>
      <c r="K3" s="5">
        <v>208.67</v>
      </c>
      <c r="L3" s="4" t="s">
        <v>53</v>
      </c>
      <c r="M3" t="s">
        <v>159</v>
      </c>
      <c r="N3" s="22" t="s">
        <v>162</v>
      </c>
      <c r="O3">
        <v>8</v>
      </c>
    </row>
    <row r="4" spans="1:42" s="10" customFormat="1" x14ac:dyDescent="0.2">
      <c r="A4" s="6" t="s">
        <v>95</v>
      </c>
      <c r="B4" s="7">
        <v>17094718</v>
      </c>
      <c r="C4" s="24" t="s">
        <v>250</v>
      </c>
      <c r="D4" s="24" t="s">
        <v>176</v>
      </c>
      <c r="E4" s="8">
        <v>45778</v>
      </c>
      <c r="F4" s="6" t="s">
        <v>65</v>
      </c>
      <c r="G4" s="6" t="s">
        <v>51</v>
      </c>
      <c r="H4" s="6" t="s">
        <v>66</v>
      </c>
      <c r="I4" s="9">
        <v>0.67</v>
      </c>
      <c r="J4" s="9">
        <v>36.67</v>
      </c>
      <c r="K4" s="9">
        <v>36.67</v>
      </c>
      <c r="L4" s="6" t="s">
        <v>53</v>
      </c>
      <c r="M4" s="10" t="s">
        <v>158</v>
      </c>
    </row>
    <row r="5" spans="1:42" x14ac:dyDescent="0.2">
      <c r="A5" s="11" t="s">
        <v>138</v>
      </c>
      <c r="B5" s="12">
        <v>15278437</v>
      </c>
      <c r="C5" s="25" t="s">
        <v>260</v>
      </c>
      <c r="D5" s="25" t="s">
        <v>184</v>
      </c>
      <c r="E5" s="13">
        <v>45748</v>
      </c>
      <c r="F5" s="11" t="s">
        <v>142</v>
      </c>
      <c r="G5" s="11" t="s">
        <v>51</v>
      </c>
      <c r="H5" s="11" t="s">
        <v>46</v>
      </c>
      <c r="I5" s="14">
        <v>26</v>
      </c>
      <c r="J5" s="14">
        <v>926.04</v>
      </c>
      <c r="K5" s="14">
        <v>240.72</v>
      </c>
      <c r="L5" s="11" t="s">
        <v>143</v>
      </c>
      <c r="M5" s="15" t="s">
        <v>157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1:42" x14ac:dyDescent="0.2">
      <c r="A6" s="16" t="s">
        <v>129</v>
      </c>
      <c r="B6" s="17">
        <v>7146581</v>
      </c>
      <c r="C6" s="18" t="s">
        <v>258</v>
      </c>
      <c r="D6" s="18">
        <v>32450070304</v>
      </c>
      <c r="E6" s="19">
        <v>45778</v>
      </c>
      <c r="F6" s="16" t="s">
        <v>65</v>
      </c>
      <c r="G6" s="16" t="s">
        <v>134</v>
      </c>
      <c r="H6" s="16" t="s">
        <v>46</v>
      </c>
      <c r="I6" s="20">
        <v>10</v>
      </c>
      <c r="J6" s="20">
        <v>13.93</v>
      </c>
      <c r="K6" s="20">
        <v>1.39</v>
      </c>
      <c r="L6" s="16" t="s">
        <v>135</v>
      </c>
      <c r="M6" s="21" t="s">
        <v>156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1:42" x14ac:dyDescent="0.2">
      <c r="A7" s="16" t="s">
        <v>129</v>
      </c>
      <c r="B7" s="17">
        <v>7146581</v>
      </c>
      <c r="C7" s="18" t="s">
        <v>259</v>
      </c>
      <c r="D7" s="18">
        <v>90252287504</v>
      </c>
      <c r="E7" s="19">
        <v>45778</v>
      </c>
      <c r="F7" s="16" t="s">
        <v>65</v>
      </c>
      <c r="G7" s="16" t="s">
        <v>134</v>
      </c>
      <c r="H7" s="16" t="s">
        <v>46</v>
      </c>
      <c r="I7" s="20">
        <v>10</v>
      </c>
      <c r="J7" s="20">
        <v>52.78</v>
      </c>
      <c r="K7" s="20">
        <v>5.28</v>
      </c>
      <c r="L7" s="16" t="s">
        <v>135</v>
      </c>
      <c r="M7" s="21" t="s">
        <v>156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:42" x14ac:dyDescent="0.2">
      <c r="A8" s="16" t="s">
        <v>150</v>
      </c>
      <c r="B8" s="17">
        <v>19278370</v>
      </c>
      <c r="C8" s="18" t="s">
        <v>262</v>
      </c>
      <c r="D8" s="18">
        <v>90301153304</v>
      </c>
      <c r="E8" s="19">
        <v>45778</v>
      </c>
      <c r="F8" s="16" t="s">
        <v>65</v>
      </c>
      <c r="G8" s="16" t="s">
        <v>147</v>
      </c>
      <c r="H8" s="16" t="s">
        <v>46</v>
      </c>
      <c r="I8" s="20">
        <v>10</v>
      </c>
      <c r="J8" s="20">
        <v>23.99</v>
      </c>
      <c r="K8" s="20">
        <v>2.4</v>
      </c>
      <c r="L8" s="16" t="s">
        <v>148</v>
      </c>
      <c r="M8" s="21" t="s">
        <v>156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spans="1:42" x14ac:dyDescent="0.2">
      <c r="A9" s="16" t="s">
        <v>150</v>
      </c>
      <c r="B9" s="17">
        <v>19278370</v>
      </c>
      <c r="C9" s="18" t="s">
        <v>263</v>
      </c>
      <c r="D9" s="18">
        <v>90303773104</v>
      </c>
      <c r="E9" s="19">
        <v>45778</v>
      </c>
      <c r="F9" s="16" t="s">
        <v>65</v>
      </c>
      <c r="G9" s="16" t="s">
        <v>147</v>
      </c>
      <c r="H9" s="16" t="s">
        <v>46</v>
      </c>
      <c r="I9" s="20">
        <v>10</v>
      </c>
      <c r="J9" s="20">
        <v>363</v>
      </c>
      <c r="K9" s="20">
        <v>36.299999999999997</v>
      </c>
      <c r="L9" s="16" t="s">
        <v>148</v>
      </c>
      <c r="M9" s="21" t="s">
        <v>156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</row>
    <row r="10" spans="1:42" x14ac:dyDescent="0.2">
      <c r="A10" s="16" t="s">
        <v>150</v>
      </c>
      <c r="B10" s="17">
        <v>19278370</v>
      </c>
      <c r="C10" s="18" t="s">
        <v>264</v>
      </c>
      <c r="D10" s="18">
        <v>90304506804</v>
      </c>
      <c r="E10" s="19">
        <v>45748</v>
      </c>
      <c r="F10" s="16" t="s">
        <v>142</v>
      </c>
      <c r="G10" s="16" t="s">
        <v>147</v>
      </c>
      <c r="H10" s="16" t="s">
        <v>46</v>
      </c>
      <c r="I10" s="20">
        <v>10</v>
      </c>
      <c r="J10" s="20">
        <v>374</v>
      </c>
      <c r="K10" s="20">
        <v>37.4</v>
      </c>
      <c r="L10" s="16" t="s">
        <v>148</v>
      </c>
      <c r="M10" s="21" t="s">
        <v>156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spans="1:42" x14ac:dyDescent="0.2">
      <c r="A11" s="6" t="s">
        <v>61</v>
      </c>
      <c r="B11" s="7">
        <v>6634327</v>
      </c>
      <c r="C11" s="24" t="s">
        <v>242</v>
      </c>
      <c r="D11" s="24" t="s">
        <v>168</v>
      </c>
      <c r="E11" s="8">
        <v>45778</v>
      </c>
      <c r="F11" s="6" t="s">
        <v>65</v>
      </c>
      <c r="G11" s="6" t="s">
        <v>51</v>
      </c>
      <c r="H11" s="6" t="s">
        <v>66</v>
      </c>
      <c r="I11" s="9">
        <v>0.67</v>
      </c>
      <c r="J11" s="9">
        <v>36.67</v>
      </c>
      <c r="K11" s="9">
        <v>36.67</v>
      </c>
      <c r="L11" s="6" t="s">
        <v>53</v>
      </c>
      <c r="M11" s="10" t="s">
        <v>158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s="10" customFormat="1" x14ac:dyDescent="0.2">
      <c r="A12" s="4" t="s">
        <v>42</v>
      </c>
      <c r="B12" s="2">
        <v>8814784</v>
      </c>
      <c r="C12" s="23" t="s">
        <v>240</v>
      </c>
      <c r="D12" s="23" t="s">
        <v>166</v>
      </c>
      <c r="E12" s="3">
        <v>45658</v>
      </c>
      <c r="F12" s="4" t="s">
        <v>49</v>
      </c>
      <c r="G12" s="4" t="s">
        <v>51</v>
      </c>
      <c r="H12" s="4" t="s">
        <v>52</v>
      </c>
      <c r="I12" s="5">
        <v>-0.67</v>
      </c>
      <c r="J12" s="5">
        <v>-1</v>
      </c>
      <c r="K12" s="5">
        <v>-208.67</v>
      </c>
      <c r="L12" s="4" t="s">
        <v>53</v>
      </c>
      <c r="M12" t="s">
        <v>159</v>
      </c>
      <c r="N12" s="22" t="s">
        <v>162</v>
      </c>
      <c r="O12">
        <v>8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</row>
    <row r="13" spans="1:42" x14ac:dyDescent="0.2">
      <c r="A13" s="4" t="s">
        <v>99</v>
      </c>
      <c r="B13" s="2">
        <v>18794740</v>
      </c>
      <c r="C13" s="23" t="s">
        <v>251</v>
      </c>
      <c r="D13" s="23" t="s">
        <v>177</v>
      </c>
      <c r="E13" s="3">
        <v>45778</v>
      </c>
      <c r="F13" s="4" t="s">
        <v>65</v>
      </c>
      <c r="G13" s="4" t="s">
        <v>51</v>
      </c>
      <c r="H13" s="4" t="s">
        <v>52</v>
      </c>
      <c r="I13" s="5">
        <v>0.67</v>
      </c>
      <c r="J13" s="5">
        <v>1</v>
      </c>
      <c r="K13" s="5">
        <v>235.33</v>
      </c>
      <c r="L13" s="4" t="s">
        <v>53</v>
      </c>
      <c r="M13" t="s">
        <v>160</v>
      </c>
      <c r="N13" s="22" t="s">
        <v>161</v>
      </c>
      <c r="O13">
        <v>8</v>
      </c>
    </row>
    <row r="14" spans="1:42" x14ac:dyDescent="0.2">
      <c r="A14" s="6" t="s">
        <v>108</v>
      </c>
      <c r="B14" s="7">
        <v>5442438</v>
      </c>
      <c r="C14" s="24" t="s">
        <v>253</v>
      </c>
      <c r="D14" s="24" t="s">
        <v>179</v>
      </c>
      <c r="E14" s="8">
        <v>45809</v>
      </c>
      <c r="F14" s="6" t="s">
        <v>112</v>
      </c>
      <c r="G14" s="6" t="s">
        <v>51</v>
      </c>
      <c r="H14" s="6" t="s">
        <v>66</v>
      </c>
      <c r="I14" s="9">
        <v>0.57999999999999996</v>
      </c>
      <c r="J14" s="9">
        <v>32.08</v>
      </c>
      <c r="K14" s="9">
        <v>32.08</v>
      </c>
      <c r="L14" s="6" t="s">
        <v>53</v>
      </c>
      <c r="M14" s="10" t="s">
        <v>158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s="10" customFormat="1" x14ac:dyDescent="0.2">
      <c r="A15" s="16" t="s">
        <v>145</v>
      </c>
      <c r="B15" s="17">
        <v>18710070</v>
      </c>
      <c r="C15" s="18" t="s">
        <v>261</v>
      </c>
      <c r="D15" s="18">
        <v>90303708804</v>
      </c>
      <c r="E15" s="19">
        <v>45778</v>
      </c>
      <c r="F15" s="16" t="s">
        <v>65</v>
      </c>
      <c r="G15" s="16" t="s">
        <v>147</v>
      </c>
      <c r="H15" s="16" t="s">
        <v>46</v>
      </c>
      <c r="I15" s="20">
        <v>10</v>
      </c>
      <c r="J15" s="20">
        <v>376</v>
      </c>
      <c r="K15" s="20">
        <v>37.6</v>
      </c>
      <c r="L15" s="16" t="s">
        <v>148</v>
      </c>
      <c r="M15" s="21" t="s">
        <v>156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x14ac:dyDescent="0.2">
      <c r="A16" s="4" t="s">
        <v>56</v>
      </c>
      <c r="B16" s="2">
        <v>8307933</v>
      </c>
      <c r="C16" s="23" t="s">
        <v>241</v>
      </c>
      <c r="D16" s="23" t="s">
        <v>167</v>
      </c>
      <c r="E16" s="3">
        <v>45839</v>
      </c>
      <c r="F16" s="4" t="s">
        <v>60</v>
      </c>
      <c r="G16" s="4" t="s">
        <v>51</v>
      </c>
      <c r="H16" s="4" t="s">
        <v>52</v>
      </c>
      <c r="I16" s="5">
        <v>0.5</v>
      </c>
      <c r="J16" s="5">
        <v>1</v>
      </c>
      <c r="K16" s="5">
        <v>156.5</v>
      </c>
      <c r="L16" s="4" t="s">
        <v>53</v>
      </c>
      <c r="M16" t="s">
        <v>159</v>
      </c>
      <c r="N16" s="22" t="s">
        <v>163</v>
      </c>
      <c r="O16">
        <v>6</v>
      </c>
    </row>
    <row r="17" spans="1:42" x14ac:dyDescent="0.2">
      <c r="A17" s="4" t="s">
        <v>121</v>
      </c>
      <c r="B17" s="2">
        <v>20212926</v>
      </c>
      <c r="C17" s="23" t="s">
        <v>256</v>
      </c>
      <c r="D17" s="23" t="s">
        <v>182</v>
      </c>
      <c r="E17" s="3">
        <v>45778</v>
      </c>
      <c r="F17" s="4" t="s">
        <v>65</v>
      </c>
      <c r="G17" s="4" t="s">
        <v>51</v>
      </c>
      <c r="H17" s="4" t="s">
        <v>83</v>
      </c>
      <c r="I17" s="5">
        <v>0.67</v>
      </c>
      <c r="J17" s="5">
        <v>1</v>
      </c>
      <c r="K17" s="5">
        <v>208.67</v>
      </c>
      <c r="L17" s="4" t="s">
        <v>53</v>
      </c>
      <c r="M17" t="s">
        <v>159</v>
      </c>
      <c r="N17" s="22" t="s">
        <v>162</v>
      </c>
      <c r="O17">
        <v>8</v>
      </c>
    </row>
    <row r="18" spans="1:42" x14ac:dyDescent="0.2">
      <c r="A18" s="4" t="s">
        <v>113</v>
      </c>
      <c r="B18" s="2">
        <v>19481808</v>
      </c>
      <c r="C18" s="23" t="s">
        <v>254</v>
      </c>
      <c r="D18" s="23" t="s">
        <v>180</v>
      </c>
      <c r="E18" s="3">
        <v>45809</v>
      </c>
      <c r="F18" s="4" t="s">
        <v>112</v>
      </c>
      <c r="G18" s="4" t="s">
        <v>51</v>
      </c>
      <c r="H18" s="4" t="s">
        <v>52</v>
      </c>
      <c r="I18" s="5">
        <v>0.57999999999999996</v>
      </c>
      <c r="J18" s="5">
        <v>1</v>
      </c>
      <c r="K18" s="5">
        <v>182.58</v>
      </c>
      <c r="L18" s="4" t="s">
        <v>53</v>
      </c>
      <c r="M18" t="s">
        <v>159</v>
      </c>
      <c r="N18" s="22" t="s">
        <v>165</v>
      </c>
      <c r="O18">
        <v>7</v>
      </c>
    </row>
    <row r="19" spans="1:42" x14ac:dyDescent="0.2">
      <c r="A19" s="4" t="s">
        <v>117</v>
      </c>
      <c r="B19" s="2">
        <v>19615078</v>
      </c>
      <c r="C19" s="23" t="s">
        <v>255</v>
      </c>
      <c r="D19" s="23" t="s">
        <v>181</v>
      </c>
      <c r="E19" s="3">
        <v>45658</v>
      </c>
      <c r="F19" s="4" t="s">
        <v>49</v>
      </c>
      <c r="G19" s="4" t="s">
        <v>51</v>
      </c>
      <c r="H19" s="4" t="s">
        <v>52</v>
      </c>
      <c r="I19" s="5">
        <v>-0.67</v>
      </c>
      <c r="J19" s="5">
        <v>-1</v>
      </c>
      <c r="K19" s="5">
        <v>-208.67</v>
      </c>
      <c r="L19" s="4" t="s">
        <v>53</v>
      </c>
      <c r="M19" t="s">
        <v>159</v>
      </c>
      <c r="N19" s="22" t="s">
        <v>162</v>
      </c>
      <c r="O19">
        <v>8</v>
      </c>
    </row>
    <row r="20" spans="1:42" s="21" customFormat="1" x14ac:dyDescent="0.2">
      <c r="A20" s="4" t="s">
        <v>104</v>
      </c>
      <c r="B20" s="2">
        <v>18754354</v>
      </c>
      <c r="C20" s="23" t="s">
        <v>252</v>
      </c>
      <c r="D20" s="23" t="s">
        <v>178</v>
      </c>
      <c r="E20" s="3">
        <v>45778</v>
      </c>
      <c r="F20" s="4" t="s">
        <v>65</v>
      </c>
      <c r="G20" s="4" t="s">
        <v>51</v>
      </c>
      <c r="H20" s="4" t="s">
        <v>52</v>
      </c>
      <c r="I20" s="5">
        <v>0.67</v>
      </c>
      <c r="J20" s="5">
        <v>1</v>
      </c>
      <c r="K20" s="5">
        <v>208.67</v>
      </c>
      <c r="L20" s="4" t="s">
        <v>53</v>
      </c>
      <c r="M20" t="s">
        <v>159</v>
      </c>
      <c r="N20" s="22" t="s">
        <v>162</v>
      </c>
      <c r="O20">
        <v>8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</row>
    <row r="21" spans="1:42" s="21" customFormat="1" x14ac:dyDescent="0.2">
      <c r="A21" s="4" t="s">
        <v>72</v>
      </c>
      <c r="B21" s="2">
        <v>16633294</v>
      </c>
      <c r="C21" s="23" t="s">
        <v>244</v>
      </c>
      <c r="D21" s="23" t="s">
        <v>170</v>
      </c>
      <c r="E21" s="3">
        <v>45778</v>
      </c>
      <c r="F21" s="4" t="s">
        <v>65</v>
      </c>
      <c r="G21" s="4" t="s">
        <v>51</v>
      </c>
      <c r="H21" s="4" t="s">
        <v>52</v>
      </c>
      <c r="I21" s="5">
        <v>0.67</v>
      </c>
      <c r="J21" s="5">
        <v>1</v>
      </c>
      <c r="K21" s="5">
        <v>208.67</v>
      </c>
      <c r="L21" s="4" t="s">
        <v>53</v>
      </c>
      <c r="M21" t="s">
        <v>159</v>
      </c>
      <c r="N21" s="22" t="s">
        <v>162</v>
      </c>
      <c r="O21">
        <v>8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 s="15" customFormat="1" x14ac:dyDescent="0.2">
      <c r="A22" s="4" t="s">
        <v>72</v>
      </c>
      <c r="B22" s="2">
        <v>16633294</v>
      </c>
      <c r="C22" s="23" t="s">
        <v>245</v>
      </c>
      <c r="D22" s="23" t="s">
        <v>171</v>
      </c>
      <c r="E22" s="3">
        <v>45778</v>
      </c>
      <c r="F22" s="4" t="s">
        <v>65</v>
      </c>
      <c r="G22" s="4" t="s">
        <v>51</v>
      </c>
      <c r="H22" s="4" t="s">
        <v>52</v>
      </c>
      <c r="I22" s="5">
        <v>0.67</v>
      </c>
      <c r="J22" s="5">
        <v>1</v>
      </c>
      <c r="K22" s="5">
        <v>208.67</v>
      </c>
      <c r="L22" s="4" t="s">
        <v>53</v>
      </c>
      <c r="M22" t="s">
        <v>159</v>
      </c>
      <c r="N22" s="22" t="s">
        <v>162</v>
      </c>
      <c r="O22">
        <v>8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</row>
    <row r="23" spans="1:42" s="21" customFormat="1" x14ac:dyDescent="0.2">
      <c r="A23" s="4" t="s">
        <v>72</v>
      </c>
      <c r="B23" s="2">
        <v>16633294</v>
      </c>
      <c r="C23" s="23" t="s">
        <v>246</v>
      </c>
      <c r="D23" s="23" t="s">
        <v>172</v>
      </c>
      <c r="E23" s="3">
        <v>45689</v>
      </c>
      <c r="F23" s="4" t="s">
        <v>82</v>
      </c>
      <c r="G23" s="4" t="s">
        <v>51</v>
      </c>
      <c r="H23" s="4" t="s">
        <v>83</v>
      </c>
      <c r="I23" s="5">
        <v>-0.92</v>
      </c>
      <c r="J23" s="5">
        <v>-1</v>
      </c>
      <c r="K23" s="5">
        <v>-286.92</v>
      </c>
      <c r="L23" s="4" t="s">
        <v>53</v>
      </c>
      <c r="M23" t="s">
        <v>159</v>
      </c>
      <c r="N23" s="22" t="s">
        <v>164</v>
      </c>
      <c r="O23">
        <v>11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42" s="21" customFormat="1" x14ac:dyDescent="0.2">
      <c r="A24" s="4" t="s">
        <v>72</v>
      </c>
      <c r="B24" s="2">
        <v>16633294</v>
      </c>
      <c r="C24" s="23" t="s">
        <v>247</v>
      </c>
      <c r="D24" s="23" t="s">
        <v>173</v>
      </c>
      <c r="E24" s="3">
        <v>45689</v>
      </c>
      <c r="F24" s="4" t="s">
        <v>82</v>
      </c>
      <c r="G24" s="4" t="s">
        <v>51</v>
      </c>
      <c r="H24" s="4" t="s">
        <v>83</v>
      </c>
      <c r="I24" s="5">
        <v>-0.92</v>
      </c>
      <c r="J24" s="5">
        <v>-1</v>
      </c>
      <c r="K24" s="5">
        <v>-286.92</v>
      </c>
      <c r="L24" s="4" t="s">
        <v>53</v>
      </c>
      <c r="M24" t="s">
        <v>159</v>
      </c>
      <c r="N24" s="22" t="s">
        <v>164</v>
      </c>
      <c r="O24">
        <v>11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1:42" s="21" customFormat="1" x14ac:dyDescent="0.2">
      <c r="A25" s="4" t="s">
        <v>72</v>
      </c>
      <c r="B25" s="2">
        <v>16633294</v>
      </c>
      <c r="C25" s="23" t="s">
        <v>248</v>
      </c>
      <c r="D25" s="23" t="s">
        <v>174</v>
      </c>
      <c r="E25" s="3">
        <v>45658</v>
      </c>
      <c r="F25" s="4" t="s">
        <v>49</v>
      </c>
      <c r="G25" s="4" t="s">
        <v>51</v>
      </c>
      <c r="H25" s="4" t="s">
        <v>52</v>
      </c>
      <c r="I25" s="5">
        <v>-0.67</v>
      </c>
      <c r="J25" s="5">
        <v>-1</v>
      </c>
      <c r="K25" s="5">
        <v>-208.67</v>
      </c>
      <c r="L25" s="4" t="s">
        <v>53</v>
      </c>
      <c r="M25" t="s">
        <v>159</v>
      </c>
      <c r="N25" s="22" t="s">
        <v>162</v>
      </c>
      <c r="O25">
        <v>8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 s="21" customFormat="1" x14ac:dyDescent="0.2">
      <c r="A26" s="4" t="s">
        <v>72</v>
      </c>
      <c r="B26" s="2">
        <v>16633294</v>
      </c>
      <c r="C26" s="23" t="s">
        <v>249</v>
      </c>
      <c r="D26" s="23" t="s">
        <v>175</v>
      </c>
      <c r="E26" s="3">
        <v>45778</v>
      </c>
      <c r="F26" s="4" t="s">
        <v>65</v>
      </c>
      <c r="G26" s="4" t="s">
        <v>51</v>
      </c>
      <c r="H26" s="4" t="s">
        <v>52</v>
      </c>
      <c r="I26" s="5">
        <v>0.67</v>
      </c>
      <c r="J26" s="5">
        <v>1</v>
      </c>
      <c r="K26" s="5">
        <v>208.67</v>
      </c>
      <c r="L26" s="4" t="s">
        <v>53</v>
      </c>
      <c r="M26" t="s">
        <v>159</v>
      </c>
      <c r="N26" s="22" t="s">
        <v>162</v>
      </c>
      <c r="O26">
        <v>8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1:42" x14ac:dyDescent="0.2">
      <c r="A27" s="4"/>
      <c r="B27" s="2"/>
      <c r="C27" s="4"/>
      <c r="D27" s="4"/>
      <c r="E27" s="4"/>
      <c r="F27" s="4"/>
      <c r="G27" s="4"/>
      <c r="H27" s="4"/>
      <c r="I27" s="5"/>
      <c r="J27" s="4"/>
      <c r="K27" s="4"/>
      <c r="L27" s="4"/>
    </row>
  </sheetData>
  <sortState xmlns:xlrd2="http://schemas.microsoft.com/office/spreadsheetml/2017/richdata2" ref="A2:AP26">
    <sortCondition ref="A2:A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0C6E-EFDC-4ED6-9661-5789A123AC9D}">
  <dimension ref="A1:G25"/>
  <sheetViews>
    <sheetView workbookViewId="0">
      <selection activeCell="G1" sqref="G1:G25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23.5703125" bestFit="1" customWidth="1"/>
  </cols>
  <sheetData>
    <row r="1" spans="1:7" x14ac:dyDescent="0.2">
      <c r="A1" s="4" t="s">
        <v>44</v>
      </c>
      <c r="B1" t="str">
        <f>CONCATENATE(A1,6)</f>
        <v>00022693103K6</v>
      </c>
      <c r="D1" s="4" t="s">
        <v>185</v>
      </c>
      <c r="E1" t="s">
        <v>186</v>
      </c>
      <c r="G1" t="str">
        <f>CONCATENATE(E1, " ",D1)</f>
        <v>MARIA PSARRAKOS</v>
      </c>
    </row>
    <row r="2" spans="1:7" x14ac:dyDescent="0.2">
      <c r="A2" s="4" t="s">
        <v>58</v>
      </c>
      <c r="B2" t="str">
        <f>CONCATENATE(A2,6)</f>
        <v>00023295856K6</v>
      </c>
      <c r="D2" s="4" t="s">
        <v>187</v>
      </c>
      <c r="E2" t="s">
        <v>188</v>
      </c>
      <c r="F2" t="s">
        <v>189</v>
      </c>
      <c r="G2" t="str">
        <f t="shared" ref="G2:G25" si="0">CONCATENATE(E2, " ",D2)</f>
        <v>KENN WHITTAKER</v>
      </c>
    </row>
    <row r="3" spans="1:7" x14ac:dyDescent="0.2">
      <c r="A3" s="6" t="s">
        <v>63</v>
      </c>
      <c r="B3" t="str">
        <f>CONCATENATE(A3,9)</f>
        <v>00023308477K9</v>
      </c>
      <c r="D3" s="6" t="s">
        <v>190</v>
      </c>
      <c r="E3" t="s">
        <v>191</v>
      </c>
      <c r="F3" t="s">
        <v>50</v>
      </c>
      <c r="G3" t="str">
        <f t="shared" si="0"/>
        <v>SUSANNE WOOD</v>
      </c>
    </row>
    <row r="4" spans="1:7" x14ac:dyDescent="0.2">
      <c r="A4" s="4" t="s">
        <v>70</v>
      </c>
      <c r="B4" t="str">
        <f t="shared" ref="B4:B10" si="1">CONCATENATE(A4,6)</f>
        <v>00023301792K6</v>
      </c>
      <c r="D4" s="4" t="s">
        <v>192</v>
      </c>
      <c r="E4" t="s">
        <v>193</v>
      </c>
      <c r="G4" t="str">
        <f t="shared" si="0"/>
        <v>JIM HARRIS</v>
      </c>
    </row>
    <row r="5" spans="1:7" x14ac:dyDescent="0.2">
      <c r="A5" s="4" t="s">
        <v>74</v>
      </c>
      <c r="B5" t="str">
        <f t="shared" si="1"/>
        <v>00009173203K6</v>
      </c>
      <c r="D5" s="4" t="s">
        <v>194</v>
      </c>
      <c r="E5" t="s">
        <v>195</v>
      </c>
      <c r="F5" t="s">
        <v>196</v>
      </c>
      <c r="G5" t="str">
        <f t="shared" si="0"/>
        <v>LYNN MALONEY</v>
      </c>
    </row>
    <row r="6" spans="1:7" x14ac:dyDescent="0.2">
      <c r="A6" s="4" t="s">
        <v>77</v>
      </c>
      <c r="B6" t="str">
        <f t="shared" si="1"/>
        <v>00014663843K6</v>
      </c>
      <c r="D6" s="4" t="s">
        <v>194</v>
      </c>
      <c r="E6" t="s">
        <v>197</v>
      </c>
      <c r="F6" t="s">
        <v>198</v>
      </c>
      <c r="G6" t="str">
        <f t="shared" si="0"/>
        <v>RICHARD MALONEY</v>
      </c>
    </row>
    <row r="7" spans="1:7" x14ac:dyDescent="0.2">
      <c r="A7" s="4" t="s">
        <v>80</v>
      </c>
      <c r="B7" t="str">
        <f t="shared" si="1"/>
        <v>00020132266K6</v>
      </c>
      <c r="D7" s="4" t="s">
        <v>199</v>
      </c>
      <c r="E7" t="s">
        <v>200</v>
      </c>
      <c r="F7" t="s">
        <v>201</v>
      </c>
      <c r="G7" t="str">
        <f t="shared" si="0"/>
        <v>VICTORIA DAUN</v>
      </c>
    </row>
    <row r="8" spans="1:7" x14ac:dyDescent="0.2">
      <c r="A8" s="4" t="s">
        <v>86</v>
      </c>
      <c r="B8" t="str">
        <f t="shared" si="1"/>
        <v>00020310714K6</v>
      </c>
      <c r="D8" s="4" t="s">
        <v>202</v>
      </c>
      <c r="E8" t="s">
        <v>203</v>
      </c>
      <c r="F8" t="s">
        <v>204</v>
      </c>
      <c r="G8" t="str">
        <f t="shared" si="0"/>
        <v>LENORE VICTOR</v>
      </c>
    </row>
    <row r="9" spans="1:7" x14ac:dyDescent="0.2">
      <c r="A9" s="4" t="s">
        <v>90</v>
      </c>
      <c r="B9" t="str">
        <f t="shared" si="1"/>
        <v>00022936899K6</v>
      </c>
      <c r="D9" s="4" t="s">
        <v>205</v>
      </c>
      <c r="E9" t="s">
        <v>206</v>
      </c>
      <c r="G9" t="str">
        <f t="shared" si="0"/>
        <v>GHEORGHE ZAICA</v>
      </c>
    </row>
    <row r="10" spans="1:7" x14ac:dyDescent="0.2">
      <c r="A10" s="4" t="s">
        <v>93</v>
      </c>
      <c r="B10" t="str">
        <f t="shared" si="1"/>
        <v>00023307783K6</v>
      </c>
      <c r="D10" s="4" t="s">
        <v>207</v>
      </c>
      <c r="E10" t="s">
        <v>208</v>
      </c>
      <c r="F10" t="s">
        <v>133</v>
      </c>
      <c r="G10" t="str">
        <f t="shared" si="0"/>
        <v>ALAN KAPLAN</v>
      </c>
    </row>
    <row r="11" spans="1:7" x14ac:dyDescent="0.2">
      <c r="A11" s="6" t="s">
        <v>97</v>
      </c>
      <c r="B11" t="str">
        <f>CONCATENATE(A11,9)</f>
        <v>00013199675K9</v>
      </c>
      <c r="D11" s="6" t="s">
        <v>209</v>
      </c>
      <c r="E11" t="s">
        <v>210</v>
      </c>
      <c r="F11" t="s">
        <v>189</v>
      </c>
      <c r="G11" t="str">
        <f t="shared" si="0"/>
        <v>FRYDA CASTILLO</v>
      </c>
    </row>
    <row r="12" spans="1:7" x14ac:dyDescent="0.2">
      <c r="A12" s="4" t="s">
        <v>101</v>
      </c>
      <c r="B12" t="str">
        <f t="shared" ref="B12:B13" si="2">CONCATENATE(A12,6)</f>
        <v>00023308495K6</v>
      </c>
      <c r="D12" s="4" t="s">
        <v>211</v>
      </c>
      <c r="E12" t="s">
        <v>212</v>
      </c>
      <c r="F12" t="s">
        <v>201</v>
      </c>
      <c r="G12" t="str">
        <f t="shared" si="0"/>
        <v>ANN HOFFMAN</v>
      </c>
    </row>
    <row r="13" spans="1:7" x14ac:dyDescent="0.2">
      <c r="A13" s="4" t="s">
        <v>106</v>
      </c>
      <c r="B13" t="str">
        <f t="shared" si="2"/>
        <v>00023305563K6</v>
      </c>
      <c r="D13" s="4" t="s">
        <v>213</v>
      </c>
      <c r="E13" t="s">
        <v>214</v>
      </c>
      <c r="F13" t="s">
        <v>215</v>
      </c>
      <c r="G13" t="str">
        <f t="shared" si="0"/>
        <v>FRANCES KERR</v>
      </c>
    </row>
    <row r="14" spans="1:7" x14ac:dyDescent="0.2">
      <c r="A14" s="6" t="s">
        <v>110</v>
      </c>
      <c r="B14" t="str">
        <f>CONCATENATE(A14,9)</f>
        <v>00023298890K9</v>
      </c>
      <c r="D14" s="6" t="s">
        <v>216</v>
      </c>
      <c r="E14" t="s">
        <v>217</v>
      </c>
      <c r="F14" t="s">
        <v>201</v>
      </c>
      <c r="G14" t="str">
        <f t="shared" si="0"/>
        <v>TERRY KOLB</v>
      </c>
    </row>
    <row r="15" spans="1:7" x14ac:dyDescent="0.2">
      <c r="A15" s="4" t="s">
        <v>115</v>
      </c>
      <c r="B15" t="str">
        <f t="shared" ref="B15:B18" si="3">CONCATENATE(A15,6)</f>
        <v>00023300360K6</v>
      </c>
      <c r="D15" s="4" t="s">
        <v>207</v>
      </c>
      <c r="E15" t="s">
        <v>218</v>
      </c>
      <c r="F15" t="s">
        <v>196</v>
      </c>
      <c r="G15" t="str">
        <f t="shared" si="0"/>
        <v>ANDREA KAPLAN</v>
      </c>
    </row>
    <row r="16" spans="1:7" x14ac:dyDescent="0.2">
      <c r="A16" s="4" t="s">
        <v>119</v>
      </c>
      <c r="B16" t="str">
        <f t="shared" si="3"/>
        <v>00019767533K6</v>
      </c>
      <c r="D16" s="4" t="s">
        <v>219</v>
      </c>
      <c r="E16" t="s">
        <v>220</v>
      </c>
      <c r="F16" t="s">
        <v>201</v>
      </c>
      <c r="G16" t="str">
        <f t="shared" si="0"/>
        <v>LAURA SMITH</v>
      </c>
    </row>
    <row r="17" spans="1:7" x14ac:dyDescent="0.2">
      <c r="A17" s="4" t="s">
        <v>123</v>
      </c>
      <c r="B17" t="str">
        <f t="shared" si="3"/>
        <v>00023063791K6</v>
      </c>
      <c r="D17" s="4" t="s">
        <v>221</v>
      </c>
      <c r="E17" t="s">
        <v>222</v>
      </c>
      <c r="F17" t="s">
        <v>204</v>
      </c>
      <c r="G17" t="str">
        <f t="shared" si="0"/>
        <v>TORRES GALINDO</v>
      </c>
    </row>
    <row r="18" spans="1:7" x14ac:dyDescent="0.2">
      <c r="A18" s="4" t="s">
        <v>127</v>
      </c>
      <c r="B18" t="str">
        <f t="shared" si="3"/>
        <v>00023304076K6</v>
      </c>
      <c r="D18" s="4" t="s">
        <v>223</v>
      </c>
      <c r="E18" t="s">
        <v>224</v>
      </c>
      <c r="F18" t="s">
        <v>225</v>
      </c>
      <c r="G18" t="str">
        <f t="shared" si="0"/>
        <v>WILLIAM RAKES</v>
      </c>
    </row>
    <row r="19" spans="1:7" x14ac:dyDescent="0.2">
      <c r="A19" s="18">
        <v>3245007030</v>
      </c>
      <c r="B19" t="str">
        <f>CONCATENATE(A19,4)</f>
        <v>32450070304</v>
      </c>
      <c r="D19" s="16" t="s">
        <v>226</v>
      </c>
      <c r="E19" t="s">
        <v>227</v>
      </c>
      <c r="G19" t="str">
        <f t="shared" si="0"/>
        <v>Allan Moss</v>
      </c>
    </row>
    <row r="20" spans="1:7" x14ac:dyDescent="0.2">
      <c r="A20" s="18">
        <v>9025228750</v>
      </c>
      <c r="B20" t="str">
        <f>CONCATENATE(A20,4)</f>
        <v>90252287504</v>
      </c>
      <c r="D20" s="16" t="s">
        <v>228</v>
      </c>
      <c r="E20" t="s">
        <v>229</v>
      </c>
      <c r="G20" t="str">
        <f t="shared" si="0"/>
        <v>Barbara Hanahan</v>
      </c>
    </row>
    <row r="21" spans="1:7" x14ac:dyDescent="0.2">
      <c r="A21" s="11" t="s">
        <v>140</v>
      </c>
      <c r="B21" t="str">
        <f>CONCATENATE(A21,8)</f>
        <v>00000960540A8</v>
      </c>
      <c r="D21" s="11" t="s">
        <v>230</v>
      </c>
      <c r="E21" t="s">
        <v>231</v>
      </c>
      <c r="F21" t="s">
        <v>201</v>
      </c>
      <c r="G21" t="str">
        <f t="shared" si="0"/>
        <v>SHERRY SUTHERLAND</v>
      </c>
    </row>
    <row r="22" spans="1:7" x14ac:dyDescent="0.2">
      <c r="A22" s="18">
        <v>9030370880</v>
      </c>
      <c r="B22" t="str">
        <f t="shared" ref="B22:B25" si="4">CONCATENATE(A22,4)</f>
        <v>90303708804</v>
      </c>
      <c r="D22" s="16" t="s">
        <v>232</v>
      </c>
      <c r="E22" t="s">
        <v>233</v>
      </c>
      <c r="G22" t="str">
        <f t="shared" si="0"/>
        <v>Lisa Aiello</v>
      </c>
    </row>
    <row r="23" spans="1:7" x14ac:dyDescent="0.2">
      <c r="A23" s="18">
        <v>9030115330</v>
      </c>
      <c r="B23" t="str">
        <f t="shared" si="4"/>
        <v>90301153304</v>
      </c>
      <c r="D23" s="16" t="s">
        <v>234</v>
      </c>
      <c r="E23" t="s">
        <v>235</v>
      </c>
      <c r="G23" t="str">
        <f t="shared" si="0"/>
        <v>Jon Rudden</v>
      </c>
    </row>
    <row r="24" spans="1:7" x14ac:dyDescent="0.2">
      <c r="A24" s="18">
        <v>9030377310</v>
      </c>
      <c r="B24" t="str">
        <f t="shared" si="4"/>
        <v>90303773104</v>
      </c>
      <c r="D24" s="16" t="s">
        <v>236</v>
      </c>
      <c r="E24" t="s">
        <v>237</v>
      </c>
      <c r="F24" t="s">
        <v>196</v>
      </c>
      <c r="G24" t="str">
        <f t="shared" si="0"/>
        <v>Shane Reardon-Bressi</v>
      </c>
    </row>
    <row r="25" spans="1:7" x14ac:dyDescent="0.2">
      <c r="A25" s="18">
        <v>9030450680</v>
      </c>
      <c r="B25" t="str">
        <f t="shared" si="4"/>
        <v>90304506804</v>
      </c>
      <c r="D25" s="16" t="s">
        <v>238</v>
      </c>
      <c r="E25" t="s">
        <v>239</v>
      </c>
      <c r="G25" t="str">
        <f t="shared" si="0"/>
        <v>Patrick Breedy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2025-05-01T23:10:24Z</dcterms:created>
  <dcterms:modified xsi:type="dcterms:W3CDTF">2025-05-07T12:49:31Z</dcterms:modified>
</cp:coreProperties>
</file>