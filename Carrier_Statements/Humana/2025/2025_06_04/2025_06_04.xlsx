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2025\6-4-25\"/>
    </mc:Choice>
  </mc:AlternateContent>
  <xr:revisionPtr revIDLastSave="0" documentId="13_ncr:1_{EA0EFF9B-76A4-4036-900B-464DBA45C342}" xr6:coauthVersionLast="47" xr6:coauthVersionMax="47" xr10:uidLastSave="{00000000-0000-0000-0000-000000000000}"/>
  <bookViews>
    <workbookView xWindow="28680" yWindow="-2520" windowWidth="29040" windowHeight="16440" activeTab="1" xr2:uid="{B847200A-1BF7-4A5C-8B6E-01E957241453}"/>
  </bookViews>
  <sheets>
    <sheet name="CommissionData_1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19" i="3" l="1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172" i="3"/>
  <c r="B171" i="3"/>
  <c r="B181" i="3"/>
  <c r="B180" i="3"/>
  <c r="B179" i="3"/>
  <c r="B178" i="3"/>
  <c r="B177" i="3"/>
  <c r="B176" i="3"/>
  <c r="B175" i="3"/>
  <c r="B174" i="3"/>
  <c r="B173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32" i="3"/>
  <c r="B30" i="3"/>
  <c r="B31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B1" i="3"/>
  <c r="R169" i="2"/>
  <c r="R154" i="2"/>
  <c r="R153" i="2"/>
  <c r="R151" i="2"/>
  <c r="R146" i="2"/>
  <c r="R123" i="2"/>
  <c r="R33" i="2"/>
  <c r="R121" i="2"/>
  <c r="R31" i="2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1" i="3"/>
</calcChain>
</file>

<file path=xl/sharedStrings.xml><?xml version="1.0" encoding="utf-8"?>
<sst xmlns="http://schemas.openxmlformats.org/spreadsheetml/2006/main" count="6641" uniqueCount="963">
  <si>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</si>
  <si>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</si>
  <si>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</si>
  <si>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</si>
  <si>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</si>
  <si>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</si>
  <si>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</si>
  <si>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</si>
  <si>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</si>
  <si>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</si>
  <si>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</si>
  <si>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</si>
  <si>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</si>
  <si>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</si>
  <si>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</si>
  <si>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</si>
  <si>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</si>
  <si>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</si>
  <si>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</si>
  <si>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</si>
  <si>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</si>
  <si>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</si>
  <si>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</si>
  <si>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</si>
  <si>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</si>
  <si>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</si>
  <si>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</si>
  <si>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</si>
  <si>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</si>
  <si>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</si>
  <si>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</si>
  <si>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</si>
  <si>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</si>
  <si>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</si>
  <si>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</si>
  <si>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</si>
  <si>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</si>
  <si>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</si>
  <si>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</si>
  <si>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</si>
  <si>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</si>
  <si>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</si>
  <si>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LISKOVEC FRANK E</t>
  </si>
  <si>
    <t>PETTERSEN DEBORAH R</t>
  </si>
  <si>
    <t>00023362985K</t>
  </si>
  <si>
    <t>3R56JE1AM43</t>
  </si>
  <si>
    <t/>
  </si>
  <si>
    <t>MA</t>
  </si>
  <si>
    <t>LV</t>
  </si>
  <si>
    <t>JUN</t>
  </si>
  <si>
    <t>F</t>
  </si>
  <si>
    <t>MEDICARE</t>
  </si>
  <si>
    <t>MEP</t>
  </si>
  <si>
    <t>MEDICARE 2ND HALF FIRST YEAR COMM</t>
  </si>
  <si>
    <t>MED2</t>
  </si>
  <si>
    <t>H5216</t>
  </si>
  <si>
    <t>KOSAR LINDA S</t>
  </si>
  <si>
    <t>00023380372K</t>
  </si>
  <si>
    <t>7UY0UP8VP20</t>
  </si>
  <si>
    <t>FIRST YEAR COMMISSIONS</t>
  </si>
  <si>
    <t>ARCF</t>
  </si>
  <si>
    <t>KOSAR DAVID A</t>
  </si>
  <si>
    <t>00023380373K</t>
  </si>
  <si>
    <t>1Y33DH8UT96</t>
  </si>
  <si>
    <t>CHOI ANDREW J</t>
  </si>
  <si>
    <t>DICKSON RANDOLPH J</t>
  </si>
  <si>
    <t>00023326681K</t>
  </si>
  <si>
    <t>9WE8Y72RM41</t>
  </si>
  <si>
    <t>KIM JOHN</t>
  </si>
  <si>
    <t>00023363788K</t>
  </si>
  <si>
    <t>7A24C29ND73</t>
  </si>
  <si>
    <t>TEIPEL GREGORY K</t>
  </si>
  <si>
    <t>DOLL CAMMY L</t>
  </si>
  <si>
    <t>00014035131K</t>
  </si>
  <si>
    <t>4NK9Q26WM36</t>
  </si>
  <si>
    <t>MER</t>
  </si>
  <si>
    <t>H1468</t>
  </si>
  <si>
    <t>FOLTZ KATHERINE M</t>
  </si>
  <si>
    <t>00022397306K</t>
  </si>
  <si>
    <t>6WG0NV5YF18</t>
  </si>
  <si>
    <t>H0028</t>
  </si>
  <si>
    <t>RODECK JEANNE E</t>
  </si>
  <si>
    <t>00023317944K</t>
  </si>
  <si>
    <t>1HV2AT9TD87</t>
  </si>
  <si>
    <t>JUL</t>
  </si>
  <si>
    <t>SWEARENGIN VERNON R</t>
  </si>
  <si>
    <t>00023362643K</t>
  </si>
  <si>
    <t>2R73HW7NJ73</t>
  </si>
  <si>
    <t>MRO</t>
  </si>
  <si>
    <t>H4623</t>
  </si>
  <si>
    <t>LEE JOEL N</t>
  </si>
  <si>
    <t>DRAPER DAVID W</t>
  </si>
  <si>
    <t>00023336024K</t>
  </si>
  <si>
    <t>2TN1K05FM08</t>
  </si>
  <si>
    <t>HUNSBERGER ANTHONY J</t>
  </si>
  <si>
    <t>WILTGEN MICHAEL J</t>
  </si>
  <si>
    <t>00023312563K</t>
  </si>
  <si>
    <t>4NN7W75AM58</t>
  </si>
  <si>
    <t>MAY</t>
  </si>
  <si>
    <t>HUBBARD JASON K</t>
  </si>
  <si>
    <t>00023317598K</t>
  </si>
  <si>
    <t>2DD9N54DW18</t>
  </si>
  <si>
    <t>WALKER WILLIAMSON K S</t>
  </si>
  <si>
    <t>00023338585K</t>
  </si>
  <si>
    <t>4NR6JF6GP63</t>
  </si>
  <si>
    <t>SANCHEZ ELVIRA</t>
  </si>
  <si>
    <t>00023375098K</t>
  </si>
  <si>
    <t>5AC6D71WP51</t>
  </si>
  <si>
    <t>LOVASIK THERESA E</t>
  </si>
  <si>
    <t>00023376879K</t>
  </si>
  <si>
    <t>6UC5TU7TM89</t>
  </si>
  <si>
    <t>LOVASIK PETR</t>
  </si>
  <si>
    <t>00023379399K</t>
  </si>
  <si>
    <t>5QN7PK7PM30</t>
  </si>
  <si>
    <t>HOFFMANN JASON R</t>
  </si>
  <si>
    <t>GIOVINCO MARY E</t>
  </si>
  <si>
    <t>00021801538K</t>
  </si>
  <si>
    <t>1XC1PK3DR03</t>
  </si>
  <si>
    <t>R</t>
  </si>
  <si>
    <t>RENEWAL COMMISSIONS</t>
  </si>
  <si>
    <t>ARCM</t>
  </si>
  <si>
    <t>YALE RICHARD A A</t>
  </si>
  <si>
    <t>GARBACZ ROGER R</t>
  </si>
  <si>
    <t>00023312872K</t>
  </si>
  <si>
    <t>7FA7M83AA79</t>
  </si>
  <si>
    <t>BERGERSEN LAURA M</t>
  </si>
  <si>
    <t>00023345760K</t>
  </si>
  <si>
    <t>8QW4R61PJ02</t>
  </si>
  <si>
    <t>SINGH GURBACHAN</t>
  </si>
  <si>
    <t>00023358106K</t>
  </si>
  <si>
    <t>3RP8VJ4UY48</t>
  </si>
  <si>
    <t>WARDA EDWARD</t>
  </si>
  <si>
    <t>00023381885K</t>
  </si>
  <si>
    <t>3CA1E78EK17</t>
  </si>
  <si>
    <t>AUG</t>
  </si>
  <si>
    <t>ALOFF JONATHAN</t>
  </si>
  <si>
    <t>STRICKER KEITH W</t>
  </si>
  <si>
    <t>00023364862K</t>
  </si>
  <si>
    <t>1RT2YQ5QC14</t>
  </si>
  <si>
    <t>RICHTER PETER L</t>
  </si>
  <si>
    <t>ORLANDO DUANE J</t>
  </si>
  <si>
    <t>00023316519K</t>
  </si>
  <si>
    <t>5V51C54XC15</t>
  </si>
  <si>
    <t>GESKE HEATHER M</t>
  </si>
  <si>
    <t>FONT KATHERINE T</t>
  </si>
  <si>
    <t>00023318422K</t>
  </si>
  <si>
    <t>1CG7U82KY63</t>
  </si>
  <si>
    <t>DRAPAC STEPHANIE E</t>
  </si>
  <si>
    <t>BENEDICT MICHAEL W</t>
  </si>
  <si>
    <t>00023351659K</t>
  </si>
  <si>
    <t>2C79MW0WD30</t>
  </si>
  <si>
    <t>BERGSTROM LINDA</t>
  </si>
  <si>
    <t>00023376956K</t>
  </si>
  <si>
    <t>8AT3V74XK91</t>
  </si>
  <si>
    <t>BOONE III HOWARD C</t>
  </si>
  <si>
    <t>00023381691K</t>
  </si>
  <si>
    <t>8NX2MG4XA87</t>
  </si>
  <si>
    <t>DRAPAC CYNTHIA L</t>
  </si>
  <si>
    <t>00023387842K</t>
  </si>
  <si>
    <t>6UD5KP1JJ50</t>
  </si>
  <si>
    <t>HERRERA-LARSEN ESTHER M</t>
  </si>
  <si>
    <t>CASTRO LOPEZ MARIO</t>
  </si>
  <si>
    <t>00010609758K</t>
  </si>
  <si>
    <t>2C27G23JJ20</t>
  </si>
  <si>
    <t>SAUSER BILL W</t>
  </si>
  <si>
    <t>00023373372K</t>
  </si>
  <si>
    <t>8YN7RM7JA59</t>
  </si>
  <si>
    <t>FOLEY CAROL</t>
  </si>
  <si>
    <t>SCHLESS LAURITS H</t>
  </si>
  <si>
    <t>00023328919K</t>
  </si>
  <si>
    <t>4AA3N48VA89</t>
  </si>
  <si>
    <t>PDP</t>
  </si>
  <si>
    <t>S5884</t>
  </si>
  <si>
    <t>IZENSTARK JUCELIA</t>
  </si>
  <si>
    <t>00023330781K</t>
  </si>
  <si>
    <t>4RK2AG1ND00</t>
  </si>
  <si>
    <t>PORTUGAL GARY</t>
  </si>
  <si>
    <t>PUTMAN TIMOTHY L</t>
  </si>
  <si>
    <t>00000646024D</t>
  </si>
  <si>
    <t>4G23J02RR84</t>
  </si>
  <si>
    <t>TYK ROGER E</t>
  </si>
  <si>
    <t>00011895530K</t>
  </si>
  <si>
    <t>1J47JK5ER46</t>
  </si>
  <si>
    <t>FEB</t>
  </si>
  <si>
    <t>VAVRINCHIK PAUL S</t>
  </si>
  <si>
    <t>00023366415K</t>
  </si>
  <si>
    <t>9WY5FV8EN40</t>
  </si>
  <si>
    <t>DROBYSH THOMAS M</t>
  </si>
  <si>
    <t>00023379873K</t>
  </si>
  <si>
    <t>2PP7XP2YY39</t>
  </si>
  <si>
    <t>HODGMAN TIMOTHY</t>
  </si>
  <si>
    <t>CAREY JAMES J</t>
  </si>
  <si>
    <t>00023387383K</t>
  </si>
  <si>
    <t>6N18KJ6MY38</t>
  </si>
  <si>
    <t>LONG PATRICIA M</t>
  </si>
  <si>
    <t>LAUBACH DIANNE J</t>
  </si>
  <si>
    <t>00023335576K</t>
  </si>
  <si>
    <t>3GT1FR0FQ15</t>
  </si>
  <si>
    <t>ROMAN PORFIRIO</t>
  </si>
  <si>
    <t>00023364263K</t>
  </si>
  <si>
    <t>3PQ4PJ6VU86</t>
  </si>
  <si>
    <t>H5525</t>
  </si>
  <si>
    <t>YALE JACOB D</t>
  </si>
  <si>
    <t>ZARDESKAS JAMES M</t>
  </si>
  <si>
    <t>00023334479K</t>
  </si>
  <si>
    <t>8EJ1HP2AD18</t>
  </si>
  <si>
    <t>ANDERSON RICHARD A</t>
  </si>
  <si>
    <t>00023385843K</t>
  </si>
  <si>
    <t>1M52VJ7DG09</t>
  </si>
  <si>
    <t>MAX RONALD J</t>
  </si>
  <si>
    <t>TRIPP KRYSTAL R</t>
  </si>
  <si>
    <t>00023335925K</t>
  </si>
  <si>
    <t>5GJ6UY9PG71</t>
  </si>
  <si>
    <t>ABDUL SAADIA S</t>
  </si>
  <si>
    <t>KARAKOSTA SYLVIA</t>
  </si>
  <si>
    <t>00023340223K</t>
  </si>
  <si>
    <t>3TU2NQ9CP85</t>
  </si>
  <si>
    <t>SANTOS RICARDO D</t>
  </si>
  <si>
    <t>APULI JOSEFINA D</t>
  </si>
  <si>
    <t>00022126595K</t>
  </si>
  <si>
    <t>6AV9KV1TF48</t>
  </si>
  <si>
    <t>JAN</t>
  </si>
  <si>
    <t>DUNN BARRY R</t>
  </si>
  <si>
    <t>00023312330K</t>
  </si>
  <si>
    <t>5HE9PK8AV30</t>
  </si>
  <si>
    <t>DUNAVANT MICHAEL</t>
  </si>
  <si>
    <t>ROUND LAURIE J</t>
  </si>
  <si>
    <t>00023368889K</t>
  </si>
  <si>
    <t>7PR3T38TD93</t>
  </si>
  <si>
    <t>PORTUGAL STACEY A</t>
  </si>
  <si>
    <t>STROEDE NORINE K</t>
  </si>
  <si>
    <t>00023312492K</t>
  </si>
  <si>
    <t>2NR6XC8VR84</t>
  </si>
  <si>
    <t>KOZACHECK ANNE MARIE</t>
  </si>
  <si>
    <t>MCCONLOGUE BARBARA J</t>
  </si>
  <si>
    <t>00023330660K</t>
  </si>
  <si>
    <t>3G04X66VK77</t>
  </si>
  <si>
    <t>ROBINSON PAUL</t>
  </si>
  <si>
    <t>ORTMANN MARGARET M</t>
  </si>
  <si>
    <t>00022508972K</t>
  </si>
  <si>
    <t>8PA0TR4AP49</t>
  </si>
  <si>
    <t>ORTMANN GARY J</t>
  </si>
  <si>
    <t>00022869335K</t>
  </si>
  <si>
    <t>8JF4MM8RF77</t>
  </si>
  <si>
    <t>STROHMAN BRIAN C</t>
  </si>
  <si>
    <t>WILLIAMS MARSHA L</t>
  </si>
  <si>
    <t>00023322186K</t>
  </si>
  <si>
    <t>5WP9DA3YY48</t>
  </si>
  <si>
    <t>DEATON PAMELA S</t>
  </si>
  <si>
    <t>MCCUMSEY CONNIE S</t>
  </si>
  <si>
    <t>00000997639A</t>
  </si>
  <si>
    <t>MS</t>
  </si>
  <si>
    <t>MED SUPP ANNUALIZED STANDARD</t>
  </si>
  <si>
    <t>MSAS</t>
  </si>
  <si>
    <t>PETERSON DONNA J</t>
  </si>
  <si>
    <t>00000998111A</t>
  </si>
  <si>
    <t>Schmidt Rebekah</t>
  </si>
  <si>
    <t>3208409570</t>
  </si>
  <si>
    <t>IN</t>
  </si>
  <si>
    <t>CB</t>
  </si>
  <si>
    <t>VISION</t>
  </si>
  <si>
    <t>COMPBENEFITS RENEWAL COMMISSION</t>
  </si>
  <si>
    <t>CRCM</t>
  </si>
  <si>
    <t>Baker Michael</t>
  </si>
  <si>
    <t>3249034970</t>
  </si>
  <si>
    <t>DENTAL</t>
  </si>
  <si>
    <t>Taber Carrie</t>
  </si>
  <si>
    <t>9028342740</t>
  </si>
  <si>
    <t>McClure Jessica</t>
  </si>
  <si>
    <t>9028454930</t>
  </si>
  <si>
    <t>Thompson Therese</t>
  </si>
  <si>
    <t>9029564860</t>
  </si>
  <si>
    <t>COMPBENEFITS FIRST YEAR COMMISSION</t>
  </si>
  <si>
    <t>CRCF</t>
  </si>
  <si>
    <t>Petrovic Janine</t>
  </si>
  <si>
    <t>9029660210</t>
  </si>
  <si>
    <t>Finlen Carla</t>
  </si>
  <si>
    <t>9029685590</t>
  </si>
  <si>
    <t>9029685600</t>
  </si>
  <si>
    <t>Taylor Larry</t>
  </si>
  <si>
    <t>9029700250</t>
  </si>
  <si>
    <t>9029700260</t>
  </si>
  <si>
    <t>Larimer Angela</t>
  </si>
  <si>
    <t>9029715470</t>
  </si>
  <si>
    <t>Davison Kimberly</t>
  </si>
  <si>
    <t>9029766060</t>
  </si>
  <si>
    <t>Breuer Sharon</t>
  </si>
  <si>
    <t>9030397080</t>
  </si>
  <si>
    <t>TATRO MELISSA</t>
  </si>
  <si>
    <t>JMM COUNSELING PLLC</t>
  </si>
  <si>
    <t>000000416402</t>
  </si>
  <si>
    <t>GR</t>
  </si>
  <si>
    <t>EM</t>
  </si>
  <si>
    <t>HEAD HEART THERAPY</t>
  </si>
  <si>
    <t>000000416583</t>
  </si>
  <si>
    <t>RELATIONAL PSYCHOLOGY GRO</t>
  </si>
  <si>
    <t>000000416700</t>
  </si>
  <si>
    <t>DIMEX LLC</t>
  </si>
  <si>
    <t>000000845819</t>
  </si>
  <si>
    <t>ENK JULIE A</t>
  </si>
  <si>
    <t>00000993970A</t>
  </si>
  <si>
    <t>KOSS JOYCE E</t>
  </si>
  <si>
    <t>00001001114A</t>
  </si>
  <si>
    <t>KOSS WILLIAM J</t>
  </si>
  <si>
    <t>00001001591A</t>
  </si>
  <si>
    <t>Moss Allan</t>
  </si>
  <si>
    <t>3245007030</t>
  </si>
  <si>
    <t>Hanahan Barbara</t>
  </si>
  <si>
    <t>9025228750</t>
  </si>
  <si>
    <t>VAGNONI BONNIE M</t>
  </si>
  <si>
    <t>00000770493A</t>
  </si>
  <si>
    <t>MED SUPP RENEWAL ACHIEVE</t>
  </si>
  <si>
    <t>MSRA</t>
  </si>
  <si>
    <t>MOFFAT STEVE C</t>
  </si>
  <si>
    <t>00000779014A</t>
  </si>
  <si>
    <t>FATSIS CINDY L</t>
  </si>
  <si>
    <t>00000795448A</t>
  </si>
  <si>
    <t>KEPHART NORMA K</t>
  </si>
  <si>
    <t>00000808018A</t>
  </si>
  <si>
    <t>RICHTER ADAM J</t>
  </si>
  <si>
    <t>ROBOTHAM ANNE M</t>
  </si>
  <si>
    <t>00000993603A</t>
  </si>
  <si>
    <t>HANCOCK RICHARD L</t>
  </si>
  <si>
    <t>00000994010A</t>
  </si>
  <si>
    <t>ASHTON MICHAEL W</t>
  </si>
  <si>
    <t>00000994651A</t>
  </si>
  <si>
    <t>ULRICH ANTONIA H</t>
  </si>
  <si>
    <t>00000995405A</t>
  </si>
  <si>
    <t>SHUTT ROBIN L</t>
  </si>
  <si>
    <t>00001000748A</t>
  </si>
  <si>
    <t>KUCAN THOMAS</t>
  </si>
  <si>
    <t>BECK DEBRA A</t>
  </si>
  <si>
    <t>00000776552A</t>
  </si>
  <si>
    <t>PARADIS ELIZABETH A</t>
  </si>
  <si>
    <t>00000782684A</t>
  </si>
  <si>
    <t>INSKIPT DEBORAH L</t>
  </si>
  <si>
    <t>SPROUSE DONALD E</t>
  </si>
  <si>
    <t>00000754585A</t>
  </si>
  <si>
    <t>CRAIG BARBARA J</t>
  </si>
  <si>
    <t>00000770425A</t>
  </si>
  <si>
    <t>CRAIG DONALD H</t>
  </si>
  <si>
    <t>00000770562A</t>
  </si>
  <si>
    <t>BARNER DENISE A</t>
  </si>
  <si>
    <t>00000770807A</t>
  </si>
  <si>
    <t>KELLY DARCY L</t>
  </si>
  <si>
    <t>00000775340A</t>
  </si>
  <si>
    <t>HARPER LYNNE E</t>
  </si>
  <si>
    <t>00000776436A</t>
  </si>
  <si>
    <t>GILDEN ROBIN E</t>
  </si>
  <si>
    <t>00000777658A</t>
  </si>
  <si>
    <t>REBMANN MAUREEN M</t>
  </si>
  <si>
    <t>00000784750A</t>
  </si>
  <si>
    <t>REBMANN EDWARD C</t>
  </si>
  <si>
    <t>00000786056A</t>
  </si>
  <si>
    <t>SCISCIANI DAVID A</t>
  </si>
  <si>
    <t>00000790321A</t>
  </si>
  <si>
    <t>KELLY JOHN R</t>
  </si>
  <si>
    <t>00000801899A</t>
  </si>
  <si>
    <t>COFFMAN BRIAN D</t>
  </si>
  <si>
    <t>00000804864A</t>
  </si>
  <si>
    <t>WILLIAMS DEBRA A</t>
  </si>
  <si>
    <t>00000809128A</t>
  </si>
  <si>
    <t>GRESS LISA M</t>
  </si>
  <si>
    <t>00000810902A</t>
  </si>
  <si>
    <t>MOMEYER WILLIAM J</t>
  </si>
  <si>
    <t>00000812465A</t>
  </si>
  <si>
    <t>RICCI SHERRY A</t>
  </si>
  <si>
    <t>00000825606A</t>
  </si>
  <si>
    <t>BARNER JAMES M</t>
  </si>
  <si>
    <t>00000838223A</t>
  </si>
  <si>
    <t>SZOST PHILIP</t>
  </si>
  <si>
    <t>00000840020A</t>
  </si>
  <si>
    <t>Madigan Kathleen</t>
  </si>
  <si>
    <t>9029971470</t>
  </si>
  <si>
    <t>DUNBAR DOLORES V</t>
  </si>
  <si>
    <t>CARBAJAL ESTEBAN</t>
  </si>
  <si>
    <t>00000817901A</t>
  </si>
  <si>
    <t>MCCORKLE MICHELLE</t>
  </si>
  <si>
    <t>Johnston Barbara A</t>
  </si>
  <si>
    <t>9030005380</t>
  </si>
  <si>
    <t>McCorkle Michelle M</t>
  </si>
  <si>
    <t>9030108580</t>
  </si>
  <si>
    <t>Ricciuti Angela</t>
  </si>
  <si>
    <t>9030267890</t>
  </si>
  <si>
    <t>Aiello Lisa</t>
  </si>
  <si>
    <t>9030370880</t>
  </si>
  <si>
    <t>NEWMAN LESLIE J</t>
  </si>
  <si>
    <t>00000803303A</t>
  </si>
  <si>
    <t>GREGORY ELAINE P</t>
  </si>
  <si>
    <t>00000803433A</t>
  </si>
  <si>
    <t>WILLIAMS MARJORIE D</t>
  </si>
  <si>
    <t>00000822114A</t>
  </si>
  <si>
    <t>WILLIAMS DENNIS R</t>
  </si>
  <si>
    <t>00000822229A</t>
  </si>
  <si>
    <t>BRISTEL ROBERT B</t>
  </si>
  <si>
    <t>00000836551A</t>
  </si>
  <si>
    <t>BRANDON ROSAANNA</t>
  </si>
  <si>
    <t>00000978131A</t>
  </si>
  <si>
    <t>MED SUPP ANNUALIZED ACHIEVE</t>
  </si>
  <si>
    <t>MSAA</t>
  </si>
  <si>
    <t>THOMPSON KEVIN M</t>
  </si>
  <si>
    <t>00000858729A</t>
  </si>
  <si>
    <t>EDWARDS JEROME A</t>
  </si>
  <si>
    <t>00000858732A</t>
  </si>
  <si>
    <t>KOLB TERRY L</t>
  </si>
  <si>
    <t>00000988722A</t>
  </si>
  <si>
    <t>BIGLEN THERESA A</t>
  </si>
  <si>
    <t>00000993935A</t>
  </si>
  <si>
    <t>00000995561A</t>
  </si>
  <si>
    <t>HANSEN BRIAN J</t>
  </si>
  <si>
    <t>00000992660A</t>
  </si>
  <si>
    <t>STUDEBAKER DALE A</t>
  </si>
  <si>
    <t>00000996013A</t>
  </si>
  <si>
    <t>SLEIGHT RICHARD A</t>
  </si>
  <si>
    <t>00000997201A</t>
  </si>
  <si>
    <t>SHAW ROBERT R</t>
  </si>
  <si>
    <t>00000998964A</t>
  </si>
  <si>
    <t>00001000837A</t>
  </si>
  <si>
    <t>Smith Jeffrey</t>
  </si>
  <si>
    <t>9030268320</t>
  </si>
  <si>
    <t>Gambetti Brianna</t>
  </si>
  <si>
    <t>9030544330</t>
  </si>
  <si>
    <t>9030544350</t>
  </si>
  <si>
    <t>Taylor David</t>
  </si>
  <si>
    <t>9030558330</t>
  </si>
  <si>
    <t>Magana Gutierrez Israel</t>
  </si>
  <si>
    <t>9030638300</t>
  </si>
  <si>
    <t>COSGROVE SEAN T</t>
  </si>
  <si>
    <t>00000836012A</t>
  </si>
  <si>
    <t>SAGGESE ALBERT</t>
  </si>
  <si>
    <t>00000970045A</t>
  </si>
  <si>
    <t>Carr William</t>
  </si>
  <si>
    <t>9030297670</t>
  </si>
  <si>
    <t>Reardon-Bressi Shane M</t>
  </si>
  <si>
    <t>9030377310</t>
  </si>
  <si>
    <t>Humana 65-80 AL, AZ, AR, GA, etc. All Except N OE &amp; UW</t>
  </si>
  <si>
    <t>Humana AL, AZ, AR, GA, etc. Plan N OE &amp; UW</t>
  </si>
  <si>
    <t>Humana Dental &amp; Vision</t>
  </si>
  <si>
    <t>Humana Group 2025</t>
  </si>
  <si>
    <t>Humana 81+ AL, AZ, AR, GA, etc. All Except N OE &amp; UW</t>
  </si>
  <si>
    <t>Humana MedSupp U65</t>
  </si>
  <si>
    <t>Humana MAPD 2025*</t>
  </si>
  <si>
    <t>Humana PDP 2025!</t>
  </si>
  <si>
    <t>[%/$=313][prorate=7/12]</t>
  </si>
  <si>
    <t>[%/$=313][prorate=6/12]</t>
  </si>
  <si>
    <t>[%/$=313][prorate=5/12]</t>
  </si>
  <si>
    <t>[%/$=313][prorate=1/12]</t>
  </si>
  <si>
    <t>[%/$=313][prorate=8/12]</t>
  </si>
  <si>
    <t>[%/$=353][prorate=7/12]</t>
  </si>
  <si>
    <t>Humana 2025 CT, PA, DC *</t>
  </si>
  <si>
    <t>Humana 2025 CT, PA, DC</t>
  </si>
  <si>
    <t>[%/$=313][prorate=12/12]</t>
  </si>
  <si>
    <t>Humana 2025 CA, NJ</t>
  </si>
  <si>
    <t>Humana 2025 CA, NJ*</t>
  </si>
  <si>
    <t>Humana 2025</t>
  </si>
  <si>
    <t>[%/$=390][prorate=8/12]</t>
  </si>
  <si>
    <t>[%/$=780]</t>
  </si>
  <si>
    <t>[%/$=626]</t>
  </si>
  <si>
    <t>[%/$=705]</t>
  </si>
  <si>
    <t>KELLY</t>
  </si>
  <si>
    <t>JOHN</t>
  </si>
  <si>
    <t>BRANDON</t>
  </si>
  <si>
    <t>ROSAANNA</t>
  </si>
  <si>
    <t>SAGGESE</t>
  </si>
  <si>
    <t>ALBERT</t>
  </si>
  <si>
    <t>MCCUMSEY</t>
  </si>
  <si>
    <t>CONNIE</t>
  </si>
  <si>
    <t>S</t>
  </si>
  <si>
    <t>PETERSON</t>
  </si>
  <si>
    <t>DONNA</t>
  </si>
  <si>
    <t>J</t>
  </si>
  <si>
    <t>ENK</t>
  </si>
  <si>
    <t>JULIE</t>
  </si>
  <si>
    <t>A</t>
  </si>
  <si>
    <t>KOSS</t>
  </si>
  <si>
    <t>JOYCE</t>
  </si>
  <si>
    <t>E</t>
  </si>
  <si>
    <t>WILLIAM</t>
  </si>
  <si>
    <t>ROBOTHAM</t>
  </si>
  <si>
    <t>ANNE</t>
  </si>
  <si>
    <t>M</t>
  </si>
  <si>
    <t>HANCOCK</t>
  </si>
  <si>
    <t>RICHARD</t>
  </si>
  <si>
    <t>L</t>
  </si>
  <si>
    <t>ASHTON</t>
  </si>
  <si>
    <t>MICHAEL</t>
  </si>
  <si>
    <t>W</t>
  </si>
  <si>
    <t>ULRICH</t>
  </si>
  <si>
    <t>ANTONIA</t>
  </si>
  <si>
    <t>H</t>
  </si>
  <si>
    <t>SHUTT</t>
  </si>
  <si>
    <t>ROBIN</t>
  </si>
  <si>
    <t>KOLB</t>
  </si>
  <si>
    <t>TERRY</t>
  </si>
  <si>
    <t>BIGLEN</t>
  </si>
  <si>
    <t>THERESA</t>
  </si>
  <si>
    <t>TRIPP</t>
  </si>
  <si>
    <t>KRYSTAL</t>
  </si>
  <si>
    <t>HANSEN</t>
  </si>
  <si>
    <t>BRIAN</t>
  </si>
  <si>
    <t>STUDEBAKER</t>
  </si>
  <si>
    <t>DALE</t>
  </si>
  <si>
    <t>SLEIGHT</t>
  </si>
  <si>
    <t>SHAW</t>
  </si>
  <si>
    <t>ROBERT</t>
  </si>
  <si>
    <t>ROUND</t>
  </si>
  <si>
    <t>LAURIE</t>
  </si>
  <si>
    <t>VAGNONI</t>
  </si>
  <si>
    <t>BONNIE</t>
  </si>
  <si>
    <t>CRAIG</t>
  </si>
  <si>
    <t>BARBARA</t>
  </si>
  <si>
    <t>DONALD</t>
  </si>
  <si>
    <t>BARNER</t>
  </si>
  <si>
    <t>DENISE</t>
  </si>
  <si>
    <t>DARCY</t>
  </si>
  <si>
    <t>HARPER</t>
  </si>
  <si>
    <t>LYNNE</t>
  </si>
  <si>
    <t>GILDEN</t>
  </si>
  <si>
    <t>REBMANN</t>
  </si>
  <si>
    <t>MAUREEN</t>
  </si>
  <si>
    <t>EDWARD</t>
  </si>
  <si>
    <t>C</t>
  </si>
  <si>
    <t>SCISCIANI</t>
  </si>
  <si>
    <t>DAVID</t>
  </si>
  <si>
    <t>WILLIAMS</t>
  </si>
  <si>
    <t>DEBRA</t>
  </si>
  <si>
    <t>GRESS</t>
  </si>
  <si>
    <t>LISA</t>
  </si>
  <si>
    <t>MOMEYER</t>
  </si>
  <si>
    <t>RICCI</t>
  </si>
  <si>
    <t>SHERRY</t>
  </si>
  <si>
    <t>JAMES</t>
  </si>
  <si>
    <t>SZOST</t>
  </si>
  <si>
    <t>PHILIP</t>
  </si>
  <si>
    <t>NEWMAN</t>
  </si>
  <si>
    <t>LESLIE</t>
  </si>
  <si>
    <t>GREGORY</t>
  </si>
  <si>
    <t>ELAINE</t>
  </si>
  <si>
    <t>P</t>
  </si>
  <si>
    <t>MARJORIE</t>
  </si>
  <si>
    <t>D</t>
  </si>
  <si>
    <t>DENNIS</t>
  </si>
  <si>
    <t>BRISTEL</t>
  </si>
  <si>
    <t>B</t>
  </si>
  <si>
    <t>COSGROVE</t>
  </si>
  <si>
    <t>SEAN</t>
  </si>
  <si>
    <t>T</t>
  </si>
  <si>
    <t>FATSIS</t>
  </si>
  <si>
    <t>CINDY</t>
  </si>
  <si>
    <t>THOMPSON</t>
  </si>
  <si>
    <t>KEVIN</t>
  </si>
  <si>
    <t>EDWARDS</t>
  </si>
  <si>
    <t>JEROME</t>
  </si>
  <si>
    <t>BECK</t>
  </si>
  <si>
    <t>PARADIS</t>
  </si>
  <si>
    <t>ELIZABETH</t>
  </si>
  <si>
    <t>MOFFAT</t>
  </si>
  <si>
    <t>STEVE</t>
  </si>
  <si>
    <t>KEPHART</t>
  </si>
  <si>
    <t>NORMA</t>
  </si>
  <si>
    <t>K</t>
  </si>
  <si>
    <t>CARBAJAL</t>
  </si>
  <si>
    <t>ESTEBAN</t>
  </si>
  <si>
    <t>Baker</t>
  </si>
  <si>
    <t>Michael</t>
  </si>
  <si>
    <t>Petrovic</t>
  </si>
  <si>
    <t>Janine</t>
  </si>
  <si>
    <t>Finlen</t>
  </si>
  <si>
    <t>Carla</t>
  </si>
  <si>
    <t>Taylor</t>
  </si>
  <si>
    <t>Larry</t>
  </si>
  <si>
    <t>Larimer</t>
  </si>
  <si>
    <t>Angela</t>
  </si>
  <si>
    <t>Moss</t>
  </si>
  <si>
    <t>Allan</t>
  </si>
  <si>
    <t>Hanahan</t>
  </si>
  <si>
    <t>Barbara</t>
  </si>
  <si>
    <t>Carr</t>
  </si>
  <si>
    <t>William</t>
  </si>
  <si>
    <t>Thompson</t>
  </si>
  <si>
    <t>Therese</t>
  </si>
  <si>
    <t>Davison</t>
  </si>
  <si>
    <t>Kimberly</t>
  </si>
  <si>
    <t>Breuer</t>
  </si>
  <si>
    <t>Sharon</t>
  </si>
  <si>
    <t>Schmidt</t>
  </si>
  <si>
    <t>Rebekah</t>
  </si>
  <si>
    <t>Taber</t>
  </si>
  <si>
    <t>Carrie</t>
  </si>
  <si>
    <t>McClure</t>
  </si>
  <si>
    <t>Jessica</t>
  </si>
  <si>
    <t>Madigan</t>
  </si>
  <si>
    <t>Kathleen</t>
  </si>
  <si>
    <t>Johnston</t>
  </si>
  <si>
    <t>McCorkle</t>
  </si>
  <si>
    <t>Michelle</t>
  </si>
  <si>
    <t>Ricciuti</t>
  </si>
  <si>
    <t>Aiello</t>
  </si>
  <si>
    <t>Lisa</t>
  </si>
  <si>
    <t>Smith</t>
  </si>
  <si>
    <t>Jeffrey</t>
  </si>
  <si>
    <t>Gambetti</t>
  </si>
  <si>
    <t>Brianna</t>
  </si>
  <si>
    <t>David</t>
  </si>
  <si>
    <t>Magana</t>
  </si>
  <si>
    <t>Israel</t>
  </si>
  <si>
    <t>Reardon-Bressi</t>
  </si>
  <si>
    <t>Shane</t>
  </si>
  <si>
    <t>JMM</t>
  </si>
  <si>
    <t>COUNSELING</t>
  </si>
  <si>
    <t>PLLC</t>
  </si>
  <si>
    <t>HEAD</t>
  </si>
  <si>
    <t>HEART</t>
  </si>
  <si>
    <t>THERAPY</t>
  </si>
  <si>
    <t>RELATIONAL</t>
  </si>
  <si>
    <t>PSYCHOLOGY</t>
  </si>
  <si>
    <t>GRO</t>
  </si>
  <si>
    <t>DIMEX</t>
  </si>
  <si>
    <t>LLC</t>
  </si>
  <si>
    <t>KOSAR</t>
  </si>
  <si>
    <t>LINDA</t>
  </si>
  <si>
    <t>DOLL</t>
  </si>
  <si>
    <t>CAMMY</t>
  </si>
  <si>
    <t>SANCHEZ</t>
  </si>
  <si>
    <t>ELVIRA</t>
  </si>
  <si>
    <t>LOVASIK</t>
  </si>
  <si>
    <t>PETR</t>
  </si>
  <si>
    <t>WARDA</t>
  </si>
  <si>
    <t>BERGSTROM</t>
  </si>
  <si>
    <t>BOONE</t>
  </si>
  <si>
    <t>HOWARD</t>
  </si>
  <si>
    <t>DRAPAC</t>
  </si>
  <si>
    <t>CYNTHIA</t>
  </si>
  <si>
    <t>CASTRO</t>
  </si>
  <si>
    <t>MARIO</t>
  </si>
  <si>
    <t>TYK</t>
  </si>
  <si>
    <t>ROGER</t>
  </si>
  <si>
    <t>CAREY</t>
  </si>
  <si>
    <t>ANDERSON</t>
  </si>
  <si>
    <t>APULI</t>
  </si>
  <si>
    <t>JOSEFINA</t>
  </si>
  <si>
    <t>ORTMANN</t>
  </si>
  <si>
    <t>MARGARET</t>
  </si>
  <si>
    <t>GARY</t>
  </si>
  <si>
    <t>GIOVINCO</t>
  </si>
  <si>
    <t>MARY</t>
  </si>
  <si>
    <t>SPROUSE</t>
  </si>
  <si>
    <t>COFFMAN</t>
  </si>
  <si>
    <t>DROBYSH</t>
  </si>
  <si>
    <t>THOMAS</t>
  </si>
  <si>
    <t>SCHLESS</t>
  </si>
  <si>
    <t>LAURITS</t>
  </si>
  <si>
    <t>VAVRINCHIK</t>
  </si>
  <si>
    <t>PAUL</t>
  </si>
  <si>
    <t>LAUBACH</t>
  </si>
  <si>
    <t>DIANNE</t>
  </si>
  <si>
    <t>DUNN</t>
  </si>
  <si>
    <t>BARRY</t>
  </si>
  <si>
    <t>STROEDE</t>
  </si>
  <si>
    <t>NORINE</t>
  </si>
  <si>
    <t>MCCONLOGUE</t>
  </si>
  <si>
    <t>FONT</t>
  </si>
  <si>
    <t>KATHERINE</t>
  </si>
  <si>
    <t>WILTGEN</t>
  </si>
  <si>
    <t>GARBACZ</t>
  </si>
  <si>
    <t>PETTERSEN</t>
  </si>
  <si>
    <t>DEBORAH</t>
  </si>
  <si>
    <t>DICKSON</t>
  </si>
  <si>
    <t>RANDOLPH</t>
  </si>
  <si>
    <t>KIM</t>
  </si>
  <si>
    <t>FOLTZ</t>
  </si>
  <si>
    <t>SWEARENGIN</t>
  </si>
  <si>
    <t>VERNON</t>
  </si>
  <si>
    <t>DRAPER</t>
  </si>
  <si>
    <t>HUBBARD</t>
  </si>
  <si>
    <t>JASON</t>
  </si>
  <si>
    <t>WALKER</t>
  </si>
  <si>
    <t>WILLIAMSON</t>
  </si>
  <si>
    <t>SINGH</t>
  </si>
  <si>
    <t>GURBACHAN</t>
  </si>
  <si>
    <t>STRICKER</t>
  </si>
  <si>
    <t>KEITH</t>
  </si>
  <si>
    <t>BENEDICT</t>
  </si>
  <si>
    <t>SAUSER</t>
  </si>
  <si>
    <t>BILL</t>
  </si>
  <si>
    <t>IZENSTARK</t>
  </si>
  <si>
    <t>JUCELIA</t>
  </si>
  <si>
    <t>PUTMAN</t>
  </si>
  <si>
    <t>TIMOTHY</t>
  </si>
  <si>
    <t>ZARDESKAS</t>
  </si>
  <si>
    <t>KARAKOSTA</t>
  </si>
  <si>
    <t>SYLVIA</t>
  </si>
  <si>
    <t>RODECK</t>
  </si>
  <si>
    <t>JEANNE</t>
  </si>
  <si>
    <t>BERGERSEN</t>
  </si>
  <si>
    <t>LAURA</t>
  </si>
  <si>
    <t>MARSHA</t>
  </si>
  <si>
    <t>ROMAN</t>
  </si>
  <si>
    <t>PORFIRIO</t>
  </si>
  <si>
    <t>ORLANDO</t>
  </si>
  <si>
    <t>DUANE</t>
  </si>
  <si>
    <t>JOHN KELLY</t>
  </si>
  <si>
    <t>ROSAANNA BRANDON</t>
  </si>
  <si>
    <t>ALBERT SAGGESE</t>
  </si>
  <si>
    <t>CONNIE MCCUMSEY</t>
  </si>
  <si>
    <t>DONNA PETERSON</t>
  </si>
  <si>
    <t>JULIE ENK</t>
  </si>
  <si>
    <t>JOYCE KOSS</t>
  </si>
  <si>
    <t>WILLIAM KOSS</t>
  </si>
  <si>
    <t>ANNE ROBOTHAM</t>
  </si>
  <si>
    <t>RICHARD HANCOCK</t>
  </si>
  <si>
    <t>MICHAEL ASHTON</t>
  </si>
  <si>
    <t>ANTONIA ULRICH</t>
  </si>
  <si>
    <t>ROBIN SHUTT</t>
  </si>
  <si>
    <t>TERRY KOLB</t>
  </si>
  <si>
    <t>THERESA BIGLEN</t>
  </si>
  <si>
    <t>KRYSTAL TRIPP</t>
  </si>
  <si>
    <t>BRIAN HANSEN</t>
  </si>
  <si>
    <t>DALE STUDEBAKER</t>
  </si>
  <si>
    <t>RICHARD SLEIGHT</t>
  </si>
  <si>
    <t>ROBERT SHAW</t>
  </si>
  <si>
    <t>LAURIE ROUND</t>
  </si>
  <si>
    <t>BONNIE VAGNONI</t>
  </si>
  <si>
    <t>BARBARA CRAIG</t>
  </si>
  <si>
    <t>DONALD CRAIG</t>
  </si>
  <si>
    <t>DENISE BARNER</t>
  </si>
  <si>
    <t>DARCY KELLY</t>
  </si>
  <si>
    <t>LYNNE HARPER</t>
  </si>
  <si>
    <t>ROBIN GILDEN</t>
  </si>
  <si>
    <t>MAUREEN REBMANN</t>
  </si>
  <si>
    <t>EDWARD REBMANN</t>
  </si>
  <si>
    <t>DAVID SCISCIANI</t>
  </si>
  <si>
    <t>DEBRA WILLIAMS</t>
  </si>
  <si>
    <t>LISA GRESS</t>
  </si>
  <si>
    <t>WILLIAM MOMEYER</t>
  </si>
  <si>
    <t>SHERRY RICCI</t>
  </si>
  <si>
    <t>JAMES BARNER</t>
  </si>
  <si>
    <t>PHILIP SZOST</t>
  </si>
  <si>
    <t>LESLIE NEWMAN</t>
  </si>
  <si>
    <t>ELAINE GREGORY</t>
  </si>
  <si>
    <t>MARJORIE WILLIAMS</t>
  </si>
  <si>
    <t>DENNIS WILLIAMS</t>
  </si>
  <si>
    <t>ROBERT BRISTEL</t>
  </si>
  <si>
    <t>SEAN COSGROVE</t>
  </si>
  <si>
    <t>CINDY FATSIS</t>
  </si>
  <si>
    <t>KEVIN THOMPSON</t>
  </si>
  <si>
    <t>JEROME EDWARDS</t>
  </si>
  <si>
    <t>DEBRA BECK</t>
  </si>
  <si>
    <t>ELIZABETH PARADIS</t>
  </si>
  <si>
    <t>STEVE MOFFAT</t>
  </si>
  <si>
    <t>NORMA KEPHART</t>
  </si>
  <si>
    <t>ESTEBAN CARBAJAL</t>
  </si>
  <si>
    <t>Michael Baker</t>
  </si>
  <si>
    <t>Janine Petrovic</t>
  </si>
  <si>
    <t>Carla Finlen</t>
  </si>
  <si>
    <t>Larry Taylor</t>
  </si>
  <si>
    <t>Angela Larimer</t>
  </si>
  <si>
    <t>Allan Moss</t>
  </si>
  <si>
    <t>Barbara Hanahan</t>
  </si>
  <si>
    <t>William Carr</t>
  </si>
  <si>
    <t>Therese Thompson</t>
  </si>
  <si>
    <t>Kimberly Davison</t>
  </si>
  <si>
    <t>Sharon Breuer</t>
  </si>
  <si>
    <t>Rebekah Schmidt</t>
  </si>
  <si>
    <t>Carrie Taber</t>
  </si>
  <si>
    <t>Jessica McClure</t>
  </si>
  <si>
    <t>Kathleen Madigan</t>
  </si>
  <si>
    <t>Barbara Johnston</t>
  </si>
  <si>
    <t>Michelle McCorkle</t>
  </si>
  <si>
    <t>Angela Ricciuti</t>
  </si>
  <si>
    <t>Lisa Aiello</t>
  </si>
  <si>
    <t>Jeffrey Smith</t>
  </si>
  <si>
    <t>Brianna Gambetti</t>
  </si>
  <si>
    <t>David Taylor</t>
  </si>
  <si>
    <t>Israel Magana</t>
  </si>
  <si>
    <t>Shane Reardon-Bressi</t>
  </si>
  <si>
    <t>LINDA KOSAR</t>
  </si>
  <si>
    <t>DAVID KOSAR</t>
  </si>
  <si>
    <t>CAMMY DOLL</t>
  </si>
  <si>
    <t>ELVIRA SANCHEZ</t>
  </si>
  <si>
    <t>THERESA LOVASIK</t>
  </si>
  <si>
    <t>PETR LOVASIK</t>
  </si>
  <si>
    <t>EDWARD WARDA</t>
  </si>
  <si>
    <t>LINDA BERGSTROM</t>
  </si>
  <si>
    <t>HOWARD BOONE</t>
  </si>
  <si>
    <t>CYNTHIA DRAPAC</t>
  </si>
  <si>
    <t>MARIO CASTRO</t>
  </si>
  <si>
    <t>ROGER TYK</t>
  </si>
  <si>
    <t>JAMES CAREY</t>
  </si>
  <si>
    <t>RICHARD ANDERSON</t>
  </si>
  <si>
    <t>JOSEFINA APULI</t>
  </si>
  <si>
    <t>MARGARET ORTMANN</t>
  </si>
  <si>
    <t>GARY ORTMANN</t>
  </si>
  <si>
    <t>MARY GIOVINCO</t>
  </si>
  <si>
    <t>DONALD SPROUSE</t>
  </si>
  <si>
    <t>BRIAN COFFMAN</t>
  </si>
  <si>
    <t>THOMAS DROBYSH</t>
  </si>
  <si>
    <t>LAURITS SCHLESS</t>
  </si>
  <si>
    <t>PAUL VAVRINCHIK</t>
  </si>
  <si>
    <t>DIANNE LAUBACH</t>
  </si>
  <si>
    <t>BARRY DUNN</t>
  </si>
  <si>
    <t>NORINE STROEDE</t>
  </si>
  <si>
    <t>BARBARA MCCONLOGUE</t>
  </si>
  <si>
    <t>KATHERINE FONT</t>
  </si>
  <si>
    <t>MICHAEL WILTGEN</t>
  </si>
  <si>
    <t>ROGER GARBACZ</t>
  </si>
  <si>
    <t>DEBORAH PETTERSEN</t>
  </si>
  <si>
    <t>RANDOLPH DICKSON</t>
  </si>
  <si>
    <t>JOHN KIM</t>
  </si>
  <si>
    <t>KATHERINE FOLTZ</t>
  </si>
  <si>
    <t>VERNON SWEARENGIN</t>
  </si>
  <si>
    <t>DAVID DRAPER</t>
  </si>
  <si>
    <t>JASON HUBBARD</t>
  </si>
  <si>
    <t>WILLIAMSON WALKER</t>
  </si>
  <si>
    <t>GURBACHAN SINGH</t>
  </si>
  <si>
    <t>KEITH STRICKER</t>
  </si>
  <si>
    <t>MICHAEL BENEDICT</t>
  </si>
  <si>
    <t>BILL SAUSER</t>
  </si>
  <si>
    <t>JUCELIA IZENSTARK</t>
  </si>
  <si>
    <t>TIMOTHY PUTMAN</t>
  </si>
  <si>
    <t>JAMES ZARDESKAS</t>
  </si>
  <si>
    <t>SYLVIA KARAKOSTA</t>
  </si>
  <si>
    <t>JEANNE RODECK</t>
  </si>
  <si>
    <t>LAURA BERGERSEN</t>
  </si>
  <si>
    <t>MARSHA WILLIAMS</t>
  </si>
  <si>
    <t>PORFIRIO ROMAN</t>
  </si>
  <si>
    <t>DUANE ORLANDO</t>
  </si>
  <si>
    <t>17528908N</t>
  </si>
  <si>
    <t>18710070N</t>
  </si>
  <si>
    <t>00023373372K7</t>
  </si>
  <si>
    <t>00023336024K7</t>
  </si>
  <si>
    <t>00023380373K7</t>
  </si>
  <si>
    <t>00023362985K7</t>
  </si>
  <si>
    <t>00023375098K7</t>
  </si>
  <si>
    <t>00023358106K7</t>
  </si>
  <si>
    <t>00023381691K7</t>
  </si>
  <si>
    <t>00023334479K7</t>
  </si>
  <si>
    <t>00023317598K7</t>
  </si>
  <si>
    <t>00023317944K7</t>
  </si>
  <si>
    <t>00023363788K7</t>
  </si>
  <si>
    <t>00023330781K7</t>
  </si>
  <si>
    <t>00022397306K7</t>
  </si>
  <si>
    <t>00023364862K7</t>
  </si>
  <si>
    <t>00023345760K7</t>
  </si>
  <si>
    <t>00023376956K7</t>
  </si>
  <si>
    <t>00023380372K7</t>
  </si>
  <si>
    <t>00023322186K7</t>
  </si>
  <si>
    <t>00023351659K7</t>
  </si>
  <si>
    <t>00023312563K7</t>
  </si>
  <si>
    <t>00023379399K7</t>
  </si>
  <si>
    <t>00023326681K7</t>
  </si>
  <si>
    <t>00023312872K7</t>
  </si>
  <si>
    <t>00023340223K7</t>
  </si>
  <si>
    <t>00023376879K7</t>
  </si>
  <si>
    <t>00000646024D7</t>
  </si>
  <si>
    <t>00023362643K7</t>
  </si>
  <si>
    <t>00023338585K7</t>
  </si>
  <si>
    <t>00023316519K7</t>
  </si>
  <si>
    <t>00023316519K6</t>
  </si>
  <si>
    <t>00023364263K7</t>
  </si>
  <si>
    <t>00023364263K6</t>
  </si>
  <si>
    <t>00000801899A8</t>
  </si>
  <si>
    <t>00000770425A8</t>
  </si>
  <si>
    <t>00000803433A8</t>
  </si>
  <si>
    <t>00000822114A8</t>
  </si>
  <si>
    <t>00000838223A8</t>
  </si>
  <si>
    <t>00000803303A8</t>
  </si>
  <si>
    <t>00000836551A8</t>
  </si>
  <si>
    <t>00000775340A8</t>
  </si>
  <si>
    <t>00000809128A8</t>
  </si>
  <si>
    <t>00000770807A8</t>
  </si>
  <si>
    <t>00000810902A8</t>
  </si>
  <si>
    <t>00000776436A8</t>
  </si>
  <si>
    <t>00000825606A8</t>
  </si>
  <si>
    <t>00000770562A8</t>
  </si>
  <si>
    <t>00000784750A8</t>
  </si>
  <si>
    <t>00000840020A8</t>
  </si>
  <si>
    <t>00000812465A8</t>
  </si>
  <si>
    <t>00000786056A8</t>
  </si>
  <si>
    <t>00000777658A8</t>
  </si>
  <si>
    <t>00000790321A8</t>
  </si>
  <si>
    <t>00000822229A8</t>
  </si>
  <si>
    <t>00000836012A8</t>
  </si>
  <si>
    <t>00000795448A8</t>
  </si>
  <si>
    <t>00000770493A8</t>
  </si>
  <si>
    <t>00000993603A8</t>
  </si>
  <si>
    <t>00001000837A8</t>
  </si>
  <si>
    <t>00000978131A8</t>
  </si>
  <si>
    <t>00000998111A8</t>
  </si>
  <si>
    <t>00000997639A8</t>
  </si>
  <si>
    <t>00000995405A8</t>
  </si>
  <si>
    <t>00000995561A8</t>
  </si>
  <si>
    <t>00000992660A8</t>
  </si>
  <si>
    <t>00000997201A8</t>
  </si>
  <si>
    <t>00000998964A8</t>
  </si>
  <si>
    <t>00000988722A8</t>
  </si>
  <si>
    <t>00001000748A8</t>
  </si>
  <si>
    <t>00000993935A8</t>
  </si>
  <si>
    <t>00000996013A8</t>
  </si>
  <si>
    <t>00001001114A8</t>
  </si>
  <si>
    <t>00000993970A8</t>
  </si>
  <si>
    <t>00000970045A8</t>
  </si>
  <si>
    <t>00000994010A8</t>
  </si>
  <si>
    <t>00001001591A8</t>
  </si>
  <si>
    <t>00000994651A8</t>
  </si>
  <si>
    <t>00000858732A8</t>
  </si>
  <si>
    <t>00000858729A8</t>
  </si>
  <si>
    <t>00000776552A8</t>
  </si>
  <si>
    <t>00000782684A8</t>
  </si>
  <si>
    <t>00000808018A8</t>
  </si>
  <si>
    <t>00000817901A8</t>
  </si>
  <si>
    <t>00000779014A8</t>
  </si>
  <si>
    <t>00023312563K6</t>
  </si>
  <si>
    <t>00023312872K6</t>
  </si>
  <si>
    <t>00023373372K6</t>
  </si>
  <si>
    <t>00023336024K6</t>
  </si>
  <si>
    <t>00023380373K6</t>
  </si>
  <si>
    <t>00023362985K6</t>
  </si>
  <si>
    <t>00023358106K6</t>
  </si>
  <si>
    <t>00023381691K6</t>
  </si>
  <si>
    <t>00023334479K6</t>
  </si>
  <si>
    <t>00023317598K6</t>
  </si>
  <si>
    <t>00023363788K6</t>
  </si>
  <si>
    <t>00022126595K6</t>
  </si>
  <si>
    <t>00023330781K6</t>
  </si>
  <si>
    <t>00022397306K6</t>
  </si>
  <si>
    <t>00023364862K6</t>
  </si>
  <si>
    <t>00023376956K6</t>
  </si>
  <si>
    <t>00023380372K6</t>
  </si>
  <si>
    <t>00023351659K6</t>
  </si>
  <si>
    <t>00023379399K6</t>
  </si>
  <si>
    <t>00023326681K6</t>
  </si>
  <si>
    <t>00023340223K6</t>
  </si>
  <si>
    <t>00023376879K6</t>
  </si>
  <si>
    <t>00000646024D6</t>
  </si>
  <si>
    <t>00023362643K6</t>
  </si>
  <si>
    <t>00023338585K6</t>
  </si>
  <si>
    <t>00023375098K6</t>
  </si>
  <si>
    <t>00023317944K6</t>
  </si>
  <si>
    <t>00023345760K6</t>
  </si>
  <si>
    <t>00023322186K6</t>
  </si>
  <si>
    <t>00021801538K6</t>
  </si>
  <si>
    <t>00023381885K6</t>
  </si>
  <si>
    <t>00023385843K6</t>
  </si>
  <si>
    <t>00014035131K6</t>
  </si>
  <si>
    <t>00023387842K6</t>
  </si>
  <si>
    <t>00023387383K6</t>
  </si>
  <si>
    <t>00010609758K6</t>
  </si>
  <si>
    <t>00022869335K6</t>
  </si>
  <si>
    <t>00022508972K6</t>
  </si>
  <si>
    <t>00011895530K6</t>
  </si>
  <si>
    <t>00023318422K6</t>
  </si>
  <si>
    <t>00000804864A8</t>
  </si>
  <si>
    <t>00000754585A8</t>
  </si>
  <si>
    <t>00023379873K9</t>
  </si>
  <si>
    <t>00023330660K9</t>
  </si>
  <si>
    <t>00023312330K9</t>
  </si>
  <si>
    <t>00023312492K9</t>
  </si>
  <si>
    <t>00023335925K9</t>
  </si>
  <si>
    <t>00023368889K9</t>
  </si>
  <si>
    <t>00023366415K9</t>
  </si>
  <si>
    <t>00023335576K9</t>
  </si>
  <si>
    <t>00023328919K9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</si>
</sst>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name val="Arial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9" fillId="0" borderId="0" applyFont="0" applyFill="0" applyBorder="0" applyAlignment="0" applyProtection="0"/>
  </cellStyleXfs>
  <cellXfs count="29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49" fontId="0" fillId="33" borderId="0" xfId="0" applyNumberFormat="1" applyFill="1" applyAlignment="1">
      <alignment horizontal="left" vertical="top"/>
    </xf>
    <xf numFmtId="49" fontId="0" fillId="34" borderId="0" xfId="0" applyNumberFormat="1" applyFill="1" applyAlignment="1">
      <alignment horizontal="left" vertical="top"/>
    </xf>
    <xf numFmtId="49" fontId="0" fillId="35" borderId="0" xfId="0" applyNumberFormat="1" applyFill="1" applyAlignment="1">
      <alignment horizontal="left" vertical="top"/>
    </xf>
    <xf numFmtId="49" fontId="0" fillId="36" borderId="0" xfId="0" applyNumberFormat="1" applyFill="1" applyAlignment="1">
      <alignment horizontal="left" vertical="top"/>
    </xf>
    <xf numFmtId="49" fontId="0" fillId="37" borderId="0" xfId="0" applyNumberFormat="1" applyFill="1" applyAlignment="1">
      <alignment horizontal="left" vertical="top"/>
    </xf>
    <xf numFmtId="0" fontId="0" fillId="0" borderId="0" xfId="42" applyNumberFormat="1" applyFont="1" applyFill="1"/>
    <xf numFmtId="49" fontId="0" fillId="0" borderId="0" xfId="0" applyNumberFormat="1" applyFont="1" applyFill="1" applyAlignment="1">
      <alignment horizontal="left" vertical="top"/>
    </xf>
    <xf numFmtId="1" fontId="0" fillId="0" borderId="0" xfId="0" applyNumberFormat="1" applyFont="1" applyFill="1"/>
    <xf numFmtId="2" fontId="0" fillId="0" borderId="0" xfId="0" applyNumberFormat="1" applyFont="1" applyFill="1"/>
    <xf numFmtId="14" fontId="0" fillId="0" borderId="0" xfId="0" applyNumberFormat="1" applyFont="1" applyFill="1"/>
    <xf numFmtId="0" fontId="0" fillId="0" borderId="0" xfId="0" applyFont="1" applyFill="1"/>
    <xf numFmtId="49" fontId="0" fillId="37" borderId="0" xfId="0" applyNumberFormat="1" applyFont="1" applyFill="1" applyAlignment="1">
      <alignment horizontal="left" vertical="top"/>
    </xf>
    <xf numFmtId="49" fontId="0" fillId="38" borderId="0" xfId="0" applyNumberFormat="1" applyFont="1" applyFill="1" applyAlignment="1">
      <alignment horizontal="left" vertical="top"/>
    </xf>
    <xf numFmtId="0" fontId="18" fillId="0" borderId="0" xfId="0" applyFont="1" applyFill="1" applyAlignment="1">
      <alignment horizontal="center" vertical="top"/>
    </xf>
    <xf numFmtId="0" fontId="18" fillId="0" borderId="0" xfId="42" applyNumberFormat="1" applyFont="1" applyFill="1" applyAlignment="1">
      <alignment horizontal="center" vertical="top"/>
    </xf>
    <xf numFmtId="0" fontId="0" fillId="0" borderId="0" xfId="0" applyFont="1" applyFill="1" applyAlignment="1">
      <alignment horizontal="left" vertical="top"/>
    </xf>
    <xf numFmtId="9" fontId="0" fillId="0" borderId="0" xfId="42" applyFont="1" applyFill="1"/>
    <xf numFmtId="0" fontId="0" fillId="0" borderId="0" xfId="0" applyNumberFormat="1" applyFont="1" applyFill="1" applyAlignment="1">
      <alignment horizontal="left" vertical="top"/>
    </xf>
    <xf numFmtId="49" fontId="0" fillId="36" borderId="0" xfId="0" applyNumberFormat="1" applyFont="1" applyFill="1" applyAlignment="1">
      <alignment horizontal="left" vertical="top"/>
    </xf>
    <xf numFmtId="49" fontId="0" fillId="35" borderId="0" xfId="0" applyNumberFormat="1" applyFont="1" applyFill="1" applyAlignment="1">
      <alignment horizontal="left" vertical="top"/>
    </xf>
    <xf numFmtId="49" fontId="0" fillId="34" borderId="0" xfId="0" applyNumberFormat="1" applyFont="1" applyFill="1" applyAlignment="1">
      <alignment horizontal="left" vertical="top"/>
    </xf>
    <xf numFmtId="0" fontId="0" fillId="33" borderId="0" xfId="0" applyNumberFormat="1" applyFont="1" applyFill="1" applyAlignment="1">
      <alignment horizontal="left" vertical="top"/>
    </xf>
    <xf numFmtId="0" fontId="0" fillId="39" borderId="0" xfId="0" applyNumberFormat="1" applyFont="1" applyFill="1" applyAlignment="1">
      <alignment horizontal="left" vertical="top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C9C0F-EE7D-4F70-8C46-0BBC888FABDF}">
  <dimension ref="A1:AP150"/>
  <sheetViews>
    <sheetView topLeftCell="L1" workbookViewId="0">
      <selection activeCell="S25" sqref="S25"/>
    </sheetView>
  </sheetViews>
  <sheetFormatPr defaultRowHeight="13.2"/>
  <cols>
    <col min="1" max="1" width="8.5546875" bestFit="1" customWidth="1"/>
    <col min="2" max="2" width="12.44140625" bestFit="1" customWidth="1"/>
    <col min="3" max="3" width="24.6640625" bestFit="1" customWidth="1"/>
    <col min="4" max="4" width="8.5546875" bestFit="1" customWidth="1"/>
    <col min="5" max="5" width="28.5546875" bestFit="1" customWidth="1"/>
    <col min="6" max="6" width="13.33203125" bestFit="1" customWidth="1"/>
    <col min="7" max="7" width="12.44140625" bestFit="1" customWidth="1"/>
    <col min="8" max="8" width="10.44140625" bestFit="1" customWidth="1"/>
    <col min="9" max="10" width="9.5546875" bestFit="1" customWidth="1"/>
    <col min="11" max="11" width="10.44140625" bestFit="1" customWidth="1"/>
    <col min="12" max="14" width="11.44140625" bestFit="1" customWidth="1"/>
    <col min="15" max="16" width="10.44140625" bestFit="1" customWidth="1"/>
    <col min="17" max="17" width="5.6640625" bestFit="1" customWidth="1"/>
    <col min="18" max="20" width="15.33203125" bestFit="1" customWidth="1"/>
    <col min="21" max="21" width="11.44140625" bestFit="1" customWidth="1"/>
    <col min="22" max="22" width="13.6640625" bestFit="1" customWidth="1"/>
    <col min="23" max="23" width="9.5546875" bestFit="1" customWidth="1"/>
    <col min="24" max="24" width="12.44140625" bestFit="1" customWidth="1"/>
    <col min="25" max="25" width="15.33203125" bestFit="1" customWidth="1"/>
    <col min="26" max="26" width="13.6640625" bestFit="1" customWidth="1"/>
    <col min="27" max="27" width="30.44140625" bestFit="1" customWidth="1"/>
    <col min="28" max="28" width="11.44140625" bestFit="1" customWidth="1"/>
    <col min="29" max="29" width="12.5546875" bestFit="1" customWidth="1"/>
    <col min="30" max="30" width="10.6640625" bestFit="1" customWidth="1"/>
    <col min="31" max="31" width="9.6640625" bestFit="1" customWidth="1"/>
    <col min="32" max="32" width="13.6640625" bestFit="1" customWidth="1"/>
    <col min="33" max="33" width="13.33203125" bestFit="1" customWidth="1"/>
    <col min="34" max="34" width="28.5546875" bestFit="1" customWidth="1"/>
    <col min="35" max="35" width="13.33203125" bestFit="1" customWidth="1"/>
    <col min="36" max="36" width="16.109375" bestFit="1" customWidth="1"/>
    <col min="37" max="37" width="16" bestFit="1" customWidth="1"/>
    <col min="38" max="38" width="15.88671875" bestFit="1" customWidth="1"/>
    <col min="39" max="39" width="11.44140625" bestFit="1" customWidth="1"/>
  </cols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s="2">
        <v>1891456</v>
      </c>
      <c r="B2" s="3">
        <v>45812</v>
      </c>
      <c r="C2" s="4" t="s">
        <v>42</v>
      </c>
      <c r="D2" s="2">
        <v>1427681</v>
      </c>
      <c r="E2" s="4" t="s">
        <v>43</v>
      </c>
      <c r="F2" s="4" t="s">
        <v>44</v>
      </c>
      <c r="G2" s="2">
        <v>644113652</v>
      </c>
      <c r="H2" s="4" t="s">
        <v>45</v>
      </c>
      <c r="I2" s="4" t="s">
        <v>46</v>
      </c>
      <c r="J2" s="4" t="s">
        <v>47</v>
      </c>
      <c r="K2" s="4" t="s">
        <v>48</v>
      </c>
      <c r="L2" s="3">
        <v>45809</v>
      </c>
      <c r="M2" s="4" t="s">
        <v>49</v>
      </c>
      <c r="N2" s="4" t="s">
        <v>46</v>
      </c>
      <c r="O2" s="4" t="s">
        <v>50</v>
      </c>
      <c r="P2" s="4" t="s">
        <v>46</v>
      </c>
      <c r="Q2" s="2">
        <v>1</v>
      </c>
      <c r="R2" s="2">
        <v>17</v>
      </c>
      <c r="S2" s="4" t="s">
        <v>51</v>
      </c>
      <c r="T2" s="4" t="s">
        <v>52</v>
      </c>
      <c r="U2" s="4" t="s">
        <v>46</v>
      </c>
      <c r="V2" s="5">
        <v>0</v>
      </c>
      <c r="W2" s="5">
        <v>0</v>
      </c>
      <c r="X2" s="5">
        <v>100</v>
      </c>
      <c r="Y2" s="5">
        <v>443.42</v>
      </c>
      <c r="Z2" s="4" t="s">
        <v>46</v>
      </c>
      <c r="AA2" s="5" t="s">
        <v>46</v>
      </c>
      <c r="AB2" s="4" t="s">
        <v>53</v>
      </c>
      <c r="AC2" s="4" t="s">
        <v>46</v>
      </c>
      <c r="AD2" s="5">
        <v>0</v>
      </c>
      <c r="AE2" s="4" t="s">
        <v>54</v>
      </c>
      <c r="AF2" s="3">
        <v>45809</v>
      </c>
      <c r="AG2" s="4" t="s">
        <v>46</v>
      </c>
      <c r="AH2" s="4" t="s">
        <v>46</v>
      </c>
      <c r="AI2" s="4" t="s">
        <v>46</v>
      </c>
      <c r="AJ2" s="4" t="s">
        <v>46</v>
      </c>
      <c r="AK2" s="4" t="s">
        <v>46</v>
      </c>
      <c r="AL2" s="4" t="s">
        <v>46</v>
      </c>
      <c r="AM2" s="4" t="s">
        <v>46</v>
      </c>
      <c r="AN2" s="4" t="s">
        <v>55</v>
      </c>
      <c r="AO2" s="4" t="s">
        <v>46</v>
      </c>
      <c r="AP2" s="4" t="s">
        <v>46</v>
      </c>
    </row>
    <row r="3" spans="1:42">
      <c r="A3" s="2">
        <v>1891456</v>
      </c>
      <c r="B3" s="3">
        <v>45812</v>
      </c>
      <c r="C3" s="4" t="s">
        <v>42</v>
      </c>
      <c r="D3" s="2">
        <v>1427681</v>
      </c>
      <c r="E3" s="4" t="s">
        <v>56</v>
      </c>
      <c r="F3" s="4" t="s">
        <v>57</v>
      </c>
      <c r="G3" s="2">
        <v>257269435</v>
      </c>
      <c r="H3" s="4" t="s">
        <v>58</v>
      </c>
      <c r="I3" s="4" t="s">
        <v>46</v>
      </c>
      <c r="J3" s="4" t="s">
        <v>47</v>
      </c>
      <c r="K3" s="4" t="s">
        <v>48</v>
      </c>
      <c r="L3" s="3">
        <v>45809</v>
      </c>
      <c r="M3" s="4" t="s">
        <v>49</v>
      </c>
      <c r="N3" s="4" t="s">
        <v>46</v>
      </c>
      <c r="O3" s="4" t="s">
        <v>50</v>
      </c>
      <c r="P3" s="4" t="s">
        <v>46</v>
      </c>
      <c r="Q3" s="2">
        <v>1</v>
      </c>
      <c r="R3" s="2">
        <v>17</v>
      </c>
      <c r="S3" s="4" t="s">
        <v>51</v>
      </c>
      <c r="T3" s="4" t="s">
        <v>52</v>
      </c>
      <c r="U3" s="4" t="s">
        <v>46</v>
      </c>
      <c r="V3" s="5">
        <v>0.57999999999999996</v>
      </c>
      <c r="W3" s="5">
        <v>0</v>
      </c>
      <c r="X3" s="5">
        <v>100</v>
      </c>
      <c r="Y3" s="5">
        <v>182.58</v>
      </c>
      <c r="Z3" s="4" t="s">
        <v>46</v>
      </c>
      <c r="AA3" s="5" t="s">
        <v>46</v>
      </c>
      <c r="AB3" s="4" t="s">
        <v>59</v>
      </c>
      <c r="AC3" s="4" t="s">
        <v>46</v>
      </c>
      <c r="AD3" s="5">
        <v>0</v>
      </c>
      <c r="AE3" s="4" t="s">
        <v>60</v>
      </c>
      <c r="AF3" s="3">
        <v>45809</v>
      </c>
      <c r="AG3" s="4" t="s">
        <v>46</v>
      </c>
      <c r="AH3" s="4" t="s">
        <v>46</v>
      </c>
      <c r="AI3" s="4" t="s">
        <v>46</v>
      </c>
      <c r="AJ3" s="4" t="s">
        <v>46</v>
      </c>
      <c r="AK3" s="4" t="s">
        <v>46</v>
      </c>
      <c r="AL3" s="4" t="s">
        <v>46</v>
      </c>
      <c r="AM3" s="4" t="s">
        <v>46</v>
      </c>
      <c r="AN3" s="4" t="s">
        <v>55</v>
      </c>
      <c r="AO3" s="4" t="s">
        <v>46</v>
      </c>
      <c r="AP3" s="4" t="s">
        <v>46</v>
      </c>
    </row>
    <row r="4" spans="1:42">
      <c r="A4" s="2">
        <v>1891456</v>
      </c>
      <c r="B4" s="3">
        <v>45812</v>
      </c>
      <c r="C4" s="4" t="s">
        <v>42</v>
      </c>
      <c r="D4" s="2">
        <v>1427681</v>
      </c>
      <c r="E4" s="4" t="s">
        <v>56</v>
      </c>
      <c r="F4" s="4" t="s">
        <v>57</v>
      </c>
      <c r="G4" s="2">
        <v>257269435</v>
      </c>
      <c r="H4" s="4" t="s">
        <v>58</v>
      </c>
      <c r="I4" s="4" t="s">
        <v>46</v>
      </c>
      <c r="J4" s="4" t="s">
        <v>47</v>
      </c>
      <c r="K4" s="4" t="s">
        <v>48</v>
      </c>
      <c r="L4" s="3">
        <v>45809</v>
      </c>
      <c r="M4" s="4" t="s">
        <v>49</v>
      </c>
      <c r="N4" s="4" t="s">
        <v>46</v>
      </c>
      <c r="O4" s="4" t="s">
        <v>50</v>
      </c>
      <c r="P4" s="4" t="s">
        <v>46</v>
      </c>
      <c r="Q4" s="2">
        <v>1</v>
      </c>
      <c r="R4" s="2">
        <v>17</v>
      </c>
      <c r="S4" s="4" t="s">
        <v>51</v>
      </c>
      <c r="T4" s="4" t="s">
        <v>52</v>
      </c>
      <c r="U4" s="4" t="s">
        <v>46</v>
      </c>
      <c r="V4" s="5">
        <v>0</v>
      </c>
      <c r="W4" s="5">
        <v>0</v>
      </c>
      <c r="X4" s="5">
        <v>100</v>
      </c>
      <c r="Y4" s="5">
        <v>443.42</v>
      </c>
      <c r="Z4" s="4" t="s">
        <v>46</v>
      </c>
      <c r="AA4" s="5" t="s">
        <v>46</v>
      </c>
      <c r="AB4" s="4" t="s">
        <v>53</v>
      </c>
      <c r="AC4" s="4" t="s">
        <v>46</v>
      </c>
      <c r="AD4" s="5">
        <v>0</v>
      </c>
      <c r="AE4" s="4" t="s">
        <v>54</v>
      </c>
      <c r="AF4" s="3">
        <v>45809</v>
      </c>
      <c r="AG4" s="4" t="s">
        <v>46</v>
      </c>
      <c r="AH4" s="4" t="s">
        <v>46</v>
      </c>
      <c r="AI4" s="4" t="s">
        <v>46</v>
      </c>
      <c r="AJ4" s="4" t="s">
        <v>46</v>
      </c>
      <c r="AK4" s="4" t="s">
        <v>46</v>
      </c>
      <c r="AL4" s="4" t="s">
        <v>46</v>
      </c>
      <c r="AM4" s="4" t="s">
        <v>46</v>
      </c>
      <c r="AN4" s="4" t="s">
        <v>55</v>
      </c>
      <c r="AO4" s="4" t="s">
        <v>46</v>
      </c>
      <c r="AP4" s="4" t="s">
        <v>46</v>
      </c>
    </row>
    <row r="5" spans="1:42">
      <c r="A5" s="2">
        <v>1891456</v>
      </c>
      <c r="B5" s="3">
        <v>45812</v>
      </c>
      <c r="C5" s="4" t="s">
        <v>42</v>
      </c>
      <c r="D5" s="2">
        <v>1427681</v>
      </c>
      <c r="E5" s="4" t="s">
        <v>61</v>
      </c>
      <c r="F5" s="4" t="s">
        <v>62</v>
      </c>
      <c r="G5" s="2">
        <v>257792435</v>
      </c>
      <c r="H5" s="4" t="s">
        <v>63</v>
      </c>
      <c r="I5" s="4" t="s">
        <v>46</v>
      </c>
      <c r="J5" s="4" t="s">
        <v>47</v>
      </c>
      <c r="K5" s="4" t="s">
        <v>48</v>
      </c>
      <c r="L5" s="3">
        <v>45809</v>
      </c>
      <c r="M5" s="4" t="s">
        <v>49</v>
      </c>
      <c r="N5" s="4" t="s">
        <v>46</v>
      </c>
      <c r="O5" s="4" t="s">
        <v>50</v>
      </c>
      <c r="P5" s="4" t="s">
        <v>46</v>
      </c>
      <c r="Q5" s="2">
        <v>1</v>
      </c>
      <c r="R5" s="2">
        <v>17</v>
      </c>
      <c r="S5" s="4" t="s">
        <v>51</v>
      </c>
      <c r="T5" s="4" t="s">
        <v>52</v>
      </c>
      <c r="U5" s="4" t="s">
        <v>46</v>
      </c>
      <c r="V5" s="5">
        <v>0.57999999999999996</v>
      </c>
      <c r="W5" s="5">
        <v>0</v>
      </c>
      <c r="X5" s="5">
        <v>100</v>
      </c>
      <c r="Y5" s="5">
        <v>182.58</v>
      </c>
      <c r="Z5" s="4" t="s">
        <v>46</v>
      </c>
      <c r="AA5" s="5" t="s">
        <v>46</v>
      </c>
      <c r="AB5" s="4" t="s">
        <v>59</v>
      </c>
      <c r="AC5" s="4" t="s">
        <v>46</v>
      </c>
      <c r="AD5" s="5">
        <v>0</v>
      </c>
      <c r="AE5" s="4" t="s">
        <v>60</v>
      </c>
      <c r="AF5" s="3">
        <v>45809</v>
      </c>
      <c r="AG5" s="4" t="s">
        <v>46</v>
      </c>
      <c r="AH5" s="4" t="s">
        <v>46</v>
      </c>
      <c r="AI5" s="4" t="s">
        <v>46</v>
      </c>
      <c r="AJ5" s="4" t="s">
        <v>46</v>
      </c>
      <c r="AK5" s="4" t="s">
        <v>46</v>
      </c>
      <c r="AL5" s="4" t="s">
        <v>46</v>
      </c>
      <c r="AM5" s="4" t="s">
        <v>46</v>
      </c>
      <c r="AN5" s="4" t="s">
        <v>55</v>
      </c>
      <c r="AO5" s="4" t="s">
        <v>46</v>
      </c>
      <c r="AP5" s="4" t="s">
        <v>46</v>
      </c>
    </row>
    <row r="6" spans="1:42">
      <c r="A6" s="2">
        <v>1891456</v>
      </c>
      <c r="B6" s="3">
        <v>45812</v>
      </c>
      <c r="C6" s="4" t="s">
        <v>42</v>
      </c>
      <c r="D6" s="2">
        <v>1427681</v>
      </c>
      <c r="E6" s="4" t="s">
        <v>61</v>
      </c>
      <c r="F6" s="4" t="s">
        <v>62</v>
      </c>
      <c r="G6" s="2">
        <v>257792435</v>
      </c>
      <c r="H6" s="4" t="s">
        <v>63</v>
      </c>
      <c r="I6" s="4" t="s">
        <v>46</v>
      </c>
      <c r="J6" s="4" t="s">
        <v>47</v>
      </c>
      <c r="K6" s="4" t="s">
        <v>48</v>
      </c>
      <c r="L6" s="3">
        <v>45809</v>
      </c>
      <c r="M6" s="4" t="s">
        <v>49</v>
      </c>
      <c r="N6" s="4" t="s">
        <v>46</v>
      </c>
      <c r="O6" s="4" t="s">
        <v>50</v>
      </c>
      <c r="P6" s="4" t="s">
        <v>46</v>
      </c>
      <c r="Q6" s="2">
        <v>1</v>
      </c>
      <c r="R6" s="2">
        <v>17</v>
      </c>
      <c r="S6" s="4" t="s">
        <v>51</v>
      </c>
      <c r="T6" s="4" t="s">
        <v>52</v>
      </c>
      <c r="U6" s="4" t="s">
        <v>46</v>
      </c>
      <c r="V6" s="5">
        <v>0</v>
      </c>
      <c r="W6" s="5">
        <v>0</v>
      </c>
      <c r="X6" s="5">
        <v>100</v>
      </c>
      <c r="Y6" s="5">
        <v>443.42</v>
      </c>
      <c r="Z6" s="4" t="s">
        <v>46</v>
      </c>
      <c r="AA6" s="5" t="s">
        <v>46</v>
      </c>
      <c r="AB6" s="4" t="s">
        <v>53</v>
      </c>
      <c r="AC6" s="4" t="s">
        <v>46</v>
      </c>
      <c r="AD6" s="5">
        <v>0</v>
      </c>
      <c r="AE6" s="4" t="s">
        <v>54</v>
      </c>
      <c r="AF6" s="3">
        <v>45809</v>
      </c>
      <c r="AG6" s="4" t="s">
        <v>46</v>
      </c>
      <c r="AH6" s="4" t="s">
        <v>46</v>
      </c>
      <c r="AI6" s="4" t="s">
        <v>46</v>
      </c>
      <c r="AJ6" s="4" t="s">
        <v>46</v>
      </c>
      <c r="AK6" s="4" t="s">
        <v>46</v>
      </c>
      <c r="AL6" s="4" t="s">
        <v>46</v>
      </c>
      <c r="AM6" s="4" t="s">
        <v>46</v>
      </c>
      <c r="AN6" s="4" t="s">
        <v>55</v>
      </c>
      <c r="AO6" s="4" t="s">
        <v>46</v>
      </c>
      <c r="AP6" s="4" t="s">
        <v>46</v>
      </c>
    </row>
    <row r="7" spans="1:42">
      <c r="A7" s="2">
        <v>1891456</v>
      </c>
      <c r="B7" s="3">
        <v>45812</v>
      </c>
      <c r="C7" s="4" t="s">
        <v>64</v>
      </c>
      <c r="D7" s="2">
        <v>1466196</v>
      </c>
      <c r="E7" s="4" t="s">
        <v>65</v>
      </c>
      <c r="F7" s="4" t="s">
        <v>66</v>
      </c>
      <c r="G7" s="2">
        <v>642385274</v>
      </c>
      <c r="H7" s="4" t="s">
        <v>67</v>
      </c>
      <c r="I7" s="4" t="s">
        <v>46</v>
      </c>
      <c r="J7" s="4" t="s">
        <v>47</v>
      </c>
      <c r="K7" s="4" t="s">
        <v>48</v>
      </c>
      <c r="L7" s="3">
        <v>45809</v>
      </c>
      <c r="M7" s="4" t="s">
        <v>49</v>
      </c>
      <c r="N7" s="4" t="s">
        <v>46</v>
      </c>
      <c r="O7" s="4" t="s">
        <v>50</v>
      </c>
      <c r="P7" s="4" t="s">
        <v>46</v>
      </c>
      <c r="Q7" s="2">
        <v>1</v>
      </c>
      <c r="R7" s="2">
        <v>17</v>
      </c>
      <c r="S7" s="4" t="s">
        <v>51</v>
      </c>
      <c r="T7" s="4" t="s">
        <v>52</v>
      </c>
      <c r="U7" s="4" t="s">
        <v>46</v>
      </c>
      <c r="V7" s="5">
        <v>0</v>
      </c>
      <c r="W7" s="5">
        <v>0</v>
      </c>
      <c r="X7" s="5">
        <v>100</v>
      </c>
      <c r="Y7" s="5">
        <v>443.42</v>
      </c>
      <c r="Z7" s="4" t="s">
        <v>46</v>
      </c>
      <c r="AA7" s="5" t="s">
        <v>46</v>
      </c>
      <c r="AB7" s="4" t="s">
        <v>53</v>
      </c>
      <c r="AC7" s="4" t="s">
        <v>46</v>
      </c>
      <c r="AD7" s="5">
        <v>0</v>
      </c>
      <c r="AE7" s="4" t="s">
        <v>54</v>
      </c>
      <c r="AF7" s="3">
        <v>45809</v>
      </c>
      <c r="AG7" s="4" t="s">
        <v>46</v>
      </c>
      <c r="AH7" s="4" t="s">
        <v>46</v>
      </c>
      <c r="AI7" s="4" t="s">
        <v>46</v>
      </c>
      <c r="AJ7" s="4" t="s">
        <v>46</v>
      </c>
      <c r="AK7" s="4" t="s">
        <v>46</v>
      </c>
      <c r="AL7" s="4" t="s">
        <v>46</v>
      </c>
      <c r="AM7" s="4" t="s">
        <v>46</v>
      </c>
      <c r="AN7" s="4" t="s">
        <v>55</v>
      </c>
      <c r="AO7" s="4" t="s">
        <v>46</v>
      </c>
      <c r="AP7" s="4" t="s">
        <v>46</v>
      </c>
    </row>
    <row r="8" spans="1:42">
      <c r="A8" s="2">
        <v>1891456</v>
      </c>
      <c r="B8" s="3">
        <v>45812</v>
      </c>
      <c r="C8" s="4" t="s">
        <v>64</v>
      </c>
      <c r="D8" s="2">
        <v>1466196</v>
      </c>
      <c r="E8" s="4" t="s">
        <v>68</v>
      </c>
      <c r="F8" s="4" t="s">
        <v>69</v>
      </c>
      <c r="G8" s="2">
        <v>847078103</v>
      </c>
      <c r="H8" s="4" t="s">
        <v>70</v>
      </c>
      <c r="I8" s="4" t="s">
        <v>46</v>
      </c>
      <c r="J8" s="4" t="s">
        <v>47</v>
      </c>
      <c r="K8" s="4" t="s">
        <v>48</v>
      </c>
      <c r="L8" s="3">
        <v>45809</v>
      </c>
      <c r="M8" s="4" t="s">
        <v>49</v>
      </c>
      <c r="N8" s="4" t="s">
        <v>46</v>
      </c>
      <c r="O8" s="4" t="s">
        <v>50</v>
      </c>
      <c r="P8" s="4" t="s">
        <v>46</v>
      </c>
      <c r="Q8" s="2">
        <v>1</v>
      </c>
      <c r="R8" s="2">
        <v>17</v>
      </c>
      <c r="S8" s="4" t="s">
        <v>51</v>
      </c>
      <c r="T8" s="4" t="s">
        <v>52</v>
      </c>
      <c r="U8" s="4" t="s">
        <v>46</v>
      </c>
      <c r="V8" s="5">
        <v>0</v>
      </c>
      <c r="W8" s="5">
        <v>0</v>
      </c>
      <c r="X8" s="5">
        <v>100</v>
      </c>
      <c r="Y8" s="5">
        <v>443.42</v>
      </c>
      <c r="Z8" s="4" t="s">
        <v>46</v>
      </c>
      <c r="AA8" s="5" t="s">
        <v>46</v>
      </c>
      <c r="AB8" s="4" t="s">
        <v>53</v>
      </c>
      <c r="AC8" s="4" t="s">
        <v>46</v>
      </c>
      <c r="AD8" s="5">
        <v>0</v>
      </c>
      <c r="AE8" s="4" t="s">
        <v>54</v>
      </c>
      <c r="AF8" s="3">
        <v>45809</v>
      </c>
      <c r="AG8" s="4" t="s">
        <v>46</v>
      </c>
      <c r="AH8" s="4" t="s">
        <v>46</v>
      </c>
      <c r="AI8" s="4" t="s">
        <v>46</v>
      </c>
      <c r="AJ8" s="4" t="s">
        <v>46</v>
      </c>
      <c r="AK8" s="4" t="s">
        <v>46</v>
      </c>
      <c r="AL8" s="4" t="s">
        <v>46</v>
      </c>
      <c r="AM8" s="4" t="s">
        <v>46</v>
      </c>
      <c r="AN8" s="4" t="s">
        <v>55</v>
      </c>
      <c r="AO8" s="4" t="s">
        <v>46</v>
      </c>
      <c r="AP8" s="4" t="s">
        <v>46</v>
      </c>
    </row>
    <row r="9" spans="1:42">
      <c r="A9" s="2">
        <v>1891456</v>
      </c>
      <c r="B9" s="3">
        <v>45812</v>
      </c>
      <c r="C9" s="4" t="s">
        <v>71</v>
      </c>
      <c r="D9" s="2">
        <v>1509770</v>
      </c>
      <c r="E9" s="4" t="s">
        <v>72</v>
      </c>
      <c r="F9" s="4" t="s">
        <v>73</v>
      </c>
      <c r="G9" s="2">
        <v>875331574</v>
      </c>
      <c r="H9" s="4" t="s">
        <v>74</v>
      </c>
      <c r="I9" s="4" t="s">
        <v>46</v>
      </c>
      <c r="J9" s="4" t="s">
        <v>47</v>
      </c>
      <c r="K9" s="4" t="s">
        <v>48</v>
      </c>
      <c r="L9" s="3">
        <v>45809</v>
      </c>
      <c r="M9" s="4" t="s">
        <v>49</v>
      </c>
      <c r="N9" s="4" t="s">
        <v>46</v>
      </c>
      <c r="O9" s="4" t="s">
        <v>50</v>
      </c>
      <c r="P9" s="4" t="s">
        <v>46</v>
      </c>
      <c r="Q9" s="2">
        <v>1</v>
      </c>
      <c r="R9" s="2">
        <v>17</v>
      </c>
      <c r="S9" s="4" t="s">
        <v>51</v>
      </c>
      <c r="T9" s="4" t="s">
        <v>75</v>
      </c>
      <c r="U9" s="4" t="s">
        <v>46</v>
      </c>
      <c r="V9" s="5">
        <v>0.57999999999999996</v>
      </c>
      <c r="W9" s="5">
        <v>0</v>
      </c>
      <c r="X9" s="5">
        <v>100</v>
      </c>
      <c r="Y9" s="5">
        <v>182.58</v>
      </c>
      <c r="Z9" s="4" t="s">
        <v>46</v>
      </c>
      <c r="AA9" s="5" t="s">
        <v>46</v>
      </c>
      <c r="AB9" s="4" t="s">
        <v>59</v>
      </c>
      <c r="AC9" s="4" t="s">
        <v>46</v>
      </c>
      <c r="AD9" s="5">
        <v>0</v>
      </c>
      <c r="AE9" s="4" t="s">
        <v>60</v>
      </c>
      <c r="AF9" s="3">
        <v>45809</v>
      </c>
      <c r="AG9" s="4" t="s">
        <v>46</v>
      </c>
      <c r="AH9" s="4" t="s">
        <v>46</v>
      </c>
      <c r="AI9" s="4" t="s">
        <v>46</v>
      </c>
      <c r="AJ9" s="4" t="s">
        <v>46</v>
      </c>
      <c r="AK9" s="4" t="s">
        <v>46</v>
      </c>
      <c r="AL9" s="4" t="s">
        <v>46</v>
      </c>
      <c r="AM9" s="4" t="s">
        <v>46</v>
      </c>
      <c r="AN9" s="4" t="s">
        <v>76</v>
      </c>
      <c r="AO9" s="4" t="s">
        <v>46</v>
      </c>
      <c r="AP9" s="4" t="s">
        <v>46</v>
      </c>
    </row>
    <row r="10" spans="1:42">
      <c r="A10" s="2">
        <v>1891456</v>
      </c>
      <c r="B10" s="3">
        <v>45812</v>
      </c>
      <c r="C10" s="4" t="s">
        <v>71</v>
      </c>
      <c r="D10" s="2">
        <v>1509770</v>
      </c>
      <c r="E10" s="4" t="s">
        <v>77</v>
      </c>
      <c r="F10" s="4" t="s">
        <v>78</v>
      </c>
      <c r="G10" s="2">
        <v>617585383</v>
      </c>
      <c r="H10" s="4" t="s">
        <v>79</v>
      </c>
      <c r="I10" s="4" t="s">
        <v>46</v>
      </c>
      <c r="J10" s="4" t="s">
        <v>47</v>
      </c>
      <c r="K10" s="4" t="s">
        <v>48</v>
      </c>
      <c r="L10" s="3">
        <v>45809</v>
      </c>
      <c r="M10" s="4" t="s">
        <v>49</v>
      </c>
      <c r="N10" s="4" t="s">
        <v>46</v>
      </c>
      <c r="O10" s="4" t="s">
        <v>50</v>
      </c>
      <c r="P10" s="4" t="s">
        <v>46</v>
      </c>
      <c r="Q10" s="2">
        <v>1</v>
      </c>
      <c r="R10" s="2">
        <v>17</v>
      </c>
      <c r="S10" s="4" t="s">
        <v>51</v>
      </c>
      <c r="T10" s="4" t="s">
        <v>75</v>
      </c>
      <c r="U10" s="4" t="s">
        <v>46</v>
      </c>
      <c r="V10" s="5">
        <v>0</v>
      </c>
      <c r="W10" s="5">
        <v>0</v>
      </c>
      <c r="X10" s="5">
        <v>100</v>
      </c>
      <c r="Y10" s="5">
        <v>443.42</v>
      </c>
      <c r="Z10" s="4" t="s">
        <v>46</v>
      </c>
      <c r="AA10" s="5" t="s">
        <v>46</v>
      </c>
      <c r="AB10" s="4" t="s">
        <v>53</v>
      </c>
      <c r="AC10" s="4" t="s">
        <v>46</v>
      </c>
      <c r="AD10" s="5">
        <v>0</v>
      </c>
      <c r="AE10" s="4" t="s">
        <v>54</v>
      </c>
      <c r="AF10" s="3">
        <v>45809</v>
      </c>
      <c r="AG10" s="4" t="s">
        <v>46</v>
      </c>
      <c r="AH10" s="4" t="s">
        <v>46</v>
      </c>
      <c r="AI10" s="4" t="s">
        <v>46</v>
      </c>
      <c r="AJ10" s="4" t="s">
        <v>46</v>
      </c>
      <c r="AK10" s="4" t="s">
        <v>46</v>
      </c>
      <c r="AL10" s="4" t="s">
        <v>46</v>
      </c>
      <c r="AM10" s="4" t="s">
        <v>46</v>
      </c>
      <c r="AN10" s="4" t="s">
        <v>80</v>
      </c>
      <c r="AO10" s="4" t="s">
        <v>46</v>
      </c>
      <c r="AP10" s="4" t="s">
        <v>46</v>
      </c>
    </row>
    <row r="11" spans="1:42">
      <c r="A11" s="2">
        <v>1891456</v>
      </c>
      <c r="B11" s="3">
        <v>45812</v>
      </c>
      <c r="C11" s="4" t="s">
        <v>71</v>
      </c>
      <c r="D11" s="2">
        <v>1509770</v>
      </c>
      <c r="E11" s="4" t="s">
        <v>81</v>
      </c>
      <c r="F11" s="4" t="s">
        <v>82</v>
      </c>
      <c r="G11" s="2">
        <v>646080375</v>
      </c>
      <c r="H11" s="4" t="s">
        <v>83</v>
      </c>
      <c r="I11" s="4" t="s">
        <v>46</v>
      </c>
      <c r="J11" s="4" t="s">
        <v>47</v>
      </c>
      <c r="K11" s="4" t="s">
        <v>48</v>
      </c>
      <c r="L11" s="3">
        <v>45839</v>
      </c>
      <c r="M11" s="4" t="s">
        <v>84</v>
      </c>
      <c r="N11" s="4" t="s">
        <v>46</v>
      </c>
      <c r="O11" s="4" t="s">
        <v>50</v>
      </c>
      <c r="P11" s="4" t="s">
        <v>46</v>
      </c>
      <c r="Q11" s="2">
        <v>1</v>
      </c>
      <c r="R11" s="2">
        <v>17</v>
      </c>
      <c r="S11" s="4" t="s">
        <v>51</v>
      </c>
      <c r="T11" s="4" t="s">
        <v>52</v>
      </c>
      <c r="U11" s="4" t="s">
        <v>46</v>
      </c>
      <c r="V11" s="5">
        <v>0</v>
      </c>
      <c r="W11" s="5">
        <v>0</v>
      </c>
      <c r="X11" s="5">
        <v>100</v>
      </c>
      <c r="Y11" s="5">
        <v>469.5</v>
      </c>
      <c r="Z11" s="4" t="s">
        <v>46</v>
      </c>
      <c r="AA11" s="5" t="s">
        <v>46</v>
      </c>
      <c r="AB11" s="4" t="s">
        <v>53</v>
      </c>
      <c r="AC11" s="4" t="s">
        <v>46</v>
      </c>
      <c r="AD11" s="5">
        <v>0</v>
      </c>
      <c r="AE11" s="4" t="s">
        <v>54</v>
      </c>
      <c r="AF11" s="3">
        <v>45839</v>
      </c>
      <c r="AG11" s="4" t="s">
        <v>46</v>
      </c>
      <c r="AH11" s="4" t="s">
        <v>46</v>
      </c>
      <c r="AI11" s="4" t="s">
        <v>46</v>
      </c>
      <c r="AJ11" s="4" t="s">
        <v>46</v>
      </c>
      <c r="AK11" s="4" t="s">
        <v>46</v>
      </c>
      <c r="AL11" s="4" t="s">
        <v>46</v>
      </c>
      <c r="AM11" s="4" t="s">
        <v>46</v>
      </c>
      <c r="AN11" s="4" t="s">
        <v>55</v>
      </c>
      <c r="AO11" s="4" t="s">
        <v>46</v>
      </c>
      <c r="AP11" s="4" t="s">
        <v>46</v>
      </c>
    </row>
    <row r="12" spans="1:42">
      <c r="A12" s="2">
        <v>1891456</v>
      </c>
      <c r="B12" s="3">
        <v>45812</v>
      </c>
      <c r="C12" s="4" t="s">
        <v>71</v>
      </c>
      <c r="D12" s="2">
        <v>1509770</v>
      </c>
      <c r="E12" s="4" t="s">
        <v>85</v>
      </c>
      <c r="F12" s="4" t="s">
        <v>86</v>
      </c>
      <c r="G12" s="2">
        <v>543467454</v>
      </c>
      <c r="H12" s="4" t="s">
        <v>87</v>
      </c>
      <c r="I12" s="4" t="s">
        <v>46</v>
      </c>
      <c r="J12" s="4" t="s">
        <v>47</v>
      </c>
      <c r="K12" s="4" t="s">
        <v>48</v>
      </c>
      <c r="L12" s="3">
        <v>45809</v>
      </c>
      <c r="M12" s="4" t="s">
        <v>49</v>
      </c>
      <c r="N12" s="4" t="s">
        <v>46</v>
      </c>
      <c r="O12" s="4" t="s">
        <v>50</v>
      </c>
      <c r="P12" s="4" t="s">
        <v>46</v>
      </c>
      <c r="Q12" s="2">
        <v>1</v>
      </c>
      <c r="R12" s="2">
        <v>17</v>
      </c>
      <c r="S12" s="4" t="s">
        <v>51</v>
      </c>
      <c r="T12" s="4" t="s">
        <v>88</v>
      </c>
      <c r="U12" s="4" t="s">
        <v>46</v>
      </c>
      <c r="V12" s="5">
        <v>0</v>
      </c>
      <c r="W12" s="5">
        <v>0</v>
      </c>
      <c r="X12" s="5">
        <v>100</v>
      </c>
      <c r="Y12" s="5">
        <v>443.42</v>
      </c>
      <c r="Z12" s="4" t="s">
        <v>46</v>
      </c>
      <c r="AA12" s="5" t="s">
        <v>46</v>
      </c>
      <c r="AB12" s="4" t="s">
        <v>53</v>
      </c>
      <c r="AC12" s="4" t="s">
        <v>46</v>
      </c>
      <c r="AD12" s="5">
        <v>0</v>
      </c>
      <c r="AE12" s="4" t="s">
        <v>54</v>
      </c>
      <c r="AF12" s="3">
        <v>45809</v>
      </c>
      <c r="AG12" s="4" t="s">
        <v>46</v>
      </c>
      <c r="AH12" s="4" t="s">
        <v>46</v>
      </c>
      <c r="AI12" s="4" t="s">
        <v>46</v>
      </c>
      <c r="AJ12" s="4" t="s">
        <v>46</v>
      </c>
      <c r="AK12" s="4" t="s">
        <v>46</v>
      </c>
      <c r="AL12" s="4" t="s">
        <v>46</v>
      </c>
      <c r="AM12" s="4" t="s">
        <v>46</v>
      </c>
      <c r="AN12" s="4" t="s">
        <v>89</v>
      </c>
      <c r="AO12" s="4" t="s">
        <v>46</v>
      </c>
      <c r="AP12" s="4" t="s">
        <v>46</v>
      </c>
    </row>
    <row r="13" spans="1:42">
      <c r="A13" s="2">
        <v>1891456</v>
      </c>
      <c r="B13" s="3">
        <v>45812</v>
      </c>
      <c r="C13" s="4" t="s">
        <v>90</v>
      </c>
      <c r="D13" s="2">
        <v>1510085</v>
      </c>
      <c r="E13" s="4" t="s">
        <v>91</v>
      </c>
      <c r="F13" s="4" t="s">
        <v>92</v>
      </c>
      <c r="G13" s="2">
        <v>111322425</v>
      </c>
      <c r="H13" s="4" t="s">
        <v>93</v>
      </c>
      <c r="I13" s="4" t="s">
        <v>46</v>
      </c>
      <c r="J13" s="4" t="s">
        <v>47</v>
      </c>
      <c r="K13" s="4" t="s">
        <v>48</v>
      </c>
      <c r="L13" s="3">
        <v>45809</v>
      </c>
      <c r="M13" s="4" t="s">
        <v>49</v>
      </c>
      <c r="N13" s="4" t="s">
        <v>46</v>
      </c>
      <c r="O13" s="4" t="s">
        <v>50</v>
      </c>
      <c r="P13" s="4" t="s">
        <v>46</v>
      </c>
      <c r="Q13" s="2">
        <v>1</v>
      </c>
      <c r="R13" s="2">
        <v>17</v>
      </c>
      <c r="S13" s="4" t="s">
        <v>51</v>
      </c>
      <c r="T13" s="4" t="s">
        <v>75</v>
      </c>
      <c r="U13" s="4" t="s">
        <v>46</v>
      </c>
      <c r="V13" s="5">
        <v>0</v>
      </c>
      <c r="W13" s="5">
        <v>0</v>
      </c>
      <c r="X13" s="5">
        <v>100</v>
      </c>
      <c r="Y13" s="5">
        <v>443.42</v>
      </c>
      <c r="Z13" s="4" t="s">
        <v>46</v>
      </c>
      <c r="AA13" s="5" t="s">
        <v>46</v>
      </c>
      <c r="AB13" s="4" t="s">
        <v>53</v>
      </c>
      <c r="AC13" s="4" t="s">
        <v>46</v>
      </c>
      <c r="AD13" s="5">
        <v>0</v>
      </c>
      <c r="AE13" s="4" t="s">
        <v>54</v>
      </c>
      <c r="AF13" s="3">
        <v>45809</v>
      </c>
      <c r="AG13" s="4" t="s">
        <v>46</v>
      </c>
      <c r="AH13" s="4" t="s">
        <v>46</v>
      </c>
      <c r="AI13" s="4" t="s">
        <v>46</v>
      </c>
      <c r="AJ13" s="4" t="s">
        <v>46</v>
      </c>
      <c r="AK13" s="4" t="s">
        <v>46</v>
      </c>
      <c r="AL13" s="4" t="s">
        <v>46</v>
      </c>
      <c r="AM13" s="4" t="s">
        <v>46</v>
      </c>
      <c r="AN13" s="4" t="s">
        <v>80</v>
      </c>
      <c r="AO13" s="4" t="s">
        <v>46</v>
      </c>
      <c r="AP13" s="4" t="s">
        <v>46</v>
      </c>
    </row>
    <row r="14" spans="1:42">
      <c r="A14" s="2">
        <v>1891456</v>
      </c>
      <c r="B14" s="3">
        <v>45812</v>
      </c>
      <c r="C14" s="4" t="s">
        <v>94</v>
      </c>
      <c r="D14" s="2">
        <v>1510420</v>
      </c>
      <c r="E14" s="4" t="s">
        <v>95</v>
      </c>
      <c r="F14" s="4" t="s">
        <v>96</v>
      </c>
      <c r="G14" s="2">
        <v>88835053</v>
      </c>
      <c r="H14" s="4" t="s">
        <v>97</v>
      </c>
      <c r="I14" s="4" t="s">
        <v>46</v>
      </c>
      <c r="J14" s="4" t="s">
        <v>47</v>
      </c>
      <c r="K14" s="4" t="s">
        <v>48</v>
      </c>
      <c r="L14" s="3">
        <v>45778</v>
      </c>
      <c r="M14" s="4" t="s">
        <v>98</v>
      </c>
      <c r="N14" s="4" t="s">
        <v>46</v>
      </c>
      <c r="O14" s="4" t="s">
        <v>50</v>
      </c>
      <c r="P14" s="4" t="s">
        <v>46</v>
      </c>
      <c r="Q14" s="2">
        <v>1</v>
      </c>
      <c r="R14" s="2">
        <v>17</v>
      </c>
      <c r="S14" s="4" t="s">
        <v>51</v>
      </c>
      <c r="T14" s="4" t="s">
        <v>52</v>
      </c>
      <c r="U14" s="4" t="s">
        <v>46</v>
      </c>
      <c r="V14" s="5">
        <v>0</v>
      </c>
      <c r="W14" s="5">
        <v>0</v>
      </c>
      <c r="X14" s="5">
        <v>100</v>
      </c>
      <c r="Y14" s="5">
        <v>417.33</v>
      </c>
      <c r="Z14" s="4" t="s">
        <v>46</v>
      </c>
      <c r="AA14" s="5" t="s">
        <v>46</v>
      </c>
      <c r="AB14" s="4" t="s">
        <v>53</v>
      </c>
      <c r="AC14" s="4" t="s">
        <v>46</v>
      </c>
      <c r="AD14" s="5">
        <v>0</v>
      </c>
      <c r="AE14" s="4" t="s">
        <v>54</v>
      </c>
      <c r="AF14" s="3">
        <v>45778</v>
      </c>
      <c r="AG14" s="4" t="s">
        <v>46</v>
      </c>
      <c r="AH14" s="4" t="s">
        <v>46</v>
      </c>
      <c r="AI14" s="4" t="s">
        <v>46</v>
      </c>
      <c r="AJ14" s="4" t="s">
        <v>46</v>
      </c>
      <c r="AK14" s="4" t="s">
        <v>46</v>
      </c>
      <c r="AL14" s="4" t="s">
        <v>46</v>
      </c>
      <c r="AM14" s="4" t="s">
        <v>46</v>
      </c>
      <c r="AN14" s="4" t="s">
        <v>55</v>
      </c>
      <c r="AO14" s="4" t="s">
        <v>46</v>
      </c>
      <c r="AP14" s="4" t="s">
        <v>46</v>
      </c>
    </row>
    <row r="15" spans="1:42">
      <c r="A15" s="2">
        <v>1891456</v>
      </c>
      <c r="B15" s="3">
        <v>45812</v>
      </c>
      <c r="C15" s="4" t="s">
        <v>94</v>
      </c>
      <c r="D15" s="2">
        <v>1510420</v>
      </c>
      <c r="E15" s="4" t="s">
        <v>99</v>
      </c>
      <c r="F15" s="4" t="s">
        <v>100</v>
      </c>
      <c r="G15" s="2">
        <v>532340163</v>
      </c>
      <c r="H15" s="4" t="s">
        <v>101</v>
      </c>
      <c r="I15" s="4" t="s">
        <v>46</v>
      </c>
      <c r="J15" s="4" t="s">
        <v>47</v>
      </c>
      <c r="K15" s="4" t="s">
        <v>48</v>
      </c>
      <c r="L15" s="3">
        <v>45809</v>
      </c>
      <c r="M15" s="4" t="s">
        <v>49</v>
      </c>
      <c r="N15" s="4" t="s">
        <v>46</v>
      </c>
      <c r="O15" s="4" t="s">
        <v>50</v>
      </c>
      <c r="P15" s="4" t="s">
        <v>46</v>
      </c>
      <c r="Q15" s="2">
        <v>1</v>
      </c>
      <c r="R15" s="2">
        <v>17</v>
      </c>
      <c r="S15" s="4" t="s">
        <v>51</v>
      </c>
      <c r="T15" s="4" t="s">
        <v>52</v>
      </c>
      <c r="U15" s="4" t="s">
        <v>46</v>
      </c>
      <c r="V15" s="5">
        <v>0</v>
      </c>
      <c r="W15" s="5">
        <v>0</v>
      </c>
      <c r="X15" s="5">
        <v>100</v>
      </c>
      <c r="Y15" s="5">
        <v>443.42</v>
      </c>
      <c r="Z15" s="4" t="s">
        <v>46</v>
      </c>
      <c r="AA15" s="5" t="s">
        <v>46</v>
      </c>
      <c r="AB15" s="4" t="s">
        <v>53</v>
      </c>
      <c r="AC15" s="4" t="s">
        <v>46</v>
      </c>
      <c r="AD15" s="5">
        <v>0</v>
      </c>
      <c r="AE15" s="4" t="s">
        <v>54</v>
      </c>
      <c r="AF15" s="3">
        <v>45809</v>
      </c>
      <c r="AG15" s="4" t="s">
        <v>46</v>
      </c>
      <c r="AH15" s="4" t="s">
        <v>46</v>
      </c>
      <c r="AI15" s="4" t="s">
        <v>46</v>
      </c>
      <c r="AJ15" s="4" t="s">
        <v>46</v>
      </c>
      <c r="AK15" s="4" t="s">
        <v>46</v>
      </c>
      <c r="AL15" s="4" t="s">
        <v>46</v>
      </c>
      <c r="AM15" s="4" t="s">
        <v>46</v>
      </c>
      <c r="AN15" s="4" t="s">
        <v>55</v>
      </c>
      <c r="AO15" s="4" t="s">
        <v>46</v>
      </c>
      <c r="AP15" s="4" t="s">
        <v>46</v>
      </c>
    </row>
    <row r="16" spans="1:42">
      <c r="A16" s="2">
        <v>1891456</v>
      </c>
      <c r="B16" s="3">
        <v>45812</v>
      </c>
      <c r="C16" s="4" t="s">
        <v>94</v>
      </c>
      <c r="D16" s="2">
        <v>1510420</v>
      </c>
      <c r="E16" s="4" t="s">
        <v>102</v>
      </c>
      <c r="F16" s="4" t="s">
        <v>103</v>
      </c>
      <c r="G16" s="2">
        <v>88710343</v>
      </c>
      <c r="H16" s="4" t="s">
        <v>104</v>
      </c>
      <c r="I16" s="4" t="s">
        <v>46</v>
      </c>
      <c r="J16" s="4" t="s">
        <v>47</v>
      </c>
      <c r="K16" s="4" t="s">
        <v>48</v>
      </c>
      <c r="L16" s="3">
        <v>45809</v>
      </c>
      <c r="M16" s="4" t="s">
        <v>49</v>
      </c>
      <c r="N16" s="4" t="s">
        <v>46</v>
      </c>
      <c r="O16" s="4" t="s">
        <v>50</v>
      </c>
      <c r="P16" s="4" t="s">
        <v>46</v>
      </c>
      <c r="Q16" s="2">
        <v>1</v>
      </c>
      <c r="R16" s="2">
        <v>17</v>
      </c>
      <c r="S16" s="4" t="s">
        <v>51</v>
      </c>
      <c r="T16" s="4" t="s">
        <v>52</v>
      </c>
      <c r="U16" s="4" t="s">
        <v>46</v>
      </c>
      <c r="V16" s="5">
        <v>0</v>
      </c>
      <c r="W16" s="5">
        <v>0</v>
      </c>
      <c r="X16" s="5">
        <v>100</v>
      </c>
      <c r="Y16" s="5">
        <v>443.42</v>
      </c>
      <c r="Z16" s="4" t="s">
        <v>46</v>
      </c>
      <c r="AA16" s="5" t="s">
        <v>46</v>
      </c>
      <c r="AB16" s="4" t="s">
        <v>53</v>
      </c>
      <c r="AC16" s="4" t="s">
        <v>46</v>
      </c>
      <c r="AD16" s="5">
        <v>0</v>
      </c>
      <c r="AE16" s="4" t="s">
        <v>54</v>
      </c>
      <c r="AF16" s="3">
        <v>45809</v>
      </c>
      <c r="AG16" s="4" t="s">
        <v>46</v>
      </c>
      <c r="AH16" s="4" t="s">
        <v>46</v>
      </c>
      <c r="AI16" s="4" t="s">
        <v>46</v>
      </c>
      <c r="AJ16" s="4" t="s">
        <v>46</v>
      </c>
      <c r="AK16" s="4" t="s">
        <v>46</v>
      </c>
      <c r="AL16" s="4" t="s">
        <v>46</v>
      </c>
      <c r="AM16" s="4" t="s">
        <v>46</v>
      </c>
      <c r="AN16" s="4" t="s">
        <v>55</v>
      </c>
      <c r="AO16" s="4" t="s">
        <v>46</v>
      </c>
      <c r="AP16" s="4" t="s">
        <v>46</v>
      </c>
    </row>
    <row r="17" spans="1:42">
      <c r="A17" s="2">
        <v>1891456</v>
      </c>
      <c r="B17" s="3">
        <v>45812</v>
      </c>
      <c r="C17" s="4" t="s">
        <v>94</v>
      </c>
      <c r="D17" s="2">
        <v>1510420</v>
      </c>
      <c r="E17" s="4" t="s">
        <v>105</v>
      </c>
      <c r="F17" s="4" t="s">
        <v>106</v>
      </c>
      <c r="G17" s="2">
        <v>171609840</v>
      </c>
      <c r="H17" s="4" t="s">
        <v>107</v>
      </c>
      <c r="I17" s="4" t="s">
        <v>46</v>
      </c>
      <c r="J17" s="4" t="s">
        <v>47</v>
      </c>
      <c r="K17" s="4" t="s">
        <v>48</v>
      </c>
      <c r="L17" s="3">
        <v>45839</v>
      </c>
      <c r="M17" s="4" t="s">
        <v>84</v>
      </c>
      <c r="N17" s="4" t="s">
        <v>46</v>
      </c>
      <c r="O17" s="4" t="s">
        <v>50</v>
      </c>
      <c r="P17" s="4" t="s">
        <v>46</v>
      </c>
      <c r="Q17" s="2">
        <v>1</v>
      </c>
      <c r="R17" s="2">
        <v>17</v>
      </c>
      <c r="S17" s="4" t="s">
        <v>51</v>
      </c>
      <c r="T17" s="4" t="s">
        <v>52</v>
      </c>
      <c r="U17" s="4" t="s">
        <v>46</v>
      </c>
      <c r="V17" s="5">
        <v>0.5</v>
      </c>
      <c r="W17" s="5">
        <v>0</v>
      </c>
      <c r="X17" s="5">
        <v>100</v>
      </c>
      <c r="Y17" s="5">
        <v>156.5</v>
      </c>
      <c r="Z17" s="4" t="s">
        <v>46</v>
      </c>
      <c r="AA17" s="5" t="s">
        <v>46</v>
      </c>
      <c r="AB17" s="4" t="s">
        <v>59</v>
      </c>
      <c r="AC17" s="4" t="s">
        <v>46</v>
      </c>
      <c r="AD17" s="5">
        <v>0</v>
      </c>
      <c r="AE17" s="4" t="s">
        <v>60</v>
      </c>
      <c r="AF17" s="3">
        <v>45839</v>
      </c>
      <c r="AG17" s="4" t="s">
        <v>46</v>
      </c>
      <c r="AH17" s="4" t="s">
        <v>46</v>
      </c>
      <c r="AI17" s="4" t="s">
        <v>46</v>
      </c>
      <c r="AJ17" s="4" t="s">
        <v>46</v>
      </c>
      <c r="AK17" s="4" t="s">
        <v>46</v>
      </c>
      <c r="AL17" s="4" t="s">
        <v>46</v>
      </c>
      <c r="AM17" s="4" t="s">
        <v>46</v>
      </c>
      <c r="AN17" s="4" t="s">
        <v>55</v>
      </c>
      <c r="AO17" s="4" t="s">
        <v>46</v>
      </c>
      <c r="AP17" s="4" t="s">
        <v>46</v>
      </c>
    </row>
    <row r="18" spans="1:42">
      <c r="A18" s="2">
        <v>1891456</v>
      </c>
      <c r="B18" s="3">
        <v>45812</v>
      </c>
      <c r="C18" s="4" t="s">
        <v>94</v>
      </c>
      <c r="D18" s="2">
        <v>1510420</v>
      </c>
      <c r="E18" s="4" t="s">
        <v>105</v>
      </c>
      <c r="F18" s="4" t="s">
        <v>106</v>
      </c>
      <c r="G18" s="2">
        <v>171609840</v>
      </c>
      <c r="H18" s="4" t="s">
        <v>107</v>
      </c>
      <c r="I18" s="4" t="s">
        <v>46</v>
      </c>
      <c r="J18" s="4" t="s">
        <v>47</v>
      </c>
      <c r="K18" s="4" t="s">
        <v>48</v>
      </c>
      <c r="L18" s="3">
        <v>45839</v>
      </c>
      <c r="M18" s="4" t="s">
        <v>84</v>
      </c>
      <c r="N18" s="4" t="s">
        <v>46</v>
      </c>
      <c r="O18" s="4" t="s">
        <v>50</v>
      </c>
      <c r="P18" s="4" t="s">
        <v>46</v>
      </c>
      <c r="Q18" s="2">
        <v>1</v>
      </c>
      <c r="R18" s="2">
        <v>17</v>
      </c>
      <c r="S18" s="4" t="s">
        <v>51</v>
      </c>
      <c r="T18" s="4" t="s">
        <v>52</v>
      </c>
      <c r="U18" s="4" t="s">
        <v>46</v>
      </c>
      <c r="V18" s="5">
        <v>0</v>
      </c>
      <c r="W18" s="5">
        <v>0</v>
      </c>
      <c r="X18" s="5">
        <v>100</v>
      </c>
      <c r="Y18" s="5">
        <v>469.5</v>
      </c>
      <c r="Z18" s="4" t="s">
        <v>46</v>
      </c>
      <c r="AA18" s="5" t="s">
        <v>46</v>
      </c>
      <c r="AB18" s="4" t="s">
        <v>53</v>
      </c>
      <c r="AC18" s="4" t="s">
        <v>46</v>
      </c>
      <c r="AD18" s="5">
        <v>0</v>
      </c>
      <c r="AE18" s="4" t="s">
        <v>54</v>
      </c>
      <c r="AF18" s="3">
        <v>45839</v>
      </c>
      <c r="AG18" s="4" t="s">
        <v>46</v>
      </c>
      <c r="AH18" s="4" t="s">
        <v>46</v>
      </c>
      <c r="AI18" s="4" t="s">
        <v>46</v>
      </c>
      <c r="AJ18" s="4" t="s">
        <v>46</v>
      </c>
      <c r="AK18" s="4" t="s">
        <v>46</v>
      </c>
      <c r="AL18" s="4" t="s">
        <v>46</v>
      </c>
      <c r="AM18" s="4" t="s">
        <v>46</v>
      </c>
      <c r="AN18" s="4" t="s">
        <v>55</v>
      </c>
      <c r="AO18" s="4" t="s">
        <v>46</v>
      </c>
      <c r="AP18" s="4" t="s">
        <v>46</v>
      </c>
    </row>
    <row r="19" spans="1:42">
      <c r="A19" s="2">
        <v>1891456</v>
      </c>
      <c r="B19" s="3">
        <v>45812</v>
      </c>
      <c r="C19" s="4" t="s">
        <v>94</v>
      </c>
      <c r="D19" s="2">
        <v>1510420</v>
      </c>
      <c r="E19" s="4" t="s">
        <v>108</v>
      </c>
      <c r="F19" s="4" t="s">
        <v>109</v>
      </c>
      <c r="G19" s="2">
        <v>39562593</v>
      </c>
      <c r="H19" s="4" t="s">
        <v>110</v>
      </c>
      <c r="I19" s="4" t="s">
        <v>46</v>
      </c>
      <c r="J19" s="4" t="s">
        <v>47</v>
      </c>
      <c r="K19" s="4" t="s">
        <v>48</v>
      </c>
      <c r="L19" s="3">
        <v>45809</v>
      </c>
      <c r="M19" s="4" t="s">
        <v>49</v>
      </c>
      <c r="N19" s="4" t="s">
        <v>46</v>
      </c>
      <c r="O19" s="4" t="s">
        <v>50</v>
      </c>
      <c r="P19" s="4" t="s">
        <v>46</v>
      </c>
      <c r="Q19" s="2">
        <v>1</v>
      </c>
      <c r="R19" s="2">
        <v>17</v>
      </c>
      <c r="S19" s="4" t="s">
        <v>51</v>
      </c>
      <c r="T19" s="4" t="s">
        <v>52</v>
      </c>
      <c r="U19" s="4" t="s">
        <v>46</v>
      </c>
      <c r="V19" s="5">
        <v>0.57999999999999996</v>
      </c>
      <c r="W19" s="5">
        <v>0</v>
      </c>
      <c r="X19" s="5">
        <v>100</v>
      </c>
      <c r="Y19" s="5">
        <v>182.58</v>
      </c>
      <c r="Z19" s="4" t="s">
        <v>46</v>
      </c>
      <c r="AA19" s="5" t="s">
        <v>46</v>
      </c>
      <c r="AB19" s="4" t="s">
        <v>59</v>
      </c>
      <c r="AC19" s="4" t="s">
        <v>46</v>
      </c>
      <c r="AD19" s="5">
        <v>0</v>
      </c>
      <c r="AE19" s="4" t="s">
        <v>60</v>
      </c>
      <c r="AF19" s="3">
        <v>45809</v>
      </c>
      <c r="AG19" s="4" t="s">
        <v>46</v>
      </c>
      <c r="AH19" s="4" t="s">
        <v>46</v>
      </c>
      <c r="AI19" s="4" t="s">
        <v>46</v>
      </c>
      <c r="AJ19" s="4" t="s">
        <v>46</v>
      </c>
      <c r="AK19" s="4" t="s">
        <v>46</v>
      </c>
      <c r="AL19" s="4" t="s">
        <v>46</v>
      </c>
      <c r="AM19" s="4" t="s">
        <v>46</v>
      </c>
      <c r="AN19" s="4" t="s">
        <v>55</v>
      </c>
      <c r="AO19" s="4" t="s">
        <v>46</v>
      </c>
      <c r="AP19" s="4" t="s">
        <v>46</v>
      </c>
    </row>
    <row r="20" spans="1:42">
      <c r="A20" s="2">
        <v>1891456</v>
      </c>
      <c r="B20" s="3">
        <v>45812</v>
      </c>
      <c r="C20" s="4" t="s">
        <v>94</v>
      </c>
      <c r="D20" s="2">
        <v>1510420</v>
      </c>
      <c r="E20" s="4" t="s">
        <v>108</v>
      </c>
      <c r="F20" s="4" t="s">
        <v>109</v>
      </c>
      <c r="G20" s="2">
        <v>39562593</v>
      </c>
      <c r="H20" s="4" t="s">
        <v>110</v>
      </c>
      <c r="I20" s="4" t="s">
        <v>46</v>
      </c>
      <c r="J20" s="4" t="s">
        <v>47</v>
      </c>
      <c r="K20" s="4" t="s">
        <v>48</v>
      </c>
      <c r="L20" s="3">
        <v>45809</v>
      </c>
      <c r="M20" s="4" t="s">
        <v>49</v>
      </c>
      <c r="N20" s="4" t="s">
        <v>46</v>
      </c>
      <c r="O20" s="4" t="s">
        <v>50</v>
      </c>
      <c r="P20" s="4" t="s">
        <v>46</v>
      </c>
      <c r="Q20" s="2">
        <v>1</v>
      </c>
      <c r="R20" s="2">
        <v>17</v>
      </c>
      <c r="S20" s="4" t="s">
        <v>51</v>
      </c>
      <c r="T20" s="4" t="s">
        <v>52</v>
      </c>
      <c r="U20" s="4" t="s">
        <v>46</v>
      </c>
      <c r="V20" s="5">
        <v>0</v>
      </c>
      <c r="W20" s="5">
        <v>0</v>
      </c>
      <c r="X20" s="5">
        <v>100</v>
      </c>
      <c r="Y20" s="5">
        <v>443.42</v>
      </c>
      <c r="Z20" s="4" t="s">
        <v>46</v>
      </c>
      <c r="AA20" s="5" t="s">
        <v>46</v>
      </c>
      <c r="AB20" s="4" t="s">
        <v>53</v>
      </c>
      <c r="AC20" s="4" t="s">
        <v>46</v>
      </c>
      <c r="AD20" s="5">
        <v>0</v>
      </c>
      <c r="AE20" s="4" t="s">
        <v>54</v>
      </c>
      <c r="AF20" s="3">
        <v>45809</v>
      </c>
      <c r="AG20" s="4" t="s">
        <v>46</v>
      </c>
      <c r="AH20" s="4" t="s">
        <v>46</v>
      </c>
      <c r="AI20" s="4" t="s">
        <v>46</v>
      </c>
      <c r="AJ20" s="4" t="s">
        <v>46</v>
      </c>
      <c r="AK20" s="4" t="s">
        <v>46</v>
      </c>
      <c r="AL20" s="4" t="s">
        <v>46</v>
      </c>
      <c r="AM20" s="4" t="s">
        <v>46</v>
      </c>
      <c r="AN20" s="4" t="s">
        <v>55</v>
      </c>
      <c r="AO20" s="4" t="s">
        <v>46</v>
      </c>
      <c r="AP20" s="4" t="s">
        <v>46</v>
      </c>
    </row>
    <row r="21" spans="1:42">
      <c r="A21" s="2">
        <v>1891456</v>
      </c>
      <c r="B21" s="3">
        <v>45812</v>
      </c>
      <c r="C21" s="4" t="s">
        <v>94</v>
      </c>
      <c r="D21" s="2">
        <v>1510420</v>
      </c>
      <c r="E21" s="4" t="s">
        <v>111</v>
      </c>
      <c r="F21" s="4" t="s">
        <v>112</v>
      </c>
      <c r="G21" s="2">
        <v>994660583</v>
      </c>
      <c r="H21" s="4" t="s">
        <v>113</v>
      </c>
      <c r="I21" s="4" t="s">
        <v>46</v>
      </c>
      <c r="J21" s="4" t="s">
        <v>47</v>
      </c>
      <c r="K21" s="4" t="s">
        <v>48</v>
      </c>
      <c r="L21" s="3">
        <v>45809</v>
      </c>
      <c r="M21" s="4" t="s">
        <v>49</v>
      </c>
      <c r="N21" s="4" t="s">
        <v>46</v>
      </c>
      <c r="O21" s="4" t="s">
        <v>50</v>
      </c>
      <c r="P21" s="4" t="s">
        <v>46</v>
      </c>
      <c r="Q21" s="2">
        <v>1</v>
      </c>
      <c r="R21" s="2">
        <v>17</v>
      </c>
      <c r="S21" s="4" t="s">
        <v>51</v>
      </c>
      <c r="T21" s="4" t="s">
        <v>52</v>
      </c>
      <c r="U21" s="4" t="s">
        <v>46</v>
      </c>
      <c r="V21" s="5">
        <v>0.57999999999999996</v>
      </c>
      <c r="W21" s="5">
        <v>0</v>
      </c>
      <c r="X21" s="5">
        <v>100</v>
      </c>
      <c r="Y21" s="5">
        <v>182.58</v>
      </c>
      <c r="Z21" s="4" t="s">
        <v>46</v>
      </c>
      <c r="AA21" s="5" t="s">
        <v>46</v>
      </c>
      <c r="AB21" s="4" t="s">
        <v>59</v>
      </c>
      <c r="AC21" s="4" t="s">
        <v>46</v>
      </c>
      <c r="AD21" s="5">
        <v>0</v>
      </c>
      <c r="AE21" s="4" t="s">
        <v>60</v>
      </c>
      <c r="AF21" s="3">
        <v>45809</v>
      </c>
      <c r="AG21" s="4" t="s">
        <v>46</v>
      </c>
      <c r="AH21" s="4" t="s">
        <v>46</v>
      </c>
      <c r="AI21" s="4" t="s">
        <v>46</v>
      </c>
      <c r="AJ21" s="4" t="s">
        <v>46</v>
      </c>
      <c r="AK21" s="4" t="s">
        <v>46</v>
      </c>
      <c r="AL21" s="4" t="s">
        <v>46</v>
      </c>
      <c r="AM21" s="4" t="s">
        <v>46</v>
      </c>
      <c r="AN21" s="4" t="s">
        <v>55</v>
      </c>
      <c r="AO21" s="4" t="s">
        <v>46</v>
      </c>
      <c r="AP21" s="4" t="s">
        <v>46</v>
      </c>
    </row>
    <row r="22" spans="1:42">
      <c r="A22" s="2">
        <v>1891456</v>
      </c>
      <c r="B22" s="3">
        <v>45812</v>
      </c>
      <c r="C22" s="4" t="s">
        <v>94</v>
      </c>
      <c r="D22" s="2">
        <v>1510420</v>
      </c>
      <c r="E22" s="4" t="s">
        <v>111</v>
      </c>
      <c r="F22" s="4" t="s">
        <v>112</v>
      </c>
      <c r="G22" s="2">
        <v>994660583</v>
      </c>
      <c r="H22" s="4" t="s">
        <v>113</v>
      </c>
      <c r="I22" s="4" t="s">
        <v>46</v>
      </c>
      <c r="J22" s="4" t="s">
        <v>47</v>
      </c>
      <c r="K22" s="4" t="s">
        <v>48</v>
      </c>
      <c r="L22" s="3">
        <v>45809</v>
      </c>
      <c r="M22" s="4" t="s">
        <v>49</v>
      </c>
      <c r="N22" s="4" t="s">
        <v>46</v>
      </c>
      <c r="O22" s="4" t="s">
        <v>50</v>
      </c>
      <c r="P22" s="4" t="s">
        <v>46</v>
      </c>
      <c r="Q22" s="2">
        <v>1</v>
      </c>
      <c r="R22" s="2">
        <v>17</v>
      </c>
      <c r="S22" s="4" t="s">
        <v>51</v>
      </c>
      <c r="T22" s="4" t="s">
        <v>52</v>
      </c>
      <c r="U22" s="4" t="s">
        <v>46</v>
      </c>
      <c r="V22" s="5">
        <v>0</v>
      </c>
      <c r="W22" s="5">
        <v>0</v>
      </c>
      <c r="X22" s="5">
        <v>100</v>
      </c>
      <c r="Y22" s="5">
        <v>443.42</v>
      </c>
      <c r="Z22" s="4" t="s">
        <v>46</v>
      </c>
      <c r="AA22" s="5" t="s">
        <v>46</v>
      </c>
      <c r="AB22" s="4" t="s">
        <v>53</v>
      </c>
      <c r="AC22" s="4" t="s">
        <v>46</v>
      </c>
      <c r="AD22" s="5">
        <v>0</v>
      </c>
      <c r="AE22" s="4" t="s">
        <v>54</v>
      </c>
      <c r="AF22" s="3">
        <v>45809</v>
      </c>
      <c r="AG22" s="4" t="s">
        <v>46</v>
      </c>
      <c r="AH22" s="4" t="s">
        <v>46</v>
      </c>
      <c r="AI22" s="4" t="s">
        <v>46</v>
      </c>
      <c r="AJ22" s="4" t="s">
        <v>46</v>
      </c>
      <c r="AK22" s="4" t="s">
        <v>46</v>
      </c>
      <c r="AL22" s="4" t="s">
        <v>46</v>
      </c>
      <c r="AM22" s="4" t="s">
        <v>46</v>
      </c>
      <c r="AN22" s="4" t="s">
        <v>55</v>
      </c>
      <c r="AO22" s="4" t="s">
        <v>46</v>
      </c>
      <c r="AP22" s="4" t="s">
        <v>46</v>
      </c>
    </row>
    <row r="23" spans="1:42">
      <c r="A23" s="2">
        <v>1891456</v>
      </c>
      <c r="B23" s="3">
        <v>45812</v>
      </c>
      <c r="C23" s="4" t="s">
        <v>114</v>
      </c>
      <c r="D23" s="2">
        <v>1524629</v>
      </c>
      <c r="E23" s="4" t="s">
        <v>115</v>
      </c>
      <c r="F23" s="4" t="s">
        <v>116</v>
      </c>
      <c r="G23" s="2">
        <v>467151033</v>
      </c>
      <c r="H23" s="4" t="s">
        <v>117</v>
      </c>
      <c r="I23" s="4" t="s">
        <v>46</v>
      </c>
      <c r="J23" s="4" t="s">
        <v>47</v>
      </c>
      <c r="K23" s="4" t="s">
        <v>48</v>
      </c>
      <c r="L23" s="3">
        <v>45809</v>
      </c>
      <c r="M23" s="4" t="s">
        <v>49</v>
      </c>
      <c r="N23" s="4" t="s">
        <v>46</v>
      </c>
      <c r="O23" s="4" t="s">
        <v>118</v>
      </c>
      <c r="P23" s="4" t="s">
        <v>46</v>
      </c>
      <c r="Q23" s="2">
        <v>1</v>
      </c>
      <c r="R23" s="2">
        <v>17</v>
      </c>
      <c r="S23" s="4" t="s">
        <v>51</v>
      </c>
      <c r="T23" s="4" t="s">
        <v>52</v>
      </c>
      <c r="U23" s="4" t="s">
        <v>46</v>
      </c>
      <c r="V23" s="5">
        <v>1</v>
      </c>
      <c r="W23" s="5">
        <v>0</v>
      </c>
      <c r="X23" s="5">
        <v>100</v>
      </c>
      <c r="Y23" s="5">
        <v>26.08</v>
      </c>
      <c r="Z23" s="4" t="s">
        <v>46</v>
      </c>
      <c r="AA23" s="5" t="s">
        <v>46</v>
      </c>
      <c r="AB23" s="4" t="s">
        <v>119</v>
      </c>
      <c r="AC23" s="4" t="s">
        <v>46</v>
      </c>
      <c r="AD23" s="5">
        <v>0</v>
      </c>
      <c r="AE23" s="4" t="s">
        <v>120</v>
      </c>
      <c r="AF23" s="3">
        <v>45444</v>
      </c>
      <c r="AG23" s="4" t="s">
        <v>46</v>
      </c>
      <c r="AH23" s="4" t="s">
        <v>46</v>
      </c>
      <c r="AI23" s="4" t="s">
        <v>46</v>
      </c>
      <c r="AJ23" s="4" t="s">
        <v>46</v>
      </c>
      <c r="AK23" s="4" t="s">
        <v>46</v>
      </c>
      <c r="AL23" s="4" t="s">
        <v>46</v>
      </c>
      <c r="AM23" s="4" t="s">
        <v>46</v>
      </c>
      <c r="AN23" s="4" t="s">
        <v>55</v>
      </c>
      <c r="AO23" s="4" t="s">
        <v>46</v>
      </c>
      <c r="AP23" s="4" t="s">
        <v>46</v>
      </c>
    </row>
    <row r="24" spans="1:42">
      <c r="A24" s="2">
        <v>1891456</v>
      </c>
      <c r="B24" s="3">
        <v>45812</v>
      </c>
      <c r="C24" s="4" t="s">
        <v>121</v>
      </c>
      <c r="D24" s="2">
        <v>1573279</v>
      </c>
      <c r="E24" s="4" t="s">
        <v>122</v>
      </c>
      <c r="F24" s="4" t="s">
        <v>123</v>
      </c>
      <c r="G24" s="2">
        <v>177953053</v>
      </c>
      <c r="H24" s="4" t="s">
        <v>124</v>
      </c>
      <c r="I24" s="4" t="s">
        <v>46</v>
      </c>
      <c r="J24" s="4" t="s">
        <v>47</v>
      </c>
      <c r="K24" s="4" t="s">
        <v>48</v>
      </c>
      <c r="L24" s="3">
        <v>45778</v>
      </c>
      <c r="M24" s="4" t="s">
        <v>98</v>
      </c>
      <c r="N24" s="4" t="s">
        <v>46</v>
      </c>
      <c r="O24" s="4" t="s">
        <v>50</v>
      </c>
      <c r="P24" s="4" t="s">
        <v>46</v>
      </c>
      <c r="Q24" s="2">
        <v>1</v>
      </c>
      <c r="R24" s="2">
        <v>17</v>
      </c>
      <c r="S24" s="4" t="s">
        <v>51</v>
      </c>
      <c r="T24" s="4" t="s">
        <v>52</v>
      </c>
      <c r="U24" s="4" t="s">
        <v>46</v>
      </c>
      <c r="V24" s="5">
        <v>0</v>
      </c>
      <c r="W24" s="5">
        <v>0</v>
      </c>
      <c r="X24" s="5">
        <v>100</v>
      </c>
      <c r="Y24" s="5">
        <v>417.33</v>
      </c>
      <c r="Z24" s="4" t="s">
        <v>46</v>
      </c>
      <c r="AA24" s="5" t="s">
        <v>46</v>
      </c>
      <c r="AB24" s="4" t="s">
        <v>53</v>
      </c>
      <c r="AC24" s="4" t="s">
        <v>46</v>
      </c>
      <c r="AD24" s="5">
        <v>0</v>
      </c>
      <c r="AE24" s="4" t="s">
        <v>54</v>
      </c>
      <c r="AF24" s="3">
        <v>45778</v>
      </c>
      <c r="AG24" s="4" t="s">
        <v>46</v>
      </c>
      <c r="AH24" s="4" t="s">
        <v>46</v>
      </c>
      <c r="AI24" s="4" t="s">
        <v>46</v>
      </c>
      <c r="AJ24" s="4" t="s">
        <v>46</v>
      </c>
      <c r="AK24" s="4" t="s">
        <v>46</v>
      </c>
      <c r="AL24" s="4" t="s">
        <v>46</v>
      </c>
      <c r="AM24" s="4" t="s">
        <v>46</v>
      </c>
      <c r="AN24" s="4" t="s">
        <v>55</v>
      </c>
      <c r="AO24" s="4" t="s">
        <v>46</v>
      </c>
      <c r="AP24" s="4" t="s">
        <v>46</v>
      </c>
    </row>
    <row r="25" spans="1:42">
      <c r="A25" s="2">
        <v>1891456</v>
      </c>
      <c r="B25" s="3">
        <v>45812</v>
      </c>
      <c r="C25" s="4" t="s">
        <v>121</v>
      </c>
      <c r="D25" s="2">
        <v>1573279</v>
      </c>
      <c r="E25" s="4" t="s">
        <v>125</v>
      </c>
      <c r="F25" s="4" t="s">
        <v>126</v>
      </c>
      <c r="G25" s="2">
        <v>236767423</v>
      </c>
      <c r="H25" s="4" t="s">
        <v>127</v>
      </c>
      <c r="I25" s="4" t="s">
        <v>46</v>
      </c>
      <c r="J25" s="4" t="s">
        <v>47</v>
      </c>
      <c r="K25" s="4" t="s">
        <v>48</v>
      </c>
      <c r="L25" s="3">
        <v>45839</v>
      </c>
      <c r="M25" s="4" t="s">
        <v>84</v>
      </c>
      <c r="N25" s="4" t="s">
        <v>46</v>
      </c>
      <c r="O25" s="4" t="s">
        <v>50</v>
      </c>
      <c r="P25" s="4" t="s">
        <v>46</v>
      </c>
      <c r="Q25" s="2">
        <v>1</v>
      </c>
      <c r="R25" s="2">
        <v>17</v>
      </c>
      <c r="S25" s="4" t="s">
        <v>51</v>
      </c>
      <c r="T25" s="4" t="s">
        <v>75</v>
      </c>
      <c r="U25" s="4" t="s">
        <v>46</v>
      </c>
      <c r="V25" s="5">
        <v>0</v>
      </c>
      <c r="W25" s="5">
        <v>0</v>
      </c>
      <c r="X25" s="5">
        <v>100</v>
      </c>
      <c r="Y25" s="5">
        <v>469.5</v>
      </c>
      <c r="Z25" s="4" t="s">
        <v>46</v>
      </c>
      <c r="AA25" s="5" t="s">
        <v>46</v>
      </c>
      <c r="AB25" s="4" t="s">
        <v>53</v>
      </c>
      <c r="AC25" s="4" t="s">
        <v>46</v>
      </c>
      <c r="AD25" s="5">
        <v>0</v>
      </c>
      <c r="AE25" s="4" t="s">
        <v>54</v>
      </c>
      <c r="AF25" s="3">
        <v>45839</v>
      </c>
      <c r="AG25" s="4" t="s">
        <v>46</v>
      </c>
      <c r="AH25" s="4" t="s">
        <v>46</v>
      </c>
      <c r="AI25" s="4" t="s">
        <v>46</v>
      </c>
      <c r="AJ25" s="4" t="s">
        <v>46</v>
      </c>
      <c r="AK25" s="4" t="s">
        <v>46</v>
      </c>
      <c r="AL25" s="4" t="s">
        <v>46</v>
      </c>
      <c r="AM25" s="4" t="s">
        <v>46</v>
      </c>
      <c r="AN25" s="4" t="s">
        <v>76</v>
      </c>
      <c r="AO25" s="4" t="s">
        <v>46</v>
      </c>
      <c r="AP25" s="4" t="s">
        <v>46</v>
      </c>
    </row>
    <row r="26" spans="1:42">
      <c r="A26" s="2">
        <v>1891456</v>
      </c>
      <c r="B26" s="3">
        <v>45812</v>
      </c>
      <c r="C26" s="4" t="s">
        <v>121</v>
      </c>
      <c r="D26" s="2">
        <v>1573279</v>
      </c>
      <c r="E26" s="4" t="s">
        <v>128</v>
      </c>
      <c r="F26" s="4" t="s">
        <v>129</v>
      </c>
      <c r="G26" s="2">
        <v>473341130</v>
      </c>
      <c r="H26" s="4" t="s">
        <v>130</v>
      </c>
      <c r="I26" s="4" t="s">
        <v>46</v>
      </c>
      <c r="J26" s="4" t="s">
        <v>47</v>
      </c>
      <c r="K26" s="4" t="s">
        <v>48</v>
      </c>
      <c r="L26" s="3">
        <v>45809</v>
      </c>
      <c r="M26" s="4" t="s">
        <v>49</v>
      </c>
      <c r="N26" s="4" t="s">
        <v>46</v>
      </c>
      <c r="O26" s="4" t="s">
        <v>50</v>
      </c>
      <c r="P26" s="4" t="s">
        <v>46</v>
      </c>
      <c r="Q26" s="2">
        <v>1</v>
      </c>
      <c r="R26" s="2">
        <v>17</v>
      </c>
      <c r="S26" s="4" t="s">
        <v>51</v>
      </c>
      <c r="T26" s="4" t="s">
        <v>75</v>
      </c>
      <c r="U26" s="4" t="s">
        <v>46</v>
      </c>
      <c r="V26" s="5">
        <v>0</v>
      </c>
      <c r="W26" s="5">
        <v>0</v>
      </c>
      <c r="X26" s="5">
        <v>100</v>
      </c>
      <c r="Y26" s="5">
        <v>443.42</v>
      </c>
      <c r="Z26" s="4" t="s">
        <v>46</v>
      </c>
      <c r="AA26" s="5" t="s">
        <v>46</v>
      </c>
      <c r="AB26" s="4" t="s">
        <v>53</v>
      </c>
      <c r="AC26" s="4" t="s">
        <v>46</v>
      </c>
      <c r="AD26" s="5">
        <v>0</v>
      </c>
      <c r="AE26" s="4" t="s">
        <v>54</v>
      </c>
      <c r="AF26" s="3">
        <v>45809</v>
      </c>
      <c r="AG26" s="4" t="s">
        <v>46</v>
      </c>
      <c r="AH26" s="4" t="s">
        <v>46</v>
      </c>
      <c r="AI26" s="4" t="s">
        <v>46</v>
      </c>
      <c r="AJ26" s="4" t="s">
        <v>46</v>
      </c>
      <c r="AK26" s="4" t="s">
        <v>46</v>
      </c>
      <c r="AL26" s="4" t="s">
        <v>46</v>
      </c>
      <c r="AM26" s="4" t="s">
        <v>46</v>
      </c>
      <c r="AN26" s="4" t="s">
        <v>80</v>
      </c>
      <c r="AO26" s="4" t="s">
        <v>46</v>
      </c>
      <c r="AP26" s="4" t="s">
        <v>46</v>
      </c>
    </row>
    <row r="27" spans="1:42">
      <c r="A27" s="2">
        <v>1891456</v>
      </c>
      <c r="B27" s="3">
        <v>45812</v>
      </c>
      <c r="C27" s="4" t="s">
        <v>121</v>
      </c>
      <c r="D27" s="2">
        <v>1573279</v>
      </c>
      <c r="E27" s="4" t="s">
        <v>131</v>
      </c>
      <c r="F27" s="4" t="s">
        <v>132</v>
      </c>
      <c r="G27" s="2">
        <v>715811264</v>
      </c>
      <c r="H27" s="4" t="s">
        <v>133</v>
      </c>
      <c r="I27" s="4" t="s">
        <v>46</v>
      </c>
      <c r="J27" s="4" t="s">
        <v>47</v>
      </c>
      <c r="K27" s="4" t="s">
        <v>48</v>
      </c>
      <c r="L27" s="3">
        <v>45870</v>
      </c>
      <c r="M27" s="4" t="s">
        <v>134</v>
      </c>
      <c r="N27" s="4" t="s">
        <v>46</v>
      </c>
      <c r="O27" s="4" t="s">
        <v>50</v>
      </c>
      <c r="P27" s="4" t="s">
        <v>46</v>
      </c>
      <c r="Q27" s="2">
        <v>1</v>
      </c>
      <c r="R27" s="2">
        <v>17</v>
      </c>
      <c r="S27" s="4" t="s">
        <v>51</v>
      </c>
      <c r="T27" s="4" t="s">
        <v>52</v>
      </c>
      <c r="U27" s="4" t="s">
        <v>46</v>
      </c>
      <c r="V27" s="5">
        <v>0.42</v>
      </c>
      <c r="W27" s="5">
        <v>0</v>
      </c>
      <c r="X27" s="5">
        <v>100</v>
      </c>
      <c r="Y27" s="5">
        <v>130.41999999999999</v>
      </c>
      <c r="Z27" s="4" t="s">
        <v>46</v>
      </c>
      <c r="AA27" s="5" t="s">
        <v>46</v>
      </c>
      <c r="AB27" s="4" t="s">
        <v>59</v>
      </c>
      <c r="AC27" s="4" t="s">
        <v>46</v>
      </c>
      <c r="AD27" s="5">
        <v>0</v>
      </c>
      <c r="AE27" s="4" t="s">
        <v>60</v>
      </c>
      <c r="AF27" s="3">
        <v>45870</v>
      </c>
      <c r="AG27" s="4" t="s">
        <v>46</v>
      </c>
      <c r="AH27" s="4" t="s">
        <v>46</v>
      </c>
      <c r="AI27" s="4" t="s">
        <v>46</v>
      </c>
      <c r="AJ27" s="4" t="s">
        <v>46</v>
      </c>
      <c r="AK27" s="4" t="s">
        <v>46</v>
      </c>
      <c r="AL27" s="4" t="s">
        <v>46</v>
      </c>
      <c r="AM27" s="4" t="s">
        <v>46</v>
      </c>
      <c r="AN27" s="4" t="s">
        <v>55</v>
      </c>
      <c r="AO27" s="4" t="s">
        <v>46</v>
      </c>
      <c r="AP27" s="4" t="s">
        <v>46</v>
      </c>
    </row>
    <row r="28" spans="1:42">
      <c r="A28" s="2">
        <v>1891456</v>
      </c>
      <c r="B28" s="3">
        <v>45812</v>
      </c>
      <c r="C28" s="4" t="s">
        <v>121</v>
      </c>
      <c r="D28" s="2">
        <v>1573279</v>
      </c>
      <c r="E28" s="4" t="s">
        <v>131</v>
      </c>
      <c r="F28" s="4" t="s">
        <v>132</v>
      </c>
      <c r="G28" s="2">
        <v>715811264</v>
      </c>
      <c r="H28" s="4" t="s">
        <v>133</v>
      </c>
      <c r="I28" s="4" t="s">
        <v>46</v>
      </c>
      <c r="J28" s="4" t="s">
        <v>47</v>
      </c>
      <c r="K28" s="4" t="s">
        <v>48</v>
      </c>
      <c r="L28" s="3">
        <v>45870</v>
      </c>
      <c r="M28" s="4" t="s">
        <v>134</v>
      </c>
      <c r="N28" s="4" t="s">
        <v>46</v>
      </c>
      <c r="O28" s="4" t="s">
        <v>50</v>
      </c>
      <c r="P28" s="4" t="s">
        <v>46</v>
      </c>
      <c r="Q28" s="2">
        <v>1</v>
      </c>
      <c r="R28" s="2">
        <v>17</v>
      </c>
      <c r="S28" s="4" t="s">
        <v>51</v>
      </c>
      <c r="T28" s="4" t="s">
        <v>52</v>
      </c>
      <c r="U28" s="4" t="s">
        <v>46</v>
      </c>
      <c r="V28" s="5">
        <v>0</v>
      </c>
      <c r="W28" s="5">
        <v>0</v>
      </c>
      <c r="X28" s="5">
        <v>100</v>
      </c>
      <c r="Y28" s="5">
        <v>495.58</v>
      </c>
      <c r="Z28" s="4" t="s">
        <v>46</v>
      </c>
      <c r="AA28" s="5" t="s">
        <v>46</v>
      </c>
      <c r="AB28" s="4" t="s">
        <v>53</v>
      </c>
      <c r="AC28" s="4" t="s">
        <v>46</v>
      </c>
      <c r="AD28" s="5">
        <v>0</v>
      </c>
      <c r="AE28" s="4" t="s">
        <v>54</v>
      </c>
      <c r="AF28" s="3">
        <v>45870</v>
      </c>
      <c r="AG28" s="4" t="s">
        <v>46</v>
      </c>
      <c r="AH28" s="4" t="s">
        <v>46</v>
      </c>
      <c r="AI28" s="4" t="s">
        <v>46</v>
      </c>
      <c r="AJ28" s="4" t="s">
        <v>46</v>
      </c>
      <c r="AK28" s="4" t="s">
        <v>46</v>
      </c>
      <c r="AL28" s="4" t="s">
        <v>46</v>
      </c>
      <c r="AM28" s="4" t="s">
        <v>46</v>
      </c>
      <c r="AN28" s="4" t="s">
        <v>55</v>
      </c>
      <c r="AO28" s="4" t="s">
        <v>46</v>
      </c>
      <c r="AP28" s="4" t="s">
        <v>46</v>
      </c>
    </row>
    <row r="29" spans="1:42">
      <c r="A29" s="2">
        <v>1891456</v>
      </c>
      <c r="B29" s="3">
        <v>45812</v>
      </c>
      <c r="C29" s="4" t="s">
        <v>135</v>
      </c>
      <c r="D29" s="2">
        <v>1576652</v>
      </c>
      <c r="E29" s="4" t="s">
        <v>136</v>
      </c>
      <c r="F29" s="4" t="s">
        <v>137</v>
      </c>
      <c r="G29" s="2">
        <v>131116227</v>
      </c>
      <c r="H29" s="4" t="s">
        <v>138</v>
      </c>
      <c r="I29" s="4" t="s">
        <v>46</v>
      </c>
      <c r="J29" s="4" t="s">
        <v>47</v>
      </c>
      <c r="K29" s="4" t="s">
        <v>48</v>
      </c>
      <c r="L29" s="3">
        <v>45809</v>
      </c>
      <c r="M29" s="4" t="s">
        <v>49</v>
      </c>
      <c r="N29" s="4" t="s">
        <v>46</v>
      </c>
      <c r="O29" s="4" t="s">
        <v>50</v>
      </c>
      <c r="P29" s="4" t="s">
        <v>46</v>
      </c>
      <c r="Q29" s="2">
        <v>1</v>
      </c>
      <c r="R29" s="2">
        <v>17</v>
      </c>
      <c r="S29" s="4" t="s">
        <v>51</v>
      </c>
      <c r="T29" s="4" t="s">
        <v>52</v>
      </c>
      <c r="U29" s="4" t="s">
        <v>46</v>
      </c>
      <c r="V29" s="5">
        <v>0</v>
      </c>
      <c r="W29" s="5">
        <v>0</v>
      </c>
      <c r="X29" s="5">
        <v>100</v>
      </c>
      <c r="Y29" s="5">
        <v>443.42</v>
      </c>
      <c r="Z29" s="4" t="s">
        <v>46</v>
      </c>
      <c r="AA29" s="5" t="s">
        <v>46</v>
      </c>
      <c r="AB29" s="4" t="s">
        <v>53</v>
      </c>
      <c r="AC29" s="4" t="s">
        <v>46</v>
      </c>
      <c r="AD29" s="5">
        <v>0</v>
      </c>
      <c r="AE29" s="4" t="s">
        <v>54</v>
      </c>
      <c r="AF29" s="3">
        <v>45809</v>
      </c>
      <c r="AG29" s="4" t="s">
        <v>46</v>
      </c>
      <c r="AH29" s="4" t="s">
        <v>46</v>
      </c>
      <c r="AI29" s="4" t="s">
        <v>46</v>
      </c>
      <c r="AJ29" s="4" t="s">
        <v>46</v>
      </c>
      <c r="AK29" s="4" t="s">
        <v>46</v>
      </c>
      <c r="AL29" s="4" t="s">
        <v>46</v>
      </c>
      <c r="AM29" s="4" t="s">
        <v>46</v>
      </c>
      <c r="AN29" s="4" t="s">
        <v>55</v>
      </c>
      <c r="AO29" s="4" t="s">
        <v>46</v>
      </c>
      <c r="AP29" s="4" t="s">
        <v>46</v>
      </c>
    </row>
    <row r="30" spans="1:42">
      <c r="A30" s="2">
        <v>1891456</v>
      </c>
      <c r="B30" s="3">
        <v>45812</v>
      </c>
      <c r="C30" s="4" t="s">
        <v>139</v>
      </c>
      <c r="D30" s="2">
        <v>1581320</v>
      </c>
      <c r="E30" s="4" t="s">
        <v>140</v>
      </c>
      <c r="F30" s="4" t="s">
        <v>141</v>
      </c>
      <c r="G30" s="2">
        <v>197796523</v>
      </c>
      <c r="H30" s="4" t="s">
        <v>142</v>
      </c>
      <c r="I30" s="4" t="s">
        <v>46</v>
      </c>
      <c r="J30" s="4" t="s">
        <v>47</v>
      </c>
      <c r="K30" s="4" t="s">
        <v>48</v>
      </c>
      <c r="L30" s="3">
        <v>45778</v>
      </c>
      <c r="M30" s="4" t="s">
        <v>98</v>
      </c>
      <c r="N30" s="4" t="s">
        <v>46</v>
      </c>
      <c r="O30" s="4" t="s">
        <v>50</v>
      </c>
      <c r="P30" s="4" t="s">
        <v>46</v>
      </c>
      <c r="Q30" s="2">
        <v>1</v>
      </c>
      <c r="R30" s="2">
        <v>17</v>
      </c>
      <c r="S30" s="4" t="s">
        <v>51</v>
      </c>
      <c r="T30" s="4" t="s">
        <v>52</v>
      </c>
      <c r="U30" s="4" t="s">
        <v>46</v>
      </c>
      <c r="V30" s="5">
        <v>0</v>
      </c>
      <c r="W30" s="5">
        <v>0</v>
      </c>
      <c r="X30" s="5">
        <v>100</v>
      </c>
      <c r="Y30" s="5">
        <v>520</v>
      </c>
      <c r="Z30" s="4" t="s">
        <v>46</v>
      </c>
      <c r="AA30" s="5" t="s">
        <v>46</v>
      </c>
      <c r="AB30" s="4" t="s">
        <v>53</v>
      </c>
      <c r="AC30" s="4" t="s">
        <v>46</v>
      </c>
      <c r="AD30" s="5">
        <v>0</v>
      </c>
      <c r="AE30" s="4" t="s">
        <v>54</v>
      </c>
      <c r="AF30" s="3">
        <v>45778</v>
      </c>
      <c r="AG30" s="4" t="s">
        <v>46</v>
      </c>
      <c r="AH30" s="4" t="s">
        <v>46</v>
      </c>
      <c r="AI30" s="4" t="s">
        <v>46</v>
      </c>
      <c r="AJ30" s="4" t="s">
        <v>46</v>
      </c>
      <c r="AK30" s="4" t="s">
        <v>46</v>
      </c>
      <c r="AL30" s="4" t="s">
        <v>46</v>
      </c>
      <c r="AM30" s="4" t="s">
        <v>46</v>
      </c>
      <c r="AN30" s="4" t="s">
        <v>55</v>
      </c>
      <c r="AO30" s="4" t="s">
        <v>46</v>
      </c>
      <c r="AP30" s="4" t="s">
        <v>46</v>
      </c>
    </row>
    <row r="31" spans="1:42">
      <c r="A31" s="2">
        <v>1891456</v>
      </c>
      <c r="B31" s="3">
        <v>45812</v>
      </c>
      <c r="C31" s="4" t="s">
        <v>143</v>
      </c>
      <c r="D31" s="2">
        <v>1594305</v>
      </c>
      <c r="E31" s="4" t="s">
        <v>144</v>
      </c>
      <c r="F31" s="4" t="s">
        <v>145</v>
      </c>
      <c r="G31" s="2">
        <v>801809153</v>
      </c>
      <c r="H31" s="4" t="s">
        <v>146</v>
      </c>
      <c r="I31" s="4" t="s">
        <v>46</v>
      </c>
      <c r="J31" s="4" t="s">
        <v>47</v>
      </c>
      <c r="K31" s="4" t="s">
        <v>48</v>
      </c>
      <c r="L31" s="3">
        <v>45778</v>
      </c>
      <c r="M31" s="4" t="s">
        <v>98</v>
      </c>
      <c r="N31" s="4" t="s">
        <v>46</v>
      </c>
      <c r="O31" s="4" t="s">
        <v>50</v>
      </c>
      <c r="P31" s="4" t="s">
        <v>46</v>
      </c>
      <c r="Q31" s="2">
        <v>1</v>
      </c>
      <c r="R31" s="2">
        <v>17</v>
      </c>
      <c r="S31" s="4" t="s">
        <v>51</v>
      </c>
      <c r="T31" s="4" t="s">
        <v>75</v>
      </c>
      <c r="U31" s="4" t="s">
        <v>46</v>
      </c>
      <c r="V31" s="5">
        <v>0</v>
      </c>
      <c r="W31" s="5">
        <v>0</v>
      </c>
      <c r="X31" s="5">
        <v>100</v>
      </c>
      <c r="Y31" s="5">
        <v>208.66</v>
      </c>
      <c r="Z31" s="4" t="s">
        <v>46</v>
      </c>
      <c r="AA31" s="5" t="s">
        <v>46</v>
      </c>
      <c r="AB31" s="4" t="s">
        <v>53</v>
      </c>
      <c r="AC31" s="4" t="s">
        <v>46</v>
      </c>
      <c r="AD31" s="5">
        <v>0</v>
      </c>
      <c r="AE31" s="4" t="s">
        <v>54</v>
      </c>
      <c r="AF31" s="3">
        <v>45778</v>
      </c>
      <c r="AG31" s="4" t="s">
        <v>46</v>
      </c>
      <c r="AH31" s="4" t="s">
        <v>46</v>
      </c>
      <c r="AI31" s="4" t="s">
        <v>46</v>
      </c>
      <c r="AJ31" s="4" t="s">
        <v>46</v>
      </c>
      <c r="AK31" s="4" t="s">
        <v>46</v>
      </c>
      <c r="AL31" s="4" t="s">
        <v>46</v>
      </c>
      <c r="AM31" s="4" t="s">
        <v>46</v>
      </c>
      <c r="AN31" s="4" t="s">
        <v>80</v>
      </c>
      <c r="AO31" s="4" t="s">
        <v>46</v>
      </c>
      <c r="AP31" s="4" t="s">
        <v>46</v>
      </c>
    </row>
    <row r="32" spans="1:42">
      <c r="A32" s="2">
        <v>1891456</v>
      </c>
      <c r="B32" s="3">
        <v>45812</v>
      </c>
      <c r="C32" s="4" t="s">
        <v>147</v>
      </c>
      <c r="D32" s="2">
        <v>1626475</v>
      </c>
      <c r="E32" s="4" t="s">
        <v>148</v>
      </c>
      <c r="F32" s="4" t="s">
        <v>149</v>
      </c>
      <c r="G32" s="2">
        <v>322996583</v>
      </c>
      <c r="H32" s="4" t="s">
        <v>150</v>
      </c>
      <c r="I32" s="4" t="s">
        <v>46</v>
      </c>
      <c r="J32" s="4" t="s">
        <v>47</v>
      </c>
      <c r="K32" s="4" t="s">
        <v>48</v>
      </c>
      <c r="L32" s="3">
        <v>45809</v>
      </c>
      <c r="M32" s="4" t="s">
        <v>49</v>
      </c>
      <c r="N32" s="4" t="s">
        <v>46</v>
      </c>
      <c r="O32" s="4" t="s">
        <v>50</v>
      </c>
      <c r="P32" s="4" t="s">
        <v>46</v>
      </c>
      <c r="Q32" s="2">
        <v>1</v>
      </c>
      <c r="R32" s="2">
        <v>17</v>
      </c>
      <c r="S32" s="4" t="s">
        <v>51</v>
      </c>
      <c r="T32" s="4" t="s">
        <v>52</v>
      </c>
      <c r="U32" s="4" t="s">
        <v>46</v>
      </c>
      <c r="V32" s="5">
        <v>0</v>
      </c>
      <c r="W32" s="5">
        <v>0</v>
      </c>
      <c r="X32" s="5">
        <v>100</v>
      </c>
      <c r="Y32" s="5">
        <v>443.42</v>
      </c>
      <c r="Z32" s="4" t="s">
        <v>46</v>
      </c>
      <c r="AA32" s="5" t="s">
        <v>46</v>
      </c>
      <c r="AB32" s="4" t="s">
        <v>53</v>
      </c>
      <c r="AC32" s="4" t="s">
        <v>46</v>
      </c>
      <c r="AD32" s="5">
        <v>0</v>
      </c>
      <c r="AE32" s="4" t="s">
        <v>54</v>
      </c>
      <c r="AF32" s="3">
        <v>45809</v>
      </c>
      <c r="AG32" s="4" t="s">
        <v>46</v>
      </c>
      <c r="AH32" s="4" t="s">
        <v>46</v>
      </c>
      <c r="AI32" s="4" t="s">
        <v>46</v>
      </c>
      <c r="AJ32" s="4" t="s">
        <v>46</v>
      </c>
      <c r="AK32" s="4" t="s">
        <v>46</v>
      </c>
      <c r="AL32" s="4" t="s">
        <v>46</v>
      </c>
      <c r="AM32" s="4" t="s">
        <v>46</v>
      </c>
      <c r="AN32" s="4" t="s">
        <v>55</v>
      </c>
      <c r="AO32" s="4" t="s">
        <v>46</v>
      </c>
      <c r="AP32" s="4" t="s">
        <v>46</v>
      </c>
    </row>
    <row r="33" spans="1:42">
      <c r="A33" s="2">
        <v>1891456</v>
      </c>
      <c r="B33" s="3">
        <v>45812</v>
      </c>
      <c r="C33" s="4" t="s">
        <v>147</v>
      </c>
      <c r="D33" s="2">
        <v>1626475</v>
      </c>
      <c r="E33" s="4" t="s">
        <v>151</v>
      </c>
      <c r="F33" s="4" t="s">
        <v>152</v>
      </c>
      <c r="G33" s="2">
        <v>74730273</v>
      </c>
      <c r="H33" s="4" t="s">
        <v>153</v>
      </c>
      <c r="I33" s="4" t="s">
        <v>46</v>
      </c>
      <c r="J33" s="4" t="s">
        <v>47</v>
      </c>
      <c r="K33" s="4" t="s">
        <v>48</v>
      </c>
      <c r="L33" s="3">
        <v>45809</v>
      </c>
      <c r="M33" s="4" t="s">
        <v>49</v>
      </c>
      <c r="N33" s="4" t="s">
        <v>46</v>
      </c>
      <c r="O33" s="4" t="s">
        <v>50</v>
      </c>
      <c r="P33" s="4" t="s">
        <v>46</v>
      </c>
      <c r="Q33" s="2">
        <v>1</v>
      </c>
      <c r="R33" s="2">
        <v>17</v>
      </c>
      <c r="S33" s="4" t="s">
        <v>51</v>
      </c>
      <c r="T33" s="4" t="s">
        <v>52</v>
      </c>
      <c r="U33" s="4" t="s">
        <v>46</v>
      </c>
      <c r="V33" s="5">
        <v>0.57999999999999996</v>
      </c>
      <c r="W33" s="5">
        <v>0</v>
      </c>
      <c r="X33" s="5">
        <v>100</v>
      </c>
      <c r="Y33" s="5">
        <v>182.58</v>
      </c>
      <c r="Z33" s="4" t="s">
        <v>46</v>
      </c>
      <c r="AA33" s="5" t="s">
        <v>46</v>
      </c>
      <c r="AB33" s="4" t="s">
        <v>59</v>
      </c>
      <c r="AC33" s="4" t="s">
        <v>46</v>
      </c>
      <c r="AD33" s="5">
        <v>0</v>
      </c>
      <c r="AE33" s="4" t="s">
        <v>60</v>
      </c>
      <c r="AF33" s="3">
        <v>45809</v>
      </c>
      <c r="AG33" s="4" t="s">
        <v>46</v>
      </c>
      <c r="AH33" s="4" t="s">
        <v>46</v>
      </c>
      <c r="AI33" s="4" t="s">
        <v>46</v>
      </c>
      <c r="AJ33" s="4" t="s">
        <v>46</v>
      </c>
      <c r="AK33" s="4" t="s">
        <v>46</v>
      </c>
      <c r="AL33" s="4" t="s">
        <v>46</v>
      </c>
      <c r="AM33" s="4" t="s">
        <v>46</v>
      </c>
      <c r="AN33" s="4" t="s">
        <v>55</v>
      </c>
      <c r="AO33" s="4" t="s">
        <v>46</v>
      </c>
      <c r="AP33" s="4" t="s">
        <v>46</v>
      </c>
    </row>
    <row r="34" spans="1:42">
      <c r="A34" s="2">
        <v>1891456</v>
      </c>
      <c r="B34" s="3">
        <v>45812</v>
      </c>
      <c r="C34" s="4" t="s">
        <v>147</v>
      </c>
      <c r="D34" s="2">
        <v>1626475</v>
      </c>
      <c r="E34" s="4" t="s">
        <v>151</v>
      </c>
      <c r="F34" s="4" t="s">
        <v>152</v>
      </c>
      <c r="G34" s="2">
        <v>74730273</v>
      </c>
      <c r="H34" s="4" t="s">
        <v>153</v>
      </c>
      <c r="I34" s="4" t="s">
        <v>46</v>
      </c>
      <c r="J34" s="4" t="s">
        <v>47</v>
      </c>
      <c r="K34" s="4" t="s">
        <v>48</v>
      </c>
      <c r="L34" s="3">
        <v>45809</v>
      </c>
      <c r="M34" s="4" t="s">
        <v>49</v>
      </c>
      <c r="N34" s="4" t="s">
        <v>46</v>
      </c>
      <c r="O34" s="4" t="s">
        <v>50</v>
      </c>
      <c r="P34" s="4" t="s">
        <v>46</v>
      </c>
      <c r="Q34" s="2">
        <v>1</v>
      </c>
      <c r="R34" s="2">
        <v>17</v>
      </c>
      <c r="S34" s="4" t="s">
        <v>51</v>
      </c>
      <c r="T34" s="4" t="s">
        <v>52</v>
      </c>
      <c r="U34" s="4" t="s">
        <v>46</v>
      </c>
      <c r="V34" s="5">
        <v>0</v>
      </c>
      <c r="W34" s="5">
        <v>0</v>
      </c>
      <c r="X34" s="5">
        <v>100</v>
      </c>
      <c r="Y34" s="5">
        <v>443.42</v>
      </c>
      <c r="Z34" s="4" t="s">
        <v>46</v>
      </c>
      <c r="AA34" s="5" t="s">
        <v>46</v>
      </c>
      <c r="AB34" s="4" t="s">
        <v>53</v>
      </c>
      <c r="AC34" s="4" t="s">
        <v>46</v>
      </c>
      <c r="AD34" s="5">
        <v>0</v>
      </c>
      <c r="AE34" s="4" t="s">
        <v>54</v>
      </c>
      <c r="AF34" s="3">
        <v>45809</v>
      </c>
      <c r="AG34" s="4" t="s">
        <v>46</v>
      </c>
      <c r="AH34" s="4" t="s">
        <v>46</v>
      </c>
      <c r="AI34" s="4" t="s">
        <v>46</v>
      </c>
      <c r="AJ34" s="4" t="s">
        <v>46</v>
      </c>
      <c r="AK34" s="4" t="s">
        <v>46</v>
      </c>
      <c r="AL34" s="4" t="s">
        <v>46</v>
      </c>
      <c r="AM34" s="4" t="s">
        <v>46</v>
      </c>
      <c r="AN34" s="4" t="s">
        <v>55</v>
      </c>
      <c r="AO34" s="4" t="s">
        <v>46</v>
      </c>
      <c r="AP34" s="4" t="s">
        <v>46</v>
      </c>
    </row>
    <row r="35" spans="1:42">
      <c r="A35" s="2">
        <v>1891456</v>
      </c>
      <c r="B35" s="3">
        <v>45812</v>
      </c>
      <c r="C35" s="4" t="s">
        <v>147</v>
      </c>
      <c r="D35" s="2">
        <v>1626475</v>
      </c>
      <c r="E35" s="4" t="s">
        <v>154</v>
      </c>
      <c r="F35" s="4" t="s">
        <v>155</v>
      </c>
      <c r="G35" s="2">
        <v>659802364</v>
      </c>
      <c r="H35" s="4" t="s">
        <v>156</v>
      </c>
      <c r="I35" s="4" t="s">
        <v>46</v>
      </c>
      <c r="J35" s="4" t="s">
        <v>47</v>
      </c>
      <c r="K35" s="4" t="s">
        <v>48</v>
      </c>
      <c r="L35" s="3">
        <v>45809</v>
      </c>
      <c r="M35" s="4" t="s">
        <v>49</v>
      </c>
      <c r="N35" s="4" t="s">
        <v>46</v>
      </c>
      <c r="O35" s="4" t="s">
        <v>50</v>
      </c>
      <c r="P35" s="4" t="s">
        <v>46</v>
      </c>
      <c r="Q35" s="2">
        <v>1</v>
      </c>
      <c r="R35" s="2">
        <v>17</v>
      </c>
      <c r="S35" s="4" t="s">
        <v>51</v>
      </c>
      <c r="T35" s="4" t="s">
        <v>52</v>
      </c>
      <c r="U35" s="4" t="s">
        <v>46</v>
      </c>
      <c r="V35" s="5">
        <v>0.57999999999999996</v>
      </c>
      <c r="W35" s="5">
        <v>0</v>
      </c>
      <c r="X35" s="5">
        <v>100</v>
      </c>
      <c r="Y35" s="5">
        <v>182.58</v>
      </c>
      <c r="Z35" s="4" t="s">
        <v>46</v>
      </c>
      <c r="AA35" s="5" t="s">
        <v>46</v>
      </c>
      <c r="AB35" s="4" t="s">
        <v>59</v>
      </c>
      <c r="AC35" s="4" t="s">
        <v>46</v>
      </c>
      <c r="AD35" s="5">
        <v>0</v>
      </c>
      <c r="AE35" s="4" t="s">
        <v>60</v>
      </c>
      <c r="AF35" s="3">
        <v>45809</v>
      </c>
      <c r="AG35" s="4" t="s">
        <v>46</v>
      </c>
      <c r="AH35" s="4" t="s">
        <v>46</v>
      </c>
      <c r="AI35" s="4" t="s">
        <v>46</v>
      </c>
      <c r="AJ35" s="4" t="s">
        <v>46</v>
      </c>
      <c r="AK35" s="4" t="s">
        <v>46</v>
      </c>
      <c r="AL35" s="4" t="s">
        <v>46</v>
      </c>
      <c r="AM35" s="4" t="s">
        <v>46</v>
      </c>
      <c r="AN35" s="4" t="s">
        <v>55</v>
      </c>
      <c r="AO35" s="4" t="s">
        <v>46</v>
      </c>
      <c r="AP35" s="4" t="s">
        <v>46</v>
      </c>
    </row>
    <row r="36" spans="1:42">
      <c r="A36" s="2">
        <v>1891456</v>
      </c>
      <c r="B36" s="3">
        <v>45812</v>
      </c>
      <c r="C36" s="4" t="s">
        <v>147</v>
      </c>
      <c r="D36" s="2">
        <v>1626475</v>
      </c>
      <c r="E36" s="4" t="s">
        <v>154</v>
      </c>
      <c r="F36" s="4" t="s">
        <v>155</v>
      </c>
      <c r="G36" s="2">
        <v>659802364</v>
      </c>
      <c r="H36" s="4" t="s">
        <v>156</v>
      </c>
      <c r="I36" s="4" t="s">
        <v>46</v>
      </c>
      <c r="J36" s="4" t="s">
        <v>47</v>
      </c>
      <c r="K36" s="4" t="s">
        <v>48</v>
      </c>
      <c r="L36" s="3">
        <v>45809</v>
      </c>
      <c r="M36" s="4" t="s">
        <v>49</v>
      </c>
      <c r="N36" s="4" t="s">
        <v>46</v>
      </c>
      <c r="O36" s="4" t="s">
        <v>50</v>
      </c>
      <c r="P36" s="4" t="s">
        <v>46</v>
      </c>
      <c r="Q36" s="2">
        <v>1</v>
      </c>
      <c r="R36" s="2">
        <v>17</v>
      </c>
      <c r="S36" s="4" t="s">
        <v>51</v>
      </c>
      <c r="T36" s="4" t="s">
        <v>52</v>
      </c>
      <c r="U36" s="4" t="s">
        <v>46</v>
      </c>
      <c r="V36" s="5">
        <v>0</v>
      </c>
      <c r="W36" s="5">
        <v>0</v>
      </c>
      <c r="X36" s="5">
        <v>100</v>
      </c>
      <c r="Y36" s="5">
        <v>443.42</v>
      </c>
      <c r="Z36" s="4" t="s">
        <v>46</v>
      </c>
      <c r="AA36" s="5" t="s">
        <v>46</v>
      </c>
      <c r="AB36" s="4" t="s">
        <v>53</v>
      </c>
      <c r="AC36" s="4" t="s">
        <v>46</v>
      </c>
      <c r="AD36" s="5">
        <v>0</v>
      </c>
      <c r="AE36" s="4" t="s">
        <v>54</v>
      </c>
      <c r="AF36" s="3">
        <v>45809</v>
      </c>
      <c r="AG36" s="4" t="s">
        <v>46</v>
      </c>
      <c r="AH36" s="4" t="s">
        <v>46</v>
      </c>
      <c r="AI36" s="4" t="s">
        <v>46</v>
      </c>
      <c r="AJ36" s="4" t="s">
        <v>46</v>
      </c>
      <c r="AK36" s="4" t="s">
        <v>46</v>
      </c>
      <c r="AL36" s="4" t="s">
        <v>46</v>
      </c>
      <c r="AM36" s="4" t="s">
        <v>46</v>
      </c>
      <c r="AN36" s="4" t="s">
        <v>55</v>
      </c>
      <c r="AO36" s="4" t="s">
        <v>46</v>
      </c>
      <c r="AP36" s="4" t="s">
        <v>46</v>
      </c>
    </row>
    <row r="37" spans="1:42">
      <c r="A37" s="2">
        <v>1891456</v>
      </c>
      <c r="B37" s="3">
        <v>45812</v>
      </c>
      <c r="C37" s="4" t="s">
        <v>147</v>
      </c>
      <c r="D37" s="2">
        <v>1626475</v>
      </c>
      <c r="E37" s="4" t="s">
        <v>157</v>
      </c>
      <c r="F37" s="4" t="s">
        <v>158</v>
      </c>
      <c r="G37" s="2">
        <v>519424174</v>
      </c>
      <c r="H37" s="4" t="s">
        <v>159</v>
      </c>
      <c r="I37" s="4" t="s">
        <v>46</v>
      </c>
      <c r="J37" s="4" t="s">
        <v>47</v>
      </c>
      <c r="K37" s="4" t="s">
        <v>48</v>
      </c>
      <c r="L37" s="3">
        <v>45809</v>
      </c>
      <c r="M37" s="4" t="s">
        <v>49</v>
      </c>
      <c r="N37" s="4" t="s">
        <v>46</v>
      </c>
      <c r="O37" s="4" t="s">
        <v>50</v>
      </c>
      <c r="P37" s="4" t="s">
        <v>46</v>
      </c>
      <c r="Q37" s="2">
        <v>1</v>
      </c>
      <c r="R37" s="2">
        <v>17</v>
      </c>
      <c r="S37" s="4" t="s">
        <v>51</v>
      </c>
      <c r="T37" s="4" t="s">
        <v>52</v>
      </c>
      <c r="U37" s="4" t="s">
        <v>46</v>
      </c>
      <c r="V37" s="5">
        <v>0.57999999999999996</v>
      </c>
      <c r="W37" s="5">
        <v>0</v>
      </c>
      <c r="X37" s="5">
        <v>100</v>
      </c>
      <c r="Y37" s="5">
        <v>182.58</v>
      </c>
      <c r="Z37" s="4" t="s">
        <v>46</v>
      </c>
      <c r="AA37" s="5" t="s">
        <v>46</v>
      </c>
      <c r="AB37" s="4" t="s">
        <v>59</v>
      </c>
      <c r="AC37" s="4" t="s">
        <v>46</v>
      </c>
      <c r="AD37" s="5">
        <v>0</v>
      </c>
      <c r="AE37" s="4" t="s">
        <v>60</v>
      </c>
      <c r="AF37" s="3">
        <v>45809</v>
      </c>
      <c r="AG37" s="4" t="s">
        <v>46</v>
      </c>
      <c r="AH37" s="4" t="s">
        <v>46</v>
      </c>
      <c r="AI37" s="4" t="s">
        <v>46</v>
      </c>
      <c r="AJ37" s="4" t="s">
        <v>46</v>
      </c>
      <c r="AK37" s="4" t="s">
        <v>46</v>
      </c>
      <c r="AL37" s="4" t="s">
        <v>46</v>
      </c>
      <c r="AM37" s="4" t="s">
        <v>46</v>
      </c>
      <c r="AN37" s="4" t="s">
        <v>55</v>
      </c>
      <c r="AO37" s="4" t="s">
        <v>46</v>
      </c>
      <c r="AP37" s="4" t="s">
        <v>46</v>
      </c>
    </row>
    <row r="38" spans="1:42">
      <c r="A38" s="2">
        <v>1891456</v>
      </c>
      <c r="B38" s="3">
        <v>45812</v>
      </c>
      <c r="C38" s="4" t="s">
        <v>160</v>
      </c>
      <c r="D38" s="2">
        <v>1646082</v>
      </c>
      <c r="E38" s="4" t="s">
        <v>161</v>
      </c>
      <c r="F38" s="4" t="s">
        <v>162</v>
      </c>
      <c r="G38" s="2">
        <v>707343471</v>
      </c>
      <c r="H38" s="4" t="s">
        <v>163</v>
      </c>
      <c r="I38" s="4" t="s">
        <v>46</v>
      </c>
      <c r="J38" s="4" t="s">
        <v>47</v>
      </c>
      <c r="K38" s="4" t="s">
        <v>48</v>
      </c>
      <c r="L38" s="3">
        <v>45809</v>
      </c>
      <c r="M38" s="4" t="s">
        <v>49</v>
      </c>
      <c r="N38" s="4" t="s">
        <v>46</v>
      </c>
      <c r="O38" s="4" t="s">
        <v>50</v>
      </c>
      <c r="P38" s="4" t="s">
        <v>46</v>
      </c>
      <c r="Q38" s="2">
        <v>1</v>
      </c>
      <c r="R38" s="2">
        <v>17</v>
      </c>
      <c r="S38" s="4" t="s">
        <v>51</v>
      </c>
      <c r="T38" s="4" t="s">
        <v>75</v>
      </c>
      <c r="U38" s="4" t="s">
        <v>46</v>
      </c>
      <c r="V38" s="5">
        <v>0.57999999999999996</v>
      </c>
      <c r="W38" s="5">
        <v>0</v>
      </c>
      <c r="X38" s="5">
        <v>100</v>
      </c>
      <c r="Y38" s="5">
        <v>182.58</v>
      </c>
      <c r="Z38" s="4" t="s">
        <v>46</v>
      </c>
      <c r="AA38" s="5" t="s">
        <v>46</v>
      </c>
      <c r="AB38" s="4" t="s">
        <v>59</v>
      </c>
      <c r="AC38" s="4" t="s">
        <v>46</v>
      </c>
      <c r="AD38" s="5">
        <v>0</v>
      </c>
      <c r="AE38" s="4" t="s">
        <v>60</v>
      </c>
      <c r="AF38" s="3">
        <v>45809</v>
      </c>
      <c r="AG38" s="4" t="s">
        <v>46</v>
      </c>
      <c r="AH38" s="4" t="s">
        <v>46</v>
      </c>
      <c r="AI38" s="4" t="s">
        <v>46</v>
      </c>
      <c r="AJ38" s="4" t="s">
        <v>46</v>
      </c>
      <c r="AK38" s="4" t="s">
        <v>46</v>
      </c>
      <c r="AL38" s="4" t="s">
        <v>46</v>
      </c>
      <c r="AM38" s="4" t="s">
        <v>46</v>
      </c>
      <c r="AN38" s="4" t="s">
        <v>76</v>
      </c>
      <c r="AO38" s="4" t="s">
        <v>46</v>
      </c>
      <c r="AP38" s="4" t="s">
        <v>46</v>
      </c>
    </row>
    <row r="39" spans="1:42">
      <c r="A39" s="2">
        <v>1891456</v>
      </c>
      <c r="B39" s="3">
        <v>45812</v>
      </c>
      <c r="C39" s="4" t="s">
        <v>160</v>
      </c>
      <c r="D39" s="2">
        <v>1646082</v>
      </c>
      <c r="E39" s="4" t="s">
        <v>164</v>
      </c>
      <c r="F39" s="4" t="s">
        <v>165</v>
      </c>
      <c r="G39" s="2">
        <v>340136144</v>
      </c>
      <c r="H39" s="4" t="s">
        <v>166</v>
      </c>
      <c r="I39" s="4" t="s">
        <v>46</v>
      </c>
      <c r="J39" s="4" t="s">
        <v>47</v>
      </c>
      <c r="K39" s="4" t="s">
        <v>48</v>
      </c>
      <c r="L39" s="3">
        <v>45809</v>
      </c>
      <c r="M39" s="4" t="s">
        <v>49</v>
      </c>
      <c r="N39" s="4" t="s">
        <v>46</v>
      </c>
      <c r="O39" s="4" t="s">
        <v>50</v>
      </c>
      <c r="P39" s="4" t="s">
        <v>46</v>
      </c>
      <c r="Q39" s="2">
        <v>1</v>
      </c>
      <c r="R39" s="2">
        <v>17</v>
      </c>
      <c r="S39" s="4" t="s">
        <v>51</v>
      </c>
      <c r="T39" s="4" t="s">
        <v>52</v>
      </c>
      <c r="U39" s="4" t="s">
        <v>46</v>
      </c>
      <c r="V39" s="5">
        <v>0</v>
      </c>
      <c r="W39" s="5">
        <v>0</v>
      </c>
      <c r="X39" s="5">
        <v>100</v>
      </c>
      <c r="Y39" s="5">
        <v>443.42</v>
      </c>
      <c r="Z39" s="4" t="s">
        <v>46</v>
      </c>
      <c r="AA39" s="5" t="s">
        <v>46</v>
      </c>
      <c r="AB39" s="4" t="s">
        <v>53</v>
      </c>
      <c r="AC39" s="4" t="s">
        <v>46</v>
      </c>
      <c r="AD39" s="5">
        <v>0</v>
      </c>
      <c r="AE39" s="4" t="s">
        <v>54</v>
      </c>
      <c r="AF39" s="3">
        <v>45809</v>
      </c>
      <c r="AG39" s="4" t="s">
        <v>46</v>
      </c>
      <c r="AH39" s="4" t="s">
        <v>46</v>
      </c>
      <c r="AI39" s="4" t="s">
        <v>46</v>
      </c>
      <c r="AJ39" s="4" t="s">
        <v>46</v>
      </c>
      <c r="AK39" s="4" t="s">
        <v>46</v>
      </c>
      <c r="AL39" s="4" t="s">
        <v>46</v>
      </c>
      <c r="AM39" s="4" t="s">
        <v>46</v>
      </c>
      <c r="AN39" s="4" t="s">
        <v>55</v>
      </c>
      <c r="AO39" s="4" t="s">
        <v>46</v>
      </c>
      <c r="AP39" s="4" t="s">
        <v>46</v>
      </c>
    </row>
    <row r="40" spans="1:42">
      <c r="A40" s="2">
        <v>1891456</v>
      </c>
      <c r="B40" s="3">
        <v>45812</v>
      </c>
      <c r="C40" s="4" t="s">
        <v>167</v>
      </c>
      <c r="D40" s="2">
        <v>1673202</v>
      </c>
      <c r="E40" s="4" t="s">
        <v>168</v>
      </c>
      <c r="F40" s="4" t="s">
        <v>169</v>
      </c>
      <c r="G40" s="2">
        <v>79080563</v>
      </c>
      <c r="H40" s="4" t="s">
        <v>170</v>
      </c>
      <c r="I40" s="4" t="s">
        <v>46</v>
      </c>
      <c r="J40" s="4" t="s">
        <v>47</v>
      </c>
      <c r="K40" s="4" t="s">
        <v>48</v>
      </c>
      <c r="L40" s="3">
        <v>45870</v>
      </c>
      <c r="M40" s="4" t="s">
        <v>134</v>
      </c>
      <c r="N40" s="4" t="s">
        <v>46</v>
      </c>
      <c r="O40" s="4" t="s">
        <v>50</v>
      </c>
      <c r="P40" s="4" t="s">
        <v>46</v>
      </c>
      <c r="Q40" s="2">
        <v>1</v>
      </c>
      <c r="R40" s="2">
        <v>17</v>
      </c>
      <c r="S40" s="4" t="s">
        <v>51</v>
      </c>
      <c r="T40" s="4" t="s">
        <v>171</v>
      </c>
      <c r="U40" s="4" t="s">
        <v>46</v>
      </c>
      <c r="V40" s="5">
        <v>0</v>
      </c>
      <c r="W40" s="5">
        <v>0</v>
      </c>
      <c r="X40" s="5">
        <v>100</v>
      </c>
      <c r="Y40" s="5">
        <v>86.08</v>
      </c>
      <c r="Z40" s="4" t="s">
        <v>46</v>
      </c>
      <c r="AA40" s="5" t="s">
        <v>46</v>
      </c>
      <c r="AB40" s="4" t="s">
        <v>53</v>
      </c>
      <c r="AC40" s="4" t="s">
        <v>46</v>
      </c>
      <c r="AD40" s="5">
        <v>0</v>
      </c>
      <c r="AE40" s="4" t="s">
        <v>54</v>
      </c>
      <c r="AF40" s="3">
        <v>45870</v>
      </c>
      <c r="AG40" s="4" t="s">
        <v>46</v>
      </c>
      <c r="AH40" s="4" t="s">
        <v>46</v>
      </c>
      <c r="AI40" s="4" t="s">
        <v>46</v>
      </c>
      <c r="AJ40" s="4" t="s">
        <v>46</v>
      </c>
      <c r="AK40" s="4" t="s">
        <v>46</v>
      </c>
      <c r="AL40" s="4" t="s">
        <v>46</v>
      </c>
      <c r="AM40" s="4" t="s">
        <v>46</v>
      </c>
      <c r="AN40" s="4" t="s">
        <v>172</v>
      </c>
      <c r="AO40" s="4" t="s">
        <v>46</v>
      </c>
      <c r="AP40" s="4" t="s">
        <v>46</v>
      </c>
    </row>
    <row r="41" spans="1:42">
      <c r="A41" s="2">
        <v>1891456</v>
      </c>
      <c r="B41" s="3">
        <v>45812</v>
      </c>
      <c r="C41" s="4" t="s">
        <v>167</v>
      </c>
      <c r="D41" s="2">
        <v>1673202</v>
      </c>
      <c r="E41" s="4" t="s">
        <v>173</v>
      </c>
      <c r="F41" s="4" t="s">
        <v>174</v>
      </c>
      <c r="G41" s="2">
        <v>402790550</v>
      </c>
      <c r="H41" s="4" t="s">
        <v>175</v>
      </c>
      <c r="I41" s="4" t="s">
        <v>46</v>
      </c>
      <c r="J41" s="4" t="s">
        <v>47</v>
      </c>
      <c r="K41" s="4" t="s">
        <v>48</v>
      </c>
      <c r="L41" s="3">
        <v>45809</v>
      </c>
      <c r="M41" s="4" t="s">
        <v>49</v>
      </c>
      <c r="N41" s="4" t="s">
        <v>46</v>
      </c>
      <c r="O41" s="4" t="s">
        <v>50</v>
      </c>
      <c r="P41" s="4" t="s">
        <v>46</v>
      </c>
      <c r="Q41" s="2">
        <v>1</v>
      </c>
      <c r="R41" s="2">
        <v>17</v>
      </c>
      <c r="S41" s="4" t="s">
        <v>51</v>
      </c>
      <c r="T41" s="4" t="s">
        <v>52</v>
      </c>
      <c r="U41" s="4" t="s">
        <v>46</v>
      </c>
      <c r="V41" s="5">
        <v>0</v>
      </c>
      <c r="W41" s="5">
        <v>0</v>
      </c>
      <c r="X41" s="5">
        <v>100</v>
      </c>
      <c r="Y41" s="5">
        <v>443.42</v>
      </c>
      <c r="Z41" s="4" t="s">
        <v>46</v>
      </c>
      <c r="AA41" s="5" t="s">
        <v>46</v>
      </c>
      <c r="AB41" s="4" t="s">
        <v>53</v>
      </c>
      <c r="AC41" s="4" t="s">
        <v>46</v>
      </c>
      <c r="AD41" s="5">
        <v>0</v>
      </c>
      <c r="AE41" s="4" t="s">
        <v>54</v>
      </c>
      <c r="AF41" s="3">
        <v>45809</v>
      </c>
      <c r="AG41" s="4" t="s">
        <v>46</v>
      </c>
      <c r="AH41" s="4" t="s">
        <v>46</v>
      </c>
      <c r="AI41" s="4" t="s">
        <v>46</v>
      </c>
      <c r="AJ41" s="4" t="s">
        <v>46</v>
      </c>
      <c r="AK41" s="4" t="s">
        <v>46</v>
      </c>
      <c r="AL41" s="4" t="s">
        <v>46</v>
      </c>
      <c r="AM41" s="4" t="s">
        <v>46</v>
      </c>
      <c r="AN41" s="4" t="s">
        <v>55</v>
      </c>
      <c r="AO41" s="4" t="s">
        <v>46</v>
      </c>
      <c r="AP41" s="4" t="s">
        <v>46</v>
      </c>
    </row>
    <row r="42" spans="1:42">
      <c r="A42" s="2">
        <v>1891456</v>
      </c>
      <c r="B42" s="3">
        <v>45812</v>
      </c>
      <c r="C42" s="4" t="s">
        <v>176</v>
      </c>
      <c r="D42" s="2">
        <v>1703942</v>
      </c>
      <c r="E42" s="4" t="s">
        <v>177</v>
      </c>
      <c r="F42" s="4" t="s">
        <v>178</v>
      </c>
      <c r="G42" s="2">
        <v>985742827</v>
      </c>
      <c r="H42" s="4" t="s">
        <v>179</v>
      </c>
      <c r="I42" s="4" t="s">
        <v>46</v>
      </c>
      <c r="J42" s="4" t="s">
        <v>47</v>
      </c>
      <c r="K42" s="4" t="s">
        <v>48</v>
      </c>
      <c r="L42" s="3">
        <v>45809</v>
      </c>
      <c r="M42" s="4" t="s">
        <v>49</v>
      </c>
      <c r="N42" s="4" t="s">
        <v>46</v>
      </c>
      <c r="O42" s="4" t="s">
        <v>50</v>
      </c>
      <c r="P42" s="4" t="s">
        <v>46</v>
      </c>
      <c r="Q42" s="2">
        <v>1</v>
      </c>
      <c r="R42" s="2">
        <v>17</v>
      </c>
      <c r="S42" s="4" t="s">
        <v>51</v>
      </c>
      <c r="T42" s="4" t="s">
        <v>52</v>
      </c>
      <c r="U42" s="4" t="s">
        <v>46</v>
      </c>
      <c r="V42" s="5">
        <v>0</v>
      </c>
      <c r="W42" s="5">
        <v>0</v>
      </c>
      <c r="X42" s="5">
        <v>100</v>
      </c>
      <c r="Y42" s="5">
        <v>443.42</v>
      </c>
      <c r="Z42" s="4" t="s">
        <v>46</v>
      </c>
      <c r="AA42" s="5" t="s">
        <v>46</v>
      </c>
      <c r="AB42" s="4" t="s">
        <v>53</v>
      </c>
      <c r="AC42" s="4" t="s">
        <v>46</v>
      </c>
      <c r="AD42" s="5">
        <v>0</v>
      </c>
      <c r="AE42" s="4" t="s">
        <v>54</v>
      </c>
      <c r="AF42" s="3">
        <v>45809</v>
      </c>
      <c r="AG42" s="4" t="s">
        <v>46</v>
      </c>
      <c r="AH42" s="4" t="s">
        <v>46</v>
      </c>
      <c r="AI42" s="4" t="s">
        <v>46</v>
      </c>
      <c r="AJ42" s="4" t="s">
        <v>46</v>
      </c>
      <c r="AK42" s="4" t="s">
        <v>46</v>
      </c>
      <c r="AL42" s="4" t="s">
        <v>46</v>
      </c>
      <c r="AM42" s="4" t="s">
        <v>46</v>
      </c>
      <c r="AN42" s="4" t="s">
        <v>55</v>
      </c>
      <c r="AO42" s="4" t="s">
        <v>46</v>
      </c>
      <c r="AP42" s="4" t="s">
        <v>46</v>
      </c>
    </row>
    <row r="43" spans="1:42">
      <c r="A43" s="2">
        <v>1891456</v>
      </c>
      <c r="B43" s="3">
        <v>45812</v>
      </c>
      <c r="C43" s="4" t="s">
        <v>176</v>
      </c>
      <c r="D43" s="2">
        <v>1703942</v>
      </c>
      <c r="E43" s="4" t="s">
        <v>180</v>
      </c>
      <c r="F43" s="4" t="s">
        <v>181</v>
      </c>
      <c r="G43" s="2">
        <v>896590395</v>
      </c>
      <c r="H43" s="4" t="s">
        <v>182</v>
      </c>
      <c r="I43" s="4" t="s">
        <v>46</v>
      </c>
      <c r="J43" s="4" t="s">
        <v>47</v>
      </c>
      <c r="K43" s="4" t="s">
        <v>48</v>
      </c>
      <c r="L43" s="3">
        <v>45689</v>
      </c>
      <c r="M43" s="4" t="s">
        <v>183</v>
      </c>
      <c r="N43" s="4" t="s">
        <v>46</v>
      </c>
      <c r="O43" s="4" t="s">
        <v>50</v>
      </c>
      <c r="P43" s="4" t="s">
        <v>46</v>
      </c>
      <c r="Q43" s="2">
        <v>1</v>
      </c>
      <c r="R43" s="2">
        <v>17</v>
      </c>
      <c r="S43" s="4" t="s">
        <v>51</v>
      </c>
      <c r="T43" s="4" t="s">
        <v>75</v>
      </c>
      <c r="U43" s="4" t="s">
        <v>46</v>
      </c>
      <c r="V43" s="5">
        <v>0.57999999999999996</v>
      </c>
      <c r="W43" s="5">
        <v>0</v>
      </c>
      <c r="X43" s="5">
        <v>100</v>
      </c>
      <c r="Y43" s="5">
        <v>182.59</v>
      </c>
      <c r="Z43" s="4" t="s">
        <v>46</v>
      </c>
      <c r="AA43" s="5" t="s">
        <v>46</v>
      </c>
      <c r="AB43" s="4" t="s">
        <v>59</v>
      </c>
      <c r="AC43" s="4" t="s">
        <v>46</v>
      </c>
      <c r="AD43" s="5">
        <v>0</v>
      </c>
      <c r="AE43" s="4" t="s">
        <v>60</v>
      </c>
      <c r="AF43" s="3">
        <v>45689</v>
      </c>
      <c r="AG43" s="4" t="s">
        <v>46</v>
      </c>
      <c r="AH43" s="4" t="s">
        <v>46</v>
      </c>
      <c r="AI43" s="4" t="s">
        <v>46</v>
      </c>
      <c r="AJ43" s="4" t="s">
        <v>46</v>
      </c>
      <c r="AK43" s="4" t="s">
        <v>46</v>
      </c>
      <c r="AL43" s="4" t="s">
        <v>46</v>
      </c>
      <c r="AM43" s="4" t="s">
        <v>46</v>
      </c>
      <c r="AN43" s="4" t="s">
        <v>76</v>
      </c>
      <c r="AO43" s="4" t="s">
        <v>46</v>
      </c>
      <c r="AP43" s="4" t="s">
        <v>46</v>
      </c>
    </row>
    <row r="44" spans="1:42">
      <c r="A44" s="2">
        <v>1891456</v>
      </c>
      <c r="B44" s="3">
        <v>45812</v>
      </c>
      <c r="C44" s="4" t="s">
        <v>176</v>
      </c>
      <c r="D44" s="2">
        <v>1703942</v>
      </c>
      <c r="E44" s="4" t="s">
        <v>184</v>
      </c>
      <c r="F44" s="4" t="s">
        <v>185</v>
      </c>
      <c r="G44" s="2">
        <v>692015227</v>
      </c>
      <c r="H44" s="4" t="s">
        <v>186</v>
      </c>
      <c r="I44" s="4" t="s">
        <v>46</v>
      </c>
      <c r="J44" s="4" t="s">
        <v>47</v>
      </c>
      <c r="K44" s="4" t="s">
        <v>48</v>
      </c>
      <c r="L44" s="3">
        <v>45809</v>
      </c>
      <c r="M44" s="4" t="s">
        <v>49</v>
      </c>
      <c r="N44" s="4" t="s">
        <v>46</v>
      </c>
      <c r="O44" s="4" t="s">
        <v>50</v>
      </c>
      <c r="P44" s="4" t="s">
        <v>46</v>
      </c>
      <c r="Q44" s="2">
        <v>1</v>
      </c>
      <c r="R44" s="2">
        <v>17</v>
      </c>
      <c r="S44" s="4" t="s">
        <v>51</v>
      </c>
      <c r="T44" s="4" t="s">
        <v>171</v>
      </c>
      <c r="U44" s="4" t="s">
        <v>46</v>
      </c>
      <c r="V44" s="5">
        <v>0</v>
      </c>
      <c r="W44" s="5">
        <v>0</v>
      </c>
      <c r="X44" s="5">
        <v>100</v>
      </c>
      <c r="Y44" s="5">
        <v>76.92</v>
      </c>
      <c r="Z44" s="4" t="s">
        <v>46</v>
      </c>
      <c r="AA44" s="5" t="s">
        <v>46</v>
      </c>
      <c r="AB44" s="4" t="s">
        <v>53</v>
      </c>
      <c r="AC44" s="4" t="s">
        <v>46</v>
      </c>
      <c r="AD44" s="5">
        <v>0</v>
      </c>
      <c r="AE44" s="4" t="s">
        <v>54</v>
      </c>
      <c r="AF44" s="3">
        <v>45809</v>
      </c>
      <c r="AG44" s="4" t="s">
        <v>46</v>
      </c>
      <c r="AH44" s="4" t="s">
        <v>46</v>
      </c>
      <c r="AI44" s="4" t="s">
        <v>46</v>
      </c>
      <c r="AJ44" s="4" t="s">
        <v>46</v>
      </c>
      <c r="AK44" s="4" t="s">
        <v>46</v>
      </c>
      <c r="AL44" s="4" t="s">
        <v>46</v>
      </c>
      <c r="AM44" s="4" t="s">
        <v>46</v>
      </c>
      <c r="AN44" s="4" t="s">
        <v>172</v>
      </c>
      <c r="AO44" s="4" t="s">
        <v>46</v>
      </c>
      <c r="AP44" s="4" t="s">
        <v>46</v>
      </c>
    </row>
    <row r="45" spans="1:42">
      <c r="A45" s="2">
        <v>1891456</v>
      </c>
      <c r="B45" s="3">
        <v>45812</v>
      </c>
      <c r="C45" s="4" t="s">
        <v>176</v>
      </c>
      <c r="D45" s="2">
        <v>1703942</v>
      </c>
      <c r="E45" s="4" t="s">
        <v>187</v>
      </c>
      <c r="F45" s="4" t="s">
        <v>188</v>
      </c>
      <c r="G45" s="2">
        <v>98779642</v>
      </c>
      <c r="H45" s="4" t="s">
        <v>189</v>
      </c>
      <c r="I45" s="4" t="s">
        <v>46</v>
      </c>
      <c r="J45" s="4" t="s">
        <v>47</v>
      </c>
      <c r="K45" s="4" t="s">
        <v>48</v>
      </c>
      <c r="L45" s="3">
        <v>45839</v>
      </c>
      <c r="M45" s="4" t="s">
        <v>84</v>
      </c>
      <c r="N45" s="4" t="s">
        <v>46</v>
      </c>
      <c r="O45" s="4" t="s">
        <v>50</v>
      </c>
      <c r="P45" s="4" t="s">
        <v>46</v>
      </c>
      <c r="Q45" s="2">
        <v>1</v>
      </c>
      <c r="R45" s="2">
        <v>17</v>
      </c>
      <c r="S45" s="4" t="s">
        <v>51</v>
      </c>
      <c r="T45" s="4" t="s">
        <v>171</v>
      </c>
      <c r="U45" s="4" t="s">
        <v>46</v>
      </c>
      <c r="V45" s="5">
        <v>0.5</v>
      </c>
      <c r="W45" s="5">
        <v>0</v>
      </c>
      <c r="X45" s="5">
        <v>100</v>
      </c>
      <c r="Y45" s="5">
        <v>27.5</v>
      </c>
      <c r="Z45" s="4" t="s">
        <v>46</v>
      </c>
      <c r="AA45" s="5" t="s">
        <v>46</v>
      </c>
      <c r="AB45" s="4" t="s">
        <v>59</v>
      </c>
      <c r="AC45" s="4" t="s">
        <v>46</v>
      </c>
      <c r="AD45" s="5">
        <v>0</v>
      </c>
      <c r="AE45" s="4" t="s">
        <v>60</v>
      </c>
      <c r="AF45" s="3">
        <v>45839</v>
      </c>
      <c r="AG45" s="4" t="s">
        <v>46</v>
      </c>
      <c r="AH45" s="4" t="s">
        <v>46</v>
      </c>
      <c r="AI45" s="4" t="s">
        <v>46</v>
      </c>
      <c r="AJ45" s="4" t="s">
        <v>46</v>
      </c>
      <c r="AK45" s="4" t="s">
        <v>46</v>
      </c>
      <c r="AL45" s="4" t="s">
        <v>46</v>
      </c>
      <c r="AM45" s="4" t="s">
        <v>46</v>
      </c>
      <c r="AN45" s="4" t="s">
        <v>172</v>
      </c>
      <c r="AO45" s="4" t="s">
        <v>46</v>
      </c>
      <c r="AP45" s="4" t="s">
        <v>46</v>
      </c>
    </row>
    <row r="46" spans="1:42">
      <c r="A46" s="2">
        <v>1891456</v>
      </c>
      <c r="B46" s="3">
        <v>45812</v>
      </c>
      <c r="C46" s="4" t="s">
        <v>190</v>
      </c>
      <c r="D46" s="2">
        <v>1753522</v>
      </c>
      <c r="E46" s="4" t="s">
        <v>191</v>
      </c>
      <c r="F46" s="4" t="s">
        <v>192</v>
      </c>
      <c r="G46" s="2">
        <v>383912013</v>
      </c>
      <c r="H46" s="4" t="s">
        <v>193</v>
      </c>
      <c r="I46" s="4" t="s">
        <v>46</v>
      </c>
      <c r="J46" s="4" t="s">
        <v>47</v>
      </c>
      <c r="K46" s="4" t="s">
        <v>48</v>
      </c>
      <c r="L46" s="3">
        <v>45809</v>
      </c>
      <c r="M46" s="4" t="s">
        <v>49</v>
      </c>
      <c r="N46" s="4" t="s">
        <v>46</v>
      </c>
      <c r="O46" s="4" t="s">
        <v>50</v>
      </c>
      <c r="P46" s="4" t="s">
        <v>46</v>
      </c>
      <c r="Q46" s="2">
        <v>1</v>
      </c>
      <c r="R46" s="2">
        <v>17</v>
      </c>
      <c r="S46" s="4" t="s">
        <v>51</v>
      </c>
      <c r="T46" s="4" t="s">
        <v>75</v>
      </c>
      <c r="U46" s="4" t="s">
        <v>46</v>
      </c>
      <c r="V46" s="5">
        <v>0.57999999999999996</v>
      </c>
      <c r="W46" s="5">
        <v>0</v>
      </c>
      <c r="X46" s="5">
        <v>100</v>
      </c>
      <c r="Y46" s="5">
        <v>182.58</v>
      </c>
      <c r="Z46" s="4" t="s">
        <v>46</v>
      </c>
      <c r="AA46" s="5" t="s">
        <v>46</v>
      </c>
      <c r="AB46" s="4" t="s">
        <v>59</v>
      </c>
      <c r="AC46" s="4" t="s">
        <v>46</v>
      </c>
      <c r="AD46" s="5">
        <v>0</v>
      </c>
      <c r="AE46" s="4" t="s">
        <v>60</v>
      </c>
      <c r="AF46" s="3">
        <v>45809</v>
      </c>
      <c r="AG46" s="4" t="s">
        <v>46</v>
      </c>
      <c r="AH46" s="4" t="s">
        <v>46</v>
      </c>
      <c r="AI46" s="4" t="s">
        <v>46</v>
      </c>
      <c r="AJ46" s="4" t="s">
        <v>46</v>
      </c>
      <c r="AK46" s="4" t="s">
        <v>46</v>
      </c>
      <c r="AL46" s="4" t="s">
        <v>46</v>
      </c>
      <c r="AM46" s="4" t="s">
        <v>46</v>
      </c>
      <c r="AN46" s="4" t="s">
        <v>76</v>
      </c>
      <c r="AO46" s="4" t="s">
        <v>46</v>
      </c>
      <c r="AP46" s="4" t="s">
        <v>46</v>
      </c>
    </row>
    <row r="47" spans="1:42">
      <c r="A47" s="2">
        <v>1891456</v>
      </c>
      <c r="B47" s="3">
        <v>45812</v>
      </c>
      <c r="C47" s="4" t="s">
        <v>194</v>
      </c>
      <c r="D47" s="2">
        <v>1758433</v>
      </c>
      <c r="E47" s="4" t="s">
        <v>195</v>
      </c>
      <c r="F47" s="4" t="s">
        <v>196</v>
      </c>
      <c r="G47" s="2">
        <v>998390857</v>
      </c>
      <c r="H47" s="4" t="s">
        <v>197</v>
      </c>
      <c r="I47" s="4" t="s">
        <v>46</v>
      </c>
      <c r="J47" s="4" t="s">
        <v>47</v>
      </c>
      <c r="K47" s="4" t="s">
        <v>48</v>
      </c>
      <c r="L47" s="3">
        <v>45839</v>
      </c>
      <c r="M47" s="4" t="s">
        <v>84</v>
      </c>
      <c r="N47" s="4" t="s">
        <v>46</v>
      </c>
      <c r="O47" s="4" t="s">
        <v>50</v>
      </c>
      <c r="P47" s="4" t="s">
        <v>46</v>
      </c>
      <c r="Q47" s="2">
        <v>1</v>
      </c>
      <c r="R47" s="2">
        <v>17</v>
      </c>
      <c r="S47" s="4" t="s">
        <v>51</v>
      </c>
      <c r="T47" s="4" t="s">
        <v>171</v>
      </c>
      <c r="U47" s="4" t="s">
        <v>46</v>
      </c>
      <c r="V47" s="5">
        <v>0</v>
      </c>
      <c r="W47" s="5">
        <v>0</v>
      </c>
      <c r="X47" s="5">
        <v>100</v>
      </c>
      <c r="Y47" s="5">
        <v>81.5</v>
      </c>
      <c r="Z47" s="4" t="s">
        <v>46</v>
      </c>
      <c r="AA47" s="5" t="s">
        <v>46</v>
      </c>
      <c r="AB47" s="4" t="s">
        <v>53</v>
      </c>
      <c r="AC47" s="4" t="s">
        <v>46</v>
      </c>
      <c r="AD47" s="5">
        <v>0</v>
      </c>
      <c r="AE47" s="4" t="s">
        <v>54</v>
      </c>
      <c r="AF47" s="3">
        <v>45839</v>
      </c>
      <c r="AG47" s="4" t="s">
        <v>46</v>
      </c>
      <c r="AH47" s="4" t="s">
        <v>46</v>
      </c>
      <c r="AI47" s="4" t="s">
        <v>46</v>
      </c>
      <c r="AJ47" s="4" t="s">
        <v>46</v>
      </c>
      <c r="AK47" s="4" t="s">
        <v>46</v>
      </c>
      <c r="AL47" s="4" t="s">
        <v>46</v>
      </c>
      <c r="AM47" s="4" t="s">
        <v>46</v>
      </c>
      <c r="AN47" s="4" t="s">
        <v>172</v>
      </c>
      <c r="AO47" s="4" t="s">
        <v>46</v>
      </c>
      <c r="AP47" s="4" t="s">
        <v>46</v>
      </c>
    </row>
    <row r="48" spans="1:42">
      <c r="A48" s="2">
        <v>1891456</v>
      </c>
      <c r="B48" s="3">
        <v>45812</v>
      </c>
      <c r="C48" s="4" t="s">
        <v>194</v>
      </c>
      <c r="D48" s="2">
        <v>1758433</v>
      </c>
      <c r="E48" s="4" t="s">
        <v>198</v>
      </c>
      <c r="F48" s="4" t="s">
        <v>199</v>
      </c>
      <c r="G48" s="2">
        <v>973674484</v>
      </c>
      <c r="H48" s="4" t="s">
        <v>200</v>
      </c>
      <c r="I48" s="4" t="s">
        <v>46</v>
      </c>
      <c r="J48" s="4" t="s">
        <v>47</v>
      </c>
      <c r="K48" s="4" t="s">
        <v>48</v>
      </c>
      <c r="L48" s="3">
        <v>45809</v>
      </c>
      <c r="M48" s="4" t="s">
        <v>49</v>
      </c>
      <c r="N48" s="4" t="s">
        <v>46</v>
      </c>
      <c r="O48" s="4" t="s">
        <v>50</v>
      </c>
      <c r="P48" s="4" t="s">
        <v>46</v>
      </c>
      <c r="Q48" s="2">
        <v>1</v>
      </c>
      <c r="R48" s="2">
        <v>17</v>
      </c>
      <c r="S48" s="4" t="s">
        <v>51</v>
      </c>
      <c r="T48" s="4" t="s">
        <v>52</v>
      </c>
      <c r="U48" s="4" t="s">
        <v>46</v>
      </c>
      <c r="V48" s="5">
        <v>0</v>
      </c>
      <c r="W48" s="5">
        <v>0</v>
      </c>
      <c r="X48" s="5">
        <v>100</v>
      </c>
      <c r="Y48" s="5">
        <v>499.08</v>
      </c>
      <c r="Z48" s="4" t="s">
        <v>46</v>
      </c>
      <c r="AA48" s="5" t="s">
        <v>46</v>
      </c>
      <c r="AB48" s="4" t="s">
        <v>53</v>
      </c>
      <c r="AC48" s="4" t="s">
        <v>46</v>
      </c>
      <c r="AD48" s="5">
        <v>0</v>
      </c>
      <c r="AE48" s="4" t="s">
        <v>54</v>
      </c>
      <c r="AF48" s="3">
        <v>45809</v>
      </c>
      <c r="AG48" s="4" t="s">
        <v>46</v>
      </c>
      <c r="AH48" s="4" t="s">
        <v>46</v>
      </c>
      <c r="AI48" s="4" t="s">
        <v>46</v>
      </c>
      <c r="AJ48" s="4" t="s">
        <v>46</v>
      </c>
      <c r="AK48" s="4" t="s">
        <v>46</v>
      </c>
      <c r="AL48" s="4" t="s">
        <v>46</v>
      </c>
      <c r="AM48" s="4" t="s">
        <v>46</v>
      </c>
      <c r="AN48" s="4" t="s">
        <v>201</v>
      </c>
      <c r="AO48" s="4" t="s">
        <v>46</v>
      </c>
      <c r="AP48" s="4" t="s">
        <v>46</v>
      </c>
    </row>
    <row r="49" spans="1:42">
      <c r="A49" s="2">
        <v>1891456</v>
      </c>
      <c r="B49" s="3">
        <v>45812</v>
      </c>
      <c r="C49" s="4" t="s">
        <v>202</v>
      </c>
      <c r="D49" s="2">
        <v>1773696</v>
      </c>
      <c r="E49" s="4" t="s">
        <v>203</v>
      </c>
      <c r="F49" s="4" t="s">
        <v>204</v>
      </c>
      <c r="G49" s="2">
        <v>612657485</v>
      </c>
      <c r="H49" s="4" t="s">
        <v>205</v>
      </c>
      <c r="I49" s="4" t="s">
        <v>46</v>
      </c>
      <c r="J49" s="4" t="s">
        <v>47</v>
      </c>
      <c r="K49" s="4" t="s">
        <v>48</v>
      </c>
      <c r="L49" s="3">
        <v>45809</v>
      </c>
      <c r="M49" s="4" t="s">
        <v>49</v>
      </c>
      <c r="N49" s="4" t="s">
        <v>46</v>
      </c>
      <c r="O49" s="4" t="s">
        <v>50</v>
      </c>
      <c r="P49" s="4" t="s">
        <v>46</v>
      </c>
      <c r="Q49" s="2">
        <v>1</v>
      </c>
      <c r="R49" s="2">
        <v>17</v>
      </c>
      <c r="S49" s="4" t="s">
        <v>51</v>
      </c>
      <c r="T49" s="4" t="s">
        <v>52</v>
      </c>
      <c r="U49" s="4" t="s">
        <v>46</v>
      </c>
      <c r="V49" s="5">
        <v>0</v>
      </c>
      <c r="W49" s="5">
        <v>0</v>
      </c>
      <c r="X49" s="5">
        <v>100</v>
      </c>
      <c r="Y49" s="5">
        <v>443.42</v>
      </c>
      <c r="Z49" s="4" t="s">
        <v>46</v>
      </c>
      <c r="AA49" s="5" t="s">
        <v>46</v>
      </c>
      <c r="AB49" s="4" t="s">
        <v>53</v>
      </c>
      <c r="AC49" s="4" t="s">
        <v>46</v>
      </c>
      <c r="AD49" s="5">
        <v>0</v>
      </c>
      <c r="AE49" s="4" t="s">
        <v>54</v>
      </c>
      <c r="AF49" s="3">
        <v>45809</v>
      </c>
      <c r="AG49" s="4" t="s">
        <v>46</v>
      </c>
      <c r="AH49" s="4" t="s">
        <v>46</v>
      </c>
      <c r="AI49" s="4" t="s">
        <v>46</v>
      </c>
      <c r="AJ49" s="4" t="s">
        <v>46</v>
      </c>
      <c r="AK49" s="4" t="s">
        <v>46</v>
      </c>
      <c r="AL49" s="4" t="s">
        <v>46</v>
      </c>
      <c r="AM49" s="4" t="s">
        <v>46</v>
      </c>
      <c r="AN49" s="4" t="s">
        <v>55</v>
      </c>
      <c r="AO49" s="4" t="s">
        <v>46</v>
      </c>
      <c r="AP49" s="4" t="s">
        <v>46</v>
      </c>
    </row>
    <row r="50" spans="1:42">
      <c r="A50" s="2">
        <v>1891456</v>
      </c>
      <c r="B50" s="3">
        <v>45812</v>
      </c>
      <c r="C50" s="4" t="s">
        <v>202</v>
      </c>
      <c r="D50" s="2">
        <v>1773696</v>
      </c>
      <c r="E50" s="4" t="s">
        <v>206</v>
      </c>
      <c r="F50" s="4" t="s">
        <v>207</v>
      </c>
      <c r="G50" s="2">
        <v>925330054</v>
      </c>
      <c r="H50" s="4" t="s">
        <v>208</v>
      </c>
      <c r="I50" s="4" t="s">
        <v>46</v>
      </c>
      <c r="J50" s="4" t="s">
        <v>47</v>
      </c>
      <c r="K50" s="4" t="s">
        <v>48</v>
      </c>
      <c r="L50" s="3">
        <v>45870</v>
      </c>
      <c r="M50" s="4" t="s">
        <v>134</v>
      </c>
      <c r="N50" s="4" t="s">
        <v>46</v>
      </c>
      <c r="O50" s="4" t="s">
        <v>50</v>
      </c>
      <c r="P50" s="4" t="s">
        <v>46</v>
      </c>
      <c r="Q50" s="2">
        <v>1</v>
      </c>
      <c r="R50" s="2">
        <v>17</v>
      </c>
      <c r="S50" s="4" t="s">
        <v>51</v>
      </c>
      <c r="T50" s="4" t="s">
        <v>52</v>
      </c>
      <c r="U50" s="4" t="s">
        <v>46</v>
      </c>
      <c r="V50" s="5">
        <v>0.42</v>
      </c>
      <c r="W50" s="5">
        <v>0</v>
      </c>
      <c r="X50" s="5">
        <v>100</v>
      </c>
      <c r="Y50" s="5">
        <v>130.41999999999999</v>
      </c>
      <c r="Z50" s="4" t="s">
        <v>46</v>
      </c>
      <c r="AA50" s="5" t="s">
        <v>46</v>
      </c>
      <c r="AB50" s="4" t="s">
        <v>59</v>
      </c>
      <c r="AC50" s="4" t="s">
        <v>46</v>
      </c>
      <c r="AD50" s="5">
        <v>0</v>
      </c>
      <c r="AE50" s="4" t="s">
        <v>60</v>
      </c>
      <c r="AF50" s="3">
        <v>45870</v>
      </c>
      <c r="AG50" s="4" t="s">
        <v>46</v>
      </c>
      <c r="AH50" s="4" t="s">
        <v>46</v>
      </c>
      <c r="AI50" s="4" t="s">
        <v>46</v>
      </c>
      <c r="AJ50" s="4" t="s">
        <v>46</v>
      </c>
      <c r="AK50" s="4" t="s">
        <v>46</v>
      </c>
      <c r="AL50" s="4" t="s">
        <v>46</v>
      </c>
      <c r="AM50" s="4" t="s">
        <v>46</v>
      </c>
      <c r="AN50" s="4" t="s">
        <v>55</v>
      </c>
      <c r="AO50" s="4" t="s">
        <v>46</v>
      </c>
      <c r="AP50" s="4" t="s">
        <v>46</v>
      </c>
    </row>
    <row r="51" spans="1:42">
      <c r="A51" s="2">
        <v>1891456</v>
      </c>
      <c r="B51" s="3">
        <v>45812</v>
      </c>
      <c r="C51" s="4" t="s">
        <v>202</v>
      </c>
      <c r="D51" s="2">
        <v>1773696</v>
      </c>
      <c r="E51" s="4" t="s">
        <v>206</v>
      </c>
      <c r="F51" s="4" t="s">
        <v>207</v>
      </c>
      <c r="G51" s="2">
        <v>925330054</v>
      </c>
      <c r="H51" s="4" t="s">
        <v>208</v>
      </c>
      <c r="I51" s="4" t="s">
        <v>46</v>
      </c>
      <c r="J51" s="4" t="s">
        <v>47</v>
      </c>
      <c r="K51" s="4" t="s">
        <v>48</v>
      </c>
      <c r="L51" s="3">
        <v>45870</v>
      </c>
      <c r="M51" s="4" t="s">
        <v>134</v>
      </c>
      <c r="N51" s="4" t="s">
        <v>46</v>
      </c>
      <c r="O51" s="4" t="s">
        <v>50</v>
      </c>
      <c r="P51" s="4" t="s">
        <v>46</v>
      </c>
      <c r="Q51" s="2">
        <v>1</v>
      </c>
      <c r="R51" s="2">
        <v>17</v>
      </c>
      <c r="S51" s="4" t="s">
        <v>51</v>
      </c>
      <c r="T51" s="4" t="s">
        <v>52</v>
      </c>
      <c r="U51" s="4" t="s">
        <v>46</v>
      </c>
      <c r="V51" s="5">
        <v>0</v>
      </c>
      <c r="W51" s="5">
        <v>0</v>
      </c>
      <c r="X51" s="5">
        <v>100</v>
      </c>
      <c r="Y51" s="5">
        <v>495.58</v>
      </c>
      <c r="Z51" s="4" t="s">
        <v>46</v>
      </c>
      <c r="AA51" s="5" t="s">
        <v>46</v>
      </c>
      <c r="AB51" s="4" t="s">
        <v>53</v>
      </c>
      <c r="AC51" s="4" t="s">
        <v>46</v>
      </c>
      <c r="AD51" s="5">
        <v>0</v>
      </c>
      <c r="AE51" s="4" t="s">
        <v>54</v>
      </c>
      <c r="AF51" s="3">
        <v>45870</v>
      </c>
      <c r="AG51" s="4" t="s">
        <v>46</v>
      </c>
      <c r="AH51" s="4" t="s">
        <v>46</v>
      </c>
      <c r="AI51" s="4" t="s">
        <v>46</v>
      </c>
      <c r="AJ51" s="4" t="s">
        <v>46</v>
      </c>
      <c r="AK51" s="4" t="s">
        <v>46</v>
      </c>
      <c r="AL51" s="4" t="s">
        <v>46</v>
      </c>
      <c r="AM51" s="4" t="s">
        <v>46</v>
      </c>
      <c r="AN51" s="4" t="s">
        <v>55</v>
      </c>
      <c r="AO51" s="4" t="s">
        <v>46</v>
      </c>
      <c r="AP51" s="4" t="s">
        <v>46</v>
      </c>
    </row>
    <row r="52" spans="1:42">
      <c r="A52" s="2">
        <v>1891456</v>
      </c>
      <c r="B52" s="3">
        <v>45812</v>
      </c>
      <c r="C52" s="4" t="s">
        <v>209</v>
      </c>
      <c r="D52" s="2">
        <v>1775329</v>
      </c>
      <c r="E52" s="4" t="s">
        <v>210</v>
      </c>
      <c r="F52" s="4" t="s">
        <v>211</v>
      </c>
      <c r="G52" s="2">
        <v>72616323</v>
      </c>
      <c r="H52" s="4" t="s">
        <v>212</v>
      </c>
      <c r="I52" s="4" t="s">
        <v>46</v>
      </c>
      <c r="J52" s="4" t="s">
        <v>47</v>
      </c>
      <c r="K52" s="4" t="s">
        <v>48</v>
      </c>
      <c r="L52" s="3">
        <v>45809</v>
      </c>
      <c r="M52" s="4" t="s">
        <v>49</v>
      </c>
      <c r="N52" s="4" t="s">
        <v>46</v>
      </c>
      <c r="O52" s="4" t="s">
        <v>50</v>
      </c>
      <c r="P52" s="4" t="s">
        <v>46</v>
      </c>
      <c r="Q52" s="2">
        <v>1</v>
      </c>
      <c r="R52" s="2">
        <v>17</v>
      </c>
      <c r="S52" s="4" t="s">
        <v>51</v>
      </c>
      <c r="T52" s="4" t="s">
        <v>171</v>
      </c>
      <c r="U52" s="4" t="s">
        <v>46</v>
      </c>
      <c r="V52" s="5">
        <v>0</v>
      </c>
      <c r="W52" s="5">
        <v>0</v>
      </c>
      <c r="X52" s="5">
        <v>100</v>
      </c>
      <c r="Y52" s="5">
        <v>76.92</v>
      </c>
      <c r="Z52" s="4" t="s">
        <v>46</v>
      </c>
      <c r="AA52" s="5" t="s">
        <v>46</v>
      </c>
      <c r="AB52" s="4" t="s">
        <v>53</v>
      </c>
      <c r="AC52" s="4" t="s">
        <v>46</v>
      </c>
      <c r="AD52" s="5">
        <v>0</v>
      </c>
      <c r="AE52" s="4" t="s">
        <v>54</v>
      </c>
      <c r="AF52" s="3">
        <v>45809</v>
      </c>
      <c r="AG52" s="4" t="s">
        <v>46</v>
      </c>
      <c r="AH52" s="4" t="s">
        <v>46</v>
      </c>
      <c r="AI52" s="4" t="s">
        <v>46</v>
      </c>
      <c r="AJ52" s="4" t="s">
        <v>46</v>
      </c>
      <c r="AK52" s="4" t="s">
        <v>46</v>
      </c>
      <c r="AL52" s="4" t="s">
        <v>46</v>
      </c>
      <c r="AM52" s="4" t="s">
        <v>46</v>
      </c>
      <c r="AN52" s="4" t="s">
        <v>172</v>
      </c>
      <c r="AO52" s="4" t="s">
        <v>46</v>
      </c>
      <c r="AP52" s="4" t="s">
        <v>46</v>
      </c>
    </row>
    <row r="53" spans="1:42">
      <c r="A53" s="2">
        <v>1891456</v>
      </c>
      <c r="B53" s="3">
        <v>45812</v>
      </c>
      <c r="C53" s="4" t="s">
        <v>213</v>
      </c>
      <c r="D53" s="2">
        <v>1800759</v>
      </c>
      <c r="E53" s="4" t="s">
        <v>214</v>
      </c>
      <c r="F53" s="4" t="s">
        <v>215</v>
      </c>
      <c r="G53" s="2">
        <v>656261314</v>
      </c>
      <c r="H53" s="4" t="s">
        <v>216</v>
      </c>
      <c r="I53" s="4" t="s">
        <v>46</v>
      </c>
      <c r="J53" s="4" t="s">
        <v>47</v>
      </c>
      <c r="K53" s="4" t="s">
        <v>48</v>
      </c>
      <c r="L53" s="3">
        <v>45809</v>
      </c>
      <c r="M53" s="4" t="s">
        <v>49</v>
      </c>
      <c r="N53" s="4" t="s">
        <v>46</v>
      </c>
      <c r="O53" s="4" t="s">
        <v>50</v>
      </c>
      <c r="P53" s="4" t="s">
        <v>46</v>
      </c>
      <c r="Q53" s="2">
        <v>1</v>
      </c>
      <c r="R53" s="2">
        <v>17</v>
      </c>
      <c r="S53" s="4" t="s">
        <v>51</v>
      </c>
      <c r="T53" s="4" t="s">
        <v>75</v>
      </c>
      <c r="U53" s="4" t="s">
        <v>46</v>
      </c>
      <c r="V53" s="5">
        <v>0</v>
      </c>
      <c r="W53" s="5">
        <v>0</v>
      </c>
      <c r="X53" s="5">
        <v>100</v>
      </c>
      <c r="Y53" s="5">
        <v>443.42</v>
      </c>
      <c r="Z53" s="4" t="s">
        <v>46</v>
      </c>
      <c r="AA53" s="5" t="s">
        <v>46</v>
      </c>
      <c r="AB53" s="4" t="s">
        <v>53</v>
      </c>
      <c r="AC53" s="4" t="s">
        <v>46</v>
      </c>
      <c r="AD53" s="5">
        <v>0</v>
      </c>
      <c r="AE53" s="4" t="s">
        <v>54</v>
      </c>
      <c r="AF53" s="3">
        <v>45809</v>
      </c>
      <c r="AG53" s="4" t="s">
        <v>46</v>
      </c>
      <c r="AH53" s="4" t="s">
        <v>46</v>
      </c>
      <c r="AI53" s="4" t="s">
        <v>46</v>
      </c>
      <c r="AJ53" s="4" t="s">
        <v>46</v>
      </c>
      <c r="AK53" s="4" t="s">
        <v>46</v>
      </c>
      <c r="AL53" s="4" t="s">
        <v>46</v>
      </c>
      <c r="AM53" s="4" t="s">
        <v>46</v>
      </c>
      <c r="AN53" s="4" t="s">
        <v>76</v>
      </c>
      <c r="AO53" s="4" t="s">
        <v>46</v>
      </c>
      <c r="AP53" s="4" t="s">
        <v>46</v>
      </c>
    </row>
    <row r="54" spans="1:42">
      <c r="A54" s="2">
        <v>1891456</v>
      </c>
      <c r="B54" s="3">
        <v>45812</v>
      </c>
      <c r="C54" s="4" t="s">
        <v>217</v>
      </c>
      <c r="D54" s="2">
        <v>1800776</v>
      </c>
      <c r="E54" s="4" t="s">
        <v>218</v>
      </c>
      <c r="F54" s="4" t="s">
        <v>219</v>
      </c>
      <c r="G54" s="2">
        <v>653710171</v>
      </c>
      <c r="H54" s="4" t="s">
        <v>220</v>
      </c>
      <c r="I54" s="4" t="s">
        <v>46</v>
      </c>
      <c r="J54" s="4" t="s">
        <v>47</v>
      </c>
      <c r="K54" s="4" t="s">
        <v>48</v>
      </c>
      <c r="L54" s="3">
        <v>45658</v>
      </c>
      <c r="M54" s="4" t="s">
        <v>221</v>
      </c>
      <c r="N54" s="4" t="s">
        <v>46</v>
      </c>
      <c r="O54" s="4" t="s">
        <v>50</v>
      </c>
      <c r="P54" s="4" t="s">
        <v>46</v>
      </c>
      <c r="Q54" s="2">
        <v>1</v>
      </c>
      <c r="R54" s="2">
        <v>17</v>
      </c>
      <c r="S54" s="4" t="s">
        <v>51</v>
      </c>
      <c r="T54" s="4" t="s">
        <v>52</v>
      </c>
      <c r="U54" s="4" t="s">
        <v>46</v>
      </c>
      <c r="V54" s="5">
        <v>-0.57999999999999996</v>
      </c>
      <c r="W54" s="5">
        <v>0</v>
      </c>
      <c r="X54" s="5">
        <v>100</v>
      </c>
      <c r="Y54" s="5">
        <v>-182.58</v>
      </c>
      <c r="Z54" s="4" t="s">
        <v>46</v>
      </c>
      <c r="AA54" s="5" t="s">
        <v>46</v>
      </c>
      <c r="AB54" s="4" t="s">
        <v>59</v>
      </c>
      <c r="AC54" s="4" t="s">
        <v>46</v>
      </c>
      <c r="AD54" s="5">
        <v>0</v>
      </c>
      <c r="AE54" s="4" t="s">
        <v>60</v>
      </c>
      <c r="AF54" s="3">
        <v>45658</v>
      </c>
      <c r="AG54" s="4" t="s">
        <v>46</v>
      </c>
      <c r="AH54" s="4" t="s">
        <v>46</v>
      </c>
      <c r="AI54" s="4" t="s">
        <v>46</v>
      </c>
      <c r="AJ54" s="4" t="s">
        <v>46</v>
      </c>
      <c r="AK54" s="4" t="s">
        <v>46</v>
      </c>
      <c r="AL54" s="4" t="s">
        <v>46</v>
      </c>
      <c r="AM54" s="4" t="s">
        <v>46</v>
      </c>
      <c r="AN54" s="4" t="s">
        <v>55</v>
      </c>
      <c r="AO54" s="4" t="s">
        <v>46</v>
      </c>
      <c r="AP54" s="4" t="s">
        <v>46</v>
      </c>
    </row>
    <row r="55" spans="1:42">
      <c r="A55" s="2">
        <v>1891456</v>
      </c>
      <c r="B55" s="3">
        <v>45812</v>
      </c>
      <c r="C55" s="4" t="s">
        <v>217</v>
      </c>
      <c r="D55" s="2">
        <v>1800776</v>
      </c>
      <c r="E55" s="4" t="s">
        <v>222</v>
      </c>
      <c r="F55" s="4" t="s">
        <v>223</v>
      </c>
      <c r="G55" s="2">
        <v>16924283</v>
      </c>
      <c r="H55" s="4" t="s">
        <v>224</v>
      </c>
      <c r="I55" s="4" t="s">
        <v>46</v>
      </c>
      <c r="J55" s="4" t="s">
        <v>47</v>
      </c>
      <c r="K55" s="4" t="s">
        <v>48</v>
      </c>
      <c r="L55" s="3">
        <v>45778</v>
      </c>
      <c r="M55" s="4" t="s">
        <v>98</v>
      </c>
      <c r="N55" s="4" t="s">
        <v>46</v>
      </c>
      <c r="O55" s="4" t="s">
        <v>50</v>
      </c>
      <c r="P55" s="4" t="s">
        <v>46</v>
      </c>
      <c r="Q55" s="2">
        <v>1</v>
      </c>
      <c r="R55" s="2">
        <v>17</v>
      </c>
      <c r="S55" s="4" t="s">
        <v>51</v>
      </c>
      <c r="T55" s="4" t="s">
        <v>171</v>
      </c>
      <c r="U55" s="4" t="s">
        <v>46</v>
      </c>
      <c r="V55" s="5">
        <v>0</v>
      </c>
      <c r="W55" s="5">
        <v>0</v>
      </c>
      <c r="X55" s="5">
        <v>100</v>
      </c>
      <c r="Y55" s="5">
        <v>72.33</v>
      </c>
      <c r="Z55" s="4" t="s">
        <v>46</v>
      </c>
      <c r="AA55" s="5" t="s">
        <v>46</v>
      </c>
      <c r="AB55" s="4" t="s">
        <v>53</v>
      </c>
      <c r="AC55" s="4" t="s">
        <v>46</v>
      </c>
      <c r="AD55" s="5">
        <v>0</v>
      </c>
      <c r="AE55" s="4" t="s">
        <v>54</v>
      </c>
      <c r="AF55" s="3">
        <v>45778</v>
      </c>
      <c r="AG55" s="4" t="s">
        <v>46</v>
      </c>
      <c r="AH55" s="4" t="s">
        <v>46</v>
      </c>
      <c r="AI55" s="4" t="s">
        <v>46</v>
      </c>
      <c r="AJ55" s="4" t="s">
        <v>46</v>
      </c>
      <c r="AK55" s="4" t="s">
        <v>46</v>
      </c>
      <c r="AL55" s="4" t="s">
        <v>46</v>
      </c>
      <c r="AM55" s="4" t="s">
        <v>46</v>
      </c>
      <c r="AN55" s="4" t="s">
        <v>172</v>
      </c>
      <c r="AO55" s="4" t="s">
        <v>46</v>
      </c>
      <c r="AP55" s="4" t="s">
        <v>46</v>
      </c>
    </row>
    <row r="56" spans="1:42">
      <c r="A56" s="2">
        <v>1891456</v>
      </c>
      <c r="B56" s="3">
        <v>45812</v>
      </c>
      <c r="C56" s="4" t="s">
        <v>225</v>
      </c>
      <c r="D56" s="2">
        <v>1831491</v>
      </c>
      <c r="E56" s="4" t="s">
        <v>226</v>
      </c>
      <c r="F56" s="4" t="s">
        <v>227</v>
      </c>
      <c r="G56" s="2">
        <v>569796273</v>
      </c>
      <c r="H56" s="4" t="s">
        <v>228</v>
      </c>
      <c r="I56" s="4" t="s">
        <v>46</v>
      </c>
      <c r="J56" s="4" t="s">
        <v>47</v>
      </c>
      <c r="K56" s="4" t="s">
        <v>48</v>
      </c>
      <c r="L56" s="3">
        <v>45809</v>
      </c>
      <c r="M56" s="4" t="s">
        <v>49</v>
      </c>
      <c r="N56" s="4" t="s">
        <v>46</v>
      </c>
      <c r="O56" s="4" t="s">
        <v>50</v>
      </c>
      <c r="P56" s="4" t="s">
        <v>46</v>
      </c>
      <c r="Q56" s="2">
        <v>1</v>
      </c>
      <c r="R56" s="2">
        <v>17</v>
      </c>
      <c r="S56" s="4" t="s">
        <v>51</v>
      </c>
      <c r="T56" s="4" t="s">
        <v>171</v>
      </c>
      <c r="U56" s="4" t="s">
        <v>46</v>
      </c>
      <c r="V56" s="5">
        <v>0</v>
      </c>
      <c r="W56" s="5">
        <v>0</v>
      </c>
      <c r="X56" s="5">
        <v>100</v>
      </c>
      <c r="Y56" s="5">
        <v>76.92</v>
      </c>
      <c r="Z56" s="4" t="s">
        <v>46</v>
      </c>
      <c r="AA56" s="5" t="s">
        <v>46</v>
      </c>
      <c r="AB56" s="4" t="s">
        <v>53</v>
      </c>
      <c r="AC56" s="4" t="s">
        <v>46</v>
      </c>
      <c r="AD56" s="5">
        <v>0</v>
      </c>
      <c r="AE56" s="4" t="s">
        <v>54</v>
      </c>
      <c r="AF56" s="3">
        <v>45809</v>
      </c>
      <c r="AG56" s="4" t="s">
        <v>46</v>
      </c>
      <c r="AH56" s="4" t="s">
        <v>46</v>
      </c>
      <c r="AI56" s="4" t="s">
        <v>46</v>
      </c>
      <c r="AJ56" s="4" t="s">
        <v>46</v>
      </c>
      <c r="AK56" s="4" t="s">
        <v>46</v>
      </c>
      <c r="AL56" s="4" t="s">
        <v>46</v>
      </c>
      <c r="AM56" s="4" t="s">
        <v>46</v>
      </c>
      <c r="AN56" s="4" t="s">
        <v>172</v>
      </c>
      <c r="AO56" s="4" t="s">
        <v>46</v>
      </c>
      <c r="AP56" s="4" t="s">
        <v>46</v>
      </c>
    </row>
    <row r="57" spans="1:42">
      <c r="A57" s="2">
        <v>1891456</v>
      </c>
      <c r="B57" s="3">
        <v>45812</v>
      </c>
      <c r="C57" s="4" t="s">
        <v>229</v>
      </c>
      <c r="D57" s="2">
        <v>1855975</v>
      </c>
      <c r="E57" s="4" t="s">
        <v>230</v>
      </c>
      <c r="F57" s="4" t="s">
        <v>231</v>
      </c>
      <c r="G57" s="2">
        <v>68246313</v>
      </c>
      <c r="H57" s="4" t="s">
        <v>232</v>
      </c>
      <c r="I57" s="4" t="s">
        <v>46</v>
      </c>
      <c r="J57" s="4" t="s">
        <v>47</v>
      </c>
      <c r="K57" s="4" t="s">
        <v>48</v>
      </c>
      <c r="L57" s="3">
        <v>45778</v>
      </c>
      <c r="M57" s="4" t="s">
        <v>98</v>
      </c>
      <c r="N57" s="4" t="s">
        <v>46</v>
      </c>
      <c r="O57" s="4" t="s">
        <v>50</v>
      </c>
      <c r="P57" s="4" t="s">
        <v>46</v>
      </c>
      <c r="Q57" s="2">
        <v>1</v>
      </c>
      <c r="R57" s="2">
        <v>17</v>
      </c>
      <c r="S57" s="4" t="s">
        <v>51</v>
      </c>
      <c r="T57" s="4" t="s">
        <v>171</v>
      </c>
      <c r="U57" s="4" t="s">
        <v>46</v>
      </c>
      <c r="V57" s="5">
        <v>0</v>
      </c>
      <c r="W57" s="5">
        <v>0</v>
      </c>
      <c r="X57" s="5">
        <v>100</v>
      </c>
      <c r="Y57" s="5">
        <v>72.33</v>
      </c>
      <c r="Z57" s="4" t="s">
        <v>46</v>
      </c>
      <c r="AA57" s="5" t="s">
        <v>46</v>
      </c>
      <c r="AB57" s="4" t="s">
        <v>53</v>
      </c>
      <c r="AC57" s="4" t="s">
        <v>46</v>
      </c>
      <c r="AD57" s="5">
        <v>0</v>
      </c>
      <c r="AE57" s="4" t="s">
        <v>54</v>
      </c>
      <c r="AF57" s="3">
        <v>45778</v>
      </c>
      <c r="AG57" s="4" t="s">
        <v>46</v>
      </c>
      <c r="AH57" s="4" t="s">
        <v>46</v>
      </c>
      <c r="AI57" s="4" t="s">
        <v>46</v>
      </c>
      <c r="AJ57" s="4" t="s">
        <v>46</v>
      </c>
      <c r="AK57" s="4" t="s">
        <v>46</v>
      </c>
      <c r="AL57" s="4" t="s">
        <v>46</v>
      </c>
      <c r="AM57" s="4" t="s">
        <v>46</v>
      </c>
      <c r="AN57" s="4" t="s">
        <v>172</v>
      </c>
      <c r="AO57" s="4" t="s">
        <v>46</v>
      </c>
      <c r="AP57" s="4" t="s">
        <v>46</v>
      </c>
    </row>
    <row r="58" spans="1:42">
      <c r="A58" s="2">
        <v>1891456</v>
      </c>
      <c r="B58" s="3">
        <v>45812</v>
      </c>
      <c r="C58" s="4" t="s">
        <v>233</v>
      </c>
      <c r="D58" s="2">
        <v>1875462</v>
      </c>
      <c r="E58" s="4" t="s">
        <v>234</v>
      </c>
      <c r="F58" s="4" t="s">
        <v>235</v>
      </c>
      <c r="G58" s="2">
        <v>365301203</v>
      </c>
      <c r="H58" s="4" t="s">
        <v>236</v>
      </c>
      <c r="I58" s="4" t="s">
        <v>46</v>
      </c>
      <c r="J58" s="4" t="s">
        <v>47</v>
      </c>
      <c r="K58" s="4" t="s">
        <v>48</v>
      </c>
      <c r="L58" s="3">
        <v>45809</v>
      </c>
      <c r="M58" s="4" t="s">
        <v>49</v>
      </c>
      <c r="N58" s="4" t="s">
        <v>46</v>
      </c>
      <c r="O58" s="4" t="s">
        <v>50</v>
      </c>
      <c r="P58" s="4" t="s">
        <v>46</v>
      </c>
      <c r="Q58" s="2">
        <v>1</v>
      </c>
      <c r="R58" s="2">
        <v>17</v>
      </c>
      <c r="S58" s="4" t="s">
        <v>51</v>
      </c>
      <c r="T58" s="4" t="s">
        <v>171</v>
      </c>
      <c r="U58" s="4" t="s">
        <v>46</v>
      </c>
      <c r="V58" s="5">
        <v>0</v>
      </c>
      <c r="W58" s="5">
        <v>0</v>
      </c>
      <c r="X58" s="5">
        <v>100</v>
      </c>
      <c r="Y58" s="5">
        <v>31.5</v>
      </c>
      <c r="Z58" s="4" t="s">
        <v>46</v>
      </c>
      <c r="AA58" s="5" t="s">
        <v>46</v>
      </c>
      <c r="AB58" s="4" t="s">
        <v>53</v>
      </c>
      <c r="AC58" s="4" t="s">
        <v>46</v>
      </c>
      <c r="AD58" s="5">
        <v>0</v>
      </c>
      <c r="AE58" s="4" t="s">
        <v>54</v>
      </c>
      <c r="AF58" s="3">
        <v>45809</v>
      </c>
      <c r="AG58" s="4" t="s">
        <v>46</v>
      </c>
      <c r="AH58" s="4" t="s">
        <v>46</v>
      </c>
      <c r="AI58" s="4" t="s">
        <v>46</v>
      </c>
      <c r="AJ58" s="4" t="s">
        <v>46</v>
      </c>
      <c r="AK58" s="4" t="s">
        <v>46</v>
      </c>
      <c r="AL58" s="4" t="s">
        <v>46</v>
      </c>
      <c r="AM58" s="4" t="s">
        <v>46</v>
      </c>
      <c r="AN58" s="4" t="s">
        <v>172</v>
      </c>
      <c r="AO58" s="4" t="s">
        <v>46</v>
      </c>
      <c r="AP58" s="4" t="s">
        <v>46</v>
      </c>
    </row>
    <row r="59" spans="1:42">
      <c r="A59" s="2">
        <v>1891456</v>
      </c>
      <c r="B59" s="3">
        <v>45812</v>
      </c>
      <c r="C59" s="4" t="s">
        <v>237</v>
      </c>
      <c r="D59" s="2">
        <v>1951804</v>
      </c>
      <c r="E59" s="4" t="s">
        <v>238</v>
      </c>
      <c r="F59" s="4" t="s">
        <v>239</v>
      </c>
      <c r="G59" s="2">
        <v>585115560</v>
      </c>
      <c r="H59" s="4" t="s">
        <v>240</v>
      </c>
      <c r="I59" s="4" t="s">
        <v>46</v>
      </c>
      <c r="J59" s="4" t="s">
        <v>47</v>
      </c>
      <c r="K59" s="4" t="s">
        <v>48</v>
      </c>
      <c r="L59" s="3">
        <v>45809</v>
      </c>
      <c r="M59" s="4" t="s">
        <v>49</v>
      </c>
      <c r="N59" s="4" t="s">
        <v>46</v>
      </c>
      <c r="O59" s="4" t="s">
        <v>50</v>
      </c>
      <c r="P59" s="4" t="s">
        <v>46</v>
      </c>
      <c r="Q59" s="2">
        <v>1</v>
      </c>
      <c r="R59" s="2">
        <v>17</v>
      </c>
      <c r="S59" s="4" t="s">
        <v>51</v>
      </c>
      <c r="T59" s="4" t="s">
        <v>52</v>
      </c>
      <c r="U59" s="4" t="s">
        <v>46</v>
      </c>
      <c r="V59" s="5">
        <v>0</v>
      </c>
      <c r="W59" s="5">
        <v>0</v>
      </c>
      <c r="X59" s="5">
        <v>100</v>
      </c>
      <c r="Y59" s="5">
        <v>182.59</v>
      </c>
      <c r="Z59" s="4" t="s">
        <v>46</v>
      </c>
      <c r="AA59" s="5" t="s">
        <v>46</v>
      </c>
      <c r="AB59" s="4" t="s">
        <v>53</v>
      </c>
      <c r="AC59" s="4" t="s">
        <v>46</v>
      </c>
      <c r="AD59" s="5">
        <v>0</v>
      </c>
      <c r="AE59" s="4" t="s">
        <v>54</v>
      </c>
      <c r="AF59" s="3">
        <v>45809</v>
      </c>
      <c r="AG59" s="4" t="s">
        <v>46</v>
      </c>
      <c r="AH59" s="4" t="s">
        <v>46</v>
      </c>
      <c r="AI59" s="4" t="s">
        <v>46</v>
      </c>
      <c r="AJ59" s="4" t="s">
        <v>46</v>
      </c>
      <c r="AK59" s="4" t="s">
        <v>46</v>
      </c>
      <c r="AL59" s="4" t="s">
        <v>46</v>
      </c>
      <c r="AM59" s="4" t="s">
        <v>46</v>
      </c>
      <c r="AN59" s="4" t="s">
        <v>55</v>
      </c>
      <c r="AO59" s="4" t="s">
        <v>46</v>
      </c>
      <c r="AP59" s="4" t="s">
        <v>46</v>
      </c>
    </row>
    <row r="60" spans="1:42">
      <c r="A60" s="2">
        <v>1891456</v>
      </c>
      <c r="B60" s="3">
        <v>45812</v>
      </c>
      <c r="C60" s="4" t="s">
        <v>237</v>
      </c>
      <c r="D60" s="2">
        <v>1951804</v>
      </c>
      <c r="E60" s="4" t="s">
        <v>241</v>
      </c>
      <c r="F60" s="4" t="s">
        <v>242</v>
      </c>
      <c r="G60" s="2">
        <v>638968173</v>
      </c>
      <c r="H60" s="4" t="s">
        <v>243</v>
      </c>
      <c r="I60" s="4" t="s">
        <v>46</v>
      </c>
      <c r="J60" s="4" t="s">
        <v>47</v>
      </c>
      <c r="K60" s="4" t="s">
        <v>48</v>
      </c>
      <c r="L60" s="3">
        <v>45809</v>
      </c>
      <c r="M60" s="4" t="s">
        <v>49</v>
      </c>
      <c r="N60" s="4" t="s">
        <v>46</v>
      </c>
      <c r="O60" s="4" t="s">
        <v>50</v>
      </c>
      <c r="P60" s="4" t="s">
        <v>46</v>
      </c>
      <c r="Q60" s="2">
        <v>1</v>
      </c>
      <c r="R60" s="2">
        <v>17</v>
      </c>
      <c r="S60" s="4" t="s">
        <v>51</v>
      </c>
      <c r="T60" s="4" t="s">
        <v>52</v>
      </c>
      <c r="U60" s="4" t="s">
        <v>46</v>
      </c>
      <c r="V60" s="5">
        <v>0</v>
      </c>
      <c r="W60" s="5">
        <v>0</v>
      </c>
      <c r="X60" s="5">
        <v>100</v>
      </c>
      <c r="Y60" s="5">
        <v>182.59</v>
      </c>
      <c r="Z60" s="4" t="s">
        <v>46</v>
      </c>
      <c r="AA60" s="5" t="s">
        <v>46</v>
      </c>
      <c r="AB60" s="4" t="s">
        <v>53</v>
      </c>
      <c r="AC60" s="4" t="s">
        <v>46</v>
      </c>
      <c r="AD60" s="5">
        <v>0</v>
      </c>
      <c r="AE60" s="4" t="s">
        <v>54</v>
      </c>
      <c r="AF60" s="3">
        <v>45809</v>
      </c>
      <c r="AG60" s="4" t="s">
        <v>46</v>
      </c>
      <c r="AH60" s="4" t="s">
        <v>46</v>
      </c>
      <c r="AI60" s="4" t="s">
        <v>46</v>
      </c>
      <c r="AJ60" s="4" t="s">
        <v>46</v>
      </c>
      <c r="AK60" s="4" t="s">
        <v>46</v>
      </c>
      <c r="AL60" s="4" t="s">
        <v>46</v>
      </c>
      <c r="AM60" s="4" t="s">
        <v>46</v>
      </c>
      <c r="AN60" s="4" t="s">
        <v>55</v>
      </c>
      <c r="AO60" s="4" t="s">
        <v>46</v>
      </c>
      <c r="AP60" s="4" t="s">
        <v>46</v>
      </c>
    </row>
    <row r="61" spans="1:42">
      <c r="A61" s="2">
        <v>1891456</v>
      </c>
      <c r="B61" s="3">
        <v>45812</v>
      </c>
      <c r="C61" s="4" t="s">
        <v>244</v>
      </c>
      <c r="D61" s="2">
        <v>1953307</v>
      </c>
      <c r="E61" s="4" t="s">
        <v>245</v>
      </c>
      <c r="F61" s="4" t="s">
        <v>246</v>
      </c>
      <c r="G61" s="2">
        <v>797972082</v>
      </c>
      <c r="H61" s="4" t="s">
        <v>247</v>
      </c>
      <c r="I61" s="4" t="s">
        <v>46</v>
      </c>
      <c r="J61" s="4" t="s">
        <v>47</v>
      </c>
      <c r="K61" s="4" t="s">
        <v>48</v>
      </c>
      <c r="L61" s="3">
        <v>45839</v>
      </c>
      <c r="M61" s="4" t="s">
        <v>84</v>
      </c>
      <c r="N61" s="4" t="s">
        <v>46</v>
      </c>
      <c r="O61" s="4" t="s">
        <v>50</v>
      </c>
      <c r="P61" s="4" t="s">
        <v>46</v>
      </c>
      <c r="Q61" s="2">
        <v>1</v>
      </c>
      <c r="R61" s="2">
        <v>17</v>
      </c>
      <c r="S61" s="4" t="s">
        <v>51</v>
      </c>
      <c r="T61" s="4" t="s">
        <v>52</v>
      </c>
      <c r="U61" s="4" t="s">
        <v>46</v>
      </c>
      <c r="V61" s="5">
        <v>0</v>
      </c>
      <c r="W61" s="5">
        <v>0</v>
      </c>
      <c r="X61" s="5">
        <v>100</v>
      </c>
      <c r="Y61" s="5">
        <v>469.5</v>
      </c>
      <c r="Z61" s="4" t="s">
        <v>46</v>
      </c>
      <c r="AA61" s="5" t="s">
        <v>46</v>
      </c>
      <c r="AB61" s="4" t="s">
        <v>53</v>
      </c>
      <c r="AC61" s="4" t="s">
        <v>46</v>
      </c>
      <c r="AD61" s="5">
        <v>0</v>
      </c>
      <c r="AE61" s="4" t="s">
        <v>54</v>
      </c>
      <c r="AF61" s="3">
        <v>45839</v>
      </c>
      <c r="AG61" s="4" t="s">
        <v>46</v>
      </c>
      <c r="AH61" s="4" t="s">
        <v>46</v>
      </c>
      <c r="AI61" s="4" t="s">
        <v>46</v>
      </c>
      <c r="AJ61" s="4" t="s">
        <v>46</v>
      </c>
      <c r="AK61" s="4" t="s">
        <v>46</v>
      </c>
      <c r="AL61" s="4" t="s">
        <v>46</v>
      </c>
      <c r="AM61" s="4" t="s">
        <v>46</v>
      </c>
      <c r="AN61" s="4" t="s">
        <v>55</v>
      </c>
      <c r="AO61" s="4" t="s">
        <v>46</v>
      </c>
      <c r="AP61" s="4" t="s">
        <v>46</v>
      </c>
    </row>
    <row r="62" spans="1:42">
      <c r="A62" s="2">
        <v>1891456</v>
      </c>
      <c r="B62" s="3">
        <v>45812</v>
      </c>
      <c r="C62" s="4" t="s">
        <v>248</v>
      </c>
      <c r="D62" s="2">
        <v>1509744</v>
      </c>
      <c r="E62" s="4" t="s">
        <v>249</v>
      </c>
      <c r="F62" s="4" t="s">
        <v>250</v>
      </c>
      <c r="G62" s="4" t="s">
        <v>46</v>
      </c>
      <c r="H62" s="4" t="s">
        <v>46</v>
      </c>
      <c r="I62" s="4" t="s">
        <v>46</v>
      </c>
      <c r="J62" s="4" t="s">
        <v>251</v>
      </c>
      <c r="K62" s="4" t="s">
        <v>48</v>
      </c>
      <c r="L62" s="3">
        <v>45809</v>
      </c>
      <c r="M62" s="4" t="s">
        <v>49</v>
      </c>
      <c r="N62" s="4" t="s">
        <v>46</v>
      </c>
      <c r="O62" s="4" t="s">
        <v>50</v>
      </c>
      <c r="P62" s="4" t="s">
        <v>118</v>
      </c>
      <c r="Q62" s="2">
        <v>1</v>
      </c>
      <c r="R62" s="2">
        <v>17</v>
      </c>
      <c r="S62" s="4" t="s">
        <v>51</v>
      </c>
      <c r="T62" s="4" t="s">
        <v>46</v>
      </c>
      <c r="U62" s="4" t="s">
        <v>46</v>
      </c>
      <c r="V62" s="5">
        <v>22</v>
      </c>
      <c r="W62" s="5">
        <v>1620.84</v>
      </c>
      <c r="X62" s="5">
        <v>100</v>
      </c>
      <c r="Y62" s="5">
        <v>356.64</v>
      </c>
      <c r="Z62" s="5">
        <v>0</v>
      </c>
      <c r="AA62" s="5">
        <v>0</v>
      </c>
      <c r="AB62" s="4" t="s">
        <v>252</v>
      </c>
      <c r="AC62" s="4" t="s">
        <v>46</v>
      </c>
      <c r="AD62" s="5">
        <v>0</v>
      </c>
      <c r="AE62" s="4" t="s">
        <v>253</v>
      </c>
      <c r="AF62" s="3">
        <v>45809</v>
      </c>
      <c r="AG62" s="4" t="s">
        <v>46</v>
      </c>
      <c r="AH62" s="4" t="s">
        <v>46</v>
      </c>
      <c r="AI62" s="4" t="s">
        <v>46</v>
      </c>
      <c r="AJ62" s="4" t="s">
        <v>46</v>
      </c>
      <c r="AK62" s="4" t="s">
        <v>46</v>
      </c>
      <c r="AL62" s="4" t="s">
        <v>46</v>
      </c>
      <c r="AM62" s="4" t="s">
        <v>46</v>
      </c>
      <c r="AN62" s="4" t="s">
        <v>46</v>
      </c>
      <c r="AO62" s="4" t="s">
        <v>46</v>
      </c>
      <c r="AP62" s="4" t="s">
        <v>46</v>
      </c>
    </row>
    <row r="63" spans="1:42">
      <c r="A63" s="2">
        <v>1891456</v>
      </c>
      <c r="B63" s="3">
        <v>45812</v>
      </c>
      <c r="C63" s="4" t="s">
        <v>248</v>
      </c>
      <c r="D63" s="2">
        <v>1509744</v>
      </c>
      <c r="E63" s="4" t="s">
        <v>254</v>
      </c>
      <c r="F63" s="4" t="s">
        <v>255</v>
      </c>
      <c r="G63" s="4" t="s">
        <v>46</v>
      </c>
      <c r="H63" s="4" t="s">
        <v>46</v>
      </c>
      <c r="I63" s="4" t="s">
        <v>46</v>
      </c>
      <c r="J63" s="4" t="s">
        <v>251</v>
      </c>
      <c r="K63" s="4" t="s">
        <v>48</v>
      </c>
      <c r="L63" s="3">
        <v>45809</v>
      </c>
      <c r="M63" s="4" t="s">
        <v>49</v>
      </c>
      <c r="N63" s="4" t="s">
        <v>46</v>
      </c>
      <c r="O63" s="4" t="s">
        <v>50</v>
      </c>
      <c r="P63" s="4" t="s">
        <v>118</v>
      </c>
      <c r="Q63" s="2">
        <v>1</v>
      </c>
      <c r="R63" s="2">
        <v>17</v>
      </c>
      <c r="S63" s="4" t="s">
        <v>51</v>
      </c>
      <c r="T63" s="4" t="s">
        <v>46</v>
      </c>
      <c r="U63" s="4" t="s">
        <v>46</v>
      </c>
      <c r="V63" s="5">
        <v>22</v>
      </c>
      <c r="W63" s="5">
        <v>1570.44</v>
      </c>
      <c r="X63" s="5">
        <v>100</v>
      </c>
      <c r="Y63" s="5">
        <v>345.48</v>
      </c>
      <c r="Z63" s="5">
        <v>0</v>
      </c>
      <c r="AA63" s="5">
        <v>0</v>
      </c>
      <c r="AB63" s="4" t="s">
        <v>252</v>
      </c>
      <c r="AC63" s="4" t="s">
        <v>46</v>
      </c>
      <c r="AD63" s="5">
        <v>0</v>
      </c>
      <c r="AE63" s="4" t="s">
        <v>253</v>
      </c>
      <c r="AF63" s="3">
        <v>45809</v>
      </c>
      <c r="AG63" s="4" t="s">
        <v>46</v>
      </c>
      <c r="AH63" s="4" t="s">
        <v>46</v>
      </c>
      <c r="AI63" s="4" t="s">
        <v>46</v>
      </c>
      <c r="AJ63" s="4" t="s">
        <v>46</v>
      </c>
      <c r="AK63" s="4" t="s">
        <v>46</v>
      </c>
      <c r="AL63" s="4" t="s">
        <v>46</v>
      </c>
      <c r="AM63" s="4" t="s">
        <v>46</v>
      </c>
      <c r="AN63" s="4" t="s">
        <v>46</v>
      </c>
      <c r="AO63" s="4" t="s">
        <v>46</v>
      </c>
      <c r="AP63" s="4" t="s">
        <v>46</v>
      </c>
    </row>
    <row r="64" spans="1:42">
      <c r="A64" s="2">
        <v>1891456</v>
      </c>
      <c r="B64" s="3">
        <v>45812</v>
      </c>
      <c r="C64" s="4" t="s">
        <v>248</v>
      </c>
      <c r="D64" s="2">
        <v>1509744</v>
      </c>
      <c r="E64" s="4" t="s">
        <v>256</v>
      </c>
      <c r="F64" s="4" t="s">
        <v>257</v>
      </c>
      <c r="G64" s="4" t="s">
        <v>46</v>
      </c>
      <c r="H64" s="4" t="s">
        <v>46</v>
      </c>
      <c r="I64" s="4" t="s">
        <v>46</v>
      </c>
      <c r="J64" s="4" t="s">
        <v>258</v>
      </c>
      <c r="K64" s="4" t="s">
        <v>259</v>
      </c>
      <c r="L64" s="3">
        <v>45839</v>
      </c>
      <c r="M64" s="4" t="s">
        <v>84</v>
      </c>
      <c r="N64" s="4" t="s">
        <v>46</v>
      </c>
      <c r="O64" s="4" t="s">
        <v>118</v>
      </c>
      <c r="P64" s="4" t="s">
        <v>118</v>
      </c>
      <c r="Q64" s="2">
        <v>2</v>
      </c>
      <c r="R64" s="2">
        <v>60</v>
      </c>
      <c r="S64" s="4" t="s">
        <v>260</v>
      </c>
      <c r="T64" s="4" t="s">
        <v>46</v>
      </c>
      <c r="U64" s="4" t="s">
        <v>46</v>
      </c>
      <c r="V64" s="5">
        <v>10</v>
      </c>
      <c r="W64" s="5">
        <v>26.88</v>
      </c>
      <c r="X64" s="5">
        <v>100</v>
      </c>
      <c r="Y64" s="5">
        <v>2.69</v>
      </c>
      <c r="Z64" s="4" t="s">
        <v>46</v>
      </c>
      <c r="AA64" s="5" t="s">
        <v>46</v>
      </c>
      <c r="AB64" s="4" t="s">
        <v>261</v>
      </c>
      <c r="AC64" s="4" t="s">
        <v>46</v>
      </c>
      <c r="AD64" s="5">
        <v>0</v>
      </c>
      <c r="AE64" s="4" t="s">
        <v>262</v>
      </c>
      <c r="AF64" s="3">
        <v>45384</v>
      </c>
      <c r="AG64" s="4" t="s">
        <v>46</v>
      </c>
      <c r="AH64" s="4" t="s">
        <v>46</v>
      </c>
      <c r="AI64" s="4" t="s">
        <v>46</v>
      </c>
      <c r="AJ64" s="4" t="s">
        <v>46</v>
      </c>
      <c r="AK64" s="4" t="s">
        <v>46</v>
      </c>
      <c r="AL64" s="4" t="s">
        <v>46</v>
      </c>
      <c r="AM64" s="4" t="s">
        <v>46</v>
      </c>
      <c r="AN64" s="4" t="s">
        <v>46</v>
      </c>
      <c r="AO64" s="4" t="s">
        <v>46</v>
      </c>
      <c r="AP64" s="4" t="s">
        <v>46</v>
      </c>
    </row>
    <row r="65" spans="1:42">
      <c r="A65" s="2">
        <v>1891456</v>
      </c>
      <c r="B65" s="3">
        <v>45812</v>
      </c>
      <c r="C65" s="4" t="s">
        <v>248</v>
      </c>
      <c r="D65" s="2">
        <v>1509744</v>
      </c>
      <c r="E65" s="4" t="s">
        <v>263</v>
      </c>
      <c r="F65" s="4" t="s">
        <v>264</v>
      </c>
      <c r="G65" s="4" t="s">
        <v>46</v>
      </c>
      <c r="H65" s="4" t="s">
        <v>46</v>
      </c>
      <c r="I65" s="4" t="s">
        <v>46</v>
      </c>
      <c r="J65" s="4" t="s">
        <v>258</v>
      </c>
      <c r="K65" s="4" t="s">
        <v>259</v>
      </c>
      <c r="L65" s="3">
        <v>45839</v>
      </c>
      <c r="M65" s="4" t="s">
        <v>84</v>
      </c>
      <c r="N65" s="4" t="s">
        <v>46</v>
      </c>
      <c r="O65" s="4" t="s">
        <v>118</v>
      </c>
      <c r="P65" s="4" t="s">
        <v>118</v>
      </c>
      <c r="Q65" s="2">
        <v>1</v>
      </c>
      <c r="R65" s="2">
        <v>3</v>
      </c>
      <c r="S65" s="4" t="s">
        <v>265</v>
      </c>
      <c r="T65" s="4" t="s">
        <v>46</v>
      </c>
      <c r="U65" s="4" t="s">
        <v>46</v>
      </c>
      <c r="V65" s="5">
        <v>10</v>
      </c>
      <c r="W65" s="5">
        <v>13.93</v>
      </c>
      <c r="X65" s="5">
        <v>100</v>
      </c>
      <c r="Y65" s="5">
        <v>1.39</v>
      </c>
      <c r="Z65" s="4" t="s">
        <v>46</v>
      </c>
      <c r="AA65" s="5" t="s">
        <v>46</v>
      </c>
      <c r="AB65" s="4" t="s">
        <v>261</v>
      </c>
      <c r="AC65" s="4" t="s">
        <v>46</v>
      </c>
      <c r="AD65" s="5">
        <v>0</v>
      </c>
      <c r="AE65" s="4" t="s">
        <v>262</v>
      </c>
      <c r="AF65" s="3">
        <v>44197</v>
      </c>
      <c r="AG65" s="4" t="s">
        <v>46</v>
      </c>
      <c r="AH65" s="4" t="s">
        <v>46</v>
      </c>
      <c r="AI65" s="4" t="s">
        <v>46</v>
      </c>
      <c r="AJ65" s="4" t="s">
        <v>46</v>
      </c>
      <c r="AK65" s="4" t="s">
        <v>46</v>
      </c>
      <c r="AL65" s="4" t="s">
        <v>46</v>
      </c>
      <c r="AM65" s="4" t="s">
        <v>46</v>
      </c>
      <c r="AN65" s="4" t="s">
        <v>46</v>
      </c>
      <c r="AO65" s="4" t="s">
        <v>46</v>
      </c>
      <c r="AP65" s="4" t="s">
        <v>46</v>
      </c>
    </row>
    <row r="66" spans="1:42">
      <c r="A66" s="2">
        <v>1891456</v>
      </c>
      <c r="B66" s="3">
        <v>45812</v>
      </c>
      <c r="C66" s="4" t="s">
        <v>248</v>
      </c>
      <c r="D66" s="2">
        <v>1509744</v>
      </c>
      <c r="E66" s="4" t="s">
        <v>266</v>
      </c>
      <c r="F66" s="4" t="s">
        <v>267</v>
      </c>
      <c r="G66" s="4" t="s">
        <v>46</v>
      </c>
      <c r="H66" s="4" t="s">
        <v>46</v>
      </c>
      <c r="I66" s="4" t="s">
        <v>46</v>
      </c>
      <c r="J66" s="4" t="s">
        <v>258</v>
      </c>
      <c r="K66" s="4" t="s">
        <v>259</v>
      </c>
      <c r="L66" s="3">
        <v>45839</v>
      </c>
      <c r="M66" s="4" t="s">
        <v>84</v>
      </c>
      <c r="N66" s="4" t="s">
        <v>46</v>
      </c>
      <c r="O66" s="4" t="s">
        <v>118</v>
      </c>
      <c r="P66" s="4" t="s">
        <v>118</v>
      </c>
      <c r="Q66" s="2">
        <v>1</v>
      </c>
      <c r="R66" s="2">
        <v>60</v>
      </c>
      <c r="S66" s="4" t="s">
        <v>260</v>
      </c>
      <c r="T66" s="4" t="s">
        <v>46</v>
      </c>
      <c r="U66" s="4" t="s">
        <v>46</v>
      </c>
      <c r="V66" s="5">
        <v>10</v>
      </c>
      <c r="W66" s="5">
        <v>13.93</v>
      </c>
      <c r="X66" s="5">
        <v>100</v>
      </c>
      <c r="Y66" s="5">
        <v>1.39</v>
      </c>
      <c r="Z66" s="4" t="s">
        <v>46</v>
      </c>
      <c r="AA66" s="5" t="s">
        <v>46</v>
      </c>
      <c r="AB66" s="4" t="s">
        <v>261</v>
      </c>
      <c r="AC66" s="4" t="s">
        <v>46</v>
      </c>
      <c r="AD66" s="5">
        <v>0</v>
      </c>
      <c r="AE66" s="4" t="s">
        <v>262</v>
      </c>
      <c r="AF66" s="3">
        <v>45323</v>
      </c>
      <c r="AG66" s="4" t="s">
        <v>46</v>
      </c>
      <c r="AH66" s="4" t="s">
        <v>46</v>
      </c>
      <c r="AI66" s="4" t="s">
        <v>46</v>
      </c>
      <c r="AJ66" s="4" t="s">
        <v>46</v>
      </c>
      <c r="AK66" s="4" t="s">
        <v>46</v>
      </c>
      <c r="AL66" s="4" t="s">
        <v>46</v>
      </c>
      <c r="AM66" s="4" t="s">
        <v>46</v>
      </c>
      <c r="AN66" s="4" t="s">
        <v>46</v>
      </c>
      <c r="AO66" s="4" t="s">
        <v>46</v>
      </c>
      <c r="AP66" s="4" t="s">
        <v>46</v>
      </c>
    </row>
    <row r="67" spans="1:42">
      <c r="A67" s="2">
        <v>1891456</v>
      </c>
      <c r="B67" s="3">
        <v>45812</v>
      </c>
      <c r="C67" s="4" t="s">
        <v>248</v>
      </c>
      <c r="D67" s="2">
        <v>1509744</v>
      </c>
      <c r="E67" s="4" t="s">
        <v>268</v>
      </c>
      <c r="F67" s="4" t="s">
        <v>269</v>
      </c>
      <c r="G67" s="4" t="s">
        <v>46</v>
      </c>
      <c r="H67" s="4" t="s">
        <v>46</v>
      </c>
      <c r="I67" s="4" t="s">
        <v>46</v>
      </c>
      <c r="J67" s="4" t="s">
        <v>258</v>
      </c>
      <c r="K67" s="4" t="s">
        <v>259</v>
      </c>
      <c r="L67" s="3">
        <v>45839</v>
      </c>
      <c r="M67" s="4" t="s">
        <v>84</v>
      </c>
      <c r="N67" s="4" t="s">
        <v>46</v>
      </c>
      <c r="O67" s="4" t="s">
        <v>118</v>
      </c>
      <c r="P67" s="4" t="s">
        <v>118</v>
      </c>
      <c r="Q67" s="2">
        <v>4</v>
      </c>
      <c r="R67" s="2">
        <v>60</v>
      </c>
      <c r="S67" s="4" t="s">
        <v>260</v>
      </c>
      <c r="T67" s="4" t="s">
        <v>46</v>
      </c>
      <c r="U67" s="4" t="s">
        <v>46</v>
      </c>
      <c r="V67" s="5">
        <v>10</v>
      </c>
      <c r="W67" s="5">
        <v>46.8</v>
      </c>
      <c r="X67" s="5">
        <v>100</v>
      </c>
      <c r="Y67" s="5">
        <v>4.68</v>
      </c>
      <c r="Z67" s="4" t="s">
        <v>46</v>
      </c>
      <c r="AA67" s="5" t="s">
        <v>46</v>
      </c>
      <c r="AB67" s="4" t="s">
        <v>261</v>
      </c>
      <c r="AC67" s="4" t="s">
        <v>46</v>
      </c>
      <c r="AD67" s="5">
        <v>0</v>
      </c>
      <c r="AE67" s="4" t="s">
        <v>262</v>
      </c>
      <c r="AF67" s="3">
        <v>45328</v>
      </c>
      <c r="AG67" s="4" t="s">
        <v>46</v>
      </c>
      <c r="AH67" s="4" t="s">
        <v>46</v>
      </c>
      <c r="AI67" s="4" t="s">
        <v>46</v>
      </c>
      <c r="AJ67" s="4" t="s">
        <v>46</v>
      </c>
      <c r="AK67" s="4" t="s">
        <v>46</v>
      </c>
      <c r="AL67" s="4" t="s">
        <v>46</v>
      </c>
      <c r="AM67" s="4" t="s">
        <v>46</v>
      </c>
      <c r="AN67" s="4" t="s">
        <v>46</v>
      </c>
      <c r="AO67" s="4" t="s">
        <v>46</v>
      </c>
      <c r="AP67" s="4" t="s">
        <v>46</v>
      </c>
    </row>
    <row r="68" spans="1:42">
      <c r="A68" s="2">
        <v>1891456</v>
      </c>
      <c r="B68" s="3">
        <v>45812</v>
      </c>
      <c r="C68" s="4" t="s">
        <v>248</v>
      </c>
      <c r="D68" s="2">
        <v>1509744</v>
      </c>
      <c r="E68" s="4" t="s">
        <v>270</v>
      </c>
      <c r="F68" s="4" t="s">
        <v>271</v>
      </c>
      <c r="G68" s="4" t="s">
        <v>46</v>
      </c>
      <c r="H68" s="4" t="s">
        <v>46</v>
      </c>
      <c r="I68" s="4" t="s">
        <v>46</v>
      </c>
      <c r="J68" s="4" t="s">
        <v>258</v>
      </c>
      <c r="K68" s="4" t="s">
        <v>259</v>
      </c>
      <c r="L68" s="3">
        <v>45839</v>
      </c>
      <c r="M68" s="4" t="s">
        <v>84</v>
      </c>
      <c r="N68" s="4" t="s">
        <v>46</v>
      </c>
      <c r="O68" s="4" t="s">
        <v>50</v>
      </c>
      <c r="P68" s="4" t="s">
        <v>118</v>
      </c>
      <c r="Q68" s="2">
        <v>1</v>
      </c>
      <c r="R68" s="2">
        <v>60</v>
      </c>
      <c r="S68" s="4" t="s">
        <v>260</v>
      </c>
      <c r="T68" s="4" t="s">
        <v>46</v>
      </c>
      <c r="U68" s="4" t="s">
        <v>46</v>
      </c>
      <c r="V68" s="5">
        <v>10</v>
      </c>
      <c r="W68" s="5">
        <v>13.93</v>
      </c>
      <c r="X68" s="5">
        <v>100</v>
      </c>
      <c r="Y68" s="5">
        <v>1.39</v>
      </c>
      <c r="Z68" s="4" t="s">
        <v>46</v>
      </c>
      <c r="AA68" s="5" t="s">
        <v>46</v>
      </c>
      <c r="AB68" s="4" t="s">
        <v>272</v>
      </c>
      <c r="AC68" s="4" t="s">
        <v>46</v>
      </c>
      <c r="AD68" s="5">
        <v>0</v>
      </c>
      <c r="AE68" s="4" t="s">
        <v>273</v>
      </c>
      <c r="AF68" s="3">
        <v>45614</v>
      </c>
      <c r="AG68" s="4" t="s">
        <v>46</v>
      </c>
      <c r="AH68" s="4" t="s">
        <v>46</v>
      </c>
      <c r="AI68" s="4" t="s">
        <v>46</v>
      </c>
      <c r="AJ68" s="4" t="s">
        <v>46</v>
      </c>
      <c r="AK68" s="4" t="s">
        <v>46</v>
      </c>
      <c r="AL68" s="4" t="s">
        <v>46</v>
      </c>
      <c r="AM68" s="4" t="s">
        <v>46</v>
      </c>
      <c r="AN68" s="4" t="s">
        <v>46</v>
      </c>
      <c r="AO68" s="4" t="s">
        <v>46</v>
      </c>
      <c r="AP68" s="4" t="s">
        <v>46</v>
      </c>
    </row>
    <row r="69" spans="1:42">
      <c r="A69" s="2">
        <v>1891456</v>
      </c>
      <c r="B69" s="3">
        <v>45812</v>
      </c>
      <c r="C69" s="4" t="s">
        <v>248</v>
      </c>
      <c r="D69" s="2">
        <v>1509744</v>
      </c>
      <c r="E69" s="4" t="s">
        <v>274</v>
      </c>
      <c r="F69" s="4" t="s">
        <v>275</v>
      </c>
      <c r="G69" s="4" t="s">
        <v>46</v>
      </c>
      <c r="H69" s="4" t="s">
        <v>46</v>
      </c>
      <c r="I69" s="4" t="s">
        <v>46</v>
      </c>
      <c r="J69" s="4" t="s">
        <v>258</v>
      </c>
      <c r="K69" s="4" t="s">
        <v>259</v>
      </c>
      <c r="L69" s="3">
        <v>45839</v>
      </c>
      <c r="M69" s="4" t="s">
        <v>84</v>
      </c>
      <c r="N69" s="4" t="s">
        <v>46</v>
      </c>
      <c r="O69" s="4" t="s">
        <v>50</v>
      </c>
      <c r="P69" s="4" t="s">
        <v>118</v>
      </c>
      <c r="Q69" s="2">
        <v>1</v>
      </c>
      <c r="R69" s="2">
        <v>3</v>
      </c>
      <c r="S69" s="4" t="s">
        <v>265</v>
      </c>
      <c r="T69" s="4" t="s">
        <v>46</v>
      </c>
      <c r="U69" s="4" t="s">
        <v>46</v>
      </c>
      <c r="V69" s="5">
        <v>10</v>
      </c>
      <c r="W69" s="5">
        <v>24.54</v>
      </c>
      <c r="X69" s="5">
        <v>100</v>
      </c>
      <c r="Y69" s="5">
        <v>2.4500000000000002</v>
      </c>
      <c r="Z69" s="4" t="s">
        <v>46</v>
      </c>
      <c r="AA69" s="5" t="s">
        <v>46</v>
      </c>
      <c r="AB69" s="4" t="s">
        <v>272</v>
      </c>
      <c r="AC69" s="4" t="s">
        <v>46</v>
      </c>
      <c r="AD69" s="5">
        <v>0</v>
      </c>
      <c r="AE69" s="4" t="s">
        <v>273</v>
      </c>
      <c r="AF69" s="3">
        <v>45658</v>
      </c>
      <c r="AG69" s="4" t="s">
        <v>46</v>
      </c>
      <c r="AH69" s="4" t="s">
        <v>46</v>
      </c>
      <c r="AI69" s="4" t="s">
        <v>46</v>
      </c>
      <c r="AJ69" s="4" t="s">
        <v>46</v>
      </c>
      <c r="AK69" s="4" t="s">
        <v>46</v>
      </c>
      <c r="AL69" s="4" t="s">
        <v>46</v>
      </c>
      <c r="AM69" s="4" t="s">
        <v>46</v>
      </c>
      <c r="AN69" s="4" t="s">
        <v>46</v>
      </c>
      <c r="AO69" s="4" t="s">
        <v>46</v>
      </c>
      <c r="AP69" s="4" t="s">
        <v>46</v>
      </c>
    </row>
    <row r="70" spans="1:42">
      <c r="A70" s="2">
        <v>1891456</v>
      </c>
      <c r="B70" s="3">
        <v>45812</v>
      </c>
      <c r="C70" s="4" t="s">
        <v>248</v>
      </c>
      <c r="D70" s="2">
        <v>1509744</v>
      </c>
      <c r="E70" s="4" t="s">
        <v>276</v>
      </c>
      <c r="F70" s="4" t="s">
        <v>277</v>
      </c>
      <c r="G70" s="4" t="s">
        <v>46</v>
      </c>
      <c r="H70" s="4" t="s">
        <v>46</v>
      </c>
      <c r="I70" s="4" t="s">
        <v>46</v>
      </c>
      <c r="J70" s="4" t="s">
        <v>258</v>
      </c>
      <c r="K70" s="4" t="s">
        <v>259</v>
      </c>
      <c r="L70" s="3">
        <v>45839</v>
      </c>
      <c r="M70" s="4" t="s">
        <v>84</v>
      </c>
      <c r="N70" s="4" t="s">
        <v>46</v>
      </c>
      <c r="O70" s="4" t="s">
        <v>50</v>
      </c>
      <c r="P70" s="4" t="s">
        <v>118</v>
      </c>
      <c r="Q70" s="2">
        <v>2</v>
      </c>
      <c r="R70" s="2">
        <v>3</v>
      </c>
      <c r="S70" s="4" t="s">
        <v>265</v>
      </c>
      <c r="T70" s="4" t="s">
        <v>46</v>
      </c>
      <c r="U70" s="4" t="s">
        <v>46</v>
      </c>
      <c r="V70" s="5">
        <v>10</v>
      </c>
      <c r="W70" s="5">
        <v>97.6</v>
      </c>
      <c r="X70" s="5">
        <v>100</v>
      </c>
      <c r="Y70" s="5">
        <v>9.76</v>
      </c>
      <c r="Z70" s="4" t="s">
        <v>46</v>
      </c>
      <c r="AA70" s="5" t="s">
        <v>46</v>
      </c>
      <c r="AB70" s="4" t="s">
        <v>272</v>
      </c>
      <c r="AC70" s="4" t="s">
        <v>46</v>
      </c>
      <c r="AD70" s="5">
        <v>0</v>
      </c>
      <c r="AE70" s="4" t="s">
        <v>273</v>
      </c>
      <c r="AF70" s="3">
        <v>45658</v>
      </c>
      <c r="AG70" s="4" t="s">
        <v>46</v>
      </c>
      <c r="AH70" s="4" t="s">
        <v>46</v>
      </c>
      <c r="AI70" s="4" t="s">
        <v>46</v>
      </c>
      <c r="AJ70" s="4" t="s">
        <v>46</v>
      </c>
      <c r="AK70" s="4" t="s">
        <v>46</v>
      </c>
      <c r="AL70" s="4" t="s">
        <v>46</v>
      </c>
      <c r="AM70" s="4" t="s">
        <v>46</v>
      </c>
      <c r="AN70" s="4" t="s">
        <v>46</v>
      </c>
      <c r="AO70" s="4" t="s">
        <v>46</v>
      </c>
      <c r="AP70" s="4" t="s">
        <v>46</v>
      </c>
    </row>
    <row r="71" spans="1:42">
      <c r="A71" s="2">
        <v>1891456</v>
      </c>
      <c r="B71" s="3">
        <v>45812</v>
      </c>
      <c r="C71" s="4" t="s">
        <v>248</v>
      </c>
      <c r="D71" s="2">
        <v>1509744</v>
      </c>
      <c r="E71" s="4" t="s">
        <v>276</v>
      </c>
      <c r="F71" s="4" t="s">
        <v>278</v>
      </c>
      <c r="G71" s="4" t="s">
        <v>46</v>
      </c>
      <c r="H71" s="4" t="s">
        <v>46</v>
      </c>
      <c r="I71" s="4" t="s">
        <v>46</v>
      </c>
      <c r="J71" s="4" t="s">
        <v>258</v>
      </c>
      <c r="K71" s="4" t="s">
        <v>259</v>
      </c>
      <c r="L71" s="3">
        <v>45839</v>
      </c>
      <c r="M71" s="4" t="s">
        <v>84</v>
      </c>
      <c r="N71" s="4" t="s">
        <v>46</v>
      </c>
      <c r="O71" s="4" t="s">
        <v>50</v>
      </c>
      <c r="P71" s="4" t="s">
        <v>118</v>
      </c>
      <c r="Q71" s="2">
        <v>2</v>
      </c>
      <c r="R71" s="2">
        <v>60</v>
      </c>
      <c r="S71" s="4" t="s">
        <v>260</v>
      </c>
      <c r="T71" s="4" t="s">
        <v>46</v>
      </c>
      <c r="U71" s="4" t="s">
        <v>46</v>
      </c>
      <c r="V71" s="5">
        <v>10</v>
      </c>
      <c r="W71" s="5">
        <v>26.88</v>
      </c>
      <c r="X71" s="5">
        <v>100</v>
      </c>
      <c r="Y71" s="5">
        <v>2.69</v>
      </c>
      <c r="Z71" s="4" t="s">
        <v>46</v>
      </c>
      <c r="AA71" s="5" t="s">
        <v>46</v>
      </c>
      <c r="AB71" s="4" t="s">
        <v>272</v>
      </c>
      <c r="AC71" s="4" t="s">
        <v>46</v>
      </c>
      <c r="AD71" s="5">
        <v>0</v>
      </c>
      <c r="AE71" s="4" t="s">
        <v>273</v>
      </c>
      <c r="AF71" s="3">
        <v>45658</v>
      </c>
      <c r="AG71" s="4" t="s">
        <v>46</v>
      </c>
      <c r="AH71" s="4" t="s">
        <v>46</v>
      </c>
      <c r="AI71" s="4" t="s">
        <v>46</v>
      </c>
      <c r="AJ71" s="4" t="s">
        <v>46</v>
      </c>
      <c r="AK71" s="4" t="s">
        <v>46</v>
      </c>
      <c r="AL71" s="4" t="s">
        <v>46</v>
      </c>
      <c r="AM71" s="4" t="s">
        <v>46</v>
      </c>
      <c r="AN71" s="4" t="s">
        <v>46</v>
      </c>
      <c r="AO71" s="4" t="s">
        <v>46</v>
      </c>
      <c r="AP71" s="4" t="s">
        <v>46</v>
      </c>
    </row>
    <row r="72" spans="1:42">
      <c r="A72" s="2">
        <v>1891456</v>
      </c>
      <c r="B72" s="3">
        <v>45812</v>
      </c>
      <c r="C72" s="4" t="s">
        <v>248</v>
      </c>
      <c r="D72" s="2">
        <v>1509744</v>
      </c>
      <c r="E72" s="4" t="s">
        <v>279</v>
      </c>
      <c r="F72" s="4" t="s">
        <v>280</v>
      </c>
      <c r="G72" s="4" t="s">
        <v>46</v>
      </c>
      <c r="H72" s="4" t="s">
        <v>46</v>
      </c>
      <c r="I72" s="4" t="s">
        <v>46</v>
      </c>
      <c r="J72" s="4" t="s">
        <v>258</v>
      </c>
      <c r="K72" s="4" t="s">
        <v>259</v>
      </c>
      <c r="L72" s="3">
        <v>45839</v>
      </c>
      <c r="M72" s="4" t="s">
        <v>84</v>
      </c>
      <c r="N72" s="4" t="s">
        <v>46</v>
      </c>
      <c r="O72" s="4" t="s">
        <v>50</v>
      </c>
      <c r="P72" s="4" t="s">
        <v>118</v>
      </c>
      <c r="Q72" s="2">
        <v>1</v>
      </c>
      <c r="R72" s="2">
        <v>3</v>
      </c>
      <c r="S72" s="4" t="s">
        <v>265</v>
      </c>
      <c r="T72" s="4" t="s">
        <v>46</v>
      </c>
      <c r="U72" s="4" t="s">
        <v>46</v>
      </c>
      <c r="V72" s="5">
        <v>10</v>
      </c>
      <c r="W72" s="5">
        <v>52.78</v>
      </c>
      <c r="X72" s="5">
        <v>100</v>
      </c>
      <c r="Y72" s="5">
        <v>5.28</v>
      </c>
      <c r="Z72" s="4" t="s">
        <v>46</v>
      </c>
      <c r="AA72" s="5" t="s">
        <v>46</v>
      </c>
      <c r="AB72" s="4" t="s">
        <v>272</v>
      </c>
      <c r="AC72" s="4" t="s">
        <v>46</v>
      </c>
      <c r="AD72" s="5">
        <v>0</v>
      </c>
      <c r="AE72" s="4" t="s">
        <v>273</v>
      </c>
      <c r="AF72" s="3">
        <v>45658</v>
      </c>
      <c r="AG72" s="4" t="s">
        <v>46</v>
      </c>
      <c r="AH72" s="4" t="s">
        <v>46</v>
      </c>
      <c r="AI72" s="4" t="s">
        <v>46</v>
      </c>
      <c r="AJ72" s="4" t="s">
        <v>46</v>
      </c>
      <c r="AK72" s="4" t="s">
        <v>46</v>
      </c>
      <c r="AL72" s="4" t="s">
        <v>46</v>
      </c>
      <c r="AM72" s="4" t="s">
        <v>46</v>
      </c>
      <c r="AN72" s="4" t="s">
        <v>46</v>
      </c>
      <c r="AO72" s="4" t="s">
        <v>46</v>
      </c>
      <c r="AP72" s="4" t="s">
        <v>46</v>
      </c>
    </row>
    <row r="73" spans="1:42">
      <c r="A73" s="2">
        <v>1891456</v>
      </c>
      <c r="B73" s="3">
        <v>45812</v>
      </c>
      <c r="C73" s="4" t="s">
        <v>248</v>
      </c>
      <c r="D73" s="2">
        <v>1509744</v>
      </c>
      <c r="E73" s="4" t="s">
        <v>279</v>
      </c>
      <c r="F73" s="4" t="s">
        <v>281</v>
      </c>
      <c r="G73" s="4" t="s">
        <v>46</v>
      </c>
      <c r="H73" s="4" t="s">
        <v>46</v>
      </c>
      <c r="I73" s="4" t="s">
        <v>46</v>
      </c>
      <c r="J73" s="4" t="s">
        <v>258</v>
      </c>
      <c r="K73" s="4" t="s">
        <v>259</v>
      </c>
      <c r="L73" s="3">
        <v>45839</v>
      </c>
      <c r="M73" s="4" t="s">
        <v>84</v>
      </c>
      <c r="N73" s="4" t="s">
        <v>46</v>
      </c>
      <c r="O73" s="4" t="s">
        <v>50</v>
      </c>
      <c r="P73" s="4" t="s">
        <v>118</v>
      </c>
      <c r="Q73" s="2">
        <v>1</v>
      </c>
      <c r="R73" s="2">
        <v>60</v>
      </c>
      <c r="S73" s="4" t="s">
        <v>260</v>
      </c>
      <c r="T73" s="4" t="s">
        <v>46</v>
      </c>
      <c r="U73" s="4" t="s">
        <v>46</v>
      </c>
      <c r="V73" s="5">
        <v>10</v>
      </c>
      <c r="W73" s="5">
        <v>13.93</v>
      </c>
      <c r="X73" s="5">
        <v>100</v>
      </c>
      <c r="Y73" s="5">
        <v>1.39</v>
      </c>
      <c r="Z73" s="4" t="s">
        <v>46</v>
      </c>
      <c r="AA73" s="5" t="s">
        <v>46</v>
      </c>
      <c r="AB73" s="4" t="s">
        <v>272</v>
      </c>
      <c r="AC73" s="4" t="s">
        <v>46</v>
      </c>
      <c r="AD73" s="5">
        <v>0</v>
      </c>
      <c r="AE73" s="4" t="s">
        <v>273</v>
      </c>
      <c r="AF73" s="3">
        <v>45658</v>
      </c>
      <c r="AG73" s="4" t="s">
        <v>46</v>
      </c>
      <c r="AH73" s="4" t="s">
        <v>46</v>
      </c>
      <c r="AI73" s="4" t="s">
        <v>46</v>
      </c>
      <c r="AJ73" s="4" t="s">
        <v>46</v>
      </c>
      <c r="AK73" s="4" t="s">
        <v>46</v>
      </c>
      <c r="AL73" s="4" t="s">
        <v>46</v>
      </c>
      <c r="AM73" s="4" t="s">
        <v>46</v>
      </c>
      <c r="AN73" s="4" t="s">
        <v>46</v>
      </c>
      <c r="AO73" s="4" t="s">
        <v>46</v>
      </c>
      <c r="AP73" s="4" t="s">
        <v>46</v>
      </c>
    </row>
    <row r="74" spans="1:42">
      <c r="A74" s="2">
        <v>1891456</v>
      </c>
      <c r="B74" s="3">
        <v>45812</v>
      </c>
      <c r="C74" s="4" t="s">
        <v>248</v>
      </c>
      <c r="D74" s="2">
        <v>1509744</v>
      </c>
      <c r="E74" s="4" t="s">
        <v>282</v>
      </c>
      <c r="F74" s="4" t="s">
        <v>283</v>
      </c>
      <c r="G74" s="4" t="s">
        <v>46</v>
      </c>
      <c r="H74" s="4" t="s">
        <v>46</v>
      </c>
      <c r="I74" s="4" t="s">
        <v>46</v>
      </c>
      <c r="J74" s="4" t="s">
        <v>258</v>
      </c>
      <c r="K74" s="4" t="s">
        <v>259</v>
      </c>
      <c r="L74" s="3">
        <v>45839</v>
      </c>
      <c r="M74" s="4" t="s">
        <v>84</v>
      </c>
      <c r="N74" s="4" t="s">
        <v>46</v>
      </c>
      <c r="O74" s="4" t="s">
        <v>50</v>
      </c>
      <c r="P74" s="4" t="s">
        <v>118</v>
      </c>
      <c r="Q74" s="2">
        <v>1</v>
      </c>
      <c r="R74" s="2">
        <v>3</v>
      </c>
      <c r="S74" s="4" t="s">
        <v>265</v>
      </c>
      <c r="T74" s="4" t="s">
        <v>46</v>
      </c>
      <c r="U74" s="4" t="s">
        <v>46</v>
      </c>
      <c r="V74" s="5">
        <v>10</v>
      </c>
      <c r="W74" s="5">
        <v>24.54</v>
      </c>
      <c r="X74" s="5">
        <v>100</v>
      </c>
      <c r="Y74" s="5">
        <v>2.4500000000000002</v>
      </c>
      <c r="Z74" s="4" t="s">
        <v>46</v>
      </c>
      <c r="AA74" s="5" t="s">
        <v>46</v>
      </c>
      <c r="AB74" s="4" t="s">
        <v>272</v>
      </c>
      <c r="AC74" s="4" t="s">
        <v>46</v>
      </c>
      <c r="AD74" s="5">
        <v>0</v>
      </c>
      <c r="AE74" s="4" t="s">
        <v>273</v>
      </c>
      <c r="AF74" s="3">
        <v>45646</v>
      </c>
      <c r="AG74" s="4" t="s">
        <v>46</v>
      </c>
      <c r="AH74" s="4" t="s">
        <v>46</v>
      </c>
      <c r="AI74" s="4" t="s">
        <v>46</v>
      </c>
      <c r="AJ74" s="4" t="s">
        <v>46</v>
      </c>
      <c r="AK74" s="4" t="s">
        <v>46</v>
      </c>
      <c r="AL74" s="4" t="s">
        <v>46</v>
      </c>
      <c r="AM74" s="4" t="s">
        <v>46</v>
      </c>
      <c r="AN74" s="4" t="s">
        <v>46</v>
      </c>
      <c r="AO74" s="4" t="s">
        <v>46</v>
      </c>
      <c r="AP74" s="4" t="s">
        <v>46</v>
      </c>
    </row>
    <row r="75" spans="1:42">
      <c r="A75" s="2">
        <v>1891456</v>
      </c>
      <c r="B75" s="3">
        <v>45812</v>
      </c>
      <c r="C75" s="4" t="s">
        <v>248</v>
      </c>
      <c r="D75" s="2">
        <v>1509744</v>
      </c>
      <c r="E75" s="4" t="s">
        <v>284</v>
      </c>
      <c r="F75" s="4" t="s">
        <v>285</v>
      </c>
      <c r="G75" s="4" t="s">
        <v>46</v>
      </c>
      <c r="H75" s="4" t="s">
        <v>46</v>
      </c>
      <c r="I75" s="4" t="s">
        <v>46</v>
      </c>
      <c r="J75" s="4" t="s">
        <v>258</v>
      </c>
      <c r="K75" s="4" t="s">
        <v>259</v>
      </c>
      <c r="L75" s="3">
        <v>45839</v>
      </c>
      <c r="M75" s="4" t="s">
        <v>84</v>
      </c>
      <c r="N75" s="4" t="s">
        <v>46</v>
      </c>
      <c r="O75" s="4" t="s">
        <v>50</v>
      </c>
      <c r="P75" s="4" t="s">
        <v>118</v>
      </c>
      <c r="Q75" s="2">
        <v>1</v>
      </c>
      <c r="R75" s="2">
        <v>60</v>
      </c>
      <c r="S75" s="4" t="s">
        <v>260</v>
      </c>
      <c r="T75" s="4" t="s">
        <v>46</v>
      </c>
      <c r="U75" s="4" t="s">
        <v>46</v>
      </c>
      <c r="V75" s="5">
        <v>10</v>
      </c>
      <c r="W75" s="5">
        <v>13.93</v>
      </c>
      <c r="X75" s="5">
        <v>100</v>
      </c>
      <c r="Y75" s="5">
        <v>1.39</v>
      </c>
      <c r="Z75" s="4" t="s">
        <v>46</v>
      </c>
      <c r="AA75" s="5" t="s">
        <v>46</v>
      </c>
      <c r="AB75" s="4" t="s">
        <v>272</v>
      </c>
      <c r="AC75" s="4" t="s">
        <v>46</v>
      </c>
      <c r="AD75" s="5">
        <v>0</v>
      </c>
      <c r="AE75" s="4" t="s">
        <v>273</v>
      </c>
      <c r="AF75" s="3">
        <v>45658</v>
      </c>
      <c r="AG75" s="4" t="s">
        <v>46</v>
      </c>
      <c r="AH75" s="4" t="s">
        <v>46</v>
      </c>
      <c r="AI75" s="4" t="s">
        <v>46</v>
      </c>
      <c r="AJ75" s="4" t="s">
        <v>46</v>
      </c>
      <c r="AK75" s="4" t="s">
        <v>46</v>
      </c>
      <c r="AL75" s="4" t="s">
        <v>46</v>
      </c>
      <c r="AM75" s="4" t="s">
        <v>46</v>
      </c>
      <c r="AN75" s="4" t="s">
        <v>46</v>
      </c>
      <c r="AO75" s="4" t="s">
        <v>46</v>
      </c>
      <c r="AP75" s="4" t="s">
        <v>46</v>
      </c>
    </row>
    <row r="76" spans="1:42">
      <c r="A76" s="2">
        <v>1891456</v>
      </c>
      <c r="B76" s="3">
        <v>45812</v>
      </c>
      <c r="C76" s="4" t="s">
        <v>248</v>
      </c>
      <c r="D76" s="2">
        <v>1509744</v>
      </c>
      <c r="E76" s="4" t="s">
        <v>286</v>
      </c>
      <c r="F76" s="4" t="s">
        <v>287</v>
      </c>
      <c r="G76" s="4" t="s">
        <v>46</v>
      </c>
      <c r="H76" s="4" t="s">
        <v>46</v>
      </c>
      <c r="I76" s="4" t="s">
        <v>46</v>
      </c>
      <c r="J76" s="4" t="s">
        <v>258</v>
      </c>
      <c r="K76" s="4" t="s">
        <v>259</v>
      </c>
      <c r="L76" s="3">
        <v>45839</v>
      </c>
      <c r="M76" s="4" t="s">
        <v>84</v>
      </c>
      <c r="N76" s="4" t="s">
        <v>46</v>
      </c>
      <c r="O76" s="4" t="s">
        <v>50</v>
      </c>
      <c r="P76" s="4" t="s">
        <v>118</v>
      </c>
      <c r="Q76" s="2">
        <v>1</v>
      </c>
      <c r="R76" s="2">
        <v>60</v>
      </c>
      <c r="S76" s="4" t="s">
        <v>260</v>
      </c>
      <c r="T76" s="4" t="s">
        <v>46</v>
      </c>
      <c r="U76" s="4" t="s">
        <v>46</v>
      </c>
      <c r="V76" s="5">
        <v>10</v>
      </c>
      <c r="W76" s="5">
        <v>13.93</v>
      </c>
      <c r="X76" s="5">
        <v>100</v>
      </c>
      <c r="Y76" s="5">
        <v>1.39</v>
      </c>
      <c r="Z76" s="4" t="s">
        <v>46</v>
      </c>
      <c r="AA76" s="5" t="s">
        <v>46</v>
      </c>
      <c r="AB76" s="4" t="s">
        <v>272</v>
      </c>
      <c r="AC76" s="4" t="s">
        <v>46</v>
      </c>
      <c r="AD76" s="5">
        <v>0</v>
      </c>
      <c r="AE76" s="4" t="s">
        <v>273</v>
      </c>
      <c r="AF76" s="3">
        <v>45778</v>
      </c>
      <c r="AG76" s="4" t="s">
        <v>46</v>
      </c>
      <c r="AH76" s="4" t="s">
        <v>46</v>
      </c>
      <c r="AI76" s="4" t="s">
        <v>46</v>
      </c>
      <c r="AJ76" s="4" t="s">
        <v>46</v>
      </c>
      <c r="AK76" s="4" t="s">
        <v>46</v>
      </c>
      <c r="AL76" s="4" t="s">
        <v>46</v>
      </c>
      <c r="AM76" s="4" t="s">
        <v>46</v>
      </c>
      <c r="AN76" s="4" t="s">
        <v>46</v>
      </c>
      <c r="AO76" s="4" t="s">
        <v>46</v>
      </c>
      <c r="AP76" s="4" t="s">
        <v>46</v>
      </c>
    </row>
    <row r="77" spans="1:42">
      <c r="A77" s="2">
        <v>1891456</v>
      </c>
      <c r="B77" s="3">
        <v>45812</v>
      </c>
      <c r="C77" s="4" t="s">
        <v>288</v>
      </c>
      <c r="D77" s="2">
        <v>1509841</v>
      </c>
      <c r="E77" s="4" t="s">
        <v>289</v>
      </c>
      <c r="F77" s="4" t="s">
        <v>290</v>
      </c>
      <c r="G77" s="4" t="s">
        <v>46</v>
      </c>
      <c r="H77" s="4" t="s">
        <v>46</v>
      </c>
      <c r="I77" s="4" t="s">
        <v>46</v>
      </c>
      <c r="J77" s="4" t="s">
        <v>291</v>
      </c>
      <c r="K77" s="4" t="s">
        <v>292</v>
      </c>
      <c r="L77" s="3">
        <v>45809</v>
      </c>
      <c r="M77" s="4" t="s">
        <v>49</v>
      </c>
      <c r="N77" s="4" t="s">
        <v>46</v>
      </c>
      <c r="O77" s="4" t="s">
        <v>50</v>
      </c>
      <c r="P77" s="4" t="s">
        <v>118</v>
      </c>
      <c r="Q77" s="2">
        <v>3</v>
      </c>
      <c r="R77" s="2">
        <v>3</v>
      </c>
      <c r="S77" s="4" t="s">
        <v>265</v>
      </c>
      <c r="T77" s="4" t="s">
        <v>46</v>
      </c>
      <c r="U77" s="4" t="s">
        <v>46</v>
      </c>
      <c r="V77" s="5">
        <v>10</v>
      </c>
      <c r="W77" s="5">
        <v>191.1</v>
      </c>
      <c r="X77" s="5">
        <v>100</v>
      </c>
      <c r="Y77" s="5">
        <v>19.11</v>
      </c>
      <c r="Z77" s="4" t="s">
        <v>46</v>
      </c>
      <c r="AA77" s="5" t="s">
        <v>46</v>
      </c>
      <c r="AB77" s="4" t="s">
        <v>59</v>
      </c>
      <c r="AC77" s="4" t="s">
        <v>46</v>
      </c>
      <c r="AD77" s="5">
        <v>0</v>
      </c>
      <c r="AE77" s="4" t="s">
        <v>60</v>
      </c>
      <c r="AF77" s="3">
        <v>45658</v>
      </c>
      <c r="AG77" s="4" t="s">
        <v>46</v>
      </c>
      <c r="AH77" s="4" t="s">
        <v>46</v>
      </c>
      <c r="AI77" s="4" t="s">
        <v>46</v>
      </c>
      <c r="AJ77" s="4" t="s">
        <v>46</v>
      </c>
      <c r="AK77" s="4" t="s">
        <v>46</v>
      </c>
      <c r="AL77" s="4" t="s">
        <v>46</v>
      </c>
      <c r="AM77" s="4" t="s">
        <v>46</v>
      </c>
      <c r="AN77" s="4" t="s">
        <v>46</v>
      </c>
      <c r="AO77" s="4" t="s">
        <v>46</v>
      </c>
      <c r="AP77" s="4" t="s">
        <v>46</v>
      </c>
    </row>
    <row r="78" spans="1:42">
      <c r="A78" s="2">
        <v>1891456</v>
      </c>
      <c r="B78" s="3">
        <v>45812</v>
      </c>
      <c r="C78" s="4" t="s">
        <v>288</v>
      </c>
      <c r="D78" s="2">
        <v>1509841</v>
      </c>
      <c r="E78" s="4" t="s">
        <v>289</v>
      </c>
      <c r="F78" s="4" t="s">
        <v>290</v>
      </c>
      <c r="G78" s="4" t="s">
        <v>46</v>
      </c>
      <c r="H78" s="4" t="s">
        <v>46</v>
      </c>
      <c r="I78" s="4" t="s">
        <v>46</v>
      </c>
      <c r="J78" s="4" t="s">
        <v>291</v>
      </c>
      <c r="K78" s="4" t="s">
        <v>292</v>
      </c>
      <c r="L78" s="3">
        <v>45809</v>
      </c>
      <c r="M78" s="4" t="s">
        <v>49</v>
      </c>
      <c r="N78" s="4" t="s">
        <v>46</v>
      </c>
      <c r="O78" s="4" t="s">
        <v>50</v>
      </c>
      <c r="P78" s="4" t="s">
        <v>118</v>
      </c>
      <c r="Q78" s="2">
        <v>2</v>
      </c>
      <c r="R78" s="2">
        <v>60</v>
      </c>
      <c r="S78" s="4" t="s">
        <v>260</v>
      </c>
      <c r="T78" s="4" t="s">
        <v>46</v>
      </c>
      <c r="U78" s="4" t="s">
        <v>46</v>
      </c>
      <c r="V78" s="5">
        <v>10</v>
      </c>
      <c r="W78" s="5">
        <v>28.17</v>
      </c>
      <c r="X78" s="5">
        <v>100</v>
      </c>
      <c r="Y78" s="5">
        <v>2.82</v>
      </c>
      <c r="Z78" s="4" t="s">
        <v>46</v>
      </c>
      <c r="AA78" s="5" t="s">
        <v>46</v>
      </c>
      <c r="AB78" s="4" t="s">
        <v>59</v>
      </c>
      <c r="AC78" s="4" t="s">
        <v>46</v>
      </c>
      <c r="AD78" s="5">
        <v>0</v>
      </c>
      <c r="AE78" s="4" t="s">
        <v>60</v>
      </c>
      <c r="AF78" s="3">
        <v>45658</v>
      </c>
      <c r="AG78" s="4" t="s">
        <v>46</v>
      </c>
      <c r="AH78" s="4" t="s">
        <v>46</v>
      </c>
      <c r="AI78" s="4" t="s">
        <v>46</v>
      </c>
      <c r="AJ78" s="4" t="s">
        <v>46</v>
      </c>
      <c r="AK78" s="4" t="s">
        <v>46</v>
      </c>
      <c r="AL78" s="4" t="s">
        <v>46</v>
      </c>
      <c r="AM78" s="4" t="s">
        <v>46</v>
      </c>
      <c r="AN78" s="4" t="s">
        <v>46</v>
      </c>
      <c r="AO78" s="4" t="s">
        <v>46</v>
      </c>
      <c r="AP78" s="4" t="s">
        <v>46</v>
      </c>
    </row>
    <row r="79" spans="1:42">
      <c r="A79" s="2">
        <v>1891456</v>
      </c>
      <c r="B79" s="3">
        <v>45812</v>
      </c>
      <c r="C79" s="4" t="s">
        <v>288</v>
      </c>
      <c r="D79" s="2">
        <v>1509841</v>
      </c>
      <c r="E79" s="4" t="s">
        <v>293</v>
      </c>
      <c r="F79" s="4" t="s">
        <v>294</v>
      </c>
      <c r="G79" s="4" t="s">
        <v>46</v>
      </c>
      <c r="H79" s="4" t="s">
        <v>46</v>
      </c>
      <c r="I79" s="4" t="s">
        <v>46</v>
      </c>
      <c r="J79" s="4" t="s">
        <v>291</v>
      </c>
      <c r="K79" s="4" t="s">
        <v>292</v>
      </c>
      <c r="L79" s="3">
        <v>45809</v>
      </c>
      <c r="M79" s="4" t="s">
        <v>49</v>
      </c>
      <c r="N79" s="4" t="s">
        <v>46</v>
      </c>
      <c r="O79" s="4" t="s">
        <v>50</v>
      </c>
      <c r="P79" s="4" t="s">
        <v>118</v>
      </c>
      <c r="Q79" s="2">
        <v>9</v>
      </c>
      <c r="R79" s="2">
        <v>3</v>
      </c>
      <c r="S79" s="4" t="s">
        <v>265</v>
      </c>
      <c r="T79" s="4" t="s">
        <v>46</v>
      </c>
      <c r="U79" s="4" t="s">
        <v>46</v>
      </c>
      <c r="V79" s="5">
        <v>10</v>
      </c>
      <c r="W79" s="5">
        <v>378.75</v>
      </c>
      <c r="X79" s="5">
        <v>100</v>
      </c>
      <c r="Y79" s="5">
        <v>37.880000000000003</v>
      </c>
      <c r="Z79" s="4" t="s">
        <v>46</v>
      </c>
      <c r="AA79" s="5" t="s">
        <v>46</v>
      </c>
      <c r="AB79" s="4" t="s">
        <v>59</v>
      </c>
      <c r="AC79" s="4" t="s">
        <v>46</v>
      </c>
      <c r="AD79" s="5">
        <v>0</v>
      </c>
      <c r="AE79" s="4" t="s">
        <v>60</v>
      </c>
      <c r="AF79" s="3">
        <v>45658</v>
      </c>
      <c r="AG79" s="4" t="s">
        <v>46</v>
      </c>
      <c r="AH79" s="4" t="s">
        <v>46</v>
      </c>
      <c r="AI79" s="4" t="s">
        <v>46</v>
      </c>
      <c r="AJ79" s="4" t="s">
        <v>46</v>
      </c>
      <c r="AK79" s="4" t="s">
        <v>46</v>
      </c>
      <c r="AL79" s="4" t="s">
        <v>46</v>
      </c>
      <c r="AM79" s="4" t="s">
        <v>46</v>
      </c>
      <c r="AN79" s="4" t="s">
        <v>46</v>
      </c>
      <c r="AO79" s="4" t="s">
        <v>46</v>
      </c>
      <c r="AP79" s="4" t="s">
        <v>46</v>
      </c>
    </row>
    <row r="80" spans="1:42">
      <c r="A80" s="2">
        <v>1891456</v>
      </c>
      <c r="B80" s="3">
        <v>45812</v>
      </c>
      <c r="C80" s="4" t="s">
        <v>288</v>
      </c>
      <c r="D80" s="2">
        <v>1509841</v>
      </c>
      <c r="E80" s="4" t="s">
        <v>293</v>
      </c>
      <c r="F80" s="4" t="s">
        <v>294</v>
      </c>
      <c r="G80" s="4" t="s">
        <v>46</v>
      </c>
      <c r="H80" s="4" t="s">
        <v>46</v>
      </c>
      <c r="I80" s="4" t="s">
        <v>46</v>
      </c>
      <c r="J80" s="4" t="s">
        <v>291</v>
      </c>
      <c r="K80" s="4" t="s">
        <v>292</v>
      </c>
      <c r="L80" s="3">
        <v>45809</v>
      </c>
      <c r="M80" s="4" t="s">
        <v>49</v>
      </c>
      <c r="N80" s="4" t="s">
        <v>46</v>
      </c>
      <c r="O80" s="4" t="s">
        <v>50</v>
      </c>
      <c r="P80" s="4" t="s">
        <v>118</v>
      </c>
      <c r="Q80" s="2">
        <v>9</v>
      </c>
      <c r="R80" s="2">
        <v>60</v>
      </c>
      <c r="S80" s="4" t="s">
        <v>260</v>
      </c>
      <c r="T80" s="4" t="s">
        <v>46</v>
      </c>
      <c r="U80" s="4" t="s">
        <v>46</v>
      </c>
      <c r="V80" s="5">
        <v>10</v>
      </c>
      <c r="W80" s="5">
        <v>77.77</v>
      </c>
      <c r="X80" s="5">
        <v>100</v>
      </c>
      <c r="Y80" s="5">
        <v>7.78</v>
      </c>
      <c r="Z80" s="4" t="s">
        <v>46</v>
      </c>
      <c r="AA80" s="5" t="s">
        <v>46</v>
      </c>
      <c r="AB80" s="4" t="s">
        <v>59</v>
      </c>
      <c r="AC80" s="4" t="s">
        <v>46</v>
      </c>
      <c r="AD80" s="5">
        <v>0</v>
      </c>
      <c r="AE80" s="4" t="s">
        <v>60</v>
      </c>
      <c r="AF80" s="3">
        <v>45658</v>
      </c>
      <c r="AG80" s="4" t="s">
        <v>46</v>
      </c>
      <c r="AH80" s="4" t="s">
        <v>46</v>
      </c>
      <c r="AI80" s="4" t="s">
        <v>46</v>
      </c>
      <c r="AJ80" s="4" t="s">
        <v>46</v>
      </c>
      <c r="AK80" s="4" t="s">
        <v>46</v>
      </c>
      <c r="AL80" s="4" t="s">
        <v>46</v>
      </c>
      <c r="AM80" s="4" t="s">
        <v>46</v>
      </c>
      <c r="AN80" s="4" t="s">
        <v>46</v>
      </c>
      <c r="AO80" s="4" t="s">
        <v>46</v>
      </c>
      <c r="AP80" s="4" t="s">
        <v>46</v>
      </c>
    </row>
    <row r="81" spans="1:42">
      <c r="A81" s="2">
        <v>1891456</v>
      </c>
      <c r="B81" s="3">
        <v>45812</v>
      </c>
      <c r="C81" s="4" t="s">
        <v>288</v>
      </c>
      <c r="D81" s="2">
        <v>1509841</v>
      </c>
      <c r="E81" s="4" t="s">
        <v>295</v>
      </c>
      <c r="F81" s="4" t="s">
        <v>296</v>
      </c>
      <c r="G81" s="4" t="s">
        <v>46</v>
      </c>
      <c r="H81" s="4" t="s">
        <v>46</v>
      </c>
      <c r="I81" s="4" t="s">
        <v>46</v>
      </c>
      <c r="J81" s="4" t="s">
        <v>291</v>
      </c>
      <c r="K81" s="4" t="s">
        <v>292</v>
      </c>
      <c r="L81" s="3">
        <v>45778</v>
      </c>
      <c r="M81" s="4" t="s">
        <v>98</v>
      </c>
      <c r="N81" s="4" t="s">
        <v>46</v>
      </c>
      <c r="O81" s="4" t="s">
        <v>50</v>
      </c>
      <c r="P81" s="4" t="s">
        <v>118</v>
      </c>
      <c r="Q81" s="2">
        <v>4</v>
      </c>
      <c r="R81" s="2">
        <v>3</v>
      </c>
      <c r="S81" s="4" t="s">
        <v>265</v>
      </c>
      <c r="T81" s="4" t="s">
        <v>46</v>
      </c>
      <c r="U81" s="4" t="s">
        <v>46</v>
      </c>
      <c r="V81" s="5">
        <v>10</v>
      </c>
      <c r="W81" s="5">
        <v>181.63</v>
      </c>
      <c r="X81" s="5">
        <v>100</v>
      </c>
      <c r="Y81" s="5">
        <v>18.16</v>
      </c>
      <c r="Z81" s="4" t="s">
        <v>46</v>
      </c>
      <c r="AA81" s="5" t="s">
        <v>46</v>
      </c>
      <c r="AB81" s="4" t="s">
        <v>59</v>
      </c>
      <c r="AC81" s="4" t="s">
        <v>46</v>
      </c>
      <c r="AD81" s="5">
        <v>0</v>
      </c>
      <c r="AE81" s="4" t="s">
        <v>60</v>
      </c>
      <c r="AF81" s="3">
        <v>45658</v>
      </c>
      <c r="AG81" s="4" t="s">
        <v>46</v>
      </c>
      <c r="AH81" s="4" t="s">
        <v>46</v>
      </c>
      <c r="AI81" s="4" t="s">
        <v>46</v>
      </c>
      <c r="AJ81" s="4" t="s">
        <v>46</v>
      </c>
      <c r="AK81" s="4" t="s">
        <v>46</v>
      </c>
      <c r="AL81" s="4" t="s">
        <v>46</v>
      </c>
      <c r="AM81" s="4" t="s">
        <v>46</v>
      </c>
      <c r="AN81" s="4" t="s">
        <v>46</v>
      </c>
      <c r="AO81" s="4" t="s">
        <v>46</v>
      </c>
      <c r="AP81" s="4" t="s">
        <v>46</v>
      </c>
    </row>
    <row r="82" spans="1:42">
      <c r="A82" s="2">
        <v>1891456</v>
      </c>
      <c r="B82" s="3">
        <v>45812</v>
      </c>
      <c r="C82" s="4" t="s">
        <v>288</v>
      </c>
      <c r="D82" s="2">
        <v>1509841</v>
      </c>
      <c r="E82" s="4" t="s">
        <v>295</v>
      </c>
      <c r="F82" s="4" t="s">
        <v>296</v>
      </c>
      <c r="G82" s="4" t="s">
        <v>46</v>
      </c>
      <c r="H82" s="4" t="s">
        <v>46</v>
      </c>
      <c r="I82" s="4" t="s">
        <v>46</v>
      </c>
      <c r="J82" s="4" t="s">
        <v>291</v>
      </c>
      <c r="K82" s="4" t="s">
        <v>292</v>
      </c>
      <c r="L82" s="3">
        <v>45809</v>
      </c>
      <c r="M82" s="4" t="s">
        <v>49</v>
      </c>
      <c r="N82" s="4" t="s">
        <v>46</v>
      </c>
      <c r="O82" s="4" t="s">
        <v>50</v>
      </c>
      <c r="P82" s="4" t="s">
        <v>118</v>
      </c>
      <c r="Q82" s="2">
        <v>4</v>
      </c>
      <c r="R82" s="2">
        <v>3</v>
      </c>
      <c r="S82" s="4" t="s">
        <v>265</v>
      </c>
      <c r="T82" s="4" t="s">
        <v>46</v>
      </c>
      <c r="U82" s="4" t="s">
        <v>46</v>
      </c>
      <c r="V82" s="5">
        <v>10</v>
      </c>
      <c r="W82" s="5">
        <v>181.63</v>
      </c>
      <c r="X82" s="5">
        <v>100</v>
      </c>
      <c r="Y82" s="5">
        <v>18.16</v>
      </c>
      <c r="Z82" s="4" t="s">
        <v>46</v>
      </c>
      <c r="AA82" s="5" t="s">
        <v>46</v>
      </c>
      <c r="AB82" s="4" t="s">
        <v>59</v>
      </c>
      <c r="AC82" s="4" t="s">
        <v>46</v>
      </c>
      <c r="AD82" s="5">
        <v>0</v>
      </c>
      <c r="AE82" s="4" t="s">
        <v>60</v>
      </c>
      <c r="AF82" s="3">
        <v>45658</v>
      </c>
      <c r="AG82" s="4" t="s">
        <v>46</v>
      </c>
      <c r="AH82" s="4" t="s">
        <v>46</v>
      </c>
      <c r="AI82" s="4" t="s">
        <v>46</v>
      </c>
      <c r="AJ82" s="4" t="s">
        <v>46</v>
      </c>
      <c r="AK82" s="4" t="s">
        <v>46</v>
      </c>
      <c r="AL82" s="4" t="s">
        <v>46</v>
      </c>
      <c r="AM82" s="4" t="s">
        <v>46</v>
      </c>
      <c r="AN82" s="4" t="s">
        <v>46</v>
      </c>
      <c r="AO82" s="4" t="s">
        <v>46</v>
      </c>
      <c r="AP82" s="4" t="s">
        <v>46</v>
      </c>
    </row>
    <row r="83" spans="1:42">
      <c r="A83" s="2">
        <v>1891456</v>
      </c>
      <c r="B83" s="3">
        <v>45812</v>
      </c>
      <c r="C83" s="4" t="s">
        <v>288</v>
      </c>
      <c r="D83" s="2">
        <v>1509841</v>
      </c>
      <c r="E83" s="4" t="s">
        <v>295</v>
      </c>
      <c r="F83" s="4" t="s">
        <v>296</v>
      </c>
      <c r="G83" s="4" t="s">
        <v>46</v>
      </c>
      <c r="H83" s="4" t="s">
        <v>46</v>
      </c>
      <c r="I83" s="4" t="s">
        <v>46</v>
      </c>
      <c r="J83" s="4" t="s">
        <v>291</v>
      </c>
      <c r="K83" s="4" t="s">
        <v>292</v>
      </c>
      <c r="L83" s="3">
        <v>45778</v>
      </c>
      <c r="M83" s="4" t="s">
        <v>98</v>
      </c>
      <c r="N83" s="4" t="s">
        <v>46</v>
      </c>
      <c r="O83" s="4" t="s">
        <v>50</v>
      </c>
      <c r="P83" s="4" t="s">
        <v>118</v>
      </c>
      <c r="Q83" s="2">
        <v>4</v>
      </c>
      <c r="R83" s="2">
        <v>60</v>
      </c>
      <c r="S83" s="4" t="s">
        <v>260</v>
      </c>
      <c r="T83" s="4" t="s">
        <v>46</v>
      </c>
      <c r="U83" s="4" t="s">
        <v>46</v>
      </c>
      <c r="V83" s="5">
        <v>10</v>
      </c>
      <c r="W83" s="5">
        <v>28.28</v>
      </c>
      <c r="X83" s="5">
        <v>100</v>
      </c>
      <c r="Y83" s="5">
        <v>2.83</v>
      </c>
      <c r="Z83" s="4" t="s">
        <v>46</v>
      </c>
      <c r="AA83" s="5" t="s">
        <v>46</v>
      </c>
      <c r="AB83" s="4" t="s">
        <v>59</v>
      </c>
      <c r="AC83" s="4" t="s">
        <v>46</v>
      </c>
      <c r="AD83" s="5">
        <v>0</v>
      </c>
      <c r="AE83" s="4" t="s">
        <v>60</v>
      </c>
      <c r="AF83" s="3">
        <v>45658</v>
      </c>
      <c r="AG83" s="4" t="s">
        <v>46</v>
      </c>
      <c r="AH83" s="4" t="s">
        <v>46</v>
      </c>
      <c r="AI83" s="4" t="s">
        <v>46</v>
      </c>
      <c r="AJ83" s="4" t="s">
        <v>46</v>
      </c>
      <c r="AK83" s="4" t="s">
        <v>46</v>
      </c>
      <c r="AL83" s="4" t="s">
        <v>46</v>
      </c>
      <c r="AM83" s="4" t="s">
        <v>46</v>
      </c>
      <c r="AN83" s="4" t="s">
        <v>46</v>
      </c>
      <c r="AO83" s="4" t="s">
        <v>46</v>
      </c>
      <c r="AP83" s="4" t="s">
        <v>46</v>
      </c>
    </row>
    <row r="84" spans="1:42">
      <c r="A84" s="2">
        <v>1891456</v>
      </c>
      <c r="B84" s="3">
        <v>45812</v>
      </c>
      <c r="C84" s="4" t="s">
        <v>288</v>
      </c>
      <c r="D84" s="2">
        <v>1509841</v>
      </c>
      <c r="E84" s="4" t="s">
        <v>295</v>
      </c>
      <c r="F84" s="4" t="s">
        <v>296</v>
      </c>
      <c r="G84" s="4" t="s">
        <v>46</v>
      </c>
      <c r="H84" s="4" t="s">
        <v>46</v>
      </c>
      <c r="I84" s="4" t="s">
        <v>46</v>
      </c>
      <c r="J84" s="4" t="s">
        <v>291</v>
      </c>
      <c r="K84" s="4" t="s">
        <v>292</v>
      </c>
      <c r="L84" s="3">
        <v>45809</v>
      </c>
      <c r="M84" s="4" t="s">
        <v>49</v>
      </c>
      <c r="N84" s="4" t="s">
        <v>46</v>
      </c>
      <c r="O84" s="4" t="s">
        <v>50</v>
      </c>
      <c r="P84" s="4" t="s">
        <v>118</v>
      </c>
      <c r="Q84" s="2">
        <v>4</v>
      </c>
      <c r="R84" s="2">
        <v>60</v>
      </c>
      <c r="S84" s="4" t="s">
        <v>260</v>
      </c>
      <c r="T84" s="4" t="s">
        <v>46</v>
      </c>
      <c r="U84" s="4" t="s">
        <v>46</v>
      </c>
      <c r="V84" s="5">
        <v>10</v>
      </c>
      <c r="W84" s="5">
        <v>28.28</v>
      </c>
      <c r="X84" s="5">
        <v>100</v>
      </c>
      <c r="Y84" s="5">
        <v>2.83</v>
      </c>
      <c r="Z84" s="4" t="s">
        <v>46</v>
      </c>
      <c r="AA84" s="5" t="s">
        <v>46</v>
      </c>
      <c r="AB84" s="4" t="s">
        <v>59</v>
      </c>
      <c r="AC84" s="4" t="s">
        <v>46</v>
      </c>
      <c r="AD84" s="5">
        <v>0</v>
      </c>
      <c r="AE84" s="4" t="s">
        <v>60</v>
      </c>
      <c r="AF84" s="3">
        <v>45658</v>
      </c>
      <c r="AG84" s="4" t="s">
        <v>46</v>
      </c>
      <c r="AH84" s="4" t="s">
        <v>46</v>
      </c>
      <c r="AI84" s="4" t="s">
        <v>46</v>
      </c>
      <c r="AJ84" s="4" t="s">
        <v>46</v>
      </c>
      <c r="AK84" s="4" t="s">
        <v>46</v>
      </c>
      <c r="AL84" s="4" t="s">
        <v>46</v>
      </c>
      <c r="AM84" s="4" t="s">
        <v>46</v>
      </c>
      <c r="AN84" s="4" t="s">
        <v>46</v>
      </c>
      <c r="AO84" s="4" t="s">
        <v>46</v>
      </c>
      <c r="AP84" s="4" t="s">
        <v>46</v>
      </c>
    </row>
    <row r="85" spans="1:42">
      <c r="A85" s="2">
        <v>1891456</v>
      </c>
      <c r="B85" s="3">
        <v>45812</v>
      </c>
      <c r="C85" s="4" t="s">
        <v>90</v>
      </c>
      <c r="D85" s="2">
        <v>1510085</v>
      </c>
      <c r="E85" s="4" t="s">
        <v>297</v>
      </c>
      <c r="F85" s="4" t="s">
        <v>298</v>
      </c>
      <c r="G85" s="4" t="s">
        <v>46</v>
      </c>
      <c r="H85" s="4" t="s">
        <v>46</v>
      </c>
      <c r="I85" s="4" t="s">
        <v>46</v>
      </c>
      <c r="J85" s="4" t="s">
        <v>291</v>
      </c>
      <c r="K85" s="4" t="s">
        <v>292</v>
      </c>
      <c r="L85" s="3">
        <v>45809</v>
      </c>
      <c r="M85" s="4" t="s">
        <v>49</v>
      </c>
      <c r="N85" s="4" t="s">
        <v>46</v>
      </c>
      <c r="O85" s="4" t="s">
        <v>118</v>
      </c>
      <c r="P85" s="4" t="s">
        <v>118</v>
      </c>
      <c r="Q85" s="2">
        <v>1</v>
      </c>
      <c r="R85" s="2">
        <v>60</v>
      </c>
      <c r="S85" s="4" t="s">
        <v>260</v>
      </c>
      <c r="T85" s="4" t="s">
        <v>46</v>
      </c>
      <c r="U85" s="4" t="s">
        <v>46</v>
      </c>
      <c r="V85" s="5">
        <v>10</v>
      </c>
      <c r="W85" s="5">
        <v>5.69</v>
      </c>
      <c r="X85" s="5">
        <v>100</v>
      </c>
      <c r="Y85" s="5">
        <v>0.56999999999999995</v>
      </c>
      <c r="Z85" s="4" t="s">
        <v>46</v>
      </c>
      <c r="AA85" s="5" t="s">
        <v>46</v>
      </c>
      <c r="AB85" s="4" t="s">
        <v>119</v>
      </c>
      <c r="AC85" s="4" t="s">
        <v>46</v>
      </c>
      <c r="AD85" s="5">
        <v>0</v>
      </c>
      <c r="AE85" s="4" t="s">
        <v>120</v>
      </c>
      <c r="AF85" s="3">
        <v>44287</v>
      </c>
      <c r="AG85" s="4" t="s">
        <v>46</v>
      </c>
      <c r="AH85" s="4" t="s">
        <v>46</v>
      </c>
      <c r="AI85" s="4" t="s">
        <v>46</v>
      </c>
      <c r="AJ85" s="4" t="s">
        <v>46</v>
      </c>
      <c r="AK85" s="4" t="s">
        <v>46</v>
      </c>
      <c r="AL85" s="4" t="s">
        <v>46</v>
      </c>
      <c r="AM85" s="4" t="s">
        <v>46</v>
      </c>
      <c r="AN85" s="4" t="s">
        <v>46</v>
      </c>
      <c r="AO85" s="4" t="s">
        <v>46</v>
      </c>
      <c r="AP85" s="4" t="s">
        <v>46</v>
      </c>
    </row>
    <row r="86" spans="1:42">
      <c r="A86" s="2">
        <v>1891456</v>
      </c>
      <c r="B86" s="3">
        <v>45812</v>
      </c>
      <c r="C86" s="4" t="s">
        <v>94</v>
      </c>
      <c r="D86" s="2">
        <v>1510420</v>
      </c>
      <c r="E86" s="4" t="s">
        <v>299</v>
      </c>
      <c r="F86" s="4" t="s">
        <v>300</v>
      </c>
      <c r="G86" s="4" t="s">
        <v>46</v>
      </c>
      <c r="H86" s="4" t="s">
        <v>46</v>
      </c>
      <c r="I86" s="4" t="s">
        <v>46</v>
      </c>
      <c r="J86" s="4" t="s">
        <v>251</v>
      </c>
      <c r="K86" s="4" t="s">
        <v>48</v>
      </c>
      <c r="L86" s="3">
        <v>45809</v>
      </c>
      <c r="M86" s="4" t="s">
        <v>49</v>
      </c>
      <c r="N86" s="4" t="s">
        <v>46</v>
      </c>
      <c r="O86" s="4" t="s">
        <v>50</v>
      </c>
      <c r="P86" s="4" t="s">
        <v>118</v>
      </c>
      <c r="Q86" s="2">
        <v>1</v>
      </c>
      <c r="R86" s="2">
        <v>17</v>
      </c>
      <c r="S86" s="4" t="s">
        <v>51</v>
      </c>
      <c r="T86" s="4" t="s">
        <v>46</v>
      </c>
      <c r="U86" s="4" t="s">
        <v>46</v>
      </c>
      <c r="V86" s="5">
        <v>22</v>
      </c>
      <c r="W86" s="5">
        <v>2014.92</v>
      </c>
      <c r="X86" s="5">
        <v>100</v>
      </c>
      <c r="Y86" s="5">
        <v>443.28</v>
      </c>
      <c r="Z86" s="5">
        <v>0</v>
      </c>
      <c r="AA86" s="5">
        <v>0</v>
      </c>
      <c r="AB86" s="4" t="s">
        <v>252</v>
      </c>
      <c r="AC86" s="4" t="s">
        <v>46</v>
      </c>
      <c r="AD86" s="5">
        <v>0</v>
      </c>
      <c r="AE86" s="4" t="s">
        <v>253</v>
      </c>
      <c r="AF86" s="3">
        <v>45809</v>
      </c>
      <c r="AG86" s="4" t="s">
        <v>46</v>
      </c>
      <c r="AH86" s="4" t="s">
        <v>46</v>
      </c>
      <c r="AI86" s="4" t="s">
        <v>46</v>
      </c>
      <c r="AJ86" s="4" t="s">
        <v>46</v>
      </c>
      <c r="AK86" s="4" t="s">
        <v>46</v>
      </c>
      <c r="AL86" s="4" t="s">
        <v>46</v>
      </c>
      <c r="AM86" s="4" t="s">
        <v>46</v>
      </c>
      <c r="AN86" s="4" t="s">
        <v>46</v>
      </c>
      <c r="AO86" s="4" t="s">
        <v>46</v>
      </c>
      <c r="AP86" s="4" t="s">
        <v>46</v>
      </c>
    </row>
    <row r="87" spans="1:42">
      <c r="A87" s="2">
        <v>1891456</v>
      </c>
      <c r="B87" s="3">
        <v>45812</v>
      </c>
      <c r="C87" s="4" t="s">
        <v>94</v>
      </c>
      <c r="D87" s="2">
        <v>1510420</v>
      </c>
      <c r="E87" s="4" t="s">
        <v>301</v>
      </c>
      <c r="F87" s="4" t="s">
        <v>302</v>
      </c>
      <c r="G87" s="4" t="s">
        <v>46</v>
      </c>
      <c r="H87" s="4" t="s">
        <v>46</v>
      </c>
      <c r="I87" s="4" t="s">
        <v>46</v>
      </c>
      <c r="J87" s="4" t="s">
        <v>251</v>
      </c>
      <c r="K87" s="4" t="s">
        <v>48</v>
      </c>
      <c r="L87" s="3">
        <v>45809</v>
      </c>
      <c r="M87" s="4" t="s">
        <v>49</v>
      </c>
      <c r="N87" s="4" t="s">
        <v>46</v>
      </c>
      <c r="O87" s="4" t="s">
        <v>50</v>
      </c>
      <c r="P87" s="4" t="s">
        <v>118</v>
      </c>
      <c r="Q87" s="2">
        <v>1</v>
      </c>
      <c r="R87" s="2">
        <v>17</v>
      </c>
      <c r="S87" s="4" t="s">
        <v>51</v>
      </c>
      <c r="T87" s="4" t="s">
        <v>46</v>
      </c>
      <c r="U87" s="4" t="s">
        <v>46</v>
      </c>
      <c r="V87" s="5">
        <v>22</v>
      </c>
      <c r="W87" s="5">
        <v>1951.92</v>
      </c>
      <c r="X87" s="5">
        <v>100</v>
      </c>
      <c r="Y87" s="5">
        <v>429.48</v>
      </c>
      <c r="Z87" s="5">
        <v>0</v>
      </c>
      <c r="AA87" s="5">
        <v>0</v>
      </c>
      <c r="AB87" s="4" t="s">
        <v>252</v>
      </c>
      <c r="AC87" s="4" t="s">
        <v>46</v>
      </c>
      <c r="AD87" s="5">
        <v>0</v>
      </c>
      <c r="AE87" s="4" t="s">
        <v>253</v>
      </c>
      <c r="AF87" s="3">
        <v>45809</v>
      </c>
      <c r="AG87" s="4" t="s">
        <v>46</v>
      </c>
      <c r="AH87" s="4" t="s">
        <v>46</v>
      </c>
      <c r="AI87" s="4" t="s">
        <v>46</v>
      </c>
      <c r="AJ87" s="4" t="s">
        <v>46</v>
      </c>
      <c r="AK87" s="4" t="s">
        <v>46</v>
      </c>
      <c r="AL87" s="4" t="s">
        <v>46</v>
      </c>
      <c r="AM87" s="4" t="s">
        <v>46</v>
      </c>
      <c r="AN87" s="4" t="s">
        <v>46</v>
      </c>
      <c r="AO87" s="4" t="s">
        <v>46</v>
      </c>
      <c r="AP87" s="4" t="s">
        <v>46</v>
      </c>
    </row>
    <row r="88" spans="1:42">
      <c r="A88" s="2">
        <v>1891456</v>
      </c>
      <c r="B88" s="3">
        <v>45812</v>
      </c>
      <c r="C88" s="4" t="s">
        <v>94</v>
      </c>
      <c r="D88" s="2">
        <v>1510420</v>
      </c>
      <c r="E88" s="4" t="s">
        <v>303</v>
      </c>
      <c r="F88" s="4" t="s">
        <v>304</v>
      </c>
      <c r="G88" s="4" t="s">
        <v>46</v>
      </c>
      <c r="H88" s="4" t="s">
        <v>46</v>
      </c>
      <c r="I88" s="4" t="s">
        <v>46</v>
      </c>
      <c r="J88" s="4" t="s">
        <v>251</v>
      </c>
      <c r="K88" s="4" t="s">
        <v>48</v>
      </c>
      <c r="L88" s="3">
        <v>45809</v>
      </c>
      <c r="M88" s="4" t="s">
        <v>49</v>
      </c>
      <c r="N88" s="4" t="s">
        <v>46</v>
      </c>
      <c r="O88" s="4" t="s">
        <v>50</v>
      </c>
      <c r="P88" s="4" t="s">
        <v>118</v>
      </c>
      <c r="Q88" s="2">
        <v>1</v>
      </c>
      <c r="R88" s="2">
        <v>17</v>
      </c>
      <c r="S88" s="4" t="s">
        <v>51</v>
      </c>
      <c r="T88" s="4" t="s">
        <v>46</v>
      </c>
      <c r="U88" s="4" t="s">
        <v>46</v>
      </c>
      <c r="V88" s="5">
        <v>22</v>
      </c>
      <c r="W88" s="5">
        <v>2133.7199999999998</v>
      </c>
      <c r="X88" s="5">
        <v>100</v>
      </c>
      <c r="Y88" s="5">
        <v>469.44</v>
      </c>
      <c r="Z88" s="5">
        <v>0</v>
      </c>
      <c r="AA88" s="5">
        <v>0</v>
      </c>
      <c r="AB88" s="4" t="s">
        <v>252</v>
      </c>
      <c r="AC88" s="4" t="s">
        <v>46</v>
      </c>
      <c r="AD88" s="5">
        <v>0</v>
      </c>
      <c r="AE88" s="4" t="s">
        <v>253</v>
      </c>
      <c r="AF88" s="3">
        <v>45809</v>
      </c>
      <c r="AG88" s="4" t="s">
        <v>46</v>
      </c>
      <c r="AH88" s="4" t="s">
        <v>46</v>
      </c>
      <c r="AI88" s="4" t="s">
        <v>46</v>
      </c>
      <c r="AJ88" s="4" t="s">
        <v>46</v>
      </c>
      <c r="AK88" s="4" t="s">
        <v>46</v>
      </c>
      <c r="AL88" s="4" t="s">
        <v>46</v>
      </c>
      <c r="AM88" s="4" t="s">
        <v>46</v>
      </c>
      <c r="AN88" s="4" t="s">
        <v>46</v>
      </c>
      <c r="AO88" s="4" t="s">
        <v>46</v>
      </c>
      <c r="AP88" s="4" t="s">
        <v>46</v>
      </c>
    </row>
    <row r="89" spans="1:42">
      <c r="A89" s="2">
        <v>1891456</v>
      </c>
      <c r="B89" s="3">
        <v>45812</v>
      </c>
      <c r="C89" s="4" t="s">
        <v>94</v>
      </c>
      <c r="D89" s="2">
        <v>1510420</v>
      </c>
      <c r="E89" s="4" t="s">
        <v>305</v>
      </c>
      <c r="F89" s="4" t="s">
        <v>306</v>
      </c>
      <c r="G89" s="4" t="s">
        <v>46</v>
      </c>
      <c r="H89" s="4" t="s">
        <v>46</v>
      </c>
      <c r="I89" s="4" t="s">
        <v>46</v>
      </c>
      <c r="J89" s="4" t="s">
        <v>258</v>
      </c>
      <c r="K89" s="4" t="s">
        <v>259</v>
      </c>
      <c r="L89" s="3">
        <v>45809</v>
      </c>
      <c r="M89" s="4" t="s">
        <v>49</v>
      </c>
      <c r="N89" s="4" t="s">
        <v>46</v>
      </c>
      <c r="O89" s="4" t="s">
        <v>118</v>
      </c>
      <c r="P89" s="4" t="s">
        <v>118</v>
      </c>
      <c r="Q89" s="2">
        <v>1</v>
      </c>
      <c r="R89" s="2">
        <v>3</v>
      </c>
      <c r="S89" s="4" t="s">
        <v>265</v>
      </c>
      <c r="T89" s="4" t="s">
        <v>46</v>
      </c>
      <c r="U89" s="4" t="s">
        <v>46</v>
      </c>
      <c r="V89" s="5">
        <v>10</v>
      </c>
      <c r="W89" s="5">
        <v>13.93</v>
      </c>
      <c r="X89" s="5">
        <v>100</v>
      </c>
      <c r="Y89" s="5">
        <v>1.39</v>
      </c>
      <c r="Z89" s="4" t="s">
        <v>46</v>
      </c>
      <c r="AA89" s="5" t="s">
        <v>46</v>
      </c>
      <c r="AB89" s="4" t="s">
        <v>261</v>
      </c>
      <c r="AC89" s="4" t="s">
        <v>46</v>
      </c>
      <c r="AD89" s="5">
        <v>0</v>
      </c>
      <c r="AE89" s="4" t="s">
        <v>262</v>
      </c>
      <c r="AF89" s="3">
        <v>43709</v>
      </c>
      <c r="AG89" s="4" t="s">
        <v>46</v>
      </c>
      <c r="AH89" s="4" t="s">
        <v>46</v>
      </c>
      <c r="AI89" s="4" t="s">
        <v>46</v>
      </c>
      <c r="AJ89" s="4" t="s">
        <v>46</v>
      </c>
      <c r="AK89" s="4" t="s">
        <v>46</v>
      </c>
      <c r="AL89" s="4" t="s">
        <v>46</v>
      </c>
      <c r="AM89" s="4" t="s">
        <v>46</v>
      </c>
      <c r="AN89" s="4" t="s">
        <v>46</v>
      </c>
      <c r="AO89" s="4" t="s">
        <v>46</v>
      </c>
      <c r="AP89" s="4" t="s">
        <v>46</v>
      </c>
    </row>
    <row r="90" spans="1:42">
      <c r="A90" s="2">
        <v>1891456</v>
      </c>
      <c r="B90" s="3">
        <v>45812</v>
      </c>
      <c r="C90" s="4" t="s">
        <v>94</v>
      </c>
      <c r="D90" s="2">
        <v>1510420</v>
      </c>
      <c r="E90" s="4" t="s">
        <v>307</v>
      </c>
      <c r="F90" s="4" t="s">
        <v>308</v>
      </c>
      <c r="G90" s="4" t="s">
        <v>46</v>
      </c>
      <c r="H90" s="4" t="s">
        <v>46</v>
      </c>
      <c r="I90" s="4" t="s">
        <v>46</v>
      </c>
      <c r="J90" s="4" t="s">
        <v>258</v>
      </c>
      <c r="K90" s="4" t="s">
        <v>259</v>
      </c>
      <c r="L90" s="3">
        <v>45809</v>
      </c>
      <c r="M90" s="4" t="s">
        <v>49</v>
      </c>
      <c r="N90" s="4" t="s">
        <v>46</v>
      </c>
      <c r="O90" s="4" t="s">
        <v>118</v>
      </c>
      <c r="P90" s="4" t="s">
        <v>118</v>
      </c>
      <c r="Q90" s="2">
        <v>1</v>
      </c>
      <c r="R90" s="2">
        <v>3</v>
      </c>
      <c r="S90" s="4" t="s">
        <v>265</v>
      </c>
      <c r="T90" s="4" t="s">
        <v>46</v>
      </c>
      <c r="U90" s="4" t="s">
        <v>46</v>
      </c>
      <c r="V90" s="5">
        <v>10</v>
      </c>
      <c r="W90" s="5">
        <v>52.78</v>
      </c>
      <c r="X90" s="5">
        <v>100</v>
      </c>
      <c r="Y90" s="5">
        <v>5.28</v>
      </c>
      <c r="Z90" s="4" t="s">
        <v>46</v>
      </c>
      <c r="AA90" s="5" t="s">
        <v>46</v>
      </c>
      <c r="AB90" s="4" t="s">
        <v>261</v>
      </c>
      <c r="AC90" s="4" t="s">
        <v>46</v>
      </c>
      <c r="AD90" s="5">
        <v>0</v>
      </c>
      <c r="AE90" s="4" t="s">
        <v>262</v>
      </c>
      <c r="AF90" s="3">
        <v>44586</v>
      </c>
      <c r="AG90" s="4" t="s">
        <v>46</v>
      </c>
      <c r="AH90" s="4" t="s">
        <v>46</v>
      </c>
      <c r="AI90" s="4" t="s">
        <v>46</v>
      </c>
      <c r="AJ90" s="4" t="s">
        <v>46</v>
      </c>
      <c r="AK90" s="4" t="s">
        <v>46</v>
      </c>
      <c r="AL90" s="4" t="s">
        <v>46</v>
      </c>
      <c r="AM90" s="4" t="s">
        <v>46</v>
      </c>
      <c r="AN90" s="4" t="s">
        <v>46</v>
      </c>
      <c r="AO90" s="4" t="s">
        <v>46</v>
      </c>
      <c r="AP90" s="4" t="s">
        <v>46</v>
      </c>
    </row>
    <row r="91" spans="1:42">
      <c r="A91" s="2">
        <v>1891456</v>
      </c>
      <c r="B91" s="3">
        <v>45812</v>
      </c>
      <c r="C91" s="4" t="s">
        <v>114</v>
      </c>
      <c r="D91" s="2">
        <v>1524629</v>
      </c>
      <c r="E91" s="4" t="s">
        <v>309</v>
      </c>
      <c r="F91" s="4" t="s">
        <v>310</v>
      </c>
      <c r="G91" s="4" t="s">
        <v>46</v>
      </c>
      <c r="H91" s="4" t="s">
        <v>46</v>
      </c>
      <c r="I91" s="4" t="s">
        <v>46</v>
      </c>
      <c r="J91" s="4" t="s">
        <v>251</v>
      </c>
      <c r="K91" s="4" t="s">
        <v>48</v>
      </c>
      <c r="L91" s="3">
        <v>45809</v>
      </c>
      <c r="M91" s="4" t="s">
        <v>49</v>
      </c>
      <c r="N91" s="4" t="s">
        <v>46</v>
      </c>
      <c r="O91" s="4" t="s">
        <v>118</v>
      </c>
      <c r="P91" s="4" t="s">
        <v>118</v>
      </c>
      <c r="Q91" s="2">
        <v>1</v>
      </c>
      <c r="R91" s="2">
        <v>17</v>
      </c>
      <c r="S91" s="4" t="s">
        <v>51</v>
      </c>
      <c r="T91" s="4" t="s">
        <v>46</v>
      </c>
      <c r="U91" s="4" t="s">
        <v>46</v>
      </c>
      <c r="V91" s="5">
        <v>22</v>
      </c>
      <c r="W91" s="5">
        <v>193.65</v>
      </c>
      <c r="X91" s="5">
        <v>100</v>
      </c>
      <c r="Y91" s="5">
        <v>42.6</v>
      </c>
      <c r="Z91" s="5">
        <v>0</v>
      </c>
      <c r="AA91" s="5">
        <v>0</v>
      </c>
      <c r="AB91" s="4" t="s">
        <v>311</v>
      </c>
      <c r="AC91" s="4" t="s">
        <v>46</v>
      </c>
      <c r="AD91" s="5">
        <v>0</v>
      </c>
      <c r="AE91" s="4" t="s">
        <v>312</v>
      </c>
      <c r="AF91" s="3">
        <v>45292</v>
      </c>
      <c r="AG91" s="4" t="s">
        <v>46</v>
      </c>
      <c r="AH91" s="4" t="s">
        <v>46</v>
      </c>
      <c r="AI91" s="4" t="s">
        <v>46</v>
      </c>
      <c r="AJ91" s="4" t="s">
        <v>46</v>
      </c>
      <c r="AK91" s="4" t="s">
        <v>46</v>
      </c>
      <c r="AL91" s="4" t="s">
        <v>46</v>
      </c>
      <c r="AM91" s="4" t="s">
        <v>46</v>
      </c>
      <c r="AN91" s="4" t="s">
        <v>46</v>
      </c>
      <c r="AO91" s="4" t="s">
        <v>46</v>
      </c>
      <c r="AP91" s="4" t="s">
        <v>46</v>
      </c>
    </row>
    <row r="92" spans="1:42">
      <c r="A92" s="2">
        <v>1891456</v>
      </c>
      <c r="B92" s="3">
        <v>45812</v>
      </c>
      <c r="C92" s="4" t="s">
        <v>114</v>
      </c>
      <c r="D92" s="2">
        <v>1524629</v>
      </c>
      <c r="E92" s="4" t="s">
        <v>313</v>
      </c>
      <c r="F92" s="4" t="s">
        <v>314</v>
      </c>
      <c r="G92" s="4" t="s">
        <v>46</v>
      </c>
      <c r="H92" s="4" t="s">
        <v>46</v>
      </c>
      <c r="I92" s="4" t="s">
        <v>46</v>
      </c>
      <c r="J92" s="4" t="s">
        <v>251</v>
      </c>
      <c r="K92" s="4" t="s">
        <v>48</v>
      </c>
      <c r="L92" s="3">
        <v>45809</v>
      </c>
      <c r="M92" s="4" t="s">
        <v>49</v>
      </c>
      <c r="N92" s="4" t="s">
        <v>46</v>
      </c>
      <c r="O92" s="4" t="s">
        <v>118</v>
      </c>
      <c r="P92" s="4" t="s">
        <v>118</v>
      </c>
      <c r="Q92" s="2">
        <v>1</v>
      </c>
      <c r="R92" s="2">
        <v>17</v>
      </c>
      <c r="S92" s="4" t="s">
        <v>51</v>
      </c>
      <c r="T92" s="4" t="s">
        <v>46</v>
      </c>
      <c r="U92" s="4" t="s">
        <v>46</v>
      </c>
      <c r="V92" s="5">
        <v>26</v>
      </c>
      <c r="W92" s="5">
        <v>164.25</v>
      </c>
      <c r="X92" s="5">
        <v>100</v>
      </c>
      <c r="Y92" s="5">
        <v>42.71</v>
      </c>
      <c r="Z92" s="5">
        <v>0</v>
      </c>
      <c r="AA92" s="5">
        <v>0</v>
      </c>
      <c r="AB92" s="4" t="s">
        <v>311</v>
      </c>
      <c r="AC92" s="4" t="s">
        <v>46</v>
      </c>
      <c r="AD92" s="5">
        <v>0</v>
      </c>
      <c r="AE92" s="4" t="s">
        <v>312</v>
      </c>
      <c r="AF92" s="3">
        <v>45261</v>
      </c>
      <c r="AG92" s="4" t="s">
        <v>46</v>
      </c>
      <c r="AH92" s="4" t="s">
        <v>46</v>
      </c>
      <c r="AI92" s="4" t="s">
        <v>46</v>
      </c>
      <c r="AJ92" s="4" t="s">
        <v>46</v>
      </c>
      <c r="AK92" s="4" t="s">
        <v>46</v>
      </c>
      <c r="AL92" s="4" t="s">
        <v>46</v>
      </c>
      <c r="AM92" s="4" t="s">
        <v>46</v>
      </c>
      <c r="AN92" s="4" t="s">
        <v>46</v>
      </c>
      <c r="AO92" s="4" t="s">
        <v>46</v>
      </c>
      <c r="AP92" s="4" t="s">
        <v>46</v>
      </c>
    </row>
    <row r="93" spans="1:42">
      <c r="A93" s="2">
        <v>1891456</v>
      </c>
      <c r="B93" s="3">
        <v>45812</v>
      </c>
      <c r="C93" s="4" t="s">
        <v>114</v>
      </c>
      <c r="D93" s="2">
        <v>1524629</v>
      </c>
      <c r="E93" s="4" t="s">
        <v>315</v>
      </c>
      <c r="F93" s="4" t="s">
        <v>316</v>
      </c>
      <c r="G93" s="4" t="s">
        <v>46</v>
      </c>
      <c r="H93" s="4" t="s">
        <v>46</v>
      </c>
      <c r="I93" s="4" t="s">
        <v>46</v>
      </c>
      <c r="J93" s="4" t="s">
        <v>251</v>
      </c>
      <c r="K93" s="4" t="s">
        <v>48</v>
      </c>
      <c r="L93" s="3">
        <v>45809</v>
      </c>
      <c r="M93" s="4" t="s">
        <v>49</v>
      </c>
      <c r="N93" s="4" t="s">
        <v>46</v>
      </c>
      <c r="O93" s="4" t="s">
        <v>118</v>
      </c>
      <c r="P93" s="4" t="s">
        <v>118</v>
      </c>
      <c r="Q93" s="2">
        <v>1</v>
      </c>
      <c r="R93" s="2">
        <v>17</v>
      </c>
      <c r="S93" s="4" t="s">
        <v>51</v>
      </c>
      <c r="T93" s="4" t="s">
        <v>46</v>
      </c>
      <c r="U93" s="4" t="s">
        <v>46</v>
      </c>
      <c r="V93" s="5">
        <v>22</v>
      </c>
      <c r="W93" s="5">
        <v>164</v>
      </c>
      <c r="X93" s="5">
        <v>100</v>
      </c>
      <c r="Y93" s="5">
        <v>36.08</v>
      </c>
      <c r="Z93" s="5">
        <v>0</v>
      </c>
      <c r="AA93" s="5">
        <v>0</v>
      </c>
      <c r="AB93" s="4" t="s">
        <v>119</v>
      </c>
      <c r="AC93" s="4" t="s">
        <v>46</v>
      </c>
      <c r="AD93" s="5">
        <v>0</v>
      </c>
      <c r="AE93" s="4" t="s">
        <v>120</v>
      </c>
      <c r="AF93" s="3">
        <v>45292</v>
      </c>
      <c r="AG93" s="4" t="s">
        <v>46</v>
      </c>
      <c r="AH93" s="4" t="s">
        <v>46</v>
      </c>
      <c r="AI93" s="4" t="s">
        <v>46</v>
      </c>
      <c r="AJ93" s="4" t="s">
        <v>46</v>
      </c>
      <c r="AK93" s="4" t="s">
        <v>46</v>
      </c>
      <c r="AL93" s="4" t="s">
        <v>46</v>
      </c>
      <c r="AM93" s="4" t="s">
        <v>46</v>
      </c>
      <c r="AN93" s="4" t="s">
        <v>46</v>
      </c>
      <c r="AO93" s="4" t="s">
        <v>46</v>
      </c>
      <c r="AP93" s="4" t="s">
        <v>46</v>
      </c>
    </row>
    <row r="94" spans="1:42">
      <c r="A94" s="2">
        <v>1891456</v>
      </c>
      <c r="B94" s="3">
        <v>45812</v>
      </c>
      <c r="C94" s="4" t="s">
        <v>114</v>
      </c>
      <c r="D94" s="2">
        <v>1524629</v>
      </c>
      <c r="E94" s="4" t="s">
        <v>317</v>
      </c>
      <c r="F94" s="4" t="s">
        <v>318</v>
      </c>
      <c r="G94" s="4" t="s">
        <v>46</v>
      </c>
      <c r="H94" s="4" t="s">
        <v>46</v>
      </c>
      <c r="I94" s="4" t="s">
        <v>46</v>
      </c>
      <c r="J94" s="4" t="s">
        <v>251</v>
      </c>
      <c r="K94" s="4" t="s">
        <v>48</v>
      </c>
      <c r="L94" s="3">
        <v>45809</v>
      </c>
      <c r="M94" s="4" t="s">
        <v>49</v>
      </c>
      <c r="N94" s="4" t="s">
        <v>46</v>
      </c>
      <c r="O94" s="4" t="s">
        <v>118</v>
      </c>
      <c r="P94" s="4" t="s">
        <v>118</v>
      </c>
      <c r="Q94" s="2">
        <v>1</v>
      </c>
      <c r="R94" s="2">
        <v>17</v>
      </c>
      <c r="S94" s="4" t="s">
        <v>51</v>
      </c>
      <c r="T94" s="4" t="s">
        <v>46</v>
      </c>
      <c r="U94" s="4" t="s">
        <v>46</v>
      </c>
      <c r="V94" s="5">
        <v>26</v>
      </c>
      <c r="W94" s="5">
        <v>84.94</v>
      </c>
      <c r="X94" s="5">
        <v>100</v>
      </c>
      <c r="Y94" s="5">
        <v>22.08</v>
      </c>
      <c r="Z94" s="5">
        <v>0</v>
      </c>
      <c r="AA94" s="5">
        <v>0</v>
      </c>
      <c r="AB94" s="4" t="s">
        <v>311</v>
      </c>
      <c r="AC94" s="4" t="s">
        <v>46</v>
      </c>
      <c r="AD94" s="5">
        <v>0</v>
      </c>
      <c r="AE94" s="4" t="s">
        <v>312</v>
      </c>
      <c r="AF94" s="3">
        <v>45323</v>
      </c>
      <c r="AG94" s="4" t="s">
        <v>46</v>
      </c>
      <c r="AH94" s="4" t="s">
        <v>46</v>
      </c>
      <c r="AI94" s="4" t="s">
        <v>46</v>
      </c>
      <c r="AJ94" s="4" t="s">
        <v>46</v>
      </c>
      <c r="AK94" s="4" t="s">
        <v>46</v>
      </c>
      <c r="AL94" s="4" t="s">
        <v>46</v>
      </c>
      <c r="AM94" s="4" t="s">
        <v>46</v>
      </c>
      <c r="AN94" s="4" t="s">
        <v>46</v>
      </c>
      <c r="AO94" s="4" t="s">
        <v>46</v>
      </c>
      <c r="AP94" s="4" t="s">
        <v>46</v>
      </c>
    </row>
    <row r="95" spans="1:42">
      <c r="A95" s="2">
        <v>1891456</v>
      </c>
      <c r="B95" s="3">
        <v>45812</v>
      </c>
      <c r="C95" s="4" t="s">
        <v>319</v>
      </c>
      <c r="D95" s="2">
        <v>1545980</v>
      </c>
      <c r="E95" s="4" t="s">
        <v>320</v>
      </c>
      <c r="F95" s="4" t="s">
        <v>321</v>
      </c>
      <c r="G95" s="4" t="s">
        <v>46</v>
      </c>
      <c r="H95" s="4" t="s">
        <v>46</v>
      </c>
      <c r="I95" s="4" t="s">
        <v>46</v>
      </c>
      <c r="J95" s="4" t="s">
        <v>251</v>
      </c>
      <c r="K95" s="4" t="s">
        <v>48</v>
      </c>
      <c r="L95" s="3">
        <v>45809</v>
      </c>
      <c r="M95" s="4" t="s">
        <v>49</v>
      </c>
      <c r="N95" s="4" t="s">
        <v>46</v>
      </c>
      <c r="O95" s="4" t="s">
        <v>50</v>
      </c>
      <c r="P95" s="4" t="s">
        <v>118</v>
      </c>
      <c r="Q95" s="2">
        <v>1</v>
      </c>
      <c r="R95" s="2">
        <v>17</v>
      </c>
      <c r="S95" s="4" t="s">
        <v>51</v>
      </c>
      <c r="T95" s="4" t="s">
        <v>46</v>
      </c>
      <c r="U95" s="4" t="s">
        <v>46</v>
      </c>
      <c r="V95" s="5">
        <v>22</v>
      </c>
      <c r="W95" s="5">
        <v>693</v>
      </c>
      <c r="X95" s="5">
        <v>100</v>
      </c>
      <c r="Y95" s="5">
        <v>152.52000000000001</v>
      </c>
      <c r="Z95" s="5">
        <v>0</v>
      </c>
      <c r="AA95" s="5">
        <v>0</v>
      </c>
      <c r="AB95" s="4" t="s">
        <v>252</v>
      </c>
      <c r="AC95" s="4" t="s">
        <v>46</v>
      </c>
      <c r="AD95" s="5">
        <v>0</v>
      </c>
      <c r="AE95" s="4" t="s">
        <v>253</v>
      </c>
      <c r="AF95" s="3">
        <v>45809</v>
      </c>
      <c r="AG95" s="4" t="s">
        <v>46</v>
      </c>
      <c r="AH95" s="4" t="s">
        <v>46</v>
      </c>
      <c r="AI95" s="4" t="s">
        <v>46</v>
      </c>
      <c r="AJ95" s="4" t="s">
        <v>46</v>
      </c>
      <c r="AK95" s="4" t="s">
        <v>46</v>
      </c>
      <c r="AL95" s="4" t="s">
        <v>46</v>
      </c>
      <c r="AM95" s="4" t="s">
        <v>46</v>
      </c>
      <c r="AN95" s="4" t="s">
        <v>46</v>
      </c>
      <c r="AO95" s="4" t="s">
        <v>46</v>
      </c>
      <c r="AP95" s="4" t="s">
        <v>46</v>
      </c>
    </row>
    <row r="96" spans="1:42">
      <c r="A96" s="2">
        <v>1891456</v>
      </c>
      <c r="B96" s="3">
        <v>45812</v>
      </c>
      <c r="C96" s="4" t="s">
        <v>319</v>
      </c>
      <c r="D96" s="2">
        <v>1545980</v>
      </c>
      <c r="E96" s="4" t="s">
        <v>322</v>
      </c>
      <c r="F96" s="4" t="s">
        <v>323</v>
      </c>
      <c r="G96" s="4" t="s">
        <v>46</v>
      </c>
      <c r="H96" s="4" t="s">
        <v>46</v>
      </c>
      <c r="I96" s="4" t="s">
        <v>46</v>
      </c>
      <c r="J96" s="4" t="s">
        <v>251</v>
      </c>
      <c r="K96" s="4" t="s">
        <v>48</v>
      </c>
      <c r="L96" s="3">
        <v>45809</v>
      </c>
      <c r="M96" s="4" t="s">
        <v>49</v>
      </c>
      <c r="N96" s="4" t="s">
        <v>46</v>
      </c>
      <c r="O96" s="4" t="s">
        <v>50</v>
      </c>
      <c r="P96" s="4" t="s">
        <v>118</v>
      </c>
      <c r="Q96" s="2">
        <v>1</v>
      </c>
      <c r="R96" s="2">
        <v>17</v>
      </c>
      <c r="S96" s="4" t="s">
        <v>51</v>
      </c>
      <c r="T96" s="4" t="s">
        <v>46</v>
      </c>
      <c r="U96" s="4" t="s">
        <v>46</v>
      </c>
      <c r="V96" s="5">
        <v>22</v>
      </c>
      <c r="W96" s="5">
        <v>2111.2800000000002</v>
      </c>
      <c r="X96" s="5">
        <v>100</v>
      </c>
      <c r="Y96" s="5">
        <v>464.52</v>
      </c>
      <c r="Z96" s="5">
        <v>0</v>
      </c>
      <c r="AA96" s="5">
        <v>0</v>
      </c>
      <c r="AB96" s="4" t="s">
        <v>252</v>
      </c>
      <c r="AC96" s="4" t="s">
        <v>46</v>
      </c>
      <c r="AD96" s="5">
        <v>0</v>
      </c>
      <c r="AE96" s="4" t="s">
        <v>253</v>
      </c>
      <c r="AF96" s="3">
        <v>45809</v>
      </c>
      <c r="AG96" s="4" t="s">
        <v>46</v>
      </c>
      <c r="AH96" s="4" t="s">
        <v>46</v>
      </c>
      <c r="AI96" s="4" t="s">
        <v>46</v>
      </c>
      <c r="AJ96" s="4" t="s">
        <v>46</v>
      </c>
      <c r="AK96" s="4" t="s">
        <v>46</v>
      </c>
      <c r="AL96" s="4" t="s">
        <v>46</v>
      </c>
      <c r="AM96" s="4" t="s">
        <v>46</v>
      </c>
      <c r="AN96" s="4" t="s">
        <v>46</v>
      </c>
      <c r="AO96" s="4" t="s">
        <v>46</v>
      </c>
      <c r="AP96" s="4" t="s">
        <v>46</v>
      </c>
    </row>
    <row r="97" spans="1:42">
      <c r="A97" s="2">
        <v>1891456</v>
      </c>
      <c r="B97" s="3">
        <v>45812</v>
      </c>
      <c r="C97" s="4" t="s">
        <v>319</v>
      </c>
      <c r="D97" s="2">
        <v>1545980</v>
      </c>
      <c r="E97" s="4" t="s">
        <v>324</v>
      </c>
      <c r="F97" s="4" t="s">
        <v>325</v>
      </c>
      <c r="G97" s="4" t="s">
        <v>46</v>
      </c>
      <c r="H97" s="4" t="s">
        <v>46</v>
      </c>
      <c r="I97" s="4" t="s">
        <v>46</v>
      </c>
      <c r="J97" s="4" t="s">
        <v>251</v>
      </c>
      <c r="K97" s="4" t="s">
        <v>48</v>
      </c>
      <c r="L97" s="3">
        <v>45809</v>
      </c>
      <c r="M97" s="4" t="s">
        <v>49</v>
      </c>
      <c r="N97" s="4" t="s">
        <v>46</v>
      </c>
      <c r="O97" s="4" t="s">
        <v>50</v>
      </c>
      <c r="P97" s="4" t="s">
        <v>118</v>
      </c>
      <c r="Q97" s="2">
        <v>1</v>
      </c>
      <c r="R97" s="2">
        <v>17</v>
      </c>
      <c r="S97" s="4" t="s">
        <v>51</v>
      </c>
      <c r="T97" s="4" t="s">
        <v>46</v>
      </c>
      <c r="U97" s="4" t="s">
        <v>46</v>
      </c>
      <c r="V97" s="5">
        <v>22</v>
      </c>
      <c r="W97" s="5">
        <v>2153.04</v>
      </c>
      <c r="X97" s="5">
        <v>100</v>
      </c>
      <c r="Y97" s="5">
        <v>473.64</v>
      </c>
      <c r="Z97" s="5">
        <v>0</v>
      </c>
      <c r="AA97" s="5">
        <v>0</v>
      </c>
      <c r="AB97" s="4" t="s">
        <v>252</v>
      </c>
      <c r="AC97" s="4" t="s">
        <v>46</v>
      </c>
      <c r="AD97" s="5">
        <v>0</v>
      </c>
      <c r="AE97" s="4" t="s">
        <v>253</v>
      </c>
      <c r="AF97" s="3">
        <v>45809</v>
      </c>
      <c r="AG97" s="4" t="s">
        <v>46</v>
      </c>
      <c r="AH97" s="4" t="s">
        <v>46</v>
      </c>
      <c r="AI97" s="4" t="s">
        <v>46</v>
      </c>
      <c r="AJ97" s="4" t="s">
        <v>46</v>
      </c>
      <c r="AK97" s="4" t="s">
        <v>46</v>
      </c>
      <c r="AL97" s="4" t="s">
        <v>46</v>
      </c>
      <c r="AM97" s="4" t="s">
        <v>46</v>
      </c>
      <c r="AN97" s="4" t="s">
        <v>46</v>
      </c>
      <c r="AO97" s="4" t="s">
        <v>46</v>
      </c>
      <c r="AP97" s="4" t="s">
        <v>46</v>
      </c>
    </row>
    <row r="98" spans="1:42">
      <c r="A98" s="2">
        <v>1891456</v>
      </c>
      <c r="B98" s="3">
        <v>45812</v>
      </c>
      <c r="C98" s="4" t="s">
        <v>319</v>
      </c>
      <c r="D98" s="2">
        <v>1545980</v>
      </c>
      <c r="E98" s="4" t="s">
        <v>326</v>
      </c>
      <c r="F98" s="4" t="s">
        <v>327</v>
      </c>
      <c r="G98" s="4" t="s">
        <v>46</v>
      </c>
      <c r="H98" s="4" t="s">
        <v>46</v>
      </c>
      <c r="I98" s="4" t="s">
        <v>46</v>
      </c>
      <c r="J98" s="4" t="s">
        <v>251</v>
      </c>
      <c r="K98" s="4" t="s">
        <v>48</v>
      </c>
      <c r="L98" s="3">
        <v>45809</v>
      </c>
      <c r="M98" s="4" t="s">
        <v>49</v>
      </c>
      <c r="N98" s="4" t="s">
        <v>46</v>
      </c>
      <c r="O98" s="4" t="s">
        <v>50</v>
      </c>
      <c r="P98" s="4" t="s">
        <v>118</v>
      </c>
      <c r="Q98" s="2">
        <v>1</v>
      </c>
      <c r="R98" s="2">
        <v>17</v>
      </c>
      <c r="S98" s="4" t="s">
        <v>51</v>
      </c>
      <c r="T98" s="4" t="s">
        <v>46</v>
      </c>
      <c r="U98" s="4" t="s">
        <v>46</v>
      </c>
      <c r="V98" s="5">
        <v>22</v>
      </c>
      <c r="W98" s="5">
        <v>1622.64</v>
      </c>
      <c r="X98" s="5">
        <v>100</v>
      </c>
      <c r="Y98" s="5">
        <v>357</v>
      </c>
      <c r="Z98" s="5">
        <v>0</v>
      </c>
      <c r="AA98" s="5">
        <v>0</v>
      </c>
      <c r="AB98" s="4" t="s">
        <v>252</v>
      </c>
      <c r="AC98" s="4" t="s">
        <v>46</v>
      </c>
      <c r="AD98" s="5">
        <v>0</v>
      </c>
      <c r="AE98" s="4" t="s">
        <v>253</v>
      </c>
      <c r="AF98" s="3">
        <v>45809</v>
      </c>
      <c r="AG98" s="4" t="s">
        <v>46</v>
      </c>
      <c r="AH98" s="4" t="s">
        <v>46</v>
      </c>
      <c r="AI98" s="4" t="s">
        <v>46</v>
      </c>
      <c r="AJ98" s="4" t="s">
        <v>46</v>
      </c>
      <c r="AK98" s="4" t="s">
        <v>46</v>
      </c>
      <c r="AL98" s="4" t="s">
        <v>46</v>
      </c>
      <c r="AM98" s="4" t="s">
        <v>46</v>
      </c>
      <c r="AN98" s="4" t="s">
        <v>46</v>
      </c>
      <c r="AO98" s="4" t="s">
        <v>46</v>
      </c>
      <c r="AP98" s="4" t="s">
        <v>46</v>
      </c>
    </row>
    <row r="99" spans="1:42">
      <c r="A99" s="2">
        <v>1891456</v>
      </c>
      <c r="B99" s="3">
        <v>45812</v>
      </c>
      <c r="C99" s="4" t="s">
        <v>319</v>
      </c>
      <c r="D99" s="2">
        <v>1545980</v>
      </c>
      <c r="E99" s="4" t="s">
        <v>328</v>
      </c>
      <c r="F99" s="4" t="s">
        <v>329</v>
      </c>
      <c r="G99" s="4" t="s">
        <v>46</v>
      </c>
      <c r="H99" s="4" t="s">
        <v>46</v>
      </c>
      <c r="I99" s="4" t="s">
        <v>46</v>
      </c>
      <c r="J99" s="4" t="s">
        <v>251</v>
      </c>
      <c r="K99" s="4" t="s">
        <v>48</v>
      </c>
      <c r="L99" s="3">
        <v>45809</v>
      </c>
      <c r="M99" s="4" t="s">
        <v>49</v>
      </c>
      <c r="N99" s="4" t="s">
        <v>46</v>
      </c>
      <c r="O99" s="4" t="s">
        <v>50</v>
      </c>
      <c r="P99" s="4" t="s">
        <v>118</v>
      </c>
      <c r="Q99" s="2">
        <v>1</v>
      </c>
      <c r="R99" s="2">
        <v>17</v>
      </c>
      <c r="S99" s="4" t="s">
        <v>51</v>
      </c>
      <c r="T99" s="4" t="s">
        <v>46</v>
      </c>
      <c r="U99" s="4" t="s">
        <v>46</v>
      </c>
      <c r="V99" s="5">
        <v>22</v>
      </c>
      <c r="W99" s="5">
        <v>1843.92</v>
      </c>
      <c r="X99" s="5">
        <v>100</v>
      </c>
      <c r="Y99" s="5">
        <v>405.72</v>
      </c>
      <c r="Z99" s="5">
        <v>0</v>
      </c>
      <c r="AA99" s="5">
        <v>0</v>
      </c>
      <c r="AB99" s="4" t="s">
        <v>252</v>
      </c>
      <c r="AC99" s="4" t="s">
        <v>46</v>
      </c>
      <c r="AD99" s="5">
        <v>0</v>
      </c>
      <c r="AE99" s="4" t="s">
        <v>253</v>
      </c>
      <c r="AF99" s="3">
        <v>45809</v>
      </c>
      <c r="AG99" s="4" t="s">
        <v>46</v>
      </c>
      <c r="AH99" s="4" t="s">
        <v>46</v>
      </c>
      <c r="AI99" s="4" t="s">
        <v>46</v>
      </c>
      <c r="AJ99" s="4" t="s">
        <v>46</v>
      </c>
      <c r="AK99" s="4" t="s">
        <v>46</v>
      </c>
      <c r="AL99" s="4" t="s">
        <v>46</v>
      </c>
      <c r="AM99" s="4" t="s">
        <v>46</v>
      </c>
      <c r="AN99" s="4" t="s">
        <v>46</v>
      </c>
      <c r="AO99" s="4" t="s">
        <v>46</v>
      </c>
      <c r="AP99" s="4" t="s">
        <v>46</v>
      </c>
    </row>
    <row r="100" spans="1:42">
      <c r="A100" s="2">
        <v>1891456</v>
      </c>
      <c r="B100" s="3">
        <v>45812</v>
      </c>
      <c r="C100" s="4" t="s">
        <v>330</v>
      </c>
      <c r="D100" s="2">
        <v>1581327</v>
      </c>
      <c r="E100" s="4" t="s">
        <v>331</v>
      </c>
      <c r="F100" s="4" t="s">
        <v>332</v>
      </c>
      <c r="G100" s="4" t="s">
        <v>46</v>
      </c>
      <c r="H100" s="4" t="s">
        <v>46</v>
      </c>
      <c r="I100" s="4" t="s">
        <v>46</v>
      </c>
      <c r="J100" s="4" t="s">
        <v>251</v>
      </c>
      <c r="K100" s="4" t="s">
        <v>48</v>
      </c>
      <c r="L100" s="3">
        <v>45809</v>
      </c>
      <c r="M100" s="4" t="s">
        <v>49</v>
      </c>
      <c r="N100" s="4" t="s">
        <v>46</v>
      </c>
      <c r="O100" s="4" t="s">
        <v>118</v>
      </c>
      <c r="P100" s="4" t="s">
        <v>118</v>
      </c>
      <c r="Q100" s="2">
        <v>1</v>
      </c>
      <c r="R100" s="2">
        <v>17</v>
      </c>
      <c r="S100" s="4" t="s">
        <v>51</v>
      </c>
      <c r="T100" s="4" t="s">
        <v>46</v>
      </c>
      <c r="U100" s="4" t="s">
        <v>46</v>
      </c>
      <c r="V100" s="5">
        <v>11</v>
      </c>
      <c r="W100" s="5">
        <v>326.25</v>
      </c>
      <c r="X100" s="5">
        <v>100</v>
      </c>
      <c r="Y100" s="5">
        <v>35.89</v>
      </c>
      <c r="Z100" s="5">
        <v>0</v>
      </c>
      <c r="AA100" s="5">
        <v>0</v>
      </c>
      <c r="AB100" s="4" t="s">
        <v>119</v>
      </c>
      <c r="AC100" s="4" t="s">
        <v>46</v>
      </c>
      <c r="AD100" s="5">
        <v>0</v>
      </c>
      <c r="AE100" s="4" t="s">
        <v>120</v>
      </c>
      <c r="AF100" s="3">
        <v>45261</v>
      </c>
      <c r="AG100" s="4" t="s">
        <v>46</v>
      </c>
      <c r="AH100" s="4" t="s">
        <v>46</v>
      </c>
      <c r="AI100" s="4" t="s">
        <v>46</v>
      </c>
      <c r="AJ100" s="4" t="s">
        <v>46</v>
      </c>
      <c r="AK100" s="4" t="s">
        <v>46</v>
      </c>
      <c r="AL100" s="4" t="s">
        <v>46</v>
      </c>
      <c r="AM100" s="4" t="s">
        <v>46</v>
      </c>
      <c r="AN100" s="4" t="s">
        <v>46</v>
      </c>
      <c r="AO100" s="4" t="s">
        <v>46</v>
      </c>
      <c r="AP100" s="4" t="s">
        <v>46</v>
      </c>
    </row>
    <row r="101" spans="1:42">
      <c r="A101" s="2">
        <v>1891456</v>
      </c>
      <c r="B101" s="3">
        <v>45812</v>
      </c>
      <c r="C101" s="4" t="s">
        <v>330</v>
      </c>
      <c r="D101" s="2">
        <v>1581327</v>
      </c>
      <c r="E101" s="4" t="s">
        <v>333</v>
      </c>
      <c r="F101" s="4" t="s">
        <v>334</v>
      </c>
      <c r="G101" s="4" t="s">
        <v>46</v>
      </c>
      <c r="H101" s="4" t="s">
        <v>46</v>
      </c>
      <c r="I101" s="4" t="s">
        <v>46</v>
      </c>
      <c r="J101" s="4" t="s">
        <v>251</v>
      </c>
      <c r="K101" s="4" t="s">
        <v>48</v>
      </c>
      <c r="L101" s="3">
        <v>45809</v>
      </c>
      <c r="M101" s="4" t="s">
        <v>49</v>
      </c>
      <c r="N101" s="4" t="s">
        <v>46</v>
      </c>
      <c r="O101" s="4" t="s">
        <v>118</v>
      </c>
      <c r="P101" s="4" t="s">
        <v>118</v>
      </c>
      <c r="Q101" s="2">
        <v>1</v>
      </c>
      <c r="R101" s="2">
        <v>17</v>
      </c>
      <c r="S101" s="4" t="s">
        <v>51</v>
      </c>
      <c r="T101" s="4" t="s">
        <v>46</v>
      </c>
      <c r="U101" s="4" t="s">
        <v>46</v>
      </c>
      <c r="V101" s="5">
        <v>11</v>
      </c>
      <c r="W101" s="5">
        <v>326.25</v>
      </c>
      <c r="X101" s="5">
        <v>100</v>
      </c>
      <c r="Y101" s="5">
        <v>35.89</v>
      </c>
      <c r="Z101" s="5">
        <v>0</v>
      </c>
      <c r="AA101" s="5">
        <v>0</v>
      </c>
      <c r="AB101" s="4" t="s">
        <v>119</v>
      </c>
      <c r="AC101" s="4" t="s">
        <v>46</v>
      </c>
      <c r="AD101" s="5">
        <v>0</v>
      </c>
      <c r="AE101" s="4" t="s">
        <v>120</v>
      </c>
      <c r="AF101" s="3">
        <v>45292</v>
      </c>
      <c r="AG101" s="4" t="s">
        <v>46</v>
      </c>
      <c r="AH101" s="4" t="s">
        <v>46</v>
      </c>
      <c r="AI101" s="4" t="s">
        <v>46</v>
      </c>
      <c r="AJ101" s="4" t="s">
        <v>46</v>
      </c>
      <c r="AK101" s="4" t="s">
        <v>46</v>
      </c>
      <c r="AL101" s="4" t="s">
        <v>46</v>
      </c>
      <c r="AM101" s="4" t="s">
        <v>46</v>
      </c>
      <c r="AN101" s="4" t="s">
        <v>46</v>
      </c>
      <c r="AO101" s="4" t="s">
        <v>46</v>
      </c>
      <c r="AP101" s="4" t="s">
        <v>46</v>
      </c>
    </row>
    <row r="102" spans="1:42">
      <c r="A102" s="2">
        <v>1891456</v>
      </c>
      <c r="B102" s="3">
        <v>45812</v>
      </c>
      <c r="C102" s="4" t="s">
        <v>335</v>
      </c>
      <c r="D102" s="2">
        <v>1673763</v>
      </c>
      <c r="E102" s="4" t="s">
        <v>336</v>
      </c>
      <c r="F102" s="4" t="s">
        <v>337</v>
      </c>
      <c r="G102" s="4" t="s">
        <v>46</v>
      </c>
      <c r="H102" s="4" t="s">
        <v>46</v>
      </c>
      <c r="I102" s="4" t="s">
        <v>46</v>
      </c>
      <c r="J102" s="4" t="s">
        <v>251</v>
      </c>
      <c r="K102" s="4" t="s">
        <v>48</v>
      </c>
      <c r="L102" s="3">
        <v>45809</v>
      </c>
      <c r="M102" s="4" t="s">
        <v>49</v>
      </c>
      <c r="N102" s="4" t="s">
        <v>46</v>
      </c>
      <c r="O102" s="4" t="s">
        <v>118</v>
      </c>
      <c r="P102" s="4" t="s">
        <v>118</v>
      </c>
      <c r="Q102" s="2">
        <v>1</v>
      </c>
      <c r="R102" s="2">
        <v>17</v>
      </c>
      <c r="S102" s="4" t="s">
        <v>51</v>
      </c>
      <c r="T102" s="4" t="s">
        <v>46</v>
      </c>
      <c r="U102" s="4" t="s">
        <v>46</v>
      </c>
      <c r="V102" s="5">
        <v>1</v>
      </c>
      <c r="W102" s="5">
        <v>159.94999999999999</v>
      </c>
      <c r="X102" s="5">
        <v>100</v>
      </c>
      <c r="Y102" s="5">
        <v>1.6</v>
      </c>
      <c r="Z102" s="5">
        <v>0</v>
      </c>
      <c r="AA102" s="5">
        <v>0</v>
      </c>
      <c r="AB102" s="4" t="s">
        <v>311</v>
      </c>
      <c r="AC102" s="4" t="s">
        <v>46</v>
      </c>
      <c r="AD102" s="5">
        <v>0</v>
      </c>
      <c r="AE102" s="4" t="s">
        <v>312</v>
      </c>
      <c r="AF102" s="3">
        <v>45170</v>
      </c>
      <c r="AG102" s="4" t="s">
        <v>46</v>
      </c>
      <c r="AH102" s="4" t="s">
        <v>46</v>
      </c>
      <c r="AI102" s="4" t="s">
        <v>46</v>
      </c>
      <c r="AJ102" s="4" t="s">
        <v>46</v>
      </c>
      <c r="AK102" s="4" t="s">
        <v>46</v>
      </c>
      <c r="AL102" s="4" t="s">
        <v>46</v>
      </c>
      <c r="AM102" s="4" t="s">
        <v>46</v>
      </c>
      <c r="AN102" s="4" t="s">
        <v>46</v>
      </c>
      <c r="AO102" s="4" t="s">
        <v>46</v>
      </c>
      <c r="AP102" s="4" t="s">
        <v>46</v>
      </c>
    </row>
    <row r="103" spans="1:42">
      <c r="A103" s="2">
        <v>1891456</v>
      </c>
      <c r="B103" s="3">
        <v>45812</v>
      </c>
      <c r="C103" s="4" t="s">
        <v>335</v>
      </c>
      <c r="D103" s="2">
        <v>1673763</v>
      </c>
      <c r="E103" s="4" t="s">
        <v>338</v>
      </c>
      <c r="F103" s="4" t="s">
        <v>339</v>
      </c>
      <c r="G103" s="4" t="s">
        <v>46</v>
      </c>
      <c r="H103" s="4" t="s">
        <v>46</v>
      </c>
      <c r="I103" s="4" t="s">
        <v>46</v>
      </c>
      <c r="J103" s="4" t="s">
        <v>251</v>
      </c>
      <c r="K103" s="4" t="s">
        <v>48</v>
      </c>
      <c r="L103" s="3">
        <v>45809</v>
      </c>
      <c r="M103" s="4" t="s">
        <v>49</v>
      </c>
      <c r="N103" s="4" t="s">
        <v>46</v>
      </c>
      <c r="O103" s="4" t="s">
        <v>118</v>
      </c>
      <c r="P103" s="4" t="s">
        <v>118</v>
      </c>
      <c r="Q103" s="2">
        <v>1</v>
      </c>
      <c r="R103" s="2">
        <v>17</v>
      </c>
      <c r="S103" s="4" t="s">
        <v>51</v>
      </c>
      <c r="T103" s="4" t="s">
        <v>46</v>
      </c>
      <c r="U103" s="4" t="s">
        <v>46</v>
      </c>
      <c r="V103" s="5">
        <v>22</v>
      </c>
      <c r="W103" s="5">
        <v>115.3</v>
      </c>
      <c r="X103" s="5">
        <v>100</v>
      </c>
      <c r="Y103" s="5">
        <v>25.37</v>
      </c>
      <c r="Z103" s="5">
        <v>0</v>
      </c>
      <c r="AA103" s="5">
        <v>0</v>
      </c>
      <c r="AB103" s="4" t="s">
        <v>311</v>
      </c>
      <c r="AC103" s="4" t="s">
        <v>46</v>
      </c>
      <c r="AD103" s="5">
        <v>0</v>
      </c>
      <c r="AE103" s="4" t="s">
        <v>312</v>
      </c>
      <c r="AF103" s="3">
        <v>45292</v>
      </c>
      <c r="AG103" s="4" t="s">
        <v>46</v>
      </c>
      <c r="AH103" s="4" t="s">
        <v>46</v>
      </c>
      <c r="AI103" s="4" t="s">
        <v>46</v>
      </c>
      <c r="AJ103" s="4" t="s">
        <v>46</v>
      </c>
      <c r="AK103" s="4" t="s">
        <v>46</v>
      </c>
      <c r="AL103" s="4" t="s">
        <v>46</v>
      </c>
      <c r="AM103" s="4" t="s">
        <v>46</v>
      </c>
      <c r="AN103" s="4" t="s">
        <v>46</v>
      </c>
      <c r="AO103" s="4" t="s">
        <v>46</v>
      </c>
      <c r="AP103" s="4" t="s">
        <v>46</v>
      </c>
    </row>
    <row r="104" spans="1:42">
      <c r="A104" s="2">
        <v>1891456</v>
      </c>
      <c r="B104" s="3">
        <v>45812</v>
      </c>
      <c r="C104" s="4" t="s">
        <v>335</v>
      </c>
      <c r="D104" s="2">
        <v>1673763</v>
      </c>
      <c r="E104" s="4" t="s">
        <v>340</v>
      </c>
      <c r="F104" s="4" t="s">
        <v>341</v>
      </c>
      <c r="G104" s="4" t="s">
        <v>46</v>
      </c>
      <c r="H104" s="4" t="s">
        <v>46</v>
      </c>
      <c r="I104" s="4" t="s">
        <v>46</v>
      </c>
      <c r="J104" s="4" t="s">
        <v>251</v>
      </c>
      <c r="K104" s="4" t="s">
        <v>48</v>
      </c>
      <c r="L104" s="3">
        <v>45809</v>
      </c>
      <c r="M104" s="4" t="s">
        <v>49</v>
      </c>
      <c r="N104" s="4" t="s">
        <v>46</v>
      </c>
      <c r="O104" s="4" t="s">
        <v>118</v>
      </c>
      <c r="P104" s="4" t="s">
        <v>118</v>
      </c>
      <c r="Q104" s="2">
        <v>1</v>
      </c>
      <c r="R104" s="2">
        <v>17</v>
      </c>
      <c r="S104" s="4" t="s">
        <v>51</v>
      </c>
      <c r="T104" s="4" t="s">
        <v>46</v>
      </c>
      <c r="U104" s="4" t="s">
        <v>46</v>
      </c>
      <c r="V104" s="5">
        <v>22</v>
      </c>
      <c r="W104" s="5">
        <v>131.96</v>
      </c>
      <c r="X104" s="5">
        <v>100</v>
      </c>
      <c r="Y104" s="5">
        <v>29.03</v>
      </c>
      <c r="Z104" s="5">
        <v>0</v>
      </c>
      <c r="AA104" s="5">
        <v>0</v>
      </c>
      <c r="AB104" s="4" t="s">
        <v>311</v>
      </c>
      <c r="AC104" s="4" t="s">
        <v>46</v>
      </c>
      <c r="AD104" s="5">
        <v>0</v>
      </c>
      <c r="AE104" s="4" t="s">
        <v>312</v>
      </c>
      <c r="AF104" s="3">
        <v>45292</v>
      </c>
      <c r="AG104" s="4" t="s">
        <v>46</v>
      </c>
      <c r="AH104" s="4" t="s">
        <v>46</v>
      </c>
      <c r="AI104" s="4" t="s">
        <v>46</v>
      </c>
      <c r="AJ104" s="4" t="s">
        <v>46</v>
      </c>
      <c r="AK104" s="4" t="s">
        <v>46</v>
      </c>
      <c r="AL104" s="4" t="s">
        <v>46</v>
      </c>
      <c r="AM104" s="4" t="s">
        <v>46</v>
      </c>
      <c r="AN104" s="4" t="s">
        <v>46</v>
      </c>
      <c r="AO104" s="4" t="s">
        <v>46</v>
      </c>
      <c r="AP104" s="4" t="s">
        <v>46</v>
      </c>
    </row>
    <row r="105" spans="1:42">
      <c r="A105" s="2">
        <v>1891456</v>
      </c>
      <c r="B105" s="3">
        <v>45812</v>
      </c>
      <c r="C105" s="4" t="s">
        <v>335</v>
      </c>
      <c r="D105" s="2">
        <v>1673763</v>
      </c>
      <c r="E105" s="4" t="s">
        <v>342</v>
      </c>
      <c r="F105" s="4" t="s">
        <v>343</v>
      </c>
      <c r="G105" s="4" t="s">
        <v>46</v>
      </c>
      <c r="H105" s="4" t="s">
        <v>46</v>
      </c>
      <c r="I105" s="4" t="s">
        <v>46</v>
      </c>
      <c r="J105" s="4" t="s">
        <v>251</v>
      </c>
      <c r="K105" s="4" t="s">
        <v>48</v>
      </c>
      <c r="L105" s="3">
        <v>45809</v>
      </c>
      <c r="M105" s="4" t="s">
        <v>49</v>
      </c>
      <c r="N105" s="4" t="s">
        <v>46</v>
      </c>
      <c r="O105" s="4" t="s">
        <v>118</v>
      </c>
      <c r="P105" s="4" t="s">
        <v>118</v>
      </c>
      <c r="Q105" s="2">
        <v>1</v>
      </c>
      <c r="R105" s="2">
        <v>17</v>
      </c>
      <c r="S105" s="4" t="s">
        <v>51</v>
      </c>
      <c r="T105" s="4" t="s">
        <v>46</v>
      </c>
      <c r="U105" s="4" t="s">
        <v>46</v>
      </c>
      <c r="V105" s="5">
        <v>22</v>
      </c>
      <c r="W105" s="5">
        <v>130.08000000000001</v>
      </c>
      <c r="X105" s="5">
        <v>100</v>
      </c>
      <c r="Y105" s="5">
        <v>28.62</v>
      </c>
      <c r="Z105" s="5">
        <v>0</v>
      </c>
      <c r="AA105" s="5">
        <v>0</v>
      </c>
      <c r="AB105" s="4" t="s">
        <v>311</v>
      </c>
      <c r="AC105" s="4" t="s">
        <v>46</v>
      </c>
      <c r="AD105" s="5">
        <v>0</v>
      </c>
      <c r="AE105" s="4" t="s">
        <v>312</v>
      </c>
      <c r="AF105" s="3">
        <v>45292</v>
      </c>
      <c r="AG105" s="4" t="s">
        <v>46</v>
      </c>
      <c r="AH105" s="4" t="s">
        <v>46</v>
      </c>
      <c r="AI105" s="4" t="s">
        <v>46</v>
      </c>
      <c r="AJ105" s="4" t="s">
        <v>46</v>
      </c>
      <c r="AK105" s="4" t="s">
        <v>46</v>
      </c>
      <c r="AL105" s="4" t="s">
        <v>46</v>
      </c>
      <c r="AM105" s="4" t="s">
        <v>46</v>
      </c>
      <c r="AN105" s="4" t="s">
        <v>46</v>
      </c>
      <c r="AO105" s="4" t="s">
        <v>46</v>
      </c>
      <c r="AP105" s="4" t="s">
        <v>46</v>
      </c>
    </row>
    <row r="106" spans="1:42">
      <c r="A106" s="2">
        <v>1891456</v>
      </c>
      <c r="B106" s="3">
        <v>45812</v>
      </c>
      <c r="C106" s="4" t="s">
        <v>335</v>
      </c>
      <c r="D106" s="2">
        <v>1673763</v>
      </c>
      <c r="E106" s="4" t="s">
        <v>344</v>
      </c>
      <c r="F106" s="4" t="s">
        <v>345</v>
      </c>
      <c r="G106" s="4" t="s">
        <v>46</v>
      </c>
      <c r="H106" s="4" t="s">
        <v>46</v>
      </c>
      <c r="I106" s="4" t="s">
        <v>46</v>
      </c>
      <c r="J106" s="4" t="s">
        <v>251</v>
      </c>
      <c r="K106" s="4" t="s">
        <v>48</v>
      </c>
      <c r="L106" s="3">
        <v>45809</v>
      </c>
      <c r="M106" s="4" t="s">
        <v>49</v>
      </c>
      <c r="N106" s="4" t="s">
        <v>46</v>
      </c>
      <c r="O106" s="4" t="s">
        <v>118</v>
      </c>
      <c r="P106" s="4" t="s">
        <v>118</v>
      </c>
      <c r="Q106" s="2">
        <v>1</v>
      </c>
      <c r="R106" s="2">
        <v>17</v>
      </c>
      <c r="S106" s="4" t="s">
        <v>51</v>
      </c>
      <c r="T106" s="4" t="s">
        <v>46</v>
      </c>
      <c r="U106" s="4" t="s">
        <v>46</v>
      </c>
      <c r="V106" s="5">
        <v>22</v>
      </c>
      <c r="W106" s="5">
        <v>130.08000000000001</v>
      </c>
      <c r="X106" s="5">
        <v>100</v>
      </c>
      <c r="Y106" s="5">
        <v>28.62</v>
      </c>
      <c r="Z106" s="5">
        <v>0</v>
      </c>
      <c r="AA106" s="5">
        <v>0</v>
      </c>
      <c r="AB106" s="4" t="s">
        <v>311</v>
      </c>
      <c r="AC106" s="4" t="s">
        <v>46</v>
      </c>
      <c r="AD106" s="5">
        <v>0</v>
      </c>
      <c r="AE106" s="4" t="s">
        <v>312</v>
      </c>
      <c r="AF106" s="3">
        <v>45261</v>
      </c>
      <c r="AG106" s="4" t="s">
        <v>46</v>
      </c>
      <c r="AH106" s="4" t="s">
        <v>46</v>
      </c>
      <c r="AI106" s="4" t="s">
        <v>46</v>
      </c>
      <c r="AJ106" s="4" t="s">
        <v>46</v>
      </c>
      <c r="AK106" s="4" t="s">
        <v>46</v>
      </c>
      <c r="AL106" s="4" t="s">
        <v>46</v>
      </c>
      <c r="AM106" s="4" t="s">
        <v>46</v>
      </c>
      <c r="AN106" s="4" t="s">
        <v>46</v>
      </c>
      <c r="AO106" s="4" t="s">
        <v>46</v>
      </c>
      <c r="AP106" s="4" t="s">
        <v>46</v>
      </c>
    </row>
    <row r="107" spans="1:42">
      <c r="A107" s="2">
        <v>1891456</v>
      </c>
      <c r="B107" s="3">
        <v>45812</v>
      </c>
      <c r="C107" s="4" t="s">
        <v>335</v>
      </c>
      <c r="D107" s="2">
        <v>1673763</v>
      </c>
      <c r="E107" s="4" t="s">
        <v>346</v>
      </c>
      <c r="F107" s="4" t="s">
        <v>347</v>
      </c>
      <c r="G107" s="4" t="s">
        <v>46</v>
      </c>
      <c r="H107" s="4" t="s">
        <v>46</v>
      </c>
      <c r="I107" s="4" t="s">
        <v>46</v>
      </c>
      <c r="J107" s="4" t="s">
        <v>251</v>
      </c>
      <c r="K107" s="4" t="s">
        <v>48</v>
      </c>
      <c r="L107" s="3">
        <v>45809</v>
      </c>
      <c r="M107" s="4" t="s">
        <v>49</v>
      </c>
      <c r="N107" s="4" t="s">
        <v>46</v>
      </c>
      <c r="O107" s="4" t="s">
        <v>118</v>
      </c>
      <c r="P107" s="4" t="s">
        <v>118</v>
      </c>
      <c r="Q107" s="2">
        <v>1</v>
      </c>
      <c r="R107" s="2">
        <v>17</v>
      </c>
      <c r="S107" s="4" t="s">
        <v>51</v>
      </c>
      <c r="T107" s="4" t="s">
        <v>46</v>
      </c>
      <c r="U107" s="4" t="s">
        <v>46</v>
      </c>
      <c r="V107" s="5">
        <v>22</v>
      </c>
      <c r="W107" s="5">
        <v>130.08000000000001</v>
      </c>
      <c r="X107" s="5">
        <v>100</v>
      </c>
      <c r="Y107" s="5">
        <v>28.62</v>
      </c>
      <c r="Z107" s="5">
        <v>0</v>
      </c>
      <c r="AA107" s="5">
        <v>0</v>
      </c>
      <c r="AB107" s="4" t="s">
        <v>311</v>
      </c>
      <c r="AC107" s="4" t="s">
        <v>46</v>
      </c>
      <c r="AD107" s="5">
        <v>0</v>
      </c>
      <c r="AE107" s="4" t="s">
        <v>312</v>
      </c>
      <c r="AF107" s="3">
        <v>45261</v>
      </c>
      <c r="AG107" s="4" t="s">
        <v>46</v>
      </c>
      <c r="AH107" s="4" t="s">
        <v>46</v>
      </c>
      <c r="AI107" s="4" t="s">
        <v>46</v>
      </c>
      <c r="AJ107" s="4" t="s">
        <v>46</v>
      </c>
      <c r="AK107" s="4" t="s">
        <v>46</v>
      </c>
      <c r="AL107" s="4" t="s">
        <v>46</v>
      </c>
      <c r="AM107" s="4" t="s">
        <v>46</v>
      </c>
      <c r="AN107" s="4" t="s">
        <v>46</v>
      </c>
      <c r="AO107" s="4" t="s">
        <v>46</v>
      </c>
      <c r="AP107" s="4" t="s">
        <v>46</v>
      </c>
    </row>
    <row r="108" spans="1:42">
      <c r="A108" s="2">
        <v>1891456</v>
      </c>
      <c r="B108" s="3">
        <v>45812</v>
      </c>
      <c r="C108" s="4" t="s">
        <v>335</v>
      </c>
      <c r="D108" s="2">
        <v>1673763</v>
      </c>
      <c r="E108" s="4" t="s">
        <v>348</v>
      </c>
      <c r="F108" s="4" t="s">
        <v>349</v>
      </c>
      <c r="G108" s="4" t="s">
        <v>46</v>
      </c>
      <c r="H108" s="4" t="s">
        <v>46</v>
      </c>
      <c r="I108" s="4" t="s">
        <v>46</v>
      </c>
      <c r="J108" s="4" t="s">
        <v>251</v>
      </c>
      <c r="K108" s="4" t="s">
        <v>48</v>
      </c>
      <c r="L108" s="3">
        <v>45809</v>
      </c>
      <c r="M108" s="4" t="s">
        <v>49</v>
      </c>
      <c r="N108" s="4" t="s">
        <v>46</v>
      </c>
      <c r="O108" s="4" t="s">
        <v>118</v>
      </c>
      <c r="P108" s="4" t="s">
        <v>118</v>
      </c>
      <c r="Q108" s="2">
        <v>1</v>
      </c>
      <c r="R108" s="2">
        <v>17</v>
      </c>
      <c r="S108" s="4" t="s">
        <v>51</v>
      </c>
      <c r="T108" s="4" t="s">
        <v>46</v>
      </c>
      <c r="U108" s="4" t="s">
        <v>46</v>
      </c>
      <c r="V108" s="5">
        <v>22</v>
      </c>
      <c r="W108" s="5">
        <v>154.43</v>
      </c>
      <c r="X108" s="5">
        <v>100</v>
      </c>
      <c r="Y108" s="5">
        <v>33.97</v>
      </c>
      <c r="Z108" s="5">
        <v>0</v>
      </c>
      <c r="AA108" s="5">
        <v>0</v>
      </c>
      <c r="AB108" s="4" t="s">
        <v>311</v>
      </c>
      <c r="AC108" s="4" t="s">
        <v>46</v>
      </c>
      <c r="AD108" s="5">
        <v>0</v>
      </c>
      <c r="AE108" s="4" t="s">
        <v>312</v>
      </c>
      <c r="AF108" s="3">
        <v>45292</v>
      </c>
      <c r="AG108" s="4" t="s">
        <v>46</v>
      </c>
      <c r="AH108" s="4" t="s">
        <v>46</v>
      </c>
      <c r="AI108" s="4" t="s">
        <v>46</v>
      </c>
      <c r="AJ108" s="4" t="s">
        <v>46</v>
      </c>
      <c r="AK108" s="4" t="s">
        <v>46</v>
      </c>
      <c r="AL108" s="4" t="s">
        <v>46</v>
      </c>
      <c r="AM108" s="4" t="s">
        <v>46</v>
      </c>
      <c r="AN108" s="4" t="s">
        <v>46</v>
      </c>
      <c r="AO108" s="4" t="s">
        <v>46</v>
      </c>
      <c r="AP108" s="4" t="s">
        <v>46</v>
      </c>
    </row>
    <row r="109" spans="1:42">
      <c r="A109" s="2">
        <v>1891456</v>
      </c>
      <c r="B109" s="3">
        <v>45812</v>
      </c>
      <c r="C109" s="4" t="s">
        <v>335</v>
      </c>
      <c r="D109" s="2">
        <v>1673763</v>
      </c>
      <c r="E109" s="4" t="s">
        <v>350</v>
      </c>
      <c r="F109" s="4" t="s">
        <v>351</v>
      </c>
      <c r="G109" s="4" t="s">
        <v>46</v>
      </c>
      <c r="H109" s="4" t="s">
        <v>46</v>
      </c>
      <c r="I109" s="4" t="s">
        <v>46</v>
      </c>
      <c r="J109" s="4" t="s">
        <v>251</v>
      </c>
      <c r="K109" s="4" t="s">
        <v>48</v>
      </c>
      <c r="L109" s="3">
        <v>45809</v>
      </c>
      <c r="M109" s="4" t="s">
        <v>49</v>
      </c>
      <c r="N109" s="4" t="s">
        <v>46</v>
      </c>
      <c r="O109" s="4" t="s">
        <v>118</v>
      </c>
      <c r="P109" s="4" t="s">
        <v>118</v>
      </c>
      <c r="Q109" s="2">
        <v>1</v>
      </c>
      <c r="R109" s="2">
        <v>17</v>
      </c>
      <c r="S109" s="4" t="s">
        <v>51</v>
      </c>
      <c r="T109" s="4" t="s">
        <v>46</v>
      </c>
      <c r="U109" s="4" t="s">
        <v>46</v>
      </c>
      <c r="V109" s="5">
        <v>22</v>
      </c>
      <c r="W109" s="5">
        <v>134.6</v>
      </c>
      <c r="X109" s="5">
        <v>100</v>
      </c>
      <c r="Y109" s="5">
        <v>29.61</v>
      </c>
      <c r="Z109" s="5">
        <v>0</v>
      </c>
      <c r="AA109" s="5">
        <v>0</v>
      </c>
      <c r="AB109" s="4" t="s">
        <v>311</v>
      </c>
      <c r="AC109" s="4" t="s">
        <v>46</v>
      </c>
      <c r="AD109" s="5">
        <v>0</v>
      </c>
      <c r="AE109" s="4" t="s">
        <v>312</v>
      </c>
      <c r="AF109" s="3">
        <v>45292</v>
      </c>
      <c r="AG109" s="4" t="s">
        <v>46</v>
      </c>
      <c r="AH109" s="4" t="s">
        <v>46</v>
      </c>
      <c r="AI109" s="4" t="s">
        <v>46</v>
      </c>
      <c r="AJ109" s="4" t="s">
        <v>46</v>
      </c>
      <c r="AK109" s="4" t="s">
        <v>46</v>
      </c>
      <c r="AL109" s="4" t="s">
        <v>46</v>
      </c>
      <c r="AM109" s="4" t="s">
        <v>46</v>
      </c>
      <c r="AN109" s="4" t="s">
        <v>46</v>
      </c>
      <c r="AO109" s="4" t="s">
        <v>46</v>
      </c>
      <c r="AP109" s="4" t="s">
        <v>46</v>
      </c>
    </row>
    <row r="110" spans="1:42">
      <c r="A110" s="2">
        <v>1891456</v>
      </c>
      <c r="B110" s="3">
        <v>45812</v>
      </c>
      <c r="C110" s="4" t="s">
        <v>335</v>
      </c>
      <c r="D110" s="2">
        <v>1673763</v>
      </c>
      <c r="E110" s="4" t="s">
        <v>352</v>
      </c>
      <c r="F110" s="4" t="s">
        <v>353</v>
      </c>
      <c r="G110" s="4" t="s">
        <v>46</v>
      </c>
      <c r="H110" s="4" t="s">
        <v>46</v>
      </c>
      <c r="I110" s="4" t="s">
        <v>46</v>
      </c>
      <c r="J110" s="4" t="s">
        <v>251</v>
      </c>
      <c r="K110" s="4" t="s">
        <v>48</v>
      </c>
      <c r="L110" s="3">
        <v>45809</v>
      </c>
      <c r="M110" s="4" t="s">
        <v>49</v>
      </c>
      <c r="N110" s="4" t="s">
        <v>46</v>
      </c>
      <c r="O110" s="4" t="s">
        <v>118</v>
      </c>
      <c r="P110" s="4" t="s">
        <v>118</v>
      </c>
      <c r="Q110" s="2">
        <v>1</v>
      </c>
      <c r="R110" s="2">
        <v>17</v>
      </c>
      <c r="S110" s="4" t="s">
        <v>51</v>
      </c>
      <c r="T110" s="4" t="s">
        <v>46</v>
      </c>
      <c r="U110" s="4" t="s">
        <v>46</v>
      </c>
      <c r="V110" s="5">
        <v>22</v>
      </c>
      <c r="W110" s="5">
        <v>148.9</v>
      </c>
      <c r="X110" s="5">
        <v>100</v>
      </c>
      <c r="Y110" s="5">
        <v>32.76</v>
      </c>
      <c r="Z110" s="5">
        <v>0</v>
      </c>
      <c r="AA110" s="5">
        <v>0</v>
      </c>
      <c r="AB110" s="4" t="s">
        <v>311</v>
      </c>
      <c r="AC110" s="4" t="s">
        <v>46</v>
      </c>
      <c r="AD110" s="5">
        <v>0</v>
      </c>
      <c r="AE110" s="4" t="s">
        <v>312</v>
      </c>
      <c r="AF110" s="3">
        <v>45292</v>
      </c>
      <c r="AG110" s="4" t="s">
        <v>46</v>
      </c>
      <c r="AH110" s="4" t="s">
        <v>46</v>
      </c>
      <c r="AI110" s="4" t="s">
        <v>46</v>
      </c>
      <c r="AJ110" s="4" t="s">
        <v>46</v>
      </c>
      <c r="AK110" s="4" t="s">
        <v>46</v>
      </c>
      <c r="AL110" s="4" t="s">
        <v>46</v>
      </c>
      <c r="AM110" s="4" t="s">
        <v>46</v>
      </c>
      <c r="AN110" s="4" t="s">
        <v>46</v>
      </c>
      <c r="AO110" s="4" t="s">
        <v>46</v>
      </c>
      <c r="AP110" s="4" t="s">
        <v>46</v>
      </c>
    </row>
    <row r="111" spans="1:42">
      <c r="A111" s="2">
        <v>1891456</v>
      </c>
      <c r="B111" s="3">
        <v>45812</v>
      </c>
      <c r="C111" s="4" t="s">
        <v>335</v>
      </c>
      <c r="D111" s="2">
        <v>1673763</v>
      </c>
      <c r="E111" s="4" t="s">
        <v>354</v>
      </c>
      <c r="F111" s="4" t="s">
        <v>355</v>
      </c>
      <c r="G111" s="4" t="s">
        <v>46</v>
      </c>
      <c r="H111" s="4" t="s">
        <v>46</v>
      </c>
      <c r="I111" s="4" t="s">
        <v>46</v>
      </c>
      <c r="J111" s="4" t="s">
        <v>251</v>
      </c>
      <c r="K111" s="4" t="s">
        <v>48</v>
      </c>
      <c r="L111" s="3">
        <v>45809</v>
      </c>
      <c r="M111" s="4" t="s">
        <v>49</v>
      </c>
      <c r="N111" s="4" t="s">
        <v>46</v>
      </c>
      <c r="O111" s="4" t="s">
        <v>118</v>
      </c>
      <c r="P111" s="4" t="s">
        <v>118</v>
      </c>
      <c r="Q111" s="2">
        <v>1</v>
      </c>
      <c r="R111" s="2">
        <v>17</v>
      </c>
      <c r="S111" s="4" t="s">
        <v>51</v>
      </c>
      <c r="T111" s="4" t="s">
        <v>46</v>
      </c>
      <c r="U111" s="4" t="s">
        <v>46</v>
      </c>
      <c r="V111" s="5">
        <v>22</v>
      </c>
      <c r="W111" s="5">
        <v>155.12</v>
      </c>
      <c r="X111" s="5">
        <v>100</v>
      </c>
      <c r="Y111" s="5">
        <v>34.130000000000003</v>
      </c>
      <c r="Z111" s="5">
        <v>0</v>
      </c>
      <c r="AA111" s="5">
        <v>0</v>
      </c>
      <c r="AB111" s="4" t="s">
        <v>311</v>
      </c>
      <c r="AC111" s="4" t="s">
        <v>46</v>
      </c>
      <c r="AD111" s="5">
        <v>0</v>
      </c>
      <c r="AE111" s="4" t="s">
        <v>312</v>
      </c>
      <c r="AF111" s="3">
        <v>45292</v>
      </c>
      <c r="AG111" s="4" t="s">
        <v>46</v>
      </c>
      <c r="AH111" s="4" t="s">
        <v>46</v>
      </c>
      <c r="AI111" s="4" t="s">
        <v>46</v>
      </c>
      <c r="AJ111" s="4" t="s">
        <v>46</v>
      </c>
      <c r="AK111" s="4" t="s">
        <v>46</v>
      </c>
      <c r="AL111" s="4" t="s">
        <v>46</v>
      </c>
      <c r="AM111" s="4" t="s">
        <v>46</v>
      </c>
      <c r="AN111" s="4" t="s">
        <v>46</v>
      </c>
      <c r="AO111" s="4" t="s">
        <v>46</v>
      </c>
      <c r="AP111" s="4" t="s">
        <v>46</v>
      </c>
    </row>
    <row r="112" spans="1:42">
      <c r="A112" s="2">
        <v>1891456</v>
      </c>
      <c r="B112" s="3">
        <v>45812</v>
      </c>
      <c r="C112" s="4" t="s">
        <v>335</v>
      </c>
      <c r="D112" s="2">
        <v>1673763</v>
      </c>
      <c r="E112" s="4" t="s">
        <v>356</v>
      </c>
      <c r="F112" s="4" t="s">
        <v>357</v>
      </c>
      <c r="G112" s="4" t="s">
        <v>46</v>
      </c>
      <c r="H112" s="4" t="s">
        <v>46</v>
      </c>
      <c r="I112" s="4" t="s">
        <v>46</v>
      </c>
      <c r="J112" s="4" t="s">
        <v>251</v>
      </c>
      <c r="K112" s="4" t="s">
        <v>48</v>
      </c>
      <c r="L112" s="3">
        <v>45809</v>
      </c>
      <c r="M112" s="4" t="s">
        <v>49</v>
      </c>
      <c r="N112" s="4" t="s">
        <v>46</v>
      </c>
      <c r="O112" s="4" t="s">
        <v>118</v>
      </c>
      <c r="P112" s="4" t="s">
        <v>118</v>
      </c>
      <c r="Q112" s="2">
        <v>1</v>
      </c>
      <c r="R112" s="2">
        <v>17</v>
      </c>
      <c r="S112" s="4" t="s">
        <v>51</v>
      </c>
      <c r="T112" s="4" t="s">
        <v>46</v>
      </c>
      <c r="U112" s="4" t="s">
        <v>46</v>
      </c>
      <c r="V112" s="5">
        <v>0</v>
      </c>
      <c r="W112" s="5">
        <v>146.72999999999999</v>
      </c>
      <c r="X112" s="5">
        <v>100</v>
      </c>
      <c r="Y112" s="5">
        <v>4.17</v>
      </c>
      <c r="Z112" s="5">
        <v>0</v>
      </c>
      <c r="AA112" s="5">
        <v>0</v>
      </c>
      <c r="AB112" s="4" t="s">
        <v>311</v>
      </c>
      <c r="AC112" s="4" t="s">
        <v>46</v>
      </c>
      <c r="AD112" s="5">
        <v>0</v>
      </c>
      <c r="AE112" s="4" t="s">
        <v>312</v>
      </c>
      <c r="AF112" s="3">
        <v>45261</v>
      </c>
      <c r="AG112" s="4" t="s">
        <v>46</v>
      </c>
      <c r="AH112" s="4" t="s">
        <v>46</v>
      </c>
      <c r="AI112" s="4" t="s">
        <v>46</v>
      </c>
      <c r="AJ112" s="4" t="s">
        <v>46</v>
      </c>
      <c r="AK112" s="4" t="s">
        <v>46</v>
      </c>
      <c r="AL112" s="4" t="s">
        <v>46</v>
      </c>
      <c r="AM112" s="4" t="s">
        <v>46</v>
      </c>
      <c r="AN112" s="4" t="s">
        <v>46</v>
      </c>
      <c r="AO112" s="4" t="s">
        <v>46</v>
      </c>
      <c r="AP112" s="4" t="s">
        <v>46</v>
      </c>
    </row>
    <row r="113" spans="1:42">
      <c r="A113" s="2">
        <v>1891456</v>
      </c>
      <c r="B113" s="3">
        <v>45812</v>
      </c>
      <c r="C113" s="4" t="s">
        <v>335</v>
      </c>
      <c r="D113" s="2">
        <v>1673763</v>
      </c>
      <c r="E113" s="4" t="s">
        <v>358</v>
      </c>
      <c r="F113" s="4" t="s">
        <v>359</v>
      </c>
      <c r="G113" s="4" t="s">
        <v>46</v>
      </c>
      <c r="H113" s="4" t="s">
        <v>46</v>
      </c>
      <c r="I113" s="4" t="s">
        <v>46</v>
      </c>
      <c r="J113" s="4" t="s">
        <v>251</v>
      </c>
      <c r="K113" s="4" t="s">
        <v>48</v>
      </c>
      <c r="L113" s="3">
        <v>45809</v>
      </c>
      <c r="M113" s="4" t="s">
        <v>49</v>
      </c>
      <c r="N113" s="4" t="s">
        <v>46</v>
      </c>
      <c r="O113" s="4" t="s">
        <v>118</v>
      </c>
      <c r="P113" s="4" t="s">
        <v>118</v>
      </c>
      <c r="Q113" s="2">
        <v>1</v>
      </c>
      <c r="R113" s="2">
        <v>17</v>
      </c>
      <c r="S113" s="4" t="s">
        <v>51</v>
      </c>
      <c r="T113" s="4" t="s">
        <v>46</v>
      </c>
      <c r="U113" s="4" t="s">
        <v>46</v>
      </c>
      <c r="V113" s="5">
        <v>1</v>
      </c>
      <c r="W113" s="5">
        <v>130.03</v>
      </c>
      <c r="X113" s="5">
        <v>100</v>
      </c>
      <c r="Y113" s="5">
        <v>1.3</v>
      </c>
      <c r="Z113" s="5">
        <v>0</v>
      </c>
      <c r="AA113" s="5">
        <v>0</v>
      </c>
      <c r="AB113" s="4" t="s">
        <v>311</v>
      </c>
      <c r="AC113" s="4" t="s">
        <v>46</v>
      </c>
      <c r="AD113" s="5">
        <v>0</v>
      </c>
      <c r="AE113" s="4" t="s">
        <v>312</v>
      </c>
      <c r="AF113" s="3">
        <v>45323</v>
      </c>
      <c r="AG113" s="4" t="s">
        <v>46</v>
      </c>
      <c r="AH113" s="4" t="s">
        <v>46</v>
      </c>
      <c r="AI113" s="4" t="s">
        <v>46</v>
      </c>
      <c r="AJ113" s="4" t="s">
        <v>46</v>
      </c>
      <c r="AK113" s="4" t="s">
        <v>46</v>
      </c>
      <c r="AL113" s="4" t="s">
        <v>46</v>
      </c>
      <c r="AM113" s="4" t="s">
        <v>46</v>
      </c>
      <c r="AN113" s="4" t="s">
        <v>46</v>
      </c>
      <c r="AO113" s="4" t="s">
        <v>46</v>
      </c>
      <c r="AP113" s="4" t="s">
        <v>46</v>
      </c>
    </row>
    <row r="114" spans="1:42">
      <c r="A114" s="2">
        <v>1891456</v>
      </c>
      <c r="B114" s="3">
        <v>45812</v>
      </c>
      <c r="C114" s="4" t="s">
        <v>335</v>
      </c>
      <c r="D114" s="2">
        <v>1673763</v>
      </c>
      <c r="E114" s="4" t="s">
        <v>360</v>
      </c>
      <c r="F114" s="4" t="s">
        <v>361</v>
      </c>
      <c r="G114" s="4" t="s">
        <v>46</v>
      </c>
      <c r="H114" s="4" t="s">
        <v>46</v>
      </c>
      <c r="I114" s="4" t="s">
        <v>46</v>
      </c>
      <c r="J114" s="4" t="s">
        <v>251</v>
      </c>
      <c r="K114" s="4" t="s">
        <v>48</v>
      </c>
      <c r="L114" s="3">
        <v>45809</v>
      </c>
      <c r="M114" s="4" t="s">
        <v>49</v>
      </c>
      <c r="N114" s="4" t="s">
        <v>46</v>
      </c>
      <c r="O114" s="4" t="s">
        <v>118</v>
      </c>
      <c r="P114" s="4" t="s">
        <v>118</v>
      </c>
      <c r="Q114" s="2">
        <v>1</v>
      </c>
      <c r="R114" s="2">
        <v>17</v>
      </c>
      <c r="S114" s="4" t="s">
        <v>51</v>
      </c>
      <c r="T114" s="4" t="s">
        <v>46</v>
      </c>
      <c r="U114" s="4" t="s">
        <v>46</v>
      </c>
      <c r="V114" s="5">
        <v>22</v>
      </c>
      <c r="W114" s="5">
        <v>130.08000000000001</v>
      </c>
      <c r="X114" s="5">
        <v>100</v>
      </c>
      <c r="Y114" s="5">
        <v>28.62</v>
      </c>
      <c r="Z114" s="5">
        <v>0</v>
      </c>
      <c r="AA114" s="5">
        <v>0</v>
      </c>
      <c r="AB114" s="4" t="s">
        <v>311</v>
      </c>
      <c r="AC114" s="4" t="s">
        <v>46</v>
      </c>
      <c r="AD114" s="5">
        <v>0</v>
      </c>
      <c r="AE114" s="4" t="s">
        <v>312</v>
      </c>
      <c r="AF114" s="3">
        <v>45352</v>
      </c>
      <c r="AG114" s="4" t="s">
        <v>46</v>
      </c>
      <c r="AH114" s="4" t="s">
        <v>46</v>
      </c>
      <c r="AI114" s="4" t="s">
        <v>46</v>
      </c>
      <c r="AJ114" s="4" t="s">
        <v>46</v>
      </c>
      <c r="AK114" s="4" t="s">
        <v>46</v>
      </c>
      <c r="AL114" s="4" t="s">
        <v>46</v>
      </c>
      <c r="AM114" s="4" t="s">
        <v>46</v>
      </c>
      <c r="AN114" s="4" t="s">
        <v>46</v>
      </c>
      <c r="AO114" s="4" t="s">
        <v>46</v>
      </c>
      <c r="AP114" s="4" t="s">
        <v>46</v>
      </c>
    </row>
    <row r="115" spans="1:42">
      <c r="A115" s="2">
        <v>1891456</v>
      </c>
      <c r="B115" s="3">
        <v>45812</v>
      </c>
      <c r="C115" s="4" t="s">
        <v>335</v>
      </c>
      <c r="D115" s="2">
        <v>1673763</v>
      </c>
      <c r="E115" s="4" t="s">
        <v>362</v>
      </c>
      <c r="F115" s="4" t="s">
        <v>363</v>
      </c>
      <c r="G115" s="4" t="s">
        <v>46</v>
      </c>
      <c r="H115" s="4" t="s">
        <v>46</v>
      </c>
      <c r="I115" s="4" t="s">
        <v>46</v>
      </c>
      <c r="J115" s="4" t="s">
        <v>251</v>
      </c>
      <c r="K115" s="4" t="s">
        <v>48</v>
      </c>
      <c r="L115" s="3">
        <v>45809</v>
      </c>
      <c r="M115" s="4" t="s">
        <v>49</v>
      </c>
      <c r="N115" s="4" t="s">
        <v>46</v>
      </c>
      <c r="O115" s="4" t="s">
        <v>118</v>
      </c>
      <c r="P115" s="4" t="s">
        <v>118</v>
      </c>
      <c r="Q115" s="2">
        <v>1</v>
      </c>
      <c r="R115" s="2">
        <v>17</v>
      </c>
      <c r="S115" s="4" t="s">
        <v>51</v>
      </c>
      <c r="T115" s="4" t="s">
        <v>46</v>
      </c>
      <c r="U115" s="4" t="s">
        <v>46</v>
      </c>
      <c r="V115" s="5">
        <v>22</v>
      </c>
      <c r="W115" s="5">
        <v>130.08000000000001</v>
      </c>
      <c r="X115" s="5">
        <v>100</v>
      </c>
      <c r="Y115" s="5">
        <v>28.62</v>
      </c>
      <c r="Z115" s="5">
        <v>0</v>
      </c>
      <c r="AA115" s="5">
        <v>0</v>
      </c>
      <c r="AB115" s="4" t="s">
        <v>311</v>
      </c>
      <c r="AC115" s="4" t="s">
        <v>46</v>
      </c>
      <c r="AD115" s="5">
        <v>0</v>
      </c>
      <c r="AE115" s="4" t="s">
        <v>312</v>
      </c>
      <c r="AF115" s="3">
        <v>45352</v>
      </c>
      <c r="AG115" s="4" t="s">
        <v>46</v>
      </c>
      <c r="AH115" s="4" t="s">
        <v>46</v>
      </c>
      <c r="AI115" s="4" t="s">
        <v>46</v>
      </c>
      <c r="AJ115" s="4" t="s">
        <v>46</v>
      </c>
      <c r="AK115" s="4" t="s">
        <v>46</v>
      </c>
      <c r="AL115" s="4" t="s">
        <v>46</v>
      </c>
      <c r="AM115" s="4" t="s">
        <v>46</v>
      </c>
      <c r="AN115" s="4" t="s">
        <v>46</v>
      </c>
      <c r="AO115" s="4" t="s">
        <v>46</v>
      </c>
      <c r="AP115" s="4" t="s">
        <v>46</v>
      </c>
    </row>
    <row r="116" spans="1:42">
      <c r="A116" s="2">
        <v>1891456</v>
      </c>
      <c r="B116" s="3">
        <v>45812</v>
      </c>
      <c r="C116" s="4" t="s">
        <v>335</v>
      </c>
      <c r="D116" s="2">
        <v>1673763</v>
      </c>
      <c r="E116" s="4" t="s">
        <v>364</v>
      </c>
      <c r="F116" s="4" t="s">
        <v>365</v>
      </c>
      <c r="G116" s="4" t="s">
        <v>46</v>
      </c>
      <c r="H116" s="4" t="s">
        <v>46</v>
      </c>
      <c r="I116" s="4" t="s">
        <v>46</v>
      </c>
      <c r="J116" s="4" t="s">
        <v>251</v>
      </c>
      <c r="K116" s="4" t="s">
        <v>48</v>
      </c>
      <c r="L116" s="3">
        <v>45809</v>
      </c>
      <c r="M116" s="4" t="s">
        <v>49</v>
      </c>
      <c r="N116" s="4" t="s">
        <v>46</v>
      </c>
      <c r="O116" s="4" t="s">
        <v>118</v>
      </c>
      <c r="P116" s="4" t="s">
        <v>118</v>
      </c>
      <c r="Q116" s="2">
        <v>1</v>
      </c>
      <c r="R116" s="2">
        <v>17</v>
      </c>
      <c r="S116" s="4" t="s">
        <v>51</v>
      </c>
      <c r="T116" s="4" t="s">
        <v>46</v>
      </c>
      <c r="U116" s="4" t="s">
        <v>46</v>
      </c>
      <c r="V116" s="5">
        <v>22</v>
      </c>
      <c r="W116" s="5">
        <v>146.72999999999999</v>
      </c>
      <c r="X116" s="5">
        <v>100</v>
      </c>
      <c r="Y116" s="5">
        <v>32.28</v>
      </c>
      <c r="Z116" s="5">
        <v>0</v>
      </c>
      <c r="AA116" s="5">
        <v>0</v>
      </c>
      <c r="AB116" s="4" t="s">
        <v>311</v>
      </c>
      <c r="AC116" s="4" t="s">
        <v>46</v>
      </c>
      <c r="AD116" s="5">
        <v>0</v>
      </c>
      <c r="AE116" s="4" t="s">
        <v>312</v>
      </c>
      <c r="AF116" s="3">
        <v>45383</v>
      </c>
      <c r="AG116" s="4" t="s">
        <v>46</v>
      </c>
      <c r="AH116" s="4" t="s">
        <v>46</v>
      </c>
      <c r="AI116" s="4" t="s">
        <v>46</v>
      </c>
      <c r="AJ116" s="4" t="s">
        <v>46</v>
      </c>
      <c r="AK116" s="4" t="s">
        <v>46</v>
      </c>
      <c r="AL116" s="4" t="s">
        <v>46</v>
      </c>
      <c r="AM116" s="4" t="s">
        <v>46</v>
      </c>
      <c r="AN116" s="4" t="s">
        <v>46</v>
      </c>
      <c r="AO116" s="4" t="s">
        <v>46</v>
      </c>
      <c r="AP116" s="4" t="s">
        <v>46</v>
      </c>
    </row>
    <row r="117" spans="1:42">
      <c r="A117" s="2">
        <v>1891456</v>
      </c>
      <c r="B117" s="3">
        <v>45812</v>
      </c>
      <c r="C117" s="4" t="s">
        <v>335</v>
      </c>
      <c r="D117" s="2">
        <v>1673763</v>
      </c>
      <c r="E117" s="4" t="s">
        <v>366</v>
      </c>
      <c r="F117" s="4" t="s">
        <v>367</v>
      </c>
      <c r="G117" s="4" t="s">
        <v>46</v>
      </c>
      <c r="H117" s="4" t="s">
        <v>46</v>
      </c>
      <c r="I117" s="4" t="s">
        <v>46</v>
      </c>
      <c r="J117" s="4" t="s">
        <v>251</v>
      </c>
      <c r="K117" s="4" t="s">
        <v>48</v>
      </c>
      <c r="L117" s="3">
        <v>45809</v>
      </c>
      <c r="M117" s="4" t="s">
        <v>49</v>
      </c>
      <c r="N117" s="4" t="s">
        <v>46</v>
      </c>
      <c r="O117" s="4" t="s">
        <v>118</v>
      </c>
      <c r="P117" s="4" t="s">
        <v>118</v>
      </c>
      <c r="Q117" s="2">
        <v>1</v>
      </c>
      <c r="R117" s="2">
        <v>17</v>
      </c>
      <c r="S117" s="4" t="s">
        <v>51</v>
      </c>
      <c r="T117" s="4" t="s">
        <v>46</v>
      </c>
      <c r="U117" s="4" t="s">
        <v>46</v>
      </c>
      <c r="V117" s="5">
        <v>22</v>
      </c>
      <c r="W117" s="5">
        <v>130.08000000000001</v>
      </c>
      <c r="X117" s="5">
        <v>100</v>
      </c>
      <c r="Y117" s="5">
        <v>28.62</v>
      </c>
      <c r="Z117" s="5">
        <v>0</v>
      </c>
      <c r="AA117" s="5">
        <v>0</v>
      </c>
      <c r="AB117" s="4" t="s">
        <v>311</v>
      </c>
      <c r="AC117" s="4" t="s">
        <v>46</v>
      </c>
      <c r="AD117" s="5">
        <v>0</v>
      </c>
      <c r="AE117" s="4" t="s">
        <v>312</v>
      </c>
      <c r="AF117" s="3">
        <v>45413</v>
      </c>
      <c r="AG117" s="4" t="s">
        <v>46</v>
      </c>
      <c r="AH117" s="4" t="s">
        <v>46</v>
      </c>
      <c r="AI117" s="4" t="s">
        <v>46</v>
      </c>
      <c r="AJ117" s="4" t="s">
        <v>46</v>
      </c>
      <c r="AK117" s="4" t="s">
        <v>46</v>
      </c>
      <c r="AL117" s="4" t="s">
        <v>46</v>
      </c>
      <c r="AM117" s="4" t="s">
        <v>46</v>
      </c>
      <c r="AN117" s="4" t="s">
        <v>46</v>
      </c>
      <c r="AO117" s="4" t="s">
        <v>46</v>
      </c>
      <c r="AP117" s="4" t="s">
        <v>46</v>
      </c>
    </row>
    <row r="118" spans="1:42">
      <c r="A118" s="2">
        <v>1891456</v>
      </c>
      <c r="B118" s="3">
        <v>45812</v>
      </c>
      <c r="C118" s="4" t="s">
        <v>335</v>
      </c>
      <c r="D118" s="2">
        <v>1673763</v>
      </c>
      <c r="E118" s="4" t="s">
        <v>368</v>
      </c>
      <c r="F118" s="4" t="s">
        <v>369</v>
      </c>
      <c r="G118" s="4" t="s">
        <v>46</v>
      </c>
      <c r="H118" s="4" t="s">
        <v>46</v>
      </c>
      <c r="I118" s="4" t="s">
        <v>46</v>
      </c>
      <c r="J118" s="4" t="s">
        <v>251</v>
      </c>
      <c r="K118" s="4" t="s">
        <v>48</v>
      </c>
      <c r="L118" s="3">
        <v>45809</v>
      </c>
      <c r="M118" s="4" t="s">
        <v>49</v>
      </c>
      <c r="N118" s="4" t="s">
        <v>46</v>
      </c>
      <c r="O118" s="4" t="s">
        <v>118</v>
      </c>
      <c r="P118" s="4" t="s">
        <v>118</v>
      </c>
      <c r="Q118" s="2">
        <v>1</v>
      </c>
      <c r="R118" s="2">
        <v>17</v>
      </c>
      <c r="S118" s="4" t="s">
        <v>51</v>
      </c>
      <c r="T118" s="4" t="s">
        <v>46</v>
      </c>
      <c r="U118" s="4" t="s">
        <v>46</v>
      </c>
      <c r="V118" s="5">
        <v>22</v>
      </c>
      <c r="W118" s="5">
        <v>129.12</v>
      </c>
      <c r="X118" s="5">
        <v>100</v>
      </c>
      <c r="Y118" s="5">
        <v>28.41</v>
      </c>
      <c r="Z118" s="5">
        <v>0</v>
      </c>
      <c r="AA118" s="5">
        <v>0</v>
      </c>
      <c r="AB118" s="4" t="s">
        <v>311</v>
      </c>
      <c r="AC118" s="4" t="s">
        <v>46</v>
      </c>
      <c r="AD118" s="5">
        <v>0</v>
      </c>
      <c r="AE118" s="4" t="s">
        <v>312</v>
      </c>
      <c r="AF118" s="3">
        <v>45444</v>
      </c>
      <c r="AG118" s="4" t="s">
        <v>46</v>
      </c>
      <c r="AH118" s="4" t="s">
        <v>46</v>
      </c>
      <c r="AI118" s="4" t="s">
        <v>46</v>
      </c>
      <c r="AJ118" s="4" t="s">
        <v>46</v>
      </c>
      <c r="AK118" s="4" t="s">
        <v>46</v>
      </c>
      <c r="AL118" s="4" t="s">
        <v>46</v>
      </c>
      <c r="AM118" s="4" t="s">
        <v>46</v>
      </c>
      <c r="AN118" s="4" t="s">
        <v>46</v>
      </c>
      <c r="AO118" s="4" t="s">
        <v>46</v>
      </c>
      <c r="AP118" s="4" t="s">
        <v>46</v>
      </c>
    </row>
    <row r="119" spans="1:42">
      <c r="A119" s="2">
        <v>1891456</v>
      </c>
      <c r="B119" s="3">
        <v>45812</v>
      </c>
      <c r="C119" s="4" t="s">
        <v>335</v>
      </c>
      <c r="D119" s="2">
        <v>1673763</v>
      </c>
      <c r="E119" s="4" t="s">
        <v>370</v>
      </c>
      <c r="F119" s="4" t="s">
        <v>371</v>
      </c>
      <c r="G119" s="4" t="s">
        <v>46</v>
      </c>
      <c r="H119" s="4" t="s">
        <v>46</v>
      </c>
      <c r="I119" s="4" t="s">
        <v>46</v>
      </c>
      <c r="J119" s="4" t="s">
        <v>251</v>
      </c>
      <c r="K119" s="4" t="s">
        <v>48</v>
      </c>
      <c r="L119" s="3">
        <v>45809</v>
      </c>
      <c r="M119" s="4" t="s">
        <v>49</v>
      </c>
      <c r="N119" s="4" t="s">
        <v>46</v>
      </c>
      <c r="O119" s="4" t="s">
        <v>118</v>
      </c>
      <c r="P119" s="4" t="s">
        <v>118</v>
      </c>
      <c r="Q119" s="2">
        <v>1</v>
      </c>
      <c r="R119" s="2">
        <v>17</v>
      </c>
      <c r="S119" s="4" t="s">
        <v>51</v>
      </c>
      <c r="T119" s="4" t="s">
        <v>46</v>
      </c>
      <c r="U119" s="4" t="s">
        <v>46</v>
      </c>
      <c r="V119" s="5">
        <v>22</v>
      </c>
      <c r="W119" s="5">
        <v>146.72999999999999</v>
      </c>
      <c r="X119" s="5">
        <v>100</v>
      </c>
      <c r="Y119" s="5">
        <v>32.28</v>
      </c>
      <c r="Z119" s="5">
        <v>0</v>
      </c>
      <c r="AA119" s="5">
        <v>0</v>
      </c>
      <c r="AB119" s="4" t="s">
        <v>311</v>
      </c>
      <c r="AC119" s="4" t="s">
        <v>46</v>
      </c>
      <c r="AD119" s="5">
        <v>0</v>
      </c>
      <c r="AE119" s="4" t="s">
        <v>312</v>
      </c>
      <c r="AF119" s="3">
        <v>45444</v>
      </c>
      <c r="AG119" s="4" t="s">
        <v>46</v>
      </c>
      <c r="AH119" s="4" t="s">
        <v>46</v>
      </c>
      <c r="AI119" s="4" t="s">
        <v>46</v>
      </c>
      <c r="AJ119" s="4" t="s">
        <v>46</v>
      </c>
      <c r="AK119" s="4" t="s">
        <v>46</v>
      </c>
      <c r="AL119" s="4" t="s">
        <v>46</v>
      </c>
      <c r="AM119" s="4" t="s">
        <v>46</v>
      </c>
      <c r="AN119" s="4" t="s">
        <v>46</v>
      </c>
      <c r="AO119" s="4" t="s">
        <v>46</v>
      </c>
      <c r="AP119" s="4" t="s">
        <v>46</v>
      </c>
    </row>
    <row r="120" spans="1:42">
      <c r="A120" s="2">
        <v>1891456</v>
      </c>
      <c r="B120" s="3">
        <v>45812</v>
      </c>
      <c r="C120" s="4" t="s">
        <v>335</v>
      </c>
      <c r="D120" s="2">
        <v>1673763</v>
      </c>
      <c r="E120" s="4" t="s">
        <v>372</v>
      </c>
      <c r="F120" s="4" t="s">
        <v>373</v>
      </c>
      <c r="G120" s="4" t="s">
        <v>46</v>
      </c>
      <c r="H120" s="4" t="s">
        <v>46</v>
      </c>
      <c r="I120" s="4" t="s">
        <v>46</v>
      </c>
      <c r="J120" s="4" t="s">
        <v>258</v>
      </c>
      <c r="K120" s="4" t="s">
        <v>259</v>
      </c>
      <c r="L120" s="3">
        <v>45839</v>
      </c>
      <c r="M120" s="4" t="s">
        <v>84</v>
      </c>
      <c r="N120" s="4" t="s">
        <v>46</v>
      </c>
      <c r="O120" s="4" t="s">
        <v>50</v>
      </c>
      <c r="P120" s="4" t="s">
        <v>118</v>
      </c>
      <c r="Q120" s="2">
        <v>1</v>
      </c>
      <c r="R120" s="2">
        <v>60</v>
      </c>
      <c r="S120" s="4" t="s">
        <v>260</v>
      </c>
      <c r="T120" s="4" t="s">
        <v>46</v>
      </c>
      <c r="U120" s="4" t="s">
        <v>46</v>
      </c>
      <c r="V120" s="5">
        <v>10</v>
      </c>
      <c r="W120" s="5">
        <v>12.99</v>
      </c>
      <c r="X120" s="5">
        <v>100</v>
      </c>
      <c r="Y120" s="5">
        <v>1.3</v>
      </c>
      <c r="Z120" s="4" t="s">
        <v>46</v>
      </c>
      <c r="AA120" s="5" t="s">
        <v>46</v>
      </c>
      <c r="AB120" s="4" t="s">
        <v>272</v>
      </c>
      <c r="AC120" s="4" t="s">
        <v>46</v>
      </c>
      <c r="AD120" s="5">
        <v>0</v>
      </c>
      <c r="AE120" s="4" t="s">
        <v>273</v>
      </c>
      <c r="AF120" s="3">
        <v>45689</v>
      </c>
      <c r="AG120" s="4" t="s">
        <v>46</v>
      </c>
      <c r="AH120" s="4" t="s">
        <v>46</v>
      </c>
      <c r="AI120" s="4" t="s">
        <v>46</v>
      </c>
      <c r="AJ120" s="4" t="s">
        <v>46</v>
      </c>
      <c r="AK120" s="4" t="s">
        <v>46</v>
      </c>
      <c r="AL120" s="4" t="s">
        <v>46</v>
      </c>
      <c r="AM120" s="4" t="s">
        <v>46</v>
      </c>
      <c r="AN120" s="4" t="s">
        <v>46</v>
      </c>
      <c r="AO120" s="4" t="s">
        <v>46</v>
      </c>
      <c r="AP120" s="4" t="s">
        <v>46</v>
      </c>
    </row>
    <row r="121" spans="1:42">
      <c r="A121" s="2">
        <v>1891456</v>
      </c>
      <c r="B121" s="3">
        <v>45812</v>
      </c>
      <c r="C121" s="4" t="s">
        <v>374</v>
      </c>
      <c r="D121" s="2">
        <v>1703723</v>
      </c>
      <c r="E121" s="4" t="s">
        <v>375</v>
      </c>
      <c r="F121" s="4" t="s">
        <v>376</v>
      </c>
      <c r="G121" s="4" t="s">
        <v>46</v>
      </c>
      <c r="H121" s="4" t="s">
        <v>46</v>
      </c>
      <c r="I121" s="4" t="s">
        <v>46</v>
      </c>
      <c r="J121" s="4" t="s">
        <v>251</v>
      </c>
      <c r="K121" s="4" t="s">
        <v>48</v>
      </c>
      <c r="L121" s="3">
        <v>45809</v>
      </c>
      <c r="M121" s="4" t="s">
        <v>49</v>
      </c>
      <c r="N121" s="4" t="s">
        <v>46</v>
      </c>
      <c r="O121" s="4" t="s">
        <v>118</v>
      </c>
      <c r="P121" s="4" t="s">
        <v>118</v>
      </c>
      <c r="Q121" s="2">
        <v>1</v>
      </c>
      <c r="R121" s="2">
        <v>17</v>
      </c>
      <c r="S121" s="4" t="s">
        <v>51</v>
      </c>
      <c r="T121" s="4" t="s">
        <v>46</v>
      </c>
      <c r="U121" s="4" t="s">
        <v>46</v>
      </c>
      <c r="V121" s="5">
        <v>26</v>
      </c>
      <c r="W121" s="5">
        <v>113</v>
      </c>
      <c r="X121" s="5">
        <v>100</v>
      </c>
      <c r="Y121" s="5">
        <v>29.38</v>
      </c>
      <c r="Z121" s="5">
        <v>0</v>
      </c>
      <c r="AA121" s="5">
        <v>0</v>
      </c>
      <c r="AB121" s="4" t="s">
        <v>311</v>
      </c>
      <c r="AC121" s="4" t="s">
        <v>46</v>
      </c>
      <c r="AD121" s="5">
        <v>0</v>
      </c>
      <c r="AE121" s="4" t="s">
        <v>312</v>
      </c>
      <c r="AF121" s="3">
        <v>45352</v>
      </c>
      <c r="AG121" s="4" t="s">
        <v>46</v>
      </c>
      <c r="AH121" s="4" t="s">
        <v>46</v>
      </c>
      <c r="AI121" s="4" t="s">
        <v>46</v>
      </c>
      <c r="AJ121" s="4" t="s">
        <v>46</v>
      </c>
      <c r="AK121" s="4" t="s">
        <v>46</v>
      </c>
      <c r="AL121" s="4" t="s">
        <v>46</v>
      </c>
      <c r="AM121" s="4" t="s">
        <v>46</v>
      </c>
      <c r="AN121" s="4" t="s">
        <v>46</v>
      </c>
      <c r="AO121" s="4" t="s">
        <v>46</v>
      </c>
      <c r="AP121" s="4" t="s">
        <v>46</v>
      </c>
    </row>
    <row r="122" spans="1:42">
      <c r="A122" s="2">
        <v>1891456</v>
      </c>
      <c r="B122" s="3">
        <v>45812</v>
      </c>
      <c r="C122" s="4" t="s">
        <v>377</v>
      </c>
      <c r="D122" s="2">
        <v>1755893</v>
      </c>
      <c r="E122" s="4" t="s">
        <v>378</v>
      </c>
      <c r="F122" s="4" t="s">
        <v>379</v>
      </c>
      <c r="G122" s="4" t="s">
        <v>46</v>
      </c>
      <c r="H122" s="4" t="s">
        <v>46</v>
      </c>
      <c r="I122" s="4" t="s">
        <v>46</v>
      </c>
      <c r="J122" s="4" t="s">
        <v>258</v>
      </c>
      <c r="K122" s="4" t="s">
        <v>259</v>
      </c>
      <c r="L122" s="3">
        <v>45839</v>
      </c>
      <c r="M122" s="4" t="s">
        <v>84</v>
      </c>
      <c r="N122" s="4" t="s">
        <v>46</v>
      </c>
      <c r="O122" s="4" t="s">
        <v>50</v>
      </c>
      <c r="P122" s="4" t="s">
        <v>118</v>
      </c>
      <c r="Q122" s="2">
        <v>1</v>
      </c>
      <c r="R122" s="2">
        <v>60</v>
      </c>
      <c r="S122" s="4" t="s">
        <v>260</v>
      </c>
      <c r="T122" s="4" t="s">
        <v>46</v>
      </c>
      <c r="U122" s="4" t="s">
        <v>46</v>
      </c>
      <c r="V122" s="5">
        <v>10</v>
      </c>
      <c r="W122" s="5">
        <v>12.99</v>
      </c>
      <c r="X122" s="5">
        <v>100</v>
      </c>
      <c r="Y122" s="5">
        <v>1.3</v>
      </c>
      <c r="Z122" s="4" t="s">
        <v>46</v>
      </c>
      <c r="AA122" s="5" t="s">
        <v>46</v>
      </c>
      <c r="AB122" s="4" t="s">
        <v>272</v>
      </c>
      <c r="AC122" s="4" t="s">
        <v>46</v>
      </c>
      <c r="AD122" s="5">
        <v>0</v>
      </c>
      <c r="AE122" s="4" t="s">
        <v>273</v>
      </c>
      <c r="AF122" s="3">
        <v>45693</v>
      </c>
      <c r="AG122" s="4" t="s">
        <v>46</v>
      </c>
      <c r="AH122" s="4" t="s">
        <v>46</v>
      </c>
      <c r="AI122" s="4" t="s">
        <v>46</v>
      </c>
      <c r="AJ122" s="4" t="s">
        <v>46</v>
      </c>
      <c r="AK122" s="4" t="s">
        <v>46</v>
      </c>
      <c r="AL122" s="4" t="s">
        <v>46</v>
      </c>
      <c r="AM122" s="4" t="s">
        <v>46</v>
      </c>
      <c r="AN122" s="4" t="s">
        <v>46</v>
      </c>
      <c r="AO122" s="4" t="s">
        <v>46</v>
      </c>
      <c r="AP122" s="4" t="s">
        <v>46</v>
      </c>
    </row>
    <row r="123" spans="1:42">
      <c r="A123" s="2">
        <v>1891456</v>
      </c>
      <c r="B123" s="3">
        <v>45812</v>
      </c>
      <c r="C123" s="4" t="s">
        <v>377</v>
      </c>
      <c r="D123" s="2">
        <v>1755893</v>
      </c>
      <c r="E123" s="4" t="s">
        <v>380</v>
      </c>
      <c r="F123" s="4" t="s">
        <v>381</v>
      </c>
      <c r="G123" s="4" t="s">
        <v>46</v>
      </c>
      <c r="H123" s="4" t="s">
        <v>46</v>
      </c>
      <c r="I123" s="4" t="s">
        <v>46</v>
      </c>
      <c r="J123" s="4" t="s">
        <v>258</v>
      </c>
      <c r="K123" s="4" t="s">
        <v>259</v>
      </c>
      <c r="L123" s="3">
        <v>45839</v>
      </c>
      <c r="M123" s="4" t="s">
        <v>84</v>
      </c>
      <c r="N123" s="4" t="s">
        <v>46</v>
      </c>
      <c r="O123" s="4" t="s">
        <v>50</v>
      </c>
      <c r="P123" s="4" t="s">
        <v>118</v>
      </c>
      <c r="Q123" s="2">
        <v>1</v>
      </c>
      <c r="R123" s="2">
        <v>60</v>
      </c>
      <c r="S123" s="4" t="s">
        <v>260</v>
      </c>
      <c r="T123" s="4" t="s">
        <v>46</v>
      </c>
      <c r="U123" s="4" t="s">
        <v>46</v>
      </c>
      <c r="V123" s="5">
        <v>10</v>
      </c>
      <c r="W123" s="5">
        <v>12.99</v>
      </c>
      <c r="X123" s="5">
        <v>100</v>
      </c>
      <c r="Y123" s="5">
        <v>1.3</v>
      </c>
      <c r="Z123" s="4" t="s">
        <v>46</v>
      </c>
      <c r="AA123" s="5" t="s">
        <v>46</v>
      </c>
      <c r="AB123" s="4" t="s">
        <v>272</v>
      </c>
      <c r="AC123" s="4" t="s">
        <v>46</v>
      </c>
      <c r="AD123" s="5">
        <v>0</v>
      </c>
      <c r="AE123" s="4" t="s">
        <v>273</v>
      </c>
      <c r="AF123" s="3">
        <v>45717</v>
      </c>
      <c r="AG123" s="4" t="s">
        <v>46</v>
      </c>
      <c r="AH123" s="4" t="s">
        <v>46</v>
      </c>
      <c r="AI123" s="4" t="s">
        <v>46</v>
      </c>
      <c r="AJ123" s="4" t="s">
        <v>46</v>
      </c>
      <c r="AK123" s="4" t="s">
        <v>46</v>
      </c>
      <c r="AL123" s="4" t="s">
        <v>46</v>
      </c>
      <c r="AM123" s="4" t="s">
        <v>46</v>
      </c>
      <c r="AN123" s="4" t="s">
        <v>46</v>
      </c>
      <c r="AO123" s="4" t="s">
        <v>46</v>
      </c>
      <c r="AP123" s="4" t="s">
        <v>46</v>
      </c>
    </row>
    <row r="124" spans="1:42">
      <c r="A124" s="2">
        <v>1891456</v>
      </c>
      <c r="B124" s="3">
        <v>45812</v>
      </c>
      <c r="C124" s="4" t="s">
        <v>377</v>
      </c>
      <c r="D124" s="2">
        <v>1755893</v>
      </c>
      <c r="E124" s="4" t="s">
        <v>382</v>
      </c>
      <c r="F124" s="4" t="s">
        <v>383</v>
      </c>
      <c r="G124" s="4" t="s">
        <v>46</v>
      </c>
      <c r="H124" s="4" t="s">
        <v>46</v>
      </c>
      <c r="I124" s="4" t="s">
        <v>46</v>
      </c>
      <c r="J124" s="4" t="s">
        <v>258</v>
      </c>
      <c r="K124" s="4" t="s">
        <v>259</v>
      </c>
      <c r="L124" s="3">
        <v>45839</v>
      </c>
      <c r="M124" s="4" t="s">
        <v>84</v>
      </c>
      <c r="N124" s="4" t="s">
        <v>46</v>
      </c>
      <c r="O124" s="4" t="s">
        <v>50</v>
      </c>
      <c r="P124" s="4" t="s">
        <v>118</v>
      </c>
      <c r="Q124" s="2">
        <v>1</v>
      </c>
      <c r="R124" s="2">
        <v>60</v>
      </c>
      <c r="S124" s="4" t="s">
        <v>260</v>
      </c>
      <c r="T124" s="4" t="s">
        <v>46</v>
      </c>
      <c r="U124" s="4" t="s">
        <v>46</v>
      </c>
      <c r="V124" s="5">
        <v>10</v>
      </c>
      <c r="W124" s="5">
        <v>12.99</v>
      </c>
      <c r="X124" s="5">
        <v>100</v>
      </c>
      <c r="Y124" s="5">
        <v>1.3</v>
      </c>
      <c r="Z124" s="4" t="s">
        <v>46</v>
      </c>
      <c r="AA124" s="5" t="s">
        <v>46</v>
      </c>
      <c r="AB124" s="4" t="s">
        <v>272</v>
      </c>
      <c r="AC124" s="4" t="s">
        <v>46</v>
      </c>
      <c r="AD124" s="5">
        <v>0</v>
      </c>
      <c r="AE124" s="4" t="s">
        <v>273</v>
      </c>
      <c r="AF124" s="3">
        <v>45748</v>
      </c>
      <c r="AG124" s="4" t="s">
        <v>46</v>
      </c>
      <c r="AH124" s="4" t="s">
        <v>46</v>
      </c>
      <c r="AI124" s="4" t="s">
        <v>46</v>
      </c>
      <c r="AJ124" s="4" t="s">
        <v>46</v>
      </c>
      <c r="AK124" s="4" t="s">
        <v>46</v>
      </c>
      <c r="AL124" s="4" t="s">
        <v>46</v>
      </c>
      <c r="AM124" s="4" t="s">
        <v>46</v>
      </c>
      <c r="AN124" s="4" t="s">
        <v>46</v>
      </c>
      <c r="AO124" s="4" t="s">
        <v>46</v>
      </c>
      <c r="AP124" s="4" t="s">
        <v>46</v>
      </c>
    </row>
    <row r="125" spans="1:42">
      <c r="A125" s="2">
        <v>1891456</v>
      </c>
      <c r="B125" s="3">
        <v>45812</v>
      </c>
      <c r="C125" s="4" t="s">
        <v>377</v>
      </c>
      <c r="D125" s="2">
        <v>1755893</v>
      </c>
      <c r="E125" s="4" t="s">
        <v>384</v>
      </c>
      <c r="F125" s="4" t="s">
        <v>385</v>
      </c>
      <c r="G125" s="4" t="s">
        <v>46</v>
      </c>
      <c r="H125" s="4" t="s">
        <v>46</v>
      </c>
      <c r="I125" s="4" t="s">
        <v>46</v>
      </c>
      <c r="J125" s="4" t="s">
        <v>258</v>
      </c>
      <c r="K125" s="4" t="s">
        <v>259</v>
      </c>
      <c r="L125" s="3">
        <v>45839</v>
      </c>
      <c r="M125" s="4" t="s">
        <v>84</v>
      </c>
      <c r="N125" s="4" t="s">
        <v>46</v>
      </c>
      <c r="O125" s="4" t="s">
        <v>50</v>
      </c>
      <c r="P125" s="4" t="s">
        <v>118</v>
      </c>
      <c r="Q125" s="2">
        <v>1</v>
      </c>
      <c r="R125" s="2">
        <v>60</v>
      </c>
      <c r="S125" s="4" t="s">
        <v>260</v>
      </c>
      <c r="T125" s="4" t="s">
        <v>46</v>
      </c>
      <c r="U125" s="4" t="s">
        <v>46</v>
      </c>
      <c r="V125" s="5">
        <v>10</v>
      </c>
      <c r="W125" s="5">
        <v>12.99</v>
      </c>
      <c r="X125" s="5">
        <v>100</v>
      </c>
      <c r="Y125" s="5">
        <v>1.3</v>
      </c>
      <c r="Z125" s="4" t="s">
        <v>46</v>
      </c>
      <c r="AA125" s="5" t="s">
        <v>46</v>
      </c>
      <c r="AB125" s="4" t="s">
        <v>272</v>
      </c>
      <c r="AC125" s="4" t="s">
        <v>46</v>
      </c>
      <c r="AD125" s="5">
        <v>0</v>
      </c>
      <c r="AE125" s="4" t="s">
        <v>273</v>
      </c>
      <c r="AF125" s="3">
        <v>45778</v>
      </c>
      <c r="AG125" s="4" t="s">
        <v>46</v>
      </c>
      <c r="AH125" s="4" t="s">
        <v>46</v>
      </c>
      <c r="AI125" s="4" t="s">
        <v>46</v>
      </c>
      <c r="AJ125" s="4" t="s">
        <v>46</v>
      </c>
      <c r="AK125" s="4" t="s">
        <v>46</v>
      </c>
      <c r="AL125" s="4" t="s">
        <v>46</v>
      </c>
      <c r="AM125" s="4" t="s">
        <v>46</v>
      </c>
      <c r="AN125" s="4" t="s">
        <v>46</v>
      </c>
      <c r="AO125" s="4" t="s">
        <v>46</v>
      </c>
      <c r="AP125" s="4" t="s">
        <v>46</v>
      </c>
    </row>
    <row r="126" spans="1:42">
      <c r="A126" s="2">
        <v>1891456</v>
      </c>
      <c r="B126" s="3">
        <v>45812</v>
      </c>
      <c r="C126" s="4" t="s">
        <v>194</v>
      </c>
      <c r="D126" s="2">
        <v>1758433</v>
      </c>
      <c r="E126" s="4" t="s">
        <v>386</v>
      </c>
      <c r="F126" s="4" t="s">
        <v>387</v>
      </c>
      <c r="G126" s="4" t="s">
        <v>46</v>
      </c>
      <c r="H126" s="4" t="s">
        <v>46</v>
      </c>
      <c r="I126" s="4" t="s">
        <v>46</v>
      </c>
      <c r="J126" s="4" t="s">
        <v>251</v>
      </c>
      <c r="K126" s="4" t="s">
        <v>48</v>
      </c>
      <c r="L126" s="3">
        <v>45809</v>
      </c>
      <c r="M126" s="4" t="s">
        <v>49</v>
      </c>
      <c r="N126" s="4" t="s">
        <v>46</v>
      </c>
      <c r="O126" s="4" t="s">
        <v>118</v>
      </c>
      <c r="P126" s="4" t="s">
        <v>118</v>
      </c>
      <c r="Q126" s="2">
        <v>1</v>
      </c>
      <c r="R126" s="2">
        <v>17</v>
      </c>
      <c r="S126" s="4" t="s">
        <v>51</v>
      </c>
      <c r="T126" s="4" t="s">
        <v>46</v>
      </c>
      <c r="U126" s="4" t="s">
        <v>46</v>
      </c>
      <c r="V126" s="5">
        <v>22</v>
      </c>
      <c r="W126" s="5">
        <v>130.03</v>
      </c>
      <c r="X126" s="5">
        <v>100</v>
      </c>
      <c r="Y126" s="5">
        <v>28.61</v>
      </c>
      <c r="Z126" s="5">
        <v>0</v>
      </c>
      <c r="AA126" s="5">
        <v>0</v>
      </c>
      <c r="AB126" s="4" t="s">
        <v>311</v>
      </c>
      <c r="AC126" s="4" t="s">
        <v>46</v>
      </c>
      <c r="AD126" s="5">
        <v>0</v>
      </c>
      <c r="AE126" s="4" t="s">
        <v>312</v>
      </c>
      <c r="AF126" s="3">
        <v>45323</v>
      </c>
      <c r="AG126" s="4" t="s">
        <v>46</v>
      </c>
      <c r="AH126" s="4" t="s">
        <v>46</v>
      </c>
      <c r="AI126" s="4" t="s">
        <v>46</v>
      </c>
      <c r="AJ126" s="4" t="s">
        <v>46</v>
      </c>
      <c r="AK126" s="4" t="s">
        <v>46</v>
      </c>
      <c r="AL126" s="4" t="s">
        <v>46</v>
      </c>
      <c r="AM126" s="4" t="s">
        <v>46</v>
      </c>
      <c r="AN126" s="4" t="s">
        <v>46</v>
      </c>
      <c r="AO126" s="4" t="s">
        <v>46</v>
      </c>
      <c r="AP126" s="4" t="s">
        <v>46</v>
      </c>
    </row>
    <row r="127" spans="1:42">
      <c r="A127" s="2">
        <v>1891456</v>
      </c>
      <c r="B127" s="3">
        <v>45812</v>
      </c>
      <c r="C127" s="4" t="s">
        <v>194</v>
      </c>
      <c r="D127" s="2">
        <v>1758433</v>
      </c>
      <c r="E127" s="4" t="s">
        <v>388</v>
      </c>
      <c r="F127" s="4" t="s">
        <v>389</v>
      </c>
      <c r="G127" s="4" t="s">
        <v>46</v>
      </c>
      <c r="H127" s="4" t="s">
        <v>46</v>
      </c>
      <c r="I127" s="4" t="s">
        <v>46</v>
      </c>
      <c r="J127" s="4" t="s">
        <v>251</v>
      </c>
      <c r="K127" s="4" t="s">
        <v>48</v>
      </c>
      <c r="L127" s="3">
        <v>45809</v>
      </c>
      <c r="M127" s="4" t="s">
        <v>49</v>
      </c>
      <c r="N127" s="4" t="s">
        <v>46</v>
      </c>
      <c r="O127" s="4" t="s">
        <v>118</v>
      </c>
      <c r="P127" s="4" t="s">
        <v>118</v>
      </c>
      <c r="Q127" s="2">
        <v>1</v>
      </c>
      <c r="R127" s="2">
        <v>17</v>
      </c>
      <c r="S127" s="4" t="s">
        <v>51</v>
      </c>
      <c r="T127" s="4" t="s">
        <v>46</v>
      </c>
      <c r="U127" s="4" t="s">
        <v>46</v>
      </c>
      <c r="V127" s="5">
        <v>22</v>
      </c>
      <c r="W127" s="5">
        <v>115.3</v>
      </c>
      <c r="X127" s="5">
        <v>100</v>
      </c>
      <c r="Y127" s="5">
        <v>25.37</v>
      </c>
      <c r="Z127" s="5">
        <v>0</v>
      </c>
      <c r="AA127" s="5">
        <v>0</v>
      </c>
      <c r="AB127" s="4" t="s">
        <v>311</v>
      </c>
      <c r="AC127" s="4" t="s">
        <v>46</v>
      </c>
      <c r="AD127" s="5">
        <v>0</v>
      </c>
      <c r="AE127" s="4" t="s">
        <v>312</v>
      </c>
      <c r="AF127" s="3">
        <v>45323</v>
      </c>
      <c r="AG127" s="4" t="s">
        <v>46</v>
      </c>
      <c r="AH127" s="4" t="s">
        <v>46</v>
      </c>
      <c r="AI127" s="4" t="s">
        <v>46</v>
      </c>
      <c r="AJ127" s="4" t="s">
        <v>46</v>
      </c>
      <c r="AK127" s="4" t="s">
        <v>46</v>
      </c>
      <c r="AL127" s="4" t="s">
        <v>46</v>
      </c>
      <c r="AM127" s="4" t="s">
        <v>46</v>
      </c>
      <c r="AN127" s="4" t="s">
        <v>46</v>
      </c>
      <c r="AO127" s="4" t="s">
        <v>46</v>
      </c>
      <c r="AP127" s="4" t="s">
        <v>46</v>
      </c>
    </row>
    <row r="128" spans="1:42">
      <c r="A128" s="2">
        <v>1891456</v>
      </c>
      <c r="B128" s="3">
        <v>45812</v>
      </c>
      <c r="C128" s="4" t="s">
        <v>194</v>
      </c>
      <c r="D128" s="2">
        <v>1758433</v>
      </c>
      <c r="E128" s="4" t="s">
        <v>390</v>
      </c>
      <c r="F128" s="4" t="s">
        <v>391</v>
      </c>
      <c r="G128" s="4" t="s">
        <v>46</v>
      </c>
      <c r="H128" s="4" t="s">
        <v>46</v>
      </c>
      <c r="I128" s="4" t="s">
        <v>46</v>
      </c>
      <c r="J128" s="4" t="s">
        <v>251</v>
      </c>
      <c r="K128" s="4" t="s">
        <v>48</v>
      </c>
      <c r="L128" s="3">
        <v>45809</v>
      </c>
      <c r="M128" s="4" t="s">
        <v>49</v>
      </c>
      <c r="N128" s="4" t="s">
        <v>46</v>
      </c>
      <c r="O128" s="4" t="s">
        <v>118</v>
      </c>
      <c r="P128" s="4" t="s">
        <v>118</v>
      </c>
      <c r="Q128" s="2">
        <v>1</v>
      </c>
      <c r="R128" s="2">
        <v>17</v>
      </c>
      <c r="S128" s="4" t="s">
        <v>51</v>
      </c>
      <c r="T128" s="4" t="s">
        <v>46</v>
      </c>
      <c r="U128" s="4" t="s">
        <v>46</v>
      </c>
      <c r="V128" s="5">
        <v>22</v>
      </c>
      <c r="W128" s="5">
        <v>115.3</v>
      </c>
      <c r="X128" s="5">
        <v>100</v>
      </c>
      <c r="Y128" s="5">
        <v>25.37</v>
      </c>
      <c r="Z128" s="5">
        <v>0</v>
      </c>
      <c r="AA128" s="5">
        <v>0</v>
      </c>
      <c r="AB128" s="4" t="s">
        <v>311</v>
      </c>
      <c r="AC128" s="4" t="s">
        <v>46</v>
      </c>
      <c r="AD128" s="5">
        <v>0</v>
      </c>
      <c r="AE128" s="4" t="s">
        <v>312</v>
      </c>
      <c r="AF128" s="3">
        <v>45383</v>
      </c>
      <c r="AG128" s="4" t="s">
        <v>46</v>
      </c>
      <c r="AH128" s="4" t="s">
        <v>46</v>
      </c>
      <c r="AI128" s="4" t="s">
        <v>46</v>
      </c>
      <c r="AJ128" s="4" t="s">
        <v>46</v>
      </c>
      <c r="AK128" s="4" t="s">
        <v>46</v>
      </c>
      <c r="AL128" s="4" t="s">
        <v>46</v>
      </c>
      <c r="AM128" s="4" t="s">
        <v>46</v>
      </c>
      <c r="AN128" s="4" t="s">
        <v>46</v>
      </c>
      <c r="AO128" s="4" t="s">
        <v>46</v>
      </c>
      <c r="AP128" s="4" t="s">
        <v>46</v>
      </c>
    </row>
    <row r="129" spans="1:42">
      <c r="A129" s="2">
        <v>1891456</v>
      </c>
      <c r="B129" s="3">
        <v>45812</v>
      </c>
      <c r="C129" s="4" t="s">
        <v>194</v>
      </c>
      <c r="D129" s="2">
        <v>1758433</v>
      </c>
      <c r="E129" s="4" t="s">
        <v>392</v>
      </c>
      <c r="F129" s="4" t="s">
        <v>393</v>
      </c>
      <c r="G129" s="4" t="s">
        <v>46</v>
      </c>
      <c r="H129" s="4" t="s">
        <v>46</v>
      </c>
      <c r="I129" s="4" t="s">
        <v>46</v>
      </c>
      <c r="J129" s="4" t="s">
        <v>251</v>
      </c>
      <c r="K129" s="4" t="s">
        <v>48</v>
      </c>
      <c r="L129" s="3">
        <v>45809</v>
      </c>
      <c r="M129" s="4" t="s">
        <v>49</v>
      </c>
      <c r="N129" s="4" t="s">
        <v>46</v>
      </c>
      <c r="O129" s="4" t="s">
        <v>118</v>
      </c>
      <c r="P129" s="4" t="s">
        <v>118</v>
      </c>
      <c r="Q129" s="2">
        <v>1</v>
      </c>
      <c r="R129" s="2">
        <v>17</v>
      </c>
      <c r="S129" s="4" t="s">
        <v>51</v>
      </c>
      <c r="T129" s="4" t="s">
        <v>46</v>
      </c>
      <c r="U129" s="4" t="s">
        <v>46</v>
      </c>
      <c r="V129" s="5">
        <v>22</v>
      </c>
      <c r="W129" s="5">
        <v>156.38999999999999</v>
      </c>
      <c r="X129" s="5">
        <v>100</v>
      </c>
      <c r="Y129" s="5">
        <v>34.409999999999997</v>
      </c>
      <c r="Z129" s="5">
        <v>0</v>
      </c>
      <c r="AA129" s="5">
        <v>0</v>
      </c>
      <c r="AB129" s="4" t="s">
        <v>311</v>
      </c>
      <c r="AC129" s="4" t="s">
        <v>46</v>
      </c>
      <c r="AD129" s="5">
        <v>0</v>
      </c>
      <c r="AE129" s="4" t="s">
        <v>312</v>
      </c>
      <c r="AF129" s="3">
        <v>45383</v>
      </c>
      <c r="AG129" s="4" t="s">
        <v>46</v>
      </c>
      <c r="AH129" s="4" t="s">
        <v>46</v>
      </c>
      <c r="AI129" s="4" t="s">
        <v>46</v>
      </c>
      <c r="AJ129" s="4" t="s">
        <v>46</v>
      </c>
      <c r="AK129" s="4" t="s">
        <v>46</v>
      </c>
      <c r="AL129" s="4" t="s">
        <v>46</v>
      </c>
      <c r="AM129" s="4" t="s">
        <v>46</v>
      </c>
      <c r="AN129" s="4" t="s">
        <v>46</v>
      </c>
      <c r="AO129" s="4" t="s">
        <v>46</v>
      </c>
      <c r="AP129" s="4" t="s">
        <v>46</v>
      </c>
    </row>
    <row r="130" spans="1:42">
      <c r="A130" s="2">
        <v>1891456</v>
      </c>
      <c r="B130" s="3">
        <v>45812</v>
      </c>
      <c r="C130" s="4" t="s">
        <v>194</v>
      </c>
      <c r="D130" s="2">
        <v>1758433</v>
      </c>
      <c r="E130" s="4" t="s">
        <v>394</v>
      </c>
      <c r="F130" s="4" t="s">
        <v>395</v>
      </c>
      <c r="G130" s="4" t="s">
        <v>46</v>
      </c>
      <c r="H130" s="4" t="s">
        <v>46</v>
      </c>
      <c r="I130" s="4" t="s">
        <v>46</v>
      </c>
      <c r="J130" s="4" t="s">
        <v>251</v>
      </c>
      <c r="K130" s="4" t="s">
        <v>48</v>
      </c>
      <c r="L130" s="3">
        <v>45809</v>
      </c>
      <c r="M130" s="4" t="s">
        <v>49</v>
      </c>
      <c r="N130" s="4" t="s">
        <v>46</v>
      </c>
      <c r="O130" s="4" t="s">
        <v>118</v>
      </c>
      <c r="P130" s="4" t="s">
        <v>118</v>
      </c>
      <c r="Q130" s="2">
        <v>1</v>
      </c>
      <c r="R130" s="2">
        <v>17</v>
      </c>
      <c r="S130" s="4" t="s">
        <v>51</v>
      </c>
      <c r="T130" s="4" t="s">
        <v>46</v>
      </c>
      <c r="U130" s="4" t="s">
        <v>46</v>
      </c>
      <c r="V130" s="5">
        <v>22</v>
      </c>
      <c r="W130" s="5">
        <v>130.03</v>
      </c>
      <c r="X130" s="5">
        <v>100</v>
      </c>
      <c r="Y130" s="5">
        <v>28.61</v>
      </c>
      <c r="Z130" s="5">
        <v>0</v>
      </c>
      <c r="AA130" s="5">
        <v>0</v>
      </c>
      <c r="AB130" s="4" t="s">
        <v>311</v>
      </c>
      <c r="AC130" s="4" t="s">
        <v>46</v>
      </c>
      <c r="AD130" s="5">
        <v>0</v>
      </c>
      <c r="AE130" s="4" t="s">
        <v>312</v>
      </c>
      <c r="AF130" s="3">
        <v>45444</v>
      </c>
      <c r="AG130" s="4" t="s">
        <v>46</v>
      </c>
      <c r="AH130" s="4" t="s">
        <v>46</v>
      </c>
      <c r="AI130" s="4" t="s">
        <v>46</v>
      </c>
      <c r="AJ130" s="4" t="s">
        <v>46</v>
      </c>
      <c r="AK130" s="4" t="s">
        <v>46</v>
      </c>
      <c r="AL130" s="4" t="s">
        <v>46</v>
      </c>
      <c r="AM130" s="4" t="s">
        <v>46</v>
      </c>
      <c r="AN130" s="4" t="s">
        <v>46</v>
      </c>
      <c r="AO130" s="4" t="s">
        <v>46</v>
      </c>
      <c r="AP130" s="4" t="s">
        <v>46</v>
      </c>
    </row>
    <row r="131" spans="1:42">
      <c r="A131" s="2">
        <v>1891456</v>
      </c>
      <c r="B131" s="3">
        <v>45812</v>
      </c>
      <c r="C131" s="4" t="s">
        <v>194</v>
      </c>
      <c r="D131" s="2">
        <v>1758433</v>
      </c>
      <c r="E131" s="4" t="s">
        <v>396</v>
      </c>
      <c r="F131" s="4" t="s">
        <v>397</v>
      </c>
      <c r="G131" s="4" t="s">
        <v>46</v>
      </c>
      <c r="H131" s="4" t="s">
        <v>46</v>
      </c>
      <c r="I131" s="4" t="s">
        <v>46</v>
      </c>
      <c r="J131" s="4" t="s">
        <v>251</v>
      </c>
      <c r="K131" s="4" t="s">
        <v>48</v>
      </c>
      <c r="L131" s="3">
        <v>45809</v>
      </c>
      <c r="M131" s="4" t="s">
        <v>49</v>
      </c>
      <c r="N131" s="4" t="s">
        <v>46</v>
      </c>
      <c r="O131" s="4" t="s">
        <v>50</v>
      </c>
      <c r="P131" s="4" t="s">
        <v>118</v>
      </c>
      <c r="Q131" s="2">
        <v>1</v>
      </c>
      <c r="R131" s="2">
        <v>17</v>
      </c>
      <c r="S131" s="4" t="s">
        <v>51</v>
      </c>
      <c r="T131" s="4" t="s">
        <v>46</v>
      </c>
      <c r="U131" s="4" t="s">
        <v>46</v>
      </c>
      <c r="V131" s="5">
        <v>22</v>
      </c>
      <c r="W131" s="5">
        <v>1484.16</v>
      </c>
      <c r="X131" s="5">
        <v>100</v>
      </c>
      <c r="Y131" s="5">
        <v>326.52</v>
      </c>
      <c r="Z131" s="5">
        <v>0</v>
      </c>
      <c r="AA131" s="5">
        <v>0</v>
      </c>
      <c r="AB131" s="4" t="s">
        <v>398</v>
      </c>
      <c r="AC131" s="4" t="s">
        <v>46</v>
      </c>
      <c r="AD131" s="5">
        <v>0</v>
      </c>
      <c r="AE131" s="4" t="s">
        <v>399</v>
      </c>
      <c r="AF131" s="3">
        <v>45809</v>
      </c>
      <c r="AG131" s="4" t="s">
        <v>46</v>
      </c>
      <c r="AH131" s="4" t="s">
        <v>46</v>
      </c>
      <c r="AI131" s="4" t="s">
        <v>46</v>
      </c>
      <c r="AJ131" s="4" t="s">
        <v>46</v>
      </c>
      <c r="AK131" s="4" t="s">
        <v>46</v>
      </c>
      <c r="AL131" s="4" t="s">
        <v>46</v>
      </c>
      <c r="AM131" s="4" t="s">
        <v>46</v>
      </c>
      <c r="AN131" s="4" t="s">
        <v>46</v>
      </c>
      <c r="AO131" s="4" t="s">
        <v>46</v>
      </c>
      <c r="AP131" s="4" t="s">
        <v>46</v>
      </c>
    </row>
    <row r="132" spans="1:42">
      <c r="A132" s="2">
        <v>1891456</v>
      </c>
      <c r="B132" s="3">
        <v>45812</v>
      </c>
      <c r="C132" s="4" t="s">
        <v>209</v>
      </c>
      <c r="D132" s="2">
        <v>1775329</v>
      </c>
      <c r="E132" s="4" t="s">
        <v>400</v>
      </c>
      <c r="F132" s="4" t="s">
        <v>401</v>
      </c>
      <c r="G132" s="4" t="s">
        <v>46</v>
      </c>
      <c r="H132" s="4" t="s">
        <v>46</v>
      </c>
      <c r="I132" s="4" t="s">
        <v>46</v>
      </c>
      <c r="J132" s="4" t="s">
        <v>251</v>
      </c>
      <c r="K132" s="4" t="s">
        <v>48</v>
      </c>
      <c r="L132" s="3">
        <v>45809</v>
      </c>
      <c r="M132" s="4" t="s">
        <v>49</v>
      </c>
      <c r="N132" s="4" t="s">
        <v>46</v>
      </c>
      <c r="O132" s="4" t="s">
        <v>50</v>
      </c>
      <c r="P132" s="4" t="s">
        <v>118</v>
      </c>
      <c r="Q132" s="2">
        <v>1</v>
      </c>
      <c r="R132" s="2">
        <v>17</v>
      </c>
      <c r="S132" s="4" t="s">
        <v>51</v>
      </c>
      <c r="T132" s="4" t="s">
        <v>46</v>
      </c>
      <c r="U132" s="4" t="s">
        <v>46</v>
      </c>
      <c r="V132" s="5">
        <v>11</v>
      </c>
      <c r="W132" s="5">
        <v>142.16999999999999</v>
      </c>
      <c r="X132" s="5">
        <v>100</v>
      </c>
      <c r="Y132" s="5">
        <v>15.64</v>
      </c>
      <c r="Z132" s="5">
        <v>0</v>
      </c>
      <c r="AA132" s="5">
        <v>0</v>
      </c>
      <c r="AB132" s="4" t="s">
        <v>59</v>
      </c>
      <c r="AC132" s="4" t="s">
        <v>46</v>
      </c>
      <c r="AD132" s="5">
        <v>0</v>
      </c>
      <c r="AE132" s="4" t="s">
        <v>60</v>
      </c>
      <c r="AF132" s="3">
        <v>45505</v>
      </c>
      <c r="AG132" s="4" t="s">
        <v>46</v>
      </c>
      <c r="AH132" s="4" t="s">
        <v>46</v>
      </c>
      <c r="AI132" s="4" t="s">
        <v>46</v>
      </c>
      <c r="AJ132" s="4" t="s">
        <v>46</v>
      </c>
      <c r="AK132" s="4" t="s">
        <v>46</v>
      </c>
      <c r="AL132" s="4" t="s">
        <v>46</v>
      </c>
      <c r="AM132" s="4" t="s">
        <v>46</v>
      </c>
      <c r="AN132" s="4" t="s">
        <v>46</v>
      </c>
      <c r="AO132" s="4" t="s">
        <v>46</v>
      </c>
      <c r="AP132" s="4" t="s">
        <v>46</v>
      </c>
    </row>
    <row r="133" spans="1:42">
      <c r="A133" s="2">
        <v>1891456</v>
      </c>
      <c r="B133" s="3">
        <v>45812</v>
      </c>
      <c r="C133" s="4" t="s">
        <v>209</v>
      </c>
      <c r="D133" s="2">
        <v>1775329</v>
      </c>
      <c r="E133" s="4" t="s">
        <v>402</v>
      </c>
      <c r="F133" s="4" t="s">
        <v>403</v>
      </c>
      <c r="G133" s="4" t="s">
        <v>46</v>
      </c>
      <c r="H133" s="4" t="s">
        <v>46</v>
      </c>
      <c r="I133" s="4" t="s">
        <v>46</v>
      </c>
      <c r="J133" s="4" t="s">
        <v>251</v>
      </c>
      <c r="K133" s="4" t="s">
        <v>48</v>
      </c>
      <c r="L133" s="3">
        <v>45809</v>
      </c>
      <c r="M133" s="4" t="s">
        <v>49</v>
      </c>
      <c r="N133" s="4" t="s">
        <v>46</v>
      </c>
      <c r="O133" s="4" t="s">
        <v>50</v>
      </c>
      <c r="P133" s="4" t="s">
        <v>118</v>
      </c>
      <c r="Q133" s="2">
        <v>1</v>
      </c>
      <c r="R133" s="2">
        <v>17</v>
      </c>
      <c r="S133" s="4" t="s">
        <v>51</v>
      </c>
      <c r="T133" s="4" t="s">
        <v>46</v>
      </c>
      <c r="U133" s="4" t="s">
        <v>46</v>
      </c>
      <c r="V133" s="5">
        <v>11</v>
      </c>
      <c r="W133" s="5">
        <v>142.16999999999999</v>
      </c>
      <c r="X133" s="5">
        <v>100</v>
      </c>
      <c r="Y133" s="5">
        <v>15.64</v>
      </c>
      <c r="Z133" s="5">
        <v>0</v>
      </c>
      <c r="AA133" s="5">
        <v>0</v>
      </c>
      <c r="AB133" s="4" t="s">
        <v>59</v>
      </c>
      <c r="AC133" s="4" t="s">
        <v>46</v>
      </c>
      <c r="AD133" s="5">
        <v>0</v>
      </c>
      <c r="AE133" s="4" t="s">
        <v>60</v>
      </c>
      <c r="AF133" s="3">
        <v>45505</v>
      </c>
      <c r="AG133" s="4" t="s">
        <v>46</v>
      </c>
      <c r="AH133" s="4" t="s">
        <v>46</v>
      </c>
      <c r="AI133" s="4" t="s">
        <v>46</v>
      </c>
      <c r="AJ133" s="4" t="s">
        <v>46</v>
      </c>
      <c r="AK133" s="4" t="s">
        <v>46</v>
      </c>
      <c r="AL133" s="4" t="s">
        <v>46</v>
      </c>
      <c r="AM133" s="4" t="s">
        <v>46</v>
      </c>
      <c r="AN133" s="4" t="s">
        <v>46</v>
      </c>
      <c r="AO133" s="4" t="s">
        <v>46</v>
      </c>
      <c r="AP133" s="4" t="s">
        <v>46</v>
      </c>
    </row>
    <row r="134" spans="1:42">
      <c r="A134" s="2">
        <v>1891456</v>
      </c>
      <c r="B134" s="3">
        <v>45812</v>
      </c>
      <c r="C134" s="4" t="s">
        <v>209</v>
      </c>
      <c r="D134" s="2">
        <v>1775329</v>
      </c>
      <c r="E134" s="4" t="s">
        <v>404</v>
      </c>
      <c r="F134" s="4" t="s">
        <v>405</v>
      </c>
      <c r="G134" s="4" t="s">
        <v>46</v>
      </c>
      <c r="H134" s="4" t="s">
        <v>46</v>
      </c>
      <c r="I134" s="4" t="s">
        <v>46</v>
      </c>
      <c r="J134" s="4" t="s">
        <v>251</v>
      </c>
      <c r="K134" s="4" t="s">
        <v>48</v>
      </c>
      <c r="L134" s="3">
        <v>45809</v>
      </c>
      <c r="M134" s="4" t="s">
        <v>49</v>
      </c>
      <c r="N134" s="4" t="s">
        <v>46</v>
      </c>
      <c r="O134" s="4" t="s">
        <v>50</v>
      </c>
      <c r="P134" s="4" t="s">
        <v>118</v>
      </c>
      <c r="Q134" s="2">
        <v>1</v>
      </c>
      <c r="R134" s="2">
        <v>17</v>
      </c>
      <c r="S134" s="4" t="s">
        <v>51</v>
      </c>
      <c r="T134" s="4" t="s">
        <v>46</v>
      </c>
      <c r="U134" s="4" t="s">
        <v>46</v>
      </c>
      <c r="V134" s="5">
        <v>22</v>
      </c>
      <c r="W134" s="5">
        <v>1830.84</v>
      </c>
      <c r="X134" s="5">
        <v>100</v>
      </c>
      <c r="Y134" s="5">
        <v>402.84</v>
      </c>
      <c r="Z134" s="5">
        <v>0</v>
      </c>
      <c r="AA134" s="5">
        <v>0</v>
      </c>
      <c r="AB134" s="4" t="s">
        <v>252</v>
      </c>
      <c r="AC134" s="4" t="s">
        <v>46</v>
      </c>
      <c r="AD134" s="5">
        <v>0</v>
      </c>
      <c r="AE134" s="4" t="s">
        <v>253</v>
      </c>
      <c r="AF134" s="3">
        <v>45809</v>
      </c>
      <c r="AG134" s="4" t="s">
        <v>46</v>
      </c>
      <c r="AH134" s="4" t="s">
        <v>46</v>
      </c>
      <c r="AI134" s="4" t="s">
        <v>46</v>
      </c>
      <c r="AJ134" s="4" t="s">
        <v>46</v>
      </c>
      <c r="AK134" s="4" t="s">
        <v>46</v>
      </c>
      <c r="AL134" s="4" t="s">
        <v>46</v>
      </c>
      <c r="AM134" s="4" t="s">
        <v>46</v>
      </c>
      <c r="AN134" s="4" t="s">
        <v>46</v>
      </c>
      <c r="AO134" s="4" t="s">
        <v>46</v>
      </c>
      <c r="AP134" s="4" t="s">
        <v>46</v>
      </c>
    </row>
    <row r="135" spans="1:42">
      <c r="A135" s="2">
        <v>1891456</v>
      </c>
      <c r="B135" s="3">
        <v>45812</v>
      </c>
      <c r="C135" s="4" t="s">
        <v>209</v>
      </c>
      <c r="D135" s="2">
        <v>1775329</v>
      </c>
      <c r="E135" s="4" t="s">
        <v>406</v>
      </c>
      <c r="F135" s="4" t="s">
        <v>407</v>
      </c>
      <c r="G135" s="4" t="s">
        <v>46</v>
      </c>
      <c r="H135" s="4" t="s">
        <v>46</v>
      </c>
      <c r="I135" s="4" t="s">
        <v>46</v>
      </c>
      <c r="J135" s="4" t="s">
        <v>251</v>
      </c>
      <c r="K135" s="4" t="s">
        <v>48</v>
      </c>
      <c r="L135" s="3">
        <v>45809</v>
      </c>
      <c r="M135" s="4" t="s">
        <v>49</v>
      </c>
      <c r="N135" s="4" t="s">
        <v>46</v>
      </c>
      <c r="O135" s="4" t="s">
        <v>50</v>
      </c>
      <c r="P135" s="4" t="s">
        <v>118</v>
      </c>
      <c r="Q135" s="2">
        <v>1</v>
      </c>
      <c r="R135" s="2">
        <v>17</v>
      </c>
      <c r="S135" s="4" t="s">
        <v>51</v>
      </c>
      <c r="T135" s="4" t="s">
        <v>46</v>
      </c>
      <c r="U135" s="4" t="s">
        <v>46</v>
      </c>
      <c r="V135" s="5">
        <v>22</v>
      </c>
      <c r="W135" s="5">
        <v>1843.92</v>
      </c>
      <c r="X135" s="5">
        <v>100</v>
      </c>
      <c r="Y135" s="5">
        <v>405.72</v>
      </c>
      <c r="Z135" s="5">
        <v>0</v>
      </c>
      <c r="AA135" s="5">
        <v>0</v>
      </c>
      <c r="AB135" s="4" t="s">
        <v>252</v>
      </c>
      <c r="AC135" s="4" t="s">
        <v>46</v>
      </c>
      <c r="AD135" s="5">
        <v>0</v>
      </c>
      <c r="AE135" s="4" t="s">
        <v>253</v>
      </c>
      <c r="AF135" s="3">
        <v>45809</v>
      </c>
      <c r="AG135" s="4" t="s">
        <v>46</v>
      </c>
      <c r="AH135" s="4" t="s">
        <v>46</v>
      </c>
      <c r="AI135" s="4" t="s">
        <v>46</v>
      </c>
      <c r="AJ135" s="4" t="s">
        <v>46</v>
      </c>
      <c r="AK135" s="4" t="s">
        <v>46</v>
      </c>
      <c r="AL135" s="4" t="s">
        <v>46</v>
      </c>
      <c r="AM135" s="4" t="s">
        <v>46</v>
      </c>
      <c r="AN135" s="4" t="s">
        <v>46</v>
      </c>
      <c r="AO135" s="4" t="s">
        <v>46</v>
      </c>
      <c r="AP135" s="4" t="s">
        <v>46</v>
      </c>
    </row>
    <row r="136" spans="1:42">
      <c r="A136" s="2">
        <v>1891456</v>
      </c>
      <c r="B136" s="3">
        <v>45812</v>
      </c>
      <c r="C136" s="4" t="s">
        <v>209</v>
      </c>
      <c r="D136" s="2">
        <v>1775329</v>
      </c>
      <c r="E136" s="4" t="s">
        <v>210</v>
      </c>
      <c r="F136" s="4" t="s">
        <v>408</v>
      </c>
      <c r="G136" s="4" t="s">
        <v>46</v>
      </c>
      <c r="H136" s="4" t="s">
        <v>46</v>
      </c>
      <c r="I136" s="4" t="s">
        <v>46</v>
      </c>
      <c r="J136" s="4" t="s">
        <v>251</v>
      </c>
      <c r="K136" s="4" t="s">
        <v>48</v>
      </c>
      <c r="L136" s="3">
        <v>45809</v>
      </c>
      <c r="M136" s="4" t="s">
        <v>49</v>
      </c>
      <c r="N136" s="4" t="s">
        <v>46</v>
      </c>
      <c r="O136" s="4" t="s">
        <v>50</v>
      </c>
      <c r="P136" s="4" t="s">
        <v>118</v>
      </c>
      <c r="Q136" s="2">
        <v>1</v>
      </c>
      <c r="R136" s="2">
        <v>17</v>
      </c>
      <c r="S136" s="4" t="s">
        <v>51</v>
      </c>
      <c r="T136" s="4" t="s">
        <v>46</v>
      </c>
      <c r="U136" s="4" t="s">
        <v>46</v>
      </c>
      <c r="V136" s="5">
        <v>22</v>
      </c>
      <c r="W136" s="5">
        <v>1622.64</v>
      </c>
      <c r="X136" s="5">
        <v>100</v>
      </c>
      <c r="Y136" s="5">
        <v>357</v>
      </c>
      <c r="Z136" s="5">
        <v>0</v>
      </c>
      <c r="AA136" s="5">
        <v>0</v>
      </c>
      <c r="AB136" s="4" t="s">
        <v>252</v>
      </c>
      <c r="AC136" s="4" t="s">
        <v>46</v>
      </c>
      <c r="AD136" s="5">
        <v>0</v>
      </c>
      <c r="AE136" s="4" t="s">
        <v>253</v>
      </c>
      <c r="AF136" s="3">
        <v>45809</v>
      </c>
      <c r="AG136" s="4" t="s">
        <v>46</v>
      </c>
      <c r="AH136" s="4" t="s">
        <v>46</v>
      </c>
      <c r="AI136" s="4" t="s">
        <v>46</v>
      </c>
      <c r="AJ136" s="4" t="s">
        <v>46</v>
      </c>
      <c r="AK136" s="4" t="s">
        <v>46</v>
      </c>
      <c r="AL136" s="4" t="s">
        <v>46</v>
      </c>
      <c r="AM136" s="4" t="s">
        <v>46</v>
      </c>
      <c r="AN136" s="4" t="s">
        <v>46</v>
      </c>
      <c r="AO136" s="4" t="s">
        <v>46</v>
      </c>
      <c r="AP136" s="4" t="s">
        <v>46</v>
      </c>
    </row>
    <row r="137" spans="1:42">
      <c r="A137" s="2">
        <v>1891456</v>
      </c>
      <c r="B137" s="3">
        <v>45812</v>
      </c>
      <c r="C137" s="4" t="s">
        <v>225</v>
      </c>
      <c r="D137" s="2">
        <v>1831491</v>
      </c>
      <c r="E137" s="4" t="s">
        <v>409</v>
      </c>
      <c r="F137" s="4" t="s">
        <v>410</v>
      </c>
      <c r="G137" s="4" t="s">
        <v>46</v>
      </c>
      <c r="H137" s="4" t="s">
        <v>46</v>
      </c>
      <c r="I137" s="4" t="s">
        <v>46</v>
      </c>
      <c r="J137" s="4" t="s">
        <v>251</v>
      </c>
      <c r="K137" s="4" t="s">
        <v>48</v>
      </c>
      <c r="L137" s="3">
        <v>45809</v>
      </c>
      <c r="M137" s="4" t="s">
        <v>49</v>
      </c>
      <c r="N137" s="4" t="s">
        <v>46</v>
      </c>
      <c r="O137" s="4" t="s">
        <v>50</v>
      </c>
      <c r="P137" s="4" t="s">
        <v>118</v>
      </c>
      <c r="Q137" s="2">
        <v>1</v>
      </c>
      <c r="R137" s="2">
        <v>17</v>
      </c>
      <c r="S137" s="4" t="s">
        <v>51</v>
      </c>
      <c r="T137" s="4" t="s">
        <v>46</v>
      </c>
      <c r="U137" s="4" t="s">
        <v>46</v>
      </c>
      <c r="V137" s="5">
        <v>22</v>
      </c>
      <c r="W137" s="5">
        <v>1707.12</v>
      </c>
      <c r="X137" s="5">
        <v>100</v>
      </c>
      <c r="Y137" s="5">
        <v>375.6</v>
      </c>
      <c r="Z137" s="5">
        <v>0</v>
      </c>
      <c r="AA137" s="5">
        <v>0</v>
      </c>
      <c r="AB137" s="4" t="s">
        <v>252</v>
      </c>
      <c r="AC137" s="4" t="s">
        <v>46</v>
      </c>
      <c r="AD137" s="5">
        <v>0</v>
      </c>
      <c r="AE137" s="4" t="s">
        <v>253</v>
      </c>
      <c r="AF137" s="3">
        <v>45809</v>
      </c>
      <c r="AG137" s="4" t="s">
        <v>46</v>
      </c>
      <c r="AH137" s="4" t="s">
        <v>46</v>
      </c>
      <c r="AI137" s="4" t="s">
        <v>46</v>
      </c>
      <c r="AJ137" s="4" t="s">
        <v>46</v>
      </c>
      <c r="AK137" s="4" t="s">
        <v>46</v>
      </c>
      <c r="AL137" s="4" t="s">
        <v>46</v>
      </c>
      <c r="AM137" s="4" t="s">
        <v>46</v>
      </c>
      <c r="AN137" s="4" t="s">
        <v>46</v>
      </c>
      <c r="AO137" s="4" t="s">
        <v>46</v>
      </c>
      <c r="AP137" s="4" t="s">
        <v>46</v>
      </c>
    </row>
    <row r="138" spans="1:42">
      <c r="A138" s="2">
        <v>1891456</v>
      </c>
      <c r="B138" s="3">
        <v>45812</v>
      </c>
      <c r="C138" s="4" t="s">
        <v>225</v>
      </c>
      <c r="D138" s="2">
        <v>1831491</v>
      </c>
      <c r="E138" s="4" t="s">
        <v>411</v>
      </c>
      <c r="F138" s="4" t="s">
        <v>412</v>
      </c>
      <c r="G138" s="4" t="s">
        <v>46</v>
      </c>
      <c r="H138" s="4" t="s">
        <v>46</v>
      </c>
      <c r="I138" s="4" t="s">
        <v>46</v>
      </c>
      <c r="J138" s="4" t="s">
        <v>251</v>
      </c>
      <c r="K138" s="4" t="s">
        <v>48</v>
      </c>
      <c r="L138" s="3">
        <v>45809</v>
      </c>
      <c r="M138" s="4" t="s">
        <v>49</v>
      </c>
      <c r="N138" s="4" t="s">
        <v>46</v>
      </c>
      <c r="O138" s="4" t="s">
        <v>50</v>
      </c>
      <c r="P138" s="4" t="s">
        <v>118</v>
      </c>
      <c r="Q138" s="2">
        <v>1</v>
      </c>
      <c r="R138" s="2">
        <v>17</v>
      </c>
      <c r="S138" s="4" t="s">
        <v>51</v>
      </c>
      <c r="T138" s="4" t="s">
        <v>46</v>
      </c>
      <c r="U138" s="4" t="s">
        <v>46</v>
      </c>
      <c r="V138" s="5">
        <v>22</v>
      </c>
      <c r="W138" s="5">
        <v>1939.92</v>
      </c>
      <c r="X138" s="5">
        <v>100</v>
      </c>
      <c r="Y138" s="5">
        <v>426.84</v>
      </c>
      <c r="Z138" s="5">
        <v>0</v>
      </c>
      <c r="AA138" s="5">
        <v>0</v>
      </c>
      <c r="AB138" s="4" t="s">
        <v>252</v>
      </c>
      <c r="AC138" s="4" t="s">
        <v>46</v>
      </c>
      <c r="AD138" s="5">
        <v>0</v>
      </c>
      <c r="AE138" s="4" t="s">
        <v>253</v>
      </c>
      <c r="AF138" s="3">
        <v>45809</v>
      </c>
      <c r="AG138" s="4" t="s">
        <v>46</v>
      </c>
      <c r="AH138" s="4" t="s">
        <v>46</v>
      </c>
      <c r="AI138" s="4" t="s">
        <v>46</v>
      </c>
      <c r="AJ138" s="4" t="s">
        <v>46</v>
      </c>
      <c r="AK138" s="4" t="s">
        <v>46</v>
      </c>
      <c r="AL138" s="4" t="s">
        <v>46</v>
      </c>
      <c r="AM138" s="4" t="s">
        <v>46</v>
      </c>
      <c r="AN138" s="4" t="s">
        <v>46</v>
      </c>
      <c r="AO138" s="4" t="s">
        <v>46</v>
      </c>
      <c r="AP138" s="4" t="s">
        <v>46</v>
      </c>
    </row>
    <row r="139" spans="1:42">
      <c r="A139" s="2">
        <v>1891456</v>
      </c>
      <c r="B139" s="3">
        <v>45812</v>
      </c>
      <c r="C139" s="4" t="s">
        <v>225</v>
      </c>
      <c r="D139" s="2">
        <v>1831491</v>
      </c>
      <c r="E139" s="4" t="s">
        <v>413</v>
      </c>
      <c r="F139" s="4" t="s">
        <v>414</v>
      </c>
      <c r="G139" s="4" t="s">
        <v>46</v>
      </c>
      <c r="H139" s="4" t="s">
        <v>46</v>
      </c>
      <c r="I139" s="4" t="s">
        <v>46</v>
      </c>
      <c r="J139" s="4" t="s">
        <v>251</v>
      </c>
      <c r="K139" s="4" t="s">
        <v>48</v>
      </c>
      <c r="L139" s="3">
        <v>45809</v>
      </c>
      <c r="M139" s="4" t="s">
        <v>49</v>
      </c>
      <c r="N139" s="4" t="s">
        <v>46</v>
      </c>
      <c r="O139" s="4" t="s">
        <v>50</v>
      </c>
      <c r="P139" s="4" t="s">
        <v>118</v>
      </c>
      <c r="Q139" s="2">
        <v>1</v>
      </c>
      <c r="R139" s="2">
        <v>17</v>
      </c>
      <c r="S139" s="4" t="s">
        <v>51</v>
      </c>
      <c r="T139" s="4" t="s">
        <v>46</v>
      </c>
      <c r="U139" s="4" t="s">
        <v>46</v>
      </c>
      <c r="V139" s="5">
        <v>22</v>
      </c>
      <c r="W139" s="5">
        <v>1771.32</v>
      </c>
      <c r="X139" s="5">
        <v>100</v>
      </c>
      <c r="Y139" s="5">
        <v>389.64</v>
      </c>
      <c r="Z139" s="5">
        <v>0</v>
      </c>
      <c r="AA139" s="5">
        <v>0</v>
      </c>
      <c r="AB139" s="4" t="s">
        <v>252</v>
      </c>
      <c r="AC139" s="4" t="s">
        <v>46</v>
      </c>
      <c r="AD139" s="5">
        <v>0</v>
      </c>
      <c r="AE139" s="4" t="s">
        <v>253</v>
      </c>
      <c r="AF139" s="3">
        <v>45809</v>
      </c>
      <c r="AG139" s="4" t="s">
        <v>46</v>
      </c>
      <c r="AH139" s="4" t="s">
        <v>46</v>
      </c>
      <c r="AI139" s="4" t="s">
        <v>46</v>
      </c>
      <c r="AJ139" s="4" t="s">
        <v>46</v>
      </c>
      <c r="AK139" s="4" t="s">
        <v>46</v>
      </c>
      <c r="AL139" s="4" t="s">
        <v>46</v>
      </c>
      <c r="AM139" s="4" t="s">
        <v>46</v>
      </c>
      <c r="AN139" s="4" t="s">
        <v>46</v>
      </c>
      <c r="AO139" s="4" t="s">
        <v>46</v>
      </c>
      <c r="AP139" s="4" t="s">
        <v>46</v>
      </c>
    </row>
    <row r="140" spans="1:42">
      <c r="A140" s="2">
        <v>1891456</v>
      </c>
      <c r="B140" s="3">
        <v>45812</v>
      </c>
      <c r="C140" s="4" t="s">
        <v>225</v>
      </c>
      <c r="D140" s="2">
        <v>1831491</v>
      </c>
      <c r="E140" s="4" t="s">
        <v>415</v>
      </c>
      <c r="F140" s="4" t="s">
        <v>416</v>
      </c>
      <c r="G140" s="4" t="s">
        <v>46</v>
      </c>
      <c r="H140" s="4" t="s">
        <v>46</v>
      </c>
      <c r="I140" s="4" t="s">
        <v>46</v>
      </c>
      <c r="J140" s="4" t="s">
        <v>251</v>
      </c>
      <c r="K140" s="4" t="s">
        <v>48</v>
      </c>
      <c r="L140" s="3">
        <v>45809</v>
      </c>
      <c r="M140" s="4" t="s">
        <v>49</v>
      </c>
      <c r="N140" s="4" t="s">
        <v>46</v>
      </c>
      <c r="O140" s="4" t="s">
        <v>50</v>
      </c>
      <c r="P140" s="4" t="s">
        <v>118</v>
      </c>
      <c r="Q140" s="2">
        <v>1</v>
      </c>
      <c r="R140" s="2">
        <v>17</v>
      </c>
      <c r="S140" s="4" t="s">
        <v>51</v>
      </c>
      <c r="T140" s="4" t="s">
        <v>46</v>
      </c>
      <c r="U140" s="4" t="s">
        <v>46</v>
      </c>
      <c r="V140" s="5">
        <v>22</v>
      </c>
      <c r="W140" s="5">
        <v>1771.32</v>
      </c>
      <c r="X140" s="5">
        <v>100</v>
      </c>
      <c r="Y140" s="5">
        <v>389.64</v>
      </c>
      <c r="Z140" s="5">
        <v>0</v>
      </c>
      <c r="AA140" s="5">
        <v>0</v>
      </c>
      <c r="AB140" s="4" t="s">
        <v>252</v>
      </c>
      <c r="AC140" s="4" t="s">
        <v>46</v>
      </c>
      <c r="AD140" s="5">
        <v>0</v>
      </c>
      <c r="AE140" s="4" t="s">
        <v>253</v>
      </c>
      <c r="AF140" s="3">
        <v>45809</v>
      </c>
      <c r="AG140" s="4" t="s">
        <v>46</v>
      </c>
      <c r="AH140" s="4" t="s">
        <v>46</v>
      </c>
      <c r="AI140" s="4" t="s">
        <v>46</v>
      </c>
      <c r="AJ140" s="4" t="s">
        <v>46</v>
      </c>
      <c r="AK140" s="4" t="s">
        <v>46</v>
      </c>
      <c r="AL140" s="4" t="s">
        <v>46</v>
      </c>
      <c r="AM140" s="4" t="s">
        <v>46</v>
      </c>
      <c r="AN140" s="4" t="s">
        <v>46</v>
      </c>
      <c r="AO140" s="4" t="s">
        <v>46</v>
      </c>
      <c r="AP140" s="4" t="s">
        <v>46</v>
      </c>
    </row>
    <row r="141" spans="1:42">
      <c r="A141" s="2">
        <v>1891456</v>
      </c>
      <c r="B141" s="3">
        <v>45812</v>
      </c>
      <c r="C141" s="4" t="s">
        <v>225</v>
      </c>
      <c r="D141" s="2">
        <v>1831491</v>
      </c>
      <c r="E141" s="4" t="s">
        <v>226</v>
      </c>
      <c r="F141" s="4" t="s">
        <v>417</v>
      </c>
      <c r="G141" s="4" t="s">
        <v>46</v>
      </c>
      <c r="H141" s="4" t="s">
        <v>46</v>
      </c>
      <c r="I141" s="4" t="s">
        <v>46</v>
      </c>
      <c r="J141" s="4" t="s">
        <v>251</v>
      </c>
      <c r="K141" s="4" t="s">
        <v>48</v>
      </c>
      <c r="L141" s="3">
        <v>45809</v>
      </c>
      <c r="M141" s="4" t="s">
        <v>49</v>
      </c>
      <c r="N141" s="4" t="s">
        <v>46</v>
      </c>
      <c r="O141" s="4" t="s">
        <v>50</v>
      </c>
      <c r="P141" s="4" t="s">
        <v>118</v>
      </c>
      <c r="Q141" s="2">
        <v>1</v>
      </c>
      <c r="R141" s="2">
        <v>17</v>
      </c>
      <c r="S141" s="4" t="s">
        <v>51</v>
      </c>
      <c r="T141" s="4" t="s">
        <v>46</v>
      </c>
      <c r="U141" s="4" t="s">
        <v>46</v>
      </c>
      <c r="V141" s="5">
        <v>22</v>
      </c>
      <c r="W141" s="5">
        <v>1382.04</v>
      </c>
      <c r="X141" s="5">
        <v>100</v>
      </c>
      <c r="Y141" s="5">
        <v>304.08</v>
      </c>
      <c r="Z141" s="5">
        <v>0</v>
      </c>
      <c r="AA141" s="5">
        <v>0</v>
      </c>
      <c r="AB141" s="4" t="s">
        <v>252</v>
      </c>
      <c r="AC141" s="4" t="s">
        <v>46</v>
      </c>
      <c r="AD141" s="5">
        <v>0</v>
      </c>
      <c r="AE141" s="4" t="s">
        <v>253</v>
      </c>
      <c r="AF141" s="3">
        <v>45809</v>
      </c>
      <c r="AG141" s="4" t="s">
        <v>46</v>
      </c>
      <c r="AH141" s="4" t="s">
        <v>46</v>
      </c>
      <c r="AI141" s="4" t="s">
        <v>46</v>
      </c>
      <c r="AJ141" s="4" t="s">
        <v>46</v>
      </c>
      <c r="AK141" s="4" t="s">
        <v>46</v>
      </c>
      <c r="AL141" s="4" t="s">
        <v>46</v>
      </c>
      <c r="AM141" s="4" t="s">
        <v>46</v>
      </c>
      <c r="AN141" s="4" t="s">
        <v>46</v>
      </c>
      <c r="AO141" s="4" t="s">
        <v>46</v>
      </c>
      <c r="AP141" s="4" t="s">
        <v>46</v>
      </c>
    </row>
    <row r="142" spans="1:42">
      <c r="A142" s="2">
        <v>1891456</v>
      </c>
      <c r="B142" s="3">
        <v>45812</v>
      </c>
      <c r="C142" s="4" t="s">
        <v>225</v>
      </c>
      <c r="D142" s="2">
        <v>1831491</v>
      </c>
      <c r="E142" s="4" t="s">
        <v>418</v>
      </c>
      <c r="F142" s="4" t="s">
        <v>419</v>
      </c>
      <c r="G142" s="4" t="s">
        <v>46</v>
      </c>
      <c r="H142" s="4" t="s">
        <v>46</v>
      </c>
      <c r="I142" s="4" t="s">
        <v>46</v>
      </c>
      <c r="J142" s="4" t="s">
        <v>258</v>
      </c>
      <c r="K142" s="4" t="s">
        <v>259</v>
      </c>
      <c r="L142" s="3">
        <v>45839</v>
      </c>
      <c r="M142" s="4" t="s">
        <v>84</v>
      </c>
      <c r="N142" s="4" t="s">
        <v>46</v>
      </c>
      <c r="O142" s="4" t="s">
        <v>50</v>
      </c>
      <c r="P142" s="4" t="s">
        <v>118</v>
      </c>
      <c r="Q142" s="2">
        <v>1</v>
      </c>
      <c r="R142" s="2">
        <v>60</v>
      </c>
      <c r="S142" s="4" t="s">
        <v>260</v>
      </c>
      <c r="T142" s="4" t="s">
        <v>46</v>
      </c>
      <c r="U142" s="4" t="s">
        <v>46</v>
      </c>
      <c r="V142" s="5">
        <v>10</v>
      </c>
      <c r="W142" s="5">
        <v>13.93</v>
      </c>
      <c r="X142" s="5">
        <v>100</v>
      </c>
      <c r="Y142" s="5">
        <v>1.39</v>
      </c>
      <c r="Z142" s="4" t="s">
        <v>46</v>
      </c>
      <c r="AA142" s="5" t="s">
        <v>46</v>
      </c>
      <c r="AB142" s="4" t="s">
        <v>272</v>
      </c>
      <c r="AC142" s="4" t="s">
        <v>46</v>
      </c>
      <c r="AD142" s="5">
        <v>0</v>
      </c>
      <c r="AE142" s="4" t="s">
        <v>273</v>
      </c>
      <c r="AF142" s="3">
        <v>45778</v>
      </c>
      <c r="AG142" s="4" t="s">
        <v>46</v>
      </c>
      <c r="AH142" s="4" t="s">
        <v>46</v>
      </c>
      <c r="AI142" s="4" t="s">
        <v>46</v>
      </c>
      <c r="AJ142" s="4" t="s">
        <v>46</v>
      </c>
      <c r="AK142" s="4" t="s">
        <v>46</v>
      </c>
      <c r="AL142" s="4" t="s">
        <v>46</v>
      </c>
      <c r="AM142" s="4" t="s">
        <v>46</v>
      </c>
      <c r="AN142" s="4" t="s">
        <v>46</v>
      </c>
      <c r="AO142" s="4" t="s">
        <v>46</v>
      </c>
      <c r="AP142" s="4" t="s">
        <v>46</v>
      </c>
    </row>
    <row r="143" spans="1:42">
      <c r="A143" s="2">
        <v>1891456</v>
      </c>
      <c r="B143" s="3">
        <v>45812</v>
      </c>
      <c r="C143" s="4" t="s">
        <v>225</v>
      </c>
      <c r="D143" s="2">
        <v>1831491</v>
      </c>
      <c r="E143" s="4" t="s">
        <v>420</v>
      </c>
      <c r="F143" s="4" t="s">
        <v>421</v>
      </c>
      <c r="G143" s="4" t="s">
        <v>46</v>
      </c>
      <c r="H143" s="4" t="s">
        <v>46</v>
      </c>
      <c r="I143" s="4" t="s">
        <v>46</v>
      </c>
      <c r="J143" s="4" t="s">
        <v>258</v>
      </c>
      <c r="K143" s="4" t="s">
        <v>259</v>
      </c>
      <c r="L143" s="3">
        <v>45809</v>
      </c>
      <c r="M143" s="4" t="s">
        <v>49</v>
      </c>
      <c r="N143" s="4" t="s">
        <v>46</v>
      </c>
      <c r="O143" s="4" t="s">
        <v>50</v>
      </c>
      <c r="P143" s="4" t="s">
        <v>118</v>
      </c>
      <c r="Q143" s="2">
        <v>2</v>
      </c>
      <c r="R143" s="2">
        <v>60</v>
      </c>
      <c r="S143" s="4" t="s">
        <v>260</v>
      </c>
      <c r="T143" s="4" t="s">
        <v>46</v>
      </c>
      <c r="U143" s="4" t="s">
        <v>46</v>
      </c>
      <c r="V143" s="5">
        <v>10</v>
      </c>
      <c r="W143" s="5">
        <v>0.88</v>
      </c>
      <c r="X143" s="5">
        <v>100</v>
      </c>
      <c r="Y143" s="5">
        <v>0.09</v>
      </c>
      <c r="Z143" s="4" t="s">
        <v>46</v>
      </c>
      <c r="AA143" s="5" t="s">
        <v>46</v>
      </c>
      <c r="AB143" s="4" t="s">
        <v>272</v>
      </c>
      <c r="AC143" s="4" t="s">
        <v>46</v>
      </c>
      <c r="AD143" s="5">
        <v>0</v>
      </c>
      <c r="AE143" s="4" t="s">
        <v>273</v>
      </c>
      <c r="AF143" s="3">
        <v>45808</v>
      </c>
      <c r="AG143" s="4" t="s">
        <v>46</v>
      </c>
      <c r="AH143" s="4" t="s">
        <v>46</v>
      </c>
      <c r="AI143" s="4" t="s">
        <v>46</v>
      </c>
      <c r="AJ143" s="4" t="s">
        <v>46</v>
      </c>
      <c r="AK143" s="4" t="s">
        <v>46</v>
      </c>
      <c r="AL143" s="4" t="s">
        <v>46</v>
      </c>
      <c r="AM143" s="4" t="s">
        <v>46</v>
      </c>
      <c r="AN143" s="4" t="s">
        <v>46</v>
      </c>
      <c r="AO143" s="4" t="s">
        <v>46</v>
      </c>
      <c r="AP143" s="4" t="s">
        <v>46</v>
      </c>
    </row>
    <row r="144" spans="1:42">
      <c r="A144" s="2">
        <v>1891456</v>
      </c>
      <c r="B144" s="3">
        <v>45812</v>
      </c>
      <c r="C144" s="4" t="s">
        <v>225</v>
      </c>
      <c r="D144" s="2">
        <v>1831491</v>
      </c>
      <c r="E144" s="4" t="s">
        <v>420</v>
      </c>
      <c r="F144" s="4" t="s">
        <v>422</v>
      </c>
      <c r="G144" s="4" t="s">
        <v>46</v>
      </c>
      <c r="H144" s="4" t="s">
        <v>46</v>
      </c>
      <c r="I144" s="4" t="s">
        <v>46</v>
      </c>
      <c r="J144" s="4" t="s">
        <v>258</v>
      </c>
      <c r="K144" s="4" t="s">
        <v>259</v>
      </c>
      <c r="L144" s="3">
        <v>45809</v>
      </c>
      <c r="M144" s="4" t="s">
        <v>49</v>
      </c>
      <c r="N144" s="4" t="s">
        <v>46</v>
      </c>
      <c r="O144" s="4" t="s">
        <v>50</v>
      </c>
      <c r="P144" s="4" t="s">
        <v>118</v>
      </c>
      <c r="Q144" s="2">
        <v>2</v>
      </c>
      <c r="R144" s="2">
        <v>60</v>
      </c>
      <c r="S144" s="4" t="s">
        <v>260</v>
      </c>
      <c r="T144" s="4" t="s">
        <v>46</v>
      </c>
      <c r="U144" s="4" t="s">
        <v>46</v>
      </c>
      <c r="V144" s="5">
        <v>10</v>
      </c>
      <c r="W144" s="5">
        <v>0.88</v>
      </c>
      <c r="X144" s="5">
        <v>100</v>
      </c>
      <c r="Y144" s="5">
        <v>0.09</v>
      </c>
      <c r="Z144" s="4" t="s">
        <v>46</v>
      </c>
      <c r="AA144" s="5" t="s">
        <v>46</v>
      </c>
      <c r="AB144" s="4" t="s">
        <v>272</v>
      </c>
      <c r="AC144" s="4" t="s">
        <v>46</v>
      </c>
      <c r="AD144" s="5">
        <v>0</v>
      </c>
      <c r="AE144" s="4" t="s">
        <v>273</v>
      </c>
      <c r="AF144" s="3">
        <v>45808</v>
      </c>
      <c r="AG144" s="4" t="s">
        <v>46</v>
      </c>
      <c r="AH144" s="4" t="s">
        <v>46</v>
      </c>
      <c r="AI144" s="4" t="s">
        <v>46</v>
      </c>
      <c r="AJ144" s="4" t="s">
        <v>46</v>
      </c>
      <c r="AK144" s="4" t="s">
        <v>46</v>
      </c>
      <c r="AL144" s="4" t="s">
        <v>46</v>
      </c>
      <c r="AM144" s="4" t="s">
        <v>46</v>
      </c>
      <c r="AN144" s="4" t="s">
        <v>46</v>
      </c>
      <c r="AO144" s="4" t="s">
        <v>46</v>
      </c>
      <c r="AP144" s="4" t="s">
        <v>46</v>
      </c>
    </row>
    <row r="145" spans="1:42">
      <c r="A145" s="2">
        <v>1891456</v>
      </c>
      <c r="B145" s="3">
        <v>45812</v>
      </c>
      <c r="C145" s="4" t="s">
        <v>225</v>
      </c>
      <c r="D145" s="2">
        <v>1831491</v>
      </c>
      <c r="E145" s="4" t="s">
        <v>423</v>
      </c>
      <c r="F145" s="4" t="s">
        <v>424</v>
      </c>
      <c r="G145" s="4" t="s">
        <v>46</v>
      </c>
      <c r="H145" s="4" t="s">
        <v>46</v>
      </c>
      <c r="I145" s="4" t="s">
        <v>46</v>
      </c>
      <c r="J145" s="4" t="s">
        <v>258</v>
      </c>
      <c r="K145" s="4" t="s">
        <v>259</v>
      </c>
      <c r="L145" s="3">
        <v>45809</v>
      </c>
      <c r="M145" s="4" t="s">
        <v>49</v>
      </c>
      <c r="N145" s="4" t="s">
        <v>46</v>
      </c>
      <c r="O145" s="4" t="s">
        <v>50</v>
      </c>
      <c r="P145" s="4" t="s">
        <v>118</v>
      </c>
      <c r="Q145" s="2">
        <v>2</v>
      </c>
      <c r="R145" s="2">
        <v>60</v>
      </c>
      <c r="S145" s="4" t="s">
        <v>260</v>
      </c>
      <c r="T145" s="4" t="s">
        <v>46</v>
      </c>
      <c r="U145" s="4" t="s">
        <v>46</v>
      </c>
      <c r="V145" s="5">
        <v>10</v>
      </c>
      <c r="W145" s="5">
        <v>0.88</v>
      </c>
      <c r="X145" s="5">
        <v>100</v>
      </c>
      <c r="Y145" s="5">
        <v>0.09</v>
      </c>
      <c r="Z145" s="4" t="s">
        <v>46</v>
      </c>
      <c r="AA145" s="5" t="s">
        <v>46</v>
      </c>
      <c r="AB145" s="4" t="s">
        <v>272</v>
      </c>
      <c r="AC145" s="4" t="s">
        <v>46</v>
      </c>
      <c r="AD145" s="5">
        <v>0</v>
      </c>
      <c r="AE145" s="4" t="s">
        <v>273</v>
      </c>
      <c r="AF145" s="3">
        <v>45808</v>
      </c>
      <c r="AG145" s="4" t="s">
        <v>46</v>
      </c>
      <c r="AH145" s="4" t="s">
        <v>46</v>
      </c>
      <c r="AI145" s="4" t="s">
        <v>46</v>
      </c>
      <c r="AJ145" s="4" t="s">
        <v>46</v>
      </c>
      <c r="AK145" s="4" t="s">
        <v>46</v>
      </c>
      <c r="AL145" s="4" t="s">
        <v>46</v>
      </c>
      <c r="AM145" s="4" t="s">
        <v>46</v>
      </c>
      <c r="AN145" s="4" t="s">
        <v>46</v>
      </c>
      <c r="AO145" s="4" t="s">
        <v>46</v>
      </c>
      <c r="AP145" s="4" t="s">
        <v>46</v>
      </c>
    </row>
    <row r="146" spans="1:42">
      <c r="A146" s="2">
        <v>1891456</v>
      </c>
      <c r="B146" s="3">
        <v>45812</v>
      </c>
      <c r="C146" s="4" t="s">
        <v>225</v>
      </c>
      <c r="D146" s="2">
        <v>1831491</v>
      </c>
      <c r="E146" s="4" t="s">
        <v>425</v>
      </c>
      <c r="F146" s="4" t="s">
        <v>426</v>
      </c>
      <c r="G146" s="4" t="s">
        <v>46</v>
      </c>
      <c r="H146" s="4" t="s">
        <v>46</v>
      </c>
      <c r="I146" s="4" t="s">
        <v>46</v>
      </c>
      <c r="J146" s="4" t="s">
        <v>258</v>
      </c>
      <c r="K146" s="4" t="s">
        <v>259</v>
      </c>
      <c r="L146" s="3">
        <v>45839</v>
      </c>
      <c r="M146" s="4" t="s">
        <v>84</v>
      </c>
      <c r="N146" s="4" t="s">
        <v>46</v>
      </c>
      <c r="O146" s="4" t="s">
        <v>50</v>
      </c>
      <c r="P146" s="4" t="s">
        <v>118</v>
      </c>
      <c r="Q146" s="2">
        <v>2</v>
      </c>
      <c r="R146" s="2">
        <v>60</v>
      </c>
      <c r="S146" s="4" t="s">
        <v>260</v>
      </c>
      <c r="T146" s="4" t="s">
        <v>46</v>
      </c>
      <c r="U146" s="4" t="s">
        <v>46</v>
      </c>
      <c r="V146" s="5">
        <v>10</v>
      </c>
      <c r="W146" s="5">
        <v>26.88</v>
      </c>
      <c r="X146" s="5">
        <v>100</v>
      </c>
      <c r="Y146" s="5">
        <v>37.69</v>
      </c>
      <c r="Z146" s="4" t="s">
        <v>46</v>
      </c>
      <c r="AA146" s="5" t="s">
        <v>46</v>
      </c>
      <c r="AB146" s="4" t="s">
        <v>272</v>
      </c>
      <c r="AC146" s="4" t="s">
        <v>46</v>
      </c>
      <c r="AD146" s="5">
        <v>0</v>
      </c>
      <c r="AE146" s="4" t="s">
        <v>273</v>
      </c>
      <c r="AF146" s="3">
        <v>45839</v>
      </c>
      <c r="AG146" s="4" t="s">
        <v>46</v>
      </c>
      <c r="AH146" s="4" t="s">
        <v>46</v>
      </c>
      <c r="AI146" s="4" t="s">
        <v>46</v>
      </c>
      <c r="AJ146" s="4" t="s">
        <v>46</v>
      </c>
      <c r="AK146" s="4" t="s">
        <v>46</v>
      </c>
      <c r="AL146" s="4" t="s">
        <v>46</v>
      </c>
      <c r="AM146" s="4" t="s">
        <v>46</v>
      </c>
      <c r="AN146" s="4" t="s">
        <v>46</v>
      </c>
      <c r="AO146" s="4" t="s">
        <v>46</v>
      </c>
      <c r="AP146" s="4" t="s">
        <v>46</v>
      </c>
    </row>
    <row r="147" spans="1:42">
      <c r="A147" s="2">
        <v>1891456</v>
      </c>
      <c r="B147" s="3">
        <v>45812</v>
      </c>
      <c r="C147" s="4" t="s">
        <v>233</v>
      </c>
      <c r="D147" s="2">
        <v>1875462</v>
      </c>
      <c r="E147" s="4" t="s">
        <v>427</v>
      </c>
      <c r="F147" s="4" t="s">
        <v>428</v>
      </c>
      <c r="G147" s="4" t="s">
        <v>46</v>
      </c>
      <c r="H147" s="4" t="s">
        <v>46</v>
      </c>
      <c r="I147" s="4" t="s">
        <v>46</v>
      </c>
      <c r="J147" s="4" t="s">
        <v>251</v>
      </c>
      <c r="K147" s="4" t="s">
        <v>48</v>
      </c>
      <c r="L147" s="3">
        <v>45809</v>
      </c>
      <c r="M147" s="4" t="s">
        <v>49</v>
      </c>
      <c r="N147" s="4" t="s">
        <v>46</v>
      </c>
      <c r="O147" s="4" t="s">
        <v>118</v>
      </c>
      <c r="P147" s="4" t="s">
        <v>118</v>
      </c>
      <c r="Q147" s="2">
        <v>1</v>
      </c>
      <c r="R147" s="2">
        <v>17</v>
      </c>
      <c r="S147" s="4" t="s">
        <v>51</v>
      </c>
      <c r="T147" s="4" t="s">
        <v>46</v>
      </c>
      <c r="U147" s="4" t="s">
        <v>46</v>
      </c>
      <c r="V147" s="5">
        <v>22</v>
      </c>
      <c r="W147" s="5">
        <v>157.86000000000001</v>
      </c>
      <c r="X147" s="5">
        <v>100</v>
      </c>
      <c r="Y147" s="5">
        <v>34.729999999999997</v>
      </c>
      <c r="Z147" s="5">
        <v>0</v>
      </c>
      <c r="AA147" s="5">
        <v>0</v>
      </c>
      <c r="AB147" s="4" t="s">
        <v>311</v>
      </c>
      <c r="AC147" s="4" t="s">
        <v>46</v>
      </c>
      <c r="AD147" s="5">
        <v>0</v>
      </c>
      <c r="AE147" s="4" t="s">
        <v>312</v>
      </c>
      <c r="AF147" s="3">
        <v>45444</v>
      </c>
      <c r="AG147" s="4" t="s">
        <v>46</v>
      </c>
      <c r="AH147" s="4" t="s">
        <v>46</v>
      </c>
      <c r="AI147" s="4" t="s">
        <v>46</v>
      </c>
      <c r="AJ147" s="4" t="s">
        <v>46</v>
      </c>
      <c r="AK147" s="4" t="s">
        <v>46</v>
      </c>
      <c r="AL147" s="4" t="s">
        <v>46</v>
      </c>
      <c r="AM147" s="4" t="s">
        <v>46</v>
      </c>
      <c r="AN147" s="4" t="s">
        <v>46</v>
      </c>
      <c r="AO147" s="4" t="s">
        <v>46</v>
      </c>
      <c r="AP147" s="4" t="s">
        <v>46</v>
      </c>
    </row>
    <row r="148" spans="1:42">
      <c r="A148" s="2">
        <v>1891456</v>
      </c>
      <c r="B148" s="3">
        <v>45812</v>
      </c>
      <c r="C148" s="4" t="s">
        <v>233</v>
      </c>
      <c r="D148" s="2">
        <v>1875462</v>
      </c>
      <c r="E148" s="4" t="s">
        <v>429</v>
      </c>
      <c r="F148" s="4" t="s">
        <v>430</v>
      </c>
      <c r="G148" s="4" t="s">
        <v>46</v>
      </c>
      <c r="H148" s="4" t="s">
        <v>46</v>
      </c>
      <c r="I148" s="4" t="s">
        <v>46</v>
      </c>
      <c r="J148" s="4" t="s">
        <v>251</v>
      </c>
      <c r="K148" s="4" t="s">
        <v>48</v>
      </c>
      <c r="L148" s="3">
        <v>45809</v>
      </c>
      <c r="M148" s="4" t="s">
        <v>49</v>
      </c>
      <c r="N148" s="4" t="s">
        <v>46</v>
      </c>
      <c r="O148" s="4" t="s">
        <v>50</v>
      </c>
      <c r="P148" s="4" t="s">
        <v>118</v>
      </c>
      <c r="Q148" s="2">
        <v>1</v>
      </c>
      <c r="R148" s="2">
        <v>17</v>
      </c>
      <c r="S148" s="4" t="s">
        <v>51</v>
      </c>
      <c r="T148" s="4" t="s">
        <v>46</v>
      </c>
      <c r="U148" s="4" t="s">
        <v>46</v>
      </c>
      <c r="V148" s="5">
        <v>22</v>
      </c>
      <c r="W148" s="5">
        <v>2032.8</v>
      </c>
      <c r="X148" s="5">
        <v>100</v>
      </c>
      <c r="Y148" s="5">
        <v>447.24</v>
      </c>
      <c r="Z148" s="5">
        <v>0</v>
      </c>
      <c r="AA148" s="5">
        <v>0</v>
      </c>
      <c r="AB148" s="4" t="s">
        <v>398</v>
      </c>
      <c r="AC148" s="4" t="s">
        <v>46</v>
      </c>
      <c r="AD148" s="5">
        <v>0</v>
      </c>
      <c r="AE148" s="4" t="s">
        <v>399</v>
      </c>
      <c r="AF148" s="3">
        <v>45809</v>
      </c>
      <c r="AG148" s="4" t="s">
        <v>46</v>
      </c>
      <c r="AH148" s="4" t="s">
        <v>46</v>
      </c>
      <c r="AI148" s="4" t="s">
        <v>46</v>
      </c>
      <c r="AJ148" s="4" t="s">
        <v>46</v>
      </c>
      <c r="AK148" s="4" t="s">
        <v>46</v>
      </c>
      <c r="AL148" s="4" t="s">
        <v>46</v>
      </c>
      <c r="AM148" s="4" t="s">
        <v>46</v>
      </c>
      <c r="AN148" s="4" t="s">
        <v>46</v>
      </c>
      <c r="AO148" s="4" t="s">
        <v>46</v>
      </c>
      <c r="AP148" s="4" t="s">
        <v>46</v>
      </c>
    </row>
    <row r="149" spans="1:42">
      <c r="A149" s="2">
        <v>1891456</v>
      </c>
      <c r="B149" s="3">
        <v>45812</v>
      </c>
      <c r="C149" s="4" t="s">
        <v>233</v>
      </c>
      <c r="D149" s="2">
        <v>1875462</v>
      </c>
      <c r="E149" s="4" t="s">
        <v>431</v>
      </c>
      <c r="F149" s="4" t="s">
        <v>432</v>
      </c>
      <c r="G149" s="4" t="s">
        <v>46</v>
      </c>
      <c r="H149" s="4" t="s">
        <v>46</v>
      </c>
      <c r="I149" s="4" t="s">
        <v>46</v>
      </c>
      <c r="J149" s="4" t="s">
        <v>258</v>
      </c>
      <c r="K149" s="4" t="s">
        <v>259</v>
      </c>
      <c r="L149" s="3">
        <v>45839</v>
      </c>
      <c r="M149" s="4" t="s">
        <v>84</v>
      </c>
      <c r="N149" s="4" t="s">
        <v>46</v>
      </c>
      <c r="O149" s="4" t="s">
        <v>50</v>
      </c>
      <c r="P149" s="4" t="s">
        <v>118</v>
      </c>
      <c r="Q149" s="2">
        <v>1</v>
      </c>
      <c r="R149" s="2">
        <v>3</v>
      </c>
      <c r="S149" s="4" t="s">
        <v>265</v>
      </c>
      <c r="T149" s="4" t="s">
        <v>46</v>
      </c>
      <c r="U149" s="4" t="s">
        <v>46</v>
      </c>
      <c r="V149" s="5">
        <v>10</v>
      </c>
      <c r="W149" s="5">
        <v>53.99</v>
      </c>
      <c r="X149" s="5">
        <v>100</v>
      </c>
      <c r="Y149" s="5">
        <v>5.4</v>
      </c>
      <c r="Z149" s="4" t="s">
        <v>46</v>
      </c>
      <c r="AA149" s="5" t="s">
        <v>46</v>
      </c>
      <c r="AB149" s="4" t="s">
        <v>272</v>
      </c>
      <c r="AC149" s="4" t="s">
        <v>46</v>
      </c>
      <c r="AD149" s="5">
        <v>0</v>
      </c>
      <c r="AE149" s="4" t="s">
        <v>273</v>
      </c>
      <c r="AF149" s="3">
        <v>45748</v>
      </c>
      <c r="AG149" s="4" t="s">
        <v>46</v>
      </c>
      <c r="AH149" s="4" t="s">
        <v>46</v>
      </c>
      <c r="AI149" s="4" t="s">
        <v>46</v>
      </c>
      <c r="AJ149" s="4" t="s">
        <v>46</v>
      </c>
      <c r="AK149" s="4" t="s">
        <v>46</v>
      </c>
      <c r="AL149" s="4" t="s">
        <v>46</v>
      </c>
      <c r="AM149" s="4" t="s">
        <v>46</v>
      </c>
      <c r="AN149" s="4" t="s">
        <v>46</v>
      </c>
      <c r="AO149" s="4" t="s">
        <v>46</v>
      </c>
      <c r="AP149" s="4" t="s">
        <v>46</v>
      </c>
    </row>
    <row r="150" spans="1:42">
      <c r="A150" s="2">
        <v>1891456</v>
      </c>
      <c r="B150" s="3">
        <v>45812</v>
      </c>
      <c r="C150" s="4" t="s">
        <v>233</v>
      </c>
      <c r="D150" s="2">
        <v>1875462</v>
      </c>
      <c r="E150" s="4" t="s">
        <v>433</v>
      </c>
      <c r="F150" s="4" t="s">
        <v>434</v>
      </c>
      <c r="G150" s="4" t="s">
        <v>46</v>
      </c>
      <c r="H150" s="4" t="s">
        <v>46</v>
      </c>
      <c r="I150" s="4" t="s">
        <v>46</v>
      </c>
      <c r="J150" s="4" t="s">
        <v>258</v>
      </c>
      <c r="K150" s="4" t="s">
        <v>259</v>
      </c>
      <c r="L150" s="3">
        <v>45839</v>
      </c>
      <c r="M150" s="4" t="s">
        <v>84</v>
      </c>
      <c r="N150" s="4" t="s">
        <v>46</v>
      </c>
      <c r="O150" s="4" t="s">
        <v>50</v>
      </c>
      <c r="P150" s="4" t="s">
        <v>118</v>
      </c>
      <c r="Q150" s="2">
        <v>1</v>
      </c>
      <c r="R150" s="2">
        <v>60</v>
      </c>
      <c r="S150" s="4" t="s">
        <v>260</v>
      </c>
      <c r="T150" s="4" t="s">
        <v>46</v>
      </c>
      <c r="U150" s="4" t="s">
        <v>46</v>
      </c>
      <c r="V150" s="5">
        <v>10</v>
      </c>
      <c r="W150" s="5">
        <v>12.99</v>
      </c>
      <c r="X150" s="5">
        <v>100</v>
      </c>
      <c r="Y150" s="5">
        <v>1.3</v>
      </c>
      <c r="Z150" s="4" t="s">
        <v>46</v>
      </c>
      <c r="AA150" s="5" t="s">
        <v>46</v>
      </c>
      <c r="AB150" s="4" t="s">
        <v>272</v>
      </c>
      <c r="AC150" s="4" t="s">
        <v>46</v>
      </c>
      <c r="AD150" s="5">
        <v>0</v>
      </c>
      <c r="AE150" s="4" t="s">
        <v>273</v>
      </c>
      <c r="AF150" s="3">
        <v>45778</v>
      </c>
      <c r="AG150" s="4" t="s">
        <v>46</v>
      </c>
      <c r="AH150" s="4" t="s">
        <v>46</v>
      </c>
      <c r="AI150" s="4" t="s">
        <v>46</v>
      </c>
      <c r="AJ150" s="4" t="s">
        <v>46</v>
      </c>
      <c r="AK150" s="4" t="s">
        <v>46</v>
      </c>
      <c r="AL150" s="4" t="s">
        <v>46</v>
      </c>
      <c r="AM150" s="4" t="s">
        <v>46</v>
      </c>
      <c r="AN150" s="4" t="s">
        <v>46</v>
      </c>
      <c r="AO150" s="4" t="s">
        <v>46</v>
      </c>
      <c r="AP150" s="4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A9318-018C-40D9-831D-87255E7A3DF5}">
  <dimension ref="A1:R182"/>
  <sheetViews>
    <sheetView tabSelected="1" topLeftCell="D171" workbookViewId="0">
      <selection activeCell="Q2" sqref="Q2:Q171"/>
    </sheetView>
  </sheetViews>
  <sheetFormatPr defaultRowHeight="13.2"/>
  <cols>
    <col min="1" max="1" width="24.6640625" style="16" bestFit="1" customWidth="1"/>
    <col min="2" max="2" width="16.44140625" style="16" customWidth="1"/>
    <col min="3" max="3" width="28.5546875" style="16" bestFit="1" customWidth="1"/>
    <col min="4" max="4" width="28.5546875" style="16" customWidth="1"/>
    <col min="5" max="5" width="13.6640625" style="16" customWidth="1"/>
    <col min="6" max="6" width="17.33203125" style="16" customWidth="1"/>
    <col min="7" max="7" width="5.6640625" style="16" bestFit="1" customWidth="1"/>
    <col min="8" max="8" width="15.33203125" style="16" bestFit="1" customWidth="1"/>
    <col min="9" max="9" width="9.6640625" style="16" customWidth="1"/>
    <col min="10" max="10" width="8.21875" style="11" customWidth="1"/>
    <col min="11" max="11" width="9.5546875" style="16" bestFit="1" customWidth="1"/>
    <col min="12" max="13" width="14.33203125" style="16" customWidth="1"/>
    <col min="14" max="14" width="39.44140625" style="16" bestFit="1" customWidth="1"/>
    <col min="15" max="15" width="13.6640625" style="16" bestFit="1" customWidth="1"/>
    <col min="16" max="16" width="29" style="16" customWidth="1"/>
    <col min="17" max="17" width="22.33203125" style="16" bestFit="1" customWidth="1"/>
    <col min="18" max="16384" width="8.88671875" style="16"/>
  </cols>
  <sheetData>
    <row r="1" spans="1:17">
      <c r="A1" s="19" t="s">
        <v>2</v>
      </c>
      <c r="B1" s="19" t="s">
        <v>3</v>
      </c>
      <c r="C1" s="19" t="s">
        <v>4</v>
      </c>
      <c r="D1" s="19"/>
      <c r="E1" s="19" t="s">
        <v>5</v>
      </c>
      <c r="F1" s="19"/>
      <c r="G1" s="19" t="s">
        <v>16</v>
      </c>
      <c r="H1" s="19" t="s">
        <v>18</v>
      </c>
      <c r="I1" s="19" t="s">
        <v>19</v>
      </c>
      <c r="J1" s="20" t="s">
        <v>21</v>
      </c>
      <c r="K1" s="19" t="s">
        <v>22</v>
      </c>
      <c r="L1" s="19" t="s">
        <v>24</v>
      </c>
      <c r="M1" s="19"/>
      <c r="N1" s="19" t="s">
        <v>27</v>
      </c>
      <c r="O1" s="19" t="s">
        <v>31</v>
      </c>
    </row>
    <row r="2" spans="1:17">
      <c r="A2" s="12" t="s">
        <v>160</v>
      </c>
      <c r="B2" s="13">
        <v>17301495</v>
      </c>
      <c r="C2" s="12" t="s">
        <v>164</v>
      </c>
      <c r="D2" s="21" t="s">
        <v>817</v>
      </c>
      <c r="E2" s="12" t="s">
        <v>165</v>
      </c>
      <c r="F2" s="21" t="s">
        <v>829</v>
      </c>
      <c r="G2" s="13">
        <v>1</v>
      </c>
      <c r="H2" s="12" t="s">
        <v>51</v>
      </c>
      <c r="I2" s="12" t="s">
        <v>52</v>
      </c>
      <c r="J2" s="11">
        <v>0</v>
      </c>
      <c r="K2" s="14">
        <v>0</v>
      </c>
      <c r="L2" s="14">
        <v>443.42</v>
      </c>
      <c r="M2" s="14">
        <v>626</v>
      </c>
      <c r="N2" s="12" t="s">
        <v>53</v>
      </c>
      <c r="O2" s="15">
        <v>45809</v>
      </c>
      <c r="P2" s="16" t="s">
        <v>454</v>
      </c>
      <c r="Q2" s="16" t="s">
        <v>457</v>
      </c>
    </row>
    <row r="3" spans="1:17">
      <c r="A3" s="12" t="s">
        <v>90</v>
      </c>
      <c r="B3" s="13">
        <v>6634327</v>
      </c>
      <c r="C3" s="12" t="s">
        <v>91</v>
      </c>
      <c r="D3" s="21" t="s">
        <v>811</v>
      </c>
      <c r="E3" s="12" t="s">
        <v>92</v>
      </c>
      <c r="F3" s="21" t="s">
        <v>830</v>
      </c>
      <c r="G3" s="13">
        <v>1</v>
      </c>
      <c r="H3" s="12" t="s">
        <v>51</v>
      </c>
      <c r="I3" s="12" t="s">
        <v>75</v>
      </c>
      <c r="J3" s="11">
        <v>0</v>
      </c>
      <c r="K3" s="14">
        <v>0</v>
      </c>
      <c r="L3" s="14">
        <v>443.42</v>
      </c>
      <c r="M3" s="14">
        <v>626</v>
      </c>
      <c r="N3" s="12" t="s">
        <v>53</v>
      </c>
      <c r="O3" s="15">
        <v>45809</v>
      </c>
      <c r="P3" s="16" t="s">
        <v>454</v>
      </c>
      <c r="Q3" s="16" t="s">
        <v>457</v>
      </c>
    </row>
    <row r="4" spans="1:17">
      <c r="A4" s="12" t="s">
        <v>42</v>
      </c>
      <c r="B4" s="13">
        <v>8814784</v>
      </c>
      <c r="C4" s="12" t="s">
        <v>61</v>
      </c>
      <c r="D4" s="21" t="s">
        <v>777</v>
      </c>
      <c r="E4" s="12" t="s">
        <v>62</v>
      </c>
      <c r="F4" s="21" t="s">
        <v>831</v>
      </c>
      <c r="G4" s="13">
        <v>1</v>
      </c>
      <c r="H4" s="12" t="s">
        <v>51</v>
      </c>
      <c r="I4" s="12" t="s">
        <v>52</v>
      </c>
      <c r="J4" s="11">
        <v>0</v>
      </c>
      <c r="K4" s="14">
        <v>0</v>
      </c>
      <c r="L4" s="14">
        <v>443.42</v>
      </c>
      <c r="M4" s="14">
        <v>626</v>
      </c>
      <c r="N4" s="12" t="s">
        <v>53</v>
      </c>
      <c r="O4" s="15">
        <v>45809</v>
      </c>
      <c r="P4" s="16" t="s">
        <v>454</v>
      </c>
      <c r="Q4" s="16" t="s">
        <v>457</v>
      </c>
    </row>
    <row r="5" spans="1:17">
      <c r="A5" s="12" t="s">
        <v>42</v>
      </c>
      <c r="B5" s="13">
        <v>8814784</v>
      </c>
      <c r="C5" s="12" t="s">
        <v>43</v>
      </c>
      <c r="D5" s="21" t="s">
        <v>806</v>
      </c>
      <c r="E5" s="12" t="s">
        <v>44</v>
      </c>
      <c r="F5" s="21" t="s">
        <v>832</v>
      </c>
      <c r="G5" s="13">
        <v>1</v>
      </c>
      <c r="H5" s="12" t="s">
        <v>51</v>
      </c>
      <c r="I5" s="12" t="s">
        <v>52</v>
      </c>
      <c r="J5" s="11">
        <v>0</v>
      </c>
      <c r="K5" s="14">
        <v>0</v>
      </c>
      <c r="L5" s="14">
        <v>443.42</v>
      </c>
      <c r="M5" s="14">
        <v>626</v>
      </c>
      <c r="N5" s="12" t="s">
        <v>53</v>
      </c>
      <c r="O5" s="15">
        <v>45809</v>
      </c>
      <c r="P5" s="16" t="s">
        <v>454</v>
      </c>
      <c r="Q5" s="16" t="s">
        <v>457</v>
      </c>
    </row>
    <row r="6" spans="1:17">
      <c r="A6" s="12" t="s">
        <v>94</v>
      </c>
      <c r="B6" s="13">
        <v>7146581</v>
      </c>
      <c r="C6" s="12" t="s">
        <v>105</v>
      </c>
      <c r="D6" s="21" t="s">
        <v>779</v>
      </c>
      <c r="E6" s="12" t="s">
        <v>106</v>
      </c>
      <c r="F6" s="21" t="s">
        <v>833</v>
      </c>
      <c r="G6" s="13">
        <v>1</v>
      </c>
      <c r="H6" s="12" t="s">
        <v>51</v>
      </c>
      <c r="I6" s="12" t="s">
        <v>52</v>
      </c>
      <c r="J6" s="11">
        <v>0</v>
      </c>
      <c r="K6" s="14">
        <v>0</v>
      </c>
      <c r="L6" s="14">
        <v>469.5</v>
      </c>
      <c r="M6" s="14">
        <v>626</v>
      </c>
      <c r="N6" s="12" t="s">
        <v>53</v>
      </c>
      <c r="O6" s="15">
        <v>45839</v>
      </c>
      <c r="P6" s="16" t="s">
        <v>454</v>
      </c>
      <c r="Q6" s="16" t="s">
        <v>457</v>
      </c>
    </row>
    <row r="7" spans="1:17">
      <c r="A7" s="12" t="s">
        <v>121</v>
      </c>
      <c r="B7" s="13">
        <v>16633294</v>
      </c>
      <c r="C7" s="12" t="s">
        <v>128</v>
      </c>
      <c r="D7" s="21" t="s">
        <v>814</v>
      </c>
      <c r="E7" s="12" t="s">
        <v>129</v>
      </c>
      <c r="F7" s="21" t="s">
        <v>834</v>
      </c>
      <c r="G7" s="13">
        <v>1</v>
      </c>
      <c r="H7" s="12" t="s">
        <v>51</v>
      </c>
      <c r="I7" s="12" t="s">
        <v>75</v>
      </c>
      <c r="J7" s="11">
        <v>0</v>
      </c>
      <c r="K7" s="14">
        <v>0</v>
      </c>
      <c r="L7" s="14">
        <v>443.42</v>
      </c>
      <c r="M7" s="14">
        <v>626</v>
      </c>
      <c r="N7" s="12" t="s">
        <v>53</v>
      </c>
      <c r="O7" s="15">
        <v>45809</v>
      </c>
      <c r="P7" s="16" t="s">
        <v>454</v>
      </c>
      <c r="Q7" s="16" t="s">
        <v>457</v>
      </c>
    </row>
    <row r="8" spans="1:17">
      <c r="A8" s="12" t="s">
        <v>147</v>
      </c>
      <c r="B8" s="13">
        <v>17126004</v>
      </c>
      <c r="C8" s="12" t="s">
        <v>154</v>
      </c>
      <c r="D8" s="21" t="s">
        <v>784</v>
      </c>
      <c r="E8" s="12" t="s">
        <v>155</v>
      </c>
      <c r="F8" s="21" t="s">
        <v>835</v>
      </c>
      <c r="G8" s="13">
        <v>1</v>
      </c>
      <c r="H8" s="12" t="s">
        <v>51</v>
      </c>
      <c r="I8" s="12" t="s">
        <v>52</v>
      </c>
      <c r="J8" s="11">
        <v>0</v>
      </c>
      <c r="K8" s="14">
        <v>0</v>
      </c>
      <c r="L8" s="14">
        <v>443.42</v>
      </c>
      <c r="M8" s="14">
        <v>626</v>
      </c>
      <c r="N8" s="12" t="s">
        <v>53</v>
      </c>
      <c r="O8" s="15">
        <v>45809</v>
      </c>
      <c r="P8" s="16" t="s">
        <v>454</v>
      </c>
      <c r="Q8" s="16" t="s">
        <v>457</v>
      </c>
    </row>
    <row r="9" spans="1:17">
      <c r="A9" s="12" t="s">
        <v>202</v>
      </c>
      <c r="B9" s="13">
        <v>18754354</v>
      </c>
      <c r="C9" s="12" t="s">
        <v>203</v>
      </c>
      <c r="D9" s="21" t="s">
        <v>820</v>
      </c>
      <c r="E9" s="12" t="s">
        <v>204</v>
      </c>
      <c r="F9" s="21" t="s">
        <v>836</v>
      </c>
      <c r="G9" s="13">
        <v>1</v>
      </c>
      <c r="H9" s="12" t="s">
        <v>51</v>
      </c>
      <c r="I9" s="12" t="s">
        <v>52</v>
      </c>
      <c r="J9" s="11">
        <v>0</v>
      </c>
      <c r="K9" s="14">
        <v>0</v>
      </c>
      <c r="L9" s="14">
        <v>443.42</v>
      </c>
      <c r="M9" s="14">
        <v>626</v>
      </c>
      <c r="N9" s="12" t="s">
        <v>53</v>
      </c>
      <c r="O9" s="15">
        <v>45809</v>
      </c>
      <c r="P9" s="16" t="s">
        <v>454</v>
      </c>
      <c r="Q9" s="16" t="s">
        <v>457</v>
      </c>
    </row>
    <row r="10" spans="1:17">
      <c r="A10" s="12" t="s">
        <v>94</v>
      </c>
      <c r="B10" s="13">
        <v>7146581</v>
      </c>
      <c r="C10" s="12" t="s">
        <v>99</v>
      </c>
      <c r="D10" s="21" t="s">
        <v>812</v>
      </c>
      <c r="E10" s="12" t="s">
        <v>100</v>
      </c>
      <c r="F10" s="21" t="s">
        <v>837</v>
      </c>
      <c r="G10" s="13">
        <v>1</v>
      </c>
      <c r="H10" s="12" t="s">
        <v>51</v>
      </c>
      <c r="I10" s="12" t="s">
        <v>52</v>
      </c>
      <c r="J10" s="11">
        <v>0</v>
      </c>
      <c r="K10" s="14">
        <v>0</v>
      </c>
      <c r="L10" s="14">
        <v>443.42</v>
      </c>
      <c r="M10" s="14">
        <v>626</v>
      </c>
      <c r="N10" s="12" t="s">
        <v>53</v>
      </c>
      <c r="O10" s="15">
        <v>45809</v>
      </c>
      <c r="P10" s="16" t="s">
        <v>454</v>
      </c>
      <c r="Q10" s="16" t="s">
        <v>457</v>
      </c>
    </row>
    <row r="11" spans="1:17">
      <c r="A11" s="12" t="s">
        <v>71</v>
      </c>
      <c r="B11" s="13">
        <v>8307933</v>
      </c>
      <c r="C11" s="12" t="s">
        <v>81</v>
      </c>
      <c r="D11" s="21" t="s">
        <v>822</v>
      </c>
      <c r="E11" s="12" t="s">
        <v>82</v>
      </c>
      <c r="F11" s="21" t="s">
        <v>838</v>
      </c>
      <c r="G11" s="13">
        <v>1</v>
      </c>
      <c r="H11" s="12" t="s">
        <v>51</v>
      </c>
      <c r="I11" s="12" t="s">
        <v>52</v>
      </c>
      <c r="J11" s="11">
        <v>0</v>
      </c>
      <c r="K11" s="14">
        <v>0</v>
      </c>
      <c r="L11" s="14">
        <v>469.5</v>
      </c>
      <c r="M11" s="14">
        <v>626</v>
      </c>
      <c r="N11" s="12" t="s">
        <v>53</v>
      </c>
      <c r="O11" s="15">
        <v>45839</v>
      </c>
      <c r="P11" s="16" t="s">
        <v>454</v>
      </c>
      <c r="Q11" s="16" t="s">
        <v>457</v>
      </c>
    </row>
    <row r="12" spans="1:17">
      <c r="A12" s="12" t="s">
        <v>64</v>
      </c>
      <c r="B12" s="13">
        <v>7470776</v>
      </c>
      <c r="C12" s="12" t="s">
        <v>68</v>
      </c>
      <c r="D12" s="21" t="s">
        <v>808</v>
      </c>
      <c r="E12" s="12" t="s">
        <v>69</v>
      </c>
      <c r="F12" s="21" t="s">
        <v>839</v>
      </c>
      <c r="G12" s="13">
        <v>1</v>
      </c>
      <c r="H12" s="12" t="s">
        <v>51</v>
      </c>
      <c r="I12" s="12" t="s">
        <v>52</v>
      </c>
      <c r="J12" s="11">
        <v>0</v>
      </c>
      <c r="K12" s="14">
        <v>0</v>
      </c>
      <c r="L12" s="14">
        <v>443.42</v>
      </c>
      <c r="M12" s="14">
        <v>626</v>
      </c>
      <c r="N12" s="12" t="s">
        <v>53</v>
      </c>
      <c r="O12" s="15">
        <v>45809</v>
      </c>
      <c r="P12" s="16" t="s">
        <v>454</v>
      </c>
      <c r="Q12" s="16" t="s">
        <v>457</v>
      </c>
    </row>
    <row r="13" spans="1:17">
      <c r="A13" s="12" t="s">
        <v>167</v>
      </c>
      <c r="B13" s="13">
        <v>17425766</v>
      </c>
      <c r="C13" s="12" t="s">
        <v>173</v>
      </c>
      <c r="D13" s="21" t="s">
        <v>818</v>
      </c>
      <c r="E13" s="12" t="s">
        <v>174</v>
      </c>
      <c r="F13" s="21" t="s">
        <v>840</v>
      </c>
      <c r="G13" s="13">
        <v>1</v>
      </c>
      <c r="H13" s="12" t="s">
        <v>51</v>
      </c>
      <c r="I13" s="12" t="s">
        <v>52</v>
      </c>
      <c r="J13" s="11">
        <v>0</v>
      </c>
      <c r="K13" s="14">
        <v>0</v>
      </c>
      <c r="L13" s="14">
        <v>443.42</v>
      </c>
      <c r="M13" s="14">
        <v>626</v>
      </c>
      <c r="N13" s="12" t="s">
        <v>53</v>
      </c>
      <c r="O13" s="15">
        <v>45809</v>
      </c>
      <c r="P13" s="16" t="s">
        <v>454</v>
      </c>
      <c r="Q13" s="16" t="s">
        <v>457</v>
      </c>
    </row>
    <row r="14" spans="1:17">
      <c r="A14" s="12" t="s">
        <v>71</v>
      </c>
      <c r="B14" s="13">
        <v>8307933</v>
      </c>
      <c r="C14" s="12" t="s">
        <v>77</v>
      </c>
      <c r="D14" s="21" t="s">
        <v>809</v>
      </c>
      <c r="E14" s="12" t="s">
        <v>78</v>
      </c>
      <c r="F14" s="21" t="s">
        <v>841</v>
      </c>
      <c r="G14" s="13">
        <v>1</v>
      </c>
      <c r="H14" s="12" t="s">
        <v>51</v>
      </c>
      <c r="I14" s="12" t="s">
        <v>75</v>
      </c>
      <c r="J14" s="11">
        <v>0</v>
      </c>
      <c r="K14" s="14">
        <v>0</v>
      </c>
      <c r="L14" s="14">
        <v>443.42</v>
      </c>
      <c r="M14" s="14">
        <v>626</v>
      </c>
      <c r="N14" s="12" t="s">
        <v>53</v>
      </c>
      <c r="O14" s="15">
        <v>45809</v>
      </c>
      <c r="P14" s="16" t="s">
        <v>454</v>
      </c>
      <c r="Q14" s="16" t="s">
        <v>457</v>
      </c>
    </row>
    <row r="15" spans="1:17">
      <c r="A15" s="12" t="s">
        <v>135</v>
      </c>
      <c r="B15" s="13">
        <v>16683808</v>
      </c>
      <c r="C15" s="12" t="s">
        <v>136</v>
      </c>
      <c r="D15" s="21" t="s">
        <v>815</v>
      </c>
      <c r="E15" s="12" t="s">
        <v>137</v>
      </c>
      <c r="F15" s="21" t="s">
        <v>842</v>
      </c>
      <c r="G15" s="13">
        <v>1</v>
      </c>
      <c r="H15" s="12" t="s">
        <v>51</v>
      </c>
      <c r="I15" s="12" t="s">
        <v>52</v>
      </c>
      <c r="J15" s="11">
        <v>0</v>
      </c>
      <c r="K15" s="14">
        <v>0</v>
      </c>
      <c r="L15" s="14">
        <v>443.42</v>
      </c>
      <c r="M15" s="14">
        <v>626</v>
      </c>
      <c r="N15" s="12" t="s">
        <v>53</v>
      </c>
      <c r="O15" s="15">
        <v>45809</v>
      </c>
      <c r="P15" s="16" t="s">
        <v>454</v>
      </c>
      <c r="Q15" s="16" t="s">
        <v>457</v>
      </c>
    </row>
    <row r="16" spans="1:17">
      <c r="A16" s="12" t="s">
        <v>121</v>
      </c>
      <c r="B16" s="13">
        <v>16633294</v>
      </c>
      <c r="C16" s="12" t="s">
        <v>125</v>
      </c>
      <c r="D16" s="21" t="s">
        <v>823</v>
      </c>
      <c r="E16" s="12" t="s">
        <v>126</v>
      </c>
      <c r="F16" s="21" t="s">
        <v>843</v>
      </c>
      <c r="G16" s="13">
        <v>1</v>
      </c>
      <c r="H16" s="12" t="s">
        <v>51</v>
      </c>
      <c r="I16" s="12" t="s">
        <v>75</v>
      </c>
      <c r="J16" s="11">
        <v>0</v>
      </c>
      <c r="K16" s="14">
        <v>0</v>
      </c>
      <c r="L16" s="14">
        <v>469.5</v>
      </c>
      <c r="M16" s="14">
        <v>626</v>
      </c>
      <c r="N16" s="12" t="s">
        <v>53</v>
      </c>
      <c r="O16" s="15">
        <v>45839</v>
      </c>
      <c r="P16" s="16" t="s">
        <v>454</v>
      </c>
      <c r="Q16" s="16" t="s">
        <v>457</v>
      </c>
    </row>
    <row r="17" spans="1:18">
      <c r="A17" s="12" t="s">
        <v>147</v>
      </c>
      <c r="B17" s="13">
        <v>17126004</v>
      </c>
      <c r="C17" s="12" t="s">
        <v>151</v>
      </c>
      <c r="D17" s="21" t="s">
        <v>783</v>
      </c>
      <c r="E17" s="12" t="s">
        <v>152</v>
      </c>
      <c r="F17" s="21" t="s">
        <v>844</v>
      </c>
      <c r="G17" s="13">
        <v>1</v>
      </c>
      <c r="H17" s="12" t="s">
        <v>51</v>
      </c>
      <c r="I17" s="12" t="s">
        <v>52</v>
      </c>
      <c r="J17" s="11">
        <v>0</v>
      </c>
      <c r="K17" s="14">
        <v>0</v>
      </c>
      <c r="L17" s="14">
        <v>443.42</v>
      </c>
      <c r="M17" s="14">
        <v>626</v>
      </c>
      <c r="N17" s="12" t="s">
        <v>53</v>
      </c>
      <c r="O17" s="15">
        <v>45809</v>
      </c>
      <c r="P17" s="16" t="s">
        <v>454</v>
      </c>
      <c r="Q17" s="16" t="s">
        <v>457</v>
      </c>
    </row>
    <row r="18" spans="1:18">
      <c r="A18" s="12" t="s">
        <v>42</v>
      </c>
      <c r="B18" s="13">
        <v>8814784</v>
      </c>
      <c r="C18" s="12" t="s">
        <v>56</v>
      </c>
      <c r="D18" s="21" t="s">
        <v>776</v>
      </c>
      <c r="E18" s="12" t="s">
        <v>57</v>
      </c>
      <c r="F18" s="21" t="s">
        <v>845</v>
      </c>
      <c r="G18" s="13">
        <v>1</v>
      </c>
      <c r="H18" s="12" t="s">
        <v>51</v>
      </c>
      <c r="I18" s="12" t="s">
        <v>52</v>
      </c>
      <c r="J18" s="11">
        <v>0</v>
      </c>
      <c r="K18" s="14">
        <v>0</v>
      </c>
      <c r="L18" s="14">
        <v>443.42</v>
      </c>
      <c r="M18" s="14">
        <v>626</v>
      </c>
      <c r="N18" s="12" t="s">
        <v>53</v>
      </c>
      <c r="O18" s="15">
        <v>45809</v>
      </c>
      <c r="P18" s="16" t="s">
        <v>454</v>
      </c>
      <c r="Q18" s="16" t="s">
        <v>457</v>
      </c>
    </row>
    <row r="19" spans="1:18">
      <c r="A19" s="12" t="s">
        <v>244</v>
      </c>
      <c r="B19" s="13">
        <v>21104854</v>
      </c>
      <c r="C19" s="12" t="s">
        <v>245</v>
      </c>
      <c r="D19" s="21" t="s">
        <v>824</v>
      </c>
      <c r="E19" s="12" t="s">
        <v>246</v>
      </c>
      <c r="F19" s="21" t="s">
        <v>846</v>
      </c>
      <c r="G19" s="13">
        <v>1</v>
      </c>
      <c r="H19" s="12" t="s">
        <v>51</v>
      </c>
      <c r="I19" s="12" t="s">
        <v>52</v>
      </c>
      <c r="J19" s="11">
        <v>0</v>
      </c>
      <c r="K19" s="14">
        <v>0</v>
      </c>
      <c r="L19" s="14">
        <v>469.5</v>
      </c>
      <c r="M19" s="14">
        <v>626</v>
      </c>
      <c r="N19" s="12" t="s">
        <v>53</v>
      </c>
      <c r="O19" s="15">
        <v>45839</v>
      </c>
      <c r="P19" s="16" t="s">
        <v>454</v>
      </c>
      <c r="Q19" s="16" t="s">
        <v>457</v>
      </c>
    </row>
    <row r="20" spans="1:18">
      <c r="A20" s="12" t="s">
        <v>147</v>
      </c>
      <c r="B20" s="13">
        <v>17126004</v>
      </c>
      <c r="C20" s="12" t="s">
        <v>148</v>
      </c>
      <c r="D20" s="21" t="s">
        <v>816</v>
      </c>
      <c r="E20" s="12" t="s">
        <v>149</v>
      </c>
      <c r="F20" s="21" t="s">
        <v>847</v>
      </c>
      <c r="G20" s="13">
        <v>1</v>
      </c>
      <c r="H20" s="12" t="s">
        <v>51</v>
      </c>
      <c r="I20" s="12" t="s">
        <v>52</v>
      </c>
      <c r="J20" s="11">
        <v>0</v>
      </c>
      <c r="K20" s="14">
        <v>0</v>
      </c>
      <c r="L20" s="14">
        <v>443.42</v>
      </c>
      <c r="M20" s="14">
        <v>626</v>
      </c>
      <c r="N20" s="12" t="s">
        <v>53</v>
      </c>
      <c r="O20" s="15">
        <v>45809</v>
      </c>
      <c r="P20" s="16" t="s">
        <v>454</v>
      </c>
      <c r="Q20" s="16" t="s">
        <v>457</v>
      </c>
    </row>
    <row r="21" spans="1:18">
      <c r="A21" s="12" t="s">
        <v>94</v>
      </c>
      <c r="B21" s="13">
        <v>7146581</v>
      </c>
      <c r="C21" s="12" t="s">
        <v>95</v>
      </c>
      <c r="D21" s="21" t="s">
        <v>804</v>
      </c>
      <c r="E21" s="12" t="s">
        <v>96</v>
      </c>
      <c r="F21" s="21" t="s">
        <v>848</v>
      </c>
      <c r="G21" s="13">
        <v>1</v>
      </c>
      <c r="H21" s="12" t="s">
        <v>51</v>
      </c>
      <c r="I21" s="12" t="s">
        <v>52</v>
      </c>
      <c r="J21" s="11">
        <v>0</v>
      </c>
      <c r="K21" s="14">
        <v>0</v>
      </c>
      <c r="L21" s="14">
        <v>417.33</v>
      </c>
      <c r="M21" s="14">
        <v>626</v>
      </c>
      <c r="N21" s="12" t="s">
        <v>53</v>
      </c>
      <c r="O21" s="15">
        <v>45778</v>
      </c>
      <c r="P21" s="16" t="s">
        <v>454</v>
      </c>
      <c r="Q21" s="16" t="s">
        <v>457</v>
      </c>
    </row>
    <row r="22" spans="1:18">
      <c r="A22" s="12" t="s">
        <v>94</v>
      </c>
      <c r="B22" s="13">
        <v>7146581</v>
      </c>
      <c r="C22" s="12" t="s">
        <v>111</v>
      </c>
      <c r="D22" s="21" t="s">
        <v>781</v>
      </c>
      <c r="E22" s="12" t="s">
        <v>112</v>
      </c>
      <c r="F22" s="21" t="s">
        <v>849</v>
      </c>
      <c r="G22" s="13">
        <v>1</v>
      </c>
      <c r="H22" s="12" t="s">
        <v>51</v>
      </c>
      <c r="I22" s="12" t="s">
        <v>52</v>
      </c>
      <c r="J22" s="11">
        <v>0</v>
      </c>
      <c r="K22" s="14">
        <v>0</v>
      </c>
      <c r="L22" s="14">
        <v>443.42</v>
      </c>
      <c r="M22" s="14">
        <v>626</v>
      </c>
      <c r="N22" s="12" t="s">
        <v>53</v>
      </c>
      <c r="O22" s="15">
        <v>45809</v>
      </c>
      <c r="P22" s="16" t="s">
        <v>454</v>
      </c>
      <c r="Q22" s="16" t="s">
        <v>457</v>
      </c>
    </row>
    <row r="23" spans="1:18">
      <c r="A23" s="12" t="s">
        <v>64</v>
      </c>
      <c r="B23" s="13">
        <v>7470776</v>
      </c>
      <c r="C23" s="12" t="s">
        <v>65</v>
      </c>
      <c r="D23" s="21" t="s">
        <v>807</v>
      </c>
      <c r="E23" s="12" t="s">
        <v>66</v>
      </c>
      <c r="F23" s="21" t="s">
        <v>850</v>
      </c>
      <c r="G23" s="13">
        <v>1</v>
      </c>
      <c r="H23" s="12" t="s">
        <v>51</v>
      </c>
      <c r="I23" s="12" t="s">
        <v>52</v>
      </c>
      <c r="J23" s="11">
        <v>0</v>
      </c>
      <c r="K23" s="14">
        <v>0</v>
      </c>
      <c r="L23" s="14">
        <v>443.42</v>
      </c>
      <c r="M23" s="14">
        <v>626</v>
      </c>
      <c r="N23" s="12" t="s">
        <v>53</v>
      </c>
      <c r="O23" s="15">
        <v>45809</v>
      </c>
      <c r="P23" s="16" t="s">
        <v>454</v>
      </c>
      <c r="Q23" s="16" t="s">
        <v>457</v>
      </c>
    </row>
    <row r="24" spans="1:18">
      <c r="A24" s="12" t="s">
        <v>121</v>
      </c>
      <c r="B24" s="13">
        <v>16633294</v>
      </c>
      <c r="C24" s="12" t="s">
        <v>122</v>
      </c>
      <c r="D24" s="21" t="s">
        <v>805</v>
      </c>
      <c r="E24" s="12" t="s">
        <v>123</v>
      </c>
      <c r="F24" s="21" t="s">
        <v>851</v>
      </c>
      <c r="G24" s="13">
        <v>1</v>
      </c>
      <c r="H24" s="12" t="s">
        <v>51</v>
      </c>
      <c r="I24" s="12" t="s">
        <v>52</v>
      </c>
      <c r="J24" s="11">
        <v>0</v>
      </c>
      <c r="K24" s="14">
        <v>0</v>
      </c>
      <c r="L24" s="14">
        <v>417.33</v>
      </c>
      <c r="M24" s="14">
        <v>626</v>
      </c>
      <c r="N24" s="12" t="s">
        <v>53</v>
      </c>
      <c r="O24" s="15">
        <v>45778</v>
      </c>
      <c r="P24" s="16" t="s">
        <v>454</v>
      </c>
      <c r="Q24" s="16" t="s">
        <v>457</v>
      </c>
    </row>
    <row r="25" spans="1:18">
      <c r="A25" s="12" t="s">
        <v>213</v>
      </c>
      <c r="B25" s="13">
        <v>19396223</v>
      </c>
      <c r="C25" s="12" t="s">
        <v>214</v>
      </c>
      <c r="D25" s="21" t="s">
        <v>821</v>
      </c>
      <c r="E25" s="12" t="s">
        <v>215</v>
      </c>
      <c r="F25" s="21" t="s">
        <v>852</v>
      </c>
      <c r="G25" s="13">
        <v>1</v>
      </c>
      <c r="H25" s="12" t="s">
        <v>51</v>
      </c>
      <c r="I25" s="12" t="s">
        <v>75</v>
      </c>
      <c r="J25" s="11">
        <v>0</v>
      </c>
      <c r="K25" s="14">
        <v>0</v>
      </c>
      <c r="L25" s="14">
        <v>443.42</v>
      </c>
      <c r="M25" s="14">
        <v>626</v>
      </c>
      <c r="N25" s="12" t="s">
        <v>53</v>
      </c>
      <c r="O25" s="15">
        <v>45809</v>
      </c>
      <c r="P25" s="16" t="s">
        <v>454</v>
      </c>
      <c r="Q25" s="16" t="s">
        <v>457</v>
      </c>
    </row>
    <row r="26" spans="1:18">
      <c r="A26" s="12" t="s">
        <v>94</v>
      </c>
      <c r="B26" s="13">
        <v>7146581</v>
      </c>
      <c r="C26" s="12" t="s">
        <v>108</v>
      </c>
      <c r="D26" s="21" t="s">
        <v>780</v>
      </c>
      <c r="E26" s="12" t="s">
        <v>109</v>
      </c>
      <c r="F26" s="21" t="s">
        <v>853</v>
      </c>
      <c r="G26" s="13">
        <v>1</v>
      </c>
      <c r="H26" s="12" t="s">
        <v>51</v>
      </c>
      <c r="I26" s="12" t="s">
        <v>52</v>
      </c>
      <c r="J26" s="11">
        <v>0</v>
      </c>
      <c r="K26" s="14">
        <v>0</v>
      </c>
      <c r="L26" s="14">
        <v>443.42</v>
      </c>
      <c r="M26" s="14">
        <v>626</v>
      </c>
      <c r="N26" s="12" t="s">
        <v>53</v>
      </c>
      <c r="O26" s="15">
        <v>45809</v>
      </c>
      <c r="P26" s="16" t="s">
        <v>454</v>
      </c>
      <c r="Q26" s="16" t="s">
        <v>457</v>
      </c>
    </row>
    <row r="27" spans="1:18">
      <c r="A27" s="12" t="s">
        <v>176</v>
      </c>
      <c r="B27" s="13">
        <v>9213293</v>
      </c>
      <c r="C27" s="12" t="s">
        <v>177</v>
      </c>
      <c r="D27" s="21" t="s">
        <v>819</v>
      </c>
      <c r="E27" s="12" t="s">
        <v>178</v>
      </c>
      <c r="F27" s="21" t="s">
        <v>854</v>
      </c>
      <c r="G27" s="13">
        <v>1</v>
      </c>
      <c r="H27" s="12" t="s">
        <v>51</v>
      </c>
      <c r="I27" s="12" t="s">
        <v>52</v>
      </c>
      <c r="J27" s="11">
        <v>0</v>
      </c>
      <c r="K27" s="14">
        <v>0</v>
      </c>
      <c r="L27" s="14">
        <v>443.42</v>
      </c>
      <c r="M27" s="14">
        <v>626</v>
      </c>
      <c r="N27" s="12" t="s">
        <v>53</v>
      </c>
      <c r="O27" s="15">
        <v>45809</v>
      </c>
      <c r="P27" s="16" t="s">
        <v>454</v>
      </c>
      <c r="Q27" s="16" t="s">
        <v>457</v>
      </c>
    </row>
    <row r="28" spans="1:18">
      <c r="A28" s="12" t="s">
        <v>71</v>
      </c>
      <c r="B28" s="13">
        <v>8307933</v>
      </c>
      <c r="C28" s="12" t="s">
        <v>85</v>
      </c>
      <c r="D28" s="21" t="s">
        <v>810</v>
      </c>
      <c r="E28" s="12" t="s">
        <v>86</v>
      </c>
      <c r="F28" s="21" t="s">
        <v>855</v>
      </c>
      <c r="G28" s="13">
        <v>1</v>
      </c>
      <c r="H28" s="12" t="s">
        <v>51</v>
      </c>
      <c r="I28" s="12" t="s">
        <v>88</v>
      </c>
      <c r="J28" s="11">
        <v>0</v>
      </c>
      <c r="K28" s="14">
        <v>0</v>
      </c>
      <c r="L28" s="14">
        <v>443.42</v>
      </c>
      <c r="M28" s="14">
        <v>626</v>
      </c>
      <c r="N28" s="12" t="s">
        <v>53</v>
      </c>
      <c r="O28" s="15">
        <v>45809</v>
      </c>
      <c r="P28" s="16" t="s">
        <v>454</v>
      </c>
      <c r="Q28" s="16" t="s">
        <v>457</v>
      </c>
    </row>
    <row r="29" spans="1:18">
      <c r="A29" s="12" t="s">
        <v>94</v>
      </c>
      <c r="B29" s="13">
        <v>7146581</v>
      </c>
      <c r="C29" s="12" t="s">
        <v>102</v>
      </c>
      <c r="D29" s="21" t="s">
        <v>813</v>
      </c>
      <c r="E29" s="12" t="s">
        <v>103</v>
      </c>
      <c r="F29" s="21" t="s">
        <v>856</v>
      </c>
      <c r="G29" s="13">
        <v>1</v>
      </c>
      <c r="H29" s="12" t="s">
        <v>51</v>
      </c>
      <c r="I29" s="12" t="s">
        <v>52</v>
      </c>
      <c r="J29" s="11">
        <v>0</v>
      </c>
      <c r="K29" s="14">
        <v>0</v>
      </c>
      <c r="L29" s="14">
        <v>443.42</v>
      </c>
      <c r="M29" s="14">
        <v>626</v>
      </c>
      <c r="N29" s="12" t="s">
        <v>53</v>
      </c>
      <c r="O29" s="15">
        <v>45809</v>
      </c>
      <c r="P29" s="16" t="s">
        <v>454</v>
      </c>
      <c r="Q29" s="16" t="s">
        <v>457</v>
      </c>
    </row>
    <row r="30" spans="1:18">
      <c r="A30" s="12" t="s">
        <v>139</v>
      </c>
      <c r="B30" s="13">
        <v>16509456</v>
      </c>
      <c r="C30" s="12" t="s">
        <v>140</v>
      </c>
      <c r="D30" s="21" t="s">
        <v>826</v>
      </c>
      <c r="E30" s="12" t="s">
        <v>141</v>
      </c>
      <c r="F30" s="21" t="s">
        <v>857</v>
      </c>
      <c r="G30" s="13">
        <v>1</v>
      </c>
      <c r="H30" s="12" t="s">
        <v>51</v>
      </c>
      <c r="I30" s="12" t="s">
        <v>52</v>
      </c>
      <c r="J30" s="11">
        <v>0</v>
      </c>
      <c r="K30" s="14">
        <v>0</v>
      </c>
      <c r="L30" s="14">
        <v>520</v>
      </c>
      <c r="M30" s="14">
        <v>780</v>
      </c>
      <c r="N30" s="12" t="s">
        <v>53</v>
      </c>
      <c r="O30" s="15">
        <v>45778</v>
      </c>
      <c r="P30" s="16" t="s">
        <v>452</v>
      </c>
      <c r="Q30" s="16" t="s">
        <v>456</v>
      </c>
    </row>
    <row r="31" spans="1:18">
      <c r="A31" s="12" t="s">
        <v>139</v>
      </c>
      <c r="B31" s="13">
        <v>16509456</v>
      </c>
      <c r="C31" s="12" t="s">
        <v>140</v>
      </c>
      <c r="D31" s="21" t="s">
        <v>826</v>
      </c>
      <c r="E31" s="12" t="s">
        <v>141</v>
      </c>
      <c r="F31" s="21" t="s">
        <v>858</v>
      </c>
      <c r="G31" s="13">
        <v>1</v>
      </c>
      <c r="H31" s="12" t="s">
        <v>51</v>
      </c>
      <c r="I31" s="12" t="s">
        <v>52</v>
      </c>
      <c r="J31" s="11">
        <v>0</v>
      </c>
      <c r="K31" s="14">
        <v>0</v>
      </c>
      <c r="L31" s="14">
        <v>520</v>
      </c>
      <c r="M31" s="14">
        <v>-260.08</v>
      </c>
      <c r="N31" s="12" t="s">
        <v>53</v>
      </c>
      <c r="O31" s="15">
        <v>45778</v>
      </c>
      <c r="P31" s="16" t="s">
        <v>453</v>
      </c>
      <c r="Q31" s="16" t="s">
        <v>455</v>
      </c>
      <c r="R31" s="16">
        <f>390/12*8</f>
        <v>260</v>
      </c>
    </row>
    <row r="32" spans="1:18">
      <c r="A32" s="12" t="s">
        <v>194</v>
      </c>
      <c r="B32" s="13">
        <v>18794740</v>
      </c>
      <c r="C32" s="12" t="s">
        <v>198</v>
      </c>
      <c r="D32" s="21" t="s">
        <v>825</v>
      </c>
      <c r="E32" s="12" t="s">
        <v>199</v>
      </c>
      <c r="F32" s="21" t="s">
        <v>859</v>
      </c>
      <c r="G32" s="13">
        <v>1</v>
      </c>
      <c r="H32" s="12" t="s">
        <v>51</v>
      </c>
      <c r="I32" s="12" t="s">
        <v>52</v>
      </c>
      <c r="J32" s="11">
        <v>0</v>
      </c>
      <c r="K32" s="14">
        <v>0</v>
      </c>
      <c r="L32" s="14">
        <v>499.08</v>
      </c>
      <c r="M32" s="14">
        <v>705</v>
      </c>
      <c r="N32" s="12" t="s">
        <v>53</v>
      </c>
      <c r="O32" s="15">
        <v>45809</v>
      </c>
      <c r="P32" s="16" t="s">
        <v>450</v>
      </c>
      <c r="Q32" s="16" t="s">
        <v>458</v>
      </c>
    </row>
    <row r="33" spans="1:18">
      <c r="A33" s="12" t="s">
        <v>194</v>
      </c>
      <c r="B33" s="13">
        <v>18794740</v>
      </c>
      <c r="C33" s="12" t="s">
        <v>198</v>
      </c>
      <c r="D33" s="21" t="s">
        <v>825</v>
      </c>
      <c r="E33" s="12" t="s">
        <v>199</v>
      </c>
      <c r="F33" s="21" t="s">
        <v>860</v>
      </c>
      <c r="G33" s="13">
        <v>1</v>
      </c>
      <c r="H33" s="12" t="s">
        <v>51</v>
      </c>
      <c r="I33" s="12" t="s">
        <v>52</v>
      </c>
      <c r="J33" s="11">
        <v>0</v>
      </c>
      <c r="K33" s="14">
        <v>0</v>
      </c>
      <c r="L33" s="14">
        <v>499.08</v>
      </c>
      <c r="M33" s="14">
        <v>-205.92</v>
      </c>
      <c r="N33" s="12" t="s">
        <v>53</v>
      </c>
      <c r="O33" s="15">
        <v>45809</v>
      </c>
      <c r="P33" s="16" t="s">
        <v>449</v>
      </c>
      <c r="Q33" s="16" t="s">
        <v>448</v>
      </c>
      <c r="R33" s="16">
        <f>353/12*7</f>
        <v>205.91666666666669</v>
      </c>
    </row>
    <row r="34" spans="1:18">
      <c r="A34" s="12" t="s">
        <v>335</v>
      </c>
      <c r="B34" s="13">
        <v>17528908</v>
      </c>
      <c r="C34" s="12" t="s">
        <v>356</v>
      </c>
      <c r="D34" s="21" t="s">
        <v>701</v>
      </c>
      <c r="E34" s="12" t="s">
        <v>357</v>
      </c>
      <c r="F34" s="21" t="s">
        <v>861</v>
      </c>
      <c r="G34" s="13">
        <v>1</v>
      </c>
      <c r="H34" s="12" t="s">
        <v>51</v>
      </c>
      <c r="I34" s="12" t="s">
        <v>46</v>
      </c>
      <c r="J34" s="22">
        <v>0.22</v>
      </c>
      <c r="K34" s="14">
        <v>18.95</v>
      </c>
      <c r="L34" s="14">
        <v>4.17</v>
      </c>
      <c r="M34" s="14">
        <v>4.17</v>
      </c>
      <c r="N34" s="12" t="s">
        <v>311</v>
      </c>
      <c r="O34" s="15">
        <v>45261</v>
      </c>
      <c r="P34" s="16" t="s">
        <v>435</v>
      </c>
    </row>
    <row r="35" spans="1:18">
      <c r="A35" s="12" t="s">
        <v>335</v>
      </c>
      <c r="B35" s="13">
        <v>17528908</v>
      </c>
      <c r="C35" s="12" t="s">
        <v>338</v>
      </c>
      <c r="D35" s="21" t="s">
        <v>723</v>
      </c>
      <c r="E35" s="12" t="s">
        <v>339</v>
      </c>
      <c r="F35" s="21" t="s">
        <v>862</v>
      </c>
      <c r="G35" s="13">
        <v>1</v>
      </c>
      <c r="H35" s="12" t="s">
        <v>51</v>
      </c>
      <c r="I35" s="12" t="s">
        <v>46</v>
      </c>
      <c r="J35" s="22">
        <v>0.22</v>
      </c>
      <c r="K35" s="14">
        <v>115.3</v>
      </c>
      <c r="L35" s="14">
        <v>25.37</v>
      </c>
      <c r="M35" s="14">
        <v>25.37</v>
      </c>
      <c r="N35" s="12" t="s">
        <v>311</v>
      </c>
      <c r="O35" s="15">
        <v>45292</v>
      </c>
      <c r="P35" s="16" t="s">
        <v>435</v>
      </c>
    </row>
    <row r="36" spans="1:18">
      <c r="A36" s="12" t="s">
        <v>194</v>
      </c>
      <c r="B36" s="13">
        <v>18794740</v>
      </c>
      <c r="C36" s="12" t="s">
        <v>388</v>
      </c>
      <c r="D36" s="21" t="s">
        <v>739</v>
      </c>
      <c r="E36" s="12" t="s">
        <v>389</v>
      </c>
      <c r="F36" s="21" t="s">
        <v>863</v>
      </c>
      <c r="G36" s="13">
        <v>1</v>
      </c>
      <c r="H36" s="12" t="s">
        <v>51</v>
      </c>
      <c r="I36" s="12" t="s">
        <v>46</v>
      </c>
      <c r="J36" s="22">
        <v>0.22</v>
      </c>
      <c r="K36" s="14">
        <v>115.3</v>
      </c>
      <c r="L36" s="14">
        <v>25.37</v>
      </c>
      <c r="M36" s="14">
        <v>25.37</v>
      </c>
      <c r="N36" s="12" t="s">
        <v>311</v>
      </c>
      <c r="O36" s="15">
        <v>45323</v>
      </c>
      <c r="P36" s="16" t="s">
        <v>435</v>
      </c>
    </row>
    <row r="37" spans="1:18">
      <c r="A37" s="12" t="s">
        <v>194</v>
      </c>
      <c r="B37" s="13">
        <v>18794740</v>
      </c>
      <c r="C37" s="12" t="s">
        <v>390</v>
      </c>
      <c r="D37" s="21" t="s">
        <v>740</v>
      </c>
      <c r="E37" s="12" t="s">
        <v>391</v>
      </c>
      <c r="F37" s="21" t="s">
        <v>864</v>
      </c>
      <c r="G37" s="13">
        <v>1</v>
      </c>
      <c r="H37" s="12" t="s">
        <v>51</v>
      </c>
      <c r="I37" s="12" t="s">
        <v>46</v>
      </c>
      <c r="J37" s="22">
        <v>0.22</v>
      </c>
      <c r="K37" s="14">
        <v>115.3</v>
      </c>
      <c r="L37" s="14">
        <v>25.37</v>
      </c>
      <c r="M37" s="14">
        <v>25.37</v>
      </c>
      <c r="N37" s="12" t="s">
        <v>311</v>
      </c>
      <c r="O37" s="15">
        <v>45383</v>
      </c>
      <c r="P37" s="16" t="s">
        <v>435</v>
      </c>
    </row>
    <row r="38" spans="1:18">
      <c r="A38" s="12" t="s">
        <v>335</v>
      </c>
      <c r="B38" s="13">
        <v>17528908</v>
      </c>
      <c r="C38" s="12" t="s">
        <v>368</v>
      </c>
      <c r="D38" s="21" t="s">
        <v>736</v>
      </c>
      <c r="E38" s="12" t="s">
        <v>369</v>
      </c>
      <c r="F38" s="21" t="s">
        <v>865</v>
      </c>
      <c r="G38" s="13">
        <v>1</v>
      </c>
      <c r="H38" s="12" t="s">
        <v>51</v>
      </c>
      <c r="I38" s="12" t="s">
        <v>46</v>
      </c>
      <c r="J38" s="22">
        <v>0.22</v>
      </c>
      <c r="K38" s="14">
        <v>129.12</v>
      </c>
      <c r="L38" s="14">
        <v>28.41</v>
      </c>
      <c r="M38" s="14">
        <v>28.41</v>
      </c>
      <c r="N38" s="12" t="s">
        <v>311</v>
      </c>
      <c r="O38" s="15">
        <v>45444</v>
      </c>
      <c r="P38" s="16" t="s">
        <v>435</v>
      </c>
    </row>
    <row r="39" spans="1:18">
      <c r="A39" s="12" t="s">
        <v>194</v>
      </c>
      <c r="B39" s="13">
        <v>18794740</v>
      </c>
      <c r="C39" s="12" t="s">
        <v>386</v>
      </c>
      <c r="D39" s="21" t="s">
        <v>738</v>
      </c>
      <c r="E39" s="12" t="s">
        <v>387</v>
      </c>
      <c r="F39" s="21" t="s">
        <v>866</v>
      </c>
      <c r="G39" s="13">
        <v>1</v>
      </c>
      <c r="H39" s="12" t="s">
        <v>51</v>
      </c>
      <c r="I39" s="12" t="s">
        <v>46</v>
      </c>
      <c r="J39" s="22">
        <v>0.22</v>
      </c>
      <c r="K39" s="14">
        <v>130.03</v>
      </c>
      <c r="L39" s="14">
        <v>28.61</v>
      </c>
      <c r="M39" s="14">
        <v>28.61</v>
      </c>
      <c r="N39" s="12" t="s">
        <v>311</v>
      </c>
      <c r="O39" s="15">
        <v>45323</v>
      </c>
      <c r="P39" s="16" t="s">
        <v>435</v>
      </c>
    </row>
    <row r="40" spans="1:18">
      <c r="A40" s="12" t="s">
        <v>194</v>
      </c>
      <c r="B40" s="13">
        <v>18794740</v>
      </c>
      <c r="C40" s="12" t="s">
        <v>394</v>
      </c>
      <c r="D40" s="21" t="s">
        <v>742</v>
      </c>
      <c r="E40" s="12" t="s">
        <v>395</v>
      </c>
      <c r="F40" s="21" t="s">
        <v>867</v>
      </c>
      <c r="G40" s="13">
        <v>1</v>
      </c>
      <c r="H40" s="12" t="s">
        <v>51</v>
      </c>
      <c r="I40" s="12" t="s">
        <v>46</v>
      </c>
      <c r="J40" s="22">
        <v>0.22</v>
      </c>
      <c r="K40" s="14">
        <v>130.03</v>
      </c>
      <c r="L40" s="14">
        <v>28.61</v>
      </c>
      <c r="M40" s="14">
        <v>28.61</v>
      </c>
      <c r="N40" s="12" t="s">
        <v>311</v>
      </c>
      <c r="O40" s="15">
        <v>45444</v>
      </c>
      <c r="P40" s="16" t="s">
        <v>435</v>
      </c>
    </row>
    <row r="41" spans="1:18">
      <c r="A41" s="12" t="s">
        <v>335</v>
      </c>
      <c r="B41" s="13">
        <v>17528908</v>
      </c>
      <c r="C41" s="12" t="s">
        <v>344</v>
      </c>
      <c r="D41" s="21" t="s">
        <v>726</v>
      </c>
      <c r="E41" s="12" t="s">
        <v>345</v>
      </c>
      <c r="F41" s="21" t="s">
        <v>868</v>
      </c>
      <c r="G41" s="13">
        <v>1</v>
      </c>
      <c r="H41" s="12" t="s">
        <v>51</v>
      </c>
      <c r="I41" s="12" t="s">
        <v>46</v>
      </c>
      <c r="J41" s="22">
        <v>0.22</v>
      </c>
      <c r="K41" s="14">
        <v>130.08000000000001</v>
      </c>
      <c r="L41" s="14">
        <v>28.62</v>
      </c>
      <c r="M41" s="14">
        <v>28.62</v>
      </c>
      <c r="N41" s="12" t="s">
        <v>311</v>
      </c>
      <c r="O41" s="15">
        <v>45261</v>
      </c>
      <c r="P41" s="16" t="s">
        <v>435</v>
      </c>
    </row>
    <row r="42" spans="1:18">
      <c r="A42" s="12" t="s">
        <v>335</v>
      </c>
      <c r="B42" s="13">
        <v>17528908</v>
      </c>
      <c r="C42" s="12" t="s">
        <v>360</v>
      </c>
      <c r="D42" s="21" t="s">
        <v>732</v>
      </c>
      <c r="E42" s="12" t="s">
        <v>361</v>
      </c>
      <c r="F42" s="21" t="s">
        <v>869</v>
      </c>
      <c r="G42" s="13">
        <v>1</v>
      </c>
      <c r="H42" s="12" t="s">
        <v>51</v>
      </c>
      <c r="I42" s="12" t="s">
        <v>46</v>
      </c>
      <c r="J42" s="22">
        <v>0.22</v>
      </c>
      <c r="K42" s="14">
        <v>130.08000000000001</v>
      </c>
      <c r="L42" s="14">
        <v>28.62</v>
      </c>
      <c r="M42" s="14">
        <v>28.62</v>
      </c>
      <c r="N42" s="12" t="s">
        <v>311</v>
      </c>
      <c r="O42" s="15">
        <v>45352</v>
      </c>
      <c r="P42" s="16" t="s">
        <v>435</v>
      </c>
    </row>
    <row r="43" spans="1:18">
      <c r="A43" s="12" t="s">
        <v>335</v>
      </c>
      <c r="B43" s="13">
        <v>17528908</v>
      </c>
      <c r="C43" s="12" t="s">
        <v>342</v>
      </c>
      <c r="D43" s="21" t="s">
        <v>725</v>
      </c>
      <c r="E43" s="12" t="s">
        <v>343</v>
      </c>
      <c r="F43" s="21" t="s">
        <v>870</v>
      </c>
      <c r="G43" s="13">
        <v>1</v>
      </c>
      <c r="H43" s="12" t="s">
        <v>51</v>
      </c>
      <c r="I43" s="12" t="s">
        <v>46</v>
      </c>
      <c r="J43" s="22">
        <v>0.22</v>
      </c>
      <c r="K43" s="14">
        <v>130.08000000000001</v>
      </c>
      <c r="L43" s="14">
        <v>28.62</v>
      </c>
      <c r="M43" s="14">
        <v>28.62</v>
      </c>
      <c r="N43" s="12" t="s">
        <v>311</v>
      </c>
      <c r="O43" s="15">
        <v>45292</v>
      </c>
      <c r="P43" s="16" t="s">
        <v>435</v>
      </c>
    </row>
    <row r="44" spans="1:18">
      <c r="A44" s="12" t="s">
        <v>335</v>
      </c>
      <c r="B44" s="13">
        <v>17528908</v>
      </c>
      <c r="C44" s="12" t="s">
        <v>362</v>
      </c>
      <c r="D44" s="21" t="s">
        <v>733</v>
      </c>
      <c r="E44" s="12" t="s">
        <v>363</v>
      </c>
      <c r="F44" s="21" t="s">
        <v>871</v>
      </c>
      <c r="G44" s="13">
        <v>1</v>
      </c>
      <c r="H44" s="12" t="s">
        <v>51</v>
      </c>
      <c r="I44" s="12" t="s">
        <v>46</v>
      </c>
      <c r="J44" s="22">
        <v>0.22</v>
      </c>
      <c r="K44" s="14">
        <v>130.08000000000001</v>
      </c>
      <c r="L44" s="14">
        <v>28.62</v>
      </c>
      <c r="M44" s="14">
        <v>28.62</v>
      </c>
      <c r="N44" s="12" t="s">
        <v>311</v>
      </c>
      <c r="O44" s="15">
        <v>45352</v>
      </c>
      <c r="P44" s="16" t="s">
        <v>435</v>
      </c>
    </row>
    <row r="45" spans="1:18">
      <c r="A45" s="12" t="s">
        <v>335</v>
      </c>
      <c r="B45" s="13">
        <v>17528908</v>
      </c>
      <c r="C45" s="12" t="s">
        <v>346</v>
      </c>
      <c r="D45" s="21" t="s">
        <v>727</v>
      </c>
      <c r="E45" s="12" t="s">
        <v>347</v>
      </c>
      <c r="F45" s="21" t="s">
        <v>872</v>
      </c>
      <c r="G45" s="13">
        <v>1</v>
      </c>
      <c r="H45" s="12" t="s">
        <v>51</v>
      </c>
      <c r="I45" s="12" t="s">
        <v>46</v>
      </c>
      <c r="J45" s="22">
        <v>0.22</v>
      </c>
      <c r="K45" s="14">
        <v>130.08000000000001</v>
      </c>
      <c r="L45" s="14">
        <v>28.62</v>
      </c>
      <c r="M45" s="14">
        <v>28.62</v>
      </c>
      <c r="N45" s="12" t="s">
        <v>311</v>
      </c>
      <c r="O45" s="15">
        <v>45261</v>
      </c>
      <c r="P45" s="16" t="s">
        <v>435</v>
      </c>
    </row>
    <row r="46" spans="1:18">
      <c r="A46" s="12" t="s">
        <v>335</v>
      </c>
      <c r="B46" s="13">
        <v>17528908</v>
      </c>
      <c r="C46" s="12" t="s">
        <v>366</v>
      </c>
      <c r="D46" s="21" t="s">
        <v>735</v>
      </c>
      <c r="E46" s="12" t="s">
        <v>367</v>
      </c>
      <c r="F46" s="21" t="s">
        <v>873</v>
      </c>
      <c r="G46" s="13">
        <v>1</v>
      </c>
      <c r="H46" s="12" t="s">
        <v>51</v>
      </c>
      <c r="I46" s="12" t="s">
        <v>46</v>
      </c>
      <c r="J46" s="22">
        <v>0.22</v>
      </c>
      <c r="K46" s="14">
        <v>130.08000000000001</v>
      </c>
      <c r="L46" s="14">
        <v>28.62</v>
      </c>
      <c r="M46" s="14">
        <v>28.62</v>
      </c>
      <c r="N46" s="12" t="s">
        <v>311</v>
      </c>
      <c r="O46" s="15">
        <v>45413</v>
      </c>
      <c r="P46" s="16" t="s">
        <v>435</v>
      </c>
    </row>
    <row r="47" spans="1:18">
      <c r="A47" s="12" t="s">
        <v>335</v>
      </c>
      <c r="B47" s="13">
        <v>17528908</v>
      </c>
      <c r="C47" s="12" t="s">
        <v>340</v>
      </c>
      <c r="D47" s="21" t="s">
        <v>724</v>
      </c>
      <c r="E47" s="12" t="s">
        <v>341</v>
      </c>
      <c r="F47" s="21" t="s">
        <v>874</v>
      </c>
      <c r="G47" s="13">
        <v>1</v>
      </c>
      <c r="H47" s="12" t="s">
        <v>51</v>
      </c>
      <c r="I47" s="12" t="s">
        <v>46</v>
      </c>
      <c r="J47" s="22">
        <v>0.22</v>
      </c>
      <c r="K47" s="14">
        <v>131.96</v>
      </c>
      <c r="L47" s="14">
        <v>29.03</v>
      </c>
      <c r="M47" s="14">
        <v>29.03</v>
      </c>
      <c r="N47" s="12" t="s">
        <v>311</v>
      </c>
      <c r="O47" s="15">
        <v>45292</v>
      </c>
      <c r="P47" s="16" t="s">
        <v>435</v>
      </c>
    </row>
    <row r="48" spans="1:18">
      <c r="A48" s="12" t="s">
        <v>335</v>
      </c>
      <c r="B48" s="13">
        <v>17528908</v>
      </c>
      <c r="C48" s="12" t="s">
        <v>350</v>
      </c>
      <c r="D48" s="21" t="s">
        <v>729</v>
      </c>
      <c r="E48" s="12" t="s">
        <v>351</v>
      </c>
      <c r="F48" s="21" t="s">
        <v>875</v>
      </c>
      <c r="G48" s="13">
        <v>1</v>
      </c>
      <c r="H48" s="12" t="s">
        <v>51</v>
      </c>
      <c r="I48" s="12" t="s">
        <v>46</v>
      </c>
      <c r="J48" s="22">
        <v>0.22</v>
      </c>
      <c r="K48" s="14">
        <v>134.6</v>
      </c>
      <c r="L48" s="14">
        <v>29.61</v>
      </c>
      <c r="M48" s="14">
        <v>29.61</v>
      </c>
      <c r="N48" s="12" t="s">
        <v>311</v>
      </c>
      <c r="O48" s="15">
        <v>45292</v>
      </c>
      <c r="P48" s="16" t="s">
        <v>435</v>
      </c>
    </row>
    <row r="49" spans="1:16">
      <c r="A49" s="12" t="s">
        <v>335</v>
      </c>
      <c r="B49" s="13">
        <v>17528908</v>
      </c>
      <c r="C49" s="12" t="s">
        <v>370</v>
      </c>
      <c r="D49" s="21" t="s">
        <v>737</v>
      </c>
      <c r="E49" s="12" t="s">
        <v>371</v>
      </c>
      <c r="F49" s="21" t="s">
        <v>876</v>
      </c>
      <c r="G49" s="13">
        <v>1</v>
      </c>
      <c r="H49" s="12" t="s">
        <v>51</v>
      </c>
      <c r="I49" s="12" t="s">
        <v>46</v>
      </c>
      <c r="J49" s="22">
        <v>0.22</v>
      </c>
      <c r="K49" s="14">
        <v>146.72999999999999</v>
      </c>
      <c r="L49" s="14">
        <v>32.28</v>
      </c>
      <c r="M49" s="14">
        <v>32.28</v>
      </c>
      <c r="N49" s="12" t="s">
        <v>311</v>
      </c>
      <c r="O49" s="15">
        <v>45444</v>
      </c>
      <c r="P49" s="16" t="s">
        <v>435</v>
      </c>
    </row>
    <row r="50" spans="1:16">
      <c r="A50" s="12" t="s">
        <v>335</v>
      </c>
      <c r="B50" s="13">
        <v>17528908</v>
      </c>
      <c r="C50" s="12" t="s">
        <v>364</v>
      </c>
      <c r="D50" s="21" t="s">
        <v>734</v>
      </c>
      <c r="E50" s="12" t="s">
        <v>365</v>
      </c>
      <c r="F50" s="21" t="s">
        <v>877</v>
      </c>
      <c r="G50" s="13">
        <v>1</v>
      </c>
      <c r="H50" s="12" t="s">
        <v>51</v>
      </c>
      <c r="I50" s="12" t="s">
        <v>46</v>
      </c>
      <c r="J50" s="22">
        <v>0.22</v>
      </c>
      <c r="K50" s="14">
        <v>146.72999999999999</v>
      </c>
      <c r="L50" s="14">
        <v>32.28</v>
      </c>
      <c r="M50" s="14">
        <v>32.28</v>
      </c>
      <c r="N50" s="12" t="s">
        <v>311</v>
      </c>
      <c r="O50" s="15">
        <v>45383</v>
      </c>
      <c r="P50" s="16" t="s">
        <v>435</v>
      </c>
    </row>
    <row r="51" spans="1:16">
      <c r="A51" s="12" t="s">
        <v>335</v>
      </c>
      <c r="B51" s="13">
        <v>17528908</v>
      </c>
      <c r="C51" s="12" t="s">
        <v>352</v>
      </c>
      <c r="D51" s="21" t="s">
        <v>730</v>
      </c>
      <c r="E51" s="12" t="s">
        <v>353</v>
      </c>
      <c r="F51" s="21" t="s">
        <v>878</v>
      </c>
      <c r="G51" s="13">
        <v>1</v>
      </c>
      <c r="H51" s="12" t="s">
        <v>51</v>
      </c>
      <c r="I51" s="12" t="s">
        <v>46</v>
      </c>
      <c r="J51" s="22">
        <v>0.22</v>
      </c>
      <c r="K51" s="14">
        <v>148.9</v>
      </c>
      <c r="L51" s="14">
        <v>32.76</v>
      </c>
      <c r="M51" s="14">
        <v>32.76</v>
      </c>
      <c r="N51" s="12" t="s">
        <v>311</v>
      </c>
      <c r="O51" s="15">
        <v>45292</v>
      </c>
      <c r="P51" s="16" t="s">
        <v>435</v>
      </c>
    </row>
    <row r="52" spans="1:16">
      <c r="A52" s="12" t="s">
        <v>335</v>
      </c>
      <c r="B52" s="13">
        <v>17528908</v>
      </c>
      <c r="C52" s="12" t="s">
        <v>348</v>
      </c>
      <c r="D52" s="21" t="s">
        <v>728</v>
      </c>
      <c r="E52" s="12" t="s">
        <v>349</v>
      </c>
      <c r="F52" s="21" t="s">
        <v>879</v>
      </c>
      <c r="G52" s="13">
        <v>1</v>
      </c>
      <c r="H52" s="12" t="s">
        <v>51</v>
      </c>
      <c r="I52" s="12" t="s">
        <v>46</v>
      </c>
      <c r="J52" s="22">
        <v>0.22</v>
      </c>
      <c r="K52" s="14">
        <v>154.43</v>
      </c>
      <c r="L52" s="14">
        <v>33.97</v>
      </c>
      <c r="M52" s="14">
        <v>33.97</v>
      </c>
      <c r="N52" s="12" t="s">
        <v>311</v>
      </c>
      <c r="O52" s="15">
        <v>45292</v>
      </c>
      <c r="P52" s="16" t="s">
        <v>435</v>
      </c>
    </row>
    <row r="53" spans="1:16">
      <c r="A53" s="12" t="s">
        <v>335</v>
      </c>
      <c r="B53" s="13">
        <v>17528908</v>
      </c>
      <c r="C53" s="12" t="s">
        <v>354</v>
      </c>
      <c r="D53" s="21" t="s">
        <v>731</v>
      </c>
      <c r="E53" s="12" t="s">
        <v>355</v>
      </c>
      <c r="F53" s="21" t="s">
        <v>880</v>
      </c>
      <c r="G53" s="13">
        <v>1</v>
      </c>
      <c r="H53" s="12" t="s">
        <v>51</v>
      </c>
      <c r="I53" s="12" t="s">
        <v>46</v>
      </c>
      <c r="J53" s="22">
        <v>0.22</v>
      </c>
      <c r="K53" s="14">
        <v>155.12</v>
      </c>
      <c r="L53" s="14">
        <v>34.130000000000003</v>
      </c>
      <c r="M53" s="14">
        <v>34.130000000000003</v>
      </c>
      <c r="N53" s="12" t="s">
        <v>311</v>
      </c>
      <c r="O53" s="15">
        <v>45292</v>
      </c>
      <c r="P53" s="16" t="s">
        <v>435</v>
      </c>
    </row>
    <row r="54" spans="1:16">
      <c r="A54" s="12" t="s">
        <v>194</v>
      </c>
      <c r="B54" s="13">
        <v>18794740</v>
      </c>
      <c r="C54" s="12" t="s">
        <v>392</v>
      </c>
      <c r="D54" s="21" t="s">
        <v>741</v>
      </c>
      <c r="E54" s="12" t="s">
        <v>393</v>
      </c>
      <c r="F54" s="21" t="s">
        <v>881</v>
      </c>
      <c r="G54" s="13">
        <v>1</v>
      </c>
      <c r="H54" s="12" t="s">
        <v>51</v>
      </c>
      <c r="I54" s="12" t="s">
        <v>46</v>
      </c>
      <c r="J54" s="22">
        <v>0.22</v>
      </c>
      <c r="K54" s="14">
        <v>156.38999999999999</v>
      </c>
      <c r="L54" s="14">
        <v>34.409999999999997</v>
      </c>
      <c r="M54" s="14">
        <v>34.409999999999997</v>
      </c>
      <c r="N54" s="12" t="s">
        <v>311</v>
      </c>
      <c r="O54" s="15">
        <v>45383</v>
      </c>
      <c r="P54" s="16" t="s">
        <v>435</v>
      </c>
    </row>
    <row r="55" spans="1:16">
      <c r="A55" s="12" t="s">
        <v>233</v>
      </c>
      <c r="B55" s="13">
        <v>19278370</v>
      </c>
      <c r="C55" s="12" t="s">
        <v>427</v>
      </c>
      <c r="D55" s="21" t="s">
        <v>743</v>
      </c>
      <c r="E55" s="12" t="s">
        <v>428</v>
      </c>
      <c r="F55" s="21" t="s">
        <v>882</v>
      </c>
      <c r="G55" s="13">
        <v>1</v>
      </c>
      <c r="H55" s="12" t="s">
        <v>51</v>
      </c>
      <c r="I55" s="12" t="s">
        <v>46</v>
      </c>
      <c r="J55" s="22">
        <v>0.22</v>
      </c>
      <c r="K55" s="14">
        <v>157.86000000000001</v>
      </c>
      <c r="L55" s="14">
        <v>34.729999999999997</v>
      </c>
      <c r="M55" s="14">
        <v>34.729999999999997</v>
      </c>
      <c r="N55" s="12" t="s">
        <v>311</v>
      </c>
      <c r="O55" s="15">
        <v>45444</v>
      </c>
      <c r="P55" s="16" t="s">
        <v>435</v>
      </c>
    </row>
    <row r="56" spans="1:16">
      <c r="A56" s="12" t="s">
        <v>114</v>
      </c>
      <c r="B56" s="13">
        <v>15278437</v>
      </c>
      <c r="C56" s="12" t="s">
        <v>315</v>
      </c>
      <c r="D56" s="21" t="s">
        <v>744</v>
      </c>
      <c r="E56" s="12" t="s">
        <v>316</v>
      </c>
      <c r="F56" s="21" t="s">
        <v>883</v>
      </c>
      <c r="G56" s="13">
        <v>1</v>
      </c>
      <c r="H56" s="12" t="s">
        <v>51</v>
      </c>
      <c r="I56" s="12" t="s">
        <v>46</v>
      </c>
      <c r="J56" s="22">
        <v>0.22</v>
      </c>
      <c r="K56" s="14">
        <v>164</v>
      </c>
      <c r="L56" s="14">
        <v>36.08</v>
      </c>
      <c r="M56" s="14">
        <v>36.08</v>
      </c>
      <c r="N56" s="12" t="s">
        <v>119</v>
      </c>
      <c r="O56" s="15">
        <v>45292</v>
      </c>
      <c r="P56" s="16" t="s">
        <v>435</v>
      </c>
    </row>
    <row r="57" spans="1:16">
      <c r="A57" s="12" t="s">
        <v>114</v>
      </c>
      <c r="B57" s="13">
        <v>15278437</v>
      </c>
      <c r="C57" s="12" t="s">
        <v>309</v>
      </c>
      <c r="D57" s="21" t="s">
        <v>722</v>
      </c>
      <c r="E57" s="12" t="s">
        <v>310</v>
      </c>
      <c r="F57" s="21" t="s">
        <v>884</v>
      </c>
      <c r="G57" s="13">
        <v>1</v>
      </c>
      <c r="H57" s="12" t="s">
        <v>51</v>
      </c>
      <c r="I57" s="12" t="s">
        <v>46</v>
      </c>
      <c r="J57" s="22">
        <v>0.22</v>
      </c>
      <c r="K57" s="14">
        <v>193.65</v>
      </c>
      <c r="L57" s="14">
        <v>42.6</v>
      </c>
      <c r="M57" s="14">
        <v>42.6</v>
      </c>
      <c r="N57" s="12" t="s">
        <v>311</v>
      </c>
      <c r="O57" s="15">
        <v>45292</v>
      </c>
      <c r="P57" s="16" t="s">
        <v>435</v>
      </c>
    </row>
    <row r="58" spans="1:16">
      <c r="A58" s="12" t="s">
        <v>319</v>
      </c>
      <c r="B58" s="13">
        <v>9079571</v>
      </c>
      <c r="C58" s="12" t="s">
        <v>320</v>
      </c>
      <c r="D58" s="21" t="s">
        <v>709</v>
      </c>
      <c r="E58" s="12" t="s">
        <v>321</v>
      </c>
      <c r="F58" s="21" t="s">
        <v>885</v>
      </c>
      <c r="G58" s="13">
        <v>1</v>
      </c>
      <c r="H58" s="12" t="s">
        <v>51</v>
      </c>
      <c r="I58" s="12" t="s">
        <v>46</v>
      </c>
      <c r="J58" s="22">
        <v>0.22</v>
      </c>
      <c r="K58" s="14">
        <v>693</v>
      </c>
      <c r="L58" s="14">
        <v>152.52000000000001</v>
      </c>
      <c r="M58" s="14">
        <v>152.52000000000001</v>
      </c>
      <c r="N58" s="12" t="s">
        <v>252</v>
      </c>
      <c r="O58" s="15">
        <v>45809</v>
      </c>
      <c r="P58" s="16" t="s">
        <v>435</v>
      </c>
    </row>
    <row r="59" spans="1:16">
      <c r="A59" s="12" t="s">
        <v>225</v>
      </c>
      <c r="B59" s="13">
        <v>18828278</v>
      </c>
      <c r="C59" s="12" t="s">
        <v>226</v>
      </c>
      <c r="D59" s="21" t="s">
        <v>721</v>
      </c>
      <c r="E59" s="12" t="s">
        <v>417</v>
      </c>
      <c r="F59" s="21" t="s">
        <v>886</v>
      </c>
      <c r="G59" s="13">
        <v>1</v>
      </c>
      <c r="H59" s="12" t="s">
        <v>51</v>
      </c>
      <c r="I59" s="12" t="s">
        <v>46</v>
      </c>
      <c r="J59" s="22">
        <v>0.22</v>
      </c>
      <c r="K59" s="14">
        <v>1382.04</v>
      </c>
      <c r="L59" s="14">
        <v>304.08</v>
      </c>
      <c r="M59" s="14">
        <v>304.08</v>
      </c>
      <c r="N59" s="12" t="s">
        <v>252</v>
      </c>
      <c r="O59" s="15">
        <v>45809</v>
      </c>
      <c r="P59" s="16" t="s">
        <v>435</v>
      </c>
    </row>
    <row r="60" spans="1:16">
      <c r="A60" s="12" t="s">
        <v>194</v>
      </c>
      <c r="B60" s="13">
        <v>18794740</v>
      </c>
      <c r="C60" s="12" t="s">
        <v>396</v>
      </c>
      <c r="D60" s="21" t="s">
        <v>702</v>
      </c>
      <c r="E60" s="12" t="s">
        <v>397</v>
      </c>
      <c r="F60" s="21" t="s">
        <v>887</v>
      </c>
      <c r="G60" s="13">
        <v>1</v>
      </c>
      <c r="H60" s="12" t="s">
        <v>51</v>
      </c>
      <c r="I60" s="12" t="s">
        <v>46</v>
      </c>
      <c r="J60" s="22">
        <v>0.22</v>
      </c>
      <c r="K60" s="14">
        <v>1484.16</v>
      </c>
      <c r="L60" s="14">
        <v>326.52</v>
      </c>
      <c r="M60" s="14">
        <v>326.52</v>
      </c>
      <c r="N60" s="12" t="s">
        <v>398</v>
      </c>
      <c r="O60" s="15">
        <v>45809</v>
      </c>
      <c r="P60" s="16" t="s">
        <v>435</v>
      </c>
    </row>
    <row r="61" spans="1:16">
      <c r="A61" s="12" t="s">
        <v>248</v>
      </c>
      <c r="B61" s="13">
        <v>8244481</v>
      </c>
      <c r="C61" s="12" t="s">
        <v>254</v>
      </c>
      <c r="D61" s="21" t="s">
        <v>705</v>
      </c>
      <c r="E61" s="12" t="s">
        <v>255</v>
      </c>
      <c r="F61" s="21" t="s">
        <v>888</v>
      </c>
      <c r="G61" s="13">
        <v>1</v>
      </c>
      <c r="H61" s="12" t="s">
        <v>51</v>
      </c>
      <c r="I61" s="12" t="s">
        <v>46</v>
      </c>
      <c r="J61" s="22">
        <v>0.22</v>
      </c>
      <c r="K61" s="14">
        <v>1570.44</v>
      </c>
      <c r="L61" s="14">
        <v>345.48</v>
      </c>
      <c r="M61" s="14">
        <v>345.48</v>
      </c>
      <c r="N61" s="12" t="s">
        <v>252</v>
      </c>
      <c r="O61" s="15">
        <v>45809</v>
      </c>
      <c r="P61" s="16" t="s">
        <v>435</v>
      </c>
    </row>
    <row r="62" spans="1:16">
      <c r="A62" s="12" t="s">
        <v>248</v>
      </c>
      <c r="B62" s="13">
        <v>8244481</v>
      </c>
      <c r="C62" s="12" t="s">
        <v>249</v>
      </c>
      <c r="D62" s="21" t="s">
        <v>704</v>
      </c>
      <c r="E62" s="12" t="s">
        <v>250</v>
      </c>
      <c r="F62" s="21" t="s">
        <v>889</v>
      </c>
      <c r="G62" s="13">
        <v>1</v>
      </c>
      <c r="H62" s="12" t="s">
        <v>51</v>
      </c>
      <c r="I62" s="12" t="s">
        <v>46</v>
      </c>
      <c r="J62" s="22">
        <v>0.22</v>
      </c>
      <c r="K62" s="14">
        <v>1620.84</v>
      </c>
      <c r="L62" s="14">
        <v>356.64</v>
      </c>
      <c r="M62" s="14">
        <v>356.64</v>
      </c>
      <c r="N62" s="12" t="s">
        <v>252</v>
      </c>
      <c r="O62" s="15">
        <v>45809</v>
      </c>
      <c r="P62" s="16" t="s">
        <v>435</v>
      </c>
    </row>
    <row r="63" spans="1:16">
      <c r="A63" s="12" t="s">
        <v>319</v>
      </c>
      <c r="B63" s="13">
        <v>9079571</v>
      </c>
      <c r="C63" s="12" t="s">
        <v>326</v>
      </c>
      <c r="D63" s="21" t="s">
        <v>712</v>
      </c>
      <c r="E63" s="12" t="s">
        <v>327</v>
      </c>
      <c r="F63" s="21" t="s">
        <v>890</v>
      </c>
      <c r="G63" s="13">
        <v>1</v>
      </c>
      <c r="H63" s="12" t="s">
        <v>51</v>
      </c>
      <c r="I63" s="12" t="s">
        <v>46</v>
      </c>
      <c r="J63" s="22">
        <v>0.22</v>
      </c>
      <c r="K63" s="14">
        <v>1622.64</v>
      </c>
      <c r="L63" s="14">
        <v>357</v>
      </c>
      <c r="M63" s="14">
        <v>357</v>
      </c>
      <c r="N63" s="12" t="s">
        <v>252</v>
      </c>
      <c r="O63" s="15">
        <v>45809</v>
      </c>
      <c r="P63" s="16" t="s">
        <v>435</v>
      </c>
    </row>
    <row r="64" spans="1:16">
      <c r="A64" s="12" t="s">
        <v>209</v>
      </c>
      <c r="B64" s="13">
        <v>5442438</v>
      </c>
      <c r="C64" s="12" t="s">
        <v>210</v>
      </c>
      <c r="D64" s="21" t="s">
        <v>716</v>
      </c>
      <c r="E64" s="12" t="s">
        <v>408</v>
      </c>
      <c r="F64" s="21" t="s">
        <v>891</v>
      </c>
      <c r="G64" s="13">
        <v>1</v>
      </c>
      <c r="H64" s="12" t="s">
        <v>51</v>
      </c>
      <c r="I64" s="12" t="s">
        <v>46</v>
      </c>
      <c r="J64" s="22">
        <v>0.22</v>
      </c>
      <c r="K64" s="14">
        <v>1622.64</v>
      </c>
      <c r="L64" s="14">
        <v>357</v>
      </c>
      <c r="M64" s="14">
        <v>357</v>
      </c>
      <c r="N64" s="12" t="s">
        <v>252</v>
      </c>
      <c r="O64" s="15">
        <v>45809</v>
      </c>
      <c r="P64" s="16" t="s">
        <v>435</v>
      </c>
    </row>
    <row r="65" spans="1:16">
      <c r="A65" s="12" t="s">
        <v>225</v>
      </c>
      <c r="B65" s="13">
        <v>18828278</v>
      </c>
      <c r="C65" s="12" t="s">
        <v>409</v>
      </c>
      <c r="D65" s="21" t="s">
        <v>717</v>
      </c>
      <c r="E65" s="12" t="s">
        <v>410</v>
      </c>
      <c r="F65" s="21" t="s">
        <v>892</v>
      </c>
      <c r="G65" s="13">
        <v>1</v>
      </c>
      <c r="H65" s="12" t="s">
        <v>51</v>
      </c>
      <c r="I65" s="12" t="s">
        <v>46</v>
      </c>
      <c r="J65" s="22">
        <v>0.22</v>
      </c>
      <c r="K65" s="14">
        <v>1707.12</v>
      </c>
      <c r="L65" s="14">
        <v>375.6</v>
      </c>
      <c r="M65" s="14">
        <v>375.6</v>
      </c>
      <c r="N65" s="12" t="s">
        <v>252</v>
      </c>
      <c r="O65" s="15">
        <v>45809</v>
      </c>
      <c r="P65" s="16" t="s">
        <v>435</v>
      </c>
    </row>
    <row r="66" spans="1:16">
      <c r="A66" s="12" t="s">
        <v>225</v>
      </c>
      <c r="B66" s="13">
        <v>18828278</v>
      </c>
      <c r="C66" s="12" t="s">
        <v>413</v>
      </c>
      <c r="D66" s="21" t="s">
        <v>719</v>
      </c>
      <c r="E66" s="12" t="s">
        <v>414</v>
      </c>
      <c r="F66" s="21" t="s">
        <v>893</v>
      </c>
      <c r="G66" s="13">
        <v>1</v>
      </c>
      <c r="H66" s="12" t="s">
        <v>51</v>
      </c>
      <c r="I66" s="12" t="s">
        <v>46</v>
      </c>
      <c r="J66" s="22">
        <v>0.22</v>
      </c>
      <c r="K66" s="14">
        <v>1771.32</v>
      </c>
      <c r="L66" s="14">
        <v>389.64</v>
      </c>
      <c r="M66" s="14">
        <v>389.64</v>
      </c>
      <c r="N66" s="12" t="s">
        <v>252</v>
      </c>
      <c r="O66" s="15">
        <v>45809</v>
      </c>
      <c r="P66" s="16" t="s">
        <v>435</v>
      </c>
    </row>
    <row r="67" spans="1:16">
      <c r="A67" s="12" t="s">
        <v>225</v>
      </c>
      <c r="B67" s="13">
        <v>18828278</v>
      </c>
      <c r="C67" s="12" t="s">
        <v>415</v>
      </c>
      <c r="D67" s="21" t="s">
        <v>720</v>
      </c>
      <c r="E67" s="12" t="s">
        <v>416</v>
      </c>
      <c r="F67" s="21" t="s">
        <v>894</v>
      </c>
      <c r="G67" s="13">
        <v>1</v>
      </c>
      <c r="H67" s="12" t="s">
        <v>51</v>
      </c>
      <c r="I67" s="12" t="s">
        <v>46</v>
      </c>
      <c r="J67" s="22">
        <v>0.22</v>
      </c>
      <c r="K67" s="14">
        <v>1771.32</v>
      </c>
      <c r="L67" s="14">
        <v>389.64</v>
      </c>
      <c r="M67" s="14">
        <v>389.64</v>
      </c>
      <c r="N67" s="12" t="s">
        <v>252</v>
      </c>
      <c r="O67" s="15">
        <v>45809</v>
      </c>
      <c r="P67" s="16" t="s">
        <v>435</v>
      </c>
    </row>
    <row r="68" spans="1:16">
      <c r="A68" s="12" t="s">
        <v>209</v>
      </c>
      <c r="B68" s="13">
        <v>5442438</v>
      </c>
      <c r="C68" s="12" t="s">
        <v>404</v>
      </c>
      <c r="D68" s="21" t="s">
        <v>714</v>
      </c>
      <c r="E68" s="12" t="s">
        <v>405</v>
      </c>
      <c r="F68" s="21" t="s">
        <v>895</v>
      </c>
      <c r="G68" s="13">
        <v>1</v>
      </c>
      <c r="H68" s="12" t="s">
        <v>51</v>
      </c>
      <c r="I68" s="12" t="s">
        <v>46</v>
      </c>
      <c r="J68" s="22">
        <v>0.22</v>
      </c>
      <c r="K68" s="14">
        <v>1830.84</v>
      </c>
      <c r="L68" s="14">
        <v>402.84</v>
      </c>
      <c r="M68" s="14">
        <v>402.84</v>
      </c>
      <c r="N68" s="12" t="s">
        <v>252</v>
      </c>
      <c r="O68" s="15">
        <v>45809</v>
      </c>
      <c r="P68" s="16" t="s">
        <v>435</v>
      </c>
    </row>
    <row r="69" spans="1:16">
      <c r="A69" s="12" t="s">
        <v>319</v>
      </c>
      <c r="B69" s="13">
        <v>9079571</v>
      </c>
      <c r="C69" s="12" t="s">
        <v>328</v>
      </c>
      <c r="D69" s="21" t="s">
        <v>713</v>
      </c>
      <c r="E69" s="12" t="s">
        <v>329</v>
      </c>
      <c r="F69" s="21" t="s">
        <v>896</v>
      </c>
      <c r="G69" s="13">
        <v>1</v>
      </c>
      <c r="H69" s="12" t="s">
        <v>51</v>
      </c>
      <c r="I69" s="12" t="s">
        <v>46</v>
      </c>
      <c r="J69" s="22">
        <v>0.22</v>
      </c>
      <c r="K69" s="14">
        <v>1843.92</v>
      </c>
      <c r="L69" s="14">
        <v>405.72</v>
      </c>
      <c r="M69" s="14">
        <v>405.72</v>
      </c>
      <c r="N69" s="12" t="s">
        <v>252</v>
      </c>
      <c r="O69" s="15">
        <v>45809</v>
      </c>
      <c r="P69" s="16" t="s">
        <v>435</v>
      </c>
    </row>
    <row r="70" spans="1:16">
      <c r="A70" s="12" t="s">
        <v>209</v>
      </c>
      <c r="B70" s="13">
        <v>5442438</v>
      </c>
      <c r="C70" s="12" t="s">
        <v>406</v>
      </c>
      <c r="D70" s="21" t="s">
        <v>715</v>
      </c>
      <c r="E70" s="12" t="s">
        <v>407</v>
      </c>
      <c r="F70" s="21" t="s">
        <v>897</v>
      </c>
      <c r="G70" s="13">
        <v>1</v>
      </c>
      <c r="H70" s="12" t="s">
        <v>51</v>
      </c>
      <c r="I70" s="12" t="s">
        <v>46</v>
      </c>
      <c r="J70" s="22">
        <v>0.22</v>
      </c>
      <c r="K70" s="14">
        <v>1843.92</v>
      </c>
      <c r="L70" s="14">
        <v>405.72</v>
      </c>
      <c r="M70" s="14">
        <v>405.72</v>
      </c>
      <c r="N70" s="12" t="s">
        <v>252</v>
      </c>
      <c r="O70" s="15">
        <v>45809</v>
      </c>
      <c r="P70" s="16" t="s">
        <v>435</v>
      </c>
    </row>
    <row r="71" spans="1:16">
      <c r="A71" s="12" t="s">
        <v>225</v>
      </c>
      <c r="B71" s="13">
        <v>18828278</v>
      </c>
      <c r="C71" s="12" t="s">
        <v>411</v>
      </c>
      <c r="D71" s="21" t="s">
        <v>718</v>
      </c>
      <c r="E71" s="12" t="s">
        <v>412</v>
      </c>
      <c r="F71" s="21" t="s">
        <v>898</v>
      </c>
      <c r="G71" s="13">
        <v>1</v>
      </c>
      <c r="H71" s="12" t="s">
        <v>51</v>
      </c>
      <c r="I71" s="12" t="s">
        <v>46</v>
      </c>
      <c r="J71" s="22">
        <v>0.22</v>
      </c>
      <c r="K71" s="14">
        <v>1939.92</v>
      </c>
      <c r="L71" s="14">
        <v>426.84</v>
      </c>
      <c r="M71" s="14">
        <v>426.84</v>
      </c>
      <c r="N71" s="12" t="s">
        <v>252</v>
      </c>
      <c r="O71" s="15">
        <v>45809</v>
      </c>
      <c r="P71" s="16" t="s">
        <v>435</v>
      </c>
    </row>
    <row r="72" spans="1:16">
      <c r="A72" s="12" t="s">
        <v>94</v>
      </c>
      <c r="B72" s="13">
        <v>7146581</v>
      </c>
      <c r="C72" s="12" t="s">
        <v>301</v>
      </c>
      <c r="D72" s="21" t="s">
        <v>707</v>
      </c>
      <c r="E72" s="12" t="s">
        <v>302</v>
      </c>
      <c r="F72" s="21" t="s">
        <v>899</v>
      </c>
      <c r="G72" s="13">
        <v>1</v>
      </c>
      <c r="H72" s="12" t="s">
        <v>51</v>
      </c>
      <c r="I72" s="12" t="s">
        <v>46</v>
      </c>
      <c r="J72" s="22">
        <v>0.22</v>
      </c>
      <c r="K72" s="14">
        <v>1951.92</v>
      </c>
      <c r="L72" s="14">
        <v>429.48</v>
      </c>
      <c r="M72" s="14">
        <v>429.48</v>
      </c>
      <c r="N72" s="12" t="s">
        <v>252</v>
      </c>
      <c r="O72" s="15">
        <v>45809</v>
      </c>
      <c r="P72" s="16" t="s">
        <v>435</v>
      </c>
    </row>
    <row r="73" spans="1:16">
      <c r="A73" s="12" t="s">
        <v>94</v>
      </c>
      <c r="B73" s="13">
        <v>7146581</v>
      </c>
      <c r="C73" s="12" t="s">
        <v>299</v>
      </c>
      <c r="D73" s="21" t="s">
        <v>706</v>
      </c>
      <c r="E73" s="12" t="s">
        <v>300</v>
      </c>
      <c r="F73" s="21" t="s">
        <v>900</v>
      </c>
      <c r="G73" s="13">
        <v>1</v>
      </c>
      <c r="H73" s="12" t="s">
        <v>51</v>
      </c>
      <c r="I73" s="12" t="s">
        <v>46</v>
      </c>
      <c r="J73" s="22">
        <v>0.22</v>
      </c>
      <c r="K73" s="14">
        <v>2014.92</v>
      </c>
      <c r="L73" s="14">
        <v>443.28</v>
      </c>
      <c r="M73" s="14">
        <v>443.28</v>
      </c>
      <c r="N73" s="12" t="s">
        <v>252</v>
      </c>
      <c r="O73" s="15">
        <v>45809</v>
      </c>
      <c r="P73" s="16" t="s">
        <v>435</v>
      </c>
    </row>
    <row r="74" spans="1:16">
      <c r="A74" s="12" t="s">
        <v>233</v>
      </c>
      <c r="B74" s="13">
        <v>19278370</v>
      </c>
      <c r="C74" s="12" t="s">
        <v>429</v>
      </c>
      <c r="D74" s="21" t="s">
        <v>703</v>
      </c>
      <c r="E74" s="12" t="s">
        <v>430</v>
      </c>
      <c r="F74" s="21" t="s">
        <v>901</v>
      </c>
      <c r="G74" s="13">
        <v>1</v>
      </c>
      <c r="H74" s="12" t="s">
        <v>51</v>
      </c>
      <c r="I74" s="12" t="s">
        <v>46</v>
      </c>
      <c r="J74" s="22">
        <v>0.22</v>
      </c>
      <c r="K74" s="14">
        <v>2032.8</v>
      </c>
      <c r="L74" s="14">
        <v>447.24</v>
      </c>
      <c r="M74" s="14">
        <v>447.24</v>
      </c>
      <c r="N74" s="12" t="s">
        <v>398</v>
      </c>
      <c r="O74" s="15">
        <v>45809</v>
      </c>
      <c r="P74" s="16" t="s">
        <v>435</v>
      </c>
    </row>
    <row r="75" spans="1:16">
      <c r="A75" s="12" t="s">
        <v>319</v>
      </c>
      <c r="B75" s="13">
        <v>9079571</v>
      </c>
      <c r="C75" s="12" t="s">
        <v>322</v>
      </c>
      <c r="D75" s="21" t="s">
        <v>710</v>
      </c>
      <c r="E75" s="12" t="s">
        <v>323</v>
      </c>
      <c r="F75" s="21" t="s">
        <v>902</v>
      </c>
      <c r="G75" s="13">
        <v>1</v>
      </c>
      <c r="H75" s="12" t="s">
        <v>51</v>
      </c>
      <c r="I75" s="12" t="s">
        <v>46</v>
      </c>
      <c r="J75" s="22">
        <v>0.22</v>
      </c>
      <c r="K75" s="14">
        <v>2111.2800000000002</v>
      </c>
      <c r="L75" s="14">
        <v>464.52</v>
      </c>
      <c r="M75" s="14">
        <v>464.52</v>
      </c>
      <c r="N75" s="12" t="s">
        <v>252</v>
      </c>
      <c r="O75" s="15">
        <v>45809</v>
      </c>
      <c r="P75" s="16" t="s">
        <v>435</v>
      </c>
    </row>
    <row r="76" spans="1:16">
      <c r="A76" s="12" t="s">
        <v>94</v>
      </c>
      <c r="B76" s="13">
        <v>7146581</v>
      </c>
      <c r="C76" s="12" t="s">
        <v>303</v>
      </c>
      <c r="D76" s="21" t="s">
        <v>708</v>
      </c>
      <c r="E76" s="12" t="s">
        <v>304</v>
      </c>
      <c r="F76" s="21" t="s">
        <v>903</v>
      </c>
      <c r="G76" s="13">
        <v>1</v>
      </c>
      <c r="H76" s="12" t="s">
        <v>51</v>
      </c>
      <c r="I76" s="12" t="s">
        <v>46</v>
      </c>
      <c r="J76" s="22">
        <v>0.22</v>
      </c>
      <c r="K76" s="14">
        <v>2133.7199999999998</v>
      </c>
      <c r="L76" s="14">
        <v>469.44</v>
      </c>
      <c r="M76" s="14">
        <v>469.44</v>
      </c>
      <c r="N76" s="12" t="s">
        <v>252</v>
      </c>
      <c r="O76" s="15">
        <v>45809</v>
      </c>
      <c r="P76" s="16" t="s">
        <v>435</v>
      </c>
    </row>
    <row r="77" spans="1:16">
      <c r="A77" s="12" t="s">
        <v>319</v>
      </c>
      <c r="B77" s="13">
        <v>9079571</v>
      </c>
      <c r="C77" s="12" t="s">
        <v>324</v>
      </c>
      <c r="D77" s="21" t="s">
        <v>711</v>
      </c>
      <c r="E77" s="12" t="s">
        <v>325</v>
      </c>
      <c r="F77" s="21" t="s">
        <v>904</v>
      </c>
      <c r="G77" s="13">
        <v>1</v>
      </c>
      <c r="H77" s="12" t="s">
        <v>51</v>
      </c>
      <c r="I77" s="12" t="s">
        <v>46</v>
      </c>
      <c r="J77" s="22">
        <v>0.22</v>
      </c>
      <c r="K77" s="14">
        <v>2153.04</v>
      </c>
      <c r="L77" s="14">
        <v>473.64</v>
      </c>
      <c r="M77" s="14">
        <v>473.64</v>
      </c>
      <c r="N77" s="12" t="s">
        <v>252</v>
      </c>
      <c r="O77" s="15">
        <v>45809</v>
      </c>
      <c r="P77" s="16" t="s">
        <v>435</v>
      </c>
    </row>
    <row r="78" spans="1:16">
      <c r="A78" s="12" t="s">
        <v>209</v>
      </c>
      <c r="B78" s="13">
        <v>5442438</v>
      </c>
      <c r="C78" s="12" t="s">
        <v>402</v>
      </c>
      <c r="D78" s="21" t="s">
        <v>746</v>
      </c>
      <c r="E78" s="12" t="s">
        <v>403</v>
      </c>
      <c r="F78" s="21" t="s">
        <v>905</v>
      </c>
      <c r="G78" s="13">
        <v>1</v>
      </c>
      <c r="H78" s="12" t="s">
        <v>51</v>
      </c>
      <c r="I78" s="12" t="s">
        <v>46</v>
      </c>
      <c r="J78" s="22">
        <v>0.11</v>
      </c>
      <c r="K78" s="14">
        <v>142.16999999999999</v>
      </c>
      <c r="L78" s="14">
        <v>15.64</v>
      </c>
      <c r="M78" s="14">
        <v>15.64</v>
      </c>
      <c r="N78" s="12" t="s">
        <v>59</v>
      </c>
      <c r="O78" s="15">
        <v>45505</v>
      </c>
      <c r="P78" s="16" t="s">
        <v>439</v>
      </c>
    </row>
    <row r="79" spans="1:16">
      <c r="A79" s="12" t="s">
        <v>209</v>
      </c>
      <c r="B79" s="13">
        <v>5442438</v>
      </c>
      <c r="C79" s="12" t="s">
        <v>400</v>
      </c>
      <c r="D79" s="21" t="s">
        <v>745</v>
      </c>
      <c r="E79" s="12" t="s">
        <v>401</v>
      </c>
      <c r="F79" s="21" t="s">
        <v>906</v>
      </c>
      <c r="G79" s="13">
        <v>1</v>
      </c>
      <c r="H79" s="12" t="s">
        <v>51</v>
      </c>
      <c r="I79" s="12" t="s">
        <v>46</v>
      </c>
      <c r="J79" s="22">
        <v>0.11</v>
      </c>
      <c r="K79" s="14">
        <v>142.16999999999999</v>
      </c>
      <c r="L79" s="14">
        <v>15.64</v>
      </c>
      <c r="M79" s="14">
        <v>15.64</v>
      </c>
      <c r="N79" s="12" t="s">
        <v>59</v>
      </c>
      <c r="O79" s="15">
        <v>45505</v>
      </c>
      <c r="P79" s="16" t="s">
        <v>439</v>
      </c>
    </row>
    <row r="80" spans="1:16">
      <c r="A80" s="12" t="s">
        <v>330</v>
      </c>
      <c r="B80" s="13">
        <v>16202925</v>
      </c>
      <c r="C80" s="12" t="s">
        <v>331</v>
      </c>
      <c r="D80" s="21" t="s">
        <v>747</v>
      </c>
      <c r="E80" s="12" t="s">
        <v>332</v>
      </c>
      <c r="F80" s="21" t="s">
        <v>907</v>
      </c>
      <c r="G80" s="13">
        <v>1</v>
      </c>
      <c r="H80" s="12" t="s">
        <v>51</v>
      </c>
      <c r="I80" s="12" t="s">
        <v>46</v>
      </c>
      <c r="J80" s="22">
        <v>0.11</v>
      </c>
      <c r="K80" s="14">
        <v>326.25</v>
      </c>
      <c r="L80" s="14">
        <v>35.89</v>
      </c>
      <c r="M80" s="14">
        <v>35.89</v>
      </c>
      <c r="N80" s="12" t="s">
        <v>119</v>
      </c>
      <c r="O80" s="15">
        <v>45261</v>
      </c>
      <c r="P80" s="16" t="s">
        <v>439</v>
      </c>
    </row>
    <row r="81" spans="1:16">
      <c r="A81" s="12" t="s">
        <v>330</v>
      </c>
      <c r="B81" s="13">
        <v>16202925</v>
      </c>
      <c r="C81" s="12" t="s">
        <v>333</v>
      </c>
      <c r="D81" s="21" t="s">
        <v>748</v>
      </c>
      <c r="E81" s="12" t="s">
        <v>334</v>
      </c>
      <c r="F81" s="21" t="s">
        <v>908</v>
      </c>
      <c r="G81" s="13">
        <v>1</v>
      </c>
      <c r="H81" s="12" t="s">
        <v>51</v>
      </c>
      <c r="I81" s="12" t="s">
        <v>46</v>
      </c>
      <c r="J81" s="22">
        <v>0.11</v>
      </c>
      <c r="K81" s="14">
        <v>326.25</v>
      </c>
      <c r="L81" s="14">
        <v>35.89</v>
      </c>
      <c r="M81" s="14">
        <v>35.89</v>
      </c>
      <c r="N81" s="12" t="s">
        <v>119</v>
      </c>
      <c r="O81" s="15">
        <v>45292</v>
      </c>
      <c r="P81" s="16" t="s">
        <v>439</v>
      </c>
    </row>
    <row r="82" spans="1:16">
      <c r="A82" s="12" t="s">
        <v>114</v>
      </c>
      <c r="B82" s="13">
        <v>15278437</v>
      </c>
      <c r="C82" s="12" t="s">
        <v>317</v>
      </c>
      <c r="D82" s="21" t="s">
        <v>750</v>
      </c>
      <c r="E82" s="12" t="s">
        <v>318</v>
      </c>
      <c r="F82" s="21" t="s">
        <v>909</v>
      </c>
      <c r="G82" s="13">
        <v>1</v>
      </c>
      <c r="H82" s="12" t="s">
        <v>51</v>
      </c>
      <c r="I82" s="12" t="s">
        <v>46</v>
      </c>
      <c r="J82" s="22">
        <v>0.26</v>
      </c>
      <c r="K82" s="14">
        <v>84.94</v>
      </c>
      <c r="L82" s="14">
        <v>22.08</v>
      </c>
      <c r="M82" s="14">
        <v>22.08</v>
      </c>
      <c r="N82" s="12" t="s">
        <v>311</v>
      </c>
      <c r="O82" s="15">
        <v>45323</v>
      </c>
      <c r="P82" s="16" t="s">
        <v>436</v>
      </c>
    </row>
    <row r="83" spans="1:16">
      <c r="A83" s="12" t="s">
        <v>374</v>
      </c>
      <c r="B83" s="13">
        <v>17774994</v>
      </c>
      <c r="C83" s="12" t="s">
        <v>375</v>
      </c>
      <c r="D83" s="21" t="s">
        <v>751</v>
      </c>
      <c r="E83" s="12" t="s">
        <v>376</v>
      </c>
      <c r="F83" s="21" t="s">
        <v>910</v>
      </c>
      <c r="G83" s="13">
        <v>1</v>
      </c>
      <c r="H83" s="12" t="s">
        <v>51</v>
      </c>
      <c r="I83" s="12" t="s">
        <v>46</v>
      </c>
      <c r="J83" s="22">
        <v>0.26</v>
      </c>
      <c r="K83" s="14">
        <v>113</v>
      </c>
      <c r="L83" s="14">
        <v>29.38</v>
      </c>
      <c r="M83" s="14">
        <v>29.38</v>
      </c>
      <c r="N83" s="12" t="s">
        <v>311</v>
      </c>
      <c r="O83" s="15">
        <v>45352</v>
      </c>
      <c r="P83" s="16" t="s">
        <v>436</v>
      </c>
    </row>
    <row r="84" spans="1:16">
      <c r="A84" s="12" t="s">
        <v>114</v>
      </c>
      <c r="B84" s="13">
        <v>15278437</v>
      </c>
      <c r="C84" s="12" t="s">
        <v>313</v>
      </c>
      <c r="D84" s="21" t="s">
        <v>749</v>
      </c>
      <c r="E84" s="12" t="s">
        <v>314</v>
      </c>
      <c r="F84" s="21" t="s">
        <v>911</v>
      </c>
      <c r="G84" s="13">
        <v>1</v>
      </c>
      <c r="H84" s="12" t="s">
        <v>51</v>
      </c>
      <c r="I84" s="12" t="s">
        <v>46</v>
      </c>
      <c r="J84" s="22">
        <v>0.26</v>
      </c>
      <c r="K84" s="14">
        <v>164.25</v>
      </c>
      <c r="L84" s="14">
        <v>42.71</v>
      </c>
      <c r="M84" s="14">
        <v>42.71</v>
      </c>
      <c r="N84" s="12" t="s">
        <v>311</v>
      </c>
      <c r="O84" s="15">
        <v>45261</v>
      </c>
      <c r="P84" s="16" t="s">
        <v>436</v>
      </c>
    </row>
    <row r="85" spans="1:16">
      <c r="A85" s="12" t="s">
        <v>225</v>
      </c>
      <c r="B85" s="13">
        <v>18828278</v>
      </c>
      <c r="C85" s="12" t="s">
        <v>420</v>
      </c>
      <c r="D85" s="21" t="s">
        <v>772</v>
      </c>
      <c r="E85" s="23">
        <v>9030544330</v>
      </c>
      <c r="F85" s="23">
        <v>90305443304</v>
      </c>
      <c r="G85" s="13">
        <v>2</v>
      </c>
      <c r="H85" s="12" t="s">
        <v>260</v>
      </c>
      <c r="I85" s="12" t="s">
        <v>46</v>
      </c>
      <c r="J85" s="22">
        <v>0.1</v>
      </c>
      <c r="K85" s="14">
        <v>0.88</v>
      </c>
      <c r="L85" s="14">
        <v>0.09</v>
      </c>
      <c r="M85" s="14">
        <v>0.09</v>
      </c>
      <c r="N85" s="12" t="s">
        <v>272</v>
      </c>
      <c r="O85" s="15">
        <v>45808</v>
      </c>
      <c r="P85" s="16" t="s">
        <v>437</v>
      </c>
    </row>
    <row r="86" spans="1:16">
      <c r="A86" s="12" t="s">
        <v>225</v>
      </c>
      <c r="B86" s="13">
        <v>18828278</v>
      </c>
      <c r="C86" s="12" t="s">
        <v>420</v>
      </c>
      <c r="D86" s="21" t="s">
        <v>772</v>
      </c>
      <c r="E86" s="23">
        <v>9030544350</v>
      </c>
      <c r="F86" s="23">
        <v>90305443504</v>
      </c>
      <c r="G86" s="13">
        <v>2</v>
      </c>
      <c r="H86" s="12" t="s">
        <v>260</v>
      </c>
      <c r="I86" s="12" t="s">
        <v>46</v>
      </c>
      <c r="J86" s="22">
        <v>0.1</v>
      </c>
      <c r="K86" s="14">
        <v>0.88</v>
      </c>
      <c r="L86" s="14">
        <v>0.09</v>
      </c>
      <c r="M86" s="14">
        <v>0.09</v>
      </c>
      <c r="N86" s="12" t="s">
        <v>272</v>
      </c>
      <c r="O86" s="15">
        <v>45808</v>
      </c>
      <c r="P86" s="16" t="s">
        <v>437</v>
      </c>
    </row>
    <row r="87" spans="1:16">
      <c r="A87" s="12" t="s">
        <v>225</v>
      </c>
      <c r="B87" s="13">
        <v>18828278</v>
      </c>
      <c r="C87" s="12" t="s">
        <v>423</v>
      </c>
      <c r="D87" s="21" t="s">
        <v>773</v>
      </c>
      <c r="E87" s="23">
        <v>9030558330</v>
      </c>
      <c r="F87" s="23">
        <v>90305583304</v>
      </c>
      <c r="G87" s="13">
        <v>2</v>
      </c>
      <c r="H87" s="12" t="s">
        <v>260</v>
      </c>
      <c r="I87" s="12" t="s">
        <v>46</v>
      </c>
      <c r="J87" s="22">
        <v>0.1</v>
      </c>
      <c r="K87" s="14">
        <v>0.88</v>
      </c>
      <c r="L87" s="14">
        <v>0.09</v>
      </c>
      <c r="M87" s="14">
        <v>0.09</v>
      </c>
      <c r="N87" s="12" t="s">
        <v>272</v>
      </c>
      <c r="O87" s="15">
        <v>45808</v>
      </c>
      <c r="P87" s="16" t="s">
        <v>437</v>
      </c>
    </row>
    <row r="88" spans="1:16">
      <c r="A88" s="12" t="s">
        <v>377</v>
      </c>
      <c r="B88" s="13" t="s">
        <v>828</v>
      </c>
      <c r="C88" s="12" t="s">
        <v>382</v>
      </c>
      <c r="D88" s="21" t="s">
        <v>769</v>
      </c>
      <c r="E88" s="23">
        <v>9030267890</v>
      </c>
      <c r="F88" s="23">
        <v>90302678904</v>
      </c>
      <c r="G88" s="13">
        <v>1</v>
      </c>
      <c r="H88" s="12" t="s">
        <v>260</v>
      </c>
      <c r="I88" s="12" t="s">
        <v>46</v>
      </c>
      <c r="J88" s="22">
        <v>0.1</v>
      </c>
      <c r="K88" s="14">
        <v>12.99</v>
      </c>
      <c r="L88" s="14">
        <v>1.3</v>
      </c>
      <c r="M88" s="14">
        <v>1.3</v>
      </c>
      <c r="N88" s="12" t="s">
        <v>272</v>
      </c>
      <c r="O88" s="15">
        <v>45748</v>
      </c>
      <c r="P88" s="16" t="s">
        <v>437</v>
      </c>
    </row>
    <row r="89" spans="1:16">
      <c r="A89" s="12" t="s">
        <v>377</v>
      </c>
      <c r="B89" s="13" t="s">
        <v>828</v>
      </c>
      <c r="C89" s="12" t="s">
        <v>378</v>
      </c>
      <c r="D89" s="21" t="s">
        <v>767</v>
      </c>
      <c r="E89" s="23">
        <v>9030005380</v>
      </c>
      <c r="F89" s="23">
        <v>90300053804</v>
      </c>
      <c r="G89" s="13">
        <v>1</v>
      </c>
      <c r="H89" s="12" t="s">
        <v>260</v>
      </c>
      <c r="I89" s="12" t="s">
        <v>46</v>
      </c>
      <c r="J89" s="22">
        <v>0.1</v>
      </c>
      <c r="K89" s="14">
        <v>12.99</v>
      </c>
      <c r="L89" s="14">
        <v>1.3</v>
      </c>
      <c r="M89" s="14">
        <v>1.3</v>
      </c>
      <c r="N89" s="12" t="s">
        <v>272</v>
      </c>
      <c r="O89" s="15">
        <v>45693</v>
      </c>
      <c r="P89" s="16" t="s">
        <v>437</v>
      </c>
    </row>
    <row r="90" spans="1:16">
      <c r="A90" s="12" t="s">
        <v>335</v>
      </c>
      <c r="B90" s="13" t="s">
        <v>827</v>
      </c>
      <c r="C90" s="12" t="s">
        <v>372</v>
      </c>
      <c r="D90" s="21" t="s">
        <v>766</v>
      </c>
      <c r="E90" s="23">
        <v>9029971470</v>
      </c>
      <c r="F90" s="23">
        <v>90299714704</v>
      </c>
      <c r="G90" s="13">
        <v>1</v>
      </c>
      <c r="H90" s="12" t="s">
        <v>260</v>
      </c>
      <c r="I90" s="12" t="s">
        <v>46</v>
      </c>
      <c r="J90" s="22">
        <v>0.1</v>
      </c>
      <c r="K90" s="14">
        <v>12.99</v>
      </c>
      <c r="L90" s="14">
        <v>1.3</v>
      </c>
      <c r="M90" s="14">
        <v>1.3</v>
      </c>
      <c r="N90" s="12" t="s">
        <v>272</v>
      </c>
      <c r="O90" s="15">
        <v>45689</v>
      </c>
      <c r="P90" s="16" t="s">
        <v>437</v>
      </c>
    </row>
    <row r="91" spans="1:16">
      <c r="A91" s="12" t="s">
        <v>377</v>
      </c>
      <c r="B91" s="13" t="s">
        <v>828</v>
      </c>
      <c r="C91" s="12" t="s">
        <v>384</v>
      </c>
      <c r="D91" s="21" t="s">
        <v>770</v>
      </c>
      <c r="E91" s="23">
        <v>9030370880</v>
      </c>
      <c r="F91" s="23">
        <v>90303708804</v>
      </c>
      <c r="G91" s="13">
        <v>1</v>
      </c>
      <c r="H91" s="12" t="s">
        <v>260</v>
      </c>
      <c r="I91" s="12" t="s">
        <v>46</v>
      </c>
      <c r="J91" s="22">
        <v>0.1</v>
      </c>
      <c r="K91" s="14">
        <v>12.99</v>
      </c>
      <c r="L91" s="14">
        <v>1.3</v>
      </c>
      <c r="M91" s="14">
        <v>1.3</v>
      </c>
      <c r="N91" s="12" t="s">
        <v>272</v>
      </c>
      <c r="O91" s="15">
        <v>45778</v>
      </c>
      <c r="P91" s="16" t="s">
        <v>437</v>
      </c>
    </row>
    <row r="92" spans="1:16">
      <c r="A92" s="12" t="s">
        <v>377</v>
      </c>
      <c r="B92" s="13" t="s">
        <v>828</v>
      </c>
      <c r="C92" s="12" t="s">
        <v>380</v>
      </c>
      <c r="D92" s="21" t="s">
        <v>768</v>
      </c>
      <c r="E92" s="23">
        <v>9030108580</v>
      </c>
      <c r="F92" s="23">
        <v>90301085804</v>
      </c>
      <c r="G92" s="13">
        <v>1</v>
      </c>
      <c r="H92" s="12" t="s">
        <v>260</v>
      </c>
      <c r="I92" s="12" t="s">
        <v>46</v>
      </c>
      <c r="J92" s="22">
        <v>0.1</v>
      </c>
      <c r="K92" s="14">
        <v>12.99</v>
      </c>
      <c r="L92" s="14">
        <v>1.3</v>
      </c>
      <c r="M92" s="14">
        <v>1.3</v>
      </c>
      <c r="N92" s="12" t="s">
        <v>272</v>
      </c>
      <c r="O92" s="15">
        <v>45717</v>
      </c>
      <c r="P92" s="16" t="s">
        <v>437</v>
      </c>
    </row>
    <row r="93" spans="1:16">
      <c r="A93" s="12" t="s">
        <v>233</v>
      </c>
      <c r="B93" s="13">
        <v>19278370</v>
      </c>
      <c r="C93" s="12" t="s">
        <v>433</v>
      </c>
      <c r="D93" s="21" t="s">
        <v>775</v>
      </c>
      <c r="E93" s="23">
        <v>9030377310</v>
      </c>
      <c r="F93" s="23">
        <v>90303773104</v>
      </c>
      <c r="G93" s="13">
        <v>1</v>
      </c>
      <c r="H93" s="12" t="s">
        <v>260</v>
      </c>
      <c r="I93" s="12" t="s">
        <v>46</v>
      </c>
      <c r="J93" s="22">
        <v>0.1</v>
      </c>
      <c r="K93" s="14">
        <v>12.99</v>
      </c>
      <c r="L93" s="14">
        <v>1.3</v>
      </c>
      <c r="M93" s="14">
        <v>1.3</v>
      </c>
      <c r="N93" s="12" t="s">
        <v>272</v>
      </c>
      <c r="O93" s="15">
        <v>45778</v>
      </c>
      <c r="P93" s="16" t="s">
        <v>437</v>
      </c>
    </row>
    <row r="94" spans="1:16">
      <c r="A94" s="12" t="s">
        <v>94</v>
      </c>
      <c r="B94" s="13">
        <v>7146581</v>
      </c>
      <c r="C94" s="12" t="s">
        <v>305</v>
      </c>
      <c r="D94" s="21" t="s">
        <v>757</v>
      </c>
      <c r="E94" s="23">
        <v>3245007030</v>
      </c>
      <c r="F94" s="23">
        <v>32450070304</v>
      </c>
      <c r="G94" s="13">
        <v>1</v>
      </c>
      <c r="H94" s="12" t="s">
        <v>265</v>
      </c>
      <c r="I94" s="12" t="s">
        <v>46</v>
      </c>
      <c r="J94" s="22">
        <v>0.1</v>
      </c>
      <c r="K94" s="14">
        <v>13.93</v>
      </c>
      <c r="L94" s="14">
        <v>1.39</v>
      </c>
      <c r="M94" s="14">
        <v>1.39</v>
      </c>
      <c r="N94" s="12" t="s">
        <v>261</v>
      </c>
      <c r="O94" s="15">
        <v>43709</v>
      </c>
      <c r="P94" s="16" t="s">
        <v>437</v>
      </c>
    </row>
    <row r="95" spans="1:16">
      <c r="A95" s="12" t="s">
        <v>248</v>
      </c>
      <c r="B95" s="13">
        <v>8244481</v>
      </c>
      <c r="C95" s="12" t="s">
        <v>266</v>
      </c>
      <c r="D95" s="21" t="s">
        <v>764</v>
      </c>
      <c r="E95" s="23">
        <v>9028342740</v>
      </c>
      <c r="F95" s="23">
        <v>90283427404</v>
      </c>
      <c r="G95" s="13">
        <v>1</v>
      </c>
      <c r="H95" s="12" t="s">
        <v>260</v>
      </c>
      <c r="I95" s="12" t="s">
        <v>46</v>
      </c>
      <c r="J95" s="22">
        <v>0.1</v>
      </c>
      <c r="K95" s="14">
        <v>13.93</v>
      </c>
      <c r="L95" s="14">
        <v>1.39</v>
      </c>
      <c r="M95" s="14">
        <v>1.39</v>
      </c>
      <c r="N95" s="12" t="s">
        <v>261</v>
      </c>
      <c r="O95" s="15">
        <v>45323</v>
      </c>
      <c r="P95" s="16" t="s">
        <v>437</v>
      </c>
    </row>
    <row r="96" spans="1:16">
      <c r="A96" s="12" t="s">
        <v>225</v>
      </c>
      <c r="B96" s="13">
        <v>18828278</v>
      </c>
      <c r="C96" s="12" t="s">
        <v>418</v>
      </c>
      <c r="D96" s="21" t="s">
        <v>771</v>
      </c>
      <c r="E96" s="23">
        <v>9030268320</v>
      </c>
      <c r="F96" s="23">
        <v>90302683204</v>
      </c>
      <c r="G96" s="13">
        <v>1</v>
      </c>
      <c r="H96" s="12" t="s">
        <v>260</v>
      </c>
      <c r="I96" s="12" t="s">
        <v>46</v>
      </c>
      <c r="J96" s="22">
        <v>0.1</v>
      </c>
      <c r="K96" s="14">
        <v>13.93</v>
      </c>
      <c r="L96" s="14">
        <v>1.39</v>
      </c>
      <c r="M96" s="14">
        <v>1.39</v>
      </c>
      <c r="N96" s="12" t="s">
        <v>272</v>
      </c>
      <c r="O96" s="15">
        <v>45778</v>
      </c>
      <c r="P96" s="16" t="s">
        <v>437</v>
      </c>
    </row>
    <row r="97" spans="1:16">
      <c r="A97" s="12" t="s">
        <v>248</v>
      </c>
      <c r="B97" s="13">
        <v>8244481</v>
      </c>
      <c r="C97" s="12" t="s">
        <v>284</v>
      </c>
      <c r="D97" s="21" t="s">
        <v>761</v>
      </c>
      <c r="E97" s="23">
        <v>9029766060</v>
      </c>
      <c r="F97" s="23">
        <v>90297660604</v>
      </c>
      <c r="G97" s="13">
        <v>1</v>
      </c>
      <c r="H97" s="12" t="s">
        <v>260</v>
      </c>
      <c r="I97" s="12" t="s">
        <v>46</v>
      </c>
      <c r="J97" s="22">
        <v>0.1</v>
      </c>
      <c r="K97" s="14">
        <v>13.93</v>
      </c>
      <c r="L97" s="14">
        <v>1.39</v>
      </c>
      <c r="M97" s="14">
        <v>1.39</v>
      </c>
      <c r="N97" s="12" t="s">
        <v>272</v>
      </c>
      <c r="O97" s="15">
        <v>45658</v>
      </c>
      <c r="P97" s="16" t="s">
        <v>437</v>
      </c>
    </row>
    <row r="98" spans="1:16">
      <c r="A98" s="12" t="s">
        <v>248</v>
      </c>
      <c r="B98" s="13">
        <v>8244481</v>
      </c>
      <c r="C98" s="12" t="s">
        <v>279</v>
      </c>
      <c r="D98" s="21" t="s">
        <v>755</v>
      </c>
      <c r="E98" s="23">
        <v>9029700260</v>
      </c>
      <c r="F98" s="23">
        <v>90297002604</v>
      </c>
      <c r="G98" s="13">
        <v>1</v>
      </c>
      <c r="H98" s="12" t="s">
        <v>260</v>
      </c>
      <c r="I98" s="12" t="s">
        <v>46</v>
      </c>
      <c r="J98" s="22">
        <v>0.1</v>
      </c>
      <c r="K98" s="14">
        <v>13.93</v>
      </c>
      <c r="L98" s="14">
        <v>1.39</v>
      </c>
      <c r="M98" s="14">
        <v>1.39</v>
      </c>
      <c r="N98" s="12" t="s">
        <v>272</v>
      </c>
      <c r="O98" s="15">
        <v>45658</v>
      </c>
      <c r="P98" s="16" t="s">
        <v>437</v>
      </c>
    </row>
    <row r="99" spans="1:16">
      <c r="A99" s="12" t="s">
        <v>248</v>
      </c>
      <c r="B99" s="13">
        <v>8244481</v>
      </c>
      <c r="C99" s="12" t="s">
        <v>263</v>
      </c>
      <c r="D99" s="21" t="s">
        <v>752</v>
      </c>
      <c r="E99" s="23">
        <v>3249034970</v>
      </c>
      <c r="F99" s="23">
        <v>32490349704</v>
      </c>
      <c r="G99" s="13">
        <v>1</v>
      </c>
      <c r="H99" s="12" t="s">
        <v>265</v>
      </c>
      <c r="I99" s="12" t="s">
        <v>46</v>
      </c>
      <c r="J99" s="22">
        <v>0.1</v>
      </c>
      <c r="K99" s="14">
        <v>13.93</v>
      </c>
      <c r="L99" s="14">
        <v>1.39</v>
      </c>
      <c r="M99" s="14">
        <v>1.39</v>
      </c>
      <c r="N99" s="12" t="s">
        <v>261</v>
      </c>
      <c r="O99" s="15">
        <v>44197</v>
      </c>
      <c r="P99" s="16" t="s">
        <v>437</v>
      </c>
    </row>
    <row r="100" spans="1:16">
      <c r="A100" s="12" t="s">
        <v>248</v>
      </c>
      <c r="B100" s="13">
        <v>8244481</v>
      </c>
      <c r="C100" s="12" t="s">
        <v>286</v>
      </c>
      <c r="D100" s="21" t="s">
        <v>762</v>
      </c>
      <c r="E100" s="23">
        <v>9030397080</v>
      </c>
      <c r="F100" s="23">
        <v>90303970804</v>
      </c>
      <c r="G100" s="13">
        <v>1</v>
      </c>
      <c r="H100" s="12" t="s">
        <v>260</v>
      </c>
      <c r="I100" s="12" t="s">
        <v>46</v>
      </c>
      <c r="J100" s="22">
        <v>0.1</v>
      </c>
      <c r="K100" s="14">
        <v>13.93</v>
      </c>
      <c r="L100" s="14">
        <v>1.39</v>
      </c>
      <c r="M100" s="14">
        <v>1.39</v>
      </c>
      <c r="N100" s="12" t="s">
        <v>272</v>
      </c>
      <c r="O100" s="15">
        <v>45778</v>
      </c>
      <c r="P100" s="16" t="s">
        <v>437</v>
      </c>
    </row>
    <row r="101" spans="1:16">
      <c r="A101" s="12" t="s">
        <v>248</v>
      </c>
      <c r="B101" s="13">
        <v>8244481</v>
      </c>
      <c r="C101" s="12" t="s">
        <v>270</v>
      </c>
      <c r="D101" s="21" t="s">
        <v>760</v>
      </c>
      <c r="E101" s="23">
        <v>9029564860</v>
      </c>
      <c r="F101" s="23">
        <v>90295648604</v>
      </c>
      <c r="G101" s="13">
        <v>1</v>
      </c>
      <c r="H101" s="12" t="s">
        <v>260</v>
      </c>
      <c r="I101" s="12" t="s">
        <v>46</v>
      </c>
      <c r="J101" s="22">
        <v>0.1</v>
      </c>
      <c r="K101" s="14">
        <v>13.93</v>
      </c>
      <c r="L101" s="14">
        <v>1.39</v>
      </c>
      <c r="M101" s="14">
        <v>1.39</v>
      </c>
      <c r="N101" s="12" t="s">
        <v>272</v>
      </c>
      <c r="O101" s="15">
        <v>45614</v>
      </c>
      <c r="P101" s="16" t="s">
        <v>437</v>
      </c>
    </row>
    <row r="102" spans="1:16">
      <c r="A102" s="12" t="s">
        <v>248</v>
      </c>
      <c r="B102" s="13">
        <v>8244481</v>
      </c>
      <c r="C102" s="12" t="s">
        <v>282</v>
      </c>
      <c r="D102" s="21" t="s">
        <v>756</v>
      </c>
      <c r="E102" s="23">
        <v>9029715470</v>
      </c>
      <c r="F102" s="23">
        <v>90297154704</v>
      </c>
      <c r="G102" s="13">
        <v>1</v>
      </c>
      <c r="H102" s="12" t="s">
        <v>265</v>
      </c>
      <c r="I102" s="12" t="s">
        <v>46</v>
      </c>
      <c r="J102" s="22">
        <v>0.1</v>
      </c>
      <c r="K102" s="14">
        <v>24.54</v>
      </c>
      <c r="L102" s="14">
        <v>2.4500000000000002</v>
      </c>
      <c r="M102" s="14">
        <v>2.4500000000000002</v>
      </c>
      <c r="N102" s="12" t="s">
        <v>272</v>
      </c>
      <c r="O102" s="15">
        <v>45646</v>
      </c>
      <c r="P102" s="16" t="s">
        <v>437</v>
      </c>
    </row>
    <row r="103" spans="1:16">
      <c r="A103" s="12" t="s">
        <v>248</v>
      </c>
      <c r="B103" s="13">
        <v>8244481</v>
      </c>
      <c r="C103" s="12" t="s">
        <v>274</v>
      </c>
      <c r="D103" s="21" t="s">
        <v>753</v>
      </c>
      <c r="E103" s="23">
        <v>9029660210</v>
      </c>
      <c r="F103" s="23">
        <v>90296602104</v>
      </c>
      <c r="G103" s="13">
        <v>1</v>
      </c>
      <c r="H103" s="12" t="s">
        <v>265</v>
      </c>
      <c r="I103" s="12" t="s">
        <v>46</v>
      </c>
      <c r="J103" s="22">
        <v>0.1</v>
      </c>
      <c r="K103" s="14">
        <v>24.54</v>
      </c>
      <c r="L103" s="14">
        <v>2.4500000000000002</v>
      </c>
      <c r="M103" s="14">
        <v>2.4500000000000002</v>
      </c>
      <c r="N103" s="12" t="s">
        <v>272</v>
      </c>
      <c r="O103" s="15">
        <v>45658</v>
      </c>
      <c r="P103" s="16" t="s">
        <v>437</v>
      </c>
    </row>
    <row r="104" spans="1:16">
      <c r="A104" s="12" t="s">
        <v>248</v>
      </c>
      <c r="B104" s="13">
        <v>8244481</v>
      </c>
      <c r="C104" s="12" t="s">
        <v>276</v>
      </c>
      <c r="D104" s="21" t="s">
        <v>754</v>
      </c>
      <c r="E104" s="23">
        <v>9029685600</v>
      </c>
      <c r="F104" s="23">
        <v>90296856004</v>
      </c>
      <c r="G104" s="13">
        <v>2</v>
      </c>
      <c r="H104" s="12" t="s">
        <v>260</v>
      </c>
      <c r="I104" s="12" t="s">
        <v>46</v>
      </c>
      <c r="J104" s="22">
        <v>0.1</v>
      </c>
      <c r="K104" s="14">
        <v>26.88</v>
      </c>
      <c r="L104" s="14">
        <v>2.69</v>
      </c>
      <c r="M104" s="14">
        <v>2.69</v>
      </c>
      <c r="N104" s="12" t="s">
        <v>272</v>
      </c>
      <c r="O104" s="15">
        <v>45658</v>
      </c>
      <c r="P104" s="16" t="s">
        <v>437</v>
      </c>
    </row>
    <row r="105" spans="1:16">
      <c r="A105" s="12" t="s">
        <v>248</v>
      </c>
      <c r="B105" s="13">
        <v>8244481</v>
      </c>
      <c r="C105" s="12" t="s">
        <v>256</v>
      </c>
      <c r="D105" s="21" t="s">
        <v>763</v>
      </c>
      <c r="E105" s="23">
        <v>3208409570</v>
      </c>
      <c r="F105" s="23">
        <v>32084095704</v>
      </c>
      <c r="G105" s="13">
        <v>2</v>
      </c>
      <c r="H105" s="12" t="s">
        <v>260</v>
      </c>
      <c r="I105" s="12" t="s">
        <v>46</v>
      </c>
      <c r="J105" s="22">
        <v>0.1</v>
      </c>
      <c r="K105" s="14">
        <v>26.88</v>
      </c>
      <c r="L105" s="14">
        <v>2.69</v>
      </c>
      <c r="M105" s="14">
        <v>2.69</v>
      </c>
      <c r="N105" s="12" t="s">
        <v>261</v>
      </c>
      <c r="O105" s="15">
        <v>45384</v>
      </c>
      <c r="P105" s="16" t="s">
        <v>437</v>
      </c>
    </row>
    <row r="106" spans="1:16">
      <c r="A106" s="12" t="s">
        <v>248</v>
      </c>
      <c r="B106" s="13">
        <v>8244481</v>
      </c>
      <c r="C106" s="12" t="s">
        <v>268</v>
      </c>
      <c r="D106" s="21" t="s">
        <v>765</v>
      </c>
      <c r="E106" s="23">
        <v>9028454930</v>
      </c>
      <c r="F106" s="23">
        <v>90284549304</v>
      </c>
      <c r="G106" s="13">
        <v>4</v>
      </c>
      <c r="H106" s="12" t="s">
        <v>260</v>
      </c>
      <c r="I106" s="12" t="s">
        <v>46</v>
      </c>
      <c r="J106" s="22">
        <v>0.1</v>
      </c>
      <c r="K106" s="14">
        <v>46.8</v>
      </c>
      <c r="L106" s="14">
        <v>4.68</v>
      </c>
      <c r="M106" s="14">
        <v>4.68</v>
      </c>
      <c r="N106" s="12" t="s">
        <v>261</v>
      </c>
      <c r="O106" s="15">
        <v>45328</v>
      </c>
      <c r="P106" s="16" t="s">
        <v>437</v>
      </c>
    </row>
    <row r="107" spans="1:16">
      <c r="A107" s="12" t="s">
        <v>94</v>
      </c>
      <c r="B107" s="13">
        <v>7146581</v>
      </c>
      <c r="C107" s="12" t="s">
        <v>307</v>
      </c>
      <c r="D107" s="21" t="s">
        <v>758</v>
      </c>
      <c r="E107" s="23">
        <v>9025228750</v>
      </c>
      <c r="F107" s="23">
        <v>90252287504</v>
      </c>
      <c r="G107" s="13">
        <v>1</v>
      </c>
      <c r="H107" s="12" t="s">
        <v>265</v>
      </c>
      <c r="I107" s="12" t="s">
        <v>46</v>
      </c>
      <c r="J107" s="22">
        <v>0.1</v>
      </c>
      <c r="K107" s="14">
        <v>52.78</v>
      </c>
      <c r="L107" s="14">
        <v>5.28</v>
      </c>
      <c r="M107" s="14">
        <v>5.28</v>
      </c>
      <c r="N107" s="12" t="s">
        <v>261</v>
      </c>
      <c r="O107" s="15">
        <v>44586</v>
      </c>
      <c r="P107" s="16" t="s">
        <v>437</v>
      </c>
    </row>
    <row r="108" spans="1:16">
      <c r="A108" s="12" t="s">
        <v>248</v>
      </c>
      <c r="B108" s="13">
        <v>8244481</v>
      </c>
      <c r="C108" s="12" t="s">
        <v>279</v>
      </c>
      <c r="D108" s="21" t="s">
        <v>755</v>
      </c>
      <c r="E108" s="23">
        <v>9029700250</v>
      </c>
      <c r="F108" s="23">
        <v>90297002504</v>
      </c>
      <c r="G108" s="13">
        <v>1</v>
      </c>
      <c r="H108" s="12" t="s">
        <v>265</v>
      </c>
      <c r="I108" s="12" t="s">
        <v>46</v>
      </c>
      <c r="J108" s="22">
        <v>0.1</v>
      </c>
      <c r="K108" s="14">
        <v>52.78</v>
      </c>
      <c r="L108" s="14">
        <v>5.28</v>
      </c>
      <c r="M108" s="14">
        <v>5.28</v>
      </c>
      <c r="N108" s="12" t="s">
        <v>272</v>
      </c>
      <c r="O108" s="15">
        <v>45658</v>
      </c>
      <c r="P108" s="16" t="s">
        <v>437</v>
      </c>
    </row>
    <row r="109" spans="1:16">
      <c r="A109" s="12" t="s">
        <v>233</v>
      </c>
      <c r="B109" s="13">
        <v>19278370</v>
      </c>
      <c r="C109" s="12" t="s">
        <v>431</v>
      </c>
      <c r="D109" s="21" t="s">
        <v>759</v>
      </c>
      <c r="E109" s="23">
        <v>9030297670</v>
      </c>
      <c r="F109" s="23">
        <v>90302976704</v>
      </c>
      <c r="G109" s="13">
        <v>1</v>
      </c>
      <c r="H109" s="12" t="s">
        <v>265</v>
      </c>
      <c r="I109" s="12" t="s">
        <v>46</v>
      </c>
      <c r="J109" s="22">
        <v>0.1</v>
      </c>
      <c r="K109" s="14">
        <v>53.99</v>
      </c>
      <c r="L109" s="14">
        <v>5.4</v>
      </c>
      <c r="M109" s="14">
        <v>5.4</v>
      </c>
      <c r="N109" s="12" t="s">
        <v>272</v>
      </c>
      <c r="O109" s="15">
        <v>45748</v>
      </c>
      <c r="P109" s="16" t="s">
        <v>437</v>
      </c>
    </row>
    <row r="110" spans="1:16">
      <c r="A110" s="12" t="s">
        <v>248</v>
      </c>
      <c r="B110" s="13">
        <v>8244481</v>
      </c>
      <c r="C110" s="12" t="s">
        <v>276</v>
      </c>
      <c r="D110" s="21" t="s">
        <v>754</v>
      </c>
      <c r="E110" s="23">
        <v>9029685590</v>
      </c>
      <c r="F110" s="23">
        <v>90296855904</v>
      </c>
      <c r="G110" s="13">
        <v>2</v>
      </c>
      <c r="H110" s="12" t="s">
        <v>265</v>
      </c>
      <c r="I110" s="12" t="s">
        <v>46</v>
      </c>
      <c r="J110" s="22">
        <v>0.1</v>
      </c>
      <c r="K110" s="14">
        <v>97.6</v>
      </c>
      <c r="L110" s="14">
        <v>9.76</v>
      </c>
      <c r="M110" s="14">
        <v>9.76</v>
      </c>
      <c r="N110" s="12" t="s">
        <v>272</v>
      </c>
      <c r="O110" s="15">
        <v>45658</v>
      </c>
      <c r="P110" s="16" t="s">
        <v>437</v>
      </c>
    </row>
    <row r="111" spans="1:16">
      <c r="A111" s="12" t="s">
        <v>225</v>
      </c>
      <c r="B111" s="13">
        <v>18828278</v>
      </c>
      <c r="C111" s="12" t="s">
        <v>425</v>
      </c>
      <c r="D111" s="21" t="s">
        <v>774</v>
      </c>
      <c r="E111" s="23">
        <v>9030638300</v>
      </c>
      <c r="F111" s="23">
        <v>90306383004</v>
      </c>
      <c r="G111" s="13">
        <v>2</v>
      </c>
      <c r="H111" s="12" t="s">
        <v>260</v>
      </c>
      <c r="I111" s="12" t="s">
        <v>46</v>
      </c>
      <c r="J111" s="22">
        <v>0.1</v>
      </c>
      <c r="K111" s="14">
        <v>376.9</v>
      </c>
      <c r="L111" s="14">
        <v>37.69</v>
      </c>
      <c r="M111" s="14">
        <v>37.69</v>
      </c>
      <c r="N111" s="12" t="s">
        <v>272</v>
      </c>
      <c r="O111" s="15">
        <v>45839</v>
      </c>
      <c r="P111" s="16" t="s">
        <v>437</v>
      </c>
    </row>
    <row r="112" spans="1:16">
      <c r="A112" s="12" t="s">
        <v>90</v>
      </c>
      <c r="B112" s="13">
        <v>6634327</v>
      </c>
      <c r="C112" s="12" t="s">
        <v>297</v>
      </c>
      <c r="D112" s="12" t="s">
        <v>297</v>
      </c>
      <c r="E112" s="23">
        <v>845819</v>
      </c>
      <c r="F112" s="23">
        <v>8458197</v>
      </c>
      <c r="G112" s="13">
        <v>1</v>
      </c>
      <c r="H112" s="12" t="s">
        <v>260</v>
      </c>
      <c r="I112" s="12" t="s">
        <v>46</v>
      </c>
      <c r="J112" s="22">
        <v>0.1</v>
      </c>
      <c r="K112" s="14">
        <v>5.69</v>
      </c>
      <c r="L112" s="14">
        <v>0.56999999999999995</v>
      </c>
      <c r="M112" s="14">
        <v>0.56999999999999995</v>
      </c>
      <c r="N112" s="12" t="s">
        <v>119</v>
      </c>
      <c r="O112" s="15">
        <v>44287</v>
      </c>
      <c r="P112" s="16" t="s">
        <v>438</v>
      </c>
    </row>
    <row r="113" spans="1:18">
      <c r="A113" s="12" t="s">
        <v>288</v>
      </c>
      <c r="B113" s="13">
        <v>14177521</v>
      </c>
      <c r="C113" s="12" t="s">
        <v>289</v>
      </c>
      <c r="D113" s="12" t="s">
        <v>289</v>
      </c>
      <c r="E113" s="23">
        <v>416402</v>
      </c>
      <c r="F113" s="23">
        <v>4164027</v>
      </c>
      <c r="G113" s="13">
        <v>2</v>
      </c>
      <c r="H113" s="12" t="s">
        <v>260</v>
      </c>
      <c r="I113" s="12" t="s">
        <v>46</v>
      </c>
      <c r="J113" s="22">
        <v>0.1</v>
      </c>
      <c r="K113" s="14">
        <v>28.17</v>
      </c>
      <c r="L113" s="14">
        <v>2.82</v>
      </c>
      <c r="M113" s="14">
        <v>2.82</v>
      </c>
      <c r="N113" s="12" t="s">
        <v>59</v>
      </c>
      <c r="O113" s="15">
        <v>45658</v>
      </c>
      <c r="P113" s="16" t="s">
        <v>438</v>
      </c>
    </row>
    <row r="114" spans="1:18">
      <c r="A114" s="12" t="s">
        <v>288</v>
      </c>
      <c r="B114" s="13">
        <v>14177521</v>
      </c>
      <c r="C114" s="12" t="s">
        <v>295</v>
      </c>
      <c r="D114" s="12" t="s">
        <v>295</v>
      </c>
      <c r="E114" s="23">
        <v>416700</v>
      </c>
      <c r="F114" s="23">
        <v>4167007</v>
      </c>
      <c r="G114" s="13">
        <v>4</v>
      </c>
      <c r="H114" s="12" t="s">
        <v>260</v>
      </c>
      <c r="I114" s="12" t="s">
        <v>46</v>
      </c>
      <c r="J114" s="22">
        <v>0.1</v>
      </c>
      <c r="K114" s="14">
        <v>28.28</v>
      </c>
      <c r="L114" s="14">
        <v>2.83</v>
      </c>
      <c r="M114" s="14">
        <v>2.83</v>
      </c>
      <c r="N114" s="12" t="s">
        <v>59</v>
      </c>
      <c r="O114" s="15">
        <v>45658</v>
      </c>
      <c r="P114" s="16" t="s">
        <v>438</v>
      </c>
    </row>
    <row r="115" spans="1:18">
      <c r="A115" s="12" t="s">
        <v>288</v>
      </c>
      <c r="B115" s="13">
        <v>14177521</v>
      </c>
      <c r="C115" s="12" t="s">
        <v>295</v>
      </c>
      <c r="D115" s="12" t="s">
        <v>295</v>
      </c>
      <c r="E115" s="23">
        <v>416700</v>
      </c>
      <c r="F115" s="23">
        <v>4167007</v>
      </c>
      <c r="G115" s="13">
        <v>4</v>
      </c>
      <c r="H115" s="12" t="s">
        <v>260</v>
      </c>
      <c r="I115" s="12" t="s">
        <v>46</v>
      </c>
      <c r="J115" s="22">
        <v>0.1</v>
      </c>
      <c r="K115" s="14">
        <v>28.28</v>
      </c>
      <c r="L115" s="14">
        <v>2.83</v>
      </c>
      <c r="M115" s="14">
        <v>2.83</v>
      </c>
      <c r="N115" s="12" t="s">
        <v>59</v>
      </c>
      <c r="O115" s="15">
        <v>45658</v>
      </c>
      <c r="P115" s="16" t="s">
        <v>438</v>
      </c>
    </row>
    <row r="116" spans="1:18">
      <c r="A116" s="12" t="s">
        <v>288</v>
      </c>
      <c r="B116" s="13">
        <v>14177521</v>
      </c>
      <c r="C116" s="12" t="s">
        <v>293</v>
      </c>
      <c r="D116" s="12" t="s">
        <v>293</v>
      </c>
      <c r="E116" s="23">
        <v>416583</v>
      </c>
      <c r="F116" s="23">
        <v>4165837</v>
      </c>
      <c r="G116" s="13">
        <v>9</v>
      </c>
      <c r="H116" s="12" t="s">
        <v>260</v>
      </c>
      <c r="I116" s="12" t="s">
        <v>46</v>
      </c>
      <c r="J116" s="22">
        <v>0.1</v>
      </c>
      <c r="K116" s="14">
        <v>77.77</v>
      </c>
      <c r="L116" s="14">
        <v>7.78</v>
      </c>
      <c r="M116" s="14">
        <v>7.78</v>
      </c>
      <c r="N116" s="12" t="s">
        <v>59</v>
      </c>
      <c r="O116" s="15">
        <v>45658</v>
      </c>
      <c r="P116" s="16" t="s">
        <v>438</v>
      </c>
    </row>
    <row r="117" spans="1:18">
      <c r="A117" s="12" t="s">
        <v>288</v>
      </c>
      <c r="B117" s="13">
        <v>14177521</v>
      </c>
      <c r="C117" s="12" t="s">
        <v>295</v>
      </c>
      <c r="D117" s="12" t="s">
        <v>295</v>
      </c>
      <c r="E117" s="23">
        <v>416700</v>
      </c>
      <c r="F117" s="23">
        <v>4167007</v>
      </c>
      <c r="G117" s="13">
        <v>4</v>
      </c>
      <c r="H117" s="12" t="s">
        <v>265</v>
      </c>
      <c r="I117" s="12" t="s">
        <v>46</v>
      </c>
      <c r="J117" s="22">
        <v>0.1</v>
      </c>
      <c r="K117" s="14">
        <v>181.63</v>
      </c>
      <c r="L117" s="14">
        <v>18.16</v>
      </c>
      <c r="M117" s="14">
        <v>18.16</v>
      </c>
      <c r="N117" s="12" t="s">
        <v>59</v>
      </c>
      <c r="O117" s="15">
        <v>45658</v>
      </c>
      <c r="P117" s="16" t="s">
        <v>438</v>
      </c>
    </row>
    <row r="118" spans="1:18">
      <c r="A118" s="12" t="s">
        <v>288</v>
      </c>
      <c r="B118" s="13">
        <v>14177521</v>
      </c>
      <c r="C118" s="12" t="s">
        <v>295</v>
      </c>
      <c r="D118" s="12" t="s">
        <v>295</v>
      </c>
      <c r="E118" s="23">
        <v>416700</v>
      </c>
      <c r="F118" s="23">
        <v>4167007</v>
      </c>
      <c r="G118" s="13">
        <v>4</v>
      </c>
      <c r="H118" s="12" t="s">
        <v>265</v>
      </c>
      <c r="I118" s="12" t="s">
        <v>46</v>
      </c>
      <c r="J118" s="22">
        <v>0.1</v>
      </c>
      <c r="K118" s="14">
        <v>181.63</v>
      </c>
      <c r="L118" s="14">
        <v>18.16</v>
      </c>
      <c r="M118" s="14">
        <v>18.16</v>
      </c>
      <c r="N118" s="12" t="s">
        <v>59</v>
      </c>
      <c r="O118" s="15">
        <v>45658</v>
      </c>
      <c r="P118" s="16" t="s">
        <v>438</v>
      </c>
    </row>
    <row r="119" spans="1:18">
      <c r="A119" s="12" t="s">
        <v>288</v>
      </c>
      <c r="B119" s="13">
        <v>14177521</v>
      </c>
      <c r="C119" s="12" t="s">
        <v>289</v>
      </c>
      <c r="D119" s="12" t="s">
        <v>289</v>
      </c>
      <c r="E119" s="23">
        <v>416402</v>
      </c>
      <c r="F119" s="23">
        <v>4164027</v>
      </c>
      <c r="G119" s="13">
        <v>3</v>
      </c>
      <c r="H119" s="12" t="s">
        <v>265</v>
      </c>
      <c r="I119" s="12" t="s">
        <v>46</v>
      </c>
      <c r="J119" s="22">
        <v>0.1</v>
      </c>
      <c r="K119" s="14">
        <v>191.1</v>
      </c>
      <c r="L119" s="14">
        <v>19.11</v>
      </c>
      <c r="M119" s="14">
        <v>19.11</v>
      </c>
      <c r="N119" s="12" t="s">
        <v>59</v>
      </c>
      <c r="O119" s="15">
        <v>45658</v>
      </c>
      <c r="P119" s="16" t="s">
        <v>438</v>
      </c>
    </row>
    <row r="120" spans="1:18">
      <c r="A120" s="12" t="s">
        <v>288</v>
      </c>
      <c r="B120" s="13">
        <v>14177521</v>
      </c>
      <c r="C120" s="12" t="s">
        <v>293</v>
      </c>
      <c r="D120" s="12" t="s">
        <v>293</v>
      </c>
      <c r="E120" s="23">
        <v>416583</v>
      </c>
      <c r="F120" s="23">
        <v>4165837</v>
      </c>
      <c r="G120" s="13">
        <v>9</v>
      </c>
      <c r="H120" s="12" t="s">
        <v>265</v>
      </c>
      <c r="I120" s="12" t="s">
        <v>46</v>
      </c>
      <c r="J120" s="22">
        <v>0.1</v>
      </c>
      <c r="K120" s="14">
        <v>378.75</v>
      </c>
      <c r="L120" s="14">
        <v>37.880000000000003</v>
      </c>
      <c r="M120" s="14">
        <v>37.880000000000003</v>
      </c>
      <c r="N120" s="12" t="s">
        <v>59</v>
      </c>
      <c r="O120" s="15">
        <v>45658</v>
      </c>
      <c r="P120" s="16" t="s">
        <v>438</v>
      </c>
    </row>
    <row r="121" spans="1:18">
      <c r="A121" s="12" t="s">
        <v>94</v>
      </c>
      <c r="B121" s="13">
        <v>7146581</v>
      </c>
      <c r="C121" s="12" t="s">
        <v>95</v>
      </c>
      <c r="D121" s="21" t="s">
        <v>804</v>
      </c>
      <c r="E121" s="12" t="s">
        <v>96</v>
      </c>
      <c r="F121" s="21" t="s">
        <v>912</v>
      </c>
      <c r="G121" s="13">
        <v>1</v>
      </c>
      <c r="H121" s="12" t="s">
        <v>51</v>
      </c>
      <c r="I121" s="12" t="s">
        <v>52</v>
      </c>
      <c r="J121" s="11">
        <v>0</v>
      </c>
      <c r="K121" s="14">
        <v>0</v>
      </c>
      <c r="L121" s="14">
        <v>417.33</v>
      </c>
      <c r="M121" s="14">
        <v>-208.66</v>
      </c>
      <c r="N121" s="12" t="s">
        <v>53</v>
      </c>
      <c r="O121" s="15">
        <v>45778</v>
      </c>
      <c r="P121" s="16" t="s">
        <v>441</v>
      </c>
      <c r="Q121" s="16" t="s">
        <v>447</v>
      </c>
      <c r="R121" s="16">
        <f>313/12*8</f>
        <v>208.66666666666666</v>
      </c>
    </row>
    <row r="122" spans="1:18">
      <c r="A122" s="12" t="s">
        <v>121</v>
      </c>
      <c r="B122" s="13">
        <v>16633294</v>
      </c>
      <c r="C122" s="12" t="s">
        <v>122</v>
      </c>
      <c r="D122" s="21" t="s">
        <v>805</v>
      </c>
      <c r="E122" s="12" t="s">
        <v>123</v>
      </c>
      <c r="F122" s="21" t="s">
        <v>913</v>
      </c>
      <c r="G122" s="13">
        <v>1</v>
      </c>
      <c r="H122" s="12" t="s">
        <v>51</v>
      </c>
      <c r="I122" s="12" t="s">
        <v>52</v>
      </c>
      <c r="J122" s="11">
        <v>0</v>
      </c>
      <c r="K122" s="14">
        <v>0</v>
      </c>
      <c r="L122" s="14">
        <v>417.33</v>
      </c>
      <c r="M122" s="14">
        <v>-208.66</v>
      </c>
      <c r="N122" s="12" t="s">
        <v>53</v>
      </c>
      <c r="O122" s="15">
        <v>45778</v>
      </c>
      <c r="P122" s="16" t="s">
        <v>441</v>
      </c>
      <c r="Q122" s="16" t="s">
        <v>447</v>
      </c>
    </row>
    <row r="123" spans="1:18">
      <c r="A123" s="12" t="s">
        <v>160</v>
      </c>
      <c r="B123" s="13">
        <v>17301495</v>
      </c>
      <c r="C123" s="12" t="s">
        <v>164</v>
      </c>
      <c r="D123" s="21" t="s">
        <v>817</v>
      </c>
      <c r="E123" s="12" t="s">
        <v>165</v>
      </c>
      <c r="F123" s="21" t="s">
        <v>914</v>
      </c>
      <c r="G123" s="13">
        <v>1</v>
      </c>
      <c r="H123" s="12" t="s">
        <v>51</v>
      </c>
      <c r="I123" s="12" t="s">
        <v>52</v>
      </c>
      <c r="J123" s="11">
        <v>0</v>
      </c>
      <c r="K123" s="14">
        <v>0</v>
      </c>
      <c r="L123" s="14">
        <v>443.42</v>
      </c>
      <c r="M123" s="14">
        <v>-182.58</v>
      </c>
      <c r="N123" s="12" t="s">
        <v>53</v>
      </c>
      <c r="O123" s="15">
        <v>45809</v>
      </c>
      <c r="P123" s="16" t="s">
        <v>441</v>
      </c>
      <c r="Q123" s="16" t="s">
        <v>443</v>
      </c>
      <c r="R123" s="16">
        <f>313/12*7</f>
        <v>182.58333333333331</v>
      </c>
    </row>
    <row r="124" spans="1:18">
      <c r="A124" s="12" t="s">
        <v>90</v>
      </c>
      <c r="B124" s="13">
        <v>6634327</v>
      </c>
      <c r="C124" s="12" t="s">
        <v>91</v>
      </c>
      <c r="D124" s="21" t="s">
        <v>811</v>
      </c>
      <c r="E124" s="12" t="s">
        <v>92</v>
      </c>
      <c r="F124" s="21" t="s">
        <v>915</v>
      </c>
      <c r="G124" s="13">
        <v>1</v>
      </c>
      <c r="H124" s="12" t="s">
        <v>51</v>
      </c>
      <c r="I124" s="12" t="s">
        <v>75</v>
      </c>
      <c r="J124" s="11">
        <v>0</v>
      </c>
      <c r="K124" s="14">
        <v>0</v>
      </c>
      <c r="L124" s="14">
        <v>443.42</v>
      </c>
      <c r="M124" s="14">
        <v>-182.58</v>
      </c>
      <c r="N124" s="12" t="s">
        <v>53</v>
      </c>
      <c r="O124" s="15">
        <v>45809</v>
      </c>
      <c r="P124" s="16" t="s">
        <v>441</v>
      </c>
      <c r="Q124" s="16" t="s">
        <v>443</v>
      </c>
    </row>
    <row r="125" spans="1:18">
      <c r="A125" s="12" t="s">
        <v>42</v>
      </c>
      <c r="B125" s="13">
        <v>8814784</v>
      </c>
      <c r="C125" s="12" t="s">
        <v>61</v>
      </c>
      <c r="D125" s="21" t="s">
        <v>777</v>
      </c>
      <c r="E125" s="12" t="s">
        <v>62</v>
      </c>
      <c r="F125" s="21" t="s">
        <v>916</v>
      </c>
      <c r="G125" s="13">
        <v>1</v>
      </c>
      <c r="H125" s="12" t="s">
        <v>51</v>
      </c>
      <c r="I125" s="12" t="s">
        <v>52</v>
      </c>
      <c r="J125" s="11">
        <v>0</v>
      </c>
      <c r="K125" s="14">
        <v>0</v>
      </c>
      <c r="L125" s="14">
        <v>443.42</v>
      </c>
      <c r="M125" s="14">
        <v>-182.58</v>
      </c>
      <c r="N125" s="12" t="s">
        <v>53</v>
      </c>
      <c r="O125" s="15">
        <v>45809</v>
      </c>
      <c r="P125" s="16" t="s">
        <v>441</v>
      </c>
      <c r="Q125" s="16" t="s">
        <v>443</v>
      </c>
    </row>
    <row r="126" spans="1:18">
      <c r="A126" s="12" t="s">
        <v>42</v>
      </c>
      <c r="B126" s="13">
        <v>8814784</v>
      </c>
      <c r="C126" s="12" t="s">
        <v>43</v>
      </c>
      <c r="D126" s="21" t="s">
        <v>806</v>
      </c>
      <c r="E126" s="12" t="s">
        <v>44</v>
      </c>
      <c r="F126" s="21" t="s">
        <v>917</v>
      </c>
      <c r="G126" s="13">
        <v>1</v>
      </c>
      <c r="H126" s="12" t="s">
        <v>51</v>
      </c>
      <c r="I126" s="12" t="s">
        <v>52</v>
      </c>
      <c r="J126" s="11">
        <v>0</v>
      </c>
      <c r="K126" s="14">
        <v>0</v>
      </c>
      <c r="L126" s="14">
        <v>443.42</v>
      </c>
      <c r="M126" s="14">
        <v>-182.58</v>
      </c>
      <c r="N126" s="12" t="s">
        <v>53</v>
      </c>
      <c r="O126" s="15">
        <v>45809</v>
      </c>
      <c r="P126" s="16" t="s">
        <v>441</v>
      </c>
      <c r="Q126" s="16" t="s">
        <v>443</v>
      </c>
    </row>
    <row r="127" spans="1:18">
      <c r="A127" s="12" t="s">
        <v>121</v>
      </c>
      <c r="B127" s="13">
        <v>16633294</v>
      </c>
      <c r="C127" s="12" t="s">
        <v>128</v>
      </c>
      <c r="D127" s="21" t="s">
        <v>814</v>
      </c>
      <c r="E127" s="12" t="s">
        <v>129</v>
      </c>
      <c r="F127" s="21" t="s">
        <v>918</v>
      </c>
      <c r="G127" s="13">
        <v>1</v>
      </c>
      <c r="H127" s="12" t="s">
        <v>51</v>
      </c>
      <c r="I127" s="12" t="s">
        <v>75</v>
      </c>
      <c r="J127" s="11">
        <v>0</v>
      </c>
      <c r="K127" s="14">
        <v>0</v>
      </c>
      <c r="L127" s="14">
        <v>443.42</v>
      </c>
      <c r="M127" s="14">
        <v>-182.58</v>
      </c>
      <c r="N127" s="12" t="s">
        <v>53</v>
      </c>
      <c r="O127" s="15">
        <v>45809</v>
      </c>
      <c r="P127" s="16" t="s">
        <v>441</v>
      </c>
      <c r="Q127" s="16" t="s">
        <v>443</v>
      </c>
    </row>
    <row r="128" spans="1:18">
      <c r="A128" s="12" t="s">
        <v>147</v>
      </c>
      <c r="B128" s="13">
        <v>17126004</v>
      </c>
      <c r="C128" s="12" t="s">
        <v>154</v>
      </c>
      <c r="D128" s="21" t="s">
        <v>784</v>
      </c>
      <c r="E128" s="12" t="s">
        <v>155</v>
      </c>
      <c r="F128" s="21" t="s">
        <v>919</v>
      </c>
      <c r="G128" s="13">
        <v>1</v>
      </c>
      <c r="H128" s="12" t="s">
        <v>51</v>
      </c>
      <c r="I128" s="12" t="s">
        <v>52</v>
      </c>
      <c r="J128" s="11">
        <v>0</v>
      </c>
      <c r="K128" s="14">
        <v>0</v>
      </c>
      <c r="L128" s="14">
        <v>443.42</v>
      </c>
      <c r="M128" s="14">
        <v>-182.58</v>
      </c>
      <c r="N128" s="12" t="s">
        <v>53</v>
      </c>
      <c r="O128" s="15">
        <v>45809</v>
      </c>
      <c r="P128" s="16" t="s">
        <v>441</v>
      </c>
      <c r="Q128" s="16" t="s">
        <v>443</v>
      </c>
    </row>
    <row r="129" spans="1:17">
      <c r="A129" s="12" t="s">
        <v>202</v>
      </c>
      <c r="B129" s="13">
        <v>18754354</v>
      </c>
      <c r="C129" s="12" t="s">
        <v>203</v>
      </c>
      <c r="D129" s="21" t="s">
        <v>820</v>
      </c>
      <c r="E129" s="12" t="s">
        <v>204</v>
      </c>
      <c r="F129" s="21" t="s">
        <v>920</v>
      </c>
      <c r="G129" s="13">
        <v>1</v>
      </c>
      <c r="H129" s="12" t="s">
        <v>51</v>
      </c>
      <c r="I129" s="12" t="s">
        <v>52</v>
      </c>
      <c r="J129" s="11">
        <v>0</v>
      </c>
      <c r="K129" s="14">
        <v>0</v>
      </c>
      <c r="L129" s="14">
        <v>443.42</v>
      </c>
      <c r="M129" s="14">
        <v>-182.58</v>
      </c>
      <c r="N129" s="12" t="s">
        <v>53</v>
      </c>
      <c r="O129" s="15">
        <v>45809</v>
      </c>
      <c r="P129" s="16" t="s">
        <v>441</v>
      </c>
      <c r="Q129" s="16" t="s">
        <v>443</v>
      </c>
    </row>
    <row r="130" spans="1:17">
      <c r="A130" s="12" t="s">
        <v>94</v>
      </c>
      <c r="B130" s="13">
        <v>7146581</v>
      </c>
      <c r="C130" s="12" t="s">
        <v>99</v>
      </c>
      <c r="D130" s="21" t="s">
        <v>812</v>
      </c>
      <c r="E130" s="12" t="s">
        <v>100</v>
      </c>
      <c r="F130" s="21" t="s">
        <v>921</v>
      </c>
      <c r="G130" s="13">
        <v>1</v>
      </c>
      <c r="H130" s="12" t="s">
        <v>51</v>
      </c>
      <c r="I130" s="12" t="s">
        <v>52</v>
      </c>
      <c r="J130" s="11">
        <v>0</v>
      </c>
      <c r="K130" s="14">
        <v>0</v>
      </c>
      <c r="L130" s="14">
        <v>443.42</v>
      </c>
      <c r="M130" s="14">
        <v>-182.58</v>
      </c>
      <c r="N130" s="12" t="s">
        <v>53</v>
      </c>
      <c r="O130" s="15">
        <v>45809</v>
      </c>
      <c r="P130" s="16" t="s">
        <v>441</v>
      </c>
      <c r="Q130" s="16" t="s">
        <v>443</v>
      </c>
    </row>
    <row r="131" spans="1:17">
      <c r="A131" s="12" t="s">
        <v>64</v>
      </c>
      <c r="B131" s="13">
        <v>7470776</v>
      </c>
      <c r="C131" s="12" t="s">
        <v>68</v>
      </c>
      <c r="D131" s="21" t="s">
        <v>808</v>
      </c>
      <c r="E131" s="12" t="s">
        <v>69</v>
      </c>
      <c r="F131" s="21" t="s">
        <v>922</v>
      </c>
      <c r="G131" s="13">
        <v>1</v>
      </c>
      <c r="H131" s="12" t="s">
        <v>51</v>
      </c>
      <c r="I131" s="12" t="s">
        <v>52</v>
      </c>
      <c r="J131" s="11">
        <v>0</v>
      </c>
      <c r="K131" s="14">
        <v>0</v>
      </c>
      <c r="L131" s="14">
        <v>443.42</v>
      </c>
      <c r="M131" s="14">
        <v>-182.58</v>
      </c>
      <c r="N131" s="12" t="s">
        <v>53</v>
      </c>
      <c r="O131" s="15">
        <v>45809</v>
      </c>
      <c r="P131" s="16" t="s">
        <v>441</v>
      </c>
      <c r="Q131" s="16" t="s">
        <v>443</v>
      </c>
    </row>
    <row r="132" spans="1:17">
      <c r="A132" s="12" t="s">
        <v>217</v>
      </c>
      <c r="B132" s="13">
        <v>19200754</v>
      </c>
      <c r="C132" s="12" t="s">
        <v>218</v>
      </c>
      <c r="D132" s="21" t="s">
        <v>790</v>
      </c>
      <c r="E132" s="12" t="s">
        <v>219</v>
      </c>
      <c r="F132" s="21" t="s">
        <v>923</v>
      </c>
      <c r="G132" s="13">
        <v>1</v>
      </c>
      <c r="H132" s="12" t="s">
        <v>51</v>
      </c>
      <c r="I132" s="12" t="s">
        <v>52</v>
      </c>
      <c r="J132" s="11">
        <v>-0.57999999999999996</v>
      </c>
      <c r="K132" s="14">
        <v>0</v>
      </c>
      <c r="L132" s="14">
        <v>-182.58</v>
      </c>
      <c r="M132" s="14">
        <v>-182.58</v>
      </c>
      <c r="N132" s="12" t="s">
        <v>59</v>
      </c>
      <c r="O132" s="15">
        <v>45658</v>
      </c>
      <c r="P132" s="16" t="s">
        <v>441</v>
      </c>
      <c r="Q132" s="16" t="s">
        <v>443</v>
      </c>
    </row>
    <row r="133" spans="1:17">
      <c r="A133" s="12" t="s">
        <v>167</v>
      </c>
      <c r="B133" s="13">
        <v>17425766</v>
      </c>
      <c r="C133" s="12" t="s">
        <v>173</v>
      </c>
      <c r="D133" s="21" t="s">
        <v>818</v>
      </c>
      <c r="E133" s="12" t="s">
        <v>174</v>
      </c>
      <c r="F133" s="21" t="s">
        <v>924</v>
      </c>
      <c r="G133" s="13">
        <v>1</v>
      </c>
      <c r="H133" s="12" t="s">
        <v>51</v>
      </c>
      <c r="I133" s="12" t="s">
        <v>52</v>
      </c>
      <c r="J133" s="11">
        <v>0</v>
      </c>
      <c r="K133" s="14">
        <v>0</v>
      </c>
      <c r="L133" s="14">
        <v>443.42</v>
      </c>
      <c r="M133" s="14">
        <v>-182.58</v>
      </c>
      <c r="N133" s="12" t="s">
        <v>53</v>
      </c>
      <c r="O133" s="15">
        <v>45809</v>
      </c>
      <c r="P133" s="16" t="s">
        <v>441</v>
      </c>
      <c r="Q133" s="16" t="s">
        <v>443</v>
      </c>
    </row>
    <row r="134" spans="1:17">
      <c r="A134" s="12" t="s">
        <v>71</v>
      </c>
      <c r="B134" s="13">
        <v>8307933</v>
      </c>
      <c r="C134" s="12" t="s">
        <v>77</v>
      </c>
      <c r="D134" s="21" t="s">
        <v>809</v>
      </c>
      <c r="E134" s="12" t="s">
        <v>78</v>
      </c>
      <c r="F134" s="21" t="s">
        <v>925</v>
      </c>
      <c r="G134" s="13">
        <v>1</v>
      </c>
      <c r="H134" s="12" t="s">
        <v>51</v>
      </c>
      <c r="I134" s="12" t="s">
        <v>75</v>
      </c>
      <c r="J134" s="11">
        <v>0</v>
      </c>
      <c r="K134" s="14">
        <v>0</v>
      </c>
      <c r="L134" s="14">
        <v>443.42</v>
      </c>
      <c r="M134" s="14">
        <v>-182.58</v>
      </c>
      <c r="N134" s="12" t="s">
        <v>53</v>
      </c>
      <c r="O134" s="15">
        <v>45809</v>
      </c>
      <c r="P134" s="16" t="s">
        <v>441</v>
      </c>
      <c r="Q134" s="16" t="s">
        <v>443</v>
      </c>
    </row>
    <row r="135" spans="1:17">
      <c r="A135" s="12" t="s">
        <v>135</v>
      </c>
      <c r="B135" s="13">
        <v>16683808</v>
      </c>
      <c r="C135" s="12" t="s">
        <v>136</v>
      </c>
      <c r="D135" s="21" t="s">
        <v>815</v>
      </c>
      <c r="E135" s="12" t="s">
        <v>137</v>
      </c>
      <c r="F135" s="21" t="s">
        <v>926</v>
      </c>
      <c r="G135" s="13">
        <v>1</v>
      </c>
      <c r="H135" s="12" t="s">
        <v>51</v>
      </c>
      <c r="I135" s="12" t="s">
        <v>52</v>
      </c>
      <c r="J135" s="11">
        <v>0</v>
      </c>
      <c r="K135" s="14">
        <v>0</v>
      </c>
      <c r="L135" s="14">
        <v>443.42</v>
      </c>
      <c r="M135" s="14">
        <v>-182.58</v>
      </c>
      <c r="N135" s="12" t="s">
        <v>53</v>
      </c>
      <c r="O135" s="15">
        <v>45809</v>
      </c>
      <c r="P135" s="16" t="s">
        <v>441</v>
      </c>
      <c r="Q135" s="16" t="s">
        <v>443</v>
      </c>
    </row>
    <row r="136" spans="1:17">
      <c r="A136" s="12" t="s">
        <v>147</v>
      </c>
      <c r="B136" s="13">
        <v>17126004</v>
      </c>
      <c r="C136" s="12" t="s">
        <v>151</v>
      </c>
      <c r="D136" s="21" t="s">
        <v>783</v>
      </c>
      <c r="E136" s="12" t="s">
        <v>152</v>
      </c>
      <c r="F136" s="21" t="s">
        <v>927</v>
      </c>
      <c r="G136" s="13">
        <v>1</v>
      </c>
      <c r="H136" s="12" t="s">
        <v>51</v>
      </c>
      <c r="I136" s="12" t="s">
        <v>52</v>
      </c>
      <c r="J136" s="11">
        <v>0</v>
      </c>
      <c r="K136" s="14">
        <v>0</v>
      </c>
      <c r="L136" s="14">
        <v>443.42</v>
      </c>
      <c r="M136" s="14">
        <v>-182.58</v>
      </c>
      <c r="N136" s="12" t="s">
        <v>53</v>
      </c>
      <c r="O136" s="15">
        <v>45809</v>
      </c>
      <c r="P136" s="16" t="s">
        <v>441</v>
      </c>
      <c r="Q136" s="16" t="s">
        <v>443</v>
      </c>
    </row>
    <row r="137" spans="1:17">
      <c r="A137" s="12" t="s">
        <v>42</v>
      </c>
      <c r="B137" s="13">
        <v>8814784</v>
      </c>
      <c r="C137" s="12" t="s">
        <v>56</v>
      </c>
      <c r="D137" s="21" t="s">
        <v>776</v>
      </c>
      <c r="E137" s="12" t="s">
        <v>57</v>
      </c>
      <c r="F137" s="21" t="s">
        <v>928</v>
      </c>
      <c r="G137" s="13">
        <v>1</v>
      </c>
      <c r="H137" s="12" t="s">
        <v>51</v>
      </c>
      <c r="I137" s="12" t="s">
        <v>52</v>
      </c>
      <c r="J137" s="11">
        <v>0</v>
      </c>
      <c r="K137" s="14">
        <v>0</v>
      </c>
      <c r="L137" s="14">
        <v>443.42</v>
      </c>
      <c r="M137" s="14">
        <v>-182.58</v>
      </c>
      <c r="N137" s="12" t="s">
        <v>53</v>
      </c>
      <c r="O137" s="15">
        <v>45809</v>
      </c>
      <c r="P137" s="16" t="s">
        <v>441</v>
      </c>
      <c r="Q137" s="16" t="s">
        <v>443</v>
      </c>
    </row>
    <row r="138" spans="1:17">
      <c r="A138" s="12" t="s">
        <v>147</v>
      </c>
      <c r="B138" s="13">
        <v>17126004</v>
      </c>
      <c r="C138" s="12" t="s">
        <v>148</v>
      </c>
      <c r="D138" s="21" t="s">
        <v>816</v>
      </c>
      <c r="E138" s="12" t="s">
        <v>149</v>
      </c>
      <c r="F138" s="21" t="s">
        <v>929</v>
      </c>
      <c r="G138" s="13">
        <v>1</v>
      </c>
      <c r="H138" s="12" t="s">
        <v>51</v>
      </c>
      <c r="I138" s="12" t="s">
        <v>52</v>
      </c>
      <c r="J138" s="11">
        <v>0</v>
      </c>
      <c r="K138" s="14">
        <v>0</v>
      </c>
      <c r="L138" s="14">
        <v>443.42</v>
      </c>
      <c r="M138" s="14">
        <v>-182.58</v>
      </c>
      <c r="N138" s="12" t="s">
        <v>53</v>
      </c>
      <c r="O138" s="15">
        <v>45809</v>
      </c>
      <c r="P138" s="16" t="s">
        <v>441</v>
      </c>
      <c r="Q138" s="16" t="s">
        <v>443</v>
      </c>
    </row>
    <row r="139" spans="1:17">
      <c r="A139" s="12" t="s">
        <v>94</v>
      </c>
      <c r="B139" s="13">
        <v>7146581</v>
      </c>
      <c r="C139" s="12" t="s">
        <v>111</v>
      </c>
      <c r="D139" s="21" t="s">
        <v>781</v>
      </c>
      <c r="E139" s="12" t="s">
        <v>112</v>
      </c>
      <c r="F139" s="21" t="s">
        <v>930</v>
      </c>
      <c r="G139" s="13">
        <v>1</v>
      </c>
      <c r="H139" s="12" t="s">
        <v>51</v>
      </c>
      <c r="I139" s="12" t="s">
        <v>52</v>
      </c>
      <c r="J139" s="11">
        <v>0</v>
      </c>
      <c r="K139" s="14">
        <v>0</v>
      </c>
      <c r="L139" s="14">
        <v>443.42</v>
      </c>
      <c r="M139" s="14">
        <v>-182.58</v>
      </c>
      <c r="N139" s="12" t="s">
        <v>53</v>
      </c>
      <c r="O139" s="15">
        <v>45809</v>
      </c>
      <c r="P139" s="16" t="s">
        <v>441</v>
      </c>
      <c r="Q139" s="16" t="s">
        <v>443</v>
      </c>
    </row>
    <row r="140" spans="1:17">
      <c r="A140" s="12" t="s">
        <v>64</v>
      </c>
      <c r="B140" s="13">
        <v>7470776</v>
      </c>
      <c r="C140" s="12" t="s">
        <v>65</v>
      </c>
      <c r="D140" s="21" t="s">
        <v>807</v>
      </c>
      <c r="E140" s="12" t="s">
        <v>66</v>
      </c>
      <c r="F140" s="21" t="s">
        <v>931</v>
      </c>
      <c r="G140" s="13">
        <v>1</v>
      </c>
      <c r="H140" s="12" t="s">
        <v>51</v>
      </c>
      <c r="I140" s="12" t="s">
        <v>52</v>
      </c>
      <c r="J140" s="11">
        <v>0</v>
      </c>
      <c r="K140" s="14">
        <v>0</v>
      </c>
      <c r="L140" s="14">
        <v>443.42</v>
      </c>
      <c r="M140" s="14">
        <v>-182.58</v>
      </c>
      <c r="N140" s="12" t="s">
        <v>53</v>
      </c>
      <c r="O140" s="15">
        <v>45809</v>
      </c>
      <c r="P140" s="16" t="s">
        <v>441</v>
      </c>
      <c r="Q140" s="16" t="s">
        <v>443</v>
      </c>
    </row>
    <row r="141" spans="1:17">
      <c r="A141" s="12" t="s">
        <v>213</v>
      </c>
      <c r="B141" s="13">
        <v>19396223</v>
      </c>
      <c r="C141" s="12" t="s">
        <v>214</v>
      </c>
      <c r="D141" s="21" t="s">
        <v>821</v>
      </c>
      <c r="E141" s="12" t="s">
        <v>215</v>
      </c>
      <c r="F141" s="21" t="s">
        <v>932</v>
      </c>
      <c r="G141" s="13">
        <v>1</v>
      </c>
      <c r="H141" s="12" t="s">
        <v>51</v>
      </c>
      <c r="I141" s="12" t="s">
        <v>75</v>
      </c>
      <c r="J141" s="11">
        <v>0</v>
      </c>
      <c r="K141" s="14">
        <v>0</v>
      </c>
      <c r="L141" s="14">
        <v>443.42</v>
      </c>
      <c r="M141" s="14">
        <v>-182.58</v>
      </c>
      <c r="N141" s="12" t="s">
        <v>53</v>
      </c>
      <c r="O141" s="15">
        <v>45809</v>
      </c>
      <c r="P141" s="16" t="s">
        <v>441</v>
      </c>
      <c r="Q141" s="16" t="s">
        <v>443</v>
      </c>
    </row>
    <row r="142" spans="1:17">
      <c r="A142" s="12" t="s">
        <v>94</v>
      </c>
      <c r="B142" s="13">
        <v>7146581</v>
      </c>
      <c r="C142" s="12" t="s">
        <v>108</v>
      </c>
      <c r="D142" s="21" t="s">
        <v>780</v>
      </c>
      <c r="E142" s="12" t="s">
        <v>109</v>
      </c>
      <c r="F142" s="21" t="s">
        <v>933</v>
      </c>
      <c r="G142" s="13">
        <v>1</v>
      </c>
      <c r="H142" s="12" t="s">
        <v>51</v>
      </c>
      <c r="I142" s="12" t="s">
        <v>52</v>
      </c>
      <c r="J142" s="11">
        <v>0</v>
      </c>
      <c r="K142" s="14">
        <v>0</v>
      </c>
      <c r="L142" s="14">
        <v>443.42</v>
      </c>
      <c r="M142" s="14">
        <v>-182.58</v>
      </c>
      <c r="N142" s="12" t="s">
        <v>53</v>
      </c>
      <c r="O142" s="15">
        <v>45809</v>
      </c>
      <c r="P142" s="16" t="s">
        <v>441</v>
      </c>
      <c r="Q142" s="16" t="s">
        <v>443</v>
      </c>
    </row>
    <row r="143" spans="1:17">
      <c r="A143" s="12" t="s">
        <v>176</v>
      </c>
      <c r="B143" s="13">
        <v>9213293</v>
      </c>
      <c r="C143" s="12" t="s">
        <v>177</v>
      </c>
      <c r="D143" s="21" t="s">
        <v>819</v>
      </c>
      <c r="E143" s="12" t="s">
        <v>178</v>
      </c>
      <c r="F143" s="21" t="s">
        <v>934</v>
      </c>
      <c r="G143" s="13">
        <v>1</v>
      </c>
      <c r="H143" s="12" t="s">
        <v>51</v>
      </c>
      <c r="I143" s="12" t="s">
        <v>52</v>
      </c>
      <c r="J143" s="11">
        <v>0</v>
      </c>
      <c r="K143" s="14">
        <v>0</v>
      </c>
      <c r="L143" s="14">
        <v>443.42</v>
      </c>
      <c r="M143" s="14">
        <v>-182.58</v>
      </c>
      <c r="N143" s="12" t="s">
        <v>53</v>
      </c>
      <c r="O143" s="15">
        <v>45809</v>
      </c>
      <c r="P143" s="16" t="s">
        <v>441</v>
      </c>
      <c r="Q143" s="16" t="s">
        <v>443</v>
      </c>
    </row>
    <row r="144" spans="1:17">
      <c r="A144" s="12" t="s">
        <v>71</v>
      </c>
      <c r="B144" s="13">
        <v>8307933</v>
      </c>
      <c r="C144" s="12" t="s">
        <v>85</v>
      </c>
      <c r="D144" s="21" t="s">
        <v>810</v>
      </c>
      <c r="E144" s="12" t="s">
        <v>86</v>
      </c>
      <c r="F144" s="21" t="s">
        <v>935</v>
      </c>
      <c r="G144" s="13">
        <v>1</v>
      </c>
      <c r="H144" s="12" t="s">
        <v>51</v>
      </c>
      <c r="I144" s="12" t="s">
        <v>88</v>
      </c>
      <c r="J144" s="11">
        <v>0</v>
      </c>
      <c r="K144" s="14">
        <v>0</v>
      </c>
      <c r="L144" s="14">
        <v>443.42</v>
      </c>
      <c r="M144" s="14">
        <v>-182.58</v>
      </c>
      <c r="N144" s="12" t="s">
        <v>53</v>
      </c>
      <c r="O144" s="15">
        <v>45809</v>
      </c>
      <c r="P144" s="16" t="s">
        <v>441</v>
      </c>
      <c r="Q144" s="16" t="s">
        <v>443</v>
      </c>
    </row>
    <row r="145" spans="1:18">
      <c r="A145" s="12" t="s">
        <v>94</v>
      </c>
      <c r="B145" s="13">
        <v>7146581</v>
      </c>
      <c r="C145" s="12" t="s">
        <v>102</v>
      </c>
      <c r="D145" s="21" t="s">
        <v>813</v>
      </c>
      <c r="E145" s="12" t="s">
        <v>103</v>
      </c>
      <c r="F145" s="21" t="s">
        <v>936</v>
      </c>
      <c r="G145" s="13">
        <v>1</v>
      </c>
      <c r="H145" s="12" t="s">
        <v>51</v>
      </c>
      <c r="I145" s="12" t="s">
        <v>52</v>
      </c>
      <c r="J145" s="11">
        <v>0</v>
      </c>
      <c r="K145" s="14">
        <v>0</v>
      </c>
      <c r="L145" s="14">
        <v>443.42</v>
      </c>
      <c r="M145" s="14">
        <v>-182.58</v>
      </c>
      <c r="N145" s="12" t="s">
        <v>53</v>
      </c>
      <c r="O145" s="15">
        <v>45809</v>
      </c>
      <c r="P145" s="16" t="s">
        <v>441</v>
      </c>
      <c r="Q145" s="16" t="s">
        <v>443</v>
      </c>
    </row>
    <row r="146" spans="1:18">
      <c r="A146" s="12" t="s">
        <v>94</v>
      </c>
      <c r="B146" s="13">
        <v>7146581</v>
      </c>
      <c r="C146" s="12" t="s">
        <v>105</v>
      </c>
      <c r="D146" s="21" t="s">
        <v>779</v>
      </c>
      <c r="E146" s="12" t="s">
        <v>106</v>
      </c>
      <c r="F146" s="21" t="s">
        <v>937</v>
      </c>
      <c r="G146" s="13">
        <v>1</v>
      </c>
      <c r="H146" s="12" t="s">
        <v>51</v>
      </c>
      <c r="I146" s="12" t="s">
        <v>52</v>
      </c>
      <c r="J146" s="11">
        <v>0</v>
      </c>
      <c r="K146" s="14">
        <v>0</v>
      </c>
      <c r="L146" s="14">
        <v>469.5</v>
      </c>
      <c r="M146" s="14">
        <v>-156.5</v>
      </c>
      <c r="N146" s="12" t="s">
        <v>53</v>
      </c>
      <c r="O146" s="15">
        <v>45839</v>
      </c>
      <c r="P146" s="16" t="s">
        <v>441</v>
      </c>
      <c r="Q146" s="16" t="s">
        <v>444</v>
      </c>
      <c r="R146" s="16">
        <f>313/12*6</f>
        <v>156.5</v>
      </c>
    </row>
    <row r="147" spans="1:18">
      <c r="A147" s="12" t="s">
        <v>71</v>
      </c>
      <c r="B147" s="13">
        <v>8307933</v>
      </c>
      <c r="C147" s="12" t="s">
        <v>81</v>
      </c>
      <c r="D147" s="21" t="s">
        <v>822</v>
      </c>
      <c r="E147" s="12" t="s">
        <v>82</v>
      </c>
      <c r="F147" s="21" t="s">
        <v>938</v>
      </c>
      <c r="G147" s="13">
        <v>1</v>
      </c>
      <c r="H147" s="12" t="s">
        <v>51</v>
      </c>
      <c r="I147" s="12" t="s">
        <v>52</v>
      </c>
      <c r="J147" s="11">
        <v>0</v>
      </c>
      <c r="K147" s="14">
        <v>0</v>
      </c>
      <c r="L147" s="14">
        <v>469.5</v>
      </c>
      <c r="M147" s="14">
        <v>-156.5</v>
      </c>
      <c r="N147" s="12" t="s">
        <v>53</v>
      </c>
      <c r="O147" s="15">
        <v>45839</v>
      </c>
      <c r="P147" s="16" t="s">
        <v>441</v>
      </c>
      <c r="Q147" s="16" t="s">
        <v>444</v>
      </c>
    </row>
    <row r="148" spans="1:18">
      <c r="A148" s="12" t="s">
        <v>121</v>
      </c>
      <c r="B148" s="13">
        <v>16633294</v>
      </c>
      <c r="C148" s="12" t="s">
        <v>125</v>
      </c>
      <c r="D148" s="21" t="s">
        <v>823</v>
      </c>
      <c r="E148" s="12" t="s">
        <v>126</v>
      </c>
      <c r="F148" s="21" t="s">
        <v>939</v>
      </c>
      <c r="G148" s="13">
        <v>1</v>
      </c>
      <c r="H148" s="12" t="s">
        <v>51</v>
      </c>
      <c r="I148" s="12" t="s">
        <v>75</v>
      </c>
      <c r="J148" s="11">
        <v>0</v>
      </c>
      <c r="K148" s="14">
        <v>0</v>
      </c>
      <c r="L148" s="14">
        <v>469.5</v>
      </c>
      <c r="M148" s="14">
        <v>-156.5</v>
      </c>
      <c r="N148" s="12" t="s">
        <v>53</v>
      </c>
      <c r="O148" s="15">
        <v>45839</v>
      </c>
      <c r="P148" s="16" t="s">
        <v>441</v>
      </c>
      <c r="Q148" s="16" t="s">
        <v>444</v>
      </c>
    </row>
    <row r="149" spans="1:18">
      <c r="A149" s="12" t="s">
        <v>244</v>
      </c>
      <c r="B149" s="13">
        <v>21104854</v>
      </c>
      <c r="C149" s="12" t="s">
        <v>245</v>
      </c>
      <c r="D149" s="21" t="s">
        <v>824</v>
      </c>
      <c r="E149" s="12" t="s">
        <v>246</v>
      </c>
      <c r="F149" s="21" t="s">
        <v>940</v>
      </c>
      <c r="G149" s="13">
        <v>1</v>
      </c>
      <c r="H149" s="12" t="s">
        <v>51</v>
      </c>
      <c r="I149" s="12" t="s">
        <v>52</v>
      </c>
      <c r="J149" s="11">
        <v>0</v>
      </c>
      <c r="K149" s="14">
        <v>0</v>
      </c>
      <c r="L149" s="14">
        <v>469.5</v>
      </c>
      <c r="M149" s="14">
        <v>-156.5</v>
      </c>
      <c r="N149" s="12" t="s">
        <v>53</v>
      </c>
      <c r="O149" s="15">
        <v>45839</v>
      </c>
      <c r="P149" s="16" t="s">
        <v>441</v>
      </c>
      <c r="Q149" s="16" t="s">
        <v>444</v>
      </c>
    </row>
    <row r="150" spans="1:18">
      <c r="A150" s="12" t="s">
        <v>114</v>
      </c>
      <c r="B150" s="13">
        <v>15278437</v>
      </c>
      <c r="C150" s="12" t="s">
        <v>115</v>
      </c>
      <c r="D150" s="21" t="s">
        <v>793</v>
      </c>
      <c r="E150" s="12" t="s">
        <v>116</v>
      </c>
      <c r="F150" s="21" t="s">
        <v>941</v>
      </c>
      <c r="G150" s="13">
        <v>1</v>
      </c>
      <c r="H150" s="12" t="s">
        <v>51</v>
      </c>
      <c r="I150" s="12" t="s">
        <v>52</v>
      </c>
      <c r="J150" s="11">
        <v>1</v>
      </c>
      <c r="K150" s="14">
        <v>0</v>
      </c>
      <c r="L150" s="14">
        <v>26.08</v>
      </c>
      <c r="M150" s="14">
        <v>26.08</v>
      </c>
      <c r="N150" s="12" t="s">
        <v>119</v>
      </c>
      <c r="O150" s="15">
        <v>45444</v>
      </c>
      <c r="P150" s="16" t="s">
        <v>441</v>
      </c>
      <c r="Q150" s="16" t="s">
        <v>446</v>
      </c>
    </row>
    <row r="151" spans="1:18">
      <c r="A151" s="12" t="s">
        <v>121</v>
      </c>
      <c r="B151" s="13">
        <v>16633294</v>
      </c>
      <c r="C151" s="12" t="s">
        <v>131</v>
      </c>
      <c r="D151" s="21" t="s">
        <v>782</v>
      </c>
      <c r="E151" s="12" t="s">
        <v>132</v>
      </c>
      <c r="F151" s="21" t="s">
        <v>942</v>
      </c>
      <c r="G151" s="13">
        <v>1</v>
      </c>
      <c r="H151" s="12" t="s">
        <v>51</v>
      </c>
      <c r="I151" s="12" t="s">
        <v>52</v>
      </c>
      <c r="J151" s="11">
        <v>0.42</v>
      </c>
      <c r="K151" s="14">
        <v>0</v>
      </c>
      <c r="L151" s="14">
        <v>130.41999999999999</v>
      </c>
      <c r="M151" s="14">
        <v>130.41999999999999</v>
      </c>
      <c r="N151" s="12" t="s">
        <v>59</v>
      </c>
      <c r="O151" s="15">
        <v>45870</v>
      </c>
      <c r="P151" s="16" t="s">
        <v>441</v>
      </c>
      <c r="Q151" s="16" t="s">
        <v>445</v>
      </c>
      <c r="R151" s="16">
        <f>313/12*5</f>
        <v>130.41666666666666</v>
      </c>
    </row>
    <row r="152" spans="1:18">
      <c r="A152" s="12" t="s">
        <v>202</v>
      </c>
      <c r="B152" s="13">
        <v>18754354</v>
      </c>
      <c r="C152" s="12" t="s">
        <v>206</v>
      </c>
      <c r="D152" s="21" t="s">
        <v>789</v>
      </c>
      <c r="E152" s="12" t="s">
        <v>207</v>
      </c>
      <c r="F152" s="21" t="s">
        <v>943</v>
      </c>
      <c r="G152" s="13">
        <v>1</v>
      </c>
      <c r="H152" s="12" t="s">
        <v>51</v>
      </c>
      <c r="I152" s="12" t="s">
        <v>52</v>
      </c>
      <c r="J152" s="11">
        <v>0.42</v>
      </c>
      <c r="K152" s="14">
        <v>0</v>
      </c>
      <c r="L152" s="14">
        <v>130.41999999999999</v>
      </c>
      <c r="M152" s="14">
        <v>130.41999999999999</v>
      </c>
      <c r="N152" s="12" t="s">
        <v>59</v>
      </c>
      <c r="O152" s="15">
        <v>45870</v>
      </c>
      <c r="P152" s="16" t="s">
        <v>441</v>
      </c>
      <c r="Q152" s="16" t="s">
        <v>445</v>
      </c>
    </row>
    <row r="153" spans="1:18">
      <c r="A153" s="12" t="s">
        <v>94</v>
      </c>
      <c r="B153" s="13">
        <v>7146581</v>
      </c>
      <c r="C153" s="12" t="s">
        <v>105</v>
      </c>
      <c r="D153" s="21" t="s">
        <v>779</v>
      </c>
      <c r="E153" s="12" t="s">
        <v>106</v>
      </c>
      <c r="F153" s="21" t="s">
        <v>937</v>
      </c>
      <c r="G153" s="13">
        <v>1</v>
      </c>
      <c r="H153" s="12" t="s">
        <v>51</v>
      </c>
      <c r="I153" s="12" t="s">
        <v>52</v>
      </c>
      <c r="J153" s="11">
        <v>0.5</v>
      </c>
      <c r="K153" s="14">
        <v>0</v>
      </c>
      <c r="L153" s="14">
        <v>156.5</v>
      </c>
      <c r="M153" s="14">
        <v>156.5</v>
      </c>
      <c r="N153" s="12" t="s">
        <v>59</v>
      </c>
      <c r="O153" s="15">
        <v>45839</v>
      </c>
      <c r="P153" s="16" t="s">
        <v>441</v>
      </c>
      <c r="Q153" s="16" t="s">
        <v>444</v>
      </c>
      <c r="R153" s="16">
        <f>313/12*6</f>
        <v>156.5</v>
      </c>
    </row>
    <row r="154" spans="1:18">
      <c r="A154" s="12" t="s">
        <v>71</v>
      </c>
      <c r="B154" s="13">
        <v>8307933</v>
      </c>
      <c r="C154" s="12" t="s">
        <v>72</v>
      </c>
      <c r="D154" s="21" t="s">
        <v>778</v>
      </c>
      <c r="E154" s="12" t="s">
        <v>73</v>
      </c>
      <c r="F154" s="21" t="s">
        <v>944</v>
      </c>
      <c r="G154" s="13">
        <v>1</v>
      </c>
      <c r="H154" s="12" t="s">
        <v>51</v>
      </c>
      <c r="I154" s="12" t="s">
        <v>75</v>
      </c>
      <c r="J154" s="11">
        <v>0.57999999999999996</v>
      </c>
      <c r="K154" s="14">
        <v>0</v>
      </c>
      <c r="L154" s="14">
        <v>182.58</v>
      </c>
      <c r="M154" s="14">
        <v>182.58</v>
      </c>
      <c r="N154" s="12" t="s">
        <v>59</v>
      </c>
      <c r="O154" s="15">
        <v>45809</v>
      </c>
      <c r="P154" s="16" t="s">
        <v>441</v>
      </c>
      <c r="Q154" s="16" t="s">
        <v>443</v>
      </c>
      <c r="R154" s="16">
        <f>313/12*7</f>
        <v>182.58333333333331</v>
      </c>
    </row>
    <row r="155" spans="1:18">
      <c r="A155" s="12" t="s">
        <v>147</v>
      </c>
      <c r="B155" s="13">
        <v>17126004</v>
      </c>
      <c r="C155" s="12" t="s">
        <v>157</v>
      </c>
      <c r="D155" s="21" t="s">
        <v>785</v>
      </c>
      <c r="E155" s="12" t="s">
        <v>158</v>
      </c>
      <c r="F155" s="21" t="s">
        <v>945</v>
      </c>
      <c r="G155" s="13">
        <v>1</v>
      </c>
      <c r="H155" s="12" t="s">
        <v>51</v>
      </c>
      <c r="I155" s="12" t="s">
        <v>52</v>
      </c>
      <c r="J155" s="11">
        <v>0.57999999999999996</v>
      </c>
      <c r="K155" s="14">
        <v>0</v>
      </c>
      <c r="L155" s="14">
        <v>182.58</v>
      </c>
      <c r="M155" s="14">
        <v>182.58</v>
      </c>
      <c r="N155" s="12" t="s">
        <v>59</v>
      </c>
      <c r="O155" s="15">
        <v>45809</v>
      </c>
      <c r="P155" s="16" t="s">
        <v>441</v>
      </c>
      <c r="Q155" s="16" t="s">
        <v>443</v>
      </c>
    </row>
    <row r="156" spans="1:18">
      <c r="A156" s="12" t="s">
        <v>42</v>
      </c>
      <c r="B156" s="13">
        <v>8814784</v>
      </c>
      <c r="C156" s="12" t="s">
        <v>61</v>
      </c>
      <c r="D156" s="21" t="s">
        <v>777</v>
      </c>
      <c r="E156" s="12" t="s">
        <v>62</v>
      </c>
      <c r="F156" s="21" t="s">
        <v>916</v>
      </c>
      <c r="G156" s="13">
        <v>1</v>
      </c>
      <c r="H156" s="12" t="s">
        <v>51</v>
      </c>
      <c r="I156" s="12" t="s">
        <v>52</v>
      </c>
      <c r="J156" s="11">
        <v>0.57999999999999996</v>
      </c>
      <c r="K156" s="14">
        <v>0</v>
      </c>
      <c r="L156" s="14">
        <v>182.58</v>
      </c>
      <c r="M156" s="14">
        <v>182.58</v>
      </c>
      <c r="N156" s="12" t="s">
        <v>59</v>
      </c>
      <c r="O156" s="15">
        <v>45809</v>
      </c>
      <c r="P156" s="16" t="s">
        <v>441</v>
      </c>
      <c r="Q156" s="16" t="s">
        <v>443</v>
      </c>
    </row>
    <row r="157" spans="1:18">
      <c r="A157" s="12" t="s">
        <v>121</v>
      </c>
      <c r="B157" s="13">
        <v>16633294</v>
      </c>
      <c r="C157" s="12" t="s">
        <v>131</v>
      </c>
      <c r="D157" s="21" t="s">
        <v>782</v>
      </c>
      <c r="E157" s="12" t="s">
        <v>132</v>
      </c>
      <c r="F157" s="21" t="s">
        <v>942</v>
      </c>
      <c r="G157" s="13">
        <v>1</v>
      </c>
      <c r="H157" s="12" t="s">
        <v>51</v>
      </c>
      <c r="I157" s="12" t="s">
        <v>52</v>
      </c>
      <c r="J157" s="11">
        <v>0</v>
      </c>
      <c r="K157" s="14">
        <v>0</v>
      </c>
      <c r="L157" s="14">
        <v>495.58</v>
      </c>
      <c r="M157" s="14">
        <v>182.58</v>
      </c>
      <c r="N157" s="12" t="s">
        <v>53</v>
      </c>
      <c r="O157" s="15">
        <v>45870</v>
      </c>
      <c r="P157" s="16" t="s">
        <v>441</v>
      </c>
      <c r="Q157" s="16" t="s">
        <v>443</v>
      </c>
    </row>
    <row r="158" spans="1:18">
      <c r="A158" s="12" t="s">
        <v>147</v>
      </c>
      <c r="B158" s="13">
        <v>17126004</v>
      </c>
      <c r="C158" s="12" t="s">
        <v>154</v>
      </c>
      <c r="D158" s="21" t="s">
        <v>784</v>
      </c>
      <c r="E158" s="12" t="s">
        <v>155</v>
      </c>
      <c r="F158" s="21" t="s">
        <v>919</v>
      </c>
      <c r="G158" s="13">
        <v>1</v>
      </c>
      <c r="H158" s="12" t="s">
        <v>51</v>
      </c>
      <c r="I158" s="12" t="s">
        <v>52</v>
      </c>
      <c r="J158" s="11">
        <v>0.57999999999999996</v>
      </c>
      <c r="K158" s="14">
        <v>0</v>
      </c>
      <c r="L158" s="14">
        <v>182.58</v>
      </c>
      <c r="M158" s="14">
        <v>182.58</v>
      </c>
      <c r="N158" s="12" t="s">
        <v>59</v>
      </c>
      <c r="O158" s="15">
        <v>45809</v>
      </c>
      <c r="P158" s="16" t="s">
        <v>441</v>
      </c>
      <c r="Q158" s="16" t="s">
        <v>443</v>
      </c>
    </row>
    <row r="159" spans="1:18">
      <c r="A159" s="12" t="s">
        <v>190</v>
      </c>
      <c r="B159" s="13">
        <v>18581063</v>
      </c>
      <c r="C159" s="12" t="s">
        <v>191</v>
      </c>
      <c r="D159" s="21" t="s">
        <v>788</v>
      </c>
      <c r="E159" s="12" t="s">
        <v>192</v>
      </c>
      <c r="F159" s="21" t="s">
        <v>946</v>
      </c>
      <c r="G159" s="13">
        <v>1</v>
      </c>
      <c r="H159" s="12" t="s">
        <v>51</v>
      </c>
      <c r="I159" s="12" t="s">
        <v>75</v>
      </c>
      <c r="J159" s="11">
        <v>0.57999999999999996</v>
      </c>
      <c r="K159" s="14">
        <v>0</v>
      </c>
      <c r="L159" s="14">
        <v>182.58</v>
      </c>
      <c r="M159" s="14">
        <v>182.58</v>
      </c>
      <c r="N159" s="12" t="s">
        <v>59</v>
      </c>
      <c r="O159" s="15">
        <v>45809</v>
      </c>
      <c r="P159" s="16" t="s">
        <v>441</v>
      </c>
      <c r="Q159" s="16" t="s">
        <v>443</v>
      </c>
    </row>
    <row r="160" spans="1:18">
      <c r="A160" s="12" t="s">
        <v>147</v>
      </c>
      <c r="B160" s="13">
        <v>17126004</v>
      </c>
      <c r="C160" s="12" t="s">
        <v>151</v>
      </c>
      <c r="D160" s="21" t="s">
        <v>783</v>
      </c>
      <c r="E160" s="12" t="s">
        <v>152</v>
      </c>
      <c r="F160" s="21" t="s">
        <v>927</v>
      </c>
      <c r="G160" s="13">
        <v>1</v>
      </c>
      <c r="H160" s="12" t="s">
        <v>51</v>
      </c>
      <c r="I160" s="12" t="s">
        <v>52</v>
      </c>
      <c r="J160" s="11">
        <v>0.57999999999999996</v>
      </c>
      <c r="K160" s="14">
        <v>0</v>
      </c>
      <c r="L160" s="14">
        <v>182.58</v>
      </c>
      <c r="M160" s="14">
        <v>182.58</v>
      </c>
      <c r="N160" s="12" t="s">
        <v>59</v>
      </c>
      <c r="O160" s="15">
        <v>45809</v>
      </c>
      <c r="P160" s="16" t="s">
        <v>441</v>
      </c>
      <c r="Q160" s="16" t="s">
        <v>443</v>
      </c>
    </row>
    <row r="161" spans="1:18">
      <c r="A161" s="12" t="s">
        <v>42</v>
      </c>
      <c r="B161" s="13">
        <v>8814784</v>
      </c>
      <c r="C161" s="12" t="s">
        <v>56</v>
      </c>
      <c r="D161" s="21" t="s">
        <v>776</v>
      </c>
      <c r="E161" s="12" t="s">
        <v>57</v>
      </c>
      <c r="F161" s="21" t="s">
        <v>928</v>
      </c>
      <c r="G161" s="13">
        <v>1</v>
      </c>
      <c r="H161" s="12" t="s">
        <v>51</v>
      </c>
      <c r="I161" s="12" t="s">
        <v>52</v>
      </c>
      <c r="J161" s="11">
        <v>0.57999999999999996</v>
      </c>
      <c r="K161" s="14">
        <v>0</v>
      </c>
      <c r="L161" s="14">
        <v>182.58</v>
      </c>
      <c r="M161" s="14">
        <v>182.58</v>
      </c>
      <c r="N161" s="12" t="s">
        <v>59</v>
      </c>
      <c r="O161" s="15">
        <v>45809</v>
      </c>
      <c r="P161" s="16" t="s">
        <v>441</v>
      </c>
      <c r="Q161" s="16" t="s">
        <v>443</v>
      </c>
    </row>
    <row r="162" spans="1:18">
      <c r="A162" s="12" t="s">
        <v>160</v>
      </c>
      <c r="B162" s="13">
        <v>17301495</v>
      </c>
      <c r="C162" s="12" t="s">
        <v>161</v>
      </c>
      <c r="D162" s="21" t="s">
        <v>786</v>
      </c>
      <c r="E162" s="12" t="s">
        <v>162</v>
      </c>
      <c r="F162" s="21" t="s">
        <v>947</v>
      </c>
      <c r="G162" s="13">
        <v>1</v>
      </c>
      <c r="H162" s="12" t="s">
        <v>51</v>
      </c>
      <c r="I162" s="12" t="s">
        <v>75</v>
      </c>
      <c r="J162" s="11">
        <v>0.57999999999999996</v>
      </c>
      <c r="K162" s="14">
        <v>0</v>
      </c>
      <c r="L162" s="14">
        <v>182.58</v>
      </c>
      <c r="M162" s="14">
        <v>182.58</v>
      </c>
      <c r="N162" s="12" t="s">
        <v>59</v>
      </c>
      <c r="O162" s="15">
        <v>45809</v>
      </c>
      <c r="P162" s="16" t="s">
        <v>441</v>
      </c>
      <c r="Q162" s="16" t="s">
        <v>443</v>
      </c>
    </row>
    <row r="163" spans="1:18">
      <c r="A163" s="12" t="s">
        <v>94</v>
      </c>
      <c r="B163" s="13">
        <v>7146581</v>
      </c>
      <c r="C163" s="12" t="s">
        <v>111</v>
      </c>
      <c r="D163" s="21" t="s">
        <v>781</v>
      </c>
      <c r="E163" s="12" t="s">
        <v>112</v>
      </c>
      <c r="F163" s="21" t="s">
        <v>930</v>
      </c>
      <c r="G163" s="13">
        <v>1</v>
      </c>
      <c r="H163" s="12" t="s">
        <v>51</v>
      </c>
      <c r="I163" s="12" t="s">
        <v>52</v>
      </c>
      <c r="J163" s="11">
        <v>0.57999999999999996</v>
      </c>
      <c r="K163" s="14">
        <v>0</v>
      </c>
      <c r="L163" s="14">
        <v>182.58</v>
      </c>
      <c r="M163" s="14">
        <v>182.58</v>
      </c>
      <c r="N163" s="12" t="s">
        <v>59</v>
      </c>
      <c r="O163" s="15">
        <v>45809</v>
      </c>
      <c r="P163" s="16" t="s">
        <v>441</v>
      </c>
      <c r="Q163" s="16" t="s">
        <v>443</v>
      </c>
    </row>
    <row r="164" spans="1:18">
      <c r="A164" s="12" t="s">
        <v>202</v>
      </c>
      <c r="B164" s="13">
        <v>18754354</v>
      </c>
      <c r="C164" s="12" t="s">
        <v>206</v>
      </c>
      <c r="D164" s="21" t="s">
        <v>789</v>
      </c>
      <c r="E164" s="12" t="s">
        <v>207</v>
      </c>
      <c r="F164" s="21" t="s">
        <v>943</v>
      </c>
      <c r="G164" s="13">
        <v>1</v>
      </c>
      <c r="H164" s="12" t="s">
        <v>51</v>
      </c>
      <c r="I164" s="12" t="s">
        <v>52</v>
      </c>
      <c r="J164" s="11">
        <v>0</v>
      </c>
      <c r="K164" s="14">
        <v>0</v>
      </c>
      <c r="L164" s="14">
        <v>495.58</v>
      </c>
      <c r="M164" s="14">
        <v>182.58</v>
      </c>
      <c r="N164" s="12" t="s">
        <v>53</v>
      </c>
      <c r="O164" s="15">
        <v>45870</v>
      </c>
      <c r="P164" s="16" t="s">
        <v>441</v>
      </c>
      <c r="Q164" s="16" t="s">
        <v>443</v>
      </c>
    </row>
    <row r="165" spans="1:18">
      <c r="A165" s="12" t="s">
        <v>94</v>
      </c>
      <c r="B165" s="13">
        <v>7146581</v>
      </c>
      <c r="C165" s="12" t="s">
        <v>108</v>
      </c>
      <c r="D165" s="21" t="s">
        <v>780</v>
      </c>
      <c r="E165" s="12" t="s">
        <v>109</v>
      </c>
      <c r="F165" s="21" t="s">
        <v>933</v>
      </c>
      <c r="G165" s="13">
        <v>1</v>
      </c>
      <c r="H165" s="12" t="s">
        <v>51</v>
      </c>
      <c r="I165" s="12" t="s">
        <v>52</v>
      </c>
      <c r="J165" s="11">
        <v>0.57999999999999996</v>
      </c>
      <c r="K165" s="14">
        <v>0</v>
      </c>
      <c r="L165" s="14">
        <v>182.58</v>
      </c>
      <c r="M165" s="14">
        <v>182.58</v>
      </c>
      <c r="N165" s="12" t="s">
        <v>59</v>
      </c>
      <c r="O165" s="15">
        <v>45809</v>
      </c>
      <c r="P165" s="16" t="s">
        <v>441</v>
      </c>
      <c r="Q165" s="16" t="s">
        <v>443</v>
      </c>
    </row>
    <row r="166" spans="1:18">
      <c r="A166" s="12" t="s">
        <v>237</v>
      </c>
      <c r="B166" s="13">
        <v>16983460</v>
      </c>
      <c r="C166" s="12" t="s">
        <v>241</v>
      </c>
      <c r="D166" s="21" t="s">
        <v>792</v>
      </c>
      <c r="E166" s="12" t="s">
        <v>242</v>
      </c>
      <c r="F166" s="21" t="s">
        <v>948</v>
      </c>
      <c r="G166" s="13">
        <v>1</v>
      </c>
      <c r="H166" s="12" t="s">
        <v>51</v>
      </c>
      <c r="I166" s="12" t="s">
        <v>52</v>
      </c>
      <c r="J166" s="11">
        <v>0</v>
      </c>
      <c r="K166" s="14">
        <v>0</v>
      </c>
      <c r="L166" s="14">
        <v>182.59</v>
      </c>
      <c r="M166" s="14">
        <v>182.59</v>
      </c>
      <c r="N166" s="12" t="s">
        <v>53</v>
      </c>
      <c r="O166" s="15">
        <v>45809</v>
      </c>
      <c r="P166" s="16" t="s">
        <v>441</v>
      </c>
      <c r="Q166" s="16" t="s">
        <v>443</v>
      </c>
    </row>
    <row r="167" spans="1:18">
      <c r="A167" s="12" t="s">
        <v>237</v>
      </c>
      <c r="B167" s="13">
        <v>16983460</v>
      </c>
      <c r="C167" s="12" t="s">
        <v>238</v>
      </c>
      <c r="D167" s="21" t="s">
        <v>791</v>
      </c>
      <c r="E167" s="12" t="s">
        <v>239</v>
      </c>
      <c r="F167" s="21" t="s">
        <v>949</v>
      </c>
      <c r="G167" s="13">
        <v>1</v>
      </c>
      <c r="H167" s="12" t="s">
        <v>51</v>
      </c>
      <c r="I167" s="12" t="s">
        <v>52</v>
      </c>
      <c r="J167" s="11">
        <v>0</v>
      </c>
      <c r="K167" s="14">
        <v>0</v>
      </c>
      <c r="L167" s="14">
        <v>182.59</v>
      </c>
      <c r="M167" s="14">
        <v>182.59</v>
      </c>
      <c r="N167" s="12" t="s">
        <v>53</v>
      </c>
      <c r="O167" s="15">
        <v>45809</v>
      </c>
      <c r="P167" s="16" t="s">
        <v>441</v>
      </c>
      <c r="Q167" s="16" t="s">
        <v>443</v>
      </c>
    </row>
    <row r="168" spans="1:18">
      <c r="A168" s="12" t="s">
        <v>176</v>
      </c>
      <c r="B168" s="13">
        <v>9213293</v>
      </c>
      <c r="C168" s="12" t="s">
        <v>180</v>
      </c>
      <c r="D168" s="21" t="s">
        <v>787</v>
      </c>
      <c r="E168" s="12" t="s">
        <v>181</v>
      </c>
      <c r="F168" s="21" t="s">
        <v>950</v>
      </c>
      <c r="G168" s="13">
        <v>1</v>
      </c>
      <c r="H168" s="12" t="s">
        <v>51</v>
      </c>
      <c r="I168" s="12" t="s">
        <v>75</v>
      </c>
      <c r="J168" s="11">
        <v>0.57999999999999996</v>
      </c>
      <c r="K168" s="14">
        <v>0</v>
      </c>
      <c r="L168" s="14">
        <v>182.59</v>
      </c>
      <c r="M168" s="14">
        <v>182.59</v>
      </c>
      <c r="N168" s="12" t="s">
        <v>59</v>
      </c>
      <c r="O168" s="15">
        <v>45689</v>
      </c>
      <c r="P168" s="16" t="s">
        <v>441</v>
      </c>
      <c r="Q168" s="16" t="s">
        <v>443</v>
      </c>
    </row>
    <row r="169" spans="1:18">
      <c r="A169" s="12" t="s">
        <v>143</v>
      </c>
      <c r="B169" s="13">
        <v>16865615</v>
      </c>
      <c r="C169" s="12" t="s">
        <v>144</v>
      </c>
      <c r="D169" s="21" t="s">
        <v>803</v>
      </c>
      <c r="E169" s="12" t="s">
        <v>145</v>
      </c>
      <c r="F169" s="21" t="s">
        <v>951</v>
      </c>
      <c r="G169" s="13">
        <v>1</v>
      </c>
      <c r="H169" s="12" t="s">
        <v>51</v>
      </c>
      <c r="I169" s="12" t="s">
        <v>75</v>
      </c>
      <c r="J169" s="11">
        <v>0</v>
      </c>
      <c r="K169" s="14">
        <v>0</v>
      </c>
      <c r="L169" s="14">
        <v>208.66</v>
      </c>
      <c r="M169" s="14">
        <v>208.66</v>
      </c>
      <c r="N169" s="12" t="s">
        <v>53</v>
      </c>
      <c r="O169" s="15">
        <v>45778</v>
      </c>
      <c r="P169" s="16" t="s">
        <v>441</v>
      </c>
      <c r="Q169" s="16" t="s">
        <v>447</v>
      </c>
      <c r="R169" s="16">
        <f>313/12*8</f>
        <v>208.66666666666666</v>
      </c>
    </row>
    <row r="170" spans="1:18">
      <c r="A170" s="12" t="s">
        <v>121</v>
      </c>
      <c r="B170" s="13">
        <v>16633294</v>
      </c>
      <c r="C170" s="12" t="s">
        <v>131</v>
      </c>
      <c r="D170" s="21" t="s">
        <v>782</v>
      </c>
      <c r="E170" s="12" t="s">
        <v>132</v>
      </c>
      <c r="F170" s="21" t="s">
        <v>942</v>
      </c>
      <c r="G170" s="13">
        <v>1</v>
      </c>
      <c r="H170" s="12" t="s">
        <v>51</v>
      </c>
      <c r="I170" s="12" t="s">
        <v>52</v>
      </c>
      <c r="J170" s="11">
        <v>0</v>
      </c>
      <c r="K170" s="14">
        <v>0</v>
      </c>
      <c r="L170" s="14">
        <v>495.58</v>
      </c>
      <c r="M170" s="14">
        <v>313</v>
      </c>
      <c r="N170" s="12" t="s">
        <v>53</v>
      </c>
      <c r="O170" s="15">
        <v>45870</v>
      </c>
      <c r="P170" s="16" t="s">
        <v>441</v>
      </c>
      <c r="Q170" s="16" t="s">
        <v>451</v>
      </c>
    </row>
    <row r="171" spans="1:18">
      <c r="A171" s="12" t="s">
        <v>202</v>
      </c>
      <c r="B171" s="13">
        <v>18754354</v>
      </c>
      <c r="C171" s="12" t="s">
        <v>206</v>
      </c>
      <c r="D171" s="21" t="s">
        <v>789</v>
      </c>
      <c r="E171" s="12" t="s">
        <v>207</v>
      </c>
      <c r="F171" s="21" t="s">
        <v>943</v>
      </c>
      <c r="G171" s="13">
        <v>1</v>
      </c>
      <c r="H171" s="12" t="s">
        <v>51</v>
      </c>
      <c r="I171" s="12" t="s">
        <v>52</v>
      </c>
      <c r="J171" s="11">
        <v>0</v>
      </c>
      <c r="K171" s="14">
        <v>0</v>
      </c>
      <c r="L171" s="14">
        <v>495.58</v>
      </c>
      <c r="M171" s="14">
        <v>313</v>
      </c>
      <c r="N171" s="12" t="s">
        <v>53</v>
      </c>
      <c r="O171" s="15">
        <v>45870</v>
      </c>
      <c r="P171" s="16" t="s">
        <v>441</v>
      </c>
      <c r="Q171" s="16" t="s">
        <v>451</v>
      </c>
    </row>
    <row r="172" spans="1:18">
      <c r="A172" s="12" t="s">
        <v>335</v>
      </c>
      <c r="B172" s="13">
        <v>17528908</v>
      </c>
      <c r="C172" s="12" t="s">
        <v>358</v>
      </c>
      <c r="D172" s="21" t="s">
        <v>795</v>
      </c>
      <c r="E172" s="12" t="s">
        <v>359</v>
      </c>
      <c r="F172" s="21" t="s">
        <v>952</v>
      </c>
      <c r="G172" s="13">
        <v>1</v>
      </c>
      <c r="H172" s="12" t="s">
        <v>51</v>
      </c>
      <c r="I172" s="12" t="s">
        <v>46</v>
      </c>
      <c r="J172" s="11">
        <v>1</v>
      </c>
      <c r="K172" s="14">
        <v>130.03</v>
      </c>
      <c r="L172" s="14">
        <v>1.3</v>
      </c>
      <c r="M172" s="14">
        <v>1.3</v>
      </c>
      <c r="N172" s="12" t="s">
        <v>311</v>
      </c>
      <c r="O172" s="15">
        <v>45323</v>
      </c>
      <c r="P172" s="16" t="s">
        <v>440</v>
      </c>
    </row>
    <row r="173" spans="1:18">
      <c r="A173" s="12" t="s">
        <v>335</v>
      </c>
      <c r="B173" s="13">
        <v>17528908</v>
      </c>
      <c r="C173" s="12" t="s">
        <v>336</v>
      </c>
      <c r="D173" s="21" t="s">
        <v>794</v>
      </c>
      <c r="E173" s="12" t="s">
        <v>337</v>
      </c>
      <c r="F173" s="21" t="s">
        <v>953</v>
      </c>
      <c r="G173" s="13">
        <v>1</v>
      </c>
      <c r="H173" s="12" t="s">
        <v>51</v>
      </c>
      <c r="I173" s="12" t="s">
        <v>46</v>
      </c>
      <c r="J173" s="11">
        <v>1</v>
      </c>
      <c r="K173" s="14">
        <v>159.94999999999999</v>
      </c>
      <c r="L173" s="14">
        <v>1.6</v>
      </c>
      <c r="M173" s="14">
        <v>1.6</v>
      </c>
      <c r="N173" s="12" t="s">
        <v>311</v>
      </c>
      <c r="O173" s="15">
        <v>45170</v>
      </c>
      <c r="P173" s="16" t="s">
        <v>440</v>
      </c>
    </row>
    <row r="174" spans="1:18">
      <c r="A174" s="12" t="s">
        <v>176</v>
      </c>
      <c r="B174" s="13">
        <v>9213293</v>
      </c>
      <c r="C174" s="12" t="s">
        <v>187</v>
      </c>
      <c r="D174" s="21" t="s">
        <v>796</v>
      </c>
      <c r="E174" s="12" t="s">
        <v>188</v>
      </c>
      <c r="F174" s="21" t="s">
        <v>954</v>
      </c>
      <c r="G174" s="13">
        <v>1</v>
      </c>
      <c r="H174" s="12" t="s">
        <v>51</v>
      </c>
      <c r="I174" s="12" t="s">
        <v>171</v>
      </c>
      <c r="J174" s="11">
        <v>0.5</v>
      </c>
      <c r="K174" s="14">
        <v>27.5</v>
      </c>
      <c r="L174" s="14">
        <v>27.5</v>
      </c>
      <c r="M174" s="14">
        <v>27.5</v>
      </c>
      <c r="N174" s="12" t="s">
        <v>59</v>
      </c>
      <c r="O174" s="15">
        <v>45839</v>
      </c>
      <c r="P174" s="16" t="s">
        <v>442</v>
      </c>
    </row>
    <row r="175" spans="1:18">
      <c r="A175" s="12" t="s">
        <v>233</v>
      </c>
      <c r="B175" s="13">
        <v>19278370</v>
      </c>
      <c r="C175" s="12" t="s">
        <v>234</v>
      </c>
      <c r="D175" s="21" t="s">
        <v>802</v>
      </c>
      <c r="E175" s="12" t="s">
        <v>235</v>
      </c>
      <c r="F175" s="21" t="s">
        <v>955</v>
      </c>
      <c r="G175" s="13">
        <v>1</v>
      </c>
      <c r="H175" s="12" t="s">
        <v>51</v>
      </c>
      <c r="I175" s="12" t="s">
        <v>171</v>
      </c>
      <c r="J175" s="11">
        <v>0</v>
      </c>
      <c r="K175" s="14">
        <v>31.5</v>
      </c>
      <c r="L175" s="14">
        <v>31.5</v>
      </c>
      <c r="M175" s="14">
        <v>31.5</v>
      </c>
      <c r="N175" s="12" t="s">
        <v>53</v>
      </c>
      <c r="O175" s="15">
        <v>45809</v>
      </c>
      <c r="P175" s="16" t="s">
        <v>442</v>
      </c>
    </row>
    <row r="176" spans="1:18">
      <c r="A176" s="12" t="s">
        <v>217</v>
      </c>
      <c r="B176" s="13">
        <v>19200754</v>
      </c>
      <c r="C176" s="12" t="s">
        <v>222</v>
      </c>
      <c r="D176" s="21" t="s">
        <v>800</v>
      </c>
      <c r="E176" s="12" t="s">
        <v>223</v>
      </c>
      <c r="F176" s="21" t="s">
        <v>956</v>
      </c>
      <c r="G176" s="13">
        <v>1</v>
      </c>
      <c r="H176" s="12" t="s">
        <v>51</v>
      </c>
      <c r="I176" s="12" t="s">
        <v>171</v>
      </c>
      <c r="J176" s="11">
        <v>0</v>
      </c>
      <c r="K176" s="14">
        <v>72.33</v>
      </c>
      <c r="L176" s="14">
        <v>72.33</v>
      </c>
      <c r="M176" s="14">
        <v>72.33</v>
      </c>
      <c r="N176" s="12" t="s">
        <v>53</v>
      </c>
      <c r="O176" s="15">
        <v>45778</v>
      </c>
      <c r="P176" s="16" t="s">
        <v>442</v>
      </c>
    </row>
    <row r="177" spans="1:16">
      <c r="A177" s="12" t="s">
        <v>229</v>
      </c>
      <c r="B177" s="13">
        <v>19645587</v>
      </c>
      <c r="C177" s="12" t="s">
        <v>230</v>
      </c>
      <c r="D177" s="21" t="s">
        <v>801</v>
      </c>
      <c r="E177" s="12" t="s">
        <v>231</v>
      </c>
      <c r="F177" s="21" t="s">
        <v>957</v>
      </c>
      <c r="G177" s="13">
        <v>1</v>
      </c>
      <c r="H177" s="12" t="s">
        <v>51</v>
      </c>
      <c r="I177" s="12" t="s">
        <v>171</v>
      </c>
      <c r="J177" s="11">
        <v>0</v>
      </c>
      <c r="K177" s="14">
        <v>72.33</v>
      </c>
      <c r="L177" s="14">
        <v>72.33</v>
      </c>
      <c r="M177" s="14">
        <v>72.33</v>
      </c>
      <c r="N177" s="12" t="s">
        <v>53</v>
      </c>
      <c r="O177" s="15">
        <v>45778</v>
      </c>
      <c r="P177" s="16" t="s">
        <v>442</v>
      </c>
    </row>
    <row r="178" spans="1:16">
      <c r="A178" s="12" t="s">
        <v>209</v>
      </c>
      <c r="B178" s="13">
        <v>5442438</v>
      </c>
      <c r="C178" s="12" t="s">
        <v>210</v>
      </c>
      <c r="D178" s="21" t="s">
        <v>716</v>
      </c>
      <c r="E178" s="12" t="s">
        <v>211</v>
      </c>
      <c r="F178" s="21" t="s">
        <v>958</v>
      </c>
      <c r="G178" s="13">
        <v>1</v>
      </c>
      <c r="H178" s="12" t="s">
        <v>51</v>
      </c>
      <c r="I178" s="12" t="s">
        <v>171</v>
      </c>
      <c r="J178" s="11">
        <v>0</v>
      </c>
      <c r="K178" s="14">
        <v>76.92</v>
      </c>
      <c r="L178" s="14">
        <v>76.92</v>
      </c>
      <c r="M178" s="14">
        <v>76.92</v>
      </c>
      <c r="N178" s="12" t="s">
        <v>53</v>
      </c>
      <c r="O178" s="15">
        <v>45809</v>
      </c>
      <c r="P178" s="16" t="s">
        <v>442</v>
      </c>
    </row>
    <row r="179" spans="1:16">
      <c r="A179" s="12" t="s">
        <v>225</v>
      </c>
      <c r="B179" s="13">
        <v>18828278</v>
      </c>
      <c r="C179" s="12" t="s">
        <v>226</v>
      </c>
      <c r="D179" s="21" t="s">
        <v>721</v>
      </c>
      <c r="E179" s="12" t="s">
        <v>227</v>
      </c>
      <c r="F179" s="21" t="s">
        <v>959</v>
      </c>
      <c r="G179" s="13">
        <v>1</v>
      </c>
      <c r="H179" s="12" t="s">
        <v>51</v>
      </c>
      <c r="I179" s="12" t="s">
        <v>171</v>
      </c>
      <c r="J179" s="11">
        <v>0</v>
      </c>
      <c r="K179" s="14">
        <v>76.92</v>
      </c>
      <c r="L179" s="14">
        <v>76.92</v>
      </c>
      <c r="M179" s="14">
        <v>76.92</v>
      </c>
      <c r="N179" s="12" t="s">
        <v>53</v>
      </c>
      <c r="O179" s="15">
        <v>45809</v>
      </c>
      <c r="P179" s="16" t="s">
        <v>442</v>
      </c>
    </row>
    <row r="180" spans="1:16">
      <c r="A180" s="12" t="s">
        <v>176</v>
      </c>
      <c r="B180" s="13">
        <v>9213293</v>
      </c>
      <c r="C180" s="12" t="s">
        <v>184</v>
      </c>
      <c r="D180" s="21" t="s">
        <v>798</v>
      </c>
      <c r="E180" s="12" t="s">
        <v>185</v>
      </c>
      <c r="F180" s="21" t="s">
        <v>960</v>
      </c>
      <c r="G180" s="13">
        <v>1</v>
      </c>
      <c r="H180" s="12" t="s">
        <v>51</v>
      </c>
      <c r="I180" s="12" t="s">
        <v>171</v>
      </c>
      <c r="J180" s="11">
        <v>0</v>
      </c>
      <c r="K180" s="14">
        <v>76.92</v>
      </c>
      <c r="L180" s="14">
        <v>76.92</v>
      </c>
      <c r="M180" s="14">
        <v>76.92</v>
      </c>
      <c r="N180" s="12" t="s">
        <v>53</v>
      </c>
      <c r="O180" s="15">
        <v>45809</v>
      </c>
      <c r="P180" s="16" t="s">
        <v>442</v>
      </c>
    </row>
    <row r="181" spans="1:16">
      <c r="A181" s="12" t="s">
        <v>194</v>
      </c>
      <c r="B181" s="13">
        <v>18794740</v>
      </c>
      <c r="C181" s="12" t="s">
        <v>195</v>
      </c>
      <c r="D181" s="21" t="s">
        <v>799</v>
      </c>
      <c r="E181" s="12" t="s">
        <v>196</v>
      </c>
      <c r="F181" s="21" t="s">
        <v>961</v>
      </c>
      <c r="G181" s="13">
        <v>1</v>
      </c>
      <c r="H181" s="12" t="s">
        <v>51</v>
      </c>
      <c r="I181" s="12" t="s">
        <v>171</v>
      </c>
      <c r="J181" s="11">
        <v>0</v>
      </c>
      <c r="K181" s="14">
        <v>81.5</v>
      </c>
      <c r="L181" s="14">
        <v>81.5</v>
      </c>
      <c r="M181" s="14">
        <v>81.5</v>
      </c>
      <c r="N181" s="12" t="s">
        <v>53</v>
      </c>
      <c r="O181" s="15">
        <v>45839</v>
      </c>
      <c r="P181" s="16" t="s">
        <v>442</v>
      </c>
    </row>
    <row r="182" spans="1:16">
      <c r="A182" s="12" t="s">
        <v>167</v>
      </c>
      <c r="B182" s="13">
        <v>17425766</v>
      </c>
      <c r="C182" s="12" t="s">
        <v>168</v>
      </c>
      <c r="D182" s="21" t="s">
        <v>797</v>
      </c>
      <c r="E182" s="12" t="s">
        <v>169</v>
      </c>
      <c r="F182" s="21" t="s">
        <v>962</v>
      </c>
      <c r="G182" s="13">
        <v>1</v>
      </c>
      <c r="H182" s="12" t="s">
        <v>51</v>
      </c>
      <c r="I182" s="12" t="s">
        <v>171</v>
      </c>
      <c r="J182" s="11">
        <v>0</v>
      </c>
      <c r="K182" s="14">
        <v>86.08</v>
      </c>
      <c r="L182" s="14">
        <v>86.08</v>
      </c>
      <c r="M182" s="14">
        <v>86.08</v>
      </c>
      <c r="N182" s="12" t="s">
        <v>53</v>
      </c>
      <c r="O182" s="15">
        <v>45870</v>
      </c>
      <c r="P182" s="16" t="s">
        <v>442</v>
      </c>
    </row>
  </sheetData>
  <sortState xmlns:xlrd2="http://schemas.microsoft.com/office/spreadsheetml/2017/richdata2" ref="A2:AS182">
    <sortCondition ref="P2:P182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1CF02-4605-48CC-99EE-7823F5874E1D}">
  <dimension ref="A1:G181"/>
  <sheetViews>
    <sheetView topLeftCell="A138" workbookViewId="0">
      <selection activeCell="B1" sqref="B1:B181"/>
    </sheetView>
  </sheetViews>
  <sheetFormatPr defaultRowHeight="13.2"/>
  <cols>
    <col min="1" max="1" width="13.44140625" bestFit="1" customWidth="1"/>
    <col min="2" max="2" width="18.88671875" customWidth="1"/>
    <col min="4" max="4" width="30.44140625" bestFit="1" customWidth="1"/>
    <col min="5" max="5" width="13.77734375" bestFit="1" customWidth="1"/>
    <col min="7" max="7" width="23.44140625" customWidth="1"/>
  </cols>
  <sheetData>
    <row r="1" spans="1:7">
      <c r="A1" s="18" t="s">
        <v>165</v>
      </c>
      <c r="B1" t="str">
        <f>_xlfn.CONCAT(A1,7)</f>
        <v>00023373372K7</v>
      </c>
      <c r="D1" s="9" t="s">
        <v>459</v>
      </c>
      <c r="E1" t="s">
        <v>460</v>
      </c>
      <c r="F1" t="s">
        <v>118</v>
      </c>
      <c r="G1" t="str">
        <f>_xlfn.CONCAT(E1, " ",D1)</f>
        <v>JOHN KELLY</v>
      </c>
    </row>
    <row r="2" spans="1:7">
      <c r="A2" s="18" t="s">
        <v>92</v>
      </c>
      <c r="B2" t="str">
        <f t="shared" ref="B2:B29" si="0">_xlfn.CONCAT(A2,7)</f>
        <v>00023336024K7</v>
      </c>
      <c r="D2" s="9" t="s">
        <v>461</v>
      </c>
      <c r="E2" t="s">
        <v>462</v>
      </c>
      <c r="G2" t="str">
        <f t="shared" ref="G2:G65" si="1">_xlfn.CONCAT(E2, " ",D2)</f>
        <v>ROSAANNA BRANDON</v>
      </c>
    </row>
    <row r="3" spans="1:7">
      <c r="A3" s="18" t="s">
        <v>62</v>
      </c>
      <c r="B3" t="str">
        <f t="shared" si="0"/>
        <v>00023380373K7</v>
      </c>
      <c r="D3" s="9" t="s">
        <v>463</v>
      </c>
      <c r="E3" t="s">
        <v>464</v>
      </c>
      <c r="G3" t="str">
        <f t="shared" si="1"/>
        <v>ALBERT SAGGESE</v>
      </c>
    </row>
    <row r="4" spans="1:7">
      <c r="A4" s="18" t="s">
        <v>44</v>
      </c>
      <c r="B4" t="str">
        <f t="shared" si="0"/>
        <v>00023362985K7</v>
      </c>
      <c r="D4" s="9" t="s">
        <v>465</v>
      </c>
      <c r="E4" t="s">
        <v>466</v>
      </c>
      <c r="F4" t="s">
        <v>467</v>
      </c>
      <c r="G4" t="str">
        <f t="shared" si="1"/>
        <v>CONNIE MCCUMSEY</v>
      </c>
    </row>
    <row r="5" spans="1:7">
      <c r="A5" s="18" t="s">
        <v>106</v>
      </c>
      <c r="B5" t="str">
        <f t="shared" si="0"/>
        <v>00023375098K7</v>
      </c>
      <c r="D5" s="9" t="s">
        <v>468</v>
      </c>
      <c r="E5" t="s">
        <v>469</v>
      </c>
      <c r="F5" t="s">
        <v>470</v>
      </c>
      <c r="G5" t="str">
        <f t="shared" si="1"/>
        <v>DONNA PETERSON</v>
      </c>
    </row>
    <row r="6" spans="1:7">
      <c r="A6" s="18" t="s">
        <v>129</v>
      </c>
      <c r="B6" t="str">
        <f t="shared" si="0"/>
        <v>00023358106K7</v>
      </c>
      <c r="D6" s="9" t="s">
        <v>471</v>
      </c>
      <c r="E6" t="s">
        <v>472</v>
      </c>
      <c r="F6" t="s">
        <v>473</v>
      </c>
      <c r="G6" t="str">
        <f t="shared" si="1"/>
        <v>JULIE ENK</v>
      </c>
    </row>
    <row r="7" spans="1:7">
      <c r="A7" s="18" t="s">
        <v>155</v>
      </c>
      <c r="B7" t="str">
        <f t="shared" si="0"/>
        <v>00023381691K7</v>
      </c>
      <c r="D7" s="9" t="s">
        <v>474</v>
      </c>
      <c r="E7" t="s">
        <v>475</v>
      </c>
      <c r="F7" t="s">
        <v>476</v>
      </c>
      <c r="G7" t="str">
        <f t="shared" si="1"/>
        <v>JOYCE KOSS</v>
      </c>
    </row>
    <row r="8" spans="1:7">
      <c r="A8" s="18" t="s">
        <v>204</v>
      </c>
      <c r="B8" t="str">
        <f t="shared" si="0"/>
        <v>00023334479K7</v>
      </c>
      <c r="D8" s="9" t="s">
        <v>474</v>
      </c>
      <c r="E8" t="s">
        <v>477</v>
      </c>
      <c r="F8" t="s">
        <v>470</v>
      </c>
      <c r="G8" t="str">
        <f t="shared" si="1"/>
        <v>WILLIAM KOSS</v>
      </c>
    </row>
    <row r="9" spans="1:7">
      <c r="A9" s="18" t="s">
        <v>100</v>
      </c>
      <c r="B9" t="str">
        <f t="shared" si="0"/>
        <v>00023317598K7</v>
      </c>
      <c r="D9" s="9" t="s">
        <v>478</v>
      </c>
      <c r="E9" t="s">
        <v>479</v>
      </c>
      <c r="F9" t="s">
        <v>480</v>
      </c>
      <c r="G9" t="str">
        <f t="shared" si="1"/>
        <v>ANNE ROBOTHAM</v>
      </c>
    </row>
    <row r="10" spans="1:7">
      <c r="A10" s="18" t="s">
        <v>82</v>
      </c>
      <c r="B10" t="str">
        <f t="shared" si="0"/>
        <v>00023317944K7</v>
      </c>
      <c r="D10" s="9" t="s">
        <v>481</v>
      </c>
      <c r="E10" t="s">
        <v>482</v>
      </c>
      <c r="F10" t="s">
        <v>483</v>
      </c>
      <c r="G10" t="str">
        <f t="shared" si="1"/>
        <v>RICHARD HANCOCK</v>
      </c>
    </row>
    <row r="11" spans="1:7">
      <c r="A11" s="18" t="s">
        <v>69</v>
      </c>
      <c r="B11" t="str">
        <f t="shared" si="0"/>
        <v>00023363788K7</v>
      </c>
      <c r="D11" s="9" t="s">
        <v>484</v>
      </c>
      <c r="E11" t="s">
        <v>485</v>
      </c>
      <c r="F11" t="s">
        <v>486</v>
      </c>
      <c r="G11" t="str">
        <f t="shared" si="1"/>
        <v>MICHAEL ASHTON</v>
      </c>
    </row>
    <row r="12" spans="1:7">
      <c r="A12" s="18" t="s">
        <v>174</v>
      </c>
      <c r="B12" t="str">
        <f t="shared" si="0"/>
        <v>00023330781K7</v>
      </c>
      <c r="D12" s="9" t="s">
        <v>487</v>
      </c>
      <c r="E12" t="s">
        <v>488</v>
      </c>
      <c r="F12" t="s">
        <v>489</v>
      </c>
      <c r="G12" t="str">
        <f t="shared" si="1"/>
        <v>ANTONIA ULRICH</v>
      </c>
    </row>
    <row r="13" spans="1:7">
      <c r="A13" s="18" t="s">
        <v>78</v>
      </c>
      <c r="B13" t="str">
        <f t="shared" si="0"/>
        <v>00022397306K7</v>
      </c>
      <c r="D13" s="9" t="s">
        <v>490</v>
      </c>
      <c r="E13" t="s">
        <v>491</v>
      </c>
      <c r="F13" t="s">
        <v>483</v>
      </c>
      <c r="G13" t="str">
        <f t="shared" si="1"/>
        <v>ROBIN SHUTT</v>
      </c>
    </row>
    <row r="14" spans="1:7">
      <c r="A14" s="18" t="s">
        <v>137</v>
      </c>
      <c r="B14" t="str">
        <f t="shared" si="0"/>
        <v>00023364862K7</v>
      </c>
      <c r="D14" s="9" t="s">
        <v>492</v>
      </c>
      <c r="E14" t="s">
        <v>493</v>
      </c>
      <c r="F14" t="s">
        <v>483</v>
      </c>
      <c r="G14" t="str">
        <f t="shared" si="1"/>
        <v>TERRY KOLB</v>
      </c>
    </row>
    <row r="15" spans="1:7">
      <c r="A15" s="18" t="s">
        <v>126</v>
      </c>
      <c r="B15" t="str">
        <f t="shared" si="0"/>
        <v>00023345760K7</v>
      </c>
      <c r="D15" s="9" t="s">
        <v>494</v>
      </c>
      <c r="E15" t="s">
        <v>495</v>
      </c>
      <c r="F15" t="s">
        <v>473</v>
      </c>
      <c r="G15" t="str">
        <f t="shared" si="1"/>
        <v>THERESA BIGLEN</v>
      </c>
    </row>
    <row r="16" spans="1:7">
      <c r="A16" s="18" t="s">
        <v>152</v>
      </c>
      <c r="B16" t="str">
        <f t="shared" si="0"/>
        <v>00023376956K7</v>
      </c>
      <c r="D16" s="9" t="s">
        <v>496</v>
      </c>
      <c r="E16" t="s">
        <v>497</v>
      </c>
      <c r="F16" t="s">
        <v>118</v>
      </c>
      <c r="G16" t="str">
        <f t="shared" si="1"/>
        <v>KRYSTAL TRIPP</v>
      </c>
    </row>
    <row r="17" spans="1:7">
      <c r="A17" s="18" t="s">
        <v>57</v>
      </c>
      <c r="B17" t="str">
        <f t="shared" si="0"/>
        <v>00023380372K7</v>
      </c>
      <c r="D17" s="9" t="s">
        <v>498</v>
      </c>
      <c r="E17" t="s">
        <v>499</v>
      </c>
      <c r="F17" t="s">
        <v>470</v>
      </c>
      <c r="G17" t="str">
        <f t="shared" si="1"/>
        <v>BRIAN HANSEN</v>
      </c>
    </row>
    <row r="18" spans="1:7">
      <c r="A18" s="18" t="s">
        <v>246</v>
      </c>
      <c r="B18" t="str">
        <f t="shared" si="0"/>
        <v>00023322186K7</v>
      </c>
      <c r="D18" s="9" t="s">
        <v>500</v>
      </c>
      <c r="E18" t="s">
        <v>501</v>
      </c>
      <c r="F18" t="s">
        <v>473</v>
      </c>
      <c r="G18" t="str">
        <f t="shared" si="1"/>
        <v>DALE STUDEBAKER</v>
      </c>
    </row>
    <row r="19" spans="1:7">
      <c r="A19" s="18" t="s">
        <v>149</v>
      </c>
      <c r="B19" t="str">
        <f t="shared" si="0"/>
        <v>00023351659K7</v>
      </c>
      <c r="D19" s="9" t="s">
        <v>502</v>
      </c>
      <c r="E19" t="s">
        <v>482</v>
      </c>
      <c r="F19" t="s">
        <v>473</v>
      </c>
      <c r="G19" t="str">
        <f t="shared" si="1"/>
        <v>RICHARD SLEIGHT</v>
      </c>
    </row>
    <row r="20" spans="1:7">
      <c r="A20" s="18" t="s">
        <v>96</v>
      </c>
      <c r="B20" t="str">
        <f t="shared" si="0"/>
        <v>00023312563K7</v>
      </c>
      <c r="D20" s="9" t="s">
        <v>503</v>
      </c>
      <c r="E20" t="s">
        <v>504</v>
      </c>
      <c r="F20" t="s">
        <v>118</v>
      </c>
      <c r="G20" t="str">
        <f t="shared" si="1"/>
        <v>ROBERT SHAW</v>
      </c>
    </row>
    <row r="21" spans="1:7">
      <c r="A21" s="18" t="s">
        <v>112</v>
      </c>
      <c r="B21" t="str">
        <f t="shared" si="0"/>
        <v>00023379399K7</v>
      </c>
      <c r="D21" s="9" t="s">
        <v>505</v>
      </c>
      <c r="E21" t="s">
        <v>506</v>
      </c>
      <c r="F21" t="s">
        <v>470</v>
      </c>
      <c r="G21" t="str">
        <f t="shared" si="1"/>
        <v>LAURIE ROUND</v>
      </c>
    </row>
    <row r="22" spans="1:7">
      <c r="A22" s="18" t="s">
        <v>66</v>
      </c>
      <c r="B22" t="str">
        <f t="shared" si="0"/>
        <v>00023326681K7</v>
      </c>
      <c r="D22" s="9" t="s">
        <v>507</v>
      </c>
      <c r="E22" t="s">
        <v>508</v>
      </c>
      <c r="F22" t="s">
        <v>480</v>
      </c>
      <c r="G22" t="str">
        <f t="shared" si="1"/>
        <v>BONNIE VAGNONI</v>
      </c>
    </row>
    <row r="23" spans="1:7">
      <c r="A23" s="18" t="s">
        <v>123</v>
      </c>
      <c r="B23" t="str">
        <f t="shared" si="0"/>
        <v>00023312872K7</v>
      </c>
      <c r="D23" s="9" t="s">
        <v>509</v>
      </c>
      <c r="E23" t="s">
        <v>510</v>
      </c>
      <c r="F23" t="s">
        <v>470</v>
      </c>
      <c r="G23" t="str">
        <f t="shared" si="1"/>
        <v>BARBARA CRAIG</v>
      </c>
    </row>
    <row r="24" spans="1:7">
      <c r="A24" s="18" t="s">
        <v>215</v>
      </c>
      <c r="B24" t="str">
        <f t="shared" si="0"/>
        <v>00023340223K7</v>
      </c>
      <c r="D24" s="9" t="s">
        <v>509</v>
      </c>
      <c r="E24" t="s">
        <v>511</v>
      </c>
      <c r="F24" t="s">
        <v>489</v>
      </c>
      <c r="G24" t="str">
        <f t="shared" si="1"/>
        <v>DONALD CRAIG</v>
      </c>
    </row>
    <row r="25" spans="1:7">
      <c r="A25" s="18" t="s">
        <v>109</v>
      </c>
      <c r="B25" t="str">
        <f t="shared" si="0"/>
        <v>00023376879K7</v>
      </c>
      <c r="D25" s="9" t="s">
        <v>512</v>
      </c>
      <c r="E25" t="s">
        <v>513</v>
      </c>
      <c r="F25" t="s">
        <v>473</v>
      </c>
      <c r="G25" t="str">
        <f t="shared" si="1"/>
        <v>DENISE BARNER</v>
      </c>
    </row>
    <row r="26" spans="1:7">
      <c r="A26" s="18" t="s">
        <v>178</v>
      </c>
      <c r="B26" t="str">
        <f t="shared" si="0"/>
        <v>00000646024D7</v>
      </c>
      <c r="D26" s="9" t="s">
        <v>459</v>
      </c>
      <c r="E26" t="s">
        <v>514</v>
      </c>
      <c r="F26" t="s">
        <v>483</v>
      </c>
      <c r="G26" t="str">
        <f t="shared" si="1"/>
        <v>DARCY KELLY</v>
      </c>
    </row>
    <row r="27" spans="1:7">
      <c r="A27" s="18" t="s">
        <v>86</v>
      </c>
      <c r="B27" t="str">
        <f t="shared" si="0"/>
        <v>00023362643K7</v>
      </c>
      <c r="D27" s="9" t="s">
        <v>515</v>
      </c>
      <c r="E27" t="s">
        <v>516</v>
      </c>
      <c r="F27" t="s">
        <v>476</v>
      </c>
      <c r="G27" t="str">
        <f t="shared" si="1"/>
        <v>LYNNE HARPER</v>
      </c>
    </row>
    <row r="28" spans="1:7">
      <c r="A28" s="18" t="s">
        <v>103</v>
      </c>
      <c r="B28" t="str">
        <f t="shared" si="0"/>
        <v>00023338585K7</v>
      </c>
      <c r="D28" s="9" t="s">
        <v>517</v>
      </c>
      <c r="E28" t="s">
        <v>491</v>
      </c>
      <c r="F28" t="s">
        <v>476</v>
      </c>
      <c r="G28" t="str">
        <f t="shared" si="1"/>
        <v>ROBIN GILDEN</v>
      </c>
    </row>
    <row r="29" spans="1:7">
      <c r="A29" s="18" t="s">
        <v>141</v>
      </c>
      <c r="B29" t="str">
        <f t="shared" si="0"/>
        <v>00023316519K7</v>
      </c>
      <c r="D29" s="9" t="s">
        <v>518</v>
      </c>
      <c r="E29" t="s">
        <v>519</v>
      </c>
      <c r="F29" t="s">
        <v>480</v>
      </c>
      <c r="G29" t="str">
        <f t="shared" si="1"/>
        <v>MAUREEN REBMANN</v>
      </c>
    </row>
    <row r="30" spans="1:7">
      <c r="A30" s="24" t="s">
        <v>141</v>
      </c>
      <c r="B30" t="str">
        <f>_xlfn.CONCAT(A30,6)</f>
        <v>00023316519K6</v>
      </c>
      <c r="D30" s="9" t="s">
        <v>518</v>
      </c>
      <c r="E30" t="s">
        <v>520</v>
      </c>
      <c r="F30" t="s">
        <v>521</v>
      </c>
      <c r="G30" t="str">
        <f t="shared" si="1"/>
        <v>EDWARD REBMANN</v>
      </c>
    </row>
    <row r="31" spans="1:7">
      <c r="A31" s="18" t="s">
        <v>199</v>
      </c>
      <c r="B31" t="str">
        <f>_xlfn.CONCAT(A31,7)</f>
        <v>00023364263K7</v>
      </c>
      <c r="D31" s="9" t="s">
        <v>522</v>
      </c>
      <c r="E31" t="s">
        <v>523</v>
      </c>
      <c r="F31" t="s">
        <v>473</v>
      </c>
      <c r="G31" t="str">
        <f t="shared" si="1"/>
        <v>DAVID SCISCIANI</v>
      </c>
    </row>
    <row r="32" spans="1:7">
      <c r="A32" s="24" t="s">
        <v>199</v>
      </c>
      <c r="B32" t="str">
        <f>_xlfn.CONCAT(A32,6)</f>
        <v>00023364263K6</v>
      </c>
      <c r="D32" s="9" t="s">
        <v>524</v>
      </c>
      <c r="E32" t="s">
        <v>525</v>
      </c>
      <c r="F32" t="s">
        <v>473</v>
      </c>
      <c r="G32" t="str">
        <f t="shared" si="1"/>
        <v>DEBRA WILLIAMS</v>
      </c>
    </row>
    <row r="33" spans="1:7">
      <c r="A33" s="26" t="s">
        <v>357</v>
      </c>
      <c r="B33" t="str">
        <f t="shared" ref="B33:B83" si="2">_xlfn.CONCAT(A33,8)</f>
        <v>00000801899A8</v>
      </c>
      <c r="D33" s="9" t="s">
        <v>526</v>
      </c>
      <c r="E33" t="s">
        <v>527</v>
      </c>
      <c r="F33" t="s">
        <v>480</v>
      </c>
      <c r="G33" t="str">
        <f t="shared" si="1"/>
        <v>LISA GRESS</v>
      </c>
    </row>
    <row r="34" spans="1:7">
      <c r="A34" s="26" t="s">
        <v>339</v>
      </c>
      <c r="B34" t="str">
        <f t="shared" si="2"/>
        <v>00000770425A8</v>
      </c>
      <c r="D34" s="9" t="s">
        <v>528</v>
      </c>
      <c r="E34" t="s">
        <v>477</v>
      </c>
      <c r="F34" t="s">
        <v>470</v>
      </c>
      <c r="G34" t="str">
        <f t="shared" si="1"/>
        <v>WILLIAM MOMEYER</v>
      </c>
    </row>
    <row r="35" spans="1:7">
      <c r="A35" s="26" t="s">
        <v>389</v>
      </c>
      <c r="B35" t="str">
        <f t="shared" si="2"/>
        <v>00000803433A8</v>
      </c>
      <c r="D35" s="9" t="s">
        <v>529</v>
      </c>
      <c r="E35" t="s">
        <v>530</v>
      </c>
      <c r="F35" t="s">
        <v>473</v>
      </c>
      <c r="G35" t="str">
        <f t="shared" si="1"/>
        <v>SHERRY RICCI</v>
      </c>
    </row>
    <row r="36" spans="1:7">
      <c r="A36" s="26" t="s">
        <v>391</v>
      </c>
      <c r="B36" t="str">
        <f t="shared" si="2"/>
        <v>00000822114A8</v>
      </c>
      <c r="D36" s="9" t="s">
        <v>512</v>
      </c>
      <c r="E36" t="s">
        <v>531</v>
      </c>
      <c r="F36" t="s">
        <v>480</v>
      </c>
      <c r="G36" t="str">
        <f t="shared" si="1"/>
        <v>JAMES BARNER</v>
      </c>
    </row>
    <row r="37" spans="1:7">
      <c r="A37" s="26" t="s">
        <v>369</v>
      </c>
      <c r="B37" t="str">
        <f t="shared" si="2"/>
        <v>00000838223A8</v>
      </c>
      <c r="D37" s="9" t="s">
        <v>532</v>
      </c>
      <c r="E37" t="s">
        <v>533</v>
      </c>
      <c r="G37" t="str">
        <f t="shared" si="1"/>
        <v>PHILIP SZOST</v>
      </c>
    </row>
    <row r="38" spans="1:7">
      <c r="A38" s="26" t="s">
        <v>387</v>
      </c>
      <c r="B38" t="str">
        <f t="shared" si="2"/>
        <v>00000803303A8</v>
      </c>
      <c r="D38" s="9" t="s">
        <v>534</v>
      </c>
      <c r="E38" t="s">
        <v>535</v>
      </c>
      <c r="F38" t="s">
        <v>470</v>
      </c>
      <c r="G38" t="str">
        <f t="shared" si="1"/>
        <v>LESLIE NEWMAN</v>
      </c>
    </row>
    <row r="39" spans="1:7">
      <c r="A39" s="26" t="s">
        <v>395</v>
      </c>
      <c r="B39" t="str">
        <f t="shared" si="2"/>
        <v>00000836551A8</v>
      </c>
      <c r="D39" s="9" t="s">
        <v>536</v>
      </c>
      <c r="E39" t="s">
        <v>537</v>
      </c>
      <c r="F39" t="s">
        <v>538</v>
      </c>
      <c r="G39" t="str">
        <f t="shared" si="1"/>
        <v>ELAINE GREGORY</v>
      </c>
    </row>
    <row r="40" spans="1:7">
      <c r="A40" s="26" t="s">
        <v>345</v>
      </c>
      <c r="B40" t="str">
        <f t="shared" si="2"/>
        <v>00000775340A8</v>
      </c>
      <c r="D40" s="9" t="s">
        <v>524</v>
      </c>
      <c r="E40" t="s">
        <v>539</v>
      </c>
      <c r="F40" t="s">
        <v>540</v>
      </c>
      <c r="G40" t="str">
        <f t="shared" si="1"/>
        <v>MARJORIE WILLIAMS</v>
      </c>
    </row>
    <row r="41" spans="1:7">
      <c r="A41" s="26" t="s">
        <v>361</v>
      </c>
      <c r="B41" t="str">
        <f t="shared" si="2"/>
        <v>00000809128A8</v>
      </c>
      <c r="D41" s="9" t="s">
        <v>524</v>
      </c>
      <c r="E41" t="s">
        <v>541</v>
      </c>
      <c r="F41" t="s">
        <v>118</v>
      </c>
      <c r="G41" t="str">
        <f t="shared" si="1"/>
        <v>DENNIS WILLIAMS</v>
      </c>
    </row>
    <row r="42" spans="1:7">
      <c r="A42" s="26" t="s">
        <v>343</v>
      </c>
      <c r="B42" t="str">
        <f t="shared" si="2"/>
        <v>00000770807A8</v>
      </c>
      <c r="D42" s="9" t="s">
        <v>542</v>
      </c>
      <c r="E42" t="s">
        <v>504</v>
      </c>
      <c r="F42" t="s">
        <v>543</v>
      </c>
      <c r="G42" t="str">
        <f t="shared" si="1"/>
        <v>ROBERT BRISTEL</v>
      </c>
    </row>
    <row r="43" spans="1:7">
      <c r="A43" s="26" t="s">
        <v>363</v>
      </c>
      <c r="B43" t="str">
        <f t="shared" si="2"/>
        <v>00000810902A8</v>
      </c>
      <c r="D43" s="9" t="s">
        <v>544</v>
      </c>
      <c r="E43" t="s">
        <v>545</v>
      </c>
      <c r="F43" t="s">
        <v>546</v>
      </c>
      <c r="G43" t="str">
        <f t="shared" si="1"/>
        <v>SEAN COSGROVE</v>
      </c>
    </row>
    <row r="44" spans="1:7">
      <c r="A44" s="26" t="s">
        <v>347</v>
      </c>
      <c r="B44" t="str">
        <f t="shared" si="2"/>
        <v>00000776436A8</v>
      </c>
      <c r="D44" s="9" t="s">
        <v>547</v>
      </c>
      <c r="E44" t="s">
        <v>548</v>
      </c>
      <c r="F44" t="s">
        <v>483</v>
      </c>
      <c r="G44" t="str">
        <f t="shared" si="1"/>
        <v>CINDY FATSIS</v>
      </c>
    </row>
    <row r="45" spans="1:7">
      <c r="A45" s="26" t="s">
        <v>367</v>
      </c>
      <c r="B45" t="str">
        <f t="shared" si="2"/>
        <v>00000825606A8</v>
      </c>
      <c r="D45" s="9" t="s">
        <v>549</v>
      </c>
      <c r="E45" t="s">
        <v>550</v>
      </c>
      <c r="F45" t="s">
        <v>480</v>
      </c>
      <c r="G45" t="str">
        <f t="shared" si="1"/>
        <v>KEVIN THOMPSON</v>
      </c>
    </row>
    <row r="46" spans="1:7">
      <c r="A46" s="26" t="s">
        <v>341</v>
      </c>
      <c r="B46" t="str">
        <f t="shared" si="2"/>
        <v>00000770562A8</v>
      </c>
      <c r="D46" s="9" t="s">
        <v>551</v>
      </c>
      <c r="E46" t="s">
        <v>552</v>
      </c>
      <c r="F46" t="s">
        <v>473</v>
      </c>
      <c r="G46" t="str">
        <f t="shared" si="1"/>
        <v>JEROME EDWARDS</v>
      </c>
    </row>
    <row r="47" spans="1:7">
      <c r="A47" s="26" t="s">
        <v>351</v>
      </c>
      <c r="B47" t="str">
        <f t="shared" si="2"/>
        <v>00000784750A8</v>
      </c>
      <c r="D47" s="9" t="s">
        <v>553</v>
      </c>
      <c r="E47" t="s">
        <v>525</v>
      </c>
      <c r="F47" t="s">
        <v>473</v>
      </c>
      <c r="G47" t="str">
        <f t="shared" si="1"/>
        <v>DEBRA BECK</v>
      </c>
    </row>
    <row r="48" spans="1:7">
      <c r="A48" s="26" t="s">
        <v>371</v>
      </c>
      <c r="B48" t="str">
        <f t="shared" si="2"/>
        <v>00000840020A8</v>
      </c>
      <c r="D48" s="9" t="s">
        <v>554</v>
      </c>
      <c r="E48" t="s">
        <v>555</v>
      </c>
      <c r="F48" t="s">
        <v>473</v>
      </c>
      <c r="G48" t="str">
        <f t="shared" si="1"/>
        <v>ELIZABETH PARADIS</v>
      </c>
    </row>
    <row r="49" spans="1:7">
      <c r="A49" s="26" t="s">
        <v>365</v>
      </c>
      <c r="B49" t="str">
        <f t="shared" si="2"/>
        <v>00000812465A8</v>
      </c>
      <c r="D49" s="9" t="s">
        <v>556</v>
      </c>
      <c r="E49" t="s">
        <v>557</v>
      </c>
      <c r="F49" t="s">
        <v>521</v>
      </c>
      <c r="G49" t="str">
        <f t="shared" si="1"/>
        <v>STEVE MOFFAT</v>
      </c>
    </row>
    <row r="50" spans="1:7">
      <c r="A50" s="26" t="s">
        <v>353</v>
      </c>
      <c r="B50" t="str">
        <f t="shared" si="2"/>
        <v>00000786056A8</v>
      </c>
      <c r="D50" s="9" t="s">
        <v>558</v>
      </c>
      <c r="E50" t="s">
        <v>559</v>
      </c>
      <c r="F50" t="s">
        <v>560</v>
      </c>
      <c r="G50" t="str">
        <f t="shared" si="1"/>
        <v>NORMA KEPHART</v>
      </c>
    </row>
    <row r="51" spans="1:7">
      <c r="A51" s="26" t="s">
        <v>349</v>
      </c>
      <c r="B51" t="str">
        <f t="shared" si="2"/>
        <v>00000777658A8</v>
      </c>
      <c r="D51" s="9" t="s">
        <v>561</v>
      </c>
      <c r="E51" t="s">
        <v>562</v>
      </c>
      <c r="G51" t="str">
        <f t="shared" si="1"/>
        <v>ESTEBAN CARBAJAL</v>
      </c>
    </row>
    <row r="52" spans="1:7">
      <c r="A52" s="26" t="s">
        <v>355</v>
      </c>
      <c r="B52" t="str">
        <f t="shared" si="2"/>
        <v>00000790321A8</v>
      </c>
      <c r="D52" s="7" t="s">
        <v>563</v>
      </c>
      <c r="E52" t="s">
        <v>564</v>
      </c>
      <c r="G52" t="str">
        <f t="shared" si="1"/>
        <v>Michael Baker</v>
      </c>
    </row>
    <row r="53" spans="1:7">
      <c r="A53" s="26" t="s">
        <v>393</v>
      </c>
      <c r="B53" t="str">
        <f t="shared" si="2"/>
        <v>00000822229A8</v>
      </c>
      <c r="D53" s="7" t="s">
        <v>565</v>
      </c>
      <c r="E53" t="s">
        <v>566</v>
      </c>
      <c r="G53" t="str">
        <f t="shared" si="1"/>
        <v>Janine Petrovic</v>
      </c>
    </row>
    <row r="54" spans="1:7">
      <c r="A54" s="26" t="s">
        <v>428</v>
      </c>
      <c r="B54" t="str">
        <f t="shared" si="2"/>
        <v>00000836012A8</v>
      </c>
      <c r="D54" s="7" t="s">
        <v>567</v>
      </c>
      <c r="E54" t="s">
        <v>568</v>
      </c>
      <c r="G54" t="str">
        <f t="shared" si="1"/>
        <v>Carla Finlen</v>
      </c>
    </row>
    <row r="55" spans="1:7">
      <c r="A55" s="26" t="s">
        <v>316</v>
      </c>
      <c r="B55" t="str">
        <f t="shared" si="2"/>
        <v>00000795448A8</v>
      </c>
      <c r="D55" s="7" t="s">
        <v>569</v>
      </c>
      <c r="E55" t="s">
        <v>570</v>
      </c>
      <c r="G55" t="str">
        <f t="shared" si="1"/>
        <v>Larry Taylor</v>
      </c>
    </row>
    <row r="56" spans="1:7">
      <c r="A56" s="26" t="s">
        <v>310</v>
      </c>
      <c r="B56" t="str">
        <f t="shared" si="2"/>
        <v>00000770493A8</v>
      </c>
      <c r="D56" s="7" t="s">
        <v>571</v>
      </c>
      <c r="E56" t="s">
        <v>572</v>
      </c>
      <c r="G56" t="str">
        <f t="shared" si="1"/>
        <v>Angela Larimer</v>
      </c>
    </row>
    <row r="57" spans="1:7">
      <c r="A57" s="26" t="s">
        <v>321</v>
      </c>
      <c r="B57" t="str">
        <f t="shared" si="2"/>
        <v>00000993603A8</v>
      </c>
      <c r="D57" s="7" t="s">
        <v>573</v>
      </c>
      <c r="E57" t="s">
        <v>574</v>
      </c>
      <c r="G57" t="str">
        <f t="shared" si="1"/>
        <v>Allan Moss</v>
      </c>
    </row>
    <row r="58" spans="1:7">
      <c r="A58" s="26" t="s">
        <v>417</v>
      </c>
      <c r="B58" t="str">
        <f t="shared" si="2"/>
        <v>00001000837A8</v>
      </c>
      <c r="D58" s="7" t="s">
        <v>575</v>
      </c>
      <c r="E58" t="s">
        <v>576</v>
      </c>
      <c r="G58" t="str">
        <f t="shared" si="1"/>
        <v>Barbara Hanahan</v>
      </c>
    </row>
    <row r="59" spans="1:7">
      <c r="A59" s="26" t="s">
        <v>397</v>
      </c>
      <c r="B59" t="str">
        <f t="shared" si="2"/>
        <v>00000978131A8</v>
      </c>
      <c r="D59" s="7" t="s">
        <v>577</v>
      </c>
      <c r="E59" t="s">
        <v>578</v>
      </c>
      <c r="G59" t="str">
        <f t="shared" si="1"/>
        <v>William Carr</v>
      </c>
    </row>
    <row r="60" spans="1:7">
      <c r="A60" s="26" t="s">
        <v>255</v>
      </c>
      <c r="B60" t="str">
        <f t="shared" si="2"/>
        <v>00000998111A8</v>
      </c>
      <c r="D60" s="7" t="s">
        <v>579</v>
      </c>
      <c r="E60" t="s">
        <v>580</v>
      </c>
      <c r="G60" t="str">
        <f t="shared" si="1"/>
        <v>Therese Thompson</v>
      </c>
    </row>
    <row r="61" spans="1:7">
      <c r="A61" s="26" t="s">
        <v>250</v>
      </c>
      <c r="B61" t="str">
        <f t="shared" si="2"/>
        <v>00000997639A8</v>
      </c>
      <c r="D61" s="7" t="s">
        <v>567</v>
      </c>
      <c r="E61" t="s">
        <v>568</v>
      </c>
      <c r="G61" t="str">
        <f t="shared" si="1"/>
        <v>Carla Finlen</v>
      </c>
    </row>
    <row r="62" spans="1:7">
      <c r="A62" s="26" t="s">
        <v>327</v>
      </c>
      <c r="B62" t="str">
        <f t="shared" si="2"/>
        <v>00000995405A8</v>
      </c>
      <c r="D62" s="7" t="s">
        <v>569</v>
      </c>
      <c r="E62" t="s">
        <v>570</v>
      </c>
      <c r="G62" t="str">
        <f t="shared" si="1"/>
        <v>Larry Taylor</v>
      </c>
    </row>
    <row r="63" spans="1:7">
      <c r="A63" s="26" t="s">
        <v>408</v>
      </c>
      <c r="B63" t="str">
        <f t="shared" si="2"/>
        <v>00000995561A8</v>
      </c>
      <c r="D63" s="7" t="s">
        <v>581</v>
      </c>
      <c r="E63" t="s">
        <v>582</v>
      </c>
      <c r="G63" t="str">
        <f t="shared" si="1"/>
        <v>Kimberly Davison</v>
      </c>
    </row>
    <row r="64" spans="1:7">
      <c r="A64" s="26" t="s">
        <v>410</v>
      </c>
      <c r="B64" t="str">
        <f t="shared" si="2"/>
        <v>00000992660A8</v>
      </c>
      <c r="D64" s="7" t="s">
        <v>583</v>
      </c>
      <c r="E64" t="s">
        <v>584</v>
      </c>
      <c r="G64" t="str">
        <f t="shared" si="1"/>
        <v>Sharon Breuer</v>
      </c>
    </row>
    <row r="65" spans="1:7">
      <c r="A65" s="26" t="s">
        <v>414</v>
      </c>
      <c r="B65" t="str">
        <f t="shared" si="2"/>
        <v>00000997201A8</v>
      </c>
      <c r="D65" s="7" t="s">
        <v>585</v>
      </c>
      <c r="E65" t="s">
        <v>586</v>
      </c>
      <c r="G65" t="str">
        <f t="shared" si="1"/>
        <v>Rebekah Schmidt</v>
      </c>
    </row>
    <row r="66" spans="1:7">
      <c r="A66" s="26" t="s">
        <v>416</v>
      </c>
      <c r="B66" t="str">
        <f t="shared" si="2"/>
        <v>00000998964A8</v>
      </c>
      <c r="D66" s="7" t="s">
        <v>587</v>
      </c>
      <c r="E66" t="s">
        <v>588</v>
      </c>
      <c r="G66" t="str">
        <f t="shared" ref="G66:G129" si="3">_xlfn.CONCAT(E66, " ",D66)</f>
        <v>Carrie Taber</v>
      </c>
    </row>
    <row r="67" spans="1:7">
      <c r="A67" s="26" t="s">
        <v>405</v>
      </c>
      <c r="B67" t="str">
        <f t="shared" si="2"/>
        <v>00000988722A8</v>
      </c>
      <c r="D67" s="7" t="s">
        <v>589</v>
      </c>
      <c r="E67" t="s">
        <v>590</v>
      </c>
      <c r="G67" t="str">
        <f t="shared" si="3"/>
        <v>Jessica McClure</v>
      </c>
    </row>
    <row r="68" spans="1:7">
      <c r="A68" s="26" t="s">
        <v>329</v>
      </c>
      <c r="B68" t="str">
        <f t="shared" si="2"/>
        <v>00001000748A8</v>
      </c>
      <c r="D68" s="7" t="s">
        <v>591</v>
      </c>
      <c r="E68" t="s">
        <v>592</v>
      </c>
      <c r="G68" t="str">
        <f t="shared" si="3"/>
        <v>Kathleen Madigan</v>
      </c>
    </row>
    <row r="69" spans="1:7">
      <c r="A69" s="26" t="s">
        <v>407</v>
      </c>
      <c r="B69" t="str">
        <f t="shared" si="2"/>
        <v>00000993935A8</v>
      </c>
      <c r="D69" s="7" t="s">
        <v>593</v>
      </c>
      <c r="E69" t="s">
        <v>576</v>
      </c>
      <c r="F69" t="s">
        <v>473</v>
      </c>
      <c r="G69" t="str">
        <f t="shared" si="3"/>
        <v>Barbara Johnston</v>
      </c>
    </row>
    <row r="70" spans="1:7">
      <c r="A70" s="26" t="s">
        <v>412</v>
      </c>
      <c r="B70" t="str">
        <f t="shared" si="2"/>
        <v>00000996013A8</v>
      </c>
      <c r="D70" s="7" t="s">
        <v>594</v>
      </c>
      <c r="E70" t="s">
        <v>595</v>
      </c>
      <c r="F70" t="s">
        <v>480</v>
      </c>
      <c r="G70" t="str">
        <f t="shared" si="3"/>
        <v>Michelle McCorkle</v>
      </c>
    </row>
    <row r="71" spans="1:7">
      <c r="A71" s="26" t="s">
        <v>302</v>
      </c>
      <c r="B71" t="str">
        <f t="shared" si="2"/>
        <v>00001001114A8</v>
      </c>
      <c r="D71" s="7" t="s">
        <v>596</v>
      </c>
      <c r="E71" t="s">
        <v>572</v>
      </c>
      <c r="G71" t="str">
        <f t="shared" si="3"/>
        <v>Angela Ricciuti</v>
      </c>
    </row>
    <row r="72" spans="1:7">
      <c r="A72" s="26" t="s">
        <v>300</v>
      </c>
      <c r="B72" t="str">
        <f t="shared" si="2"/>
        <v>00000993970A8</v>
      </c>
      <c r="D72" s="7" t="s">
        <v>597</v>
      </c>
      <c r="E72" t="s">
        <v>598</v>
      </c>
      <c r="G72" t="str">
        <f t="shared" si="3"/>
        <v>Lisa Aiello</v>
      </c>
    </row>
    <row r="73" spans="1:7">
      <c r="A73" s="26" t="s">
        <v>430</v>
      </c>
      <c r="B73" t="str">
        <f t="shared" si="2"/>
        <v>00000970045A8</v>
      </c>
      <c r="D73" s="7" t="s">
        <v>599</v>
      </c>
      <c r="E73" t="s">
        <v>600</v>
      </c>
      <c r="G73" t="str">
        <f t="shared" si="3"/>
        <v>Jeffrey Smith</v>
      </c>
    </row>
    <row r="74" spans="1:7">
      <c r="A74" s="26" t="s">
        <v>323</v>
      </c>
      <c r="B74" t="str">
        <f t="shared" si="2"/>
        <v>00000994010A8</v>
      </c>
      <c r="D74" s="7" t="s">
        <v>601</v>
      </c>
      <c r="E74" t="s">
        <v>602</v>
      </c>
      <c r="G74" t="str">
        <f t="shared" si="3"/>
        <v>Brianna Gambetti</v>
      </c>
    </row>
    <row r="75" spans="1:7">
      <c r="A75" s="26" t="s">
        <v>304</v>
      </c>
      <c r="B75" t="str">
        <f t="shared" si="2"/>
        <v>00001001591A8</v>
      </c>
      <c r="D75" s="7" t="s">
        <v>601</v>
      </c>
      <c r="E75" t="s">
        <v>602</v>
      </c>
      <c r="G75" t="str">
        <f t="shared" si="3"/>
        <v>Brianna Gambetti</v>
      </c>
    </row>
    <row r="76" spans="1:7">
      <c r="A76" s="26" t="s">
        <v>325</v>
      </c>
      <c r="B76" t="str">
        <f t="shared" si="2"/>
        <v>00000994651A8</v>
      </c>
      <c r="D76" s="7" t="s">
        <v>569</v>
      </c>
      <c r="E76" t="s">
        <v>603</v>
      </c>
      <c r="G76" t="str">
        <f t="shared" si="3"/>
        <v>David Taylor</v>
      </c>
    </row>
    <row r="77" spans="1:7">
      <c r="A77" s="26" t="s">
        <v>403</v>
      </c>
      <c r="B77" t="str">
        <f t="shared" si="2"/>
        <v>00000858732A8</v>
      </c>
      <c r="D77" s="7" t="s">
        <v>604</v>
      </c>
      <c r="E77" t="s">
        <v>605</v>
      </c>
      <c r="F77" t="s">
        <v>605</v>
      </c>
      <c r="G77" t="str">
        <f t="shared" si="3"/>
        <v>Israel Magana</v>
      </c>
    </row>
    <row r="78" spans="1:7">
      <c r="A78" s="26" t="s">
        <v>401</v>
      </c>
      <c r="B78" t="str">
        <f t="shared" si="2"/>
        <v>00000858729A8</v>
      </c>
      <c r="D78" s="7" t="s">
        <v>606</v>
      </c>
      <c r="E78" t="s">
        <v>607</v>
      </c>
      <c r="F78" t="s">
        <v>480</v>
      </c>
      <c r="G78" t="str">
        <f t="shared" si="3"/>
        <v>Shane Reardon-Bressi</v>
      </c>
    </row>
    <row r="79" spans="1:7">
      <c r="A79" s="26" t="s">
        <v>332</v>
      </c>
      <c r="B79" t="str">
        <f t="shared" si="2"/>
        <v>00000776552A8</v>
      </c>
      <c r="D79" s="6" t="s">
        <v>608</v>
      </c>
      <c r="E79" t="s">
        <v>609</v>
      </c>
      <c r="F79" t="s">
        <v>610</v>
      </c>
      <c r="G79" t="str">
        <f t="shared" si="3"/>
        <v>COUNSELING JMM</v>
      </c>
    </row>
    <row r="80" spans="1:7">
      <c r="A80" s="26" t="s">
        <v>334</v>
      </c>
      <c r="B80" t="str">
        <f t="shared" si="2"/>
        <v>00000782684A8</v>
      </c>
      <c r="D80" s="6" t="s">
        <v>611</v>
      </c>
      <c r="E80" t="s">
        <v>612</v>
      </c>
      <c r="F80" t="s">
        <v>613</v>
      </c>
      <c r="G80" t="str">
        <f t="shared" si="3"/>
        <v>HEART HEAD</v>
      </c>
    </row>
    <row r="81" spans="1:7">
      <c r="A81" s="26" t="s">
        <v>318</v>
      </c>
      <c r="B81" t="str">
        <f t="shared" si="2"/>
        <v>00000808018A8</v>
      </c>
      <c r="D81" s="6" t="s">
        <v>614</v>
      </c>
      <c r="E81" t="s">
        <v>615</v>
      </c>
      <c r="F81" t="s">
        <v>616</v>
      </c>
      <c r="G81" t="str">
        <f t="shared" si="3"/>
        <v>PSYCHOLOGY RELATIONAL</v>
      </c>
    </row>
    <row r="82" spans="1:7">
      <c r="A82" s="26" t="s">
        <v>376</v>
      </c>
      <c r="B82" t="str">
        <f t="shared" si="2"/>
        <v>00000817901A8</v>
      </c>
      <c r="D82" s="6" t="s">
        <v>614</v>
      </c>
      <c r="E82" t="s">
        <v>615</v>
      </c>
      <c r="F82" t="s">
        <v>616</v>
      </c>
      <c r="G82" t="str">
        <f t="shared" si="3"/>
        <v>PSYCHOLOGY RELATIONAL</v>
      </c>
    </row>
    <row r="83" spans="1:7">
      <c r="A83" s="26" t="s">
        <v>314</v>
      </c>
      <c r="B83" t="str">
        <f t="shared" si="2"/>
        <v>00000779014A8</v>
      </c>
      <c r="D83" s="6" t="s">
        <v>608</v>
      </c>
      <c r="E83" t="s">
        <v>609</v>
      </c>
      <c r="F83" t="s">
        <v>610</v>
      </c>
      <c r="G83" t="str">
        <f t="shared" si="3"/>
        <v>COUNSELING JMM</v>
      </c>
    </row>
    <row r="84" spans="1:7">
      <c r="A84" s="28">
        <v>9030544330</v>
      </c>
      <c r="B84" t="str">
        <f>_xlfn.CONCAT(A84,4)</f>
        <v>90305443304</v>
      </c>
      <c r="D84" s="6" t="s">
        <v>611</v>
      </c>
      <c r="E84" t="s">
        <v>612</v>
      </c>
      <c r="F84" t="s">
        <v>613</v>
      </c>
      <c r="G84" t="str">
        <f t="shared" si="3"/>
        <v>HEART HEAD</v>
      </c>
    </row>
    <row r="85" spans="1:7">
      <c r="A85" s="28">
        <v>9030544350</v>
      </c>
      <c r="B85" t="str">
        <f t="shared" ref="B85:B110" si="4">_xlfn.CONCAT(A85,4)</f>
        <v>90305443504</v>
      </c>
      <c r="D85" s="6" t="s">
        <v>614</v>
      </c>
      <c r="E85" t="s">
        <v>615</v>
      </c>
      <c r="F85" t="s">
        <v>616</v>
      </c>
      <c r="G85" t="str">
        <f t="shared" si="3"/>
        <v>PSYCHOLOGY RELATIONAL</v>
      </c>
    </row>
    <row r="86" spans="1:7">
      <c r="A86" s="28">
        <v>9030558330</v>
      </c>
      <c r="B86" t="str">
        <f t="shared" si="4"/>
        <v>90305583304</v>
      </c>
      <c r="D86" s="6" t="s">
        <v>614</v>
      </c>
      <c r="E86" t="s">
        <v>615</v>
      </c>
      <c r="F86" t="s">
        <v>616</v>
      </c>
      <c r="G86" t="str">
        <f t="shared" si="3"/>
        <v>PSYCHOLOGY RELATIONAL</v>
      </c>
    </row>
    <row r="87" spans="1:7">
      <c r="A87" s="28">
        <v>9030267890</v>
      </c>
      <c r="B87" t="str">
        <f t="shared" si="4"/>
        <v>90302678904</v>
      </c>
      <c r="D87" s="6" t="s">
        <v>617</v>
      </c>
      <c r="E87" t="s">
        <v>618</v>
      </c>
      <c r="G87" t="str">
        <f t="shared" si="3"/>
        <v>LLC DIMEX</v>
      </c>
    </row>
    <row r="88" spans="1:7">
      <c r="A88" s="28">
        <v>9030005380</v>
      </c>
      <c r="B88" t="str">
        <f t="shared" si="4"/>
        <v>90300053804</v>
      </c>
      <c r="D88" s="10" t="s">
        <v>619</v>
      </c>
      <c r="E88" t="s">
        <v>620</v>
      </c>
      <c r="F88" t="s">
        <v>467</v>
      </c>
      <c r="G88" t="str">
        <f t="shared" si="3"/>
        <v>LINDA KOSAR</v>
      </c>
    </row>
    <row r="89" spans="1:7">
      <c r="A89" s="28">
        <v>9029971470</v>
      </c>
      <c r="B89" t="str">
        <f t="shared" si="4"/>
        <v>90299714704</v>
      </c>
      <c r="D89" s="10" t="s">
        <v>619</v>
      </c>
      <c r="E89" t="s">
        <v>523</v>
      </c>
      <c r="F89" t="s">
        <v>473</v>
      </c>
      <c r="G89" t="str">
        <f t="shared" si="3"/>
        <v>DAVID KOSAR</v>
      </c>
    </row>
    <row r="90" spans="1:7">
      <c r="A90" s="28">
        <v>9030370880</v>
      </c>
      <c r="B90" t="str">
        <f t="shared" si="4"/>
        <v>90303708804</v>
      </c>
      <c r="D90" s="10" t="s">
        <v>621</v>
      </c>
      <c r="E90" t="s">
        <v>622</v>
      </c>
      <c r="F90" t="s">
        <v>483</v>
      </c>
      <c r="G90" t="str">
        <f t="shared" si="3"/>
        <v>CAMMY DOLL</v>
      </c>
    </row>
    <row r="91" spans="1:7">
      <c r="A91" s="28">
        <v>9030108580</v>
      </c>
      <c r="B91" t="str">
        <f t="shared" si="4"/>
        <v>90301085804</v>
      </c>
      <c r="D91" s="10" t="s">
        <v>623</v>
      </c>
      <c r="E91" t="s">
        <v>624</v>
      </c>
      <c r="G91" t="str">
        <f t="shared" si="3"/>
        <v>ELVIRA SANCHEZ</v>
      </c>
    </row>
    <row r="92" spans="1:7">
      <c r="A92" s="28">
        <v>9030377310</v>
      </c>
      <c r="B92" t="str">
        <f t="shared" si="4"/>
        <v>90303773104</v>
      </c>
      <c r="D92" s="10" t="s">
        <v>625</v>
      </c>
      <c r="E92" t="s">
        <v>495</v>
      </c>
      <c r="F92" t="s">
        <v>476</v>
      </c>
      <c r="G92" t="str">
        <f t="shared" si="3"/>
        <v>THERESA LOVASIK</v>
      </c>
    </row>
    <row r="93" spans="1:7">
      <c r="A93" s="28">
        <v>3245007030</v>
      </c>
      <c r="B93" t="str">
        <f t="shared" si="4"/>
        <v>32450070304</v>
      </c>
      <c r="D93" s="10" t="s">
        <v>625</v>
      </c>
      <c r="E93" t="s">
        <v>626</v>
      </c>
      <c r="G93" t="str">
        <f t="shared" si="3"/>
        <v>PETR LOVASIK</v>
      </c>
    </row>
    <row r="94" spans="1:7">
      <c r="A94" s="28">
        <v>9028342740</v>
      </c>
      <c r="B94" t="str">
        <f t="shared" si="4"/>
        <v>90283427404</v>
      </c>
      <c r="D94" s="10" t="s">
        <v>627</v>
      </c>
      <c r="E94" t="s">
        <v>520</v>
      </c>
      <c r="G94" t="str">
        <f t="shared" si="3"/>
        <v>EDWARD WARDA</v>
      </c>
    </row>
    <row r="95" spans="1:7">
      <c r="A95" s="28">
        <v>9030268320</v>
      </c>
      <c r="B95" t="str">
        <f t="shared" si="4"/>
        <v>90302683204</v>
      </c>
      <c r="D95" s="10" t="s">
        <v>628</v>
      </c>
      <c r="E95" t="s">
        <v>620</v>
      </c>
      <c r="G95" t="str">
        <f t="shared" si="3"/>
        <v>LINDA BERGSTROM</v>
      </c>
    </row>
    <row r="96" spans="1:7">
      <c r="A96" s="28">
        <v>9029766060</v>
      </c>
      <c r="B96" t="str">
        <f t="shared" si="4"/>
        <v>90297660604</v>
      </c>
      <c r="D96" s="10" t="s">
        <v>629</v>
      </c>
      <c r="E96" t="s">
        <v>630</v>
      </c>
      <c r="F96" t="s">
        <v>630</v>
      </c>
      <c r="G96" t="str">
        <f t="shared" si="3"/>
        <v>HOWARD BOONE</v>
      </c>
    </row>
    <row r="97" spans="1:7">
      <c r="A97" s="28">
        <v>9029700260</v>
      </c>
      <c r="B97" t="str">
        <f t="shared" si="4"/>
        <v>90297002604</v>
      </c>
      <c r="D97" s="10" t="s">
        <v>631</v>
      </c>
      <c r="E97" t="s">
        <v>632</v>
      </c>
      <c r="F97" t="s">
        <v>483</v>
      </c>
      <c r="G97" t="str">
        <f t="shared" si="3"/>
        <v>CYNTHIA DRAPAC</v>
      </c>
    </row>
    <row r="98" spans="1:7">
      <c r="A98" s="28">
        <v>3249034970</v>
      </c>
      <c r="B98" t="str">
        <f t="shared" si="4"/>
        <v>32490349704</v>
      </c>
      <c r="D98" s="10" t="s">
        <v>633</v>
      </c>
      <c r="E98" t="s">
        <v>634</v>
      </c>
      <c r="F98" t="s">
        <v>634</v>
      </c>
      <c r="G98" t="str">
        <f t="shared" si="3"/>
        <v>MARIO CASTRO</v>
      </c>
    </row>
    <row r="99" spans="1:7">
      <c r="A99" s="28">
        <v>9030397080</v>
      </c>
      <c r="B99" t="str">
        <f t="shared" si="4"/>
        <v>90303970804</v>
      </c>
      <c r="D99" s="10" t="s">
        <v>635</v>
      </c>
      <c r="E99" t="s">
        <v>636</v>
      </c>
      <c r="F99" t="s">
        <v>476</v>
      </c>
      <c r="G99" t="str">
        <f t="shared" si="3"/>
        <v>ROGER TYK</v>
      </c>
    </row>
    <row r="100" spans="1:7">
      <c r="A100" s="28">
        <v>9029564860</v>
      </c>
      <c r="B100" t="str">
        <f t="shared" si="4"/>
        <v>90295648604</v>
      </c>
      <c r="D100" s="10" t="s">
        <v>637</v>
      </c>
      <c r="E100" t="s">
        <v>531</v>
      </c>
      <c r="F100" t="s">
        <v>470</v>
      </c>
      <c r="G100" t="str">
        <f t="shared" si="3"/>
        <v>JAMES CAREY</v>
      </c>
    </row>
    <row r="101" spans="1:7">
      <c r="A101" s="28">
        <v>9029715470</v>
      </c>
      <c r="B101" t="str">
        <f t="shared" si="4"/>
        <v>90297154704</v>
      </c>
      <c r="D101" s="10" t="s">
        <v>638</v>
      </c>
      <c r="E101" t="s">
        <v>482</v>
      </c>
      <c r="F101" t="s">
        <v>473</v>
      </c>
      <c r="G101" t="str">
        <f t="shared" si="3"/>
        <v>RICHARD ANDERSON</v>
      </c>
    </row>
    <row r="102" spans="1:7">
      <c r="A102" s="28">
        <v>9029660210</v>
      </c>
      <c r="B102" t="str">
        <f t="shared" si="4"/>
        <v>90296602104</v>
      </c>
      <c r="D102" s="10" t="s">
        <v>639</v>
      </c>
      <c r="E102" t="s">
        <v>640</v>
      </c>
      <c r="F102" t="s">
        <v>540</v>
      </c>
      <c r="G102" t="str">
        <f t="shared" si="3"/>
        <v>JOSEFINA APULI</v>
      </c>
    </row>
    <row r="103" spans="1:7">
      <c r="A103" s="28">
        <v>9029685600</v>
      </c>
      <c r="B103" t="str">
        <f t="shared" si="4"/>
        <v>90296856004</v>
      </c>
      <c r="D103" s="10" t="s">
        <v>641</v>
      </c>
      <c r="E103" t="s">
        <v>642</v>
      </c>
      <c r="F103" t="s">
        <v>480</v>
      </c>
      <c r="G103" t="str">
        <f t="shared" si="3"/>
        <v>MARGARET ORTMANN</v>
      </c>
    </row>
    <row r="104" spans="1:7">
      <c r="A104" s="28">
        <v>3208409570</v>
      </c>
      <c r="B104" t="str">
        <f t="shared" si="4"/>
        <v>32084095704</v>
      </c>
      <c r="D104" s="10" t="s">
        <v>641</v>
      </c>
      <c r="E104" t="s">
        <v>643</v>
      </c>
      <c r="F104" t="s">
        <v>470</v>
      </c>
      <c r="G104" t="str">
        <f t="shared" si="3"/>
        <v>GARY ORTMANN</v>
      </c>
    </row>
    <row r="105" spans="1:7">
      <c r="A105" s="28">
        <v>9028454930</v>
      </c>
      <c r="B105" t="str">
        <f t="shared" si="4"/>
        <v>90284549304</v>
      </c>
      <c r="D105" s="10" t="s">
        <v>644</v>
      </c>
      <c r="E105" t="s">
        <v>645</v>
      </c>
      <c r="F105" t="s">
        <v>476</v>
      </c>
      <c r="G105" t="str">
        <f t="shared" si="3"/>
        <v>MARY GIOVINCO</v>
      </c>
    </row>
    <row r="106" spans="1:7">
      <c r="A106" s="28">
        <v>9025228750</v>
      </c>
      <c r="B106" t="str">
        <f t="shared" si="4"/>
        <v>90252287504</v>
      </c>
      <c r="D106" s="9" t="s">
        <v>646</v>
      </c>
      <c r="E106" t="s">
        <v>511</v>
      </c>
      <c r="F106" t="s">
        <v>476</v>
      </c>
      <c r="G106" t="str">
        <f t="shared" si="3"/>
        <v>DONALD SPROUSE</v>
      </c>
    </row>
    <row r="107" spans="1:7">
      <c r="A107" s="28">
        <v>9029700250</v>
      </c>
      <c r="B107" t="str">
        <f t="shared" si="4"/>
        <v>90297002504</v>
      </c>
      <c r="D107" s="9" t="s">
        <v>647</v>
      </c>
      <c r="E107" t="s">
        <v>499</v>
      </c>
      <c r="F107" t="s">
        <v>540</v>
      </c>
      <c r="G107" t="str">
        <f t="shared" si="3"/>
        <v>BRIAN COFFMAN</v>
      </c>
    </row>
    <row r="108" spans="1:7">
      <c r="A108" s="28">
        <v>9030297670</v>
      </c>
      <c r="B108" t="str">
        <f t="shared" si="4"/>
        <v>90302976704</v>
      </c>
      <c r="D108" s="8" t="s">
        <v>648</v>
      </c>
      <c r="E108" t="s">
        <v>649</v>
      </c>
      <c r="F108" t="s">
        <v>480</v>
      </c>
      <c r="G108" t="str">
        <f t="shared" si="3"/>
        <v>THOMAS DROBYSH</v>
      </c>
    </row>
    <row r="109" spans="1:7">
      <c r="A109" s="28">
        <v>9029685590</v>
      </c>
      <c r="B109" t="str">
        <f t="shared" si="4"/>
        <v>90296855904</v>
      </c>
      <c r="D109" s="8" t="s">
        <v>650</v>
      </c>
      <c r="E109" t="s">
        <v>651</v>
      </c>
      <c r="F109" t="s">
        <v>489</v>
      </c>
      <c r="G109" t="str">
        <f t="shared" si="3"/>
        <v>LAURITS SCHLESS</v>
      </c>
    </row>
    <row r="110" spans="1:7">
      <c r="A110" s="28">
        <v>9030638300</v>
      </c>
      <c r="B110" t="str">
        <f t="shared" si="4"/>
        <v>90306383004</v>
      </c>
      <c r="D110" s="8" t="s">
        <v>652</v>
      </c>
      <c r="E110" t="s">
        <v>653</v>
      </c>
      <c r="F110" t="s">
        <v>467</v>
      </c>
      <c r="G110" t="str">
        <f t="shared" si="3"/>
        <v>PAUL VAVRINCHIK</v>
      </c>
    </row>
    <row r="111" spans="1:7">
      <c r="A111" s="27">
        <v>845819</v>
      </c>
      <c r="B111" t="str">
        <f>_xlfn.CONCAT(A111,7)</f>
        <v>8458197</v>
      </c>
      <c r="D111" s="8" t="s">
        <v>654</v>
      </c>
      <c r="E111" t="s">
        <v>655</v>
      </c>
      <c r="F111" t="s">
        <v>470</v>
      </c>
      <c r="G111" t="str">
        <f t="shared" si="3"/>
        <v>DIANNE LAUBACH</v>
      </c>
    </row>
    <row r="112" spans="1:7">
      <c r="A112" s="27">
        <v>416402</v>
      </c>
      <c r="B112" t="str">
        <f t="shared" ref="B112:B119" si="5">_xlfn.CONCAT(A112,7)</f>
        <v>4164027</v>
      </c>
      <c r="D112" s="8" t="s">
        <v>496</v>
      </c>
      <c r="E112" t="s">
        <v>497</v>
      </c>
      <c r="F112" t="s">
        <v>118</v>
      </c>
      <c r="G112" t="str">
        <f t="shared" si="3"/>
        <v>KRYSTAL TRIPP</v>
      </c>
    </row>
    <row r="113" spans="1:7">
      <c r="A113" s="27">
        <v>416700</v>
      </c>
      <c r="B113" t="str">
        <f t="shared" si="5"/>
        <v>4167007</v>
      </c>
      <c r="D113" s="8" t="s">
        <v>656</v>
      </c>
      <c r="E113" t="s">
        <v>657</v>
      </c>
      <c r="F113" t="s">
        <v>118</v>
      </c>
      <c r="G113" t="str">
        <f t="shared" si="3"/>
        <v>BARRY DUNN</v>
      </c>
    </row>
    <row r="114" spans="1:7">
      <c r="A114" s="27">
        <v>416700</v>
      </c>
      <c r="B114" t="str">
        <f t="shared" si="5"/>
        <v>4167007</v>
      </c>
      <c r="D114" s="8" t="s">
        <v>505</v>
      </c>
      <c r="E114" t="s">
        <v>506</v>
      </c>
      <c r="F114" t="s">
        <v>470</v>
      </c>
      <c r="G114" t="str">
        <f t="shared" si="3"/>
        <v>LAURIE ROUND</v>
      </c>
    </row>
    <row r="115" spans="1:7">
      <c r="A115" s="27">
        <v>416583</v>
      </c>
      <c r="B115" t="str">
        <f t="shared" si="5"/>
        <v>4165837</v>
      </c>
      <c r="D115" s="8" t="s">
        <v>658</v>
      </c>
      <c r="E115" t="s">
        <v>659</v>
      </c>
      <c r="F115" t="s">
        <v>560</v>
      </c>
      <c r="G115" t="str">
        <f t="shared" si="3"/>
        <v>NORINE STROEDE</v>
      </c>
    </row>
    <row r="116" spans="1:7">
      <c r="A116" s="27">
        <v>416700</v>
      </c>
      <c r="B116" t="str">
        <f t="shared" si="5"/>
        <v>4167007</v>
      </c>
      <c r="D116" s="8" t="s">
        <v>660</v>
      </c>
      <c r="E116" t="s">
        <v>510</v>
      </c>
      <c r="F116" t="s">
        <v>470</v>
      </c>
      <c r="G116" t="str">
        <f t="shared" si="3"/>
        <v>BARBARA MCCONLOGUE</v>
      </c>
    </row>
    <row r="117" spans="1:7">
      <c r="A117" s="27">
        <v>416700</v>
      </c>
      <c r="B117" t="str">
        <f t="shared" si="5"/>
        <v>4167007</v>
      </c>
      <c r="D117" s="10" t="s">
        <v>661</v>
      </c>
      <c r="E117" t="s">
        <v>662</v>
      </c>
      <c r="F117" t="s">
        <v>546</v>
      </c>
      <c r="G117" t="str">
        <f t="shared" si="3"/>
        <v>KATHERINE FONT</v>
      </c>
    </row>
    <row r="118" spans="1:7">
      <c r="A118" s="27">
        <v>416402</v>
      </c>
      <c r="B118" t="str">
        <f t="shared" si="5"/>
        <v>4164027</v>
      </c>
      <c r="D118" s="10" t="s">
        <v>663</v>
      </c>
      <c r="E118" t="s">
        <v>485</v>
      </c>
      <c r="F118" t="s">
        <v>470</v>
      </c>
      <c r="G118" t="str">
        <f t="shared" si="3"/>
        <v>MICHAEL WILTGEN</v>
      </c>
    </row>
    <row r="119" spans="1:7">
      <c r="A119" s="27">
        <v>416583</v>
      </c>
      <c r="B119" t="str">
        <f t="shared" si="5"/>
        <v>4165837</v>
      </c>
      <c r="D119" s="10" t="s">
        <v>664</v>
      </c>
      <c r="E119" t="s">
        <v>636</v>
      </c>
      <c r="F119" t="s">
        <v>118</v>
      </c>
      <c r="G119" t="str">
        <f t="shared" si="3"/>
        <v>ROGER GARBACZ</v>
      </c>
    </row>
    <row r="120" spans="1:7">
      <c r="A120" s="24" t="s">
        <v>96</v>
      </c>
      <c r="B120" t="str">
        <f t="shared" ref="B117:B170" si="6">_xlfn.CONCAT(A120,6)</f>
        <v>00023312563K6</v>
      </c>
      <c r="D120" s="10" t="s">
        <v>665</v>
      </c>
      <c r="E120" t="s">
        <v>666</v>
      </c>
      <c r="F120" t="s">
        <v>118</v>
      </c>
      <c r="G120" t="str">
        <f t="shared" si="3"/>
        <v>DEBORAH PETTERSEN</v>
      </c>
    </row>
    <row r="121" spans="1:7">
      <c r="A121" s="24" t="s">
        <v>123</v>
      </c>
      <c r="B121" t="str">
        <f t="shared" si="6"/>
        <v>00023312872K6</v>
      </c>
      <c r="D121" s="10" t="s">
        <v>619</v>
      </c>
      <c r="E121" t="s">
        <v>620</v>
      </c>
      <c r="F121" t="s">
        <v>467</v>
      </c>
      <c r="G121" t="str">
        <f t="shared" si="3"/>
        <v>LINDA KOSAR</v>
      </c>
    </row>
    <row r="122" spans="1:7">
      <c r="A122" s="24" t="s">
        <v>165</v>
      </c>
      <c r="B122" t="str">
        <f t="shared" si="6"/>
        <v>00023373372K6</v>
      </c>
      <c r="D122" s="10" t="s">
        <v>619</v>
      </c>
      <c r="E122" t="s">
        <v>523</v>
      </c>
      <c r="F122" t="s">
        <v>473</v>
      </c>
      <c r="G122" t="str">
        <f t="shared" si="3"/>
        <v>DAVID KOSAR</v>
      </c>
    </row>
    <row r="123" spans="1:7">
      <c r="A123" s="24" t="s">
        <v>92</v>
      </c>
      <c r="B123" t="str">
        <f t="shared" si="6"/>
        <v>00023336024K6</v>
      </c>
      <c r="D123" s="10" t="s">
        <v>667</v>
      </c>
      <c r="E123" t="s">
        <v>668</v>
      </c>
      <c r="F123" t="s">
        <v>470</v>
      </c>
      <c r="G123" t="str">
        <f t="shared" si="3"/>
        <v>RANDOLPH DICKSON</v>
      </c>
    </row>
    <row r="124" spans="1:7">
      <c r="A124" s="24" t="s">
        <v>62</v>
      </c>
      <c r="B124" t="str">
        <f t="shared" si="6"/>
        <v>00023380373K6</v>
      </c>
      <c r="D124" s="10" t="s">
        <v>669</v>
      </c>
      <c r="E124" t="s">
        <v>460</v>
      </c>
      <c r="G124" t="str">
        <f t="shared" si="3"/>
        <v>JOHN KIM</v>
      </c>
    </row>
    <row r="125" spans="1:7">
      <c r="A125" s="24" t="s">
        <v>44</v>
      </c>
      <c r="B125" t="str">
        <f t="shared" si="6"/>
        <v>00023362985K6</v>
      </c>
      <c r="D125" s="10" t="s">
        <v>670</v>
      </c>
      <c r="E125" t="s">
        <v>662</v>
      </c>
      <c r="F125" t="s">
        <v>480</v>
      </c>
      <c r="G125" t="str">
        <f t="shared" si="3"/>
        <v>KATHERINE FOLTZ</v>
      </c>
    </row>
    <row r="126" spans="1:7">
      <c r="A126" s="24" t="s">
        <v>129</v>
      </c>
      <c r="B126" t="str">
        <f t="shared" si="6"/>
        <v>00023358106K6</v>
      </c>
      <c r="D126" s="10" t="s">
        <v>671</v>
      </c>
      <c r="E126" t="s">
        <v>672</v>
      </c>
      <c r="F126" t="s">
        <v>118</v>
      </c>
      <c r="G126" t="str">
        <f t="shared" si="3"/>
        <v>VERNON SWEARENGIN</v>
      </c>
    </row>
    <row r="127" spans="1:7">
      <c r="A127" s="24" t="s">
        <v>155</v>
      </c>
      <c r="B127" t="str">
        <f t="shared" si="6"/>
        <v>00023381691K6</v>
      </c>
      <c r="D127" s="10" t="s">
        <v>673</v>
      </c>
      <c r="E127" t="s">
        <v>523</v>
      </c>
      <c r="F127" t="s">
        <v>486</v>
      </c>
      <c r="G127" t="str">
        <f t="shared" si="3"/>
        <v>DAVID DRAPER</v>
      </c>
    </row>
    <row r="128" spans="1:7">
      <c r="A128" s="24" t="s">
        <v>204</v>
      </c>
      <c r="B128" t="str">
        <f t="shared" si="6"/>
        <v>00023334479K6</v>
      </c>
      <c r="D128" s="10" t="s">
        <v>674</v>
      </c>
      <c r="E128" t="s">
        <v>675</v>
      </c>
      <c r="F128" t="s">
        <v>560</v>
      </c>
      <c r="G128" t="str">
        <f t="shared" si="3"/>
        <v>JASON HUBBARD</v>
      </c>
    </row>
    <row r="129" spans="1:7">
      <c r="A129" s="24" t="s">
        <v>100</v>
      </c>
      <c r="B129" t="str">
        <f t="shared" si="6"/>
        <v>00023317598K6</v>
      </c>
      <c r="D129" s="10" t="s">
        <v>676</v>
      </c>
      <c r="E129" t="s">
        <v>677</v>
      </c>
      <c r="F129" t="s">
        <v>560</v>
      </c>
      <c r="G129" t="str">
        <f t="shared" si="3"/>
        <v>WILLIAMSON WALKER</v>
      </c>
    </row>
    <row r="130" spans="1:7">
      <c r="A130" s="24" t="s">
        <v>69</v>
      </c>
      <c r="B130" t="str">
        <f t="shared" si="6"/>
        <v>00023363788K6</v>
      </c>
      <c r="D130" s="10" t="s">
        <v>625</v>
      </c>
      <c r="E130" t="s">
        <v>495</v>
      </c>
      <c r="F130" t="s">
        <v>476</v>
      </c>
      <c r="G130" t="str">
        <f t="shared" ref="G130:G181" si="7">_xlfn.CONCAT(E130, " ",D130)</f>
        <v>THERESA LOVASIK</v>
      </c>
    </row>
    <row r="131" spans="1:7">
      <c r="A131" s="24" t="s">
        <v>219</v>
      </c>
      <c r="B131" t="str">
        <f t="shared" si="6"/>
        <v>00022126595K6</v>
      </c>
      <c r="D131" s="10" t="s">
        <v>625</v>
      </c>
      <c r="E131" t="s">
        <v>626</v>
      </c>
      <c r="G131" t="str">
        <f t="shared" si="7"/>
        <v>PETR LOVASIK</v>
      </c>
    </row>
    <row r="132" spans="1:7">
      <c r="A132" s="24" t="s">
        <v>174</v>
      </c>
      <c r="B132" t="str">
        <f t="shared" si="6"/>
        <v>00023330781K6</v>
      </c>
      <c r="D132" s="10" t="s">
        <v>678</v>
      </c>
      <c r="E132" t="s">
        <v>679</v>
      </c>
      <c r="G132" t="str">
        <f t="shared" si="7"/>
        <v>GURBACHAN SINGH</v>
      </c>
    </row>
    <row r="133" spans="1:7">
      <c r="A133" s="24" t="s">
        <v>78</v>
      </c>
      <c r="B133" t="str">
        <f t="shared" si="6"/>
        <v>00022397306K6</v>
      </c>
      <c r="D133" s="10" t="s">
        <v>680</v>
      </c>
      <c r="E133" t="s">
        <v>681</v>
      </c>
      <c r="F133" t="s">
        <v>486</v>
      </c>
      <c r="G133" t="str">
        <f t="shared" si="7"/>
        <v>KEITH STRICKER</v>
      </c>
    </row>
    <row r="134" spans="1:7">
      <c r="A134" s="24" t="s">
        <v>137</v>
      </c>
      <c r="B134" t="str">
        <f t="shared" si="6"/>
        <v>00023364862K6</v>
      </c>
      <c r="D134" s="10" t="s">
        <v>682</v>
      </c>
      <c r="E134" t="s">
        <v>485</v>
      </c>
      <c r="F134" t="s">
        <v>486</v>
      </c>
      <c r="G134" t="str">
        <f t="shared" si="7"/>
        <v>MICHAEL BENEDICT</v>
      </c>
    </row>
    <row r="135" spans="1:7">
      <c r="A135" s="24" t="s">
        <v>152</v>
      </c>
      <c r="B135" t="str">
        <f t="shared" si="6"/>
        <v>00023376956K6</v>
      </c>
      <c r="D135" s="10" t="s">
        <v>628</v>
      </c>
      <c r="E135" t="s">
        <v>620</v>
      </c>
      <c r="G135" t="str">
        <f t="shared" si="7"/>
        <v>LINDA BERGSTROM</v>
      </c>
    </row>
    <row r="136" spans="1:7">
      <c r="A136" s="24" t="s">
        <v>57</v>
      </c>
      <c r="B136" t="str">
        <f t="shared" si="6"/>
        <v>00023380372K6</v>
      </c>
      <c r="D136" s="10" t="s">
        <v>629</v>
      </c>
      <c r="E136" t="s">
        <v>630</v>
      </c>
      <c r="F136" t="s">
        <v>630</v>
      </c>
      <c r="G136" t="str">
        <f t="shared" si="7"/>
        <v>HOWARD BOONE</v>
      </c>
    </row>
    <row r="137" spans="1:7">
      <c r="A137" s="24" t="s">
        <v>149</v>
      </c>
      <c r="B137" t="str">
        <f t="shared" si="6"/>
        <v>00023351659K6</v>
      </c>
      <c r="D137" s="10" t="s">
        <v>683</v>
      </c>
      <c r="E137" t="s">
        <v>684</v>
      </c>
      <c r="F137" t="s">
        <v>486</v>
      </c>
      <c r="G137" t="str">
        <f t="shared" si="7"/>
        <v>BILL SAUSER</v>
      </c>
    </row>
    <row r="138" spans="1:7">
      <c r="A138" s="24" t="s">
        <v>112</v>
      </c>
      <c r="B138" t="str">
        <f t="shared" si="6"/>
        <v>00023379399K6</v>
      </c>
      <c r="D138" s="10" t="s">
        <v>685</v>
      </c>
      <c r="E138" t="s">
        <v>686</v>
      </c>
      <c r="G138" t="str">
        <f t="shared" si="7"/>
        <v>JUCELIA IZENSTARK</v>
      </c>
    </row>
    <row r="139" spans="1:7">
      <c r="A139" s="24" t="s">
        <v>66</v>
      </c>
      <c r="B139" t="str">
        <f t="shared" si="6"/>
        <v>00023326681K6</v>
      </c>
      <c r="D139" s="10" t="s">
        <v>687</v>
      </c>
      <c r="E139" t="s">
        <v>688</v>
      </c>
      <c r="F139" t="s">
        <v>483</v>
      </c>
      <c r="G139" t="str">
        <f t="shared" si="7"/>
        <v>TIMOTHY PUTMAN</v>
      </c>
    </row>
    <row r="140" spans="1:7">
      <c r="A140" s="24" t="s">
        <v>215</v>
      </c>
      <c r="B140" t="str">
        <f t="shared" si="6"/>
        <v>00023340223K6</v>
      </c>
      <c r="D140" s="10" t="s">
        <v>689</v>
      </c>
      <c r="E140" t="s">
        <v>531</v>
      </c>
      <c r="F140" t="s">
        <v>480</v>
      </c>
      <c r="G140" t="str">
        <f t="shared" si="7"/>
        <v>JAMES ZARDESKAS</v>
      </c>
    </row>
    <row r="141" spans="1:7">
      <c r="A141" s="24" t="s">
        <v>109</v>
      </c>
      <c r="B141" t="str">
        <f t="shared" si="6"/>
        <v>00023376879K6</v>
      </c>
      <c r="D141" s="10" t="s">
        <v>690</v>
      </c>
      <c r="E141" t="s">
        <v>691</v>
      </c>
      <c r="G141" t="str">
        <f t="shared" si="7"/>
        <v>SYLVIA KARAKOSTA</v>
      </c>
    </row>
    <row r="142" spans="1:7">
      <c r="A142" s="24" t="s">
        <v>178</v>
      </c>
      <c r="B142" t="str">
        <f t="shared" si="6"/>
        <v>00000646024D6</v>
      </c>
      <c r="D142" s="10" t="s">
        <v>692</v>
      </c>
      <c r="E142" t="s">
        <v>693</v>
      </c>
      <c r="F142" t="s">
        <v>476</v>
      </c>
      <c r="G142" t="str">
        <f t="shared" si="7"/>
        <v>JEANNE RODECK</v>
      </c>
    </row>
    <row r="143" spans="1:7">
      <c r="A143" s="24" t="s">
        <v>86</v>
      </c>
      <c r="B143" t="str">
        <f t="shared" si="6"/>
        <v>00023362643K6</v>
      </c>
      <c r="D143" s="10" t="s">
        <v>623</v>
      </c>
      <c r="E143" t="s">
        <v>624</v>
      </c>
      <c r="G143" t="str">
        <f t="shared" si="7"/>
        <v>ELVIRA SANCHEZ</v>
      </c>
    </row>
    <row r="144" spans="1:7">
      <c r="A144" s="24" t="s">
        <v>103</v>
      </c>
      <c r="B144" t="str">
        <f t="shared" si="6"/>
        <v>00023338585K6</v>
      </c>
      <c r="D144" s="10" t="s">
        <v>694</v>
      </c>
      <c r="E144" t="s">
        <v>695</v>
      </c>
      <c r="F144" t="s">
        <v>480</v>
      </c>
      <c r="G144" t="str">
        <f t="shared" si="7"/>
        <v>LAURA BERGERSEN</v>
      </c>
    </row>
    <row r="145" spans="1:7">
      <c r="A145" s="24" t="s">
        <v>106</v>
      </c>
      <c r="B145" t="str">
        <f t="shared" si="6"/>
        <v>00023375098K6</v>
      </c>
      <c r="D145" s="10" t="s">
        <v>524</v>
      </c>
      <c r="E145" t="s">
        <v>696</v>
      </c>
      <c r="F145" t="s">
        <v>483</v>
      </c>
      <c r="G145" t="str">
        <f t="shared" si="7"/>
        <v>MARSHA WILLIAMS</v>
      </c>
    </row>
    <row r="146" spans="1:7">
      <c r="A146" s="24" t="s">
        <v>82</v>
      </c>
      <c r="B146" t="str">
        <f t="shared" si="6"/>
        <v>00023317944K6</v>
      </c>
      <c r="D146" s="17" t="s">
        <v>627</v>
      </c>
      <c r="E146" t="s">
        <v>520</v>
      </c>
      <c r="G146" t="str">
        <f t="shared" si="7"/>
        <v>EDWARD WARDA</v>
      </c>
    </row>
    <row r="147" spans="1:7">
      <c r="A147" s="24" t="s">
        <v>126</v>
      </c>
      <c r="B147" t="str">
        <f t="shared" si="6"/>
        <v>00023345760K6</v>
      </c>
      <c r="D147" s="17" t="s">
        <v>638</v>
      </c>
      <c r="E147" t="s">
        <v>482</v>
      </c>
      <c r="F147" t="s">
        <v>473</v>
      </c>
      <c r="G147" t="str">
        <f t="shared" si="7"/>
        <v>RICHARD ANDERSON</v>
      </c>
    </row>
    <row r="148" spans="1:7">
      <c r="A148" s="24" t="s">
        <v>246</v>
      </c>
      <c r="B148" t="str">
        <f t="shared" si="6"/>
        <v>00023322186K6</v>
      </c>
      <c r="D148" s="17" t="s">
        <v>697</v>
      </c>
      <c r="E148" t="s">
        <v>698</v>
      </c>
      <c r="G148" t="str">
        <f t="shared" si="7"/>
        <v>PORFIRIO ROMAN</v>
      </c>
    </row>
    <row r="149" spans="1:7">
      <c r="A149" s="24" t="s">
        <v>116</v>
      </c>
      <c r="B149" t="str">
        <f t="shared" si="6"/>
        <v>00021801538K6</v>
      </c>
      <c r="D149" s="17" t="s">
        <v>699</v>
      </c>
      <c r="E149" t="s">
        <v>700</v>
      </c>
      <c r="F149" t="s">
        <v>470</v>
      </c>
      <c r="G149" t="str">
        <f t="shared" si="7"/>
        <v>DUANE ORLANDO</v>
      </c>
    </row>
    <row r="150" spans="1:7">
      <c r="A150" s="24" t="s">
        <v>132</v>
      </c>
      <c r="B150" t="str">
        <f t="shared" si="6"/>
        <v>00023381885K6</v>
      </c>
      <c r="D150" s="18" t="s">
        <v>663</v>
      </c>
      <c r="E150" t="s">
        <v>485</v>
      </c>
      <c r="F150" t="s">
        <v>470</v>
      </c>
      <c r="G150" t="str">
        <f t="shared" si="7"/>
        <v>MICHAEL WILTGEN</v>
      </c>
    </row>
    <row r="151" spans="1:7">
      <c r="A151" s="24" t="s">
        <v>207</v>
      </c>
      <c r="B151" t="str">
        <f t="shared" si="6"/>
        <v>00023385843K6</v>
      </c>
      <c r="D151" s="18" t="s">
        <v>664</v>
      </c>
      <c r="E151" t="s">
        <v>636</v>
      </c>
      <c r="F151" t="s">
        <v>118</v>
      </c>
      <c r="G151" t="str">
        <f t="shared" si="7"/>
        <v>ROGER GARBACZ</v>
      </c>
    </row>
    <row r="152" spans="1:7">
      <c r="A152" s="24" t="s">
        <v>106</v>
      </c>
      <c r="B152" t="str">
        <f t="shared" si="6"/>
        <v>00023375098K6</v>
      </c>
      <c r="D152" s="18" t="s">
        <v>665</v>
      </c>
      <c r="E152" t="s">
        <v>666</v>
      </c>
      <c r="F152" t="s">
        <v>118</v>
      </c>
      <c r="G152" t="str">
        <f t="shared" si="7"/>
        <v>DEBORAH PETTERSEN</v>
      </c>
    </row>
    <row r="153" spans="1:7">
      <c r="A153" s="24" t="s">
        <v>73</v>
      </c>
      <c r="B153" t="str">
        <f t="shared" si="6"/>
        <v>00014035131K6</v>
      </c>
      <c r="D153" s="18" t="s">
        <v>619</v>
      </c>
      <c r="E153" t="s">
        <v>620</v>
      </c>
      <c r="F153" t="s">
        <v>467</v>
      </c>
      <c r="G153" t="str">
        <f t="shared" si="7"/>
        <v>LINDA KOSAR</v>
      </c>
    </row>
    <row r="154" spans="1:7">
      <c r="A154" s="24" t="s">
        <v>158</v>
      </c>
      <c r="B154" t="str">
        <f t="shared" si="6"/>
        <v>00023387842K6</v>
      </c>
      <c r="D154" s="18" t="s">
        <v>619</v>
      </c>
      <c r="E154" t="s">
        <v>523</v>
      </c>
      <c r="F154" t="s">
        <v>473</v>
      </c>
      <c r="G154" t="str">
        <f t="shared" si="7"/>
        <v>DAVID KOSAR</v>
      </c>
    </row>
    <row r="155" spans="1:7">
      <c r="A155" s="24" t="s">
        <v>62</v>
      </c>
      <c r="B155" t="str">
        <f t="shared" si="6"/>
        <v>00023380373K6</v>
      </c>
      <c r="D155" s="18" t="s">
        <v>667</v>
      </c>
      <c r="E155" t="s">
        <v>668</v>
      </c>
      <c r="F155" t="s">
        <v>470</v>
      </c>
      <c r="G155" t="str">
        <f t="shared" si="7"/>
        <v>RANDOLPH DICKSON</v>
      </c>
    </row>
    <row r="156" spans="1:7">
      <c r="A156" s="24" t="s">
        <v>132</v>
      </c>
      <c r="B156" t="str">
        <f t="shared" si="6"/>
        <v>00023381885K6</v>
      </c>
      <c r="D156" s="18" t="s">
        <v>669</v>
      </c>
      <c r="E156" t="s">
        <v>460</v>
      </c>
      <c r="G156" t="str">
        <f t="shared" si="7"/>
        <v>JOHN KIM</v>
      </c>
    </row>
    <row r="157" spans="1:7">
      <c r="A157" s="24" t="s">
        <v>155</v>
      </c>
      <c r="B157" t="str">
        <f t="shared" si="6"/>
        <v>00023381691K6</v>
      </c>
      <c r="D157" s="18" t="s">
        <v>670</v>
      </c>
      <c r="E157" t="s">
        <v>662</v>
      </c>
      <c r="F157" t="s">
        <v>480</v>
      </c>
      <c r="G157" t="str">
        <f t="shared" si="7"/>
        <v>KATHERINE FOLTZ</v>
      </c>
    </row>
    <row r="158" spans="1:7">
      <c r="A158" s="24" t="s">
        <v>192</v>
      </c>
      <c r="B158" t="str">
        <f t="shared" si="6"/>
        <v>00023387383K6</v>
      </c>
      <c r="D158" s="18" t="s">
        <v>671</v>
      </c>
      <c r="E158" t="s">
        <v>672</v>
      </c>
      <c r="F158" t="s">
        <v>118</v>
      </c>
      <c r="G158" t="str">
        <f t="shared" si="7"/>
        <v>VERNON SWEARENGIN</v>
      </c>
    </row>
    <row r="159" spans="1:7">
      <c r="A159" s="24" t="s">
        <v>152</v>
      </c>
      <c r="B159" t="str">
        <f t="shared" si="6"/>
        <v>00023376956K6</v>
      </c>
      <c r="D159" s="18" t="s">
        <v>673</v>
      </c>
      <c r="E159" t="s">
        <v>523</v>
      </c>
      <c r="F159" t="s">
        <v>486</v>
      </c>
      <c r="G159" t="str">
        <f t="shared" si="7"/>
        <v>DAVID DRAPER</v>
      </c>
    </row>
    <row r="160" spans="1:7">
      <c r="A160" s="24" t="s">
        <v>57</v>
      </c>
      <c r="B160" t="str">
        <f t="shared" si="6"/>
        <v>00023380372K6</v>
      </c>
      <c r="D160" s="18" t="s">
        <v>674</v>
      </c>
      <c r="E160" t="s">
        <v>675</v>
      </c>
      <c r="F160" t="s">
        <v>560</v>
      </c>
      <c r="G160" t="str">
        <f t="shared" si="7"/>
        <v>JASON HUBBARD</v>
      </c>
    </row>
    <row r="161" spans="1:7">
      <c r="A161" s="24" t="s">
        <v>162</v>
      </c>
      <c r="B161" t="str">
        <f t="shared" si="6"/>
        <v>00010609758K6</v>
      </c>
      <c r="D161" s="18" t="s">
        <v>676</v>
      </c>
      <c r="E161" t="s">
        <v>677</v>
      </c>
      <c r="F161" t="s">
        <v>560</v>
      </c>
      <c r="G161" t="str">
        <f t="shared" si="7"/>
        <v>WILLIAMSON WALKER</v>
      </c>
    </row>
    <row r="162" spans="1:7">
      <c r="A162" s="24" t="s">
        <v>112</v>
      </c>
      <c r="B162" t="str">
        <f t="shared" si="6"/>
        <v>00023379399K6</v>
      </c>
      <c r="D162" s="18" t="s">
        <v>625</v>
      </c>
      <c r="E162" t="s">
        <v>495</v>
      </c>
      <c r="F162" t="s">
        <v>476</v>
      </c>
      <c r="G162" t="str">
        <f t="shared" si="7"/>
        <v>THERESA LOVASIK</v>
      </c>
    </row>
    <row r="163" spans="1:7">
      <c r="A163" s="24" t="s">
        <v>207</v>
      </c>
      <c r="B163" t="str">
        <f t="shared" si="6"/>
        <v>00023385843K6</v>
      </c>
      <c r="D163" s="18" t="s">
        <v>625</v>
      </c>
      <c r="E163" t="s">
        <v>626</v>
      </c>
      <c r="G163" t="str">
        <f t="shared" si="7"/>
        <v>PETR LOVASIK</v>
      </c>
    </row>
    <row r="164" spans="1:7">
      <c r="A164" s="24" t="s">
        <v>109</v>
      </c>
      <c r="B164" t="str">
        <f t="shared" si="6"/>
        <v>00023376879K6</v>
      </c>
      <c r="D164" s="18" t="s">
        <v>678</v>
      </c>
      <c r="E164" t="s">
        <v>679</v>
      </c>
      <c r="G164" t="str">
        <f t="shared" si="7"/>
        <v>GURBACHAN SINGH</v>
      </c>
    </row>
    <row r="165" spans="1:7">
      <c r="A165" s="24" t="s">
        <v>242</v>
      </c>
      <c r="B165" t="str">
        <f t="shared" si="6"/>
        <v>00022869335K6</v>
      </c>
      <c r="D165" s="18" t="s">
        <v>680</v>
      </c>
      <c r="E165" t="s">
        <v>681</v>
      </c>
      <c r="F165" t="s">
        <v>486</v>
      </c>
      <c r="G165" t="str">
        <f t="shared" si="7"/>
        <v>KEITH STRICKER</v>
      </c>
    </row>
    <row r="166" spans="1:7">
      <c r="A166" s="24" t="s">
        <v>239</v>
      </c>
      <c r="B166" t="str">
        <f t="shared" si="6"/>
        <v>00022508972K6</v>
      </c>
      <c r="D166" s="18" t="s">
        <v>682</v>
      </c>
      <c r="E166" t="s">
        <v>485</v>
      </c>
      <c r="F166" t="s">
        <v>486</v>
      </c>
      <c r="G166" t="str">
        <f t="shared" si="7"/>
        <v>MICHAEL BENEDICT</v>
      </c>
    </row>
    <row r="167" spans="1:7">
      <c r="A167" s="24" t="s">
        <v>181</v>
      </c>
      <c r="B167" t="str">
        <f t="shared" si="6"/>
        <v>00011895530K6</v>
      </c>
      <c r="D167" s="18" t="s">
        <v>628</v>
      </c>
      <c r="E167" t="s">
        <v>620</v>
      </c>
      <c r="G167" t="str">
        <f t="shared" si="7"/>
        <v>LINDA BERGSTROM</v>
      </c>
    </row>
    <row r="168" spans="1:7">
      <c r="A168" s="24" t="s">
        <v>145</v>
      </c>
      <c r="B168" t="str">
        <f t="shared" si="6"/>
        <v>00023318422K6</v>
      </c>
      <c r="D168" s="18" t="s">
        <v>629</v>
      </c>
      <c r="E168" t="s">
        <v>630</v>
      </c>
      <c r="F168" t="s">
        <v>630</v>
      </c>
      <c r="G168" t="str">
        <f t="shared" si="7"/>
        <v>HOWARD BOONE</v>
      </c>
    </row>
    <row r="169" spans="1:7">
      <c r="A169" s="24" t="s">
        <v>132</v>
      </c>
      <c r="B169" t="str">
        <f t="shared" si="6"/>
        <v>00023381885K6</v>
      </c>
      <c r="D169" s="18" t="s">
        <v>683</v>
      </c>
      <c r="E169" t="s">
        <v>684</v>
      </c>
      <c r="F169" t="s">
        <v>486</v>
      </c>
      <c r="G169" t="str">
        <f t="shared" si="7"/>
        <v>BILL SAUSER</v>
      </c>
    </row>
    <row r="170" spans="1:7">
      <c r="A170" s="24" t="s">
        <v>207</v>
      </c>
      <c r="B170" t="str">
        <f t="shared" si="6"/>
        <v>00023385843K6</v>
      </c>
      <c r="D170" s="18" t="s">
        <v>685</v>
      </c>
      <c r="E170" t="s">
        <v>686</v>
      </c>
      <c r="G170" t="str">
        <f t="shared" si="7"/>
        <v>JUCELIA IZENSTARK</v>
      </c>
    </row>
    <row r="171" spans="1:7">
      <c r="A171" s="26" t="s">
        <v>359</v>
      </c>
      <c r="B171" t="str">
        <f>_xlfn.CONCAT(A171,8)</f>
        <v>00000804864A8</v>
      </c>
      <c r="D171" s="18" t="s">
        <v>687</v>
      </c>
      <c r="E171" t="s">
        <v>688</v>
      </c>
      <c r="F171" t="s">
        <v>483</v>
      </c>
      <c r="G171" t="str">
        <f t="shared" si="7"/>
        <v>TIMOTHY PUTMAN</v>
      </c>
    </row>
    <row r="172" spans="1:7">
      <c r="A172" s="26" t="s">
        <v>337</v>
      </c>
      <c r="B172" t="str">
        <f>_xlfn.CONCAT(A172,8)</f>
        <v>00000754585A8</v>
      </c>
      <c r="D172" s="18" t="s">
        <v>689</v>
      </c>
      <c r="E172" t="s">
        <v>531</v>
      </c>
      <c r="F172" t="s">
        <v>480</v>
      </c>
      <c r="G172" t="str">
        <f t="shared" si="7"/>
        <v>JAMES ZARDESKAS</v>
      </c>
    </row>
    <row r="173" spans="1:7">
      <c r="A173" s="25" t="s">
        <v>188</v>
      </c>
      <c r="B173" t="str">
        <f>_xlfn.CONCAT(A173,9)</f>
        <v>00023379873K9</v>
      </c>
      <c r="D173" s="18" t="s">
        <v>690</v>
      </c>
      <c r="E173" t="s">
        <v>691</v>
      </c>
      <c r="G173" t="str">
        <f t="shared" si="7"/>
        <v>SYLVIA KARAKOSTA</v>
      </c>
    </row>
    <row r="174" spans="1:7">
      <c r="A174" s="25" t="s">
        <v>235</v>
      </c>
      <c r="B174" t="str">
        <f t="shared" ref="B174:B181" si="8">_xlfn.CONCAT(A174,9)</f>
        <v>00023330660K9</v>
      </c>
      <c r="D174" s="18" t="s">
        <v>692</v>
      </c>
      <c r="E174" t="s">
        <v>693</v>
      </c>
      <c r="F174" t="s">
        <v>476</v>
      </c>
      <c r="G174" t="str">
        <f t="shared" si="7"/>
        <v>JEANNE RODECK</v>
      </c>
    </row>
    <row r="175" spans="1:7">
      <c r="A175" s="25" t="s">
        <v>223</v>
      </c>
      <c r="B175" t="str">
        <f t="shared" si="8"/>
        <v>00023312330K9</v>
      </c>
      <c r="D175" s="18" t="s">
        <v>623</v>
      </c>
      <c r="E175" t="s">
        <v>624</v>
      </c>
      <c r="G175" t="str">
        <f t="shared" si="7"/>
        <v>ELVIRA SANCHEZ</v>
      </c>
    </row>
    <row r="176" spans="1:7">
      <c r="A176" s="25" t="s">
        <v>231</v>
      </c>
      <c r="B176" t="str">
        <f t="shared" si="8"/>
        <v>00023312492K9</v>
      </c>
      <c r="D176" s="18" t="s">
        <v>694</v>
      </c>
      <c r="E176" t="s">
        <v>695</v>
      </c>
      <c r="F176" t="s">
        <v>480</v>
      </c>
      <c r="G176" t="str">
        <f t="shared" si="7"/>
        <v>LAURA BERGERSEN</v>
      </c>
    </row>
    <row r="177" spans="1:7">
      <c r="A177" s="25" t="s">
        <v>211</v>
      </c>
      <c r="B177" t="str">
        <f t="shared" si="8"/>
        <v>00023335925K9</v>
      </c>
      <c r="D177" s="18" t="s">
        <v>524</v>
      </c>
      <c r="E177" t="s">
        <v>696</v>
      </c>
      <c r="F177" t="s">
        <v>483</v>
      </c>
      <c r="G177" t="str">
        <f t="shared" si="7"/>
        <v>MARSHA WILLIAMS</v>
      </c>
    </row>
    <row r="178" spans="1:7">
      <c r="A178" s="25" t="s">
        <v>227</v>
      </c>
      <c r="B178" t="str">
        <f t="shared" si="8"/>
        <v>00023368889K9</v>
      </c>
      <c r="D178" s="17" t="s">
        <v>627</v>
      </c>
      <c r="E178" t="s">
        <v>520</v>
      </c>
      <c r="G178" t="str">
        <f t="shared" si="7"/>
        <v>EDWARD WARDA</v>
      </c>
    </row>
    <row r="179" spans="1:7">
      <c r="A179" s="25" t="s">
        <v>185</v>
      </c>
      <c r="B179" t="str">
        <f t="shared" si="8"/>
        <v>00023366415K9</v>
      </c>
      <c r="D179" s="17" t="s">
        <v>638</v>
      </c>
      <c r="E179" t="s">
        <v>482</v>
      </c>
      <c r="F179" t="s">
        <v>473</v>
      </c>
      <c r="G179" t="str">
        <f t="shared" si="7"/>
        <v>RICHARD ANDERSON</v>
      </c>
    </row>
    <row r="180" spans="1:7">
      <c r="A180" s="25" t="s">
        <v>196</v>
      </c>
      <c r="B180" t="str">
        <f t="shared" si="8"/>
        <v>00023335576K9</v>
      </c>
      <c r="D180" s="18" t="s">
        <v>697</v>
      </c>
      <c r="E180" t="s">
        <v>698</v>
      </c>
      <c r="G180" t="str">
        <f t="shared" si="7"/>
        <v>PORFIRIO ROMAN</v>
      </c>
    </row>
    <row r="181" spans="1:7">
      <c r="A181" s="25" t="s">
        <v>169</v>
      </c>
      <c r="B181" t="str">
        <f t="shared" si="8"/>
        <v>00023328919K9</v>
      </c>
      <c r="D181" s="18" t="s">
        <v>699</v>
      </c>
      <c r="E181" t="s">
        <v>700</v>
      </c>
      <c r="F181" t="s">
        <v>470</v>
      </c>
      <c r="G181" t="str">
        <f t="shared" si="7"/>
        <v>DUANE ORLANDO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CommissionData_1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</cp:lastModifiedBy>
  <dcterms:created xsi:type="dcterms:W3CDTF">2025-06-05T19:45:45Z</dcterms:created>
  <dcterms:modified xsi:type="dcterms:W3CDTF">2025-06-06T15:36:26Z</dcterms:modified>
</cp:coreProperties>
</file>