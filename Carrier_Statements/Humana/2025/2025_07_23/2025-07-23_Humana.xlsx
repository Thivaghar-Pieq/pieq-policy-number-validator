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07-23-25\"/>
    </mc:Choice>
  </mc:AlternateContent>
  <xr:revisionPtr revIDLastSave="0" documentId="13_ncr:1_{E9FB1746-00AC-4E84-96DF-232FA3D77B37}" xr6:coauthVersionLast="47" xr6:coauthVersionMax="47" xr10:uidLastSave="{00000000-0000-0000-0000-000000000000}"/>
  <bookViews>
    <workbookView xWindow="28680" yWindow="-120" windowWidth="29040" windowHeight="16440" activeTab="1" xr2:uid="{69585F2E-0036-42FB-B978-EC2808081992}"/>
  </bookViews>
  <sheets>
    <sheet name="CommissionData_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W4" i="2" l="1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3" i="2"/>
  <c r="T20" i="2"/>
  <c r="T19" i="2"/>
  <c r="T18" i="2"/>
  <c r="T21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  <c r="P14" i="2"/>
  <c r="P12" i="2"/>
  <c r="P7" i="2"/>
  <c r="P5" i="2"/>
</calcChain>
</file>

<file path=xl/sharedStrings.xml><?xml version="1.0" encoding="utf-8"?>
<sst xmlns="http://schemas.openxmlformats.org/spreadsheetml/2006/main" count="863" uniqueCount="210">
  <si>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</si>
  <si>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</si>
  <si>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</si>
  <si>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</si>
  <si>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</si>
  <si>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</si>
  <si>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</si>
  <si>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</si>
  <si>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</si>
  <si>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</si>
  <si>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</si>
  <si>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</si>
  <si>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</si>
  <si>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</si>
  <si>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</si>
  <si>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</si>
  <si>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</si>
  <si>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</si>
  <si>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</si>
  <si>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</si>
  <si>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</si>
  <si>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</si>
  <si>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</si>
  <si>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</si>
  <si>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</si>
  <si>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</si>
  <si>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</si>
  <si>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</si>
  <si>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</si>
  <si>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</si>
  <si>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</si>
  <si>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</si>
  <si>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</si>
  <si>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</si>
  <si>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</si>
  <si>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</si>
  <si>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</si>
  <si>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</si>
  <si>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</si>
  <si>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</si>
  <si>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</si>
  <si>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</si>
  <si>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</si>
  <si>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YAZZIE CHARLENE M</t>
  </si>
  <si>
    <t>00023414341K</t>
  </si>
  <si>
    <t>5KJ9AU5XK14</t>
  </si>
  <si>
    <t/>
  </si>
  <si>
    <t>MA</t>
  </si>
  <si>
    <t>LV</t>
  </si>
  <si>
    <t>AUG</t>
  </si>
  <si>
    <t>F</t>
  </si>
  <si>
    <t>MEDICARE</t>
  </si>
  <si>
    <t>MEP</t>
  </si>
  <si>
    <t>FIRST YEAR COMMISSIONS</t>
  </si>
  <si>
    <t>ARCF</t>
  </si>
  <si>
    <t>H5216</t>
  </si>
  <si>
    <t>HUNSBERGER ANTHONY J</t>
  </si>
  <si>
    <t>COSTELLO TRACY A</t>
  </si>
  <si>
    <t>00023488812K</t>
  </si>
  <si>
    <t>6NP4HK4GG94</t>
  </si>
  <si>
    <t>OCT</t>
  </si>
  <si>
    <t>MER</t>
  </si>
  <si>
    <t>H1468</t>
  </si>
  <si>
    <t>YALE RICHARD A A</t>
  </si>
  <si>
    <t>CHESNIAK RAYMOND</t>
  </si>
  <si>
    <t>00023498384K</t>
  </si>
  <si>
    <t>8A09XJ2RY57</t>
  </si>
  <si>
    <t>DRAPAC STEPHANIE E</t>
  </si>
  <si>
    <t>LEJECK EDWARD C</t>
  </si>
  <si>
    <t>00023499366K</t>
  </si>
  <si>
    <t>6W98CT5RA10</t>
  </si>
  <si>
    <t>HERRERA-LARSEN ESTHER M</t>
  </si>
  <si>
    <t>BIESCHKE JEANNE A</t>
  </si>
  <si>
    <t>00023498110K</t>
  </si>
  <si>
    <t>5JY2V19CV04</t>
  </si>
  <si>
    <t>FOLEY CAROL</t>
  </si>
  <si>
    <t>HUNTER JEFF M</t>
  </si>
  <si>
    <t>00023502164K</t>
  </si>
  <si>
    <t>4K22GE3DH87</t>
  </si>
  <si>
    <t>INSKIPT DEBORAH L</t>
  </si>
  <si>
    <t>KELLEY WILLIAM B</t>
  </si>
  <si>
    <t>00022424586K</t>
  </si>
  <si>
    <t>3AV5EQ0RD57</t>
  </si>
  <si>
    <t>JAN</t>
  </si>
  <si>
    <t>H5525</t>
  </si>
  <si>
    <t>PORTUGAL GARY</t>
  </si>
  <si>
    <t>TORRES ORTIZ EDWIN</t>
  </si>
  <si>
    <t>00022971348K</t>
  </si>
  <si>
    <t>8AK1TK3YP80</t>
  </si>
  <si>
    <t>FEB</t>
  </si>
  <si>
    <t>MEDICARE 2ND HALF FIRST YEAR COMM</t>
  </si>
  <si>
    <t>MED2</t>
  </si>
  <si>
    <t>H1036</t>
  </si>
  <si>
    <t>KUZMANKO DAVID</t>
  </si>
  <si>
    <t>00023488597K</t>
  </si>
  <si>
    <t>3YG8EC0NX42</t>
  </si>
  <si>
    <t>YALE JACOB D</t>
  </si>
  <si>
    <t>WENGERSKI ANITA L</t>
  </si>
  <si>
    <t>00023502071K</t>
  </si>
  <si>
    <t>4TA1K56XY80</t>
  </si>
  <si>
    <t>MAX RONALD J</t>
  </si>
  <si>
    <t>MAZUREK PEGGY A</t>
  </si>
  <si>
    <t>00023497311K</t>
  </si>
  <si>
    <t>6E53R94YQ76</t>
  </si>
  <si>
    <t>PDP</t>
  </si>
  <si>
    <t>S5884</t>
  </si>
  <si>
    <t>SANTOS RICARDO D</t>
  </si>
  <si>
    <t>FUSILERO DARLINO M</t>
  </si>
  <si>
    <t>00017112048K</t>
  </si>
  <si>
    <t>5KH6NJ1XM54</t>
  </si>
  <si>
    <t>DUNAVANT MICHAEL</t>
  </si>
  <si>
    <t>BIRCKELBAW JACKI D</t>
  </si>
  <si>
    <t>00023486977K</t>
  </si>
  <si>
    <t>6VK7X30DQ39</t>
  </si>
  <si>
    <t>SEP</t>
  </si>
  <si>
    <t>SANDEROCK MARSHA</t>
  </si>
  <si>
    <t>DUNLAP II NORMAND G</t>
  </si>
  <si>
    <t>00023496128K</t>
  </si>
  <si>
    <t>3PW7EF8DV52</t>
  </si>
  <si>
    <t>LAIN TERESA A</t>
  </si>
  <si>
    <t>00023501543K</t>
  </si>
  <si>
    <t>6GH0DE0HD17</t>
  </si>
  <si>
    <t>SCHUBERT DAVID</t>
  </si>
  <si>
    <t>00000789641A</t>
  </si>
  <si>
    <t>MS</t>
  </si>
  <si>
    <t>R</t>
  </si>
  <si>
    <t>MED SUPP RENEWAL ACHIEVE</t>
  </si>
  <si>
    <t>MSRA</t>
  </si>
  <si>
    <t>CARDOSI KAREN E</t>
  </si>
  <si>
    <t>00000828881A</t>
  </si>
  <si>
    <t>Casella Penelope A</t>
  </si>
  <si>
    <t>9030804870</t>
  </si>
  <si>
    <t>IN</t>
  </si>
  <si>
    <t>CB</t>
  </si>
  <si>
    <t>VISION</t>
  </si>
  <si>
    <t>COMPBENEFITS FIRST YEAR COMMISSION</t>
  </si>
  <si>
    <t>CRCF</t>
  </si>
  <si>
    <t>SCHUMANN BARRY L</t>
  </si>
  <si>
    <t>OAK PARK HANDYHUMAN</t>
  </si>
  <si>
    <t>000000412777</t>
  </si>
  <si>
    <t>GR</t>
  </si>
  <si>
    <t>EM</t>
  </si>
  <si>
    <t>APR</t>
  </si>
  <si>
    <t>DENTAL</t>
  </si>
  <si>
    <t>17528908N</t>
  </si>
  <si>
    <t>Humana PDP 2025!</t>
  </si>
  <si>
    <t>Humana Dental &amp; Vision</t>
  </si>
  <si>
    <t>Humana Group 2025</t>
  </si>
  <si>
    <t>Humana AL, AZ, AR, GA, etc. Plan N OE &amp; UW</t>
  </si>
  <si>
    <t>Humana 65-80 AL, AZ, AR, GA, etc. All Except N OE &amp; UW</t>
  </si>
  <si>
    <t>Humana 2025 CT, PA, DC *</t>
  </si>
  <si>
    <t>[%/$=353][prorate=5/12]</t>
  </si>
  <si>
    <t>[%/$=313][prorate=5/12]</t>
  </si>
  <si>
    <t>[%/$=313][prorate=3/12]</t>
  </si>
  <si>
    <t>[%/$=313][prorate=4/12]</t>
  </si>
  <si>
    <t>[%/$=313][prorate=7/12]</t>
  </si>
  <si>
    <t>SCHUBERT</t>
  </si>
  <si>
    <t>DAVID</t>
  </si>
  <si>
    <t>CARDOSI</t>
  </si>
  <si>
    <t>KAREN</t>
  </si>
  <si>
    <t>LEJECK</t>
  </si>
  <si>
    <t>EDWARD</t>
  </si>
  <si>
    <t>HUNTER</t>
  </si>
  <si>
    <t>JEFF</t>
  </si>
  <si>
    <t>BIESCHKE</t>
  </si>
  <si>
    <t>JEANNE</t>
  </si>
  <si>
    <t>KELLEY</t>
  </si>
  <si>
    <t>WILLIAM</t>
  </si>
  <si>
    <t>YAZZIE</t>
  </si>
  <si>
    <t>CHARLENE</t>
  </si>
  <si>
    <t>KUZMANKO</t>
  </si>
  <si>
    <t>CHESNIAK</t>
  </si>
  <si>
    <t>RAYMOND</t>
  </si>
  <si>
    <t>BIRCKELBAW</t>
  </si>
  <si>
    <t>JACKI</t>
  </si>
  <si>
    <t>COSTELLO</t>
  </si>
  <si>
    <t>TRACY</t>
  </si>
  <si>
    <t>TORRES</t>
  </si>
  <si>
    <t>EDWIN</t>
  </si>
  <si>
    <t>FUSILERO</t>
  </si>
  <si>
    <t>DARLINO</t>
  </si>
  <si>
    <t>WENGERSKI</t>
  </si>
  <si>
    <t>ANITA</t>
  </si>
  <si>
    <t>MAZUREK</t>
  </si>
  <si>
    <t>PEGGY</t>
  </si>
  <si>
    <t>DUNLAP</t>
  </si>
  <si>
    <t>NORMAND</t>
  </si>
  <si>
    <t>LAIN</t>
  </si>
  <si>
    <t>TERESA</t>
  </si>
  <si>
    <t>Casella</t>
  </si>
  <si>
    <t>Penelope</t>
  </si>
  <si>
    <t>DAVID SCHUBERT</t>
  </si>
  <si>
    <t>KAREN CARDOSI</t>
  </si>
  <si>
    <t>EDWARD LEJECK</t>
  </si>
  <si>
    <t>JEFF HUNTER</t>
  </si>
  <si>
    <t>JEANNE BIESCHKE</t>
  </si>
  <si>
    <t>WILLIAM KELLEY</t>
  </si>
  <si>
    <t>CHARLENE YAZZIE</t>
  </si>
  <si>
    <t>DAVID KUZMANKO</t>
  </si>
  <si>
    <t>RAYMOND CHESNIAK</t>
  </si>
  <si>
    <t>JACKI BIRCKELBAW</t>
  </si>
  <si>
    <t>TRACY COSTELLO</t>
  </si>
  <si>
    <t>EDWIN TORRES</t>
  </si>
  <si>
    <t>DARLINO FUSILERO</t>
  </si>
  <si>
    <t>ANITA WENGERSKI</t>
  </si>
  <si>
    <t>PEGGY MAZUREK</t>
  </si>
  <si>
    <t>NORMAND DUNLAP</t>
  </si>
  <si>
    <t>TERESA LAIN</t>
  </si>
  <si>
    <t>Penelope Casella</t>
  </si>
  <si>
    <t>Humana MAPD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</si>
</sst>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0" fontId="19" fillId="0" borderId="0" xfId="0" applyFont="1"/>
    <xf numFmtId="1" fontId="19" fillId="0" borderId="0" xfId="0" applyNumberFormat="1" applyFont="1"/>
    <xf numFmtId="0" fontId="0" fillId="0" borderId="0" xfId="0" applyAlignment="1">
      <alignment horizontal="left" vertical="top"/>
    </xf>
    <xf numFmtId="49" fontId="19" fillId="0" borderId="0" xfId="0" applyNumberFormat="1" applyFont="1" applyAlignment="1">
      <alignment horizontal="left" vertical="top"/>
    </xf>
    <xf numFmtId="0" fontId="19" fillId="0" borderId="0" xfId="0" applyFon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B99D1-5A62-49DE-9343-FA69CAEA2177}">
  <dimension ref="A1:AP21"/>
  <sheetViews>
    <sheetView topLeftCell="J1" workbookViewId="0">
      <selection activeCell="J1" sqref="A1:XFD104857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45861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629549485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45870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0.42</v>
      </c>
      <c r="W2" s="5">
        <v>0</v>
      </c>
      <c r="X2" s="5">
        <v>100</v>
      </c>
      <c r="Y2" s="5">
        <v>130.41999999999999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45870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45861</v>
      </c>
      <c r="C3" s="4" t="s">
        <v>56</v>
      </c>
      <c r="D3" s="2">
        <v>1510420</v>
      </c>
      <c r="E3" s="4" t="s">
        <v>57</v>
      </c>
      <c r="F3" s="4" t="s">
        <v>58</v>
      </c>
      <c r="G3" s="2">
        <v>214042123</v>
      </c>
      <c r="H3" s="4" t="s">
        <v>59</v>
      </c>
      <c r="I3" s="4" t="s">
        <v>46</v>
      </c>
      <c r="J3" s="4" t="s">
        <v>47</v>
      </c>
      <c r="K3" s="4" t="s">
        <v>48</v>
      </c>
      <c r="L3" s="3">
        <v>45931</v>
      </c>
      <c r="M3" s="4" t="s">
        <v>60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61</v>
      </c>
      <c r="U3" s="4" t="s">
        <v>46</v>
      </c>
      <c r="V3" s="5">
        <v>0.25</v>
      </c>
      <c r="W3" s="5">
        <v>0</v>
      </c>
      <c r="X3" s="5">
        <v>100</v>
      </c>
      <c r="Y3" s="5">
        <v>78.25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45931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62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45861</v>
      </c>
      <c r="C4" s="4" t="s">
        <v>63</v>
      </c>
      <c r="D4" s="2">
        <v>1573279</v>
      </c>
      <c r="E4" s="4" t="s">
        <v>64</v>
      </c>
      <c r="F4" s="4" t="s">
        <v>65</v>
      </c>
      <c r="G4" s="2">
        <v>671669404</v>
      </c>
      <c r="H4" s="4" t="s">
        <v>66</v>
      </c>
      <c r="I4" s="4" t="s">
        <v>46</v>
      </c>
      <c r="J4" s="4" t="s">
        <v>47</v>
      </c>
      <c r="K4" s="4" t="s">
        <v>48</v>
      </c>
      <c r="L4" s="3">
        <v>45870</v>
      </c>
      <c r="M4" s="4" t="s">
        <v>49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52</v>
      </c>
      <c r="U4" s="4" t="s">
        <v>46</v>
      </c>
      <c r="V4" s="5">
        <v>0.42</v>
      </c>
      <c r="W4" s="5">
        <v>0</v>
      </c>
      <c r="X4" s="5">
        <v>100</v>
      </c>
      <c r="Y4" s="5">
        <v>130.41999999999999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45870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55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45861</v>
      </c>
      <c r="C5" s="4" t="s">
        <v>67</v>
      </c>
      <c r="D5" s="2">
        <v>1626475</v>
      </c>
      <c r="E5" s="4" t="s">
        <v>68</v>
      </c>
      <c r="F5" s="4" t="s">
        <v>69</v>
      </c>
      <c r="G5" s="2">
        <v>986660532</v>
      </c>
      <c r="H5" s="4" t="s">
        <v>70</v>
      </c>
      <c r="I5" s="4" t="s">
        <v>46</v>
      </c>
      <c r="J5" s="4" t="s">
        <v>47</v>
      </c>
      <c r="K5" s="4" t="s">
        <v>48</v>
      </c>
      <c r="L5" s="3">
        <v>45870</v>
      </c>
      <c r="M5" s="4" t="s">
        <v>49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52</v>
      </c>
      <c r="U5" s="4" t="s">
        <v>46</v>
      </c>
      <c r="V5" s="5">
        <v>0.42</v>
      </c>
      <c r="W5" s="5">
        <v>0</v>
      </c>
      <c r="X5" s="5">
        <v>100</v>
      </c>
      <c r="Y5" s="5">
        <v>130.41999999999999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45870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55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45861</v>
      </c>
      <c r="C6" s="4" t="s">
        <v>71</v>
      </c>
      <c r="D6" s="2">
        <v>1646082</v>
      </c>
      <c r="E6" s="4" t="s">
        <v>72</v>
      </c>
      <c r="F6" s="4" t="s">
        <v>73</v>
      </c>
      <c r="G6" s="2">
        <v>554171124</v>
      </c>
      <c r="H6" s="4" t="s">
        <v>74</v>
      </c>
      <c r="I6" s="4" t="s">
        <v>46</v>
      </c>
      <c r="J6" s="4" t="s">
        <v>47</v>
      </c>
      <c r="K6" s="4" t="s">
        <v>48</v>
      </c>
      <c r="L6" s="3">
        <v>45931</v>
      </c>
      <c r="M6" s="4" t="s">
        <v>60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52</v>
      </c>
      <c r="U6" s="4" t="s">
        <v>46</v>
      </c>
      <c r="V6" s="5">
        <v>0.25</v>
      </c>
      <c r="W6" s="5">
        <v>0</v>
      </c>
      <c r="X6" s="5">
        <v>100</v>
      </c>
      <c r="Y6" s="5">
        <v>78.25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45931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55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45861</v>
      </c>
      <c r="C7" s="4" t="s">
        <v>75</v>
      </c>
      <c r="D7" s="2">
        <v>1673202</v>
      </c>
      <c r="E7" s="4" t="s">
        <v>76</v>
      </c>
      <c r="F7" s="4" t="s">
        <v>77</v>
      </c>
      <c r="G7" s="2">
        <v>486551630</v>
      </c>
      <c r="H7" s="4" t="s">
        <v>78</v>
      </c>
      <c r="I7" s="4" t="s">
        <v>46</v>
      </c>
      <c r="J7" s="4" t="s">
        <v>47</v>
      </c>
      <c r="K7" s="4" t="s">
        <v>48</v>
      </c>
      <c r="L7" s="3">
        <v>45870</v>
      </c>
      <c r="M7" s="4" t="s">
        <v>49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52</v>
      </c>
      <c r="U7" s="4" t="s">
        <v>46</v>
      </c>
      <c r="V7" s="5">
        <v>0.42</v>
      </c>
      <c r="W7" s="5">
        <v>0</v>
      </c>
      <c r="X7" s="5">
        <v>100</v>
      </c>
      <c r="Y7" s="5">
        <v>130.41999999999999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45870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55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45861</v>
      </c>
      <c r="C8" s="4" t="s">
        <v>79</v>
      </c>
      <c r="D8" s="2">
        <v>1673763</v>
      </c>
      <c r="E8" s="4" t="s">
        <v>80</v>
      </c>
      <c r="F8" s="4" t="s">
        <v>81</v>
      </c>
      <c r="G8" s="2">
        <v>686164290</v>
      </c>
      <c r="H8" s="4" t="s">
        <v>82</v>
      </c>
      <c r="I8" s="4" t="s">
        <v>46</v>
      </c>
      <c r="J8" s="4" t="s">
        <v>47</v>
      </c>
      <c r="K8" s="4" t="s">
        <v>48</v>
      </c>
      <c r="L8" s="3">
        <v>45658</v>
      </c>
      <c r="M8" s="4" t="s">
        <v>83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52</v>
      </c>
      <c r="U8" s="4" t="s">
        <v>46</v>
      </c>
      <c r="V8" s="5">
        <v>-0.42</v>
      </c>
      <c r="W8" s="5">
        <v>0</v>
      </c>
      <c r="X8" s="5">
        <v>100</v>
      </c>
      <c r="Y8" s="5">
        <v>-147.08000000000001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45658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84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45861</v>
      </c>
      <c r="C9" s="4" t="s">
        <v>85</v>
      </c>
      <c r="D9" s="2">
        <v>1703942</v>
      </c>
      <c r="E9" s="4" t="s">
        <v>86</v>
      </c>
      <c r="F9" s="4" t="s">
        <v>87</v>
      </c>
      <c r="G9" s="2">
        <v>2723420</v>
      </c>
      <c r="H9" s="4" t="s">
        <v>88</v>
      </c>
      <c r="I9" s="4" t="s">
        <v>46</v>
      </c>
      <c r="J9" s="4" t="s">
        <v>47</v>
      </c>
      <c r="K9" s="4" t="s">
        <v>48</v>
      </c>
      <c r="L9" s="3">
        <v>45689</v>
      </c>
      <c r="M9" s="4" t="s">
        <v>89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61</v>
      </c>
      <c r="U9" s="4" t="s">
        <v>46</v>
      </c>
      <c r="V9" s="5">
        <v>0</v>
      </c>
      <c r="W9" s="5">
        <v>0</v>
      </c>
      <c r="X9" s="5">
        <v>100</v>
      </c>
      <c r="Y9" s="5">
        <v>-182.58</v>
      </c>
      <c r="Z9" s="4" t="s">
        <v>46</v>
      </c>
      <c r="AA9" s="5" t="s">
        <v>46</v>
      </c>
      <c r="AB9" s="4" t="s">
        <v>90</v>
      </c>
      <c r="AC9" s="4" t="s">
        <v>46</v>
      </c>
      <c r="AD9" s="5">
        <v>0</v>
      </c>
      <c r="AE9" s="4" t="s">
        <v>91</v>
      </c>
      <c r="AF9" s="3">
        <v>45689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92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45861</v>
      </c>
      <c r="C10" s="4" t="s">
        <v>85</v>
      </c>
      <c r="D10" s="2">
        <v>1703942</v>
      </c>
      <c r="E10" s="4" t="s">
        <v>86</v>
      </c>
      <c r="F10" s="4" t="s">
        <v>87</v>
      </c>
      <c r="G10" s="2">
        <v>2723420</v>
      </c>
      <c r="H10" s="4" t="s">
        <v>88</v>
      </c>
      <c r="I10" s="4" t="s">
        <v>46</v>
      </c>
      <c r="J10" s="4" t="s">
        <v>47</v>
      </c>
      <c r="K10" s="4" t="s">
        <v>48</v>
      </c>
      <c r="L10" s="3">
        <v>45689</v>
      </c>
      <c r="M10" s="4" t="s">
        <v>89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61</v>
      </c>
      <c r="U10" s="4" t="s">
        <v>46</v>
      </c>
      <c r="V10" s="5">
        <v>-0.42</v>
      </c>
      <c r="W10" s="5">
        <v>0</v>
      </c>
      <c r="X10" s="5">
        <v>100</v>
      </c>
      <c r="Y10" s="5">
        <v>-130.41999999999999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45689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92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45861</v>
      </c>
      <c r="C11" s="4" t="s">
        <v>85</v>
      </c>
      <c r="D11" s="2">
        <v>1703942</v>
      </c>
      <c r="E11" s="4" t="s">
        <v>93</v>
      </c>
      <c r="F11" s="4" t="s">
        <v>94</v>
      </c>
      <c r="G11" s="2">
        <v>123968273</v>
      </c>
      <c r="H11" s="4" t="s">
        <v>95</v>
      </c>
      <c r="I11" s="4" t="s">
        <v>46</v>
      </c>
      <c r="J11" s="4" t="s">
        <v>47</v>
      </c>
      <c r="K11" s="4" t="s">
        <v>48</v>
      </c>
      <c r="L11" s="3">
        <v>45931</v>
      </c>
      <c r="M11" s="4" t="s">
        <v>60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52</v>
      </c>
      <c r="U11" s="4" t="s">
        <v>46</v>
      </c>
      <c r="V11" s="5">
        <v>0.25</v>
      </c>
      <c r="W11" s="5">
        <v>0</v>
      </c>
      <c r="X11" s="5">
        <v>100</v>
      </c>
      <c r="Y11" s="5">
        <v>78.25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45931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55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45861</v>
      </c>
      <c r="C12" s="4" t="s">
        <v>96</v>
      </c>
      <c r="D12" s="2">
        <v>1773696</v>
      </c>
      <c r="E12" s="4" t="s">
        <v>97</v>
      </c>
      <c r="F12" s="4" t="s">
        <v>98</v>
      </c>
      <c r="G12" s="2">
        <v>423055101</v>
      </c>
      <c r="H12" s="4" t="s">
        <v>99</v>
      </c>
      <c r="I12" s="4" t="s">
        <v>46</v>
      </c>
      <c r="J12" s="4" t="s">
        <v>47</v>
      </c>
      <c r="K12" s="4" t="s">
        <v>48</v>
      </c>
      <c r="L12" s="3">
        <v>45870</v>
      </c>
      <c r="M12" s="4" t="s">
        <v>49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61</v>
      </c>
      <c r="U12" s="4" t="s">
        <v>46</v>
      </c>
      <c r="V12" s="5">
        <v>0.42</v>
      </c>
      <c r="W12" s="5">
        <v>0</v>
      </c>
      <c r="X12" s="5">
        <v>100</v>
      </c>
      <c r="Y12" s="5">
        <v>130.41999999999999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45870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62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45861</v>
      </c>
      <c r="C13" s="4" t="s">
        <v>100</v>
      </c>
      <c r="D13" s="2">
        <v>1775329</v>
      </c>
      <c r="E13" s="4" t="s">
        <v>101</v>
      </c>
      <c r="F13" s="4" t="s">
        <v>102</v>
      </c>
      <c r="G13" s="2">
        <v>271314093</v>
      </c>
      <c r="H13" s="4" t="s">
        <v>103</v>
      </c>
      <c r="I13" s="4" t="s">
        <v>46</v>
      </c>
      <c r="J13" s="4" t="s">
        <v>47</v>
      </c>
      <c r="K13" s="4" t="s">
        <v>48</v>
      </c>
      <c r="L13" s="3">
        <v>45870</v>
      </c>
      <c r="M13" s="4" t="s">
        <v>49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104</v>
      </c>
      <c r="U13" s="4" t="s">
        <v>46</v>
      </c>
      <c r="V13" s="5">
        <v>0.42</v>
      </c>
      <c r="W13" s="5">
        <v>0</v>
      </c>
      <c r="X13" s="5">
        <v>100</v>
      </c>
      <c r="Y13" s="5">
        <v>22.92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45870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105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45861</v>
      </c>
      <c r="C14" s="4" t="s">
        <v>106</v>
      </c>
      <c r="D14" s="2">
        <v>1800776</v>
      </c>
      <c r="E14" s="4" t="s">
        <v>107</v>
      </c>
      <c r="F14" s="4" t="s">
        <v>108</v>
      </c>
      <c r="G14" s="2">
        <v>967213080</v>
      </c>
      <c r="H14" s="4" t="s">
        <v>109</v>
      </c>
      <c r="I14" s="4" t="s">
        <v>46</v>
      </c>
      <c r="J14" s="4" t="s">
        <v>47</v>
      </c>
      <c r="K14" s="4" t="s">
        <v>48</v>
      </c>
      <c r="L14" s="3">
        <v>45870</v>
      </c>
      <c r="M14" s="4" t="s">
        <v>49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61</v>
      </c>
      <c r="U14" s="4" t="s">
        <v>46</v>
      </c>
      <c r="V14" s="5">
        <v>0.42</v>
      </c>
      <c r="W14" s="5">
        <v>0</v>
      </c>
      <c r="X14" s="5">
        <v>100</v>
      </c>
      <c r="Y14" s="5">
        <v>130.41999999999999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45870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62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45861</v>
      </c>
      <c r="C15" s="4" t="s">
        <v>110</v>
      </c>
      <c r="D15" s="2">
        <v>1831491</v>
      </c>
      <c r="E15" s="4" t="s">
        <v>111</v>
      </c>
      <c r="F15" s="4" t="s">
        <v>112</v>
      </c>
      <c r="G15" s="2">
        <v>256439801</v>
      </c>
      <c r="H15" s="4" t="s">
        <v>113</v>
      </c>
      <c r="I15" s="4" t="s">
        <v>46</v>
      </c>
      <c r="J15" s="4" t="s">
        <v>47</v>
      </c>
      <c r="K15" s="4" t="s">
        <v>48</v>
      </c>
      <c r="L15" s="3">
        <v>45901</v>
      </c>
      <c r="M15" s="4" t="s">
        <v>114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61</v>
      </c>
      <c r="U15" s="4" t="s">
        <v>46</v>
      </c>
      <c r="V15" s="5">
        <v>-0.33</v>
      </c>
      <c r="W15" s="5">
        <v>0</v>
      </c>
      <c r="X15" s="5">
        <v>100</v>
      </c>
      <c r="Y15" s="5">
        <v>-104.33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45901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62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45861</v>
      </c>
      <c r="C16" s="4" t="s">
        <v>115</v>
      </c>
      <c r="D16" s="2">
        <v>1982112</v>
      </c>
      <c r="E16" s="4" t="s">
        <v>116</v>
      </c>
      <c r="F16" s="4" t="s">
        <v>117</v>
      </c>
      <c r="G16" s="2">
        <v>881619343</v>
      </c>
      <c r="H16" s="4" t="s">
        <v>118</v>
      </c>
      <c r="I16" s="4" t="s">
        <v>46</v>
      </c>
      <c r="J16" s="4" t="s">
        <v>47</v>
      </c>
      <c r="K16" s="4" t="s">
        <v>48</v>
      </c>
      <c r="L16" s="3">
        <v>45931</v>
      </c>
      <c r="M16" s="4" t="s">
        <v>60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104</v>
      </c>
      <c r="U16" s="4" t="s">
        <v>46</v>
      </c>
      <c r="V16" s="5">
        <v>0.25</v>
      </c>
      <c r="W16" s="5">
        <v>0</v>
      </c>
      <c r="X16" s="5">
        <v>100</v>
      </c>
      <c r="Y16" s="5">
        <v>13.75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45931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105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45861</v>
      </c>
      <c r="C17" s="4" t="s">
        <v>115</v>
      </c>
      <c r="D17" s="2">
        <v>1982112</v>
      </c>
      <c r="E17" s="4" t="s">
        <v>119</v>
      </c>
      <c r="F17" s="4" t="s">
        <v>120</v>
      </c>
      <c r="G17" s="2">
        <v>121009155</v>
      </c>
      <c r="H17" s="4" t="s">
        <v>121</v>
      </c>
      <c r="I17" s="4" t="s">
        <v>46</v>
      </c>
      <c r="J17" s="4" t="s">
        <v>47</v>
      </c>
      <c r="K17" s="4" t="s">
        <v>48</v>
      </c>
      <c r="L17" s="3">
        <v>45931</v>
      </c>
      <c r="M17" s="4" t="s">
        <v>60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104</v>
      </c>
      <c r="U17" s="4" t="s">
        <v>46</v>
      </c>
      <c r="V17" s="5">
        <v>0.25</v>
      </c>
      <c r="W17" s="5">
        <v>0</v>
      </c>
      <c r="X17" s="5">
        <v>100</v>
      </c>
      <c r="Y17" s="5">
        <v>13.75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45931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105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45861</v>
      </c>
      <c r="C18" s="4" t="s">
        <v>79</v>
      </c>
      <c r="D18" s="2">
        <v>1673763</v>
      </c>
      <c r="E18" s="4" t="s">
        <v>122</v>
      </c>
      <c r="F18" s="4" t="s">
        <v>123</v>
      </c>
      <c r="G18" s="4" t="s">
        <v>46</v>
      </c>
      <c r="H18" s="4" t="s">
        <v>46</v>
      </c>
      <c r="I18" s="4" t="s">
        <v>46</v>
      </c>
      <c r="J18" s="4" t="s">
        <v>124</v>
      </c>
      <c r="K18" s="4" t="s">
        <v>48</v>
      </c>
      <c r="L18" s="3">
        <v>45870</v>
      </c>
      <c r="M18" s="4" t="s">
        <v>49</v>
      </c>
      <c r="N18" s="4" t="s">
        <v>46</v>
      </c>
      <c r="O18" s="4" t="s">
        <v>125</v>
      </c>
      <c r="P18" s="4" t="s">
        <v>125</v>
      </c>
      <c r="Q18" s="2">
        <v>1</v>
      </c>
      <c r="R18" s="2">
        <v>17</v>
      </c>
      <c r="S18" s="4" t="s">
        <v>51</v>
      </c>
      <c r="T18" s="4" t="s">
        <v>46</v>
      </c>
      <c r="U18" s="4" t="s">
        <v>46</v>
      </c>
      <c r="V18" s="5">
        <v>26</v>
      </c>
      <c r="W18" s="5">
        <v>307</v>
      </c>
      <c r="X18" s="5">
        <v>100</v>
      </c>
      <c r="Y18" s="5">
        <v>79.819999999999993</v>
      </c>
      <c r="Z18" s="5">
        <v>0</v>
      </c>
      <c r="AA18" s="5">
        <v>0</v>
      </c>
      <c r="AB18" s="4" t="s">
        <v>126</v>
      </c>
      <c r="AC18" s="4" t="s">
        <v>46</v>
      </c>
      <c r="AD18" s="5">
        <v>0</v>
      </c>
      <c r="AE18" s="4" t="s">
        <v>127</v>
      </c>
      <c r="AF18" s="3">
        <v>45292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46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45861</v>
      </c>
      <c r="C19" s="4" t="s">
        <v>79</v>
      </c>
      <c r="D19" s="2">
        <v>1673763</v>
      </c>
      <c r="E19" s="4" t="s">
        <v>128</v>
      </c>
      <c r="F19" s="4" t="s">
        <v>129</v>
      </c>
      <c r="G19" s="4" t="s">
        <v>46</v>
      </c>
      <c r="H19" s="4" t="s">
        <v>46</v>
      </c>
      <c r="I19" s="4" t="s">
        <v>46</v>
      </c>
      <c r="J19" s="4" t="s">
        <v>124</v>
      </c>
      <c r="K19" s="4" t="s">
        <v>48</v>
      </c>
      <c r="L19" s="3">
        <v>45870</v>
      </c>
      <c r="M19" s="4" t="s">
        <v>49</v>
      </c>
      <c r="N19" s="4" t="s">
        <v>46</v>
      </c>
      <c r="O19" s="4" t="s">
        <v>125</v>
      </c>
      <c r="P19" s="4" t="s">
        <v>125</v>
      </c>
      <c r="Q19" s="2">
        <v>1</v>
      </c>
      <c r="R19" s="2">
        <v>17</v>
      </c>
      <c r="S19" s="4" t="s">
        <v>51</v>
      </c>
      <c r="T19" s="4" t="s">
        <v>46</v>
      </c>
      <c r="U19" s="4" t="s">
        <v>46</v>
      </c>
      <c r="V19" s="5">
        <v>22</v>
      </c>
      <c r="W19" s="5">
        <v>110.73</v>
      </c>
      <c r="X19" s="5">
        <v>100</v>
      </c>
      <c r="Y19" s="5">
        <v>24.36</v>
      </c>
      <c r="Z19" s="5">
        <v>0</v>
      </c>
      <c r="AA19" s="5">
        <v>0</v>
      </c>
      <c r="AB19" s="4" t="s">
        <v>126</v>
      </c>
      <c r="AC19" s="4" t="s">
        <v>46</v>
      </c>
      <c r="AD19" s="5">
        <v>0</v>
      </c>
      <c r="AE19" s="4" t="s">
        <v>127</v>
      </c>
      <c r="AF19" s="3">
        <v>45444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46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45861</v>
      </c>
      <c r="C20" s="4" t="s">
        <v>79</v>
      </c>
      <c r="D20" s="2">
        <v>1673763</v>
      </c>
      <c r="E20" s="4" t="s">
        <v>130</v>
      </c>
      <c r="F20" s="4" t="s">
        <v>131</v>
      </c>
      <c r="G20" s="4" t="s">
        <v>46</v>
      </c>
      <c r="H20" s="4" t="s">
        <v>46</v>
      </c>
      <c r="I20" s="4" t="s">
        <v>46</v>
      </c>
      <c r="J20" s="4" t="s">
        <v>132</v>
      </c>
      <c r="K20" s="4" t="s">
        <v>133</v>
      </c>
      <c r="L20" s="3">
        <v>45870</v>
      </c>
      <c r="M20" s="4" t="s">
        <v>49</v>
      </c>
      <c r="N20" s="4" t="s">
        <v>46</v>
      </c>
      <c r="O20" s="4" t="s">
        <v>50</v>
      </c>
      <c r="P20" s="4" t="s">
        <v>125</v>
      </c>
      <c r="Q20" s="2">
        <v>2</v>
      </c>
      <c r="R20" s="2">
        <v>60</v>
      </c>
      <c r="S20" s="4" t="s">
        <v>134</v>
      </c>
      <c r="T20" s="4" t="s">
        <v>46</v>
      </c>
      <c r="U20" s="4" t="s">
        <v>46</v>
      </c>
      <c r="V20" s="5">
        <v>10</v>
      </c>
      <c r="W20" s="5">
        <v>47.98</v>
      </c>
      <c r="X20" s="5">
        <v>100</v>
      </c>
      <c r="Y20" s="5">
        <v>39.799999999999997</v>
      </c>
      <c r="Z20" s="4" t="s">
        <v>46</v>
      </c>
      <c r="AA20" s="5" t="s">
        <v>46</v>
      </c>
      <c r="AB20" s="4" t="s">
        <v>135</v>
      </c>
      <c r="AC20" s="4" t="s">
        <v>46</v>
      </c>
      <c r="AD20" s="5">
        <v>0</v>
      </c>
      <c r="AE20" s="4" t="s">
        <v>136</v>
      </c>
      <c r="AF20" s="3">
        <v>45870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46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45861</v>
      </c>
      <c r="C21" s="4" t="s">
        <v>137</v>
      </c>
      <c r="D21" s="2">
        <v>1815594</v>
      </c>
      <c r="E21" s="4" t="s">
        <v>138</v>
      </c>
      <c r="F21" s="4" t="s">
        <v>139</v>
      </c>
      <c r="G21" s="4" t="s">
        <v>46</v>
      </c>
      <c r="H21" s="4" t="s">
        <v>46</v>
      </c>
      <c r="I21" s="4" t="s">
        <v>46</v>
      </c>
      <c r="J21" s="4" t="s">
        <v>140</v>
      </c>
      <c r="K21" s="4" t="s">
        <v>141</v>
      </c>
      <c r="L21" s="3">
        <v>45748</v>
      </c>
      <c r="M21" s="4" t="s">
        <v>142</v>
      </c>
      <c r="N21" s="4" t="s">
        <v>46</v>
      </c>
      <c r="O21" s="4" t="s">
        <v>50</v>
      </c>
      <c r="P21" s="4" t="s">
        <v>125</v>
      </c>
      <c r="Q21" s="2">
        <v>3</v>
      </c>
      <c r="R21" s="2">
        <v>3</v>
      </c>
      <c r="S21" s="4" t="s">
        <v>143</v>
      </c>
      <c r="T21" s="4" t="s">
        <v>46</v>
      </c>
      <c r="U21" s="4" t="s">
        <v>46</v>
      </c>
      <c r="V21" s="5">
        <v>10</v>
      </c>
      <c r="W21" s="5">
        <v>-49</v>
      </c>
      <c r="X21" s="5">
        <v>100</v>
      </c>
      <c r="Y21" s="5">
        <v>-4.9000000000000004</v>
      </c>
      <c r="Z21" s="4" t="s">
        <v>46</v>
      </c>
      <c r="AA21" s="5" t="s">
        <v>46</v>
      </c>
      <c r="AB21" s="4" t="s">
        <v>53</v>
      </c>
      <c r="AC21" s="4" t="s">
        <v>46</v>
      </c>
      <c r="AD21" s="5">
        <v>0</v>
      </c>
      <c r="AE21" s="4" t="s">
        <v>54</v>
      </c>
      <c r="AF21" s="3">
        <v>45444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46</v>
      </c>
      <c r="AO21" s="4" t="s">
        <v>46</v>
      </c>
      <c r="AP21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CD94-A4F4-4BEA-968C-10DE3855C082}">
  <dimension ref="A1:W21"/>
  <sheetViews>
    <sheetView tabSelected="1" topLeftCell="F1" workbookViewId="0">
      <selection activeCell="N7" sqref="N7"/>
    </sheetView>
  </sheetViews>
  <sheetFormatPr defaultRowHeight="12.75" x14ac:dyDescent="0.2"/>
  <cols>
    <col min="1" max="1" width="24.7109375" bestFit="1" customWidth="1"/>
    <col min="2" max="2" width="14.7109375" customWidth="1"/>
    <col min="3" max="3" width="28.5703125" bestFit="1" customWidth="1"/>
    <col min="4" max="4" width="13.28515625" bestFit="1" customWidth="1"/>
    <col min="5" max="6" width="11.42578125" bestFit="1" customWidth="1"/>
    <col min="7" max="8" width="15.28515625" bestFit="1" customWidth="1"/>
    <col min="9" max="9" width="13.7109375" bestFit="1" customWidth="1"/>
    <col min="10" max="10" width="9.5703125" bestFit="1" customWidth="1"/>
    <col min="11" max="11" width="15.28515625" bestFit="1" customWidth="1"/>
    <col min="12" max="12" width="40.5703125" bestFit="1" customWidth="1"/>
    <col min="13" max="13" width="13.7109375" bestFit="1" customWidth="1"/>
    <col min="14" max="14" width="52.42578125" bestFit="1" customWidth="1"/>
    <col min="15" max="15" width="21.5703125" bestFit="1" customWidth="1"/>
    <col min="19" max="19" width="13.42578125" bestFit="1" customWidth="1"/>
    <col min="20" max="20" width="14.42578125" bestFit="1" customWidth="1"/>
    <col min="21" max="21" width="13.42578125" bestFit="1" customWidth="1"/>
    <col min="22" max="22" width="11" bestFit="1" customWidth="1"/>
  </cols>
  <sheetData>
    <row r="1" spans="1:23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24</v>
      </c>
      <c r="L1" s="1" t="s">
        <v>27</v>
      </c>
      <c r="M1" s="1" t="s">
        <v>31</v>
      </c>
    </row>
    <row r="2" spans="1:23" x14ac:dyDescent="0.2">
      <c r="A2" s="4" t="s">
        <v>137</v>
      </c>
      <c r="B2" s="2">
        <v>19586992</v>
      </c>
      <c r="C2" s="4" t="s">
        <v>138</v>
      </c>
      <c r="D2" s="8">
        <v>412777</v>
      </c>
      <c r="E2" s="3">
        <v>45748</v>
      </c>
      <c r="F2" s="4" t="s">
        <v>142</v>
      </c>
      <c r="G2" s="4" t="s">
        <v>143</v>
      </c>
      <c r="H2" s="4" t="s">
        <v>46</v>
      </c>
      <c r="I2" s="5">
        <v>10</v>
      </c>
      <c r="J2" s="5">
        <v>-49</v>
      </c>
      <c r="K2" s="5">
        <v>-4.9000000000000004</v>
      </c>
      <c r="L2" s="4" t="s">
        <v>53</v>
      </c>
      <c r="M2" s="3">
        <v>45444</v>
      </c>
      <c r="N2" t="s">
        <v>147</v>
      </c>
      <c r="S2" s="8">
        <v>412777</v>
      </c>
      <c r="T2" t="str">
        <f>CONCATENATE(S2,7)</f>
        <v>4127777</v>
      </c>
    </row>
    <row r="3" spans="1:23" x14ac:dyDescent="0.2">
      <c r="A3" s="4" t="s">
        <v>79</v>
      </c>
      <c r="B3" s="2">
        <v>17528908</v>
      </c>
      <c r="C3" s="8" t="s">
        <v>191</v>
      </c>
      <c r="D3" s="4" t="s">
        <v>123</v>
      </c>
      <c r="E3" s="3">
        <v>45870</v>
      </c>
      <c r="F3" s="4" t="s">
        <v>49</v>
      </c>
      <c r="G3" s="4" t="s">
        <v>51</v>
      </c>
      <c r="H3" s="4" t="s">
        <v>46</v>
      </c>
      <c r="I3" s="5">
        <v>26</v>
      </c>
      <c r="J3" s="5">
        <v>307</v>
      </c>
      <c r="K3" s="5">
        <v>79.819999999999993</v>
      </c>
      <c r="L3" s="4" t="s">
        <v>126</v>
      </c>
      <c r="M3" s="3">
        <v>45292</v>
      </c>
      <c r="N3" t="s">
        <v>148</v>
      </c>
      <c r="S3" s="4" t="s">
        <v>123</v>
      </c>
      <c r="T3" t="str">
        <f>CONCATENATE(S3,8)</f>
        <v>00000789641A8</v>
      </c>
      <c r="U3" s="4" t="s">
        <v>156</v>
      </c>
      <c r="V3" t="s">
        <v>157</v>
      </c>
      <c r="W3" t="str">
        <f>CONCATENATE(V3, " ",U3)</f>
        <v>DAVID SCHUBERT</v>
      </c>
    </row>
    <row r="4" spans="1:23" x14ac:dyDescent="0.2">
      <c r="A4" s="4" t="s">
        <v>79</v>
      </c>
      <c r="B4" s="2">
        <v>17528908</v>
      </c>
      <c r="C4" s="10" t="s">
        <v>192</v>
      </c>
      <c r="D4" s="4" t="s">
        <v>129</v>
      </c>
      <c r="E4" s="3">
        <v>45870</v>
      </c>
      <c r="F4" s="4" t="s">
        <v>49</v>
      </c>
      <c r="G4" s="4" t="s">
        <v>51</v>
      </c>
      <c r="H4" s="4" t="s">
        <v>46</v>
      </c>
      <c r="I4" s="5">
        <v>22</v>
      </c>
      <c r="J4" s="5">
        <v>110.73</v>
      </c>
      <c r="K4" s="5">
        <v>24.36</v>
      </c>
      <c r="L4" s="4" t="s">
        <v>126</v>
      </c>
      <c r="M4" s="3">
        <v>45444</v>
      </c>
      <c r="N4" t="s">
        <v>149</v>
      </c>
      <c r="S4" s="4" t="s">
        <v>129</v>
      </c>
      <c r="T4" t="str">
        <f>CONCATENATE(S4,8)</f>
        <v>00000828881A8</v>
      </c>
      <c r="U4" s="9" t="s">
        <v>158</v>
      </c>
      <c r="V4" t="s">
        <v>159</v>
      </c>
      <c r="W4" t="str">
        <f t="shared" ref="W4:W21" si="0">CONCATENATE(V4, " ",U4)</f>
        <v>KAREN CARDOSI</v>
      </c>
    </row>
    <row r="5" spans="1:23" x14ac:dyDescent="0.2">
      <c r="A5" s="4" t="s">
        <v>67</v>
      </c>
      <c r="B5" s="2">
        <v>17126004</v>
      </c>
      <c r="C5" s="10" t="s">
        <v>193</v>
      </c>
      <c r="D5" s="4" t="s">
        <v>69</v>
      </c>
      <c r="E5" s="3">
        <v>45870</v>
      </c>
      <c r="F5" s="4" t="s">
        <v>49</v>
      </c>
      <c r="G5" s="4" t="s">
        <v>51</v>
      </c>
      <c r="H5" s="4" t="s">
        <v>52</v>
      </c>
      <c r="I5" s="5">
        <v>0.42</v>
      </c>
      <c r="J5" s="5">
        <v>1</v>
      </c>
      <c r="K5" s="5">
        <v>130.41999999999999</v>
      </c>
      <c r="L5" s="4" t="s">
        <v>53</v>
      </c>
      <c r="M5" s="3">
        <v>45870</v>
      </c>
      <c r="N5" t="s">
        <v>209</v>
      </c>
      <c r="O5" s="6" t="s">
        <v>152</v>
      </c>
      <c r="P5">
        <f>313/12*5</f>
        <v>130.41666666666666</v>
      </c>
      <c r="S5" s="4" t="s">
        <v>69</v>
      </c>
      <c r="T5" t="str">
        <f>CONCATENATE(S5,6)</f>
        <v>00023499366K6</v>
      </c>
      <c r="U5" s="9" t="s">
        <v>160</v>
      </c>
      <c r="V5" t="s">
        <v>161</v>
      </c>
      <c r="W5" t="str">
        <f t="shared" si="0"/>
        <v>EDWARD LEJECK</v>
      </c>
    </row>
    <row r="6" spans="1:23" x14ac:dyDescent="0.2">
      <c r="A6" s="4" t="s">
        <v>75</v>
      </c>
      <c r="B6" s="2">
        <v>17425766</v>
      </c>
      <c r="C6" s="10" t="s">
        <v>194</v>
      </c>
      <c r="D6" s="4" t="s">
        <v>77</v>
      </c>
      <c r="E6" s="3">
        <v>45870</v>
      </c>
      <c r="F6" s="4" t="s">
        <v>49</v>
      </c>
      <c r="G6" s="4" t="s">
        <v>51</v>
      </c>
      <c r="H6" s="4" t="s">
        <v>52</v>
      </c>
      <c r="I6" s="5">
        <v>0.42</v>
      </c>
      <c r="J6" s="5">
        <v>1</v>
      </c>
      <c r="K6" s="5">
        <v>130.41999999999999</v>
      </c>
      <c r="L6" s="4" t="s">
        <v>53</v>
      </c>
      <c r="M6" s="3">
        <v>45870</v>
      </c>
      <c r="N6" t="s">
        <v>209</v>
      </c>
      <c r="O6" s="6" t="s">
        <v>152</v>
      </c>
      <c r="S6" s="4" t="s">
        <v>77</v>
      </c>
      <c r="T6" t="str">
        <f t="shared" ref="T6:T17" si="1">CONCATENATE(S6,6)</f>
        <v>00023502164K6</v>
      </c>
      <c r="U6" s="9" t="s">
        <v>162</v>
      </c>
      <c r="V6" t="s">
        <v>163</v>
      </c>
      <c r="W6" t="str">
        <f t="shared" si="0"/>
        <v>JEFF HUNTER</v>
      </c>
    </row>
    <row r="7" spans="1:23" x14ac:dyDescent="0.2">
      <c r="A7" s="4" t="s">
        <v>71</v>
      </c>
      <c r="B7" s="2">
        <v>17301495</v>
      </c>
      <c r="C7" s="10" t="s">
        <v>195</v>
      </c>
      <c r="D7" s="4" t="s">
        <v>73</v>
      </c>
      <c r="E7" s="3">
        <v>45931</v>
      </c>
      <c r="F7" s="4" t="s">
        <v>60</v>
      </c>
      <c r="G7" s="4" t="s">
        <v>51</v>
      </c>
      <c r="H7" s="4" t="s">
        <v>52</v>
      </c>
      <c r="I7" s="5">
        <v>0.25</v>
      </c>
      <c r="J7" s="5">
        <v>1</v>
      </c>
      <c r="K7" s="5">
        <v>78.25</v>
      </c>
      <c r="L7" s="4" t="s">
        <v>53</v>
      </c>
      <c r="M7" s="3">
        <v>45931</v>
      </c>
      <c r="N7" t="s">
        <v>209</v>
      </c>
      <c r="O7" s="6" t="s">
        <v>153</v>
      </c>
      <c r="P7">
        <f>313/12*3</f>
        <v>78.25</v>
      </c>
      <c r="S7" s="4" t="s">
        <v>73</v>
      </c>
      <c r="T7" t="str">
        <f t="shared" si="1"/>
        <v>00023498110K6</v>
      </c>
      <c r="U7" s="9" t="s">
        <v>164</v>
      </c>
      <c r="V7" t="s">
        <v>165</v>
      </c>
      <c r="W7" t="str">
        <f t="shared" si="0"/>
        <v>JEANNE BIESCHKE</v>
      </c>
    </row>
    <row r="8" spans="1:23" x14ac:dyDescent="0.2">
      <c r="A8" s="4" t="s">
        <v>79</v>
      </c>
      <c r="B8" s="2">
        <v>17528908</v>
      </c>
      <c r="C8" s="10" t="s">
        <v>196</v>
      </c>
      <c r="D8" s="4" t="s">
        <v>81</v>
      </c>
      <c r="E8" s="3">
        <v>45658</v>
      </c>
      <c r="F8" s="4" t="s">
        <v>83</v>
      </c>
      <c r="G8" s="4" t="s">
        <v>51</v>
      </c>
      <c r="H8" s="4" t="s">
        <v>52</v>
      </c>
      <c r="I8" s="5">
        <v>-0.42</v>
      </c>
      <c r="J8" s="5">
        <v>-1</v>
      </c>
      <c r="K8" s="5">
        <v>-147.08000000000001</v>
      </c>
      <c r="L8" s="4" t="s">
        <v>53</v>
      </c>
      <c r="M8" s="3">
        <v>45658</v>
      </c>
      <c r="N8" t="s">
        <v>150</v>
      </c>
      <c r="O8" s="6" t="s">
        <v>151</v>
      </c>
      <c r="S8" s="4" t="s">
        <v>81</v>
      </c>
      <c r="T8" t="str">
        <f t="shared" si="1"/>
        <v>00022424586K6</v>
      </c>
      <c r="U8" s="9" t="s">
        <v>166</v>
      </c>
      <c r="V8" t="s">
        <v>167</v>
      </c>
      <c r="W8" t="str">
        <f t="shared" si="0"/>
        <v>WILLIAM KELLEY</v>
      </c>
    </row>
    <row r="9" spans="1:23" x14ac:dyDescent="0.2">
      <c r="A9" s="4" t="s">
        <v>42</v>
      </c>
      <c r="B9" s="2">
        <v>371819</v>
      </c>
      <c r="C9" s="10" t="s">
        <v>197</v>
      </c>
      <c r="D9" s="4" t="s">
        <v>44</v>
      </c>
      <c r="E9" s="3">
        <v>45870</v>
      </c>
      <c r="F9" s="4" t="s">
        <v>49</v>
      </c>
      <c r="G9" s="4" t="s">
        <v>51</v>
      </c>
      <c r="H9" s="4" t="s">
        <v>52</v>
      </c>
      <c r="I9" s="5">
        <v>0.42</v>
      </c>
      <c r="J9" s="5">
        <v>1</v>
      </c>
      <c r="K9" s="5">
        <v>130.41999999999999</v>
      </c>
      <c r="L9" s="4" t="s">
        <v>53</v>
      </c>
      <c r="M9" s="3">
        <v>45870</v>
      </c>
      <c r="N9" t="s">
        <v>209</v>
      </c>
      <c r="O9" s="6" t="s">
        <v>152</v>
      </c>
      <c r="S9" s="4" t="s">
        <v>44</v>
      </c>
      <c r="T9" t="str">
        <f t="shared" si="1"/>
        <v>00023414341K6</v>
      </c>
      <c r="U9" s="9" t="s">
        <v>168</v>
      </c>
      <c r="V9" t="s">
        <v>169</v>
      </c>
      <c r="W9" t="str">
        <f t="shared" si="0"/>
        <v>CHARLENE YAZZIE</v>
      </c>
    </row>
    <row r="10" spans="1:23" x14ac:dyDescent="0.2">
      <c r="A10" s="4" t="s">
        <v>85</v>
      </c>
      <c r="B10" s="2">
        <v>9213293</v>
      </c>
      <c r="C10" s="8" t="s">
        <v>198</v>
      </c>
      <c r="D10" s="4" t="s">
        <v>94</v>
      </c>
      <c r="E10" s="3">
        <v>45931</v>
      </c>
      <c r="F10" s="4" t="s">
        <v>60</v>
      </c>
      <c r="G10" s="4" t="s">
        <v>51</v>
      </c>
      <c r="H10" s="4" t="s">
        <v>52</v>
      </c>
      <c r="I10" s="5">
        <v>0.25</v>
      </c>
      <c r="J10" s="5">
        <v>1</v>
      </c>
      <c r="K10" s="5">
        <v>78.25</v>
      </c>
      <c r="L10" s="4" t="s">
        <v>53</v>
      </c>
      <c r="M10" s="3">
        <v>45931</v>
      </c>
      <c r="N10" t="s">
        <v>209</v>
      </c>
      <c r="O10" s="6" t="s">
        <v>153</v>
      </c>
      <c r="S10" s="4" t="s">
        <v>94</v>
      </c>
      <c r="T10" t="str">
        <f t="shared" si="1"/>
        <v>00023488597K6</v>
      </c>
      <c r="U10" s="4" t="s">
        <v>170</v>
      </c>
      <c r="V10" t="s">
        <v>157</v>
      </c>
      <c r="W10" t="str">
        <f t="shared" si="0"/>
        <v>DAVID KUZMANKO</v>
      </c>
    </row>
    <row r="11" spans="1:23" x14ac:dyDescent="0.2">
      <c r="A11" s="4" t="s">
        <v>63</v>
      </c>
      <c r="B11" s="2">
        <v>16633294</v>
      </c>
      <c r="C11" s="8" t="s">
        <v>199</v>
      </c>
      <c r="D11" s="4" t="s">
        <v>65</v>
      </c>
      <c r="E11" s="3">
        <v>45870</v>
      </c>
      <c r="F11" s="4" t="s">
        <v>49</v>
      </c>
      <c r="G11" s="4" t="s">
        <v>51</v>
      </c>
      <c r="H11" s="4" t="s">
        <v>52</v>
      </c>
      <c r="I11" s="5">
        <v>0.42</v>
      </c>
      <c r="J11" s="5">
        <v>1</v>
      </c>
      <c r="K11" s="5">
        <v>130.41999999999999</v>
      </c>
      <c r="L11" s="4" t="s">
        <v>53</v>
      </c>
      <c r="M11" s="3">
        <v>45870</v>
      </c>
      <c r="N11" t="s">
        <v>209</v>
      </c>
      <c r="O11" s="6" t="s">
        <v>152</v>
      </c>
      <c r="S11" s="4" t="s">
        <v>65</v>
      </c>
      <c r="T11" t="str">
        <f t="shared" si="1"/>
        <v>00023498384K6</v>
      </c>
      <c r="U11" s="4" t="s">
        <v>171</v>
      </c>
      <c r="V11" t="s">
        <v>172</v>
      </c>
      <c r="W11" t="str">
        <f t="shared" si="0"/>
        <v>RAYMOND CHESNIAK</v>
      </c>
    </row>
    <row r="12" spans="1:23" x14ac:dyDescent="0.2">
      <c r="A12" s="4" t="s">
        <v>110</v>
      </c>
      <c r="B12" s="2">
        <v>18828278</v>
      </c>
      <c r="C12" s="10" t="s">
        <v>200</v>
      </c>
      <c r="D12" s="4" t="s">
        <v>112</v>
      </c>
      <c r="E12" s="3">
        <v>45901</v>
      </c>
      <c r="F12" s="4" t="s">
        <v>114</v>
      </c>
      <c r="G12" s="4" t="s">
        <v>51</v>
      </c>
      <c r="H12" s="4" t="s">
        <v>61</v>
      </c>
      <c r="I12" s="5">
        <v>-0.33</v>
      </c>
      <c r="J12" s="5">
        <v>-1</v>
      </c>
      <c r="K12" s="5">
        <v>-104.33</v>
      </c>
      <c r="L12" s="4" t="s">
        <v>53</v>
      </c>
      <c r="M12" s="3">
        <v>45901</v>
      </c>
      <c r="N12" t="s">
        <v>209</v>
      </c>
      <c r="O12" s="6" t="s">
        <v>154</v>
      </c>
      <c r="P12">
        <f>313/12*4</f>
        <v>104.33333333333333</v>
      </c>
      <c r="S12" s="4" t="s">
        <v>112</v>
      </c>
      <c r="T12" t="str">
        <f t="shared" si="1"/>
        <v>00023486977K6</v>
      </c>
      <c r="U12" s="9" t="s">
        <v>173</v>
      </c>
      <c r="V12" t="s">
        <v>174</v>
      </c>
      <c r="W12" t="str">
        <f t="shared" si="0"/>
        <v>JACKI BIRCKELBAW</v>
      </c>
    </row>
    <row r="13" spans="1:23" x14ac:dyDescent="0.2">
      <c r="A13" s="4" t="s">
        <v>56</v>
      </c>
      <c r="B13" s="2">
        <v>7146581</v>
      </c>
      <c r="C13" s="10" t="s">
        <v>201</v>
      </c>
      <c r="D13" s="4" t="s">
        <v>58</v>
      </c>
      <c r="E13" s="3">
        <v>45931</v>
      </c>
      <c r="F13" s="4" t="s">
        <v>60</v>
      </c>
      <c r="G13" s="4" t="s">
        <v>51</v>
      </c>
      <c r="H13" s="4" t="s">
        <v>61</v>
      </c>
      <c r="I13" s="5">
        <v>0.25</v>
      </c>
      <c r="J13" s="5">
        <v>1</v>
      </c>
      <c r="K13" s="5">
        <v>78.25</v>
      </c>
      <c r="L13" s="4" t="s">
        <v>53</v>
      </c>
      <c r="M13" s="3">
        <v>45931</v>
      </c>
      <c r="N13" t="s">
        <v>209</v>
      </c>
      <c r="O13" s="6" t="s">
        <v>153</v>
      </c>
      <c r="S13" s="4" t="s">
        <v>58</v>
      </c>
      <c r="T13" t="str">
        <f t="shared" si="1"/>
        <v>00023488812K6</v>
      </c>
      <c r="U13" s="9" t="s">
        <v>175</v>
      </c>
      <c r="V13" t="s">
        <v>176</v>
      </c>
      <c r="W13" t="str">
        <f t="shared" si="0"/>
        <v>TRACY COSTELLO</v>
      </c>
    </row>
    <row r="14" spans="1:23" x14ac:dyDescent="0.2">
      <c r="A14" s="4" t="s">
        <v>85</v>
      </c>
      <c r="B14" s="2">
        <v>9213293</v>
      </c>
      <c r="C14" s="8" t="s">
        <v>202</v>
      </c>
      <c r="D14" s="4" t="s">
        <v>87</v>
      </c>
      <c r="E14" s="3">
        <v>45689</v>
      </c>
      <c r="F14" s="4" t="s">
        <v>89</v>
      </c>
      <c r="G14" s="4" t="s">
        <v>51</v>
      </c>
      <c r="H14" s="4" t="s">
        <v>61</v>
      </c>
      <c r="I14" s="5">
        <v>0</v>
      </c>
      <c r="J14" s="5">
        <v>-1</v>
      </c>
      <c r="K14" s="5">
        <v>-182.58</v>
      </c>
      <c r="L14" s="4" t="s">
        <v>90</v>
      </c>
      <c r="M14" s="3">
        <v>45689</v>
      </c>
      <c r="N14" t="s">
        <v>209</v>
      </c>
      <c r="O14" s="6" t="s">
        <v>155</v>
      </c>
      <c r="P14">
        <f>313/12*7</f>
        <v>182.58333333333331</v>
      </c>
      <c r="S14" s="4" t="s">
        <v>87</v>
      </c>
      <c r="T14" t="str">
        <f t="shared" si="1"/>
        <v>00022971348K6</v>
      </c>
      <c r="U14" s="4" t="s">
        <v>177</v>
      </c>
      <c r="V14" t="s">
        <v>178</v>
      </c>
      <c r="W14" t="str">
        <f t="shared" si="0"/>
        <v>EDWIN TORRES</v>
      </c>
    </row>
    <row r="15" spans="1:23" x14ac:dyDescent="0.2">
      <c r="A15" s="4" t="s">
        <v>85</v>
      </c>
      <c r="B15" s="2">
        <v>9213293</v>
      </c>
      <c r="C15" s="8" t="s">
        <v>202</v>
      </c>
      <c r="D15" s="4" t="s">
        <v>87</v>
      </c>
      <c r="E15" s="3">
        <v>45689</v>
      </c>
      <c r="F15" s="4" t="s">
        <v>89</v>
      </c>
      <c r="G15" s="4" t="s">
        <v>51</v>
      </c>
      <c r="H15" s="4" t="s">
        <v>61</v>
      </c>
      <c r="I15" s="5">
        <v>-0.42</v>
      </c>
      <c r="J15" s="5">
        <v>-1</v>
      </c>
      <c r="K15" s="5">
        <v>-130.41999999999999</v>
      </c>
      <c r="L15" s="4" t="s">
        <v>53</v>
      </c>
      <c r="M15" s="3">
        <v>45689</v>
      </c>
      <c r="N15" t="s">
        <v>209</v>
      </c>
      <c r="O15" s="6" t="s">
        <v>152</v>
      </c>
      <c r="S15" s="4" t="s">
        <v>87</v>
      </c>
      <c r="T15" t="str">
        <f t="shared" si="1"/>
        <v>00022971348K6</v>
      </c>
      <c r="U15" s="4" t="s">
        <v>177</v>
      </c>
      <c r="V15" t="s">
        <v>178</v>
      </c>
      <c r="W15" t="str">
        <f t="shared" si="0"/>
        <v>EDWIN TORRES</v>
      </c>
    </row>
    <row r="16" spans="1:23" x14ac:dyDescent="0.2">
      <c r="A16" s="4" t="s">
        <v>106</v>
      </c>
      <c r="B16" s="2">
        <v>19200754</v>
      </c>
      <c r="C16" s="10" t="s">
        <v>203</v>
      </c>
      <c r="D16" s="4" t="s">
        <v>108</v>
      </c>
      <c r="E16" s="3">
        <v>45870</v>
      </c>
      <c r="F16" s="4" t="s">
        <v>49</v>
      </c>
      <c r="G16" s="4" t="s">
        <v>51</v>
      </c>
      <c r="H16" s="4" t="s">
        <v>61</v>
      </c>
      <c r="I16" s="5">
        <v>0.42</v>
      </c>
      <c r="J16" s="5">
        <v>1</v>
      </c>
      <c r="K16" s="5">
        <v>130.41999999999999</v>
      </c>
      <c r="L16" s="4" t="s">
        <v>53</v>
      </c>
      <c r="M16" s="3">
        <v>45870</v>
      </c>
      <c r="N16" t="s">
        <v>209</v>
      </c>
      <c r="O16" s="6" t="s">
        <v>152</v>
      </c>
      <c r="S16" s="4" t="s">
        <v>108</v>
      </c>
      <c r="T16" t="str">
        <f t="shared" si="1"/>
        <v>00017112048K6</v>
      </c>
      <c r="U16" s="9" t="s">
        <v>179</v>
      </c>
      <c r="V16" t="s">
        <v>180</v>
      </c>
      <c r="W16" t="str">
        <f t="shared" si="0"/>
        <v>DARLINO FUSILERO</v>
      </c>
    </row>
    <row r="17" spans="1:23" x14ac:dyDescent="0.2">
      <c r="A17" s="4" t="s">
        <v>96</v>
      </c>
      <c r="B17" s="2">
        <v>18754354</v>
      </c>
      <c r="C17" s="10" t="s">
        <v>204</v>
      </c>
      <c r="D17" s="4" t="s">
        <v>98</v>
      </c>
      <c r="E17" s="3">
        <v>45870</v>
      </c>
      <c r="F17" s="4" t="s">
        <v>49</v>
      </c>
      <c r="G17" s="4" t="s">
        <v>51</v>
      </c>
      <c r="H17" s="4" t="s">
        <v>61</v>
      </c>
      <c r="I17" s="5">
        <v>0.42</v>
      </c>
      <c r="J17" s="5">
        <v>1</v>
      </c>
      <c r="K17" s="5">
        <v>130.41999999999999</v>
      </c>
      <c r="L17" s="4" t="s">
        <v>53</v>
      </c>
      <c r="M17" s="3">
        <v>45870</v>
      </c>
      <c r="N17" t="s">
        <v>209</v>
      </c>
      <c r="O17" s="6" t="s">
        <v>152</v>
      </c>
      <c r="S17" s="4" t="s">
        <v>98</v>
      </c>
      <c r="T17" t="str">
        <f t="shared" si="1"/>
        <v>00023502071K6</v>
      </c>
      <c r="U17" s="9" t="s">
        <v>181</v>
      </c>
      <c r="V17" t="s">
        <v>182</v>
      </c>
      <c r="W17" t="str">
        <f t="shared" si="0"/>
        <v>ANITA WENGERSKI</v>
      </c>
    </row>
    <row r="18" spans="1:23" x14ac:dyDescent="0.2">
      <c r="A18" s="4" t="s">
        <v>100</v>
      </c>
      <c r="B18" s="2">
        <v>5442438</v>
      </c>
      <c r="C18" s="10" t="s">
        <v>205</v>
      </c>
      <c r="D18" s="4" t="s">
        <v>102</v>
      </c>
      <c r="E18" s="3">
        <v>45870</v>
      </c>
      <c r="F18" s="4" t="s">
        <v>49</v>
      </c>
      <c r="G18" s="4" t="s">
        <v>51</v>
      </c>
      <c r="H18" s="4" t="s">
        <v>104</v>
      </c>
      <c r="I18" s="5">
        <v>0.42</v>
      </c>
      <c r="J18" s="5">
        <v>22.92</v>
      </c>
      <c r="K18" s="5">
        <v>22.92</v>
      </c>
      <c r="L18" s="4" t="s">
        <v>53</v>
      </c>
      <c r="M18" s="3">
        <v>45870</v>
      </c>
      <c r="N18" t="s">
        <v>145</v>
      </c>
      <c r="S18" s="4" t="s">
        <v>102</v>
      </c>
      <c r="T18" t="str">
        <f>CONCATENATE(S18,9)</f>
        <v>00023497311K9</v>
      </c>
      <c r="U18" s="9" t="s">
        <v>183</v>
      </c>
      <c r="V18" t="s">
        <v>184</v>
      </c>
      <c r="W18" t="str">
        <f t="shared" si="0"/>
        <v>PEGGY MAZUREK</v>
      </c>
    </row>
    <row r="19" spans="1:23" x14ac:dyDescent="0.2">
      <c r="A19" s="4" t="s">
        <v>115</v>
      </c>
      <c r="B19" s="2">
        <v>20724564</v>
      </c>
      <c r="C19" s="10" t="s">
        <v>206</v>
      </c>
      <c r="D19" s="4" t="s">
        <v>117</v>
      </c>
      <c r="E19" s="3">
        <v>45931</v>
      </c>
      <c r="F19" s="4" t="s">
        <v>60</v>
      </c>
      <c r="G19" s="4" t="s">
        <v>51</v>
      </c>
      <c r="H19" s="4" t="s">
        <v>104</v>
      </c>
      <c r="I19" s="5">
        <v>0.25</v>
      </c>
      <c r="J19" s="5">
        <v>13.75</v>
      </c>
      <c r="K19" s="5">
        <v>13.75</v>
      </c>
      <c r="L19" s="4" t="s">
        <v>53</v>
      </c>
      <c r="M19" s="3">
        <v>45931</v>
      </c>
      <c r="N19" t="s">
        <v>145</v>
      </c>
      <c r="S19" s="4" t="s">
        <v>117</v>
      </c>
      <c r="T19" t="str">
        <f t="shared" ref="T19:T20" si="2">CONCATENATE(S19,9)</f>
        <v>00023496128K9</v>
      </c>
      <c r="U19" s="9" t="s">
        <v>185</v>
      </c>
      <c r="V19" t="s">
        <v>186</v>
      </c>
      <c r="W19" t="str">
        <f t="shared" si="0"/>
        <v>NORMAND DUNLAP</v>
      </c>
    </row>
    <row r="20" spans="1:23" x14ac:dyDescent="0.2">
      <c r="A20" s="4" t="s">
        <v>115</v>
      </c>
      <c r="B20" s="2">
        <v>20724564</v>
      </c>
      <c r="C20" s="10" t="s">
        <v>207</v>
      </c>
      <c r="D20" s="4" t="s">
        <v>120</v>
      </c>
      <c r="E20" s="3">
        <v>45931</v>
      </c>
      <c r="F20" s="4" t="s">
        <v>60</v>
      </c>
      <c r="G20" s="4" t="s">
        <v>51</v>
      </c>
      <c r="H20" s="4" t="s">
        <v>104</v>
      </c>
      <c r="I20" s="5">
        <v>0.25</v>
      </c>
      <c r="J20" s="5">
        <v>13.75</v>
      </c>
      <c r="K20" s="5">
        <v>13.75</v>
      </c>
      <c r="L20" s="4" t="s">
        <v>53</v>
      </c>
      <c r="M20" s="3">
        <v>45931</v>
      </c>
      <c r="N20" t="s">
        <v>145</v>
      </c>
      <c r="S20" s="4" t="s">
        <v>120</v>
      </c>
      <c r="T20" t="str">
        <f t="shared" si="2"/>
        <v>00023501543K9</v>
      </c>
      <c r="U20" s="9" t="s">
        <v>187</v>
      </c>
      <c r="V20" t="s">
        <v>188</v>
      </c>
      <c r="W20" t="str">
        <f t="shared" si="0"/>
        <v>TERESA LAIN</v>
      </c>
    </row>
    <row r="21" spans="1:23" x14ac:dyDescent="0.2">
      <c r="A21" s="4" t="s">
        <v>79</v>
      </c>
      <c r="B21" s="7" t="s">
        <v>144</v>
      </c>
      <c r="C21" s="10" t="s">
        <v>208</v>
      </c>
      <c r="D21" s="8">
        <v>9030804870</v>
      </c>
      <c r="E21" s="3">
        <v>45870</v>
      </c>
      <c r="F21" s="4" t="s">
        <v>49</v>
      </c>
      <c r="G21" s="4" t="s">
        <v>134</v>
      </c>
      <c r="H21" s="4" t="s">
        <v>46</v>
      </c>
      <c r="I21" s="5">
        <v>10</v>
      </c>
      <c r="J21" s="5">
        <v>398</v>
      </c>
      <c r="K21" s="5">
        <v>39.799999999999997</v>
      </c>
      <c r="L21" s="4" t="s">
        <v>135</v>
      </c>
      <c r="M21" s="3">
        <v>45870</v>
      </c>
      <c r="N21" t="s">
        <v>146</v>
      </c>
      <c r="S21" s="8">
        <v>9030804870</v>
      </c>
      <c r="T21" t="str">
        <f>CONCATENATE(S21,4)</f>
        <v>90308048704</v>
      </c>
      <c r="U21" s="9" t="s">
        <v>189</v>
      </c>
      <c r="V21" t="s">
        <v>190</v>
      </c>
      <c r="W21" t="str">
        <f t="shared" si="0"/>
        <v>Penelope Casella</v>
      </c>
    </row>
  </sheetData>
  <sortState xmlns:xlrd2="http://schemas.microsoft.com/office/spreadsheetml/2017/richdata2" ref="A2:AP21">
    <sortCondition ref="G2:G21"/>
    <sortCondition ref="H2:H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2025-07-25T16:20:36Z</dcterms:created>
  <dcterms:modified xsi:type="dcterms:W3CDTF">2025-07-30T16:26:52Z</dcterms:modified>
</cp:coreProperties>
</file>