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5-28-25\"/>
    </mc:Choice>
  </mc:AlternateContent>
  <xr:revisionPtr revIDLastSave="0" documentId="13_ncr:1_{8FD70C2C-2A3D-443A-B2B1-8DB1A923C8B8}" xr6:coauthVersionLast="47" xr6:coauthVersionMax="47" xr10:uidLastSave="{00000000-0000-0000-0000-000000000000}"/>
  <bookViews>
    <workbookView xWindow="28680" yWindow="-120" windowWidth="29040" windowHeight="16440" activeTab="1" xr2:uid="{7AB74364-2CCB-453B-8432-C26D786F7E16}"/>
  </bookViews>
  <sheets>
    <sheet name="CommissionData_1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E32" i="2" l="1"/>
  <c r="D32" i="2"/>
  <c r="E31" i="2"/>
  <c r="D31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1" i="3"/>
  <c r="E16" i="2"/>
  <c r="E8" i="2"/>
  <c r="E22" i="2"/>
  <c r="E21" i="2"/>
  <c r="E20" i="2"/>
  <c r="E19" i="2"/>
  <c r="E18" i="2"/>
  <c r="E17" i="2"/>
  <c r="E15" i="2"/>
  <c r="E11" i="2"/>
  <c r="E9" i="2"/>
  <c r="E4" i="2"/>
  <c r="E3" i="2"/>
  <c r="E2" i="2"/>
  <c r="E14" i="2"/>
  <c r="E13" i="2"/>
  <c r="E10" i="2"/>
  <c r="E7" i="2"/>
  <c r="E6" i="2"/>
  <c r="E5" i="2"/>
  <c r="E12" i="2"/>
  <c r="B7" i="3"/>
  <c r="B6" i="3"/>
  <c r="B5" i="3"/>
  <c r="B4" i="3"/>
  <c r="B3" i="3"/>
  <c r="B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1" i="3"/>
  <c r="R12" i="2"/>
  <c r="R11" i="2"/>
</calcChain>
</file>

<file path=xl/sharedStrings.xml><?xml version="1.0" encoding="utf-8"?>
<sst xmlns="http://schemas.openxmlformats.org/spreadsheetml/2006/main" count="907" uniqueCount="200">
  <si>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</si>
  <si>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</si>
  <si>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</si>
  <si>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</si>
  <si>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</si>
  <si>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</si>
  <si>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</si>
  <si>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</si>
  <si>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</si>
  <si>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</si>
  <si>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</si>
  <si>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</si>
  <si>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</si>
  <si>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</si>
  <si>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</si>
  <si>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</si>
  <si>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</si>
  <si>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</si>
  <si>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</si>
  <si>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</si>
  <si>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</si>
  <si>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</si>
  <si>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</si>
  <si>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</si>
  <si>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</si>
  <si>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</si>
  <si>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</si>
  <si>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</si>
  <si>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</si>
  <si>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</si>
  <si>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</si>
  <si>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</si>
  <si>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</si>
  <si>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</si>
  <si>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</si>
  <si>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</si>
  <si>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</si>
  <si>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</si>
  <si>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</si>
  <si>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</si>
  <si>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</si>
  <si>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</si>
  <si>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</si>
  <si>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PETTERSEN DEBORAH R</t>
  </si>
  <si>
    <t>00023362985K</t>
  </si>
  <si>
    <t>3R56JE1AM43</t>
  </si>
  <si>
    <t/>
  </si>
  <si>
    <t>MA</t>
  </si>
  <si>
    <t>LV</t>
  </si>
  <si>
    <t>JUN</t>
  </si>
  <si>
    <t>F</t>
  </si>
  <si>
    <t>MEDICARE</t>
  </si>
  <si>
    <t>MEP</t>
  </si>
  <si>
    <t>FIRST YEAR COMMISSIONS</t>
  </si>
  <si>
    <t>ARCF</t>
  </si>
  <si>
    <t>H5216</t>
  </si>
  <si>
    <t>CHOI ANDREW J</t>
  </si>
  <si>
    <t>MAES GUY A</t>
  </si>
  <si>
    <t>00022121084K</t>
  </si>
  <si>
    <t>6EP1Y90NY38</t>
  </si>
  <si>
    <t>KIM JOHN</t>
  </si>
  <si>
    <t>00023363788K</t>
  </si>
  <si>
    <t>7A24C29ND73</t>
  </si>
  <si>
    <t>TEIPEL GREGORY K</t>
  </si>
  <si>
    <t>GILBERT JEFFREY S</t>
  </si>
  <si>
    <t>00022077130K</t>
  </si>
  <si>
    <t>3QP4DC9AP81</t>
  </si>
  <si>
    <t>MAY</t>
  </si>
  <si>
    <t>R</t>
  </si>
  <si>
    <t>RENEWAL COMMISSIONS</t>
  </si>
  <si>
    <t>ARCM</t>
  </si>
  <si>
    <t>APR</t>
  </si>
  <si>
    <t>SWEARENGIN VERNON R</t>
  </si>
  <si>
    <t>00023362643K</t>
  </si>
  <si>
    <t>2R73HW7NJ73</t>
  </si>
  <si>
    <t>MRO</t>
  </si>
  <si>
    <t>H4623</t>
  </si>
  <si>
    <t>YALE RICHARD A A</t>
  </si>
  <si>
    <t>SCHOLZ THERESA J</t>
  </si>
  <si>
    <t>00020026437K</t>
  </si>
  <si>
    <t>5DJ1KC1AN96</t>
  </si>
  <si>
    <t>ALOFF JONATHAN</t>
  </si>
  <si>
    <t>STRICKER KEITH W</t>
  </si>
  <si>
    <t>00023364862K</t>
  </si>
  <si>
    <t>1RT2YQ5QC14</t>
  </si>
  <si>
    <t>HERRERA-LARSEN ESTHER M</t>
  </si>
  <si>
    <t>SAUSER BILL W</t>
  </si>
  <si>
    <t>00023373372K</t>
  </si>
  <si>
    <t>8YN7RM7JA59</t>
  </si>
  <si>
    <t>PORTUGAL GARY</t>
  </si>
  <si>
    <t>TRIEU TRINH LE M</t>
  </si>
  <si>
    <t>00023140342K</t>
  </si>
  <si>
    <t>8F87CP5UW44</t>
  </si>
  <si>
    <t>MAR</t>
  </si>
  <si>
    <t>VAVRINCHIK PAUL S</t>
  </si>
  <si>
    <t>00023366415K</t>
  </si>
  <si>
    <t>9WY5FV8EN40</t>
  </si>
  <si>
    <t>PDP</t>
  </si>
  <si>
    <t>S5884</t>
  </si>
  <si>
    <t>LONG PATRICIA M</t>
  </si>
  <si>
    <t>ROMAN PORFIRIO</t>
  </si>
  <si>
    <t>00023364263K</t>
  </si>
  <si>
    <t>3PQ4PJ6VU86</t>
  </si>
  <si>
    <t>H5525</t>
  </si>
  <si>
    <t>DUNAVANT MICHAEL</t>
  </si>
  <si>
    <t>ROUND LAURIE J</t>
  </si>
  <si>
    <t>00023368889K</t>
  </si>
  <si>
    <t>7PR3T38TD93</t>
  </si>
  <si>
    <t>PORTUGAL STACEY A</t>
  </si>
  <si>
    <t>FRIEDEN DEBORAH E</t>
  </si>
  <si>
    <t>00023341972K</t>
  </si>
  <si>
    <t>7Q76U58FA65</t>
  </si>
  <si>
    <t>FRIEDEN JAMES A</t>
  </si>
  <si>
    <t>00023342286K</t>
  </si>
  <si>
    <t>3PW7NV2GX64</t>
  </si>
  <si>
    <t>OLIVER BRITTANY</t>
  </si>
  <si>
    <t>Johnson Crystal</t>
  </si>
  <si>
    <t>9030503940</t>
  </si>
  <si>
    <t>IN</t>
  </si>
  <si>
    <t>CB</t>
  </si>
  <si>
    <t>VISION</t>
  </si>
  <si>
    <t>COMPBENEFITS FIRST YEAR COMMISSION</t>
  </si>
  <si>
    <t>CRCF</t>
  </si>
  <si>
    <t>Benassi Joseph</t>
  </si>
  <si>
    <t>9030504200</t>
  </si>
  <si>
    <t>Urish Gerald</t>
  </si>
  <si>
    <t>9030509330</t>
  </si>
  <si>
    <t>Sisco Eric</t>
  </si>
  <si>
    <t>9030577770</t>
  </si>
  <si>
    <t>Round Laurie</t>
  </si>
  <si>
    <t>9030582430</t>
  </si>
  <si>
    <t>KOZACHECK ANNE MARIE</t>
  </si>
  <si>
    <t>Rudden Jon</t>
  </si>
  <si>
    <t>9030115330</t>
  </si>
  <si>
    <t>Humana Dental &amp; Vision</t>
  </si>
  <si>
    <t>Humana PDP 2025!</t>
  </si>
  <si>
    <t>Humana MAPD 2025*</t>
  </si>
  <si>
    <t>[%/$=313][prorate=7/12]</t>
  </si>
  <si>
    <t>[%/$=313][prorate=1/12]</t>
  </si>
  <si>
    <t>Humana 2025 CT, PA, DC *</t>
  </si>
  <si>
    <t>[%/$=353][prorate=7/12]</t>
  </si>
  <si>
    <t xml:space="preserve">18828278SUB2 </t>
  </si>
  <si>
    <t>ROMAN</t>
  </si>
  <si>
    <t>PORFIRIO</t>
  </si>
  <si>
    <t>Urish</t>
  </si>
  <si>
    <t>Gerald</t>
  </si>
  <si>
    <t>Sisco</t>
  </si>
  <si>
    <t>Eric</t>
  </si>
  <si>
    <t>Round</t>
  </si>
  <si>
    <t>Laurie</t>
  </si>
  <si>
    <t>Rudden</t>
  </si>
  <si>
    <t>Jon</t>
  </si>
  <si>
    <t>Johnson</t>
  </si>
  <si>
    <t>Crystal</t>
  </si>
  <si>
    <t>Benassi</t>
  </si>
  <si>
    <t>Joseph</t>
  </si>
  <si>
    <t>STRICKER</t>
  </si>
  <si>
    <t>KEITH</t>
  </si>
  <si>
    <t>MAES</t>
  </si>
  <si>
    <t>GUY</t>
  </si>
  <si>
    <t>KIM</t>
  </si>
  <si>
    <t>JOHN</t>
  </si>
  <si>
    <t>SAUSER</t>
  </si>
  <si>
    <t>BILL</t>
  </si>
  <si>
    <t>PETTERSEN</t>
  </si>
  <si>
    <t>DEBORAH</t>
  </si>
  <si>
    <t>TRIEU</t>
  </si>
  <si>
    <t>TRINH</t>
  </si>
  <si>
    <t>FRIEDEN</t>
  </si>
  <si>
    <t>JAMES</t>
  </si>
  <si>
    <t>GILBERT</t>
  </si>
  <si>
    <t>JEFFREY</t>
  </si>
  <si>
    <t>SWEARENGIN</t>
  </si>
  <si>
    <t>VERNON</t>
  </si>
  <si>
    <t>SCHOLZ</t>
  </si>
  <si>
    <t>THERESA</t>
  </si>
  <si>
    <t>ROUND</t>
  </si>
  <si>
    <t>LAURIE</t>
  </si>
  <si>
    <t>VAVRINCHIK</t>
  </si>
  <si>
    <t>PAUL</t>
  </si>
  <si>
    <t>PORFIRIO ROMAN</t>
  </si>
  <si>
    <t>Gerald Urish</t>
  </si>
  <si>
    <t>Eric Sisco</t>
  </si>
  <si>
    <t>Laurie Round</t>
  </si>
  <si>
    <t>Jon Rudden</t>
  </si>
  <si>
    <t>Crystal Johnson</t>
  </si>
  <si>
    <t>Joseph Benassi</t>
  </si>
  <si>
    <t>KEITH STRICKER</t>
  </si>
  <si>
    <t>GUY MAES</t>
  </si>
  <si>
    <t>JOHN KIM</t>
  </si>
  <si>
    <t>BILL SAUSER</t>
  </si>
  <si>
    <t>DEBORAH PETTERSEN</t>
  </si>
  <si>
    <t>TRINH TRIEU</t>
  </si>
  <si>
    <t>DEBORAH FRIEDEN</t>
  </si>
  <si>
    <t>JAMES FRIEDEN</t>
  </si>
  <si>
    <t>JEFFREY GILBERT</t>
  </si>
  <si>
    <t>VERNON SWEARENGIN</t>
  </si>
  <si>
    <t>THERESA SCHOLZ</t>
  </si>
  <si>
    <t>LAURIE ROUND</t>
  </si>
  <si>
    <t>PAUL VAVRINCHIK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</si>
</sst>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0" fontId="0" fillId="33" borderId="0" xfId="42" applyNumberFormat="1" applyFon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3" borderId="0" xfId="0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18" fillId="0" borderId="0" xfId="42" applyNumberFormat="1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Fill="1" applyAlignment="1">
      <alignment horizontal="left" vertical="top"/>
    </xf>
    <xf numFmtId="14" fontId="0" fillId="0" borderId="0" xfId="0" applyNumberFormat="1" applyFill="1"/>
    <xf numFmtId="0" fontId="0" fillId="0" borderId="0" xfId="42" applyNumberFormat="1" applyFont="1" applyFill="1"/>
    <xf numFmtId="2" fontId="0" fillId="0" borderId="0" xfId="0" applyNumberFormat="1" applyFill="1"/>
    <xf numFmtId="0" fontId="19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2E3E-64D7-4C62-B785-E2EDC860E7BA}">
  <dimension ref="A1:AP22"/>
  <sheetViews>
    <sheetView topLeftCell="H1" workbookViewId="0">
      <selection activeCell="T14" sqref="T1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45805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644113652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45809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0.57999999999999996</v>
      </c>
      <c r="W2" s="5">
        <v>0</v>
      </c>
      <c r="X2" s="5">
        <v>100</v>
      </c>
      <c r="Y2" s="5">
        <v>182.58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45809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45805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180340381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45809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0.57999999999999996</v>
      </c>
      <c r="W3" s="5">
        <v>0</v>
      </c>
      <c r="X3" s="5">
        <v>100</v>
      </c>
      <c r="Y3" s="5">
        <v>182.58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45809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45805</v>
      </c>
      <c r="C4" s="4" t="s">
        <v>56</v>
      </c>
      <c r="D4" s="2">
        <v>1466196</v>
      </c>
      <c r="E4" s="4" t="s">
        <v>60</v>
      </c>
      <c r="F4" s="4" t="s">
        <v>61</v>
      </c>
      <c r="G4" s="2">
        <v>847078103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45809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0.57999999999999996</v>
      </c>
      <c r="W4" s="5">
        <v>0</v>
      </c>
      <c r="X4" s="5">
        <v>100</v>
      </c>
      <c r="Y4" s="5">
        <v>182.58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45809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45805</v>
      </c>
      <c r="C5" s="4" t="s">
        <v>63</v>
      </c>
      <c r="D5" s="2">
        <v>1509770</v>
      </c>
      <c r="E5" s="4" t="s">
        <v>64</v>
      </c>
      <c r="F5" s="4" t="s">
        <v>65</v>
      </c>
      <c r="G5" s="2">
        <v>655623503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45778</v>
      </c>
      <c r="M5" s="4" t="s">
        <v>67</v>
      </c>
      <c r="N5" s="4" t="s">
        <v>46</v>
      </c>
      <c r="O5" s="4" t="s">
        <v>68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1</v>
      </c>
      <c r="W5" s="5">
        <v>0</v>
      </c>
      <c r="X5" s="5">
        <v>100</v>
      </c>
      <c r="Y5" s="5">
        <v>26.08</v>
      </c>
      <c r="Z5" s="4" t="s">
        <v>46</v>
      </c>
      <c r="AA5" s="5" t="s">
        <v>46</v>
      </c>
      <c r="AB5" s="4" t="s">
        <v>69</v>
      </c>
      <c r="AC5" s="4" t="s">
        <v>46</v>
      </c>
      <c r="AD5" s="5">
        <v>0</v>
      </c>
      <c r="AE5" s="4" t="s">
        <v>70</v>
      </c>
      <c r="AF5" s="3">
        <v>45597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45805</v>
      </c>
      <c r="C6" s="4" t="s">
        <v>63</v>
      </c>
      <c r="D6" s="2">
        <v>1509770</v>
      </c>
      <c r="E6" s="4" t="s">
        <v>64</v>
      </c>
      <c r="F6" s="4" t="s">
        <v>65</v>
      </c>
      <c r="G6" s="2">
        <v>655623503</v>
      </c>
      <c r="H6" s="4" t="s">
        <v>66</v>
      </c>
      <c r="I6" s="4" t="s">
        <v>46</v>
      </c>
      <c r="J6" s="4" t="s">
        <v>47</v>
      </c>
      <c r="K6" s="4" t="s">
        <v>48</v>
      </c>
      <c r="L6" s="3">
        <v>45748</v>
      </c>
      <c r="M6" s="4" t="s">
        <v>71</v>
      </c>
      <c r="N6" s="4" t="s">
        <v>46</v>
      </c>
      <c r="O6" s="4" t="s">
        <v>68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1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69</v>
      </c>
      <c r="AC6" s="4" t="s">
        <v>46</v>
      </c>
      <c r="AD6" s="5">
        <v>0</v>
      </c>
      <c r="AE6" s="4" t="s">
        <v>70</v>
      </c>
      <c r="AF6" s="3">
        <v>45597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45805</v>
      </c>
      <c r="C7" s="4" t="s">
        <v>63</v>
      </c>
      <c r="D7" s="2">
        <v>1509770</v>
      </c>
      <c r="E7" s="4" t="s">
        <v>72</v>
      </c>
      <c r="F7" s="4" t="s">
        <v>73</v>
      </c>
      <c r="G7" s="2">
        <v>543467454</v>
      </c>
      <c r="H7" s="4" t="s">
        <v>74</v>
      </c>
      <c r="I7" s="4" t="s">
        <v>46</v>
      </c>
      <c r="J7" s="4" t="s">
        <v>47</v>
      </c>
      <c r="K7" s="4" t="s">
        <v>48</v>
      </c>
      <c r="L7" s="3">
        <v>45809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75</v>
      </c>
      <c r="U7" s="4" t="s">
        <v>46</v>
      </c>
      <c r="V7" s="5">
        <v>0.57999999999999996</v>
      </c>
      <c r="W7" s="5">
        <v>0</v>
      </c>
      <c r="X7" s="5">
        <v>100</v>
      </c>
      <c r="Y7" s="5">
        <v>182.58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45809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76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45805</v>
      </c>
      <c r="C8" s="4" t="s">
        <v>77</v>
      </c>
      <c r="D8" s="2">
        <v>1573279</v>
      </c>
      <c r="E8" s="4" t="s">
        <v>78</v>
      </c>
      <c r="F8" s="4" t="s">
        <v>79</v>
      </c>
      <c r="G8" s="2">
        <v>483647373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45809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0.57999999999999996</v>
      </c>
      <c r="W8" s="5">
        <v>0</v>
      </c>
      <c r="X8" s="5">
        <v>100</v>
      </c>
      <c r="Y8" s="5">
        <v>182.58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45809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45805</v>
      </c>
      <c r="C9" s="4" t="s">
        <v>81</v>
      </c>
      <c r="D9" s="2">
        <v>1576652</v>
      </c>
      <c r="E9" s="4" t="s">
        <v>82</v>
      </c>
      <c r="F9" s="4" t="s">
        <v>83</v>
      </c>
      <c r="G9" s="2">
        <v>131116227</v>
      </c>
      <c r="H9" s="4" t="s">
        <v>84</v>
      </c>
      <c r="I9" s="4" t="s">
        <v>46</v>
      </c>
      <c r="J9" s="4" t="s">
        <v>47</v>
      </c>
      <c r="K9" s="4" t="s">
        <v>48</v>
      </c>
      <c r="L9" s="3">
        <v>45809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0.57999999999999996</v>
      </c>
      <c r="W9" s="5">
        <v>0</v>
      </c>
      <c r="X9" s="5">
        <v>100</v>
      </c>
      <c r="Y9" s="5">
        <v>182.58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45809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45805</v>
      </c>
      <c r="C10" s="4" t="s">
        <v>85</v>
      </c>
      <c r="D10" s="2">
        <v>1646082</v>
      </c>
      <c r="E10" s="4" t="s">
        <v>86</v>
      </c>
      <c r="F10" s="4" t="s">
        <v>87</v>
      </c>
      <c r="G10" s="2">
        <v>340136144</v>
      </c>
      <c r="H10" s="4" t="s">
        <v>88</v>
      </c>
      <c r="I10" s="4" t="s">
        <v>46</v>
      </c>
      <c r="J10" s="4" t="s">
        <v>47</v>
      </c>
      <c r="K10" s="4" t="s">
        <v>48</v>
      </c>
      <c r="L10" s="3">
        <v>45809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0.57999999999999996</v>
      </c>
      <c r="W10" s="5">
        <v>0</v>
      </c>
      <c r="X10" s="5">
        <v>100</v>
      </c>
      <c r="Y10" s="5">
        <v>182.58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45809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45805</v>
      </c>
      <c r="C11" s="4" t="s">
        <v>89</v>
      </c>
      <c r="D11" s="2">
        <v>1703942</v>
      </c>
      <c r="E11" s="4" t="s">
        <v>90</v>
      </c>
      <c r="F11" s="4" t="s">
        <v>91</v>
      </c>
      <c r="G11" s="2">
        <v>241042545</v>
      </c>
      <c r="H11" s="4" t="s">
        <v>92</v>
      </c>
      <c r="I11" s="4" t="s">
        <v>46</v>
      </c>
      <c r="J11" s="4" t="s">
        <v>47</v>
      </c>
      <c r="K11" s="4" t="s">
        <v>48</v>
      </c>
      <c r="L11" s="3">
        <v>45717</v>
      </c>
      <c r="M11" s="4" t="s">
        <v>93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0.57999999999999996</v>
      </c>
      <c r="W11" s="5">
        <v>0</v>
      </c>
      <c r="X11" s="5">
        <v>100</v>
      </c>
      <c r="Y11" s="5">
        <v>182.58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45717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45805</v>
      </c>
      <c r="C12" s="4" t="s">
        <v>89</v>
      </c>
      <c r="D12" s="2">
        <v>1703942</v>
      </c>
      <c r="E12" s="4" t="s">
        <v>94</v>
      </c>
      <c r="F12" s="4" t="s">
        <v>95</v>
      </c>
      <c r="G12" s="2">
        <v>692015227</v>
      </c>
      <c r="H12" s="4" t="s">
        <v>96</v>
      </c>
      <c r="I12" s="4" t="s">
        <v>46</v>
      </c>
      <c r="J12" s="4" t="s">
        <v>47</v>
      </c>
      <c r="K12" s="4" t="s">
        <v>48</v>
      </c>
      <c r="L12" s="3">
        <v>45809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97</v>
      </c>
      <c r="U12" s="4" t="s">
        <v>46</v>
      </c>
      <c r="V12" s="5">
        <v>0.57999999999999996</v>
      </c>
      <c r="W12" s="5">
        <v>0</v>
      </c>
      <c r="X12" s="5">
        <v>100</v>
      </c>
      <c r="Y12" s="5">
        <v>32.08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45809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98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45805</v>
      </c>
      <c r="C13" s="4" t="s">
        <v>99</v>
      </c>
      <c r="D13" s="2">
        <v>1758433</v>
      </c>
      <c r="E13" s="4" t="s">
        <v>100</v>
      </c>
      <c r="F13" s="4" t="s">
        <v>101</v>
      </c>
      <c r="G13" s="2">
        <v>973674484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45809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0.57999999999999996</v>
      </c>
      <c r="W13" s="5">
        <v>0</v>
      </c>
      <c r="X13" s="5">
        <v>100</v>
      </c>
      <c r="Y13" s="5">
        <v>205.92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45809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103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45805</v>
      </c>
      <c r="C14" s="4" t="s">
        <v>104</v>
      </c>
      <c r="D14" s="2">
        <v>1831491</v>
      </c>
      <c r="E14" s="4" t="s">
        <v>105</v>
      </c>
      <c r="F14" s="4" t="s">
        <v>106</v>
      </c>
      <c r="G14" s="2">
        <v>569796273</v>
      </c>
      <c r="H14" s="4" t="s">
        <v>107</v>
      </c>
      <c r="I14" s="4" t="s">
        <v>46</v>
      </c>
      <c r="J14" s="4" t="s">
        <v>47</v>
      </c>
      <c r="K14" s="4" t="s">
        <v>48</v>
      </c>
      <c r="L14" s="3">
        <v>45809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97</v>
      </c>
      <c r="U14" s="4" t="s">
        <v>46</v>
      </c>
      <c r="V14" s="5">
        <v>0.57999999999999996</v>
      </c>
      <c r="W14" s="5">
        <v>0</v>
      </c>
      <c r="X14" s="5">
        <v>100</v>
      </c>
      <c r="Y14" s="5">
        <v>32.08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45809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98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45805</v>
      </c>
      <c r="C15" s="4" t="s">
        <v>108</v>
      </c>
      <c r="D15" s="2">
        <v>1855975</v>
      </c>
      <c r="E15" s="4" t="s">
        <v>109</v>
      </c>
      <c r="F15" s="4" t="s">
        <v>110</v>
      </c>
      <c r="G15" s="2">
        <v>275126525</v>
      </c>
      <c r="H15" s="4" t="s">
        <v>111</v>
      </c>
      <c r="I15" s="4" t="s">
        <v>46</v>
      </c>
      <c r="J15" s="4" t="s">
        <v>47</v>
      </c>
      <c r="K15" s="4" t="s">
        <v>48</v>
      </c>
      <c r="L15" s="3">
        <v>45809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-0.57999999999999996</v>
      </c>
      <c r="W15" s="5">
        <v>0</v>
      </c>
      <c r="X15" s="5">
        <v>100</v>
      </c>
      <c r="Y15" s="5">
        <v>-182.58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45809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45805</v>
      </c>
      <c r="C16" s="4" t="s">
        <v>108</v>
      </c>
      <c r="D16" s="2">
        <v>1855975</v>
      </c>
      <c r="E16" s="4" t="s">
        <v>112</v>
      </c>
      <c r="F16" s="4" t="s">
        <v>113</v>
      </c>
      <c r="G16" s="2">
        <v>367545445</v>
      </c>
      <c r="H16" s="4" t="s">
        <v>114</v>
      </c>
      <c r="I16" s="4" t="s">
        <v>46</v>
      </c>
      <c r="J16" s="4" t="s">
        <v>47</v>
      </c>
      <c r="K16" s="4" t="s">
        <v>48</v>
      </c>
      <c r="L16" s="3">
        <v>45809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-0.57999999999999996</v>
      </c>
      <c r="W16" s="5">
        <v>0</v>
      </c>
      <c r="X16" s="5">
        <v>100</v>
      </c>
      <c r="Y16" s="5">
        <v>-182.58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45809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45805</v>
      </c>
      <c r="C17" s="4" t="s">
        <v>115</v>
      </c>
      <c r="D17" s="2">
        <v>1737425</v>
      </c>
      <c r="E17" s="4" t="s">
        <v>116</v>
      </c>
      <c r="F17" s="4" t="s">
        <v>117</v>
      </c>
      <c r="G17" s="4" t="s">
        <v>46</v>
      </c>
      <c r="H17" s="4" t="s">
        <v>46</v>
      </c>
      <c r="I17" s="4" t="s">
        <v>46</v>
      </c>
      <c r="J17" s="4" t="s">
        <v>118</v>
      </c>
      <c r="K17" s="4" t="s">
        <v>119</v>
      </c>
      <c r="L17" s="3">
        <v>45778</v>
      </c>
      <c r="M17" s="4" t="s">
        <v>67</v>
      </c>
      <c r="N17" s="4" t="s">
        <v>46</v>
      </c>
      <c r="O17" s="4" t="s">
        <v>50</v>
      </c>
      <c r="P17" s="4" t="s">
        <v>68</v>
      </c>
      <c r="Q17" s="2">
        <v>3</v>
      </c>
      <c r="R17" s="2">
        <v>60</v>
      </c>
      <c r="S17" s="4" t="s">
        <v>120</v>
      </c>
      <c r="T17" s="4" t="s">
        <v>46</v>
      </c>
      <c r="U17" s="4" t="s">
        <v>46</v>
      </c>
      <c r="V17" s="5">
        <v>10</v>
      </c>
      <c r="W17" s="5">
        <v>38.21</v>
      </c>
      <c r="X17" s="5">
        <v>100</v>
      </c>
      <c r="Y17" s="5">
        <v>38.82</v>
      </c>
      <c r="Z17" s="4" t="s">
        <v>46</v>
      </c>
      <c r="AA17" s="5" t="s">
        <v>46</v>
      </c>
      <c r="AB17" s="4" t="s">
        <v>121</v>
      </c>
      <c r="AC17" s="4" t="s">
        <v>46</v>
      </c>
      <c r="AD17" s="5">
        <v>0</v>
      </c>
      <c r="AE17" s="4" t="s">
        <v>122</v>
      </c>
      <c r="AF17" s="3">
        <v>45786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45805</v>
      </c>
      <c r="C18" s="4" t="s">
        <v>115</v>
      </c>
      <c r="D18" s="2">
        <v>1737425</v>
      </c>
      <c r="E18" s="4" t="s">
        <v>123</v>
      </c>
      <c r="F18" s="4" t="s">
        <v>124</v>
      </c>
      <c r="G18" s="4" t="s">
        <v>46</v>
      </c>
      <c r="H18" s="4" t="s">
        <v>46</v>
      </c>
      <c r="I18" s="4" t="s">
        <v>46</v>
      </c>
      <c r="J18" s="4" t="s">
        <v>118</v>
      </c>
      <c r="K18" s="4" t="s">
        <v>119</v>
      </c>
      <c r="L18" s="3">
        <v>45778</v>
      </c>
      <c r="M18" s="4" t="s">
        <v>67</v>
      </c>
      <c r="N18" s="4" t="s">
        <v>46</v>
      </c>
      <c r="O18" s="4" t="s">
        <v>50</v>
      </c>
      <c r="P18" s="4" t="s">
        <v>68</v>
      </c>
      <c r="Q18" s="2">
        <v>1</v>
      </c>
      <c r="R18" s="2">
        <v>60</v>
      </c>
      <c r="S18" s="4" t="s">
        <v>120</v>
      </c>
      <c r="T18" s="4" t="s">
        <v>46</v>
      </c>
      <c r="U18" s="4" t="s">
        <v>46</v>
      </c>
      <c r="V18" s="5">
        <v>10</v>
      </c>
      <c r="W18" s="5">
        <v>12.24</v>
      </c>
      <c r="X18" s="5">
        <v>100</v>
      </c>
      <c r="Y18" s="5">
        <v>36.22</v>
      </c>
      <c r="Z18" s="4" t="s">
        <v>46</v>
      </c>
      <c r="AA18" s="5" t="s">
        <v>46</v>
      </c>
      <c r="AB18" s="4" t="s">
        <v>121</v>
      </c>
      <c r="AC18" s="4" t="s">
        <v>46</v>
      </c>
      <c r="AD18" s="5">
        <v>0</v>
      </c>
      <c r="AE18" s="4" t="s">
        <v>122</v>
      </c>
      <c r="AF18" s="3">
        <v>45786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45805</v>
      </c>
      <c r="C19" s="4" t="s">
        <v>104</v>
      </c>
      <c r="D19" s="2">
        <v>1831491</v>
      </c>
      <c r="E19" s="4" t="s">
        <v>125</v>
      </c>
      <c r="F19" s="4" t="s">
        <v>126</v>
      </c>
      <c r="G19" s="4" t="s">
        <v>46</v>
      </c>
      <c r="H19" s="4" t="s">
        <v>46</v>
      </c>
      <c r="I19" s="4" t="s">
        <v>46</v>
      </c>
      <c r="J19" s="4" t="s">
        <v>118</v>
      </c>
      <c r="K19" s="4" t="s">
        <v>119</v>
      </c>
      <c r="L19" s="3">
        <v>45809</v>
      </c>
      <c r="M19" s="4" t="s">
        <v>49</v>
      </c>
      <c r="N19" s="4" t="s">
        <v>46</v>
      </c>
      <c r="O19" s="4" t="s">
        <v>50</v>
      </c>
      <c r="P19" s="4" t="s">
        <v>68</v>
      </c>
      <c r="Q19" s="2">
        <v>2</v>
      </c>
      <c r="R19" s="2">
        <v>60</v>
      </c>
      <c r="S19" s="4" t="s">
        <v>120</v>
      </c>
      <c r="T19" s="4" t="s">
        <v>46</v>
      </c>
      <c r="U19" s="4" t="s">
        <v>46</v>
      </c>
      <c r="V19" s="5">
        <v>10</v>
      </c>
      <c r="W19" s="5">
        <v>0.88</v>
      </c>
      <c r="X19" s="5">
        <v>100</v>
      </c>
      <c r="Y19" s="5">
        <v>0.09</v>
      </c>
      <c r="Z19" s="4" t="s">
        <v>46</v>
      </c>
      <c r="AA19" s="5" t="s">
        <v>46</v>
      </c>
      <c r="AB19" s="4" t="s">
        <v>121</v>
      </c>
      <c r="AC19" s="4" t="s">
        <v>46</v>
      </c>
      <c r="AD19" s="5">
        <v>0</v>
      </c>
      <c r="AE19" s="4" t="s">
        <v>122</v>
      </c>
      <c r="AF19" s="3">
        <v>45808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45805</v>
      </c>
      <c r="C20" s="4" t="s">
        <v>104</v>
      </c>
      <c r="D20" s="2">
        <v>1831491</v>
      </c>
      <c r="E20" s="4" t="s">
        <v>127</v>
      </c>
      <c r="F20" s="4" t="s">
        <v>128</v>
      </c>
      <c r="G20" s="4" t="s">
        <v>46</v>
      </c>
      <c r="H20" s="4" t="s">
        <v>46</v>
      </c>
      <c r="I20" s="4" t="s">
        <v>46</v>
      </c>
      <c r="J20" s="4" t="s">
        <v>118</v>
      </c>
      <c r="K20" s="4" t="s">
        <v>119</v>
      </c>
      <c r="L20" s="3">
        <v>45809</v>
      </c>
      <c r="M20" s="4" t="s">
        <v>49</v>
      </c>
      <c r="N20" s="4" t="s">
        <v>46</v>
      </c>
      <c r="O20" s="4" t="s">
        <v>50</v>
      </c>
      <c r="P20" s="4" t="s">
        <v>68</v>
      </c>
      <c r="Q20" s="2">
        <v>6</v>
      </c>
      <c r="R20" s="2">
        <v>60</v>
      </c>
      <c r="S20" s="4" t="s">
        <v>120</v>
      </c>
      <c r="T20" s="4" t="s">
        <v>46</v>
      </c>
      <c r="U20" s="4" t="s">
        <v>46</v>
      </c>
      <c r="V20" s="5">
        <v>10</v>
      </c>
      <c r="W20" s="5">
        <v>46.8</v>
      </c>
      <c r="X20" s="5">
        <v>100</v>
      </c>
      <c r="Y20" s="5">
        <v>39.68</v>
      </c>
      <c r="Z20" s="4" t="s">
        <v>46</v>
      </c>
      <c r="AA20" s="5" t="s">
        <v>46</v>
      </c>
      <c r="AB20" s="4" t="s">
        <v>121</v>
      </c>
      <c r="AC20" s="4" t="s">
        <v>46</v>
      </c>
      <c r="AD20" s="5">
        <v>0</v>
      </c>
      <c r="AE20" s="4" t="s">
        <v>122</v>
      </c>
      <c r="AF20" s="3">
        <v>45809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45805</v>
      </c>
      <c r="C21" s="4" t="s">
        <v>104</v>
      </c>
      <c r="D21" s="2">
        <v>1831491</v>
      </c>
      <c r="E21" s="4" t="s">
        <v>129</v>
      </c>
      <c r="F21" s="4" t="s">
        <v>130</v>
      </c>
      <c r="G21" s="4" t="s">
        <v>46</v>
      </c>
      <c r="H21" s="4" t="s">
        <v>46</v>
      </c>
      <c r="I21" s="4" t="s">
        <v>46</v>
      </c>
      <c r="J21" s="4" t="s">
        <v>118</v>
      </c>
      <c r="K21" s="4" t="s">
        <v>119</v>
      </c>
      <c r="L21" s="3">
        <v>45809</v>
      </c>
      <c r="M21" s="4" t="s">
        <v>49</v>
      </c>
      <c r="N21" s="4" t="s">
        <v>46</v>
      </c>
      <c r="O21" s="4" t="s">
        <v>50</v>
      </c>
      <c r="P21" s="4" t="s">
        <v>68</v>
      </c>
      <c r="Q21" s="2">
        <v>2</v>
      </c>
      <c r="R21" s="2">
        <v>60</v>
      </c>
      <c r="S21" s="4" t="s">
        <v>120</v>
      </c>
      <c r="T21" s="4" t="s">
        <v>46</v>
      </c>
      <c r="U21" s="4" t="s">
        <v>46</v>
      </c>
      <c r="V21" s="5">
        <v>10</v>
      </c>
      <c r="W21" s="5">
        <v>26.88</v>
      </c>
      <c r="X21" s="5">
        <v>100</v>
      </c>
      <c r="Y21" s="5">
        <v>37.69</v>
      </c>
      <c r="Z21" s="4" t="s">
        <v>46</v>
      </c>
      <c r="AA21" s="5" t="s">
        <v>46</v>
      </c>
      <c r="AB21" s="4" t="s">
        <v>121</v>
      </c>
      <c r="AC21" s="4" t="s">
        <v>46</v>
      </c>
      <c r="AD21" s="5">
        <v>0</v>
      </c>
      <c r="AE21" s="4" t="s">
        <v>122</v>
      </c>
      <c r="AF21" s="3">
        <v>45809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45805</v>
      </c>
      <c r="C22" s="4" t="s">
        <v>131</v>
      </c>
      <c r="D22" s="2">
        <v>1875462</v>
      </c>
      <c r="E22" s="4" t="s">
        <v>132</v>
      </c>
      <c r="F22" s="4" t="s">
        <v>133</v>
      </c>
      <c r="G22" s="4" t="s">
        <v>46</v>
      </c>
      <c r="H22" s="4" t="s">
        <v>46</v>
      </c>
      <c r="I22" s="4" t="s">
        <v>46</v>
      </c>
      <c r="J22" s="4" t="s">
        <v>118</v>
      </c>
      <c r="K22" s="4" t="s">
        <v>119</v>
      </c>
      <c r="L22" s="3">
        <v>45809</v>
      </c>
      <c r="M22" s="4" t="s">
        <v>49</v>
      </c>
      <c r="N22" s="4" t="s">
        <v>46</v>
      </c>
      <c r="O22" s="4" t="s">
        <v>50</v>
      </c>
      <c r="P22" s="4" t="s">
        <v>68</v>
      </c>
      <c r="Q22" s="2">
        <v>2</v>
      </c>
      <c r="R22" s="2">
        <v>60</v>
      </c>
      <c r="S22" s="4" t="s">
        <v>120</v>
      </c>
      <c r="T22" s="4" t="s">
        <v>46</v>
      </c>
      <c r="U22" s="4" t="s">
        <v>46</v>
      </c>
      <c r="V22" s="5">
        <v>10</v>
      </c>
      <c r="W22" s="5">
        <v>23.99</v>
      </c>
      <c r="X22" s="5">
        <v>100</v>
      </c>
      <c r="Y22" s="5">
        <v>2.4</v>
      </c>
      <c r="Z22" s="4" t="s">
        <v>46</v>
      </c>
      <c r="AA22" s="5" t="s">
        <v>46</v>
      </c>
      <c r="AB22" s="4" t="s">
        <v>121</v>
      </c>
      <c r="AC22" s="4" t="s">
        <v>46</v>
      </c>
      <c r="AD22" s="5">
        <v>0</v>
      </c>
      <c r="AE22" s="4" t="s">
        <v>122</v>
      </c>
      <c r="AF22" s="3">
        <v>45713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C405-1DF7-4BE6-881F-63B5EE911293}">
  <dimension ref="A1:R32"/>
  <sheetViews>
    <sheetView tabSelected="1" workbookViewId="0">
      <selection activeCell="E35" sqref="E35"/>
    </sheetView>
  </sheetViews>
  <sheetFormatPr defaultRowHeight="12.75" x14ac:dyDescent="0.2"/>
  <cols>
    <col min="1" max="1" width="24.7109375" style="17" bestFit="1" customWidth="1"/>
    <col min="2" max="2" width="14.28515625" style="17" customWidth="1"/>
    <col min="3" max="3" width="28.5703125" style="17" bestFit="1" customWidth="1"/>
    <col min="4" max="4" width="13.28515625" style="17" bestFit="1" customWidth="1"/>
    <col min="5" max="5" width="17.42578125" style="17" bestFit="1" customWidth="1"/>
    <col min="6" max="6" width="9.5703125" style="17" bestFit="1" customWidth="1"/>
    <col min="7" max="8" width="11.42578125" style="17" bestFit="1" customWidth="1"/>
    <col min="9" max="9" width="5.7109375" style="17" bestFit="1" customWidth="1"/>
    <col min="10" max="10" width="15.28515625" style="17" bestFit="1" customWidth="1"/>
    <col min="11" max="11" width="13.7109375" style="22" bestFit="1" customWidth="1"/>
    <col min="12" max="12" width="9.5703125" style="17" bestFit="1" customWidth="1"/>
    <col min="13" max="13" width="15.28515625" style="17" bestFit="1" customWidth="1"/>
    <col min="14" max="14" width="30.85546875" style="17" customWidth="1"/>
    <col min="15" max="15" width="13.7109375" style="17" bestFit="1" customWidth="1"/>
    <col min="16" max="16" width="21.7109375" style="17" bestFit="1" customWidth="1"/>
    <col min="17" max="17" width="21.5703125" style="17" bestFit="1" customWidth="1"/>
    <col min="18" max="16384" width="9.140625" style="17"/>
  </cols>
  <sheetData>
    <row r="1" spans="1:18" x14ac:dyDescent="0.2">
      <c r="A1" s="15" t="s">
        <v>2</v>
      </c>
      <c r="B1" s="15" t="s">
        <v>3</v>
      </c>
      <c r="C1" s="15" t="s">
        <v>4</v>
      </c>
      <c r="D1" s="15" t="s">
        <v>5</v>
      </c>
      <c r="E1" s="15"/>
      <c r="F1" s="15" t="s">
        <v>9</v>
      </c>
      <c r="G1" s="15" t="s">
        <v>11</v>
      </c>
      <c r="H1" s="15" t="s">
        <v>12</v>
      </c>
      <c r="I1" s="15" t="s">
        <v>16</v>
      </c>
      <c r="J1" s="15" t="s">
        <v>18</v>
      </c>
      <c r="K1" s="16" t="s">
        <v>21</v>
      </c>
      <c r="L1" s="15" t="s">
        <v>22</v>
      </c>
      <c r="M1" s="15" t="s">
        <v>24</v>
      </c>
      <c r="N1" s="15" t="s">
        <v>27</v>
      </c>
      <c r="O1" s="15" t="s">
        <v>31</v>
      </c>
    </row>
    <row r="2" spans="1:18" x14ac:dyDescent="0.2">
      <c r="A2" s="18" t="s">
        <v>81</v>
      </c>
      <c r="B2" s="19">
        <v>16683808</v>
      </c>
      <c r="C2" s="20" t="s">
        <v>187</v>
      </c>
      <c r="D2" s="18" t="s">
        <v>83</v>
      </c>
      <c r="E2" s="17" t="str">
        <f>CONCATENATE(D2,6)</f>
        <v>00023364862K6</v>
      </c>
      <c r="F2" s="18" t="s">
        <v>47</v>
      </c>
      <c r="G2" s="21">
        <v>45809</v>
      </c>
      <c r="H2" s="18" t="s">
        <v>49</v>
      </c>
      <c r="I2" s="19">
        <v>1</v>
      </c>
      <c r="J2" s="18" t="s">
        <v>51</v>
      </c>
      <c r="K2" s="22">
        <v>0.57999999999999996</v>
      </c>
      <c r="L2" s="23">
        <v>1</v>
      </c>
      <c r="M2" s="23">
        <v>182.58</v>
      </c>
      <c r="N2" s="18" t="s">
        <v>53</v>
      </c>
      <c r="O2" s="21">
        <v>45809</v>
      </c>
      <c r="P2" s="17" t="s">
        <v>136</v>
      </c>
      <c r="Q2" s="24" t="s">
        <v>137</v>
      </c>
    </row>
    <row r="3" spans="1:18" x14ac:dyDescent="0.2">
      <c r="A3" s="18" t="s">
        <v>56</v>
      </c>
      <c r="B3" s="19">
        <v>7470776</v>
      </c>
      <c r="C3" s="20" t="s">
        <v>188</v>
      </c>
      <c r="D3" s="18" t="s">
        <v>58</v>
      </c>
      <c r="E3" s="17" t="str">
        <f>CONCATENATE(D3,6)</f>
        <v>00022121084K6</v>
      </c>
      <c r="F3" s="18" t="s">
        <v>47</v>
      </c>
      <c r="G3" s="21">
        <v>45809</v>
      </c>
      <c r="H3" s="18" t="s">
        <v>49</v>
      </c>
      <c r="I3" s="19">
        <v>1</v>
      </c>
      <c r="J3" s="18" t="s">
        <v>51</v>
      </c>
      <c r="K3" s="22">
        <v>0.57999999999999996</v>
      </c>
      <c r="L3" s="23">
        <v>1</v>
      </c>
      <c r="M3" s="23">
        <v>182.58</v>
      </c>
      <c r="N3" s="18" t="s">
        <v>53</v>
      </c>
      <c r="O3" s="21">
        <v>45809</v>
      </c>
      <c r="P3" s="17" t="s">
        <v>136</v>
      </c>
      <c r="Q3" s="24" t="s">
        <v>137</v>
      </c>
    </row>
    <row r="4" spans="1:18" x14ac:dyDescent="0.2">
      <c r="A4" s="18" t="s">
        <v>56</v>
      </c>
      <c r="B4" s="19">
        <v>7470776</v>
      </c>
      <c r="C4" s="20" t="s">
        <v>189</v>
      </c>
      <c r="D4" s="18" t="s">
        <v>61</v>
      </c>
      <c r="E4" s="17" t="str">
        <f>CONCATENATE(D4,6)</f>
        <v>00023363788K6</v>
      </c>
      <c r="F4" s="18" t="s">
        <v>47</v>
      </c>
      <c r="G4" s="21">
        <v>45809</v>
      </c>
      <c r="H4" s="18" t="s">
        <v>49</v>
      </c>
      <c r="I4" s="19">
        <v>1</v>
      </c>
      <c r="J4" s="18" t="s">
        <v>51</v>
      </c>
      <c r="K4" s="22">
        <v>0.57999999999999996</v>
      </c>
      <c r="L4" s="23">
        <v>1</v>
      </c>
      <c r="M4" s="23">
        <v>182.58</v>
      </c>
      <c r="N4" s="18" t="s">
        <v>53</v>
      </c>
      <c r="O4" s="21">
        <v>45809</v>
      </c>
      <c r="P4" s="17" t="s">
        <v>136</v>
      </c>
      <c r="Q4" s="24" t="s">
        <v>137</v>
      </c>
    </row>
    <row r="5" spans="1:18" s="11" customFormat="1" x14ac:dyDescent="0.2">
      <c r="A5" s="6" t="s">
        <v>104</v>
      </c>
      <c r="B5" s="7" t="s">
        <v>141</v>
      </c>
      <c r="C5" s="14" t="s">
        <v>181</v>
      </c>
      <c r="D5" s="14">
        <v>9030509330</v>
      </c>
      <c r="E5" s="11" t="str">
        <f>CONCATENATE(D5,4)</f>
        <v>90305093304</v>
      </c>
      <c r="F5" s="6" t="s">
        <v>118</v>
      </c>
      <c r="G5" s="8">
        <v>45809</v>
      </c>
      <c r="H5" s="6" t="s">
        <v>49</v>
      </c>
      <c r="I5" s="7">
        <v>2</v>
      </c>
      <c r="J5" s="6" t="s">
        <v>120</v>
      </c>
      <c r="K5" s="9">
        <v>10</v>
      </c>
      <c r="L5" s="10">
        <v>9</v>
      </c>
      <c r="M5" s="10">
        <v>0.09</v>
      </c>
      <c r="N5" s="6" t="s">
        <v>121</v>
      </c>
      <c r="O5" s="8">
        <v>45808</v>
      </c>
      <c r="P5" s="11" t="s">
        <v>134</v>
      </c>
    </row>
    <row r="6" spans="1:18" s="11" customFormat="1" x14ac:dyDescent="0.2">
      <c r="A6" s="6" t="s">
        <v>104</v>
      </c>
      <c r="B6" s="7" t="s">
        <v>141</v>
      </c>
      <c r="C6" s="14" t="s">
        <v>182</v>
      </c>
      <c r="D6" s="14">
        <v>9030577770</v>
      </c>
      <c r="E6" s="11" t="str">
        <f>CONCATENATE(D6,4)</f>
        <v>90305777704</v>
      </c>
      <c r="F6" s="6" t="s">
        <v>118</v>
      </c>
      <c r="G6" s="8">
        <v>45809</v>
      </c>
      <c r="H6" s="6" t="s">
        <v>49</v>
      </c>
      <c r="I6" s="7">
        <v>6</v>
      </c>
      <c r="J6" s="6" t="s">
        <v>120</v>
      </c>
      <c r="K6" s="9">
        <v>10</v>
      </c>
      <c r="L6" s="10">
        <v>396.8</v>
      </c>
      <c r="M6" s="10">
        <v>39.68</v>
      </c>
      <c r="N6" s="6" t="s">
        <v>121</v>
      </c>
      <c r="O6" s="8">
        <v>45809</v>
      </c>
      <c r="P6" s="11" t="s">
        <v>134</v>
      </c>
    </row>
    <row r="7" spans="1:18" s="11" customFormat="1" x14ac:dyDescent="0.2">
      <c r="A7" s="6" t="s">
        <v>104</v>
      </c>
      <c r="B7" s="7" t="s">
        <v>141</v>
      </c>
      <c r="C7" s="14" t="s">
        <v>183</v>
      </c>
      <c r="D7" s="14">
        <v>9030582430</v>
      </c>
      <c r="E7" s="11" t="str">
        <f>CONCATENATE(D7,4)</f>
        <v>90305824304</v>
      </c>
      <c r="F7" s="6" t="s">
        <v>118</v>
      </c>
      <c r="G7" s="8">
        <v>45809</v>
      </c>
      <c r="H7" s="6" t="s">
        <v>49</v>
      </c>
      <c r="I7" s="7">
        <v>2</v>
      </c>
      <c r="J7" s="6" t="s">
        <v>120</v>
      </c>
      <c r="K7" s="9">
        <v>10</v>
      </c>
      <c r="L7" s="10">
        <v>376.9</v>
      </c>
      <c r="M7" s="10">
        <v>37.69</v>
      </c>
      <c r="N7" s="6" t="s">
        <v>121</v>
      </c>
      <c r="O7" s="8">
        <v>45809</v>
      </c>
      <c r="P7" s="11" t="s">
        <v>134</v>
      </c>
    </row>
    <row r="8" spans="1:18" s="11" customFormat="1" x14ac:dyDescent="0.2">
      <c r="A8" s="6" t="s">
        <v>104</v>
      </c>
      <c r="B8" s="7" t="s">
        <v>141</v>
      </c>
      <c r="C8" s="14" t="s">
        <v>198</v>
      </c>
      <c r="D8" s="6" t="s">
        <v>106</v>
      </c>
      <c r="E8" s="11" t="str">
        <f>CONCATENATE(D8,"PDP")</f>
        <v>00023368889KPDP</v>
      </c>
      <c r="F8" s="6" t="s">
        <v>47</v>
      </c>
      <c r="G8" s="8">
        <v>45809</v>
      </c>
      <c r="H8" s="6" t="s">
        <v>49</v>
      </c>
      <c r="I8" s="7">
        <v>1</v>
      </c>
      <c r="J8" s="6" t="s">
        <v>51</v>
      </c>
      <c r="K8" s="9">
        <v>0.57999999999999996</v>
      </c>
      <c r="L8" s="10">
        <v>32.08</v>
      </c>
      <c r="M8" s="10">
        <v>32.08</v>
      </c>
      <c r="N8" s="6" t="s">
        <v>53</v>
      </c>
      <c r="O8" s="8">
        <v>45809</v>
      </c>
      <c r="P8" s="11" t="s">
        <v>135</v>
      </c>
    </row>
    <row r="9" spans="1:18" x14ac:dyDescent="0.2">
      <c r="A9" s="18" t="s">
        <v>85</v>
      </c>
      <c r="B9" s="19">
        <v>17301495</v>
      </c>
      <c r="C9" s="20" t="s">
        <v>190</v>
      </c>
      <c r="D9" s="18" t="s">
        <v>87</v>
      </c>
      <c r="E9" s="17" t="str">
        <f>CONCATENATE(D9,6)</f>
        <v>00023373372K6</v>
      </c>
      <c r="F9" s="18" t="s">
        <v>47</v>
      </c>
      <c r="G9" s="21">
        <v>45809</v>
      </c>
      <c r="H9" s="18" t="s">
        <v>49</v>
      </c>
      <c r="I9" s="19">
        <v>1</v>
      </c>
      <c r="J9" s="18" t="s">
        <v>51</v>
      </c>
      <c r="K9" s="22">
        <v>0.57999999999999996</v>
      </c>
      <c r="L9" s="23">
        <v>1</v>
      </c>
      <c r="M9" s="23">
        <v>182.58</v>
      </c>
      <c r="N9" s="18" t="s">
        <v>53</v>
      </c>
      <c r="O9" s="21">
        <v>45809</v>
      </c>
      <c r="P9" s="17" t="s">
        <v>136</v>
      </c>
      <c r="Q9" s="24" t="s">
        <v>137</v>
      </c>
    </row>
    <row r="10" spans="1:18" x14ac:dyDescent="0.2">
      <c r="A10" s="18" t="s">
        <v>131</v>
      </c>
      <c r="B10" s="19">
        <v>19278370</v>
      </c>
      <c r="C10" s="20" t="s">
        <v>184</v>
      </c>
      <c r="D10" s="20">
        <v>9030115330</v>
      </c>
      <c r="E10" s="17" t="str">
        <f>CONCATENATE(D10,4)</f>
        <v>90301153304</v>
      </c>
      <c r="F10" s="18" t="s">
        <v>118</v>
      </c>
      <c r="G10" s="21">
        <v>45809</v>
      </c>
      <c r="H10" s="18" t="s">
        <v>49</v>
      </c>
      <c r="I10" s="19">
        <v>2</v>
      </c>
      <c r="J10" s="18" t="s">
        <v>120</v>
      </c>
      <c r="K10" s="22">
        <v>10</v>
      </c>
      <c r="L10" s="23">
        <v>23.99</v>
      </c>
      <c r="M10" s="23">
        <v>2.4</v>
      </c>
      <c r="N10" s="18" t="s">
        <v>121</v>
      </c>
      <c r="O10" s="21">
        <v>45713</v>
      </c>
      <c r="P10" s="17" t="s">
        <v>134</v>
      </c>
    </row>
    <row r="11" spans="1:18" x14ac:dyDescent="0.2">
      <c r="A11" s="18" t="s">
        <v>42</v>
      </c>
      <c r="B11" s="19">
        <v>8814784</v>
      </c>
      <c r="C11" s="20" t="s">
        <v>191</v>
      </c>
      <c r="D11" s="18" t="s">
        <v>44</v>
      </c>
      <c r="E11" s="17" t="str">
        <f>CONCATENATE(D11,6)</f>
        <v>00023362985K6</v>
      </c>
      <c r="F11" s="18" t="s">
        <v>47</v>
      </c>
      <c r="G11" s="21">
        <v>45809</v>
      </c>
      <c r="H11" s="18" t="s">
        <v>49</v>
      </c>
      <c r="I11" s="19">
        <v>1</v>
      </c>
      <c r="J11" s="18" t="s">
        <v>51</v>
      </c>
      <c r="K11" s="22">
        <v>0.57999999999999996</v>
      </c>
      <c r="L11" s="23">
        <v>1</v>
      </c>
      <c r="M11" s="23">
        <v>182.58</v>
      </c>
      <c r="N11" s="18" t="s">
        <v>53</v>
      </c>
      <c r="O11" s="21">
        <v>45809</v>
      </c>
      <c r="P11" s="17" t="s">
        <v>136</v>
      </c>
      <c r="Q11" s="24" t="s">
        <v>137</v>
      </c>
      <c r="R11" s="17">
        <f>313/12*7</f>
        <v>182.58333333333331</v>
      </c>
    </row>
    <row r="12" spans="1:18" x14ac:dyDescent="0.2">
      <c r="A12" s="18" t="s">
        <v>99</v>
      </c>
      <c r="B12" s="19">
        <v>18794740</v>
      </c>
      <c r="C12" s="20" t="s">
        <v>180</v>
      </c>
      <c r="D12" s="18" t="s">
        <v>101</v>
      </c>
      <c r="E12" s="17" t="str">
        <f>CONCATENATE(D12,6)</f>
        <v>00023364263K6</v>
      </c>
      <c r="F12" s="18" t="s">
        <v>47</v>
      </c>
      <c r="G12" s="21">
        <v>45809</v>
      </c>
      <c r="H12" s="18" t="s">
        <v>49</v>
      </c>
      <c r="I12" s="19">
        <v>1</v>
      </c>
      <c r="J12" s="18" t="s">
        <v>51</v>
      </c>
      <c r="K12" s="22">
        <v>0.57999999999999996</v>
      </c>
      <c r="L12" s="23">
        <v>1</v>
      </c>
      <c r="M12" s="23">
        <v>205.92</v>
      </c>
      <c r="N12" s="18" t="s">
        <v>53</v>
      </c>
      <c r="O12" s="21">
        <v>45809</v>
      </c>
      <c r="P12" s="17" t="s">
        <v>139</v>
      </c>
      <c r="Q12" s="24" t="s">
        <v>140</v>
      </c>
      <c r="R12" s="17">
        <f>353/12*7</f>
        <v>205.91666666666669</v>
      </c>
    </row>
    <row r="13" spans="1:18" x14ac:dyDescent="0.2">
      <c r="A13" s="18" t="s">
        <v>115</v>
      </c>
      <c r="B13" s="19">
        <v>17554531</v>
      </c>
      <c r="C13" s="20" t="s">
        <v>185</v>
      </c>
      <c r="D13" s="20">
        <v>9030503940</v>
      </c>
      <c r="E13" s="17" t="str">
        <f>CONCATENATE(D13,4)</f>
        <v>90305039404</v>
      </c>
      <c r="F13" s="18" t="s">
        <v>118</v>
      </c>
      <c r="G13" s="21">
        <v>45778</v>
      </c>
      <c r="H13" s="18" t="s">
        <v>67</v>
      </c>
      <c r="I13" s="19">
        <v>3</v>
      </c>
      <c r="J13" s="18" t="s">
        <v>120</v>
      </c>
      <c r="K13" s="22">
        <v>10</v>
      </c>
      <c r="L13" s="23">
        <v>388.2</v>
      </c>
      <c r="M13" s="23">
        <v>38.82</v>
      </c>
      <c r="N13" s="18" t="s">
        <v>121</v>
      </c>
      <c r="O13" s="21">
        <v>45786</v>
      </c>
      <c r="P13" s="17" t="s">
        <v>134</v>
      </c>
    </row>
    <row r="14" spans="1:18" x14ac:dyDescent="0.2">
      <c r="A14" s="18" t="s">
        <v>115</v>
      </c>
      <c r="B14" s="19">
        <v>17554531</v>
      </c>
      <c r="C14" s="20" t="s">
        <v>186</v>
      </c>
      <c r="D14" s="20">
        <v>9030504200</v>
      </c>
      <c r="E14" s="17" t="str">
        <f>CONCATENATE(D14,4)</f>
        <v>90305042004</v>
      </c>
      <c r="F14" s="18" t="s">
        <v>118</v>
      </c>
      <c r="G14" s="21">
        <v>45778</v>
      </c>
      <c r="H14" s="18" t="s">
        <v>67</v>
      </c>
      <c r="I14" s="19">
        <v>1</v>
      </c>
      <c r="J14" s="18" t="s">
        <v>120</v>
      </c>
      <c r="K14" s="22">
        <v>10</v>
      </c>
      <c r="L14" s="23">
        <v>362.2</v>
      </c>
      <c r="M14" s="23">
        <v>36.22</v>
      </c>
      <c r="N14" s="18" t="s">
        <v>121</v>
      </c>
      <c r="O14" s="21">
        <v>45786</v>
      </c>
      <c r="P14" s="17" t="s">
        <v>134</v>
      </c>
    </row>
    <row r="15" spans="1:18" x14ac:dyDescent="0.2">
      <c r="A15" s="18" t="s">
        <v>89</v>
      </c>
      <c r="B15" s="19">
        <v>9213293</v>
      </c>
      <c r="C15" s="20" t="s">
        <v>192</v>
      </c>
      <c r="D15" s="18" t="s">
        <v>91</v>
      </c>
      <c r="E15" s="17" t="str">
        <f>CONCATENATE(D15,6)</f>
        <v>00023140342K6</v>
      </c>
      <c r="F15" s="18" t="s">
        <v>47</v>
      </c>
      <c r="G15" s="21">
        <v>45717</v>
      </c>
      <c r="H15" s="18" t="s">
        <v>93</v>
      </c>
      <c r="I15" s="19">
        <v>1</v>
      </c>
      <c r="J15" s="18" t="s">
        <v>51</v>
      </c>
      <c r="K15" s="22">
        <v>0.57999999999999996</v>
      </c>
      <c r="L15" s="23">
        <v>1</v>
      </c>
      <c r="M15" s="23">
        <v>182.58</v>
      </c>
      <c r="N15" s="18" t="s">
        <v>53</v>
      </c>
      <c r="O15" s="21">
        <v>45717</v>
      </c>
      <c r="P15" s="17" t="s">
        <v>136</v>
      </c>
      <c r="Q15" s="24" t="s">
        <v>137</v>
      </c>
    </row>
    <row r="16" spans="1:18" x14ac:dyDescent="0.2">
      <c r="A16" s="18" t="s">
        <v>89</v>
      </c>
      <c r="B16" s="19">
        <v>9213293</v>
      </c>
      <c r="C16" s="20" t="s">
        <v>199</v>
      </c>
      <c r="D16" s="18" t="s">
        <v>95</v>
      </c>
      <c r="E16" s="17" t="str">
        <f>CONCATENATE(D16,"PDP")</f>
        <v>00023366415KPDP</v>
      </c>
      <c r="F16" s="18" t="s">
        <v>47</v>
      </c>
      <c r="G16" s="21">
        <v>45809</v>
      </c>
      <c r="H16" s="18" t="s">
        <v>49</v>
      </c>
      <c r="I16" s="19">
        <v>1</v>
      </c>
      <c r="J16" s="18" t="s">
        <v>51</v>
      </c>
      <c r="K16" s="22">
        <v>0.57999999999999996</v>
      </c>
      <c r="L16" s="23">
        <v>32.08</v>
      </c>
      <c r="M16" s="23">
        <v>32.08</v>
      </c>
      <c r="N16" s="18" t="s">
        <v>53</v>
      </c>
      <c r="O16" s="21">
        <v>45809</v>
      </c>
      <c r="P16" s="17" t="s">
        <v>135</v>
      </c>
    </row>
    <row r="17" spans="1:17" x14ac:dyDescent="0.2">
      <c r="A17" s="18" t="s">
        <v>108</v>
      </c>
      <c r="B17" s="19">
        <v>19645587</v>
      </c>
      <c r="C17" s="20" t="s">
        <v>193</v>
      </c>
      <c r="D17" s="18" t="s">
        <v>110</v>
      </c>
      <c r="E17" s="17" t="str">
        <f>CONCATENATE(D17,6)</f>
        <v>00023341972K6</v>
      </c>
      <c r="F17" s="18" t="s">
        <v>47</v>
      </c>
      <c r="G17" s="21">
        <v>45809</v>
      </c>
      <c r="H17" s="18" t="s">
        <v>49</v>
      </c>
      <c r="I17" s="19">
        <v>1</v>
      </c>
      <c r="J17" s="18" t="s">
        <v>51</v>
      </c>
      <c r="K17" s="22">
        <v>-0.57999999999999996</v>
      </c>
      <c r="L17" s="23">
        <v>1</v>
      </c>
      <c r="M17" s="23">
        <v>-182.58</v>
      </c>
      <c r="N17" s="18" t="s">
        <v>53</v>
      </c>
      <c r="O17" s="21">
        <v>45809</v>
      </c>
      <c r="P17" s="17" t="s">
        <v>136</v>
      </c>
      <c r="Q17" s="24" t="s">
        <v>137</v>
      </c>
    </row>
    <row r="18" spans="1:17" x14ac:dyDescent="0.2">
      <c r="A18" s="18" t="s">
        <v>108</v>
      </c>
      <c r="B18" s="19">
        <v>19645587</v>
      </c>
      <c r="C18" s="20" t="s">
        <v>194</v>
      </c>
      <c r="D18" s="18" t="s">
        <v>113</v>
      </c>
      <c r="E18" s="17" t="str">
        <f>CONCATENATE(D18,6)</f>
        <v>00023342286K6</v>
      </c>
      <c r="F18" s="18" t="s">
        <v>47</v>
      </c>
      <c r="G18" s="21">
        <v>45809</v>
      </c>
      <c r="H18" s="18" t="s">
        <v>49</v>
      </c>
      <c r="I18" s="19">
        <v>1</v>
      </c>
      <c r="J18" s="18" t="s">
        <v>51</v>
      </c>
      <c r="K18" s="22">
        <v>-0.57999999999999996</v>
      </c>
      <c r="L18" s="23">
        <v>1</v>
      </c>
      <c r="M18" s="23">
        <v>-182.58</v>
      </c>
      <c r="N18" s="18" t="s">
        <v>53</v>
      </c>
      <c r="O18" s="21">
        <v>45809</v>
      </c>
      <c r="P18" s="17" t="s">
        <v>136</v>
      </c>
      <c r="Q18" s="24" t="s">
        <v>137</v>
      </c>
    </row>
    <row r="19" spans="1:17" x14ac:dyDescent="0.2">
      <c r="A19" s="18" t="s">
        <v>63</v>
      </c>
      <c r="B19" s="19">
        <v>8307933</v>
      </c>
      <c r="C19" s="20" t="s">
        <v>195</v>
      </c>
      <c r="D19" s="18" t="s">
        <v>65</v>
      </c>
      <c r="E19" s="17" t="str">
        <f>CONCATENATE(D19,6)</f>
        <v>00022077130K6</v>
      </c>
      <c r="F19" s="18" t="s">
        <v>47</v>
      </c>
      <c r="G19" s="21">
        <v>45778</v>
      </c>
      <c r="H19" s="18" t="s">
        <v>67</v>
      </c>
      <c r="I19" s="19">
        <v>1</v>
      </c>
      <c r="J19" s="18" t="s">
        <v>51</v>
      </c>
      <c r="K19" s="22">
        <v>1</v>
      </c>
      <c r="L19" s="23">
        <v>1</v>
      </c>
      <c r="M19" s="23">
        <v>26.08</v>
      </c>
      <c r="N19" s="18" t="s">
        <v>69</v>
      </c>
      <c r="O19" s="21">
        <v>45597</v>
      </c>
      <c r="P19" s="17" t="s">
        <v>136</v>
      </c>
      <c r="Q19" s="24" t="s">
        <v>138</v>
      </c>
    </row>
    <row r="20" spans="1:17" x14ac:dyDescent="0.2">
      <c r="A20" s="18" t="s">
        <v>63</v>
      </c>
      <c r="B20" s="19">
        <v>8307933</v>
      </c>
      <c r="C20" s="20" t="s">
        <v>195</v>
      </c>
      <c r="D20" s="18" t="s">
        <v>65</v>
      </c>
      <c r="E20" s="17" t="str">
        <f>CONCATENATE(D20,6)</f>
        <v>00022077130K6</v>
      </c>
      <c r="F20" s="18" t="s">
        <v>47</v>
      </c>
      <c r="G20" s="21">
        <v>45748</v>
      </c>
      <c r="H20" s="18" t="s">
        <v>71</v>
      </c>
      <c r="I20" s="19">
        <v>1</v>
      </c>
      <c r="J20" s="18" t="s">
        <v>51</v>
      </c>
      <c r="K20" s="22">
        <v>1</v>
      </c>
      <c r="L20" s="23">
        <v>1</v>
      </c>
      <c r="M20" s="23">
        <v>26.08</v>
      </c>
      <c r="N20" s="18" t="s">
        <v>69</v>
      </c>
      <c r="O20" s="21">
        <v>45597</v>
      </c>
      <c r="P20" s="17" t="s">
        <v>136</v>
      </c>
      <c r="Q20" s="24" t="s">
        <v>138</v>
      </c>
    </row>
    <row r="21" spans="1:17" x14ac:dyDescent="0.2">
      <c r="A21" s="18" t="s">
        <v>63</v>
      </c>
      <c r="B21" s="19">
        <v>8307933</v>
      </c>
      <c r="C21" s="20" t="s">
        <v>196</v>
      </c>
      <c r="D21" s="18" t="s">
        <v>73</v>
      </c>
      <c r="E21" s="17" t="str">
        <f>CONCATENATE(D21,6)</f>
        <v>00023362643K6</v>
      </c>
      <c r="F21" s="18" t="s">
        <v>47</v>
      </c>
      <c r="G21" s="21">
        <v>45809</v>
      </c>
      <c r="H21" s="18" t="s">
        <v>49</v>
      </c>
      <c r="I21" s="19">
        <v>1</v>
      </c>
      <c r="J21" s="18" t="s">
        <v>51</v>
      </c>
      <c r="K21" s="22">
        <v>0.57999999999999996</v>
      </c>
      <c r="L21" s="23">
        <v>1</v>
      </c>
      <c r="M21" s="23">
        <v>182.58</v>
      </c>
      <c r="N21" s="18" t="s">
        <v>53</v>
      </c>
      <c r="O21" s="21">
        <v>45809</v>
      </c>
      <c r="P21" s="17" t="s">
        <v>136</v>
      </c>
      <c r="Q21" s="24" t="s">
        <v>137</v>
      </c>
    </row>
    <row r="22" spans="1:17" x14ac:dyDescent="0.2">
      <c r="A22" s="18" t="s">
        <v>77</v>
      </c>
      <c r="B22" s="19">
        <v>16633294</v>
      </c>
      <c r="C22" s="20" t="s">
        <v>197</v>
      </c>
      <c r="D22" s="18" t="s">
        <v>79</v>
      </c>
      <c r="E22" s="17" t="str">
        <f>CONCATENATE(D22,6)</f>
        <v>00020026437K6</v>
      </c>
      <c r="F22" s="18" t="s">
        <v>47</v>
      </c>
      <c r="G22" s="21">
        <v>45809</v>
      </c>
      <c r="H22" s="18" t="s">
        <v>49</v>
      </c>
      <c r="I22" s="19">
        <v>1</v>
      </c>
      <c r="J22" s="18" t="s">
        <v>51</v>
      </c>
      <c r="K22" s="22">
        <v>0.57999999999999996</v>
      </c>
      <c r="L22" s="23">
        <v>1</v>
      </c>
      <c r="M22" s="23">
        <v>182.58</v>
      </c>
      <c r="N22" s="18" t="s">
        <v>53</v>
      </c>
      <c r="O22" s="21">
        <v>45809</v>
      </c>
      <c r="P22" s="17" t="s">
        <v>136</v>
      </c>
      <c r="Q22" s="24" t="s">
        <v>137</v>
      </c>
    </row>
    <row r="31" spans="1:17" x14ac:dyDescent="0.2">
      <c r="C31" s="17">
        <v>7.92</v>
      </c>
      <c r="D31" s="17">
        <f>C31*40%</f>
        <v>3.1680000000000001</v>
      </c>
      <c r="E31" s="17">
        <f>C31*60%</f>
        <v>4.7519999999999998</v>
      </c>
    </row>
    <row r="32" spans="1:17" x14ac:dyDescent="0.2">
      <c r="C32" s="17">
        <v>6.67</v>
      </c>
      <c r="D32" s="17">
        <f>C32*40%</f>
        <v>2.6680000000000001</v>
      </c>
      <c r="E32" s="17">
        <f>C32*60%</f>
        <v>4.0019999999999998</v>
      </c>
    </row>
  </sheetData>
  <sortState xmlns:xlrd2="http://schemas.microsoft.com/office/spreadsheetml/2017/richdata2" ref="A2:AQ22">
    <sortCondition ref="A2:A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B2D1-C7A0-4C84-956B-9FD74E0AFF3F}">
  <dimension ref="A1:E21"/>
  <sheetViews>
    <sheetView workbookViewId="0">
      <selection activeCell="E1" sqref="E1:E21"/>
    </sheetView>
  </sheetViews>
  <sheetFormatPr defaultRowHeight="12.75" x14ac:dyDescent="0.2"/>
  <cols>
    <col min="1" max="1" width="13.42578125" bestFit="1" customWidth="1"/>
    <col min="2" max="2" width="14.42578125" bestFit="1" customWidth="1"/>
    <col min="3" max="3" width="24.42578125" bestFit="1" customWidth="1"/>
    <col min="5" max="5" width="17.42578125" bestFit="1" customWidth="1"/>
  </cols>
  <sheetData>
    <row r="1" spans="1:5" x14ac:dyDescent="0.2">
      <c r="A1" s="4" t="s">
        <v>101</v>
      </c>
      <c r="B1" t="str">
        <f>CONCATENATE(A1,6)</f>
        <v>00023364263K6</v>
      </c>
      <c r="C1" s="4" t="s">
        <v>142</v>
      </c>
      <c r="D1" t="s">
        <v>143</v>
      </c>
      <c r="E1" t="str">
        <f>CONCATENATE(D1, " ",C1)</f>
        <v>PORFIRIO ROMAN</v>
      </c>
    </row>
    <row r="2" spans="1:5" x14ac:dyDescent="0.2">
      <c r="A2" s="13">
        <v>9030509330</v>
      </c>
      <c r="B2" t="str">
        <f>CONCATENATE(A2,4)</f>
        <v>90305093304</v>
      </c>
      <c r="C2" s="12" t="s">
        <v>144</v>
      </c>
      <c r="D2" t="s">
        <v>145</v>
      </c>
      <c r="E2" t="str">
        <f t="shared" ref="E2:E21" si="0">CONCATENATE(D2, " ",C2)</f>
        <v>Gerald Urish</v>
      </c>
    </row>
    <row r="3" spans="1:5" x14ac:dyDescent="0.2">
      <c r="A3" s="13">
        <v>9030577770</v>
      </c>
      <c r="B3" t="str">
        <f t="shared" ref="B3:B7" si="1">CONCATENATE(A3,4)</f>
        <v>90305777704</v>
      </c>
      <c r="C3" s="12" t="s">
        <v>146</v>
      </c>
      <c r="D3" t="s">
        <v>147</v>
      </c>
      <c r="E3" t="str">
        <f t="shared" si="0"/>
        <v>Eric Sisco</v>
      </c>
    </row>
    <row r="4" spans="1:5" x14ac:dyDescent="0.2">
      <c r="A4" s="13">
        <v>9030582430</v>
      </c>
      <c r="B4" t="str">
        <f t="shared" si="1"/>
        <v>90305824304</v>
      </c>
      <c r="C4" s="12" t="s">
        <v>148</v>
      </c>
      <c r="D4" t="s">
        <v>149</v>
      </c>
      <c r="E4" t="str">
        <f t="shared" si="0"/>
        <v>Laurie Round</v>
      </c>
    </row>
    <row r="5" spans="1:5" x14ac:dyDescent="0.2">
      <c r="A5" s="13">
        <v>9030115330</v>
      </c>
      <c r="B5" t="str">
        <f t="shared" si="1"/>
        <v>90301153304</v>
      </c>
      <c r="C5" s="12" t="s">
        <v>150</v>
      </c>
      <c r="D5" t="s">
        <v>151</v>
      </c>
      <c r="E5" t="str">
        <f t="shared" si="0"/>
        <v>Jon Rudden</v>
      </c>
    </row>
    <row r="6" spans="1:5" x14ac:dyDescent="0.2">
      <c r="A6" s="13">
        <v>9030503940</v>
      </c>
      <c r="B6" t="str">
        <f t="shared" si="1"/>
        <v>90305039404</v>
      </c>
      <c r="C6" s="12" t="s">
        <v>152</v>
      </c>
      <c r="D6" t="s">
        <v>153</v>
      </c>
      <c r="E6" t="str">
        <f t="shared" si="0"/>
        <v>Crystal Johnson</v>
      </c>
    </row>
    <row r="7" spans="1:5" x14ac:dyDescent="0.2">
      <c r="A7" s="13">
        <v>9030504200</v>
      </c>
      <c r="B7" t="str">
        <f t="shared" si="1"/>
        <v>90305042004</v>
      </c>
      <c r="C7" s="12" t="s">
        <v>154</v>
      </c>
      <c r="D7" t="s">
        <v>155</v>
      </c>
      <c r="E7" t="str">
        <f t="shared" si="0"/>
        <v>Joseph Benassi</v>
      </c>
    </row>
    <row r="8" spans="1:5" x14ac:dyDescent="0.2">
      <c r="A8" s="4" t="s">
        <v>83</v>
      </c>
      <c r="B8" t="str">
        <f t="shared" ref="B8:B19" si="2">CONCATENATE(A8,6)</f>
        <v>00023364862K6</v>
      </c>
      <c r="C8" s="4" t="s">
        <v>156</v>
      </c>
      <c r="D8" t="s">
        <v>157</v>
      </c>
      <c r="E8" t="str">
        <f t="shared" si="0"/>
        <v>KEITH STRICKER</v>
      </c>
    </row>
    <row r="9" spans="1:5" x14ac:dyDescent="0.2">
      <c r="A9" s="4" t="s">
        <v>58</v>
      </c>
      <c r="B9" t="str">
        <f t="shared" si="2"/>
        <v>00022121084K6</v>
      </c>
      <c r="C9" s="4" t="s">
        <v>158</v>
      </c>
      <c r="D9" t="s">
        <v>159</v>
      </c>
      <c r="E9" t="str">
        <f t="shared" si="0"/>
        <v>GUY MAES</v>
      </c>
    </row>
    <row r="10" spans="1:5" x14ac:dyDescent="0.2">
      <c r="A10" s="4" t="s">
        <v>61</v>
      </c>
      <c r="B10" t="str">
        <f t="shared" si="2"/>
        <v>00023363788K6</v>
      </c>
      <c r="C10" s="4" t="s">
        <v>160</v>
      </c>
      <c r="D10" t="s">
        <v>161</v>
      </c>
      <c r="E10" t="str">
        <f t="shared" si="0"/>
        <v>JOHN KIM</v>
      </c>
    </row>
    <row r="11" spans="1:5" x14ac:dyDescent="0.2">
      <c r="A11" s="4" t="s">
        <v>87</v>
      </c>
      <c r="B11" t="str">
        <f t="shared" si="2"/>
        <v>00023373372K6</v>
      </c>
      <c r="C11" s="4" t="s">
        <v>162</v>
      </c>
      <c r="D11" t="s">
        <v>163</v>
      </c>
      <c r="E11" t="str">
        <f t="shared" si="0"/>
        <v>BILL SAUSER</v>
      </c>
    </row>
    <row r="12" spans="1:5" x14ac:dyDescent="0.2">
      <c r="A12" s="4" t="s">
        <v>44</v>
      </c>
      <c r="B12" t="str">
        <f t="shared" si="2"/>
        <v>00023362985K6</v>
      </c>
      <c r="C12" s="4" t="s">
        <v>164</v>
      </c>
      <c r="D12" t="s">
        <v>165</v>
      </c>
      <c r="E12" t="str">
        <f t="shared" si="0"/>
        <v>DEBORAH PETTERSEN</v>
      </c>
    </row>
    <row r="13" spans="1:5" x14ac:dyDescent="0.2">
      <c r="A13" s="4" t="s">
        <v>91</v>
      </c>
      <c r="B13" t="str">
        <f t="shared" si="2"/>
        <v>00023140342K6</v>
      </c>
      <c r="C13" s="4" t="s">
        <v>166</v>
      </c>
      <c r="D13" t="s">
        <v>167</v>
      </c>
      <c r="E13" t="str">
        <f t="shared" si="0"/>
        <v>TRINH TRIEU</v>
      </c>
    </row>
    <row r="14" spans="1:5" x14ac:dyDescent="0.2">
      <c r="A14" s="4" t="s">
        <v>110</v>
      </c>
      <c r="B14" t="str">
        <f t="shared" si="2"/>
        <v>00023341972K6</v>
      </c>
      <c r="C14" s="4" t="s">
        <v>168</v>
      </c>
      <c r="D14" t="s">
        <v>165</v>
      </c>
      <c r="E14" t="str">
        <f t="shared" si="0"/>
        <v>DEBORAH FRIEDEN</v>
      </c>
    </row>
    <row r="15" spans="1:5" x14ac:dyDescent="0.2">
      <c r="A15" s="4" t="s">
        <v>113</v>
      </c>
      <c r="B15" t="str">
        <f t="shared" si="2"/>
        <v>00023342286K6</v>
      </c>
      <c r="C15" s="4" t="s">
        <v>168</v>
      </c>
      <c r="D15" t="s">
        <v>169</v>
      </c>
      <c r="E15" t="str">
        <f t="shared" si="0"/>
        <v>JAMES FRIEDEN</v>
      </c>
    </row>
    <row r="16" spans="1:5" x14ac:dyDescent="0.2">
      <c r="A16" s="4" t="s">
        <v>65</v>
      </c>
      <c r="B16" t="str">
        <f t="shared" si="2"/>
        <v>00022077130K6</v>
      </c>
      <c r="C16" s="4" t="s">
        <v>170</v>
      </c>
      <c r="D16" t="s">
        <v>171</v>
      </c>
      <c r="E16" t="str">
        <f t="shared" si="0"/>
        <v>JEFFREY GILBERT</v>
      </c>
    </row>
    <row r="17" spans="1:5" x14ac:dyDescent="0.2">
      <c r="A17" s="4" t="s">
        <v>65</v>
      </c>
      <c r="B17" t="str">
        <f t="shared" si="2"/>
        <v>00022077130K6</v>
      </c>
      <c r="C17" s="4" t="s">
        <v>170</v>
      </c>
      <c r="D17" t="s">
        <v>171</v>
      </c>
      <c r="E17" t="str">
        <f t="shared" si="0"/>
        <v>JEFFREY GILBERT</v>
      </c>
    </row>
    <row r="18" spans="1:5" x14ac:dyDescent="0.2">
      <c r="A18" s="4" t="s">
        <v>73</v>
      </c>
      <c r="B18" t="str">
        <f t="shared" si="2"/>
        <v>00023362643K6</v>
      </c>
      <c r="C18" s="4" t="s">
        <v>172</v>
      </c>
      <c r="D18" t="s">
        <v>173</v>
      </c>
      <c r="E18" t="str">
        <f t="shared" si="0"/>
        <v>VERNON SWEARENGIN</v>
      </c>
    </row>
    <row r="19" spans="1:5" x14ac:dyDescent="0.2">
      <c r="A19" s="4" t="s">
        <v>79</v>
      </c>
      <c r="B19" t="str">
        <f t="shared" si="2"/>
        <v>00020026437K6</v>
      </c>
      <c r="C19" s="4" t="s">
        <v>174</v>
      </c>
      <c r="D19" t="s">
        <v>175</v>
      </c>
      <c r="E19" t="str">
        <f t="shared" si="0"/>
        <v>THERESA SCHOLZ</v>
      </c>
    </row>
    <row r="20" spans="1:5" x14ac:dyDescent="0.2">
      <c r="A20" s="6" t="s">
        <v>106</v>
      </c>
      <c r="B20" t="str">
        <f>CONCATENATE(A20,"PDP")</f>
        <v>00023368889KPDP</v>
      </c>
      <c r="C20" s="6" t="s">
        <v>176</v>
      </c>
      <c r="D20" t="s">
        <v>177</v>
      </c>
      <c r="E20" t="str">
        <f t="shared" si="0"/>
        <v>LAURIE ROUND</v>
      </c>
    </row>
    <row r="21" spans="1:5" x14ac:dyDescent="0.2">
      <c r="A21" s="6" t="s">
        <v>95</v>
      </c>
      <c r="B21" t="str">
        <f>CONCATENATE(A21,"PDP")</f>
        <v>00023366415KPDP</v>
      </c>
      <c r="C21" s="6" t="s">
        <v>178</v>
      </c>
      <c r="D21" t="s">
        <v>179</v>
      </c>
      <c r="E21" t="str">
        <f t="shared" si="0"/>
        <v>PAUL VAVRINCHIK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2025-05-29T13:56:13Z</dcterms:created>
  <dcterms:modified xsi:type="dcterms:W3CDTF">2025-06-02T20:41:53Z</dcterms:modified>
</cp:coreProperties>
</file>