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4-09-25\"/>
    </mc:Choice>
  </mc:AlternateContent>
  <xr:revisionPtr revIDLastSave="0" documentId="13_ncr:1_{00368E1E-2A9B-42BC-9951-765F2143BAC2}" xr6:coauthVersionLast="47" xr6:coauthVersionMax="47" xr10:uidLastSave="{00000000-0000-0000-0000-000000000000}"/>
  <bookViews>
    <workbookView xWindow="28680" yWindow="-2520" windowWidth="29040" windowHeight="16440" activeTab="1" xr2:uid="{48A1E082-B7AC-425D-94A3-779BA09B0EA7}"/>
  </bookViews>
  <sheets>
    <sheet name="CommissionData_1" sheetId="1" r:id="rId1"/>
    <sheet name="Sheet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1" i="3"/>
  <c r="S40" i="2"/>
  <c r="S39" i="2"/>
  <c r="S38" i="2"/>
  <c r="F205" i="2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4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  <c r="B1" i="3"/>
</calcChain>
</file>

<file path=xl/sharedStrings.xml><?xml version="1.0" encoding="utf-8"?>
<sst xmlns="http://schemas.openxmlformats.org/spreadsheetml/2006/main" count="7049" uniqueCount="1118">
  <si>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</si>
  <si>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</si>
  <si>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</si>
  <si>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</si>
  <si>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</si>
  <si>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</si>
  <si>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</si>
  <si>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</si>
  <si>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</si>
  <si>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</si>
  <si>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</si>
  <si>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</si>
  <si>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</si>
  <si>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</si>
  <si>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</si>
  <si>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</si>
  <si>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</si>
  <si>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</si>
  <si>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</si>
  <si>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</si>
  <si>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</si>
  <si>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</si>
  <si>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</si>
  <si>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</si>
  <si>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</si>
  <si>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</si>
  <si>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</si>
  <si>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</si>
  <si>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</si>
  <si>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</si>
  <si>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</si>
  <si>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</si>
  <si>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</si>
  <si>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</si>
  <si>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</si>
  <si>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</si>
  <si>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</si>
  <si>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</si>
  <si>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</si>
  <si>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</si>
  <si>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</si>
  <si>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</si>
  <si>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</si>
  <si>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BURTON DANIELA</t>
  </si>
  <si>
    <t>00014119498K</t>
  </si>
  <si>
    <t>6N77F47UW63</t>
  </si>
  <si>
    <t/>
  </si>
  <si>
    <t>MA</t>
  </si>
  <si>
    <t>LV</t>
  </si>
  <si>
    <t>MAY</t>
  </si>
  <si>
    <t>F</t>
  </si>
  <si>
    <t>MEDICARE</t>
  </si>
  <si>
    <t>MEP</t>
  </si>
  <si>
    <t>FIRST YEAR COMMISSIONS</t>
  </si>
  <si>
    <t>ARCF</t>
  </si>
  <si>
    <t>H5216</t>
  </si>
  <si>
    <t>CERNY BRACHER LORI M</t>
  </si>
  <si>
    <t>00023174017K</t>
  </si>
  <si>
    <t>1J73E63AK14</t>
  </si>
  <si>
    <t>MEDICARE 2ND HALF FIRST YEAR COMM</t>
  </si>
  <si>
    <t>MED2</t>
  </si>
  <si>
    <t>DEJESUS KATHY E</t>
  </si>
  <si>
    <t>00023222045K</t>
  </si>
  <si>
    <t>9GA1HE0GJ16</t>
  </si>
  <si>
    <t>APR</t>
  </si>
  <si>
    <t>ALAGHEBAND MARY J</t>
  </si>
  <si>
    <t>00023231591K</t>
  </si>
  <si>
    <t>8C20V34DU26</t>
  </si>
  <si>
    <t>JERZ FRANK</t>
  </si>
  <si>
    <t>00023241263K</t>
  </si>
  <si>
    <t>9RQ7PX5AC42</t>
  </si>
  <si>
    <t>MAROLA JOSEPH</t>
  </si>
  <si>
    <t>00023243657K</t>
  </si>
  <si>
    <t>9GK3UX4GY16</t>
  </si>
  <si>
    <t>MER</t>
  </si>
  <si>
    <t>H1468</t>
  </si>
  <si>
    <t>CHOI ANDREW J</t>
  </si>
  <si>
    <t>DYMOND RETHA H</t>
  </si>
  <si>
    <t>00023154874K</t>
  </si>
  <si>
    <t>1UW2W38YX04</t>
  </si>
  <si>
    <t>REMIAS THERESA J</t>
  </si>
  <si>
    <t>00023157542K</t>
  </si>
  <si>
    <t>9C76MC3GR59</t>
  </si>
  <si>
    <t>BOGARDUS III THOMAS L</t>
  </si>
  <si>
    <t>00023168907K</t>
  </si>
  <si>
    <t>1J71GG8EN36</t>
  </si>
  <si>
    <t>JUN</t>
  </si>
  <si>
    <t>PDP</t>
  </si>
  <si>
    <t>S5884</t>
  </si>
  <si>
    <t>WEISS CRAIG</t>
  </si>
  <si>
    <t>00023185259K</t>
  </si>
  <si>
    <t>1DU0KF8WM33</t>
  </si>
  <si>
    <t>WEISS JEAN M</t>
  </si>
  <si>
    <t>00023186504K</t>
  </si>
  <si>
    <t>7R39H05KM21</t>
  </si>
  <si>
    <t>DEATON PAMELA S</t>
  </si>
  <si>
    <t>WALSH MICHAEL A</t>
  </si>
  <si>
    <t>00023247603K</t>
  </si>
  <si>
    <t>6CG9EW5QF57</t>
  </si>
  <si>
    <t>TEIPEL GREGORY K</t>
  </si>
  <si>
    <t>HARTRY NATHAN D</t>
  </si>
  <si>
    <t>00021558272K</t>
  </si>
  <si>
    <t>3XD7Y23WV37</t>
  </si>
  <si>
    <t>SANCHEZ MARCO A</t>
  </si>
  <si>
    <t>00022094137K</t>
  </si>
  <si>
    <t>5JM5JU2QX76</t>
  </si>
  <si>
    <t>R</t>
  </si>
  <si>
    <t>RENEWAL COMMISSIONS</t>
  </si>
  <si>
    <t>ARCM</t>
  </si>
  <si>
    <t>DAVIS III HUGH M</t>
  </si>
  <si>
    <t>00023183658K</t>
  </si>
  <si>
    <t>5EA3MX8AK07</t>
  </si>
  <si>
    <t>BLACKER DON A</t>
  </si>
  <si>
    <t>00023203793K</t>
  </si>
  <si>
    <t>1NY8K71GG43</t>
  </si>
  <si>
    <t>ALOFF ARNOLD T</t>
  </si>
  <si>
    <t>HRONOPOULOS JOANNE A</t>
  </si>
  <si>
    <t>00023163634K</t>
  </si>
  <si>
    <t>3FG7FW1KT67</t>
  </si>
  <si>
    <t>MAR</t>
  </si>
  <si>
    <t>BOWIE SANDRA L</t>
  </si>
  <si>
    <t>00023213919K</t>
  </si>
  <si>
    <t>6UN6P15MV45</t>
  </si>
  <si>
    <t>LEE JOEL N</t>
  </si>
  <si>
    <t>HICKMAN SUSAN G</t>
  </si>
  <si>
    <t>00023204136K</t>
  </si>
  <si>
    <t>6EK7J10CD49</t>
  </si>
  <si>
    <t>HUNSBERGER ANTHONY J</t>
  </si>
  <si>
    <t>MEISNER RICKY D</t>
  </si>
  <si>
    <t>00021086243K</t>
  </si>
  <si>
    <t>6HE3HX0VV98</t>
  </si>
  <si>
    <t>LATZKE GERALD</t>
  </si>
  <si>
    <t>00023151397K</t>
  </si>
  <si>
    <t>7A16TY0UY79</t>
  </si>
  <si>
    <t>LATZKE RENE M</t>
  </si>
  <si>
    <t>00023151464K</t>
  </si>
  <si>
    <t>9PK3MN2RW83</t>
  </si>
  <si>
    <t>BLANK RANDY O</t>
  </si>
  <si>
    <t>00023151593K</t>
  </si>
  <si>
    <t>1P16C86KK78</t>
  </si>
  <si>
    <t>BEXHETI KURTISH</t>
  </si>
  <si>
    <t>00023174321K</t>
  </si>
  <si>
    <t>3JR3QH8KV90</t>
  </si>
  <si>
    <t>COLOVOS LISA A</t>
  </si>
  <si>
    <t>00023177736K</t>
  </si>
  <si>
    <t>6HV7A95RN45</t>
  </si>
  <si>
    <t>PINN VANETTA L</t>
  </si>
  <si>
    <t>00023242232K</t>
  </si>
  <si>
    <t>1Q97RU6VA67</t>
  </si>
  <si>
    <t>HEDERMAN NICHOLAS R</t>
  </si>
  <si>
    <t>00023243949K</t>
  </si>
  <si>
    <t>8QW8MN5EK34</t>
  </si>
  <si>
    <t>WILTGEN DEANNA J</t>
  </si>
  <si>
    <t>00023247495K</t>
  </si>
  <si>
    <t>2MA6GN6TD81</t>
  </si>
  <si>
    <t>JOHNSON TIM G</t>
  </si>
  <si>
    <t>00023250215K</t>
  </si>
  <si>
    <t>8YR9D91RD14</t>
  </si>
  <si>
    <t>KAPPELER CATHERINE R</t>
  </si>
  <si>
    <t>00023251126K</t>
  </si>
  <si>
    <t>7UE1FA7XD34</t>
  </si>
  <si>
    <t>JUL</t>
  </si>
  <si>
    <t>HOFFMANN JASON R</t>
  </si>
  <si>
    <t>DELVECCHIO JACK J</t>
  </si>
  <si>
    <t>00021452306K</t>
  </si>
  <si>
    <t>8RQ8GR1QE24</t>
  </si>
  <si>
    <t>JAN</t>
  </si>
  <si>
    <t>WALENGA DALE J</t>
  </si>
  <si>
    <t>CLOW JAMES T</t>
  </si>
  <si>
    <t>00023163873K</t>
  </si>
  <si>
    <t>6QY5KM8CA60</t>
  </si>
  <si>
    <t>HEARN LESLIE R</t>
  </si>
  <si>
    <t>00023188842K</t>
  </si>
  <si>
    <t>6K59HY8VT10</t>
  </si>
  <si>
    <t>RICHTER ADAM J</t>
  </si>
  <si>
    <t>POOLE TINA L</t>
  </si>
  <si>
    <t>00021044590K</t>
  </si>
  <si>
    <t>3MV1WU2CT38</t>
  </si>
  <si>
    <t>H5525</t>
  </si>
  <si>
    <t>DAUGHERTY MATTHEW</t>
  </si>
  <si>
    <t>BOYD JENNIFER J</t>
  </si>
  <si>
    <t>00023184051K</t>
  </si>
  <si>
    <t>5RH3A03DA85</t>
  </si>
  <si>
    <t>YALE RICHARD A A</t>
  </si>
  <si>
    <t>MAISLINGER VIDOSAVA V</t>
  </si>
  <si>
    <t>00010438260K</t>
  </si>
  <si>
    <t>8VY5EE0YY67</t>
  </si>
  <si>
    <t>VICTOR RODNEY J</t>
  </si>
  <si>
    <t>00022958376K</t>
  </si>
  <si>
    <t>4NV4X40TE70</t>
  </si>
  <si>
    <t>NORIEGA GARCIA EDMUNDO M</t>
  </si>
  <si>
    <t>00022982390K</t>
  </si>
  <si>
    <t>2DV3TN1VF00</t>
  </si>
  <si>
    <t>FEB</t>
  </si>
  <si>
    <t>COHEN AIMEE C</t>
  </si>
  <si>
    <t>00023161838K</t>
  </si>
  <si>
    <t>4XP1VY7PQ31</t>
  </si>
  <si>
    <t>CHUA SUSANA T</t>
  </si>
  <si>
    <t>00023200099K</t>
  </si>
  <si>
    <t>9QJ6HP0PJ73</t>
  </si>
  <si>
    <t>ACHIMAS IULIANA</t>
  </si>
  <si>
    <t>00023224834K</t>
  </si>
  <si>
    <t>5V05HU3GE62</t>
  </si>
  <si>
    <t>SEWALL LAURA L</t>
  </si>
  <si>
    <t>00023224844K</t>
  </si>
  <si>
    <t>1PC3WT7QD82</t>
  </si>
  <si>
    <t>GREENSPAN DAVID A</t>
  </si>
  <si>
    <t>00023234567K</t>
  </si>
  <si>
    <t>3FQ9KT5EP42</t>
  </si>
  <si>
    <t>JANKURA DAVID M</t>
  </si>
  <si>
    <t>00023245997K</t>
  </si>
  <si>
    <t>7YE5GW9TF76</t>
  </si>
  <si>
    <t>FLINN DONNA E</t>
  </si>
  <si>
    <t>00023257494K</t>
  </si>
  <si>
    <t>6U79JV0GG51</t>
  </si>
  <si>
    <t>FOLEY CAROL</t>
  </si>
  <si>
    <t>SETRON STEVEN J</t>
  </si>
  <si>
    <t>00023202122K</t>
  </si>
  <si>
    <t>4CC6U26AH65</t>
  </si>
  <si>
    <t>ROSS TEENA A</t>
  </si>
  <si>
    <t>00023257863K</t>
  </si>
  <si>
    <t>4M83Y02QP08</t>
  </si>
  <si>
    <t>H5619</t>
  </si>
  <si>
    <t>PORTUGAL GARY</t>
  </si>
  <si>
    <t>HECKMAN MYRNA L</t>
  </si>
  <si>
    <t>00022700969K</t>
  </si>
  <si>
    <t>9F07EQ5WY57</t>
  </si>
  <si>
    <t>FITZPATRICK RENEE M</t>
  </si>
  <si>
    <t>00023178815K</t>
  </si>
  <si>
    <t>4G66KU9XF59</t>
  </si>
  <si>
    <t>KERLIN JR WALTER</t>
  </si>
  <si>
    <t>00023187958K</t>
  </si>
  <si>
    <t>6RX4RF2MP70</t>
  </si>
  <si>
    <t>DO LEE H</t>
  </si>
  <si>
    <t>00023203836K</t>
  </si>
  <si>
    <t>1UK7GP8HF31</t>
  </si>
  <si>
    <t>MARTINEZ ALEJOS R</t>
  </si>
  <si>
    <t>00023235653K</t>
  </si>
  <si>
    <t>9MV3A28XY84</t>
  </si>
  <si>
    <t>CARR MARK T</t>
  </si>
  <si>
    <t>00023244763K</t>
  </si>
  <si>
    <t>4FA7EV9YY68</t>
  </si>
  <si>
    <t>OSTENSEN ROBERT G</t>
  </si>
  <si>
    <t>00023250929K</t>
  </si>
  <si>
    <t>5D24VH0PH07</t>
  </si>
  <si>
    <t>LONG PATRICIA M</t>
  </si>
  <si>
    <t>GRIFFITH SCOTT M</t>
  </si>
  <si>
    <t>00023186444K</t>
  </si>
  <si>
    <t>2A21ET5DF95</t>
  </si>
  <si>
    <t>YALE JACOB D</t>
  </si>
  <si>
    <t>BOURLOKAS DEMOS P</t>
  </si>
  <si>
    <t>00023247398K</t>
  </si>
  <si>
    <t>3NW5PG4NE99</t>
  </si>
  <si>
    <t>ABDUL SAADIA S</t>
  </si>
  <si>
    <t>NESTEROWICZ CHERYL L</t>
  </si>
  <si>
    <t>00023146640K</t>
  </si>
  <si>
    <t>9GA7R23DM50</t>
  </si>
  <si>
    <t>NESTEROWICZ JOHN F</t>
  </si>
  <si>
    <t>00023146818K</t>
  </si>
  <si>
    <t>1UC5CY9HD82</t>
  </si>
  <si>
    <t>SANTOS RICARDO D</t>
  </si>
  <si>
    <t>RAMORAN NESTOR</t>
  </si>
  <si>
    <t>00022965116K</t>
  </si>
  <si>
    <t>7AU3KE8QD76</t>
  </si>
  <si>
    <t>RAMORAN LOURDES C</t>
  </si>
  <si>
    <t>00022969890K</t>
  </si>
  <si>
    <t>7KW2PY8YK14</t>
  </si>
  <si>
    <t>SHARAPOVA MARINA A</t>
  </si>
  <si>
    <t>00023154864K</t>
  </si>
  <si>
    <t>6KG1R75XN94</t>
  </si>
  <si>
    <t>RINI DAVID F</t>
  </si>
  <si>
    <t>00023195200K</t>
  </si>
  <si>
    <t>1KM9YQ2FQ49</t>
  </si>
  <si>
    <t>H6622</t>
  </si>
  <si>
    <t>SCHUMANN BARRY L</t>
  </si>
  <si>
    <t>BECKWITH JAMES E</t>
  </si>
  <si>
    <t>00022698535K</t>
  </si>
  <si>
    <t>7NW8QH3UJ43</t>
  </si>
  <si>
    <t>REED HOGREFE AMY</t>
  </si>
  <si>
    <t>00023222148K</t>
  </si>
  <si>
    <t>3T64HX0JR50</t>
  </si>
  <si>
    <t>TAUGNER CHRISTIAN</t>
  </si>
  <si>
    <t>SUSMAN JODY L</t>
  </si>
  <si>
    <t>00023200476K</t>
  </si>
  <si>
    <t>5VK9W08JK35</t>
  </si>
  <si>
    <t>HALL PAUL A</t>
  </si>
  <si>
    <t>00023222214K</t>
  </si>
  <si>
    <t>6NT8AA2CH29</t>
  </si>
  <si>
    <t>DUNAVANT MICHAEL</t>
  </si>
  <si>
    <t>BRICKER ERIN K</t>
  </si>
  <si>
    <t>00022113555K</t>
  </si>
  <si>
    <t>8E53PU2EK01</t>
  </si>
  <si>
    <t>SCHUMM MARILYN J</t>
  </si>
  <si>
    <t>00022524693K</t>
  </si>
  <si>
    <t>2XD0RD9VU36</t>
  </si>
  <si>
    <t>CRAIG SHARON Y</t>
  </si>
  <si>
    <t>00023146576K</t>
  </si>
  <si>
    <t>1PY9FK1CR31</t>
  </si>
  <si>
    <t>BRAMMEIER SHARI</t>
  </si>
  <si>
    <t>00023171733K</t>
  </si>
  <si>
    <t>6HE1RE8PQ24</t>
  </si>
  <si>
    <t>DRESSER JAMES V</t>
  </si>
  <si>
    <t>00023190021K</t>
  </si>
  <si>
    <t>8CA4Y64AH95</t>
  </si>
  <si>
    <t>PORTUGAL STACEY A</t>
  </si>
  <si>
    <t>LENHART MATTHEW W</t>
  </si>
  <si>
    <t>00023184274K</t>
  </si>
  <si>
    <t>8NN6AE3UT63</t>
  </si>
  <si>
    <t>H1036</t>
  </si>
  <si>
    <t>DELTORO JUDI C</t>
  </si>
  <si>
    <t>00023224608K</t>
  </si>
  <si>
    <t>2R83VV5MH02</t>
  </si>
  <si>
    <t>H0028</t>
  </si>
  <si>
    <t>MCGINLEY SHARON A</t>
  </si>
  <si>
    <t>00023259320K</t>
  </si>
  <si>
    <t>4Q58MY2YW51</t>
  </si>
  <si>
    <t>SINGH VEDANAND J</t>
  </si>
  <si>
    <t>00023259955K</t>
  </si>
  <si>
    <t>2EE2T06QK29</t>
  </si>
  <si>
    <t>CP</t>
  </si>
  <si>
    <t>H1019</t>
  </si>
  <si>
    <t>KOZACHECK ANNE MARIE</t>
  </si>
  <si>
    <t>THOMAS DONALD R</t>
  </si>
  <si>
    <t>00023213469K</t>
  </si>
  <si>
    <t>8D06NR1PY58</t>
  </si>
  <si>
    <t>ROBINSON PAUL</t>
  </si>
  <si>
    <t>DERDA MARY A</t>
  </si>
  <si>
    <t>00023187920K</t>
  </si>
  <si>
    <t>9HN0WR0AM90</t>
  </si>
  <si>
    <t>STROHMAN BRIAN C</t>
  </si>
  <si>
    <t>HARRIS PAMELA</t>
  </si>
  <si>
    <t>00019870511K</t>
  </si>
  <si>
    <t>7MP0DT2VD02</t>
  </si>
  <si>
    <t>RICHER HARRY W</t>
  </si>
  <si>
    <t>00023208350K</t>
  </si>
  <si>
    <t>2AW5RD6FD88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</si>
  <si>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</si>
  <si>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</si>
  <si>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</si>
  <si>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</si>
  <si>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</si>
  <si>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</si>
  <si>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</si>
  <si>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</si>
  <si>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</si>
  <si>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</si>
  <si>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</si>
  <si>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</si>
  <si>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</si>
  <si>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</si>
  <si>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</si>
  <si>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</si>
  <si>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</si>
  <si>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</si>
  <si>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</si>
  <si>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</si>
  <si>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</si>
  <si>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</si>
  <si>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</si>
  <si>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</si>
  <si>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</si>
  <si>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</si>
  <si>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</si>
  <si>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</si>
  <si>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</si>
  <si>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</si>
  <si>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</si>
  <si>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</si>
  <si>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</si>
  <si>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</si>
  <si>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</si>
  <si>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</si>
  <si>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</si>
  <si>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</si>
  <si>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</si>
  <si>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</si>
  <si>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</si>
  <si>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</si>
  <si>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</si>
  <si>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</si>
  <si>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</si>
  <si>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</si>
  <si>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DIMEX LLC</t>
  </si>
  <si>
    <t>000000845819</t>
  </si>
  <si>
    <t>EKSTAM DIANA M</t>
  </si>
  <si>
    <t>00000973438A</t>
  </si>
  <si>
    <t>MS</t>
  </si>
  <si>
    <t>MED SUPP ANNUALIZED STANDARD</t>
  </si>
  <si>
    <t>MSAS</t>
  </si>
  <si>
    <t>SDRENKA LINDA</t>
  </si>
  <si>
    <t>00000977750A</t>
  </si>
  <si>
    <t>Fields Rachel</t>
  </si>
  <si>
    <t>9007471970</t>
  </si>
  <si>
    <t>TRAINOR JACQUELINE M</t>
  </si>
  <si>
    <t>00000106089A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</si>
  <si>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</si>
  <si>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</si>
  <si>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</si>
  <si>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</si>
  <si>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</si>
  <si>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</si>
  <si>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</si>
  <si>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</si>
  <si>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HOUSEBERG DEBORAH P</t>
  </si>
  <si>
    <t>00000948449A</t>
  </si>
  <si>
    <t>MED SUPP ANNUALIZED ACHIEVE</t>
  </si>
  <si>
    <t>MSAA</t>
  </si>
  <si>
    <t>KUCAN THOMAS</t>
  </si>
  <si>
    <t>BECK DEBRA A</t>
  </si>
  <si>
    <t>00000776552A</t>
  </si>
  <si>
    <t>PARADIS ELIZABETH A</t>
  </si>
  <si>
    <t>00000782684A</t>
  </si>
  <si>
    <t>HINEGARDNER DUDLEY K</t>
  </si>
  <si>
    <t>00000974011A</t>
  </si>
  <si>
    <t>GESKE HEATHER M</t>
  </si>
  <si>
    <t>STANGL TIMOTHY J</t>
  </si>
  <si>
    <t>00000972550A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</si>
  <si>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</si>
  <si>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</si>
  <si>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</si>
  <si>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</si>
  <si>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</si>
  <si>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</si>
  <si>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</si>
  <si>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</si>
  <si>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</si>
  <si>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</si>
  <si>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</si>
  <si>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</si>
  <si>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</si>
  <si>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</si>
  <si>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</si>
  <si>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</si>
  <si>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</si>
  <si>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</si>
  <si>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</si>
  <si>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</si>
  <si>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</si>
  <si>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KELLY JOHN R</t>
  </si>
  <si>
    <t>00000801899A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</si>
  <si>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</si>
  <si>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</si>
  <si>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</si>
  <si>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</si>
  <si>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</si>
  <si>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</si>
  <si>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</si>
  <si>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</si>
  <si>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CARTER LORI S</t>
  </si>
  <si>
    <t>00000963205A</t>
  </si>
  <si>
    <t>CHANG SUSAN C</t>
  </si>
  <si>
    <t>00000964708A</t>
  </si>
  <si>
    <t>KICINSKI KIMBERLY A</t>
  </si>
  <si>
    <t>00000972510A</t>
  </si>
  <si>
    <t>DAVIS DEBRA M</t>
  </si>
  <si>
    <t>00000980155A</t>
  </si>
  <si>
    <t>Madigan Kathleen</t>
  </si>
  <si>
    <t>9029971470</t>
  </si>
  <si>
    <t>DUNBAR DOLORES V</t>
  </si>
  <si>
    <t>CARBAJAL ESTEBAN</t>
  </si>
  <si>
    <t>00000817901A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</si>
  <si>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</si>
  <si>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</si>
  <si>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</si>
  <si>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</si>
  <si>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</si>
  <si>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</si>
  <si>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</si>
  <si>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</si>
  <si>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</si>
  <si>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</si>
  <si>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</si>
  <si>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</si>
  <si>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</si>
  <si>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</si>
  <si>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</si>
  <si>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00000973745A</t>
  </si>
  <si>
    <t>MAX RONALD J</t>
  </si>
  <si>
    <t>THOMPSON KEVIN M</t>
  </si>
  <si>
    <t>00000858729A</t>
  </si>
  <si>
    <t>EDWARDS JEROME A</t>
  </si>
  <si>
    <t>00000858732A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</si>
  <si>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</si>
  <si>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</si>
  <si>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</si>
  <si>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</si>
  <si>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</si>
  <si>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</si>
  <si>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</si>
  <si>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</si>
  <si>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Green Patti</t>
  </si>
  <si>
    <t>9029455080</t>
  </si>
  <si>
    <t>HINKLE THOMAS P</t>
  </si>
  <si>
    <t>00000973526A</t>
  </si>
  <si>
    <t>Ferrari Massimo</t>
  </si>
  <si>
    <t>9030047190</t>
  </si>
  <si>
    <t>Carr William</t>
  </si>
  <si>
    <t>9030297670</t>
  </si>
  <si>
    <t>Humana Dental &amp; Vision</t>
  </si>
  <si>
    <t>Humana 81+ AL, AZ, AR, GA, etc. All Except N OE &amp; UW</t>
  </si>
  <si>
    <t>Humana 65-80 AL, AZ, AR, GA, etc. All Except N OE &amp; UW</t>
  </si>
  <si>
    <t>Humana AL, AZ, AR, GA, etc. Plan N OE &amp; UW</t>
  </si>
  <si>
    <t>Humana 68-80 AL, AZ, AR, GA, etc. All Except N OE &amp; UW*</t>
  </si>
  <si>
    <t>Humana MedSupp U65</t>
  </si>
  <si>
    <t>Humana MAPD 2025*</t>
  </si>
  <si>
    <t>Humana 2025 CT, PA, DC *</t>
  </si>
  <si>
    <t>[%/$=313][prorate=12/12]</t>
  </si>
  <si>
    <t>[%/$=313][prorate=10/12]</t>
  </si>
  <si>
    <t>[%/$=313][prorate=8/12]</t>
  </si>
  <si>
    <t>Humana PDP 2025!</t>
  </si>
  <si>
    <t>[%/$=313][prorate=6/12]</t>
  </si>
  <si>
    <t>[%/$=313][prorate=7/12]</t>
  </si>
  <si>
    <t>[%/$=313][prorate=9/12]</t>
  </si>
  <si>
    <t>[%/$=313][prorate=1/12]</t>
  </si>
  <si>
    <t>[%/$=353][prorate=1/12]</t>
  </si>
  <si>
    <t>00021044590K6</t>
  </si>
  <si>
    <t>00000963205A8</t>
  </si>
  <si>
    <t>00000964708A8</t>
  </si>
  <si>
    <t>00000801899A8</t>
  </si>
  <si>
    <t>00000770425A8</t>
  </si>
  <si>
    <t>00000803433A8</t>
  </si>
  <si>
    <t>00000822114A8</t>
  </si>
  <si>
    <t>00000803303A8</t>
  </si>
  <si>
    <t>00000770807A8</t>
  </si>
  <si>
    <t>00000775340A8</t>
  </si>
  <si>
    <t>00000776436A8</t>
  </si>
  <si>
    <t>00000809128A8</t>
  </si>
  <si>
    <t>00000810902A8</t>
  </si>
  <si>
    <t>00000770562A8</t>
  </si>
  <si>
    <t>00000784750A8</t>
  </si>
  <si>
    <t>00000812465A8</t>
  </si>
  <si>
    <t>00000786056A8</t>
  </si>
  <si>
    <t>00000777658A8</t>
  </si>
  <si>
    <t>00000790321A8</t>
  </si>
  <si>
    <t>00000822229A8</t>
  </si>
  <si>
    <t>00000795448A8</t>
  </si>
  <si>
    <t>00000770493A8</t>
  </si>
  <si>
    <t>00000973579A8</t>
  </si>
  <si>
    <t>00000972510A8</t>
  </si>
  <si>
    <t>00000980155A8</t>
  </si>
  <si>
    <t>00000948449A8</t>
  </si>
  <si>
    <t>00000976693A8</t>
  </si>
  <si>
    <t>00000972550A8</t>
  </si>
  <si>
    <t>00000973506A8</t>
  </si>
  <si>
    <t>00000976123A8</t>
  </si>
  <si>
    <t>00000973438A8</t>
  </si>
  <si>
    <t>00000973745A8</t>
  </si>
  <si>
    <t>00000974011A8</t>
  </si>
  <si>
    <t>00000858729A8</t>
  </si>
  <si>
    <t>00000858732A8</t>
  </si>
  <si>
    <t>00000776552A8</t>
  </si>
  <si>
    <t>00000782684A8</t>
  </si>
  <si>
    <t>00000977750A8</t>
  </si>
  <si>
    <t>00000817901A8</t>
  </si>
  <si>
    <t>00000106089A8</t>
  </si>
  <si>
    <t>00000779014A8</t>
  </si>
  <si>
    <t>00000973526A8</t>
  </si>
  <si>
    <t>90074719704</t>
  </si>
  <si>
    <t>0000008458194</t>
  </si>
  <si>
    <t>90299714704</t>
  </si>
  <si>
    <t>90300053804</t>
  </si>
  <si>
    <t>90301085804</t>
  </si>
  <si>
    <t>90295648604</t>
  </si>
  <si>
    <t>90296115204</t>
  </si>
  <si>
    <t>90297002604</t>
  </si>
  <si>
    <t>90297660604</t>
  </si>
  <si>
    <t>32490349704</t>
  </si>
  <si>
    <t>90283427404</t>
  </si>
  <si>
    <t>90296602104</t>
  </si>
  <si>
    <t>90297154704</t>
  </si>
  <si>
    <t>90296856004</t>
  </si>
  <si>
    <t>90296919204</t>
  </si>
  <si>
    <t>32084095704</t>
  </si>
  <si>
    <t>90284062404</t>
  </si>
  <si>
    <t>0000004164024</t>
  </si>
  <si>
    <t>0000004167004</t>
  </si>
  <si>
    <t>90300471904</t>
  </si>
  <si>
    <t>90294550804</t>
  </si>
  <si>
    <t>90284549304</t>
  </si>
  <si>
    <t>90297002504</t>
  </si>
  <si>
    <t>90302976704</t>
  </si>
  <si>
    <t>0000004165834</t>
  </si>
  <si>
    <t>90296855904</t>
  </si>
  <si>
    <t>90296919104</t>
  </si>
  <si>
    <t>00022700969K6</t>
  </si>
  <si>
    <t>00022113555K6</t>
  </si>
  <si>
    <t>00022982390K6</t>
  </si>
  <si>
    <t>00022094137K6</t>
  </si>
  <si>
    <t>00022698535K6</t>
  </si>
  <si>
    <t>00022524693K6</t>
  </si>
  <si>
    <t>00023251126K6</t>
  </si>
  <si>
    <t>00023244763K6</t>
  </si>
  <si>
    <t>00023257494K6</t>
  </si>
  <si>
    <t>00014119498K6</t>
  </si>
  <si>
    <t>00023243657K6</t>
  </si>
  <si>
    <t>00023250215K6</t>
  </si>
  <si>
    <t>00023257863K6</t>
  </si>
  <si>
    <t>00023250929K6</t>
  </si>
  <si>
    <t>00023259320K6</t>
  </si>
  <si>
    <t>00023259955K6</t>
  </si>
  <si>
    <t>00023187920K6</t>
  </si>
  <si>
    <t>00022958376K6</t>
  </si>
  <si>
    <t>00023234567K6</t>
  </si>
  <si>
    <t>00022965116K6</t>
  </si>
  <si>
    <t>00022969890K6</t>
  </si>
  <si>
    <t>00023190021K6</t>
  </si>
  <si>
    <t>00023241263K6</t>
  </si>
  <si>
    <t>00023247603K6</t>
  </si>
  <si>
    <t>00023242232K6</t>
  </si>
  <si>
    <t>00023243949K6</t>
  </si>
  <si>
    <t>00023247495K6</t>
  </si>
  <si>
    <t>00023245997K6</t>
  </si>
  <si>
    <t>00023247398K6</t>
  </si>
  <si>
    <t>00019870511K6</t>
  </si>
  <si>
    <t>00010438260K6</t>
  </si>
  <si>
    <t>00023163634K6</t>
  </si>
  <si>
    <t>00021086243K6</t>
  </si>
  <si>
    <t>00023151593K6</t>
  </si>
  <si>
    <t>00023146640K6</t>
  </si>
  <si>
    <t>00023146818K6</t>
  </si>
  <si>
    <t>00023146576K6</t>
  </si>
  <si>
    <t>00023222045K6</t>
  </si>
  <si>
    <t>00023231591K6</t>
  </si>
  <si>
    <t>00023154874K6</t>
  </si>
  <si>
    <t>00023157542K6</t>
  </si>
  <si>
    <t>00023185259K6</t>
  </si>
  <si>
    <t>00023186504K6</t>
  </si>
  <si>
    <t>00021558272K6</t>
  </si>
  <si>
    <t>00023183658K6</t>
  </si>
  <si>
    <t>00023203793K6</t>
  </si>
  <si>
    <t>00023204136K6</t>
  </si>
  <si>
    <t>00023151464K6</t>
  </si>
  <si>
    <t>00023174321K6</t>
  </si>
  <si>
    <t>00023177736K6</t>
  </si>
  <si>
    <t>00023163873K6</t>
  </si>
  <si>
    <t>00023188842K6</t>
  </si>
  <si>
    <t>00023161838K6</t>
  </si>
  <si>
    <t>00023200099K6</t>
  </si>
  <si>
    <t>00023224834K6</t>
  </si>
  <si>
    <t>00023224844K6</t>
  </si>
  <si>
    <t>00023202122K6</t>
  </si>
  <si>
    <t>00023178815K6</t>
  </si>
  <si>
    <t>00023203836K6</t>
  </si>
  <si>
    <t>00023235653K6</t>
  </si>
  <si>
    <t>00023154864K6</t>
  </si>
  <si>
    <t>00023195200K6</t>
  </si>
  <si>
    <t>00023222148K6</t>
  </si>
  <si>
    <t>00023200476K6</t>
  </si>
  <si>
    <t>00023222214K6</t>
  </si>
  <si>
    <t>00023184274K6</t>
  </si>
  <si>
    <t>00023208350K6</t>
  </si>
  <si>
    <t>00023174017K6</t>
  </si>
  <si>
    <t>00023184051K6</t>
  </si>
  <si>
    <t>00023187958K6</t>
  </si>
  <si>
    <t>00023151397K6</t>
  </si>
  <si>
    <t>00023171733K6</t>
  </si>
  <si>
    <t>00023224608K6</t>
  </si>
  <si>
    <t>00023213469K6</t>
  </si>
  <si>
    <t>00000804864A8</t>
  </si>
  <si>
    <t>00000754585A8</t>
  </si>
  <si>
    <t>00021452306K9</t>
  </si>
  <si>
    <t>00023213919K9</t>
  </si>
  <si>
    <t>00023186444K9</t>
  </si>
  <si>
    <t>00023168907K9</t>
  </si>
  <si>
    <t>18828278SUB2</t>
  </si>
  <si>
    <t>17528908N</t>
  </si>
  <si>
    <t>18710070N</t>
  </si>
  <si>
    <t>NESTEROWICZ</t>
  </si>
  <si>
    <t>CHERYL</t>
  </si>
  <si>
    <t>JOHN</t>
  </si>
  <si>
    <t>HRONOPOULOS</t>
  </si>
  <si>
    <t>JOANNE</t>
  </si>
  <si>
    <t>BOWIE</t>
  </si>
  <si>
    <t>SANDRA</t>
  </si>
  <si>
    <t>DYMOND</t>
  </si>
  <si>
    <t>RETHA</t>
  </si>
  <si>
    <t>REMIAS</t>
  </si>
  <si>
    <t>THERESA</t>
  </si>
  <si>
    <t>WEISS</t>
  </si>
  <si>
    <t>CRAIG</t>
  </si>
  <si>
    <t>JEAN</t>
  </si>
  <si>
    <t>BOGARDUS</t>
  </si>
  <si>
    <t>THOMAS</t>
  </si>
  <si>
    <t>BOYD</t>
  </si>
  <si>
    <t>JENNIFER</t>
  </si>
  <si>
    <t>Thompson</t>
  </si>
  <si>
    <t>Therese</t>
  </si>
  <si>
    <t>Dornbierer</t>
  </si>
  <si>
    <t>Christie</t>
  </si>
  <si>
    <t>Taylor</t>
  </si>
  <si>
    <t>Larry</t>
  </si>
  <si>
    <t>Davison</t>
  </si>
  <si>
    <t>Kimberly</t>
  </si>
  <si>
    <t>Baker</t>
  </si>
  <si>
    <t>Michael</t>
  </si>
  <si>
    <t>Taber</t>
  </si>
  <si>
    <t>Carrie</t>
  </si>
  <si>
    <t>Petrovic</t>
  </si>
  <si>
    <t>Janine</t>
  </si>
  <si>
    <t>Larimer</t>
  </si>
  <si>
    <t>Angela</t>
  </si>
  <si>
    <t>Finlen</t>
  </si>
  <si>
    <t>Carla</t>
  </si>
  <si>
    <t>Ward</t>
  </si>
  <si>
    <t>Christopher</t>
  </si>
  <si>
    <t>Schmidt</t>
  </si>
  <si>
    <t>Rebekah</t>
  </si>
  <si>
    <t>Young</t>
  </si>
  <si>
    <t>Joanna</t>
  </si>
  <si>
    <t>McClure</t>
  </si>
  <si>
    <t>Jessica</t>
  </si>
  <si>
    <t>WALSH</t>
  </si>
  <si>
    <t>MICHAEL</t>
  </si>
  <si>
    <t>Green</t>
  </si>
  <si>
    <t>Patti</t>
  </si>
  <si>
    <t>BRICKER</t>
  </si>
  <si>
    <t>ERIN</t>
  </si>
  <si>
    <t>SCHUMM</t>
  </si>
  <si>
    <t>MARILYN</t>
  </si>
  <si>
    <t>DRESSER</t>
  </si>
  <si>
    <t>JAMES</t>
  </si>
  <si>
    <t>SHARON</t>
  </si>
  <si>
    <t>BRAMMEIER</t>
  </si>
  <si>
    <t>SHARI</t>
  </si>
  <si>
    <t>CARBAJAL</t>
  </si>
  <si>
    <t>ESTEBAN</t>
  </si>
  <si>
    <t>ROSS</t>
  </si>
  <si>
    <t>TEENA</t>
  </si>
  <si>
    <t>SETRON</t>
  </si>
  <si>
    <t>STEVEN</t>
  </si>
  <si>
    <t>STANGL</t>
  </si>
  <si>
    <t>TIMOTHY</t>
  </si>
  <si>
    <t>FATSIS</t>
  </si>
  <si>
    <t>CINDY</t>
  </si>
  <si>
    <t>VAGNONI</t>
  </si>
  <si>
    <t>BONNIE</t>
  </si>
  <si>
    <t>HOUSEBERG</t>
  </si>
  <si>
    <t>DEBORAH</t>
  </si>
  <si>
    <t>TRAINOR</t>
  </si>
  <si>
    <t>JACQUELINE</t>
  </si>
  <si>
    <t>MOFFAT</t>
  </si>
  <si>
    <t>STEVE</t>
  </si>
  <si>
    <t>DELVECCHIO</t>
  </si>
  <si>
    <t>JACK</t>
  </si>
  <si>
    <t>EKSTAM</t>
  </si>
  <si>
    <t>DIANA</t>
  </si>
  <si>
    <t>SDRENKA</t>
  </si>
  <si>
    <t>LINDA</t>
  </si>
  <si>
    <t>Fields</t>
  </si>
  <si>
    <t>Rachel</t>
  </si>
  <si>
    <t>KAPPELER</t>
  </si>
  <si>
    <t>CATHERINE</t>
  </si>
  <si>
    <t>JOHNSON</t>
  </si>
  <si>
    <t>TIM</t>
  </si>
  <si>
    <t>PINN</t>
  </si>
  <si>
    <t>VANETTA</t>
  </si>
  <si>
    <t>HEDERMAN</t>
  </si>
  <si>
    <t>NICHOLAS</t>
  </si>
  <si>
    <t>WILTGEN</t>
  </si>
  <si>
    <t>DEANNA</t>
  </si>
  <si>
    <t>MEISNER</t>
  </si>
  <si>
    <t>RICKY</t>
  </si>
  <si>
    <t>BLANK</t>
  </si>
  <si>
    <t>RANDY</t>
  </si>
  <si>
    <t>LATZKE</t>
  </si>
  <si>
    <t>RENE</t>
  </si>
  <si>
    <t>BEXHETI</t>
  </si>
  <si>
    <t>KURTISH</t>
  </si>
  <si>
    <t>COLOVOS</t>
  </si>
  <si>
    <t>LISA</t>
  </si>
  <si>
    <t>GERALD</t>
  </si>
  <si>
    <t>KICINSKI</t>
  </si>
  <si>
    <t>KIMBERLY</t>
  </si>
  <si>
    <t>DAVIS</t>
  </si>
  <si>
    <t>DEBRA</t>
  </si>
  <si>
    <t>CARTER</t>
  </si>
  <si>
    <t>LORI</t>
  </si>
  <si>
    <t>CHANG</t>
  </si>
  <si>
    <t>SUSAN</t>
  </si>
  <si>
    <t>Madigan</t>
  </si>
  <si>
    <t>Kathleen</t>
  </si>
  <si>
    <t>MOMEYER</t>
  </si>
  <si>
    <t>WILLIAM</t>
  </si>
  <si>
    <t>WILLIAMS</t>
  </si>
  <si>
    <t>GRESS</t>
  </si>
  <si>
    <t>COFFMAN</t>
  </si>
  <si>
    <t>BRIAN</t>
  </si>
  <si>
    <t>BARBARA</t>
  </si>
  <si>
    <t>BARNER</t>
  </si>
  <si>
    <t>DENISE</t>
  </si>
  <si>
    <t>DONALD</t>
  </si>
  <si>
    <t>REBMANN</t>
  </si>
  <si>
    <t>MAUREEN</t>
  </si>
  <si>
    <t>EDWARD</t>
  </si>
  <si>
    <t>GILDEN</t>
  </si>
  <si>
    <t>ROBIN</t>
  </si>
  <si>
    <t>SCISCIANI</t>
  </si>
  <si>
    <t>DAVID</t>
  </si>
  <si>
    <t>KELLY</t>
  </si>
  <si>
    <t>DARCY</t>
  </si>
  <si>
    <t>HARPER</t>
  </si>
  <si>
    <t>LYNNE</t>
  </si>
  <si>
    <t>SPROUSE</t>
  </si>
  <si>
    <t>HINKLE</t>
  </si>
  <si>
    <t>Ferrari</t>
  </si>
  <si>
    <t>Massimo</t>
  </si>
  <si>
    <t>Carr</t>
  </si>
  <si>
    <t>William</t>
  </si>
  <si>
    <t>HINEGARDNER</t>
  </si>
  <si>
    <t>DUDLEY</t>
  </si>
  <si>
    <t>BECK</t>
  </si>
  <si>
    <t>PARADIS</t>
  </si>
  <si>
    <t>ELIZABETH</t>
  </si>
  <si>
    <t>DIMEX</t>
  </si>
  <si>
    <t>LLC</t>
  </si>
  <si>
    <t>HICKMAN</t>
  </si>
  <si>
    <t>BURTON</t>
  </si>
  <si>
    <t>DANIELA</t>
  </si>
  <si>
    <t>MAROLA</t>
  </si>
  <si>
    <t>JOSEPH</t>
  </si>
  <si>
    <t>JERZ</t>
  </si>
  <si>
    <t>FRANK</t>
  </si>
  <si>
    <t>DEJESUS</t>
  </si>
  <si>
    <t>KATHY</t>
  </si>
  <si>
    <t>ALAGHEBAND</t>
  </si>
  <si>
    <t>MARY</t>
  </si>
  <si>
    <t>CERNY</t>
  </si>
  <si>
    <t>GREGORY</t>
  </si>
  <si>
    <t>ELAINE</t>
  </si>
  <si>
    <t>MARJORIE</t>
  </si>
  <si>
    <t>NEWMAN</t>
  </si>
  <si>
    <t>LESLIE</t>
  </si>
  <si>
    <t>DENNIS</t>
  </si>
  <si>
    <t>GRIFFITH</t>
  </si>
  <si>
    <t>SCOTT</t>
  </si>
  <si>
    <t>CHIRICO</t>
  </si>
  <si>
    <t>MICHELE</t>
  </si>
  <si>
    <t>MARGARET</t>
  </si>
  <si>
    <t>WARLICK</t>
  </si>
  <si>
    <t>KENNETH</t>
  </si>
  <si>
    <t>SIMONET</t>
  </si>
  <si>
    <t>THOMPSON</t>
  </si>
  <si>
    <t>KEVIN</t>
  </si>
  <si>
    <t>EDWARDS</t>
  </si>
  <si>
    <t>JEROME</t>
  </si>
  <si>
    <t>Johnston</t>
  </si>
  <si>
    <t>Barbara</t>
  </si>
  <si>
    <t>McCorkle</t>
  </si>
  <si>
    <t>Michelle</t>
  </si>
  <si>
    <t>Ricciuti</t>
  </si>
  <si>
    <t>HECKMAN</t>
  </si>
  <si>
    <t>MYRNA</t>
  </si>
  <si>
    <t>CARR</t>
  </si>
  <si>
    <t>MARK</t>
  </si>
  <si>
    <t>OSTENSEN</t>
  </si>
  <si>
    <t>ROBERT</t>
  </si>
  <si>
    <t>FITZPATRICK</t>
  </si>
  <si>
    <t>RENEE</t>
  </si>
  <si>
    <t>DO</t>
  </si>
  <si>
    <t>LEE</t>
  </si>
  <si>
    <t>MARTINEZ</t>
  </si>
  <si>
    <t>ALEJOS</t>
  </si>
  <si>
    <t>KERLIN</t>
  </si>
  <si>
    <t>WALTER</t>
  </si>
  <si>
    <t>MCGINLEY</t>
  </si>
  <si>
    <t>SINGH</t>
  </si>
  <si>
    <t>VEDANAND</t>
  </si>
  <si>
    <t>LENHART</t>
  </si>
  <si>
    <t>MATTHEW</t>
  </si>
  <si>
    <t>DELTORO</t>
  </si>
  <si>
    <t>JUDI</t>
  </si>
  <si>
    <t>POOLE</t>
  </si>
  <si>
    <t>TINA</t>
  </si>
  <si>
    <t>DERDA</t>
  </si>
  <si>
    <t>RAMORAN</t>
  </si>
  <si>
    <t>NESTOR</t>
  </si>
  <si>
    <t>LOURDES</t>
  </si>
  <si>
    <t>SHARAPOVA</t>
  </si>
  <si>
    <t>MARINA</t>
  </si>
  <si>
    <t>RINI</t>
  </si>
  <si>
    <t>BECKWITH</t>
  </si>
  <si>
    <t>REED</t>
  </si>
  <si>
    <t>AMY</t>
  </si>
  <si>
    <t>HARRIS</t>
  </si>
  <si>
    <t>PAMELA</t>
  </si>
  <si>
    <t>RICHER</t>
  </si>
  <si>
    <t>HARRY</t>
  </si>
  <si>
    <t>JMM</t>
  </si>
  <si>
    <t>COUNSELING</t>
  </si>
  <si>
    <t>RELATIONAL</t>
  </si>
  <si>
    <t>PSYCHOLOGY</t>
  </si>
  <si>
    <t>HEAD</t>
  </si>
  <si>
    <t>HEART</t>
  </si>
  <si>
    <t>SUSMAN</t>
  </si>
  <si>
    <t>JODY</t>
  </si>
  <si>
    <t>HALL</t>
  </si>
  <si>
    <t>PAUL</t>
  </si>
  <si>
    <t>SANCHEZ</t>
  </si>
  <si>
    <t>MARCO</t>
  </si>
  <si>
    <t>HARTRY</t>
  </si>
  <si>
    <t>NATHAN</t>
  </si>
  <si>
    <t>HUGH</t>
  </si>
  <si>
    <t>BLACKER</t>
  </si>
  <si>
    <t>DON</t>
  </si>
  <si>
    <t>CLOW</t>
  </si>
  <si>
    <t>HEARN</t>
  </si>
  <si>
    <t>BOURLOKAS</t>
  </si>
  <si>
    <t>DEMOS</t>
  </si>
  <si>
    <t>NORIEGA</t>
  </si>
  <si>
    <t>EDMUNDO</t>
  </si>
  <si>
    <t>FLINN</t>
  </si>
  <si>
    <t>DONNA</t>
  </si>
  <si>
    <t>VICTOR</t>
  </si>
  <si>
    <t>RODNEY</t>
  </si>
  <si>
    <t>GREENSPAN</t>
  </si>
  <si>
    <t>JANKURA</t>
  </si>
  <si>
    <t>MAISLINGER</t>
  </si>
  <si>
    <t>VIDOSAVA</t>
  </si>
  <si>
    <t>COHEN</t>
  </si>
  <si>
    <t>AIMEE</t>
  </si>
  <si>
    <t>CHUA</t>
  </si>
  <si>
    <t>SUSANA</t>
  </si>
  <si>
    <t>ACHIMAS</t>
  </si>
  <si>
    <t>IULIANA</t>
  </si>
  <si>
    <t>SEWALL</t>
  </si>
  <si>
    <t>LAURA</t>
  </si>
  <si>
    <t>CHERYL NESTEROWICZ</t>
  </si>
  <si>
    <t>JOHN NESTEROWICZ</t>
  </si>
  <si>
    <t>JOANNE HRONOPOULOS</t>
  </si>
  <si>
    <t>SANDRA BOWIE</t>
  </si>
  <si>
    <t>RETHA DYMOND</t>
  </si>
  <si>
    <t>THERESA REMIAS</t>
  </si>
  <si>
    <t>CRAIG WEISS</t>
  </si>
  <si>
    <t>JEAN WEISS</t>
  </si>
  <si>
    <t>THOMAS BOGARDUS</t>
  </si>
  <si>
    <t>JENNIFER BOYD</t>
  </si>
  <si>
    <t>Therese Thompson</t>
  </si>
  <si>
    <t>Christie Dornbierer</t>
  </si>
  <si>
    <t>Larry Taylor</t>
  </si>
  <si>
    <t>Kimberly Davison</t>
  </si>
  <si>
    <t>Michael Baker</t>
  </si>
  <si>
    <t>Carrie Taber</t>
  </si>
  <si>
    <t>Janine Petrovic</t>
  </si>
  <si>
    <t>Angela Larimer</t>
  </si>
  <si>
    <t>Carla Finlen</t>
  </si>
  <si>
    <t>Christopher Ward</t>
  </si>
  <si>
    <t>Rebekah Schmidt</t>
  </si>
  <si>
    <t>Joanna Young</t>
  </si>
  <si>
    <t>Jessica McClure</t>
  </si>
  <si>
    <t>MICHAEL WALSH</t>
  </si>
  <si>
    <t>Patti Green</t>
  </si>
  <si>
    <t>ERIN BRICKER</t>
  </si>
  <si>
    <t>MARILYN SCHUMM</t>
  </si>
  <si>
    <t>JAMES DRESSER</t>
  </si>
  <si>
    <t>SHARON CRAIG</t>
  </si>
  <si>
    <t>SHARI BRAMMEIER</t>
  </si>
  <si>
    <t>ESTEBAN CARBAJAL</t>
  </si>
  <si>
    <t>TEENA ROSS</t>
  </si>
  <si>
    <t>STEVEN SETRON</t>
  </si>
  <si>
    <t>TIMOTHY STANGL</t>
  </si>
  <si>
    <t>CINDY FATSIS</t>
  </si>
  <si>
    <t>BONNIE VAGNONI</t>
  </si>
  <si>
    <t>DEBORAH HOUSEBERG</t>
  </si>
  <si>
    <t>JACQUELINE TRAINOR</t>
  </si>
  <si>
    <t>STEVE MOFFAT</t>
  </si>
  <si>
    <t>JACK DELVECCHIO</t>
  </si>
  <si>
    <t>DIANA EKSTAM</t>
  </si>
  <si>
    <t>LINDA SDRENKA</t>
  </si>
  <si>
    <t>Rachel Fields</t>
  </si>
  <si>
    <t>CATHERINE KAPPELER</t>
  </si>
  <si>
    <t>TIM JOHNSON</t>
  </si>
  <si>
    <t>VANETTA PINN</t>
  </si>
  <si>
    <t>NICHOLAS HEDERMAN</t>
  </si>
  <si>
    <t>DEANNA WILTGEN</t>
  </si>
  <si>
    <t>RICKY MEISNER</t>
  </si>
  <si>
    <t>RANDY BLANK</t>
  </si>
  <si>
    <t>RENE LATZKE</t>
  </si>
  <si>
    <t>KURTISH BEXHETI</t>
  </si>
  <si>
    <t>LISA COLOVOS</t>
  </si>
  <si>
    <t>GERALD LATZKE</t>
  </si>
  <si>
    <t>KIMBERLY KICINSKI</t>
  </si>
  <si>
    <t>DEBRA DAVIS</t>
  </si>
  <si>
    <t>LORI CARTER</t>
  </si>
  <si>
    <t>SUSAN CHANG</t>
  </si>
  <si>
    <t>Kathleen Madigan</t>
  </si>
  <si>
    <t>WILLIAM MOMEYER</t>
  </si>
  <si>
    <t>DEBRA WILLIAMS</t>
  </si>
  <si>
    <t>LISA GRESS</t>
  </si>
  <si>
    <t>BRIAN COFFMAN</t>
  </si>
  <si>
    <t>BARBARA CRAIG</t>
  </si>
  <si>
    <t>DENISE BARNER</t>
  </si>
  <si>
    <t>DONALD CRAIG</t>
  </si>
  <si>
    <t>MAUREEN REBMANN</t>
  </si>
  <si>
    <t>EDWARD REBMANN</t>
  </si>
  <si>
    <t>ROBIN GILDEN</t>
  </si>
  <si>
    <t>DAVID SCISCIANI</t>
  </si>
  <si>
    <t>JOHN KELLY</t>
  </si>
  <si>
    <t>DARCY KELLY</t>
  </si>
  <si>
    <t>LYNNE HARPER</t>
  </si>
  <si>
    <t>DONALD SPROUSE</t>
  </si>
  <si>
    <t>THOMAS HINKLE</t>
  </si>
  <si>
    <t>Massimo Ferrari</t>
  </si>
  <si>
    <t>William Carr</t>
  </si>
  <si>
    <t>DONALD THOMAS</t>
  </si>
  <si>
    <t>DUDLEY HINEGARDNER</t>
  </si>
  <si>
    <t>DEBRA BECK</t>
  </si>
  <si>
    <t>ELIZABETH PARADIS</t>
  </si>
  <si>
    <t>LLC DIMEX</t>
  </si>
  <si>
    <t>SUSAN HICKMAN</t>
  </si>
  <si>
    <t>DANIELA BURTON</t>
  </si>
  <si>
    <t>JOSEPH MAROLA</t>
  </si>
  <si>
    <t>FRANK JERZ</t>
  </si>
  <si>
    <t>KATHY DEJESUS</t>
  </si>
  <si>
    <t>MARY ALAGHEBAND</t>
  </si>
  <si>
    <t>LORI CERNY</t>
  </si>
  <si>
    <t>ELAINE GREGORY</t>
  </si>
  <si>
    <t>MARJORIE WILLIAMS</t>
  </si>
  <si>
    <t>LESLIE NEWMAN</t>
  </si>
  <si>
    <t>DENNIS WILLIAMS</t>
  </si>
  <si>
    <t>SCOTT GRIFFITH</t>
  </si>
  <si>
    <t>MICHELE CHIRICO</t>
  </si>
  <si>
    <t>MARGARET WILLIAMS</t>
  </si>
  <si>
    <t>KENNETH WARLICK</t>
  </si>
  <si>
    <t>WILLIAM SIMONET</t>
  </si>
  <si>
    <t>KEVIN THOMPSON</t>
  </si>
  <si>
    <t>JEROME EDWARDS</t>
  </si>
  <si>
    <t>Barbara Johnston</t>
  </si>
  <si>
    <t>Michelle McCorkle</t>
  </si>
  <si>
    <t>Angela Ricciuti</t>
  </si>
  <si>
    <t>MYRNA HECKMAN</t>
  </si>
  <si>
    <t>MARK CARR</t>
  </si>
  <si>
    <t>ROBERT OSTENSEN</t>
  </si>
  <si>
    <t>RENEE FITZPATRICK</t>
  </si>
  <si>
    <t>LEE DO</t>
  </si>
  <si>
    <t>ALEJOS MARTINEZ</t>
  </si>
  <si>
    <t>WALTER KERLIN</t>
  </si>
  <si>
    <t>SHARON MCGINLEY</t>
  </si>
  <si>
    <t>VEDANAND SINGH</t>
  </si>
  <si>
    <t>MATTHEW LENHART</t>
  </si>
  <si>
    <t>JUDI DELTORO</t>
  </si>
  <si>
    <t>TINA POOLE</t>
  </si>
  <si>
    <t>MARY DERDA</t>
  </si>
  <si>
    <t>NESTOR RAMORAN</t>
  </si>
  <si>
    <t>LOURDES RAMORAN</t>
  </si>
  <si>
    <t>MARINA SHARAPOVA</t>
  </si>
  <si>
    <t>DAVID RINI</t>
  </si>
  <si>
    <t>JAMES BECKWITH</t>
  </si>
  <si>
    <t>AMY REED</t>
  </si>
  <si>
    <t>PAMELA HARRIS</t>
  </si>
  <si>
    <t>HARRY RICHER</t>
  </si>
  <si>
    <t>JODY SUSMAN</t>
  </si>
  <si>
    <t>PAUL HALL</t>
  </si>
  <si>
    <t>MARCO SANCHEZ</t>
  </si>
  <si>
    <t>NATHAN HARTRY</t>
  </si>
  <si>
    <t>HUGH DAVIS</t>
  </si>
  <si>
    <t>DON BLACKER</t>
  </si>
  <si>
    <t>JAMES CLOW</t>
  </si>
  <si>
    <t>LESLIE HEARN</t>
  </si>
  <si>
    <t>DEMOS BOURLOKAS</t>
  </si>
  <si>
    <t>EDMUNDO NORIEGA</t>
  </si>
  <si>
    <t>DONNA FLINN</t>
  </si>
  <si>
    <t>RODNEY VICTOR</t>
  </si>
  <si>
    <t>DAVID GREENSPAN</t>
  </si>
  <si>
    <t>DAVID JANKURA</t>
  </si>
  <si>
    <t>VIDOSAVA MAISLINGER</t>
  </si>
  <si>
    <t>AIMEE COHEN</t>
  </si>
  <si>
    <t>SUSANA CHUA</t>
  </si>
  <si>
    <t>IULIANA ACHIMAS</t>
  </si>
  <si>
    <t>LAURA SEWALL</t>
  </si>
  <si>
    <t>Humana Group 2025</t>
  </si>
  <si>
    <t>[%/$=626]</t>
  </si>
  <si>
    <t>[%/$=705]</t>
  </si>
  <si>
    <t>[%/$=353][prorate=8/12]</t>
  </si>
  <si>
    <t>Humana 2025</t>
  </si>
  <si>
    <t>Humana 2025 CT, PA, DC</t>
  </si>
  <si>
    <t>00023146640K67</t>
  </si>
  <si>
    <t>00023163634K67</t>
  </si>
  <si>
    <t>00023146818K67</t>
  </si>
  <si>
    <t>00023151593K67</t>
  </si>
  <si>
    <t>00021086243K67</t>
  </si>
  <si>
    <t>00023146576K67</t>
  </si>
  <si>
    <t>00023161838K67</t>
  </si>
  <si>
    <t>00023235653K67</t>
  </si>
  <si>
    <t>00023222148K67</t>
  </si>
  <si>
    <t>00023185259K67</t>
  </si>
  <si>
    <t>00023195200K67</t>
  </si>
  <si>
    <t>00023203793K67</t>
  </si>
  <si>
    <t>00023208350K67</t>
  </si>
  <si>
    <t>00023183658K67</t>
  </si>
  <si>
    <t>00023224834K67</t>
  </si>
  <si>
    <t>00023163873K67</t>
  </si>
  <si>
    <t>00023186504K67</t>
  </si>
  <si>
    <t>00023200476K67</t>
  </si>
  <si>
    <t>00023222045K67</t>
  </si>
  <si>
    <t>00023174321K67</t>
  </si>
  <si>
    <t>00023224844K67</t>
  </si>
  <si>
    <t>00023203836K67</t>
  </si>
  <si>
    <t>00023188842K67</t>
  </si>
  <si>
    <t>00023177736K67</t>
  </si>
  <si>
    <t>00023154864K67</t>
  </si>
  <si>
    <t>00023231591K67</t>
  </si>
  <si>
    <t>00023184274K67</t>
  </si>
  <si>
    <t>00021558272K67</t>
  </si>
  <si>
    <t>00023222214K67</t>
  </si>
  <si>
    <t>00023151464K67</t>
  </si>
  <si>
    <t>00023178815K67</t>
  </si>
  <si>
    <t>00023154874K67</t>
  </si>
  <si>
    <t>00023202122K67</t>
  </si>
  <si>
    <t>00023204136K67</t>
  </si>
  <si>
    <t>00023200099K67</t>
  </si>
  <si>
    <t>00023157542K67</t>
  </si>
  <si>
    <t>00023184051K67</t>
  </si>
  <si>
    <t>00023174017K67</t>
  </si>
  <si>
    <t>00023187958K67</t>
  </si>
  <si>
    <t>00023151397K67</t>
  </si>
  <si>
    <t>00023224608K67</t>
  </si>
  <si>
    <t>00023171733K67</t>
  </si>
  <si>
    <t>00023213469K67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</si>
</sst>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1" fontId="19" fillId="0" borderId="0" xfId="0" applyNumberFormat="1" applyFont="1"/>
    <xf numFmtId="14" fontId="19" fillId="0" borderId="0" xfId="0" applyNumberFormat="1" applyFont="1"/>
    <xf numFmtId="49" fontId="19" fillId="0" borderId="0" xfId="0" applyNumberFormat="1" applyFont="1" applyAlignment="1">
      <alignment horizontal="left" vertical="top"/>
    </xf>
    <xf numFmtId="2" fontId="19" fillId="0" borderId="0" xfId="0" applyNumberFormat="1" applyFont="1"/>
    <xf numFmtId="0" fontId="19" fillId="0" borderId="0" xfId="0" applyFont="1"/>
    <xf numFmtId="49" fontId="19" fillId="35" borderId="0" xfId="0" applyNumberFormat="1" applyFont="1" applyFill="1" applyAlignment="1">
      <alignment horizontal="left" vertical="top"/>
    </xf>
    <xf numFmtId="49" fontId="19" fillId="33" borderId="0" xfId="0" applyNumberFormat="1" applyFont="1" applyFill="1" applyAlignment="1">
      <alignment horizontal="left" vertical="top"/>
    </xf>
    <xf numFmtId="49" fontId="19" fillId="34" borderId="0" xfId="0" applyNumberFormat="1" applyFont="1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18" fillId="0" borderId="0" xfId="0" applyFont="1" applyFill="1" applyAlignment="1">
      <alignment horizontal="left" vertical="top"/>
    </xf>
    <xf numFmtId="49" fontId="19" fillId="0" borderId="0" xfId="0" applyNumberFormat="1" applyFont="1" applyFill="1" applyAlignment="1">
      <alignment horizontal="left" vertical="top"/>
    </xf>
    <xf numFmtId="1" fontId="19" fillId="0" borderId="0" xfId="0" applyNumberFormat="1" applyFont="1" applyFill="1" applyAlignment="1">
      <alignment horizontal="left"/>
    </xf>
    <xf numFmtId="0" fontId="19" fillId="0" borderId="0" xfId="0" applyFont="1" applyFill="1" applyAlignment="1">
      <alignment horizontal="left" vertical="top"/>
    </xf>
    <xf numFmtId="14" fontId="19" fillId="0" borderId="0" xfId="0" applyNumberFormat="1" applyFont="1" applyFill="1"/>
    <xf numFmtId="2" fontId="19" fillId="0" borderId="0" xfId="0" applyNumberFormat="1" applyFont="1" applyFill="1"/>
    <xf numFmtId="0" fontId="19" fillId="0" borderId="0" xfId="0" applyFont="1" applyFill="1"/>
    <xf numFmtId="0" fontId="21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3D37-4DA0-443A-AFA7-27ABCE6B61B8}">
  <dimension ref="A1:AP155"/>
  <sheetViews>
    <sheetView topLeftCell="M1" workbookViewId="0">
      <selection activeCell="X16" sqref="X16"/>
    </sheetView>
  </sheetViews>
  <sheetFormatPr defaultRowHeight="13.2" x14ac:dyDescent="0.25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1891456</v>
      </c>
      <c r="B2" s="3">
        <v>45756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25076353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45778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0.67</v>
      </c>
      <c r="W2" s="5">
        <v>0</v>
      </c>
      <c r="X2" s="5">
        <v>100</v>
      </c>
      <c r="Y2" s="5">
        <v>208.67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45778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5">
      <c r="A3" s="2">
        <v>1891456</v>
      </c>
      <c r="B3" s="3">
        <v>45756</v>
      </c>
      <c r="C3" s="4" t="s">
        <v>42</v>
      </c>
      <c r="D3" s="2">
        <v>1427681</v>
      </c>
      <c r="E3" s="4" t="s">
        <v>56</v>
      </c>
      <c r="F3" s="4" t="s">
        <v>57</v>
      </c>
      <c r="G3" s="2">
        <v>296925370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45778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417.33</v>
      </c>
      <c r="Z3" s="4" t="s">
        <v>46</v>
      </c>
      <c r="AA3" s="5" t="s">
        <v>46</v>
      </c>
      <c r="AB3" s="4" t="s">
        <v>59</v>
      </c>
      <c r="AC3" s="4" t="s">
        <v>46</v>
      </c>
      <c r="AD3" s="5">
        <v>0</v>
      </c>
      <c r="AE3" s="4" t="s">
        <v>60</v>
      </c>
      <c r="AF3" s="3">
        <v>45778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5">
      <c r="A4" s="2">
        <v>1891456</v>
      </c>
      <c r="B4" s="3">
        <v>45756</v>
      </c>
      <c r="C4" s="4" t="s">
        <v>42</v>
      </c>
      <c r="D4" s="2">
        <v>1427681</v>
      </c>
      <c r="E4" s="4" t="s">
        <v>61</v>
      </c>
      <c r="F4" s="4" t="s">
        <v>62</v>
      </c>
      <c r="G4" s="2">
        <v>7448758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45748</v>
      </c>
      <c r="M4" s="4" t="s">
        <v>64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</v>
      </c>
      <c r="W4" s="5">
        <v>0</v>
      </c>
      <c r="X4" s="5">
        <v>100</v>
      </c>
      <c r="Y4" s="5">
        <v>391.25</v>
      </c>
      <c r="Z4" s="4" t="s">
        <v>46</v>
      </c>
      <c r="AA4" s="5" t="s">
        <v>46</v>
      </c>
      <c r="AB4" s="4" t="s">
        <v>59</v>
      </c>
      <c r="AC4" s="4" t="s">
        <v>46</v>
      </c>
      <c r="AD4" s="5">
        <v>0</v>
      </c>
      <c r="AE4" s="4" t="s">
        <v>60</v>
      </c>
      <c r="AF4" s="3">
        <v>45748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5">
      <c r="A5" s="2">
        <v>1891456</v>
      </c>
      <c r="B5" s="3">
        <v>45756</v>
      </c>
      <c r="C5" s="4" t="s">
        <v>42</v>
      </c>
      <c r="D5" s="2">
        <v>1427681</v>
      </c>
      <c r="E5" s="4" t="s">
        <v>65</v>
      </c>
      <c r="F5" s="4" t="s">
        <v>66</v>
      </c>
      <c r="G5" s="2">
        <v>165985563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45748</v>
      </c>
      <c r="M5" s="4" t="s">
        <v>64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391.25</v>
      </c>
      <c r="Z5" s="4" t="s">
        <v>46</v>
      </c>
      <c r="AA5" s="5" t="s">
        <v>46</v>
      </c>
      <c r="AB5" s="4" t="s">
        <v>59</v>
      </c>
      <c r="AC5" s="4" t="s">
        <v>46</v>
      </c>
      <c r="AD5" s="5">
        <v>0</v>
      </c>
      <c r="AE5" s="4" t="s">
        <v>60</v>
      </c>
      <c r="AF5" s="3">
        <v>45748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5">
      <c r="A6" s="2">
        <v>1891456</v>
      </c>
      <c r="B6" s="3">
        <v>45756</v>
      </c>
      <c r="C6" s="4" t="s">
        <v>42</v>
      </c>
      <c r="D6" s="2">
        <v>1427681</v>
      </c>
      <c r="E6" s="4" t="s">
        <v>68</v>
      </c>
      <c r="F6" s="4" t="s">
        <v>69</v>
      </c>
      <c r="G6" s="2">
        <v>131578093</v>
      </c>
      <c r="H6" s="4" t="s">
        <v>70</v>
      </c>
      <c r="I6" s="4" t="s">
        <v>46</v>
      </c>
      <c r="J6" s="4" t="s">
        <v>47</v>
      </c>
      <c r="K6" s="4" t="s">
        <v>48</v>
      </c>
      <c r="L6" s="3">
        <v>45748</v>
      </c>
      <c r="M6" s="4" t="s">
        <v>64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0.75</v>
      </c>
      <c r="W6" s="5">
        <v>0</v>
      </c>
      <c r="X6" s="5">
        <v>100</v>
      </c>
      <c r="Y6" s="5">
        <v>234.75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45748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5">
      <c r="A7" s="2">
        <v>1891456</v>
      </c>
      <c r="B7" s="3">
        <v>45756</v>
      </c>
      <c r="C7" s="4" t="s">
        <v>42</v>
      </c>
      <c r="D7" s="2">
        <v>1427681</v>
      </c>
      <c r="E7" s="4" t="s">
        <v>71</v>
      </c>
      <c r="F7" s="4" t="s">
        <v>72</v>
      </c>
      <c r="G7" s="2">
        <v>730663503</v>
      </c>
      <c r="H7" s="4" t="s">
        <v>73</v>
      </c>
      <c r="I7" s="4" t="s">
        <v>46</v>
      </c>
      <c r="J7" s="4" t="s">
        <v>47</v>
      </c>
      <c r="K7" s="4" t="s">
        <v>48</v>
      </c>
      <c r="L7" s="3">
        <v>45778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74</v>
      </c>
      <c r="U7" s="4" t="s">
        <v>46</v>
      </c>
      <c r="V7" s="5">
        <v>0.67</v>
      </c>
      <c r="W7" s="5">
        <v>0</v>
      </c>
      <c r="X7" s="5">
        <v>100</v>
      </c>
      <c r="Y7" s="5">
        <v>208.67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45778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75</v>
      </c>
      <c r="AO7" s="4" t="s">
        <v>46</v>
      </c>
      <c r="AP7" s="4" t="s">
        <v>46</v>
      </c>
    </row>
    <row r="8" spans="1:42" x14ac:dyDescent="0.25">
      <c r="A8" s="2">
        <v>1891456</v>
      </c>
      <c r="B8" s="3">
        <v>45756</v>
      </c>
      <c r="C8" s="4" t="s">
        <v>76</v>
      </c>
      <c r="D8" s="2">
        <v>1466196</v>
      </c>
      <c r="E8" s="4" t="s">
        <v>77</v>
      </c>
      <c r="F8" s="4" t="s">
        <v>78</v>
      </c>
      <c r="G8" s="2">
        <v>207836154</v>
      </c>
      <c r="H8" s="4" t="s">
        <v>79</v>
      </c>
      <c r="I8" s="4" t="s">
        <v>46</v>
      </c>
      <c r="J8" s="4" t="s">
        <v>47</v>
      </c>
      <c r="K8" s="4" t="s">
        <v>48</v>
      </c>
      <c r="L8" s="3">
        <v>45748</v>
      </c>
      <c r="M8" s="4" t="s">
        <v>64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391.25</v>
      </c>
      <c r="Z8" s="4" t="s">
        <v>46</v>
      </c>
      <c r="AA8" s="5" t="s">
        <v>46</v>
      </c>
      <c r="AB8" s="4" t="s">
        <v>59</v>
      </c>
      <c r="AC8" s="4" t="s">
        <v>46</v>
      </c>
      <c r="AD8" s="5">
        <v>0</v>
      </c>
      <c r="AE8" s="4" t="s">
        <v>60</v>
      </c>
      <c r="AF8" s="3">
        <v>45748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5">
      <c r="A9" s="2">
        <v>1891456</v>
      </c>
      <c r="B9" s="3">
        <v>45756</v>
      </c>
      <c r="C9" s="4" t="s">
        <v>76</v>
      </c>
      <c r="D9" s="2">
        <v>1466196</v>
      </c>
      <c r="E9" s="4" t="s">
        <v>80</v>
      </c>
      <c r="F9" s="4" t="s">
        <v>81</v>
      </c>
      <c r="G9" s="2">
        <v>580588373</v>
      </c>
      <c r="H9" s="4" t="s">
        <v>82</v>
      </c>
      <c r="I9" s="4" t="s">
        <v>46</v>
      </c>
      <c r="J9" s="4" t="s">
        <v>47</v>
      </c>
      <c r="K9" s="4" t="s">
        <v>48</v>
      </c>
      <c r="L9" s="3">
        <v>45748</v>
      </c>
      <c r="M9" s="4" t="s">
        <v>64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391.25</v>
      </c>
      <c r="Z9" s="4" t="s">
        <v>46</v>
      </c>
      <c r="AA9" s="5" t="s">
        <v>46</v>
      </c>
      <c r="AB9" s="4" t="s">
        <v>59</v>
      </c>
      <c r="AC9" s="4" t="s">
        <v>46</v>
      </c>
      <c r="AD9" s="5">
        <v>0</v>
      </c>
      <c r="AE9" s="4" t="s">
        <v>60</v>
      </c>
      <c r="AF9" s="3">
        <v>45748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s="10" customFormat="1" x14ac:dyDescent="0.25">
      <c r="A10" s="6">
        <v>1891456</v>
      </c>
      <c r="B10" s="7">
        <v>45756</v>
      </c>
      <c r="C10" s="8" t="s">
        <v>76</v>
      </c>
      <c r="D10" s="6">
        <v>1466196</v>
      </c>
      <c r="E10" s="8" t="s">
        <v>83</v>
      </c>
      <c r="F10" s="8" t="s">
        <v>84</v>
      </c>
      <c r="G10" s="6">
        <v>402168334</v>
      </c>
      <c r="H10" s="8" t="s">
        <v>85</v>
      </c>
      <c r="I10" s="8" t="s">
        <v>46</v>
      </c>
      <c r="J10" s="8" t="s">
        <v>47</v>
      </c>
      <c r="K10" s="8" t="s">
        <v>48</v>
      </c>
      <c r="L10" s="7">
        <v>45809</v>
      </c>
      <c r="M10" s="8" t="s">
        <v>86</v>
      </c>
      <c r="N10" s="8" t="s">
        <v>46</v>
      </c>
      <c r="O10" s="8" t="s">
        <v>50</v>
      </c>
      <c r="P10" s="8" t="s">
        <v>46</v>
      </c>
      <c r="Q10" s="6">
        <v>1</v>
      </c>
      <c r="R10" s="6">
        <v>17</v>
      </c>
      <c r="S10" s="8" t="s">
        <v>51</v>
      </c>
      <c r="T10" s="8" t="s">
        <v>87</v>
      </c>
      <c r="U10" s="8" t="s">
        <v>46</v>
      </c>
      <c r="V10" s="9">
        <v>0</v>
      </c>
      <c r="W10" s="9">
        <v>0</v>
      </c>
      <c r="X10" s="9">
        <v>100</v>
      </c>
      <c r="Y10" s="9">
        <v>76.92</v>
      </c>
      <c r="Z10" s="8" t="s">
        <v>46</v>
      </c>
      <c r="AA10" s="9" t="s">
        <v>46</v>
      </c>
      <c r="AB10" s="8" t="s">
        <v>59</v>
      </c>
      <c r="AC10" s="8" t="s">
        <v>46</v>
      </c>
      <c r="AD10" s="9">
        <v>0</v>
      </c>
      <c r="AE10" s="8" t="s">
        <v>60</v>
      </c>
      <c r="AF10" s="7">
        <v>45809</v>
      </c>
      <c r="AG10" s="8" t="s">
        <v>46</v>
      </c>
      <c r="AH10" s="8" t="s">
        <v>46</v>
      </c>
      <c r="AI10" s="8" t="s">
        <v>46</v>
      </c>
      <c r="AJ10" s="8" t="s">
        <v>46</v>
      </c>
      <c r="AK10" s="8" t="s">
        <v>46</v>
      </c>
      <c r="AL10" s="8" t="s">
        <v>46</v>
      </c>
      <c r="AM10" s="8" t="s">
        <v>46</v>
      </c>
      <c r="AN10" s="8" t="s">
        <v>88</v>
      </c>
      <c r="AO10" s="8" t="s">
        <v>46</v>
      </c>
      <c r="AP10" s="8" t="s">
        <v>46</v>
      </c>
    </row>
    <row r="11" spans="1:42" x14ac:dyDescent="0.25">
      <c r="A11" s="2">
        <v>1891456</v>
      </c>
      <c r="B11" s="3">
        <v>45756</v>
      </c>
      <c r="C11" s="4" t="s">
        <v>76</v>
      </c>
      <c r="D11" s="2">
        <v>1466196</v>
      </c>
      <c r="E11" s="4" t="s">
        <v>89</v>
      </c>
      <c r="F11" s="4" t="s">
        <v>90</v>
      </c>
      <c r="G11" s="2">
        <v>658623355</v>
      </c>
      <c r="H11" s="4" t="s">
        <v>91</v>
      </c>
      <c r="I11" s="4" t="s">
        <v>46</v>
      </c>
      <c r="J11" s="4" t="s">
        <v>47</v>
      </c>
      <c r="K11" s="4" t="s">
        <v>48</v>
      </c>
      <c r="L11" s="3">
        <v>45748</v>
      </c>
      <c r="M11" s="4" t="s">
        <v>64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</v>
      </c>
      <c r="W11" s="5">
        <v>0</v>
      </c>
      <c r="X11" s="5">
        <v>100</v>
      </c>
      <c r="Y11" s="5">
        <v>391.25</v>
      </c>
      <c r="Z11" s="4" t="s">
        <v>46</v>
      </c>
      <c r="AA11" s="5" t="s">
        <v>46</v>
      </c>
      <c r="AB11" s="4" t="s">
        <v>59</v>
      </c>
      <c r="AC11" s="4" t="s">
        <v>46</v>
      </c>
      <c r="AD11" s="5">
        <v>0</v>
      </c>
      <c r="AE11" s="4" t="s">
        <v>60</v>
      </c>
      <c r="AF11" s="3">
        <v>45748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5">
      <c r="A12" s="2">
        <v>1891456</v>
      </c>
      <c r="B12" s="3">
        <v>45756</v>
      </c>
      <c r="C12" s="4" t="s">
        <v>76</v>
      </c>
      <c r="D12" s="2">
        <v>1466196</v>
      </c>
      <c r="E12" s="4" t="s">
        <v>92</v>
      </c>
      <c r="F12" s="4" t="s">
        <v>93</v>
      </c>
      <c r="G12" s="2">
        <v>988554392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64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</v>
      </c>
      <c r="W12" s="5">
        <v>0</v>
      </c>
      <c r="X12" s="5">
        <v>100</v>
      </c>
      <c r="Y12" s="5">
        <v>391.25</v>
      </c>
      <c r="Z12" s="4" t="s">
        <v>46</v>
      </c>
      <c r="AA12" s="5" t="s">
        <v>46</v>
      </c>
      <c r="AB12" s="4" t="s">
        <v>59</v>
      </c>
      <c r="AC12" s="4" t="s">
        <v>46</v>
      </c>
      <c r="AD12" s="5">
        <v>0</v>
      </c>
      <c r="AE12" s="4" t="s">
        <v>60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5">
      <c r="A13" s="2">
        <v>1891456</v>
      </c>
      <c r="B13" s="3">
        <v>45756</v>
      </c>
      <c r="C13" s="4" t="s">
        <v>95</v>
      </c>
      <c r="D13" s="2">
        <v>1509744</v>
      </c>
      <c r="E13" s="4" t="s">
        <v>96</v>
      </c>
      <c r="F13" s="4" t="s">
        <v>97</v>
      </c>
      <c r="G13" s="2">
        <v>642044294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45748</v>
      </c>
      <c r="M13" s="4" t="s">
        <v>64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0.75</v>
      </c>
      <c r="W13" s="5">
        <v>0</v>
      </c>
      <c r="X13" s="5">
        <v>100</v>
      </c>
      <c r="Y13" s="5">
        <v>234.75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45748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5">
      <c r="A14" s="2">
        <v>1891456</v>
      </c>
      <c r="B14" s="3">
        <v>45756</v>
      </c>
      <c r="C14" s="4" t="s">
        <v>99</v>
      </c>
      <c r="D14" s="2">
        <v>1509770</v>
      </c>
      <c r="E14" s="4" t="s">
        <v>100</v>
      </c>
      <c r="F14" s="4" t="s">
        <v>101</v>
      </c>
      <c r="G14" s="2">
        <v>220015563</v>
      </c>
      <c r="H14" s="4" t="s">
        <v>102</v>
      </c>
      <c r="I14" s="4" t="s">
        <v>46</v>
      </c>
      <c r="J14" s="4" t="s">
        <v>47</v>
      </c>
      <c r="K14" s="4" t="s">
        <v>48</v>
      </c>
      <c r="L14" s="3">
        <v>45748</v>
      </c>
      <c r="M14" s="4" t="s">
        <v>64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</v>
      </c>
      <c r="W14" s="5">
        <v>0</v>
      </c>
      <c r="X14" s="5">
        <v>100</v>
      </c>
      <c r="Y14" s="5">
        <v>391.25</v>
      </c>
      <c r="Z14" s="4" t="s">
        <v>46</v>
      </c>
      <c r="AA14" s="5" t="s">
        <v>46</v>
      </c>
      <c r="AB14" s="4" t="s">
        <v>59</v>
      </c>
      <c r="AC14" s="4" t="s">
        <v>46</v>
      </c>
      <c r="AD14" s="5">
        <v>0</v>
      </c>
      <c r="AE14" s="4" t="s">
        <v>60</v>
      </c>
      <c r="AF14" s="3">
        <v>45748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5">
      <c r="A15" s="2">
        <v>1891456</v>
      </c>
      <c r="B15" s="3">
        <v>45756</v>
      </c>
      <c r="C15" s="4" t="s">
        <v>99</v>
      </c>
      <c r="D15" s="2">
        <v>1509770</v>
      </c>
      <c r="E15" s="4" t="s">
        <v>103</v>
      </c>
      <c r="F15" s="4" t="s">
        <v>104</v>
      </c>
      <c r="G15" s="2">
        <v>267261363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64</v>
      </c>
      <c r="N15" s="4" t="s">
        <v>46</v>
      </c>
      <c r="O15" s="4" t="s">
        <v>106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1</v>
      </c>
      <c r="W15" s="5">
        <v>0</v>
      </c>
      <c r="X15" s="5">
        <v>100</v>
      </c>
      <c r="Y15" s="5">
        <v>26.08</v>
      </c>
      <c r="Z15" s="4" t="s">
        <v>46</v>
      </c>
      <c r="AA15" s="5" t="s">
        <v>46</v>
      </c>
      <c r="AB15" s="4" t="s">
        <v>107</v>
      </c>
      <c r="AC15" s="4" t="s">
        <v>46</v>
      </c>
      <c r="AD15" s="5">
        <v>0</v>
      </c>
      <c r="AE15" s="4" t="s">
        <v>108</v>
      </c>
      <c r="AF15" s="3">
        <v>45597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5">
      <c r="A16" s="2">
        <v>1891456</v>
      </c>
      <c r="B16" s="3">
        <v>45756</v>
      </c>
      <c r="C16" s="4" t="s">
        <v>99</v>
      </c>
      <c r="D16" s="2">
        <v>1509770</v>
      </c>
      <c r="E16" s="4" t="s">
        <v>109</v>
      </c>
      <c r="F16" s="4" t="s">
        <v>110</v>
      </c>
      <c r="G16" s="2">
        <v>258038445</v>
      </c>
      <c r="H16" s="4" t="s">
        <v>111</v>
      </c>
      <c r="I16" s="4" t="s">
        <v>46</v>
      </c>
      <c r="J16" s="4" t="s">
        <v>47</v>
      </c>
      <c r="K16" s="4" t="s">
        <v>48</v>
      </c>
      <c r="L16" s="3">
        <v>45748</v>
      </c>
      <c r="M16" s="4" t="s">
        <v>64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74</v>
      </c>
      <c r="U16" s="4" t="s">
        <v>46</v>
      </c>
      <c r="V16" s="5">
        <v>0</v>
      </c>
      <c r="W16" s="5">
        <v>0</v>
      </c>
      <c r="X16" s="5">
        <v>100</v>
      </c>
      <c r="Y16" s="5">
        <v>391.25</v>
      </c>
      <c r="Z16" s="4" t="s">
        <v>46</v>
      </c>
      <c r="AA16" s="5" t="s">
        <v>46</v>
      </c>
      <c r="AB16" s="4" t="s">
        <v>59</v>
      </c>
      <c r="AC16" s="4" t="s">
        <v>46</v>
      </c>
      <c r="AD16" s="5">
        <v>0</v>
      </c>
      <c r="AE16" s="4" t="s">
        <v>60</v>
      </c>
      <c r="AF16" s="3">
        <v>45748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75</v>
      </c>
      <c r="AO16" s="4" t="s">
        <v>46</v>
      </c>
      <c r="AP16" s="4" t="s">
        <v>46</v>
      </c>
    </row>
    <row r="17" spans="1:42" x14ac:dyDescent="0.25">
      <c r="A17" s="2">
        <v>1891456</v>
      </c>
      <c r="B17" s="3">
        <v>45756</v>
      </c>
      <c r="C17" s="4" t="s">
        <v>99</v>
      </c>
      <c r="D17" s="2">
        <v>1509770</v>
      </c>
      <c r="E17" s="4" t="s">
        <v>112</v>
      </c>
      <c r="F17" s="4" t="s">
        <v>113</v>
      </c>
      <c r="G17" s="2">
        <v>459745393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45748</v>
      </c>
      <c r="M17" s="4" t="s">
        <v>64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391.25</v>
      </c>
      <c r="Z17" s="4" t="s">
        <v>46</v>
      </c>
      <c r="AA17" s="5" t="s">
        <v>46</v>
      </c>
      <c r="AB17" s="4" t="s">
        <v>59</v>
      </c>
      <c r="AC17" s="4" t="s">
        <v>46</v>
      </c>
      <c r="AD17" s="5">
        <v>0</v>
      </c>
      <c r="AE17" s="4" t="s">
        <v>60</v>
      </c>
      <c r="AF17" s="3">
        <v>45748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5">
      <c r="A18" s="2">
        <v>1891456</v>
      </c>
      <c r="B18" s="3">
        <v>45756</v>
      </c>
      <c r="C18" s="4" t="s">
        <v>115</v>
      </c>
      <c r="D18" s="2">
        <v>1509866</v>
      </c>
      <c r="E18" s="4" t="s">
        <v>116</v>
      </c>
      <c r="F18" s="4" t="s">
        <v>117</v>
      </c>
      <c r="G18" s="2">
        <v>508358305</v>
      </c>
      <c r="H18" s="4" t="s">
        <v>118</v>
      </c>
      <c r="I18" s="4" t="s">
        <v>46</v>
      </c>
      <c r="J18" s="4" t="s">
        <v>47</v>
      </c>
      <c r="K18" s="4" t="s">
        <v>48</v>
      </c>
      <c r="L18" s="3">
        <v>45717</v>
      </c>
      <c r="M18" s="4" t="s">
        <v>119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74</v>
      </c>
      <c r="U18" s="4" t="s">
        <v>46</v>
      </c>
      <c r="V18" s="5">
        <v>0</v>
      </c>
      <c r="W18" s="5">
        <v>0</v>
      </c>
      <c r="X18" s="5">
        <v>100</v>
      </c>
      <c r="Y18" s="5">
        <v>365.17</v>
      </c>
      <c r="Z18" s="4" t="s">
        <v>46</v>
      </c>
      <c r="AA18" s="5" t="s">
        <v>46</v>
      </c>
      <c r="AB18" s="4" t="s">
        <v>59</v>
      </c>
      <c r="AC18" s="4" t="s">
        <v>46</v>
      </c>
      <c r="AD18" s="5">
        <v>0</v>
      </c>
      <c r="AE18" s="4" t="s">
        <v>60</v>
      </c>
      <c r="AF18" s="3">
        <v>45717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75</v>
      </c>
      <c r="AO18" s="4" t="s">
        <v>46</v>
      </c>
      <c r="AP18" s="4" t="s">
        <v>46</v>
      </c>
    </row>
    <row r="19" spans="1:42" s="10" customFormat="1" x14ac:dyDescent="0.25">
      <c r="A19" s="6">
        <v>1891456</v>
      </c>
      <c r="B19" s="7">
        <v>45756</v>
      </c>
      <c r="C19" s="8" t="s">
        <v>115</v>
      </c>
      <c r="D19" s="6">
        <v>1509866</v>
      </c>
      <c r="E19" s="8" t="s">
        <v>120</v>
      </c>
      <c r="F19" s="8" t="s">
        <v>121</v>
      </c>
      <c r="G19" s="6">
        <v>985352403</v>
      </c>
      <c r="H19" s="8" t="s">
        <v>122</v>
      </c>
      <c r="I19" s="8" t="s">
        <v>46</v>
      </c>
      <c r="J19" s="8" t="s">
        <v>47</v>
      </c>
      <c r="K19" s="8" t="s">
        <v>48</v>
      </c>
      <c r="L19" s="7">
        <v>45748</v>
      </c>
      <c r="M19" s="8" t="s">
        <v>64</v>
      </c>
      <c r="N19" s="8" t="s">
        <v>46</v>
      </c>
      <c r="O19" s="8" t="s">
        <v>50</v>
      </c>
      <c r="P19" s="8" t="s">
        <v>46</v>
      </c>
      <c r="Q19" s="6">
        <v>1</v>
      </c>
      <c r="R19" s="6">
        <v>17</v>
      </c>
      <c r="S19" s="8" t="s">
        <v>51</v>
      </c>
      <c r="T19" s="8" t="s">
        <v>87</v>
      </c>
      <c r="U19" s="8" t="s">
        <v>46</v>
      </c>
      <c r="V19" s="9">
        <v>0</v>
      </c>
      <c r="W19" s="9">
        <v>0</v>
      </c>
      <c r="X19" s="9">
        <v>100</v>
      </c>
      <c r="Y19" s="9">
        <v>67.75</v>
      </c>
      <c r="Z19" s="8" t="s">
        <v>46</v>
      </c>
      <c r="AA19" s="9" t="s">
        <v>46</v>
      </c>
      <c r="AB19" s="8" t="s">
        <v>59</v>
      </c>
      <c r="AC19" s="8" t="s">
        <v>46</v>
      </c>
      <c r="AD19" s="9">
        <v>0</v>
      </c>
      <c r="AE19" s="8" t="s">
        <v>60</v>
      </c>
      <c r="AF19" s="7">
        <v>45748</v>
      </c>
      <c r="AG19" s="8" t="s">
        <v>46</v>
      </c>
      <c r="AH19" s="8" t="s">
        <v>46</v>
      </c>
      <c r="AI19" s="8" t="s">
        <v>46</v>
      </c>
      <c r="AJ19" s="8" t="s">
        <v>46</v>
      </c>
      <c r="AK19" s="8" t="s">
        <v>46</v>
      </c>
      <c r="AL19" s="8" t="s">
        <v>46</v>
      </c>
      <c r="AM19" s="8" t="s">
        <v>46</v>
      </c>
      <c r="AN19" s="8" t="s">
        <v>88</v>
      </c>
      <c r="AO19" s="8" t="s">
        <v>46</v>
      </c>
      <c r="AP19" s="8" t="s">
        <v>46</v>
      </c>
    </row>
    <row r="20" spans="1:42" x14ac:dyDescent="0.25">
      <c r="A20" s="2">
        <v>1891456</v>
      </c>
      <c r="B20" s="3">
        <v>45756</v>
      </c>
      <c r="C20" s="4" t="s">
        <v>123</v>
      </c>
      <c r="D20" s="2">
        <v>1510085</v>
      </c>
      <c r="E20" s="4" t="s">
        <v>124</v>
      </c>
      <c r="F20" s="4" t="s">
        <v>125</v>
      </c>
      <c r="G20" s="2">
        <v>551631140</v>
      </c>
      <c r="H20" s="4" t="s">
        <v>126</v>
      </c>
      <c r="I20" s="4" t="s">
        <v>46</v>
      </c>
      <c r="J20" s="4" t="s">
        <v>47</v>
      </c>
      <c r="K20" s="4" t="s">
        <v>48</v>
      </c>
      <c r="L20" s="3">
        <v>45748</v>
      </c>
      <c r="M20" s="4" t="s">
        <v>64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391.25</v>
      </c>
      <c r="Z20" s="4" t="s">
        <v>46</v>
      </c>
      <c r="AA20" s="5" t="s">
        <v>46</v>
      </c>
      <c r="AB20" s="4" t="s">
        <v>59</v>
      </c>
      <c r="AC20" s="4" t="s">
        <v>46</v>
      </c>
      <c r="AD20" s="5">
        <v>0</v>
      </c>
      <c r="AE20" s="4" t="s">
        <v>60</v>
      </c>
      <c r="AF20" s="3">
        <v>45748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5">
      <c r="A21" s="2">
        <v>1891456</v>
      </c>
      <c r="B21" s="3">
        <v>45756</v>
      </c>
      <c r="C21" s="4" t="s">
        <v>127</v>
      </c>
      <c r="D21" s="2">
        <v>1510420</v>
      </c>
      <c r="E21" s="4" t="s">
        <v>128</v>
      </c>
      <c r="F21" s="4" t="s">
        <v>129</v>
      </c>
      <c r="G21" s="2">
        <v>776383554</v>
      </c>
      <c r="H21" s="4" t="s">
        <v>130</v>
      </c>
      <c r="I21" s="4" t="s">
        <v>46</v>
      </c>
      <c r="J21" s="4" t="s">
        <v>47</v>
      </c>
      <c r="K21" s="4" t="s">
        <v>48</v>
      </c>
      <c r="L21" s="3">
        <v>45717</v>
      </c>
      <c r="M21" s="4" t="s">
        <v>119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365.17</v>
      </c>
      <c r="Z21" s="4" t="s">
        <v>46</v>
      </c>
      <c r="AA21" s="5" t="s">
        <v>46</v>
      </c>
      <c r="AB21" s="4" t="s">
        <v>59</v>
      </c>
      <c r="AC21" s="4" t="s">
        <v>46</v>
      </c>
      <c r="AD21" s="5">
        <v>0</v>
      </c>
      <c r="AE21" s="4" t="s">
        <v>60</v>
      </c>
      <c r="AF21" s="3">
        <v>45717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5">
      <c r="A22" s="2">
        <v>1891456</v>
      </c>
      <c r="B22" s="3">
        <v>45756</v>
      </c>
      <c r="C22" s="4" t="s">
        <v>127</v>
      </c>
      <c r="D22" s="2">
        <v>1510420</v>
      </c>
      <c r="E22" s="4" t="s">
        <v>131</v>
      </c>
      <c r="F22" s="4" t="s">
        <v>132</v>
      </c>
      <c r="G22" s="2">
        <v>922969335</v>
      </c>
      <c r="H22" s="4" t="s">
        <v>133</v>
      </c>
      <c r="I22" s="4" t="s">
        <v>46</v>
      </c>
      <c r="J22" s="4" t="s">
        <v>47</v>
      </c>
      <c r="K22" s="4" t="s">
        <v>48</v>
      </c>
      <c r="L22" s="3">
        <v>45809</v>
      </c>
      <c r="M22" s="4" t="s">
        <v>86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</v>
      </c>
      <c r="W22" s="5">
        <v>0</v>
      </c>
      <c r="X22" s="5">
        <v>100</v>
      </c>
      <c r="Y22" s="5">
        <v>443.42</v>
      </c>
      <c r="Z22" s="4" t="s">
        <v>46</v>
      </c>
      <c r="AA22" s="5" t="s">
        <v>46</v>
      </c>
      <c r="AB22" s="4" t="s">
        <v>59</v>
      </c>
      <c r="AC22" s="4" t="s">
        <v>46</v>
      </c>
      <c r="AD22" s="5">
        <v>0</v>
      </c>
      <c r="AE22" s="4" t="s">
        <v>60</v>
      </c>
      <c r="AF22" s="3">
        <v>45809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5">
      <c r="A23" s="2">
        <v>1891456</v>
      </c>
      <c r="B23" s="3">
        <v>45756</v>
      </c>
      <c r="C23" s="4" t="s">
        <v>127</v>
      </c>
      <c r="D23" s="2">
        <v>1510420</v>
      </c>
      <c r="E23" s="4" t="s">
        <v>134</v>
      </c>
      <c r="F23" s="4" t="s">
        <v>135</v>
      </c>
      <c r="G23" s="2">
        <v>950986335</v>
      </c>
      <c r="H23" s="4" t="s">
        <v>136</v>
      </c>
      <c r="I23" s="4" t="s">
        <v>46</v>
      </c>
      <c r="J23" s="4" t="s">
        <v>47</v>
      </c>
      <c r="K23" s="4" t="s">
        <v>48</v>
      </c>
      <c r="L23" s="3">
        <v>45748</v>
      </c>
      <c r="M23" s="4" t="s">
        <v>64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391.25</v>
      </c>
      <c r="Z23" s="4" t="s">
        <v>46</v>
      </c>
      <c r="AA23" s="5" t="s">
        <v>46</v>
      </c>
      <c r="AB23" s="4" t="s">
        <v>59</v>
      </c>
      <c r="AC23" s="4" t="s">
        <v>46</v>
      </c>
      <c r="AD23" s="5">
        <v>0</v>
      </c>
      <c r="AE23" s="4" t="s">
        <v>60</v>
      </c>
      <c r="AF23" s="3">
        <v>45748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5">
      <c r="A24" s="2">
        <v>1891456</v>
      </c>
      <c r="B24" s="3">
        <v>45756</v>
      </c>
      <c r="C24" s="4" t="s">
        <v>127</v>
      </c>
      <c r="D24" s="2">
        <v>1510420</v>
      </c>
      <c r="E24" s="4" t="s">
        <v>137</v>
      </c>
      <c r="F24" s="4" t="s">
        <v>138</v>
      </c>
      <c r="G24" s="2">
        <v>994344175</v>
      </c>
      <c r="H24" s="4" t="s">
        <v>139</v>
      </c>
      <c r="I24" s="4" t="s">
        <v>46</v>
      </c>
      <c r="J24" s="4" t="s">
        <v>47</v>
      </c>
      <c r="K24" s="4" t="s">
        <v>48</v>
      </c>
      <c r="L24" s="3">
        <v>45717</v>
      </c>
      <c r="M24" s="4" t="s">
        <v>119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365.17</v>
      </c>
      <c r="Z24" s="4" t="s">
        <v>46</v>
      </c>
      <c r="AA24" s="5" t="s">
        <v>46</v>
      </c>
      <c r="AB24" s="4" t="s">
        <v>59</v>
      </c>
      <c r="AC24" s="4" t="s">
        <v>46</v>
      </c>
      <c r="AD24" s="5">
        <v>0</v>
      </c>
      <c r="AE24" s="4" t="s">
        <v>60</v>
      </c>
      <c r="AF24" s="3">
        <v>45717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5">
      <c r="A25" s="2">
        <v>1891456</v>
      </c>
      <c r="B25" s="3">
        <v>45756</v>
      </c>
      <c r="C25" s="4" t="s">
        <v>127</v>
      </c>
      <c r="D25" s="2">
        <v>1510420</v>
      </c>
      <c r="E25" s="4" t="s">
        <v>140</v>
      </c>
      <c r="F25" s="4" t="s">
        <v>141</v>
      </c>
      <c r="G25" s="2">
        <v>344806130</v>
      </c>
      <c r="H25" s="4" t="s">
        <v>142</v>
      </c>
      <c r="I25" s="4" t="s">
        <v>46</v>
      </c>
      <c r="J25" s="4" t="s">
        <v>47</v>
      </c>
      <c r="K25" s="4" t="s">
        <v>48</v>
      </c>
      <c r="L25" s="3">
        <v>45748</v>
      </c>
      <c r="M25" s="4" t="s">
        <v>64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</v>
      </c>
      <c r="W25" s="5">
        <v>0</v>
      </c>
      <c r="X25" s="5">
        <v>100</v>
      </c>
      <c r="Y25" s="5">
        <v>391.25</v>
      </c>
      <c r="Z25" s="4" t="s">
        <v>46</v>
      </c>
      <c r="AA25" s="5" t="s">
        <v>46</v>
      </c>
      <c r="AB25" s="4" t="s">
        <v>59</v>
      </c>
      <c r="AC25" s="4" t="s">
        <v>46</v>
      </c>
      <c r="AD25" s="5">
        <v>0</v>
      </c>
      <c r="AE25" s="4" t="s">
        <v>60</v>
      </c>
      <c r="AF25" s="3">
        <v>45748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5">
      <c r="A26" s="2">
        <v>1891456</v>
      </c>
      <c r="B26" s="3">
        <v>45756</v>
      </c>
      <c r="C26" s="4" t="s">
        <v>127</v>
      </c>
      <c r="D26" s="2">
        <v>1510420</v>
      </c>
      <c r="E26" s="4" t="s">
        <v>143</v>
      </c>
      <c r="F26" s="4" t="s">
        <v>144</v>
      </c>
      <c r="G26" s="2">
        <v>887588423</v>
      </c>
      <c r="H26" s="4" t="s">
        <v>145</v>
      </c>
      <c r="I26" s="4" t="s">
        <v>46</v>
      </c>
      <c r="J26" s="4" t="s">
        <v>47</v>
      </c>
      <c r="K26" s="4" t="s">
        <v>48</v>
      </c>
      <c r="L26" s="3">
        <v>45748</v>
      </c>
      <c r="M26" s="4" t="s">
        <v>64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391.25</v>
      </c>
      <c r="Z26" s="4" t="s">
        <v>46</v>
      </c>
      <c r="AA26" s="5" t="s">
        <v>46</v>
      </c>
      <c r="AB26" s="4" t="s">
        <v>59</v>
      </c>
      <c r="AC26" s="4" t="s">
        <v>46</v>
      </c>
      <c r="AD26" s="5">
        <v>0</v>
      </c>
      <c r="AE26" s="4" t="s">
        <v>60</v>
      </c>
      <c r="AF26" s="3">
        <v>45748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5">
      <c r="A27" s="2">
        <v>1891456</v>
      </c>
      <c r="B27" s="3">
        <v>45756</v>
      </c>
      <c r="C27" s="4" t="s">
        <v>127</v>
      </c>
      <c r="D27" s="2">
        <v>1510420</v>
      </c>
      <c r="E27" s="4" t="s">
        <v>146</v>
      </c>
      <c r="F27" s="4" t="s">
        <v>147</v>
      </c>
      <c r="G27" s="2">
        <v>373633122</v>
      </c>
      <c r="H27" s="4" t="s">
        <v>148</v>
      </c>
      <c r="I27" s="4" t="s">
        <v>46</v>
      </c>
      <c r="J27" s="4" t="s">
        <v>47</v>
      </c>
      <c r="K27" s="4" t="s">
        <v>48</v>
      </c>
      <c r="L27" s="3">
        <v>45748</v>
      </c>
      <c r="M27" s="4" t="s">
        <v>64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74</v>
      </c>
      <c r="U27" s="4" t="s">
        <v>46</v>
      </c>
      <c r="V27" s="5">
        <v>0.75</v>
      </c>
      <c r="W27" s="5">
        <v>0</v>
      </c>
      <c r="X27" s="5">
        <v>100</v>
      </c>
      <c r="Y27" s="5">
        <v>234.75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45748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75</v>
      </c>
      <c r="AO27" s="4" t="s">
        <v>46</v>
      </c>
      <c r="AP27" s="4" t="s">
        <v>46</v>
      </c>
    </row>
    <row r="28" spans="1:42" x14ac:dyDescent="0.25">
      <c r="A28" s="2">
        <v>1891456</v>
      </c>
      <c r="B28" s="3">
        <v>45756</v>
      </c>
      <c r="C28" s="4" t="s">
        <v>127</v>
      </c>
      <c r="D28" s="2">
        <v>1510420</v>
      </c>
      <c r="E28" s="4" t="s">
        <v>149</v>
      </c>
      <c r="F28" s="4" t="s">
        <v>150</v>
      </c>
      <c r="G28" s="2">
        <v>812776472</v>
      </c>
      <c r="H28" s="4" t="s">
        <v>151</v>
      </c>
      <c r="I28" s="4" t="s">
        <v>46</v>
      </c>
      <c r="J28" s="4" t="s">
        <v>47</v>
      </c>
      <c r="K28" s="4" t="s">
        <v>48</v>
      </c>
      <c r="L28" s="3">
        <v>45748</v>
      </c>
      <c r="M28" s="4" t="s">
        <v>64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0.75</v>
      </c>
      <c r="W28" s="5">
        <v>0</v>
      </c>
      <c r="X28" s="5">
        <v>100</v>
      </c>
      <c r="Y28" s="5">
        <v>234.75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45748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5">
      <c r="A29" s="2">
        <v>1891456</v>
      </c>
      <c r="B29" s="3">
        <v>45756</v>
      </c>
      <c r="C29" s="4" t="s">
        <v>127</v>
      </c>
      <c r="D29" s="2">
        <v>1510420</v>
      </c>
      <c r="E29" s="4" t="s">
        <v>152</v>
      </c>
      <c r="F29" s="4" t="s">
        <v>153</v>
      </c>
      <c r="G29" s="2">
        <v>619439374</v>
      </c>
      <c r="H29" s="4" t="s">
        <v>154</v>
      </c>
      <c r="I29" s="4" t="s">
        <v>46</v>
      </c>
      <c r="J29" s="4" t="s">
        <v>47</v>
      </c>
      <c r="K29" s="4" t="s">
        <v>48</v>
      </c>
      <c r="L29" s="3">
        <v>45748</v>
      </c>
      <c r="M29" s="4" t="s">
        <v>64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0.75</v>
      </c>
      <c r="W29" s="5">
        <v>0</v>
      </c>
      <c r="X29" s="5">
        <v>100</v>
      </c>
      <c r="Y29" s="5">
        <v>234.75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45748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5">
      <c r="A30" s="2">
        <v>1891456</v>
      </c>
      <c r="B30" s="3">
        <v>45756</v>
      </c>
      <c r="C30" s="4" t="s">
        <v>127</v>
      </c>
      <c r="D30" s="2">
        <v>1510420</v>
      </c>
      <c r="E30" s="4" t="s">
        <v>155</v>
      </c>
      <c r="F30" s="4" t="s">
        <v>156</v>
      </c>
      <c r="G30" s="2">
        <v>167954434</v>
      </c>
      <c r="H30" s="4" t="s">
        <v>157</v>
      </c>
      <c r="I30" s="4" t="s">
        <v>46</v>
      </c>
      <c r="J30" s="4" t="s">
        <v>47</v>
      </c>
      <c r="K30" s="4" t="s">
        <v>48</v>
      </c>
      <c r="L30" s="3">
        <v>45778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74</v>
      </c>
      <c r="U30" s="4" t="s">
        <v>46</v>
      </c>
      <c r="V30" s="5">
        <v>0.67</v>
      </c>
      <c r="W30" s="5">
        <v>0</v>
      </c>
      <c r="X30" s="5">
        <v>100</v>
      </c>
      <c r="Y30" s="5">
        <v>208.67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45778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75</v>
      </c>
      <c r="AO30" s="4" t="s">
        <v>46</v>
      </c>
      <c r="AP30" s="4" t="s">
        <v>46</v>
      </c>
    </row>
    <row r="31" spans="1:42" x14ac:dyDescent="0.25">
      <c r="A31" s="2">
        <v>1891456</v>
      </c>
      <c r="B31" s="3">
        <v>45756</v>
      </c>
      <c r="C31" s="4" t="s">
        <v>127</v>
      </c>
      <c r="D31" s="2">
        <v>1510420</v>
      </c>
      <c r="E31" s="4" t="s">
        <v>158</v>
      </c>
      <c r="F31" s="4" t="s">
        <v>159</v>
      </c>
      <c r="G31" s="2">
        <v>365780184</v>
      </c>
      <c r="H31" s="4" t="s">
        <v>160</v>
      </c>
      <c r="I31" s="4" t="s">
        <v>46</v>
      </c>
      <c r="J31" s="4" t="s">
        <v>47</v>
      </c>
      <c r="K31" s="4" t="s">
        <v>48</v>
      </c>
      <c r="L31" s="3">
        <v>45839</v>
      </c>
      <c r="M31" s="4" t="s">
        <v>161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0.5</v>
      </c>
      <c r="W31" s="5">
        <v>0</v>
      </c>
      <c r="X31" s="5">
        <v>100</v>
      </c>
      <c r="Y31" s="5">
        <v>156.5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45839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s="10" customFormat="1" x14ac:dyDescent="0.25">
      <c r="A32" s="6">
        <v>1891456</v>
      </c>
      <c r="B32" s="7">
        <v>45756</v>
      </c>
      <c r="C32" s="8" t="s">
        <v>162</v>
      </c>
      <c r="D32" s="6">
        <v>1524629</v>
      </c>
      <c r="E32" s="8" t="s">
        <v>163</v>
      </c>
      <c r="F32" s="8" t="s">
        <v>164</v>
      </c>
      <c r="G32" s="6">
        <v>524114594</v>
      </c>
      <c r="H32" s="8" t="s">
        <v>165</v>
      </c>
      <c r="I32" s="8" t="s">
        <v>46</v>
      </c>
      <c r="J32" s="8" t="s">
        <v>47</v>
      </c>
      <c r="K32" s="8" t="s">
        <v>48</v>
      </c>
      <c r="L32" s="7">
        <v>45658</v>
      </c>
      <c r="M32" s="8" t="s">
        <v>166</v>
      </c>
      <c r="N32" s="8" t="s">
        <v>46</v>
      </c>
      <c r="O32" s="8" t="s">
        <v>106</v>
      </c>
      <c r="P32" s="8" t="s">
        <v>46</v>
      </c>
      <c r="Q32" s="6">
        <v>1</v>
      </c>
      <c r="R32" s="6">
        <v>17</v>
      </c>
      <c r="S32" s="8" t="s">
        <v>51</v>
      </c>
      <c r="T32" s="8" t="s">
        <v>87</v>
      </c>
      <c r="U32" s="8" t="s">
        <v>46</v>
      </c>
      <c r="V32" s="9">
        <v>-0.75</v>
      </c>
      <c r="W32" s="9">
        <v>0</v>
      </c>
      <c r="X32" s="9">
        <v>100</v>
      </c>
      <c r="Y32" s="9">
        <v>-41.25</v>
      </c>
      <c r="Z32" s="8" t="s">
        <v>46</v>
      </c>
      <c r="AA32" s="9" t="s">
        <v>46</v>
      </c>
      <c r="AB32" s="8" t="s">
        <v>107</v>
      </c>
      <c r="AC32" s="8" t="s">
        <v>46</v>
      </c>
      <c r="AD32" s="9">
        <v>0</v>
      </c>
      <c r="AE32" s="8" t="s">
        <v>108</v>
      </c>
      <c r="AF32" s="7">
        <v>45323</v>
      </c>
      <c r="AG32" s="8" t="s">
        <v>46</v>
      </c>
      <c r="AH32" s="8" t="s">
        <v>46</v>
      </c>
      <c r="AI32" s="8" t="s">
        <v>46</v>
      </c>
      <c r="AJ32" s="8" t="s">
        <v>46</v>
      </c>
      <c r="AK32" s="8" t="s">
        <v>46</v>
      </c>
      <c r="AL32" s="8" t="s">
        <v>46</v>
      </c>
      <c r="AM32" s="8" t="s">
        <v>46</v>
      </c>
      <c r="AN32" s="8" t="s">
        <v>88</v>
      </c>
      <c r="AO32" s="8" t="s">
        <v>46</v>
      </c>
      <c r="AP32" s="8" t="s">
        <v>46</v>
      </c>
    </row>
    <row r="33" spans="1:42" x14ac:dyDescent="0.25">
      <c r="A33" s="2">
        <v>1891456</v>
      </c>
      <c r="B33" s="3">
        <v>45756</v>
      </c>
      <c r="C33" s="4" t="s">
        <v>167</v>
      </c>
      <c r="D33" s="2">
        <v>1535078</v>
      </c>
      <c r="E33" s="4" t="s">
        <v>168</v>
      </c>
      <c r="F33" s="4" t="s">
        <v>169</v>
      </c>
      <c r="G33" s="2">
        <v>546589004</v>
      </c>
      <c r="H33" s="4" t="s">
        <v>170</v>
      </c>
      <c r="I33" s="4" t="s">
        <v>46</v>
      </c>
      <c r="J33" s="4" t="s">
        <v>47</v>
      </c>
      <c r="K33" s="4" t="s">
        <v>48</v>
      </c>
      <c r="L33" s="3">
        <v>45748</v>
      </c>
      <c r="M33" s="4" t="s">
        <v>64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0</v>
      </c>
      <c r="W33" s="5">
        <v>0</v>
      </c>
      <c r="X33" s="5">
        <v>100</v>
      </c>
      <c r="Y33" s="5">
        <v>391.25</v>
      </c>
      <c r="Z33" s="4" t="s">
        <v>46</v>
      </c>
      <c r="AA33" s="5" t="s">
        <v>46</v>
      </c>
      <c r="AB33" s="4" t="s">
        <v>59</v>
      </c>
      <c r="AC33" s="4" t="s">
        <v>46</v>
      </c>
      <c r="AD33" s="5">
        <v>0</v>
      </c>
      <c r="AE33" s="4" t="s">
        <v>60</v>
      </c>
      <c r="AF33" s="3">
        <v>45748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55</v>
      </c>
      <c r="AO33" s="4" t="s">
        <v>46</v>
      </c>
      <c r="AP33" s="4" t="s">
        <v>46</v>
      </c>
    </row>
    <row r="34" spans="1:42" x14ac:dyDescent="0.25">
      <c r="A34" s="2">
        <v>1891456</v>
      </c>
      <c r="B34" s="3">
        <v>45756</v>
      </c>
      <c r="C34" s="4" t="s">
        <v>167</v>
      </c>
      <c r="D34" s="2">
        <v>1535078</v>
      </c>
      <c r="E34" s="4" t="s">
        <v>171</v>
      </c>
      <c r="F34" s="4" t="s">
        <v>172</v>
      </c>
      <c r="G34" s="2">
        <v>336997093</v>
      </c>
      <c r="H34" s="4" t="s">
        <v>173</v>
      </c>
      <c r="I34" s="4" t="s">
        <v>46</v>
      </c>
      <c r="J34" s="4" t="s">
        <v>47</v>
      </c>
      <c r="K34" s="4" t="s">
        <v>48</v>
      </c>
      <c r="L34" s="3">
        <v>45748</v>
      </c>
      <c r="M34" s="4" t="s">
        <v>64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74</v>
      </c>
      <c r="U34" s="4" t="s">
        <v>46</v>
      </c>
      <c r="V34" s="5">
        <v>0</v>
      </c>
      <c r="W34" s="5">
        <v>0</v>
      </c>
      <c r="X34" s="5">
        <v>100</v>
      </c>
      <c r="Y34" s="5">
        <v>391.25</v>
      </c>
      <c r="Z34" s="4" t="s">
        <v>46</v>
      </c>
      <c r="AA34" s="5" t="s">
        <v>46</v>
      </c>
      <c r="AB34" s="4" t="s">
        <v>59</v>
      </c>
      <c r="AC34" s="4" t="s">
        <v>46</v>
      </c>
      <c r="AD34" s="5">
        <v>0</v>
      </c>
      <c r="AE34" s="4" t="s">
        <v>60</v>
      </c>
      <c r="AF34" s="3">
        <v>45748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75</v>
      </c>
      <c r="AO34" s="4" t="s">
        <v>46</v>
      </c>
      <c r="AP34" s="4" t="s">
        <v>46</v>
      </c>
    </row>
    <row r="35" spans="1:42" x14ac:dyDescent="0.25">
      <c r="A35" s="2">
        <v>1891456</v>
      </c>
      <c r="B35" s="3">
        <v>45756</v>
      </c>
      <c r="C35" s="4" t="s">
        <v>174</v>
      </c>
      <c r="D35" s="2">
        <v>1545980</v>
      </c>
      <c r="E35" s="4" t="s">
        <v>175</v>
      </c>
      <c r="F35" s="4" t="s">
        <v>176</v>
      </c>
      <c r="G35" s="2">
        <v>695957193</v>
      </c>
      <c r="H35" s="4" t="s">
        <v>177</v>
      </c>
      <c r="I35" s="4" t="s">
        <v>46</v>
      </c>
      <c r="J35" s="4" t="s">
        <v>47</v>
      </c>
      <c r="K35" s="4" t="s">
        <v>48</v>
      </c>
      <c r="L35" s="3">
        <v>45748</v>
      </c>
      <c r="M35" s="4" t="s">
        <v>64</v>
      </c>
      <c r="N35" s="4" t="s">
        <v>46</v>
      </c>
      <c r="O35" s="4" t="s">
        <v>106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1</v>
      </c>
      <c r="W35" s="5">
        <v>0</v>
      </c>
      <c r="X35" s="5">
        <v>100</v>
      </c>
      <c r="Y35" s="5">
        <v>29.41</v>
      </c>
      <c r="Z35" s="4" t="s">
        <v>46</v>
      </c>
      <c r="AA35" s="5" t="s">
        <v>46</v>
      </c>
      <c r="AB35" s="4" t="s">
        <v>107</v>
      </c>
      <c r="AC35" s="4" t="s">
        <v>46</v>
      </c>
      <c r="AD35" s="5">
        <v>0</v>
      </c>
      <c r="AE35" s="4" t="s">
        <v>108</v>
      </c>
      <c r="AF35" s="3">
        <v>45292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178</v>
      </c>
      <c r="AO35" s="4" t="s">
        <v>46</v>
      </c>
      <c r="AP35" s="4" t="s">
        <v>46</v>
      </c>
    </row>
    <row r="36" spans="1:42" x14ac:dyDescent="0.25">
      <c r="A36" s="2">
        <v>1891456</v>
      </c>
      <c r="B36" s="3">
        <v>45756</v>
      </c>
      <c r="C36" s="4" t="s">
        <v>179</v>
      </c>
      <c r="D36" s="2">
        <v>1555496</v>
      </c>
      <c r="E36" s="4" t="s">
        <v>180</v>
      </c>
      <c r="F36" s="4" t="s">
        <v>181</v>
      </c>
      <c r="G36" s="2">
        <v>355037480</v>
      </c>
      <c r="H36" s="4" t="s">
        <v>182</v>
      </c>
      <c r="I36" s="4" t="s">
        <v>46</v>
      </c>
      <c r="J36" s="4" t="s">
        <v>47</v>
      </c>
      <c r="K36" s="4" t="s">
        <v>48</v>
      </c>
      <c r="L36" s="3">
        <v>45778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417.33</v>
      </c>
      <c r="Z36" s="4" t="s">
        <v>46</v>
      </c>
      <c r="AA36" s="5" t="s">
        <v>46</v>
      </c>
      <c r="AB36" s="4" t="s">
        <v>59</v>
      </c>
      <c r="AC36" s="4" t="s">
        <v>46</v>
      </c>
      <c r="AD36" s="5">
        <v>0</v>
      </c>
      <c r="AE36" s="4" t="s">
        <v>60</v>
      </c>
      <c r="AF36" s="3">
        <v>45778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178</v>
      </c>
      <c r="AO36" s="4" t="s">
        <v>46</v>
      </c>
      <c r="AP36" s="4" t="s">
        <v>46</v>
      </c>
    </row>
    <row r="37" spans="1:42" x14ac:dyDescent="0.25">
      <c r="A37" s="2">
        <v>1891456</v>
      </c>
      <c r="B37" s="3">
        <v>45756</v>
      </c>
      <c r="C37" s="4" t="s">
        <v>183</v>
      </c>
      <c r="D37" s="2">
        <v>1573279</v>
      </c>
      <c r="E37" s="4" t="s">
        <v>184</v>
      </c>
      <c r="F37" s="4" t="s">
        <v>185</v>
      </c>
      <c r="G37" s="2">
        <v>853500848</v>
      </c>
      <c r="H37" s="4" t="s">
        <v>186</v>
      </c>
      <c r="I37" s="4" t="s">
        <v>46</v>
      </c>
      <c r="J37" s="4" t="s">
        <v>47</v>
      </c>
      <c r="K37" s="4" t="s">
        <v>48</v>
      </c>
      <c r="L37" s="3">
        <v>45658</v>
      </c>
      <c r="M37" s="4" t="s">
        <v>166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74</v>
      </c>
      <c r="U37" s="4" t="s">
        <v>46</v>
      </c>
      <c r="V37" s="5">
        <v>1</v>
      </c>
      <c r="W37" s="5">
        <v>0</v>
      </c>
      <c r="X37" s="5">
        <v>100</v>
      </c>
      <c r="Y37" s="5">
        <v>313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75</v>
      </c>
      <c r="AO37" s="4" t="s">
        <v>46</v>
      </c>
      <c r="AP37" s="4" t="s">
        <v>46</v>
      </c>
    </row>
    <row r="38" spans="1:42" x14ac:dyDescent="0.25">
      <c r="A38" s="2">
        <v>1891456</v>
      </c>
      <c r="B38" s="3">
        <v>45756</v>
      </c>
      <c r="C38" s="4" t="s">
        <v>183</v>
      </c>
      <c r="D38" s="2">
        <v>1573279</v>
      </c>
      <c r="E38" s="4" t="s">
        <v>187</v>
      </c>
      <c r="F38" s="4" t="s">
        <v>188</v>
      </c>
      <c r="G38" s="2">
        <v>683176453</v>
      </c>
      <c r="H38" s="4" t="s">
        <v>189</v>
      </c>
      <c r="I38" s="4" t="s">
        <v>46</v>
      </c>
      <c r="J38" s="4" t="s">
        <v>47</v>
      </c>
      <c r="K38" s="4" t="s">
        <v>48</v>
      </c>
      <c r="L38" s="3">
        <v>45748</v>
      </c>
      <c r="M38" s="4" t="s">
        <v>64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</v>
      </c>
      <c r="W38" s="5">
        <v>0</v>
      </c>
      <c r="X38" s="5">
        <v>100</v>
      </c>
      <c r="Y38" s="5">
        <v>234.75</v>
      </c>
      <c r="Z38" s="4" t="s">
        <v>46</v>
      </c>
      <c r="AA38" s="5" t="s">
        <v>46</v>
      </c>
      <c r="AB38" s="4" t="s">
        <v>59</v>
      </c>
      <c r="AC38" s="4" t="s">
        <v>46</v>
      </c>
      <c r="AD38" s="5">
        <v>0</v>
      </c>
      <c r="AE38" s="4" t="s">
        <v>60</v>
      </c>
      <c r="AF38" s="3">
        <v>45748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5">
      <c r="A39" s="2">
        <v>1891456</v>
      </c>
      <c r="B39" s="3">
        <v>45756</v>
      </c>
      <c r="C39" s="4" t="s">
        <v>183</v>
      </c>
      <c r="D39" s="2">
        <v>1573279</v>
      </c>
      <c r="E39" s="4" t="s">
        <v>190</v>
      </c>
      <c r="F39" s="4" t="s">
        <v>191</v>
      </c>
      <c r="G39" s="2">
        <v>503711112</v>
      </c>
      <c r="H39" s="4" t="s">
        <v>192</v>
      </c>
      <c r="I39" s="4" t="s">
        <v>46</v>
      </c>
      <c r="J39" s="4" t="s">
        <v>47</v>
      </c>
      <c r="K39" s="4" t="s">
        <v>48</v>
      </c>
      <c r="L39" s="3">
        <v>45689</v>
      </c>
      <c r="M39" s="4" t="s">
        <v>193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74</v>
      </c>
      <c r="U39" s="4" t="s">
        <v>46</v>
      </c>
      <c r="V39" s="5">
        <v>-0.67</v>
      </c>
      <c r="W39" s="5">
        <v>0</v>
      </c>
      <c r="X39" s="5">
        <v>100</v>
      </c>
      <c r="Y39" s="5">
        <v>-208.67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45689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75</v>
      </c>
      <c r="AO39" s="4" t="s">
        <v>46</v>
      </c>
      <c r="AP39" s="4" t="s">
        <v>46</v>
      </c>
    </row>
    <row r="40" spans="1:42" x14ac:dyDescent="0.25">
      <c r="A40" s="2">
        <v>1891456</v>
      </c>
      <c r="B40" s="3">
        <v>45756</v>
      </c>
      <c r="C40" s="4" t="s">
        <v>183</v>
      </c>
      <c r="D40" s="2">
        <v>1573279</v>
      </c>
      <c r="E40" s="4" t="s">
        <v>194</v>
      </c>
      <c r="F40" s="4" t="s">
        <v>195</v>
      </c>
      <c r="G40" s="2">
        <v>186582544</v>
      </c>
      <c r="H40" s="4" t="s">
        <v>196</v>
      </c>
      <c r="I40" s="4" t="s">
        <v>46</v>
      </c>
      <c r="J40" s="4" t="s">
        <v>47</v>
      </c>
      <c r="K40" s="4" t="s">
        <v>48</v>
      </c>
      <c r="L40" s="3">
        <v>45748</v>
      </c>
      <c r="M40" s="4" t="s">
        <v>64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</v>
      </c>
      <c r="W40" s="5">
        <v>0</v>
      </c>
      <c r="X40" s="5">
        <v>100</v>
      </c>
      <c r="Y40" s="5">
        <v>391.25</v>
      </c>
      <c r="Z40" s="4" t="s">
        <v>46</v>
      </c>
      <c r="AA40" s="5" t="s">
        <v>46</v>
      </c>
      <c r="AB40" s="4" t="s">
        <v>59</v>
      </c>
      <c r="AC40" s="4" t="s">
        <v>46</v>
      </c>
      <c r="AD40" s="5">
        <v>0</v>
      </c>
      <c r="AE40" s="4" t="s">
        <v>60</v>
      </c>
      <c r="AF40" s="3">
        <v>45748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5">
      <c r="A41" s="2">
        <v>1891456</v>
      </c>
      <c r="B41" s="3">
        <v>45756</v>
      </c>
      <c r="C41" s="4" t="s">
        <v>183</v>
      </c>
      <c r="D41" s="2">
        <v>1573279</v>
      </c>
      <c r="E41" s="4" t="s">
        <v>197</v>
      </c>
      <c r="F41" s="4" t="s">
        <v>198</v>
      </c>
      <c r="G41" s="2">
        <v>381034324</v>
      </c>
      <c r="H41" s="4" t="s">
        <v>199</v>
      </c>
      <c r="I41" s="4" t="s">
        <v>46</v>
      </c>
      <c r="J41" s="4" t="s">
        <v>47</v>
      </c>
      <c r="K41" s="4" t="s">
        <v>48</v>
      </c>
      <c r="L41" s="3">
        <v>45748</v>
      </c>
      <c r="M41" s="4" t="s">
        <v>64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74</v>
      </c>
      <c r="U41" s="4" t="s">
        <v>46</v>
      </c>
      <c r="V41" s="5">
        <v>0</v>
      </c>
      <c r="W41" s="5">
        <v>0</v>
      </c>
      <c r="X41" s="5">
        <v>100</v>
      </c>
      <c r="Y41" s="5">
        <v>391.25</v>
      </c>
      <c r="Z41" s="4" t="s">
        <v>46</v>
      </c>
      <c r="AA41" s="5" t="s">
        <v>46</v>
      </c>
      <c r="AB41" s="4" t="s">
        <v>59</v>
      </c>
      <c r="AC41" s="4" t="s">
        <v>46</v>
      </c>
      <c r="AD41" s="5">
        <v>0</v>
      </c>
      <c r="AE41" s="4" t="s">
        <v>60</v>
      </c>
      <c r="AF41" s="3">
        <v>45748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75</v>
      </c>
      <c r="AO41" s="4" t="s">
        <v>46</v>
      </c>
      <c r="AP41" s="4" t="s">
        <v>46</v>
      </c>
    </row>
    <row r="42" spans="1:42" x14ac:dyDescent="0.25">
      <c r="A42" s="2">
        <v>1891456</v>
      </c>
      <c r="B42" s="3">
        <v>45756</v>
      </c>
      <c r="C42" s="4" t="s">
        <v>183</v>
      </c>
      <c r="D42" s="2">
        <v>1573279</v>
      </c>
      <c r="E42" s="4" t="s">
        <v>200</v>
      </c>
      <c r="F42" s="4" t="s">
        <v>201</v>
      </c>
      <c r="G42" s="2">
        <v>475517244</v>
      </c>
      <c r="H42" s="4" t="s">
        <v>202</v>
      </c>
      <c r="I42" s="4" t="s">
        <v>46</v>
      </c>
      <c r="J42" s="4" t="s">
        <v>47</v>
      </c>
      <c r="K42" s="4" t="s">
        <v>48</v>
      </c>
      <c r="L42" s="3">
        <v>45748</v>
      </c>
      <c r="M42" s="4" t="s">
        <v>64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391.25</v>
      </c>
      <c r="Z42" s="4" t="s">
        <v>46</v>
      </c>
      <c r="AA42" s="5" t="s">
        <v>46</v>
      </c>
      <c r="AB42" s="4" t="s">
        <v>59</v>
      </c>
      <c r="AC42" s="4" t="s">
        <v>46</v>
      </c>
      <c r="AD42" s="5">
        <v>0</v>
      </c>
      <c r="AE42" s="4" t="s">
        <v>60</v>
      </c>
      <c r="AF42" s="3">
        <v>45748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5">
      <c r="A43" s="2">
        <v>1891456</v>
      </c>
      <c r="B43" s="3">
        <v>45756</v>
      </c>
      <c r="C43" s="4" t="s">
        <v>183</v>
      </c>
      <c r="D43" s="2">
        <v>1573279</v>
      </c>
      <c r="E43" s="4" t="s">
        <v>203</v>
      </c>
      <c r="F43" s="4" t="s">
        <v>204</v>
      </c>
      <c r="G43" s="2">
        <v>477654244</v>
      </c>
      <c r="H43" s="4" t="s">
        <v>205</v>
      </c>
      <c r="I43" s="4" t="s">
        <v>46</v>
      </c>
      <c r="J43" s="4" t="s">
        <v>47</v>
      </c>
      <c r="K43" s="4" t="s">
        <v>48</v>
      </c>
      <c r="L43" s="3">
        <v>45748</v>
      </c>
      <c r="M43" s="4" t="s">
        <v>64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391.25</v>
      </c>
      <c r="Z43" s="4" t="s">
        <v>46</v>
      </c>
      <c r="AA43" s="5" t="s">
        <v>46</v>
      </c>
      <c r="AB43" s="4" t="s">
        <v>59</v>
      </c>
      <c r="AC43" s="4" t="s">
        <v>46</v>
      </c>
      <c r="AD43" s="5">
        <v>0</v>
      </c>
      <c r="AE43" s="4" t="s">
        <v>60</v>
      </c>
      <c r="AF43" s="3">
        <v>45748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5">
      <c r="A44" s="2">
        <v>1891456</v>
      </c>
      <c r="B44" s="3">
        <v>45756</v>
      </c>
      <c r="C44" s="4" t="s">
        <v>183</v>
      </c>
      <c r="D44" s="2">
        <v>1573279</v>
      </c>
      <c r="E44" s="4" t="s">
        <v>206</v>
      </c>
      <c r="F44" s="4" t="s">
        <v>207</v>
      </c>
      <c r="G44" s="2">
        <v>132085520</v>
      </c>
      <c r="H44" s="4" t="s">
        <v>208</v>
      </c>
      <c r="I44" s="4" t="s">
        <v>46</v>
      </c>
      <c r="J44" s="4" t="s">
        <v>47</v>
      </c>
      <c r="K44" s="4" t="s">
        <v>48</v>
      </c>
      <c r="L44" s="3">
        <v>45748</v>
      </c>
      <c r="M44" s="4" t="s">
        <v>64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</v>
      </c>
      <c r="W44" s="5">
        <v>0</v>
      </c>
      <c r="X44" s="5">
        <v>100</v>
      </c>
      <c r="Y44" s="5">
        <v>234.75</v>
      </c>
      <c r="Z44" s="4" t="s">
        <v>46</v>
      </c>
      <c r="AA44" s="5" t="s">
        <v>46</v>
      </c>
      <c r="AB44" s="4" t="s">
        <v>59</v>
      </c>
      <c r="AC44" s="4" t="s">
        <v>46</v>
      </c>
      <c r="AD44" s="5">
        <v>0</v>
      </c>
      <c r="AE44" s="4" t="s">
        <v>60</v>
      </c>
      <c r="AF44" s="3">
        <v>45748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5">
      <c r="A45" s="2">
        <v>1891456</v>
      </c>
      <c r="B45" s="3">
        <v>45756</v>
      </c>
      <c r="C45" s="4" t="s">
        <v>183</v>
      </c>
      <c r="D45" s="2">
        <v>1573279</v>
      </c>
      <c r="E45" s="4" t="s">
        <v>209</v>
      </c>
      <c r="F45" s="4" t="s">
        <v>210</v>
      </c>
      <c r="G45" s="2">
        <v>268649470</v>
      </c>
      <c r="H45" s="4" t="s">
        <v>211</v>
      </c>
      <c r="I45" s="4" t="s">
        <v>46</v>
      </c>
      <c r="J45" s="4" t="s">
        <v>47</v>
      </c>
      <c r="K45" s="4" t="s">
        <v>48</v>
      </c>
      <c r="L45" s="3">
        <v>45748</v>
      </c>
      <c r="M45" s="4" t="s">
        <v>64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74</v>
      </c>
      <c r="U45" s="4" t="s">
        <v>46</v>
      </c>
      <c r="V45" s="5">
        <v>0.75</v>
      </c>
      <c r="W45" s="5">
        <v>0</v>
      </c>
      <c r="X45" s="5">
        <v>100</v>
      </c>
      <c r="Y45" s="5">
        <v>234.75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45748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75</v>
      </c>
      <c r="AO45" s="4" t="s">
        <v>46</v>
      </c>
      <c r="AP45" s="4" t="s">
        <v>46</v>
      </c>
    </row>
    <row r="46" spans="1:42" x14ac:dyDescent="0.25">
      <c r="A46" s="2">
        <v>1891456</v>
      </c>
      <c r="B46" s="3">
        <v>45756</v>
      </c>
      <c r="C46" s="4" t="s">
        <v>183</v>
      </c>
      <c r="D46" s="2">
        <v>1573279</v>
      </c>
      <c r="E46" s="4" t="s">
        <v>212</v>
      </c>
      <c r="F46" s="4" t="s">
        <v>213</v>
      </c>
      <c r="G46" s="2">
        <v>226074320</v>
      </c>
      <c r="H46" s="4" t="s">
        <v>214</v>
      </c>
      <c r="I46" s="4" t="s">
        <v>46</v>
      </c>
      <c r="J46" s="4" t="s">
        <v>47</v>
      </c>
      <c r="K46" s="4" t="s">
        <v>48</v>
      </c>
      <c r="L46" s="3">
        <v>45809</v>
      </c>
      <c r="M46" s="4" t="s">
        <v>86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74</v>
      </c>
      <c r="U46" s="4" t="s">
        <v>46</v>
      </c>
      <c r="V46" s="5">
        <v>0.57999999999999996</v>
      </c>
      <c r="W46" s="5">
        <v>0</v>
      </c>
      <c r="X46" s="5">
        <v>100</v>
      </c>
      <c r="Y46" s="5">
        <v>182.58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45809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75</v>
      </c>
      <c r="AO46" s="4" t="s">
        <v>46</v>
      </c>
      <c r="AP46" s="4" t="s">
        <v>46</v>
      </c>
    </row>
    <row r="47" spans="1:42" x14ac:dyDescent="0.25">
      <c r="A47" s="2">
        <v>1891456</v>
      </c>
      <c r="B47" s="3">
        <v>45756</v>
      </c>
      <c r="C47" s="4" t="s">
        <v>215</v>
      </c>
      <c r="D47" s="2">
        <v>1673202</v>
      </c>
      <c r="E47" s="4" t="s">
        <v>216</v>
      </c>
      <c r="F47" s="4" t="s">
        <v>217</v>
      </c>
      <c r="G47" s="2">
        <v>46632135</v>
      </c>
      <c r="H47" s="4" t="s">
        <v>218</v>
      </c>
      <c r="I47" s="4" t="s">
        <v>46</v>
      </c>
      <c r="J47" s="4" t="s">
        <v>47</v>
      </c>
      <c r="K47" s="4" t="s">
        <v>48</v>
      </c>
      <c r="L47" s="3">
        <v>45748</v>
      </c>
      <c r="M47" s="4" t="s">
        <v>64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</v>
      </c>
      <c r="W47" s="5">
        <v>0</v>
      </c>
      <c r="X47" s="5">
        <v>100</v>
      </c>
      <c r="Y47" s="5">
        <v>391.25</v>
      </c>
      <c r="Z47" s="4" t="s">
        <v>46</v>
      </c>
      <c r="AA47" s="5" t="s">
        <v>46</v>
      </c>
      <c r="AB47" s="4" t="s">
        <v>59</v>
      </c>
      <c r="AC47" s="4" t="s">
        <v>46</v>
      </c>
      <c r="AD47" s="5">
        <v>0</v>
      </c>
      <c r="AE47" s="4" t="s">
        <v>60</v>
      </c>
      <c r="AF47" s="3">
        <v>45748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55</v>
      </c>
      <c r="AO47" s="4" t="s">
        <v>46</v>
      </c>
      <c r="AP47" s="4" t="s">
        <v>46</v>
      </c>
    </row>
    <row r="48" spans="1:42" x14ac:dyDescent="0.25">
      <c r="A48" s="2">
        <v>1891456</v>
      </c>
      <c r="B48" s="3">
        <v>45756</v>
      </c>
      <c r="C48" s="4" t="s">
        <v>215</v>
      </c>
      <c r="D48" s="2">
        <v>1673202</v>
      </c>
      <c r="E48" s="4" t="s">
        <v>219</v>
      </c>
      <c r="F48" s="4" t="s">
        <v>220</v>
      </c>
      <c r="G48" s="2">
        <v>359215463</v>
      </c>
      <c r="H48" s="4" t="s">
        <v>221</v>
      </c>
      <c r="I48" s="4" t="s">
        <v>46</v>
      </c>
      <c r="J48" s="4" t="s">
        <v>47</v>
      </c>
      <c r="K48" s="4" t="s">
        <v>48</v>
      </c>
      <c r="L48" s="3">
        <v>45778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74</v>
      </c>
      <c r="U48" s="4" t="s">
        <v>46</v>
      </c>
      <c r="V48" s="5">
        <v>0.67</v>
      </c>
      <c r="W48" s="5">
        <v>0</v>
      </c>
      <c r="X48" s="5">
        <v>100</v>
      </c>
      <c r="Y48" s="5">
        <v>208.67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45778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222</v>
      </c>
      <c r="AO48" s="4" t="s">
        <v>46</v>
      </c>
      <c r="AP48" s="4" t="s">
        <v>46</v>
      </c>
    </row>
    <row r="49" spans="1:42" x14ac:dyDescent="0.25">
      <c r="A49" s="2">
        <v>1891456</v>
      </c>
      <c r="B49" s="3">
        <v>45756</v>
      </c>
      <c r="C49" s="4" t="s">
        <v>223</v>
      </c>
      <c r="D49" s="2">
        <v>1703942</v>
      </c>
      <c r="E49" s="4" t="s">
        <v>224</v>
      </c>
      <c r="F49" s="4" t="s">
        <v>225</v>
      </c>
      <c r="G49" s="2">
        <v>999896410</v>
      </c>
      <c r="H49" s="4" t="s">
        <v>226</v>
      </c>
      <c r="I49" s="4" t="s">
        <v>46</v>
      </c>
      <c r="J49" s="4" t="s">
        <v>47</v>
      </c>
      <c r="K49" s="4" t="s">
        <v>48</v>
      </c>
      <c r="L49" s="3">
        <v>45658</v>
      </c>
      <c r="M49" s="4" t="s">
        <v>166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</v>
      </c>
      <c r="W49" s="5">
        <v>0</v>
      </c>
      <c r="X49" s="5">
        <v>100</v>
      </c>
      <c r="Y49" s="5">
        <v>-313</v>
      </c>
      <c r="Z49" s="4" t="s">
        <v>46</v>
      </c>
      <c r="AA49" s="5" t="s">
        <v>46</v>
      </c>
      <c r="AB49" s="4" t="s">
        <v>59</v>
      </c>
      <c r="AC49" s="4" t="s">
        <v>46</v>
      </c>
      <c r="AD49" s="5">
        <v>0</v>
      </c>
      <c r="AE49" s="4" t="s">
        <v>60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5">
      <c r="A50" s="2">
        <v>1891456</v>
      </c>
      <c r="B50" s="3">
        <v>45756</v>
      </c>
      <c r="C50" s="4" t="s">
        <v>223</v>
      </c>
      <c r="D50" s="2">
        <v>1703942</v>
      </c>
      <c r="E50" s="4" t="s">
        <v>224</v>
      </c>
      <c r="F50" s="4" t="s">
        <v>225</v>
      </c>
      <c r="G50" s="2">
        <v>999896410</v>
      </c>
      <c r="H50" s="4" t="s">
        <v>226</v>
      </c>
      <c r="I50" s="4" t="s">
        <v>46</v>
      </c>
      <c r="J50" s="4" t="s">
        <v>47</v>
      </c>
      <c r="K50" s="4" t="s">
        <v>48</v>
      </c>
      <c r="L50" s="3">
        <v>45658</v>
      </c>
      <c r="M50" s="4" t="s">
        <v>166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-1</v>
      </c>
      <c r="W50" s="5">
        <v>0</v>
      </c>
      <c r="X50" s="5">
        <v>100</v>
      </c>
      <c r="Y50" s="5">
        <v>-313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5">
      <c r="A51" s="2">
        <v>1891456</v>
      </c>
      <c r="B51" s="3">
        <v>45756</v>
      </c>
      <c r="C51" s="4" t="s">
        <v>223</v>
      </c>
      <c r="D51" s="2">
        <v>1703942</v>
      </c>
      <c r="E51" s="4" t="s">
        <v>227</v>
      </c>
      <c r="F51" s="4" t="s">
        <v>228</v>
      </c>
      <c r="G51" s="2">
        <v>233833453</v>
      </c>
      <c r="H51" s="4" t="s">
        <v>229</v>
      </c>
      <c r="I51" s="4" t="s">
        <v>46</v>
      </c>
      <c r="J51" s="4" t="s">
        <v>47</v>
      </c>
      <c r="K51" s="4" t="s">
        <v>48</v>
      </c>
      <c r="L51" s="3">
        <v>45748</v>
      </c>
      <c r="M51" s="4" t="s">
        <v>64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0</v>
      </c>
      <c r="W51" s="5">
        <v>0</v>
      </c>
      <c r="X51" s="5">
        <v>100</v>
      </c>
      <c r="Y51" s="5">
        <v>391.25</v>
      </c>
      <c r="Z51" s="4" t="s">
        <v>46</v>
      </c>
      <c r="AA51" s="5" t="s">
        <v>46</v>
      </c>
      <c r="AB51" s="4" t="s">
        <v>59</v>
      </c>
      <c r="AC51" s="4" t="s">
        <v>46</v>
      </c>
      <c r="AD51" s="5">
        <v>0</v>
      </c>
      <c r="AE51" s="4" t="s">
        <v>60</v>
      </c>
      <c r="AF51" s="3">
        <v>45748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55</v>
      </c>
      <c r="AO51" s="4" t="s">
        <v>46</v>
      </c>
      <c r="AP51" s="4" t="s">
        <v>46</v>
      </c>
    </row>
    <row r="52" spans="1:42" x14ac:dyDescent="0.25">
      <c r="A52" s="2">
        <v>1891456</v>
      </c>
      <c r="B52" s="3">
        <v>45756</v>
      </c>
      <c r="C52" s="4" t="s">
        <v>223</v>
      </c>
      <c r="D52" s="2">
        <v>1703942</v>
      </c>
      <c r="E52" s="4" t="s">
        <v>230</v>
      </c>
      <c r="F52" s="4" t="s">
        <v>231</v>
      </c>
      <c r="G52" s="2">
        <v>206196594</v>
      </c>
      <c r="H52" s="4" t="s">
        <v>232</v>
      </c>
      <c r="I52" s="4" t="s">
        <v>46</v>
      </c>
      <c r="J52" s="4" t="s">
        <v>47</v>
      </c>
      <c r="K52" s="4" t="s">
        <v>48</v>
      </c>
      <c r="L52" s="3">
        <v>45778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0</v>
      </c>
      <c r="W52" s="5">
        <v>0</v>
      </c>
      <c r="X52" s="5">
        <v>100</v>
      </c>
      <c r="Y52" s="5">
        <v>417.33</v>
      </c>
      <c r="Z52" s="4" t="s">
        <v>46</v>
      </c>
      <c r="AA52" s="5" t="s">
        <v>46</v>
      </c>
      <c r="AB52" s="4" t="s">
        <v>59</v>
      </c>
      <c r="AC52" s="4" t="s">
        <v>46</v>
      </c>
      <c r="AD52" s="5">
        <v>0</v>
      </c>
      <c r="AE52" s="4" t="s">
        <v>60</v>
      </c>
      <c r="AF52" s="3">
        <v>45778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spans="1:42" x14ac:dyDescent="0.25">
      <c r="A53" s="2">
        <v>1891456</v>
      </c>
      <c r="B53" s="3">
        <v>45756</v>
      </c>
      <c r="C53" s="4" t="s">
        <v>223</v>
      </c>
      <c r="D53" s="2">
        <v>1703942</v>
      </c>
      <c r="E53" s="4" t="s">
        <v>233</v>
      </c>
      <c r="F53" s="4" t="s">
        <v>234</v>
      </c>
      <c r="G53" s="2">
        <v>473753172</v>
      </c>
      <c r="H53" s="4" t="s">
        <v>235</v>
      </c>
      <c r="I53" s="4" t="s">
        <v>46</v>
      </c>
      <c r="J53" s="4" t="s">
        <v>47</v>
      </c>
      <c r="K53" s="4" t="s">
        <v>48</v>
      </c>
      <c r="L53" s="3">
        <v>45748</v>
      </c>
      <c r="M53" s="4" t="s">
        <v>64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74</v>
      </c>
      <c r="U53" s="4" t="s">
        <v>46</v>
      </c>
      <c r="V53" s="5">
        <v>0</v>
      </c>
      <c r="W53" s="5">
        <v>0</v>
      </c>
      <c r="X53" s="5">
        <v>100</v>
      </c>
      <c r="Y53" s="5">
        <v>391.25</v>
      </c>
      <c r="Z53" s="4" t="s">
        <v>46</v>
      </c>
      <c r="AA53" s="5" t="s">
        <v>46</v>
      </c>
      <c r="AB53" s="4" t="s">
        <v>59</v>
      </c>
      <c r="AC53" s="4" t="s">
        <v>46</v>
      </c>
      <c r="AD53" s="5">
        <v>0</v>
      </c>
      <c r="AE53" s="4" t="s">
        <v>60</v>
      </c>
      <c r="AF53" s="3">
        <v>45748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75</v>
      </c>
      <c r="AO53" s="4" t="s">
        <v>46</v>
      </c>
      <c r="AP53" s="4" t="s">
        <v>46</v>
      </c>
    </row>
    <row r="54" spans="1:42" x14ac:dyDescent="0.25">
      <c r="A54" s="2">
        <v>1891456</v>
      </c>
      <c r="B54" s="3">
        <v>45756</v>
      </c>
      <c r="C54" s="4" t="s">
        <v>223</v>
      </c>
      <c r="D54" s="2">
        <v>1703942</v>
      </c>
      <c r="E54" s="4" t="s">
        <v>236</v>
      </c>
      <c r="F54" s="4" t="s">
        <v>237</v>
      </c>
      <c r="G54" s="2">
        <v>379264543</v>
      </c>
      <c r="H54" s="4" t="s">
        <v>238</v>
      </c>
      <c r="I54" s="4" t="s">
        <v>46</v>
      </c>
      <c r="J54" s="4" t="s">
        <v>47</v>
      </c>
      <c r="K54" s="4" t="s">
        <v>48</v>
      </c>
      <c r="L54" s="3">
        <v>45748</v>
      </c>
      <c r="M54" s="4" t="s">
        <v>64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0</v>
      </c>
      <c r="W54" s="5">
        <v>0</v>
      </c>
      <c r="X54" s="5">
        <v>100</v>
      </c>
      <c r="Y54" s="5">
        <v>391.25</v>
      </c>
      <c r="Z54" s="4" t="s">
        <v>46</v>
      </c>
      <c r="AA54" s="5" t="s">
        <v>46</v>
      </c>
      <c r="AB54" s="4" t="s">
        <v>59</v>
      </c>
      <c r="AC54" s="4" t="s">
        <v>46</v>
      </c>
      <c r="AD54" s="5">
        <v>0</v>
      </c>
      <c r="AE54" s="4" t="s">
        <v>60</v>
      </c>
      <c r="AF54" s="3">
        <v>45748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 x14ac:dyDescent="0.25">
      <c r="A55" s="2">
        <v>1891456</v>
      </c>
      <c r="B55" s="3">
        <v>45756</v>
      </c>
      <c r="C55" s="4" t="s">
        <v>223</v>
      </c>
      <c r="D55" s="2">
        <v>1703942</v>
      </c>
      <c r="E55" s="4" t="s">
        <v>239</v>
      </c>
      <c r="F55" s="4" t="s">
        <v>240</v>
      </c>
      <c r="G55" s="2">
        <v>7267285</v>
      </c>
      <c r="H55" s="4" t="s">
        <v>241</v>
      </c>
      <c r="I55" s="4" t="s">
        <v>46</v>
      </c>
      <c r="J55" s="4" t="s">
        <v>47</v>
      </c>
      <c r="K55" s="4" t="s">
        <v>48</v>
      </c>
      <c r="L55" s="3">
        <v>45839</v>
      </c>
      <c r="M55" s="4" t="s">
        <v>161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74</v>
      </c>
      <c r="U55" s="4" t="s">
        <v>46</v>
      </c>
      <c r="V55" s="5">
        <v>0.5</v>
      </c>
      <c r="W55" s="5">
        <v>0</v>
      </c>
      <c r="X55" s="5">
        <v>100</v>
      </c>
      <c r="Y55" s="5">
        <v>156.5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45839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75</v>
      </c>
      <c r="AO55" s="4" t="s">
        <v>46</v>
      </c>
      <c r="AP55" s="4" t="s">
        <v>46</v>
      </c>
    </row>
    <row r="56" spans="1:42" x14ac:dyDescent="0.25">
      <c r="A56" s="2">
        <v>1891456</v>
      </c>
      <c r="B56" s="3">
        <v>45756</v>
      </c>
      <c r="C56" s="4" t="s">
        <v>223</v>
      </c>
      <c r="D56" s="2">
        <v>1703942</v>
      </c>
      <c r="E56" s="4" t="s">
        <v>242</v>
      </c>
      <c r="F56" s="4" t="s">
        <v>243</v>
      </c>
      <c r="G56" s="2">
        <v>322689524</v>
      </c>
      <c r="H56" s="4" t="s">
        <v>244</v>
      </c>
      <c r="I56" s="4" t="s">
        <v>46</v>
      </c>
      <c r="J56" s="4" t="s">
        <v>47</v>
      </c>
      <c r="K56" s="4" t="s">
        <v>48</v>
      </c>
      <c r="L56" s="3">
        <v>45778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0.67</v>
      </c>
      <c r="W56" s="5">
        <v>0</v>
      </c>
      <c r="X56" s="5">
        <v>100</v>
      </c>
      <c r="Y56" s="5">
        <v>208.67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45778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s="10" customFormat="1" x14ac:dyDescent="0.25">
      <c r="A57" s="6">
        <v>1891456</v>
      </c>
      <c r="B57" s="7">
        <v>45756</v>
      </c>
      <c r="C57" s="8" t="s">
        <v>245</v>
      </c>
      <c r="D57" s="6">
        <v>1758433</v>
      </c>
      <c r="E57" s="8" t="s">
        <v>246</v>
      </c>
      <c r="F57" s="8" t="s">
        <v>247</v>
      </c>
      <c r="G57" s="6">
        <v>976132472</v>
      </c>
      <c r="H57" s="8" t="s">
        <v>248</v>
      </c>
      <c r="I57" s="8" t="s">
        <v>46</v>
      </c>
      <c r="J57" s="8" t="s">
        <v>47</v>
      </c>
      <c r="K57" s="8" t="s">
        <v>48</v>
      </c>
      <c r="L57" s="7">
        <v>45748</v>
      </c>
      <c r="M57" s="8" t="s">
        <v>64</v>
      </c>
      <c r="N57" s="8" t="s">
        <v>46</v>
      </c>
      <c r="O57" s="8" t="s">
        <v>50</v>
      </c>
      <c r="P57" s="8" t="s">
        <v>46</v>
      </c>
      <c r="Q57" s="6">
        <v>1</v>
      </c>
      <c r="R57" s="6">
        <v>17</v>
      </c>
      <c r="S57" s="8" t="s">
        <v>51</v>
      </c>
      <c r="T57" s="8" t="s">
        <v>87</v>
      </c>
      <c r="U57" s="8" t="s">
        <v>46</v>
      </c>
      <c r="V57" s="9">
        <v>0</v>
      </c>
      <c r="W57" s="9">
        <v>0</v>
      </c>
      <c r="X57" s="9">
        <v>100</v>
      </c>
      <c r="Y57" s="9">
        <v>67.75</v>
      </c>
      <c r="Z57" s="8" t="s">
        <v>46</v>
      </c>
      <c r="AA57" s="9" t="s">
        <v>46</v>
      </c>
      <c r="AB57" s="8" t="s">
        <v>59</v>
      </c>
      <c r="AC57" s="8" t="s">
        <v>46</v>
      </c>
      <c r="AD57" s="9">
        <v>0</v>
      </c>
      <c r="AE57" s="8" t="s">
        <v>60</v>
      </c>
      <c r="AF57" s="7">
        <v>45748</v>
      </c>
      <c r="AG57" s="8" t="s">
        <v>46</v>
      </c>
      <c r="AH57" s="8" t="s">
        <v>46</v>
      </c>
      <c r="AI57" s="8" t="s">
        <v>46</v>
      </c>
      <c r="AJ57" s="8" t="s">
        <v>46</v>
      </c>
      <c r="AK57" s="8" t="s">
        <v>46</v>
      </c>
      <c r="AL57" s="8" t="s">
        <v>46</v>
      </c>
      <c r="AM57" s="8" t="s">
        <v>46</v>
      </c>
      <c r="AN57" s="8" t="s">
        <v>88</v>
      </c>
      <c r="AO57" s="8" t="s">
        <v>46</v>
      </c>
      <c r="AP57" s="8" t="s">
        <v>46</v>
      </c>
    </row>
    <row r="58" spans="1:42" x14ac:dyDescent="0.25">
      <c r="A58" s="2">
        <v>1891456</v>
      </c>
      <c r="B58" s="3">
        <v>45756</v>
      </c>
      <c r="C58" s="4" t="s">
        <v>249</v>
      </c>
      <c r="D58" s="2">
        <v>1773696</v>
      </c>
      <c r="E58" s="4" t="s">
        <v>250</v>
      </c>
      <c r="F58" s="4" t="s">
        <v>251</v>
      </c>
      <c r="G58" s="2">
        <v>590723414</v>
      </c>
      <c r="H58" s="4" t="s">
        <v>252</v>
      </c>
      <c r="I58" s="4" t="s">
        <v>46</v>
      </c>
      <c r="J58" s="4" t="s">
        <v>47</v>
      </c>
      <c r="K58" s="4" t="s">
        <v>48</v>
      </c>
      <c r="L58" s="3">
        <v>45748</v>
      </c>
      <c r="M58" s="4" t="s">
        <v>64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0.75</v>
      </c>
      <c r="W58" s="5">
        <v>0</v>
      </c>
      <c r="X58" s="5">
        <v>100</v>
      </c>
      <c r="Y58" s="5">
        <v>234.75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45748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25">
      <c r="A59" s="2">
        <v>1891456</v>
      </c>
      <c r="B59" s="3">
        <v>45756</v>
      </c>
      <c r="C59" s="4" t="s">
        <v>253</v>
      </c>
      <c r="D59" s="2">
        <v>1800759</v>
      </c>
      <c r="E59" s="4" t="s">
        <v>254</v>
      </c>
      <c r="F59" s="4" t="s">
        <v>255</v>
      </c>
      <c r="G59" s="2">
        <v>442967065</v>
      </c>
      <c r="H59" s="4" t="s">
        <v>256</v>
      </c>
      <c r="I59" s="4" t="s">
        <v>46</v>
      </c>
      <c r="J59" s="4" t="s">
        <v>47</v>
      </c>
      <c r="K59" s="4" t="s">
        <v>48</v>
      </c>
      <c r="L59" s="3">
        <v>45717</v>
      </c>
      <c r="M59" s="4" t="s">
        <v>119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</v>
      </c>
      <c r="W59" s="5">
        <v>0</v>
      </c>
      <c r="X59" s="5">
        <v>100</v>
      </c>
      <c r="Y59" s="5">
        <v>365.17</v>
      </c>
      <c r="Z59" s="4" t="s">
        <v>46</v>
      </c>
      <c r="AA59" s="5" t="s">
        <v>46</v>
      </c>
      <c r="AB59" s="4" t="s">
        <v>59</v>
      </c>
      <c r="AC59" s="4" t="s">
        <v>46</v>
      </c>
      <c r="AD59" s="5">
        <v>0</v>
      </c>
      <c r="AE59" s="4" t="s">
        <v>60</v>
      </c>
      <c r="AF59" s="3">
        <v>45717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 x14ac:dyDescent="0.25">
      <c r="A60" s="2">
        <v>1891456</v>
      </c>
      <c r="B60" s="3">
        <v>45756</v>
      </c>
      <c r="C60" s="4" t="s">
        <v>253</v>
      </c>
      <c r="D60" s="2">
        <v>1800759</v>
      </c>
      <c r="E60" s="4" t="s">
        <v>257</v>
      </c>
      <c r="F60" s="4" t="s">
        <v>258</v>
      </c>
      <c r="G60" s="2">
        <v>491137065</v>
      </c>
      <c r="H60" s="4" t="s">
        <v>259</v>
      </c>
      <c r="I60" s="4" t="s">
        <v>46</v>
      </c>
      <c r="J60" s="4" t="s">
        <v>47</v>
      </c>
      <c r="K60" s="4" t="s">
        <v>48</v>
      </c>
      <c r="L60" s="3">
        <v>45717</v>
      </c>
      <c r="M60" s="4" t="s">
        <v>119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0</v>
      </c>
      <c r="W60" s="5">
        <v>0</v>
      </c>
      <c r="X60" s="5">
        <v>100</v>
      </c>
      <c r="Y60" s="5">
        <v>365.17</v>
      </c>
      <c r="Z60" s="4" t="s">
        <v>46</v>
      </c>
      <c r="AA60" s="5" t="s">
        <v>46</v>
      </c>
      <c r="AB60" s="4" t="s">
        <v>59</v>
      </c>
      <c r="AC60" s="4" t="s">
        <v>46</v>
      </c>
      <c r="AD60" s="5">
        <v>0</v>
      </c>
      <c r="AE60" s="4" t="s">
        <v>60</v>
      </c>
      <c r="AF60" s="3">
        <v>45717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55</v>
      </c>
      <c r="AO60" s="4" t="s">
        <v>46</v>
      </c>
      <c r="AP60" s="4" t="s">
        <v>46</v>
      </c>
    </row>
    <row r="61" spans="1:42" x14ac:dyDescent="0.25">
      <c r="A61" s="2">
        <v>1891456</v>
      </c>
      <c r="B61" s="3">
        <v>45756</v>
      </c>
      <c r="C61" s="4" t="s">
        <v>260</v>
      </c>
      <c r="D61" s="2">
        <v>1800776</v>
      </c>
      <c r="E61" s="4" t="s">
        <v>261</v>
      </c>
      <c r="F61" s="4" t="s">
        <v>262</v>
      </c>
      <c r="G61" s="2">
        <v>29056294</v>
      </c>
      <c r="H61" s="4" t="s">
        <v>263</v>
      </c>
      <c r="I61" s="4" t="s">
        <v>46</v>
      </c>
      <c r="J61" s="4" t="s">
        <v>47</v>
      </c>
      <c r="K61" s="4" t="s">
        <v>48</v>
      </c>
      <c r="L61" s="3">
        <v>45748</v>
      </c>
      <c r="M61" s="4" t="s">
        <v>64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234.75</v>
      </c>
      <c r="Z61" s="4" t="s">
        <v>46</v>
      </c>
      <c r="AA61" s="5" t="s">
        <v>46</v>
      </c>
      <c r="AB61" s="4" t="s">
        <v>59</v>
      </c>
      <c r="AC61" s="4" t="s">
        <v>46</v>
      </c>
      <c r="AD61" s="5">
        <v>0</v>
      </c>
      <c r="AE61" s="4" t="s">
        <v>60</v>
      </c>
      <c r="AF61" s="3">
        <v>45748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5">
      <c r="A62" s="2">
        <v>1891456</v>
      </c>
      <c r="B62" s="3">
        <v>45756</v>
      </c>
      <c r="C62" s="4" t="s">
        <v>260</v>
      </c>
      <c r="D62" s="2">
        <v>1800776</v>
      </c>
      <c r="E62" s="4" t="s">
        <v>264</v>
      </c>
      <c r="F62" s="4" t="s">
        <v>265</v>
      </c>
      <c r="G62" s="2">
        <v>655696742</v>
      </c>
      <c r="H62" s="4" t="s">
        <v>266</v>
      </c>
      <c r="I62" s="4" t="s">
        <v>46</v>
      </c>
      <c r="J62" s="4" t="s">
        <v>47</v>
      </c>
      <c r="K62" s="4" t="s">
        <v>48</v>
      </c>
      <c r="L62" s="3">
        <v>45748</v>
      </c>
      <c r="M62" s="4" t="s">
        <v>64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</v>
      </c>
      <c r="W62" s="5">
        <v>0</v>
      </c>
      <c r="X62" s="5">
        <v>100</v>
      </c>
      <c r="Y62" s="5">
        <v>234.75</v>
      </c>
      <c r="Z62" s="4" t="s">
        <v>46</v>
      </c>
      <c r="AA62" s="5" t="s">
        <v>46</v>
      </c>
      <c r="AB62" s="4" t="s">
        <v>59</v>
      </c>
      <c r="AC62" s="4" t="s">
        <v>46</v>
      </c>
      <c r="AD62" s="5">
        <v>0</v>
      </c>
      <c r="AE62" s="4" t="s">
        <v>60</v>
      </c>
      <c r="AF62" s="3">
        <v>45748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5">
      <c r="A63" s="2">
        <v>1891456</v>
      </c>
      <c r="B63" s="3">
        <v>45756</v>
      </c>
      <c r="C63" s="4" t="s">
        <v>260</v>
      </c>
      <c r="D63" s="2">
        <v>1800776</v>
      </c>
      <c r="E63" s="4" t="s">
        <v>267</v>
      </c>
      <c r="F63" s="4" t="s">
        <v>268</v>
      </c>
      <c r="G63" s="2">
        <v>205973343</v>
      </c>
      <c r="H63" s="4" t="s">
        <v>269</v>
      </c>
      <c r="I63" s="4" t="s">
        <v>46</v>
      </c>
      <c r="J63" s="4" t="s">
        <v>47</v>
      </c>
      <c r="K63" s="4" t="s">
        <v>48</v>
      </c>
      <c r="L63" s="3">
        <v>45748</v>
      </c>
      <c r="M63" s="4" t="s">
        <v>64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391.25</v>
      </c>
      <c r="Z63" s="4" t="s">
        <v>46</v>
      </c>
      <c r="AA63" s="5" t="s">
        <v>46</v>
      </c>
      <c r="AB63" s="4" t="s">
        <v>59</v>
      </c>
      <c r="AC63" s="4" t="s">
        <v>46</v>
      </c>
      <c r="AD63" s="5">
        <v>0</v>
      </c>
      <c r="AE63" s="4" t="s">
        <v>60</v>
      </c>
      <c r="AF63" s="3">
        <v>45748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5">
      <c r="A64" s="2">
        <v>1891456</v>
      </c>
      <c r="B64" s="3">
        <v>45756</v>
      </c>
      <c r="C64" s="4" t="s">
        <v>260</v>
      </c>
      <c r="D64" s="2">
        <v>1800776</v>
      </c>
      <c r="E64" s="4" t="s">
        <v>270</v>
      </c>
      <c r="F64" s="4" t="s">
        <v>271</v>
      </c>
      <c r="G64" s="2">
        <v>318492015</v>
      </c>
      <c r="H64" s="4" t="s">
        <v>272</v>
      </c>
      <c r="I64" s="4" t="s">
        <v>46</v>
      </c>
      <c r="J64" s="4" t="s">
        <v>47</v>
      </c>
      <c r="K64" s="4" t="s">
        <v>48</v>
      </c>
      <c r="L64" s="3">
        <v>45748</v>
      </c>
      <c r="M64" s="4" t="s">
        <v>64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74</v>
      </c>
      <c r="U64" s="4" t="s">
        <v>46</v>
      </c>
      <c r="V64" s="5">
        <v>0</v>
      </c>
      <c r="W64" s="5">
        <v>0</v>
      </c>
      <c r="X64" s="5">
        <v>100</v>
      </c>
      <c r="Y64" s="5">
        <v>391.25</v>
      </c>
      <c r="Z64" s="4" t="s">
        <v>46</v>
      </c>
      <c r="AA64" s="5" t="s">
        <v>46</v>
      </c>
      <c r="AB64" s="4" t="s">
        <v>59</v>
      </c>
      <c r="AC64" s="4" t="s">
        <v>46</v>
      </c>
      <c r="AD64" s="5">
        <v>0</v>
      </c>
      <c r="AE64" s="4" t="s">
        <v>60</v>
      </c>
      <c r="AF64" s="3">
        <v>45748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273</v>
      </c>
      <c r="AO64" s="4" t="s">
        <v>46</v>
      </c>
      <c r="AP64" s="4" t="s">
        <v>46</v>
      </c>
    </row>
    <row r="65" spans="1:42" x14ac:dyDescent="0.25">
      <c r="A65" s="2">
        <v>1891456</v>
      </c>
      <c r="B65" s="3">
        <v>45756</v>
      </c>
      <c r="C65" s="4" t="s">
        <v>274</v>
      </c>
      <c r="D65" s="2">
        <v>1815594</v>
      </c>
      <c r="E65" s="4" t="s">
        <v>275</v>
      </c>
      <c r="F65" s="4" t="s">
        <v>276</v>
      </c>
      <c r="G65" s="2">
        <v>615154090</v>
      </c>
      <c r="H65" s="4" t="s">
        <v>277</v>
      </c>
      <c r="I65" s="4" t="s">
        <v>46</v>
      </c>
      <c r="J65" s="4" t="s">
        <v>47</v>
      </c>
      <c r="K65" s="4" t="s">
        <v>48</v>
      </c>
      <c r="L65" s="3">
        <v>45748</v>
      </c>
      <c r="M65" s="4" t="s">
        <v>64</v>
      </c>
      <c r="N65" s="4" t="s">
        <v>46</v>
      </c>
      <c r="O65" s="4" t="s">
        <v>106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74</v>
      </c>
      <c r="U65" s="4" t="s">
        <v>46</v>
      </c>
      <c r="V65" s="5">
        <v>1</v>
      </c>
      <c r="W65" s="5">
        <v>0</v>
      </c>
      <c r="X65" s="5">
        <v>100</v>
      </c>
      <c r="Y65" s="5">
        <v>26.08</v>
      </c>
      <c r="Z65" s="4" t="s">
        <v>46</v>
      </c>
      <c r="AA65" s="5" t="s">
        <v>46</v>
      </c>
      <c r="AB65" s="4" t="s">
        <v>107</v>
      </c>
      <c r="AC65" s="4" t="s">
        <v>46</v>
      </c>
      <c r="AD65" s="5">
        <v>0</v>
      </c>
      <c r="AE65" s="4" t="s">
        <v>108</v>
      </c>
      <c r="AF65" s="3">
        <v>45627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75</v>
      </c>
      <c r="AO65" s="4" t="s">
        <v>46</v>
      </c>
      <c r="AP65" s="4" t="s">
        <v>46</v>
      </c>
    </row>
    <row r="66" spans="1:42" x14ac:dyDescent="0.25">
      <c r="A66" s="2">
        <v>1891456</v>
      </c>
      <c r="B66" s="3">
        <v>45756</v>
      </c>
      <c r="C66" s="4" t="s">
        <v>274</v>
      </c>
      <c r="D66" s="2">
        <v>1815594</v>
      </c>
      <c r="E66" s="4" t="s">
        <v>278</v>
      </c>
      <c r="F66" s="4" t="s">
        <v>279</v>
      </c>
      <c r="G66" s="2">
        <v>25254063</v>
      </c>
      <c r="H66" s="4" t="s">
        <v>280</v>
      </c>
      <c r="I66" s="4" t="s">
        <v>46</v>
      </c>
      <c r="J66" s="4" t="s">
        <v>47</v>
      </c>
      <c r="K66" s="4" t="s">
        <v>48</v>
      </c>
      <c r="L66" s="3">
        <v>45748</v>
      </c>
      <c r="M66" s="4" t="s">
        <v>64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74</v>
      </c>
      <c r="U66" s="4" t="s">
        <v>46</v>
      </c>
      <c r="V66" s="5">
        <v>0</v>
      </c>
      <c r="W66" s="5">
        <v>0</v>
      </c>
      <c r="X66" s="5">
        <v>100</v>
      </c>
      <c r="Y66" s="5">
        <v>391.25</v>
      </c>
      <c r="Z66" s="4" t="s">
        <v>46</v>
      </c>
      <c r="AA66" s="5" t="s">
        <v>46</v>
      </c>
      <c r="AB66" s="4" t="s">
        <v>59</v>
      </c>
      <c r="AC66" s="4" t="s">
        <v>46</v>
      </c>
      <c r="AD66" s="5">
        <v>0</v>
      </c>
      <c r="AE66" s="4" t="s">
        <v>60</v>
      </c>
      <c r="AF66" s="3">
        <v>45748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75</v>
      </c>
      <c r="AO66" s="4" t="s">
        <v>46</v>
      </c>
      <c r="AP66" s="4" t="s">
        <v>46</v>
      </c>
    </row>
    <row r="67" spans="1:42" x14ac:dyDescent="0.25">
      <c r="A67" s="2">
        <v>1891456</v>
      </c>
      <c r="B67" s="3">
        <v>45756</v>
      </c>
      <c r="C67" s="4" t="s">
        <v>281</v>
      </c>
      <c r="D67" s="2">
        <v>1831320</v>
      </c>
      <c r="E67" s="4" t="s">
        <v>282</v>
      </c>
      <c r="F67" s="4" t="s">
        <v>283</v>
      </c>
      <c r="G67" s="2">
        <v>534077284</v>
      </c>
      <c r="H67" s="4" t="s">
        <v>284</v>
      </c>
      <c r="I67" s="4" t="s">
        <v>46</v>
      </c>
      <c r="J67" s="4" t="s">
        <v>47</v>
      </c>
      <c r="K67" s="4" t="s">
        <v>48</v>
      </c>
      <c r="L67" s="3">
        <v>45748</v>
      </c>
      <c r="M67" s="4" t="s">
        <v>64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74</v>
      </c>
      <c r="U67" s="4" t="s">
        <v>46</v>
      </c>
      <c r="V67" s="5">
        <v>0</v>
      </c>
      <c r="W67" s="5">
        <v>0</v>
      </c>
      <c r="X67" s="5">
        <v>100</v>
      </c>
      <c r="Y67" s="5">
        <v>391.25</v>
      </c>
      <c r="Z67" s="4" t="s">
        <v>46</v>
      </c>
      <c r="AA67" s="5" t="s">
        <v>46</v>
      </c>
      <c r="AB67" s="4" t="s">
        <v>59</v>
      </c>
      <c r="AC67" s="4" t="s">
        <v>46</v>
      </c>
      <c r="AD67" s="5">
        <v>0</v>
      </c>
      <c r="AE67" s="4" t="s">
        <v>60</v>
      </c>
      <c r="AF67" s="3">
        <v>45748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75</v>
      </c>
      <c r="AO67" s="4" t="s">
        <v>46</v>
      </c>
      <c r="AP67" s="4" t="s">
        <v>46</v>
      </c>
    </row>
    <row r="68" spans="1:42" x14ac:dyDescent="0.25">
      <c r="A68" s="2">
        <v>1891456</v>
      </c>
      <c r="B68" s="3">
        <v>45756</v>
      </c>
      <c r="C68" s="4" t="s">
        <v>281</v>
      </c>
      <c r="D68" s="2">
        <v>1831320</v>
      </c>
      <c r="E68" s="4" t="s">
        <v>285</v>
      </c>
      <c r="F68" s="4" t="s">
        <v>286</v>
      </c>
      <c r="G68" s="2">
        <v>36841114</v>
      </c>
      <c r="H68" s="4" t="s">
        <v>287</v>
      </c>
      <c r="I68" s="4" t="s">
        <v>46</v>
      </c>
      <c r="J68" s="4" t="s">
        <v>47</v>
      </c>
      <c r="K68" s="4" t="s">
        <v>48</v>
      </c>
      <c r="L68" s="3">
        <v>45748</v>
      </c>
      <c r="M68" s="4" t="s">
        <v>64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</v>
      </c>
      <c r="W68" s="5">
        <v>0</v>
      </c>
      <c r="X68" s="5">
        <v>100</v>
      </c>
      <c r="Y68" s="5">
        <v>391.25</v>
      </c>
      <c r="Z68" s="4" t="s">
        <v>46</v>
      </c>
      <c r="AA68" s="5" t="s">
        <v>46</v>
      </c>
      <c r="AB68" s="4" t="s">
        <v>59</v>
      </c>
      <c r="AC68" s="4" t="s">
        <v>46</v>
      </c>
      <c r="AD68" s="5">
        <v>0</v>
      </c>
      <c r="AE68" s="4" t="s">
        <v>60</v>
      </c>
      <c r="AF68" s="3">
        <v>45748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55</v>
      </c>
      <c r="AO68" s="4" t="s">
        <v>46</v>
      </c>
      <c r="AP68" s="4" t="s">
        <v>46</v>
      </c>
    </row>
    <row r="69" spans="1:42" x14ac:dyDescent="0.25">
      <c r="A69" s="2">
        <v>1891456</v>
      </c>
      <c r="B69" s="3">
        <v>45756</v>
      </c>
      <c r="C69" s="4" t="s">
        <v>288</v>
      </c>
      <c r="D69" s="2">
        <v>1831491</v>
      </c>
      <c r="E69" s="4" t="s">
        <v>289</v>
      </c>
      <c r="F69" s="4" t="s">
        <v>290</v>
      </c>
      <c r="G69" s="2">
        <v>360932064</v>
      </c>
      <c r="H69" s="4" t="s">
        <v>291</v>
      </c>
      <c r="I69" s="4" t="s">
        <v>46</v>
      </c>
      <c r="J69" s="4" t="s">
        <v>47</v>
      </c>
      <c r="K69" s="4" t="s">
        <v>48</v>
      </c>
      <c r="L69" s="3">
        <v>45658</v>
      </c>
      <c r="M69" s="4" t="s">
        <v>166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-0.83</v>
      </c>
      <c r="W69" s="5">
        <v>0</v>
      </c>
      <c r="X69" s="5">
        <v>100</v>
      </c>
      <c r="Y69" s="5">
        <v>-260.83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55</v>
      </c>
      <c r="AO69" s="4" t="s">
        <v>46</v>
      </c>
      <c r="AP69" s="4" t="s">
        <v>46</v>
      </c>
    </row>
    <row r="70" spans="1:42" x14ac:dyDescent="0.25">
      <c r="A70" s="2">
        <v>1891456</v>
      </c>
      <c r="B70" s="3">
        <v>45756</v>
      </c>
      <c r="C70" s="4" t="s">
        <v>288</v>
      </c>
      <c r="D70" s="2">
        <v>1831491</v>
      </c>
      <c r="E70" s="4" t="s">
        <v>292</v>
      </c>
      <c r="F70" s="4" t="s">
        <v>293</v>
      </c>
      <c r="G70" s="2">
        <v>429597071</v>
      </c>
      <c r="H70" s="4" t="s">
        <v>294</v>
      </c>
      <c r="I70" s="4" t="s">
        <v>46</v>
      </c>
      <c r="J70" s="4" t="s">
        <v>47</v>
      </c>
      <c r="K70" s="4" t="s">
        <v>48</v>
      </c>
      <c r="L70" s="3">
        <v>45748</v>
      </c>
      <c r="M70" s="4" t="s">
        <v>64</v>
      </c>
      <c r="N70" s="4" t="s">
        <v>46</v>
      </c>
      <c r="O70" s="4" t="s">
        <v>106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52</v>
      </c>
      <c r="U70" s="4" t="s">
        <v>46</v>
      </c>
      <c r="V70" s="5">
        <v>1</v>
      </c>
      <c r="W70" s="5">
        <v>0</v>
      </c>
      <c r="X70" s="5">
        <v>100</v>
      </c>
      <c r="Y70" s="5">
        <v>26.08</v>
      </c>
      <c r="Z70" s="4" t="s">
        <v>46</v>
      </c>
      <c r="AA70" s="5" t="s">
        <v>46</v>
      </c>
      <c r="AB70" s="4" t="s">
        <v>107</v>
      </c>
      <c r="AC70" s="4" t="s">
        <v>46</v>
      </c>
      <c r="AD70" s="5">
        <v>0</v>
      </c>
      <c r="AE70" s="4" t="s">
        <v>108</v>
      </c>
      <c r="AF70" s="3">
        <v>45627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55</v>
      </c>
      <c r="AO70" s="4" t="s">
        <v>46</v>
      </c>
      <c r="AP70" s="4" t="s">
        <v>46</v>
      </c>
    </row>
    <row r="71" spans="1:42" x14ac:dyDescent="0.25">
      <c r="A71" s="2">
        <v>1891456</v>
      </c>
      <c r="B71" s="3">
        <v>45756</v>
      </c>
      <c r="C71" s="4" t="s">
        <v>288</v>
      </c>
      <c r="D71" s="2">
        <v>1831491</v>
      </c>
      <c r="E71" s="4" t="s">
        <v>295</v>
      </c>
      <c r="F71" s="4" t="s">
        <v>296</v>
      </c>
      <c r="G71" s="2">
        <v>425298585</v>
      </c>
      <c r="H71" s="4" t="s">
        <v>297</v>
      </c>
      <c r="I71" s="4" t="s">
        <v>46</v>
      </c>
      <c r="J71" s="4" t="s">
        <v>47</v>
      </c>
      <c r="K71" s="4" t="s">
        <v>48</v>
      </c>
      <c r="L71" s="3">
        <v>45717</v>
      </c>
      <c r="M71" s="4" t="s">
        <v>119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52</v>
      </c>
      <c r="U71" s="4" t="s">
        <v>46</v>
      </c>
      <c r="V71" s="5">
        <v>0</v>
      </c>
      <c r="W71" s="5">
        <v>0</v>
      </c>
      <c r="X71" s="5">
        <v>100</v>
      </c>
      <c r="Y71" s="5">
        <v>365.17</v>
      </c>
      <c r="Z71" s="4" t="s">
        <v>46</v>
      </c>
      <c r="AA71" s="5" t="s">
        <v>46</v>
      </c>
      <c r="AB71" s="4" t="s">
        <v>59</v>
      </c>
      <c r="AC71" s="4" t="s">
        <v>46</v>
      </c>
      <c r="AD71" s="5">
        <v>0</v>
      </c>
      <c r="AE71" s="4" t="s">
        <v>60</v>
      </c>
      <c r="AF71" s="3">
        <v>45717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55</v>
      </c>
      <c r="AO71" s="4" t="s">
        <v>46</v>
      </c>
      <c r="AP71" s="4" t="s">
        <v>46</v>
      </c>
    </row>
    <row r="72" spans="1:42" x14ac:dyDescent="0.25">
      <c r="A72" s="2">
        <v>1891456</v>
      </c>
      <c r="B72" s="3">
        <v>45756</v>
      </c>
      <c r="C72" s="4" t="s">
        <v>288</v>
      </c>
      <c r="D72" s="2">
        <v>1831491</v>
      </c>
      <c r="E72" s="4" t="s">
        <v>298</v>
      </c>
      <c r="F72" s="4" t="s">
        <v>299</v>
      </c>
      <c r="G72" s="2">
        <v>946000053</v>
      </c>
      <c r="H72" s="4" t="s">
        <v>300</v>
      </c>
      <c r="I72" s="4" t="s">
        <v>46</v>
      </c>
      <c r="J72" s="4" t="s">
        <v>47</v>
      </c>
      <c r="K72" s="4" t="s">
        <v>48</v>
      </c>
      <c r="L72" s="3">
        <v>45809</v>
      </c>
      <c r="M72" s="4" t="s">
        <v>86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52</v>
      </c>
      <c r="U72" s="4" t="s">
        <v>46</v>
      </c>
      <c r="V72" s="5">
        <v>0</v>
      </c>
      <c r="W72" s="5">
        <v>0</v>
      </c>
      <c r="X72" s="5">
        <v>100</v>
      </c>
      <c r="Y72" s="5">
        <v>443.42</v>
      </c>
      <c r="Z72" s="4" t="s">
        <v>46</v>
      </c>
      <c r="AA72" s="5" t="s">
        <v>46</v>
      </c>
      <c r="AB72" s="4" t="s">
        <v>59</v>
      </c>
      <c r="AC72" s="4" t="s">
        <v>46</v>
      </c>
      <c r="AD72" s="5">
        <v>0</v>
      </c>
      <c r="AE72" s="4" t="s">
        <v>60</v>
      </c>
      <c r="AF72" s="3">
        <v>45809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55</v>
      </c>
      <c r="AO72" s="4" t="s">
        <v>46</v>
      </c>
      <c r="AP72" s="4" t="s">
        <v>46</v>
      </c>
    </row>
    <row r="73" spans="1:42" x14ac:dyDescent="0.25">
      <c r="A73" s="2">
        <v>1891456</v>
      </c>
      <c r="B73" s="3">
        <v>45756</v>
      </c>
      <c r="C73" s="4" t="s">
        <v>288</v>
      </c>
      <c r="D73" s="2">
        <v>1831491</v>
      </c>
      <c r="E73" s="4" t="s">
        <v>301</v>
      </c>
      <c r="F73" s="4" t="s">
        <v>302</v>
      </c>
      <c r="G73" s="2">
        <v>493304104</v>
      </c>
      <c r="H73" s="4" t="s">
        <v>303</v>
      </c>
      <c r="I73" s="4" t="s">
        <v>46</v>
      </c>
      <c r="J73" s="4" t="s">
        <v>47</v>
      </c>
      <c r="K73" s="4" t="s">
        <v>48</v>
      </c>
      <c r="L73" s="3">
        <v>45748</v>
      </c>
      <c r="M73" s="4" t="s">
        <v>64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52</v>
      </c>
      <c r="U73" s="4" t="s">
        <v>46</v>
      </c>
      <c r="V73" s="5">
        <v>0</v>
      </c>
      <c r="W73" s="5">
        <v>0</v>
      </c>
      <c r="X73" s="5">
        <v>100</v>
      </c>
      <c r="Y73" s="5">
        <v>234.75</v>
      </c>
      <c r="Z73" s="4" t="s">
        <v>46</v>
      </c>
      <c r="AA73" s="5" t="s">
        <v>46</v>
      </c>
      <c r="AB73" s="4" t="s">
        <v>59</v>
      </c>
      <c r="AC73" s="4" t="s">
        <v>46</v>
      </c>
      <c r="AD73" s="5">
        <v>0</v>
      </c>
      <c r="AE73" s="4" t="s">
        <v>60</v>
      </c>
      <c r="AF73" s="3">
        <v>45748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55</v>
      </c>
      <c r="AO73" s="4" t="s">
        <v>46</v>
      </c>
      <c r="AP73" s="4" t="s">
        <v>46</v>
      </c>
    </row>
    <row r="74" spans="1:42" x14ac:dyDescent="0.25">
      <c r="A74" s="2">
        <v>1891456</v>
      </c>
      <c r="B74" s="3">
        <v>45756</v>
      </c>
      <c r="C74" s="4" t="s">
        <v>304</v>
      </c>
      <c r="D74" s="2">
        <v>1855975</v>
      </c>
      <c r="E74" s="4" t="s">
        <v>305</v>
      </c>
      <c r="F74" s="4" t="s">
        <v>306</v>
      </c>
      <c r="G74" s="2">
        <v>415996200</v>
      </c>
      <c r="H74" s="4" t="s">
        <v>307</v>
      </c>
      <c r="I74" s="4" t="s">
        <v>46</v>
      </c>
      <c r="J74" s="4" t="s">
        <v>47</v>
      </c>
      <c r="K74" s="4" t="s">
        <v>48</v>
      </c>
      <c r="L74" s="3">
        <v>45748</v>
      </c>
      <c r="M74" s="4" t="s">
        <v>64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74</v>
      </c>
      <c r="U74" s="4" t="s">
        <v>46</v>
      </c>
      <c r="V74" s="5">
        <v>0</v>
      </c>
      <c r="W74" s="5">
        <v>0</v>
      </c>
      <c r="X74" s="5">
        <v>100</v>
      </c>
      <c r="Y74" s="5">
        <v>391.25</v>
      </c>
      <c r="Z74" s="4" t="s">
        <v>46</v>
      </c>
      <c r="AA74" s="5" t="s">
        <v>46</v>
      </c>
      <c r="AB74" s="4" t="s">
        <v>59</v>
      </c>
      <c r="AC74" s="4" t="s">
        <v>46</v>
      </c>
      <c r="AD74" s="5">
        <v>0</v>
      </c>
      <c r="AE74" s="4" t="s">
        <v>60</v>
      </c>
      <c r="AF74" s="3">
        <v>45748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308</v>
      </c>
      <c r="AO74" s="4" t="s">
        <v>46</v>
      </c>
      <c r="AP74" s="4" t="s">
        <v>46</v>
      </c>
    </row>
    <row r="75" spans="1:42" x14ac:dyDescent="0.25">
      <c r="A75" s="2">
        <v>1891456</v>
      </c>
      <c r="B75" s="3">
        <v>45756</v>
      </c>
      <c r="C75" s="4" t="s">
        <v>304</v>
      </c>
      <c r="D75" s="2">
        <v>1855975</v>
      </c>
      <c r="E75" s="4" t="s">
        <v>309</v>
      </c>
      <c r="F75" s="4" t="s">
        <v>310</v>
      </c>
      <c r="G75" s="2">
        <v>437306942</v>
      </c>
      <c r="H75" s="4" t="s">
        <v>311</v>
      </c>
      <c r="I75" s="4" t="s">
        <v>46</v>
      </c>
      <c r="J75" s="4" t="s">
        <v>47</v>
      </c>
      <c r="K75" s="4" t="s">
        <v>48</v>
      </c>
      <c r="L75" s="3">
        <v>45809</v>
      </c>
      <c r="M75" s="4" t="s">
        <v>86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74</v>
      </c>
      <c r="U75" s="4" t="s">
        <v>46</v>
      </c>
      <c r="V75" s="5">
        <v>0</v>
      </c>
      <c r="W75" s="5">
        <v>0</v>
      </c>
      <c r="X75" s="5">
        <v>100</v>
      </c>
      <c r="Y75" s="5">
        <v>443.42</v>
      </c>
      <c r="Z75" s="4" t="s">
        <v>46</v>
      </c>
      <c r="AA75" s="5" t="s">
        <v>46</v>
      </c>
      <c r="AB75" s="4" t="s">
        <v>59</v>
      </c>
      <c r="AC75" s="4" t="s">
        <v>46</v>
      </c>
      <c r="AD75" s="5">
        <v>0</v>
      </c>
      <c r="AE75" s="4" t="s">
        <v>60</v>
      </c>
      <c r="AF75" s="3">
        <v>45809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312</v>
      </c>
      <c r="AO75" s="4" t="s">
        <v>46</v>
      </c>
      <c r="AP75" s="4" t="s">
        <v>46</v>
      </c>
    </row>
    <row r="76" spans="1:42" x14ac:dyDescent="0.25">
      <c r="A76" s="2">
        <v>1891456</v>
      </c>
      <c r="B76" s="3">
        <v>45756</v>
      </c>
      <c r="C76" s="4" t="s">
        <v>304</v>
      </c>
      <c r="D76" s="2">
        <v>1855975</v>
      </c>
      <c r="E76" s="4" t="s">
        <v>313</v>
      </c>
      <c r="F76" s="4" t="s">
        <v>314</v>
      </c>
      <c r="G76" s="2">
        <v>844680425</v>
      </c>
      <c r="H76" s="4" t="s">
        <v>315</v>
      </c>
      <c r="I76" s="4" t="s">
        <v>46</v>
      </c>
      <c r="J76" s="4" t="s">
        <v>47</v>
      </c>
      <c r="K76" s="4" t="s">
        <v>48</v>
      </c>
      <c r="L76" s="3">
        <v>45778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52</v>
      </c>
      <c r="U76" s="4" t="s">
        <v>46</v>
      </c>
      <c r="V76" s="5">
        <v>0.67</v>
      </c>
      <c r="W76" s="5">
        <v>0</v>
      </c>
      <c r="X76" s="5">
        <v>100</v>
      </c>
      <c r="Y76" s="5">
        <v>208.67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45778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55</v>
      </c>
      <c r="AO76" s="4" t="s">
        <v>46</v>
      </c>
      <c r="AP76" s="4" t="s">
        <v>46</v>
      </c>
    </row>
    <row r="77" spans="1:42" x14ac:dyDescent="0.25">
      <c r="A77" s="2">
        <v>1891456</v>
      </c>
      <c r="B77" s="3">
        <v>45756</v>
      </c>
      <c r="C77" s="4" t="s">
        <v>304</v>
      </c>
      <c r="D77" s="2">
        <v>1855975</v>
      </c>
      <c r="E77" s="4" t="s">
        <v>316</v>
      </c>
      <c r="F77" s="4" t="s">
        <v>317</v>
      </c>
      <c r="G77" s="2">
        <v>0</v>
      </c>
      <c r="H77" s="4" t="s">
        <v>318</v>
      </c>
      <c r="I77" s="4" t="s">
        <v>46</v>
      </c>
      <c r="J77" s="4" t="s">
        <v>47</v>
      </c>
      <c r="K77" s="4" t="s">
        <v>319</v>
      </c>
      <c r="L77" s="3">
        <v>45778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74</v>
      </c>
      <c r="U77" s="4" t="s">
        <v>46</v>
      </c>
      <c r="V77" s="5">
        <v>0.67</v>
      </c>
      <c r="W77" s="5">
        <v>0</v>
      </c>
      <c r="X77" s="5">
        <v>100</v>
      </c>
      <c r="Y77" s="5">
        <v>208.67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45778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320</v>
      </c>
      <c r="AO77" s="4" t="s">
        <v>46</v>
      </c>
      <c r="AP77" s="4" t="s">
        <v>46</v>
      </c>
    </row>
    <row r="78" spans="1:42" x14ac:dyDescent="0.25">
      <c r="A78" s="2">
        <v>1891456</v>
      </c>
      <c r="B78" s="3">
        <v>45756</v>
      </c>
      <c r="C78" s="4" t="s">
        <v>321</v>
      </c>
      <c r="D78" s="2">
        <v>1875462</v>
      </c>
      <c r="E78" s="4" t="s">
        <v>322</v>
      </c>
      <c r="F78" s="4" t="s">
        <v>323</v>
      </c>
      <c r="G78" s="2">
        <v>889515130</v>
      </c>
      <c r="H78" s="4" t="s">
        <v>324</v>
      </c>
      <c r="I78" s="4" t="s">
        <v>46</v>
      </c>
      <c r="J78" s="4" t="s">
        <v>47</v>
      </c>
      <c r="K78" s="4" t="s">
        <v>48</v>
      </c>
      <c r="L78" s="3">
        <v>45778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52</v>
      </c>
      <c r="U78" s="4" t="s">
        <v>46</v>
      </c>
      <c r="V78" s="5">
        <v>0</v>
      </c>
      <c r="W78" s="5">
        <v>0</v>
      </c>
      <c r="X78" s="5">
        <v>100</v>
      </c>
      <c r="Y78" s="5">
        <v>469.67</v>
      </c>
      <c r="Z78" s="4" t="s">
        <v>46</v>
      </c>
      <c r="AA78" s="5" t="s">
        <v>46</v>
      </c>
      <c r="AB78" s="4" t="s">
        <v>59</v>
      </c>
      <c r="AC78" s="4" t="s">
        <v>46</v>
      </c>
      <c r="AD78" s="5">
        <v>0</v>
      </c>
      <c r="AE78" s="4" t="s">
        <v>60</v>
      </c>
      <c r="AF78" s="3">
        <v>45778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178</v>
      </c>
      <c r="AO78" s="4" t="s">
        <v>46</v>
      </c>
      <c r="AP78" s="4" t="s">
        <v>46</v>
      </c>
    </row>
    <row r="79" spans="1:42" x14ac:dyDescent="0.25">
      <c r="A79" s="2">
        <v>1891456</v>
      </c>
      <c r="B79" s="3">
        <v>45756</v>
      </c>
      <c r="C79" s="4" t="s">
        <v>325</v>
      </c>
      <c r="D79" s="2">
        <v>1951804</v>
      </c>
      <c r="E79" s="4" t="s">
        <v>326</v>
      </c>
      <c r="F79" s="4" t="s">
        <v>327</v>
      </c>
      <c r="G79" s="2">
        <v>200923594</v>
      </c>
      <c r="H79" s="4" t="s">
        <v>328</v>
      </c>
      <c r="I79" s="4" t="s">
        <v>46</v>
      </c>
      <c r="J79" s="4" t="s">
        <v>47</v>
      </c>
      <c r="K79" s="4" t="s">
        <v>48</v>
      </c>
      <c r="L79" s="3">
        <v>45778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0.67</v>
      </c>
      <c r="W79" s="5">
        <v>0</v>
      </c>
      <c r="X79" s="5">
        <v>100</v>
      </c>
      <c r="Y79" s="5">
        <v>208.67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45778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55</v>
      </c>
      <c r="AO79" s="4" t="s">
        <v>46</v>
      </c>
      <c r="AP79" s="4" t="s">
        <v>46</v>
      </c>
    </row>
    <row r="80" spans="1:42" x14ac:dyDescent="0.25">
      <c r="A80" s="2">
        <v>1891456</v>
      </c>
      <c r="B80" s="3">
        <v>45756</v>
      </c>
      <c r="C80" s="4" t="s">
        <v>329</v>
      </c>
      <c r="D80" s="2">
        <v>1953307</v>
      </c>
      <c r="E80" s="4" t="s">
        <v>330</v>
      </c>
      <c r="F80" s="4" t="s">
        <v>331</v>
      </c>
      <c r="G80" s="2">
        <v>761817042</v>
      </c>
      <c r="H80" s="4" t="s">
        <v>332</v>
      </c>
      <c r="I80" s="4" t="s">
        <v>46</v>
      </c>
      <c r="J80" s="4" t="s">
        <v>47</v>
      </c>
      <c r="K80" s="4" t="s">
        <v>48</v>
      </c>
      <c r="L80" s="3">
        <v>45748</v>
      </c>
      <c r="M80" s="4" t="s">
        <v>64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52</v>
      </c>
      <c r="U80" s="4" t="s">
        <v>46</v>
      </c>
      <c r="V80" s="5">
        <v>0.75</v>
      </c>
      <c r="W80" s="5">
        <v>0</v>
      </c>
      <c r="X80" s="5">
        <v>100</v>
      </c>
      <c r="Y80" s="5">
        <v>234.75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45748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55</v>
      </c>
      <c r="AO80" s="4" t="s">
        <v>46</v>
      </c>
      <c r="AP80" s="4" t="s">
        <v>46</v>
      </c>
    </row>
    <row r="81" spans="1:42" x14ac:dyDescent="0.25">
      <c r="A81" s="2">
        <v>1891456</v>
      </c>
      <c r="B81" s="3">
        <v>45756</v>
      </c>
      <c r="C81" s="4" t="s">
        <v>329</v>
      </c>
      <c r="D81" s="2">
        <v>1953307</v>
      </c>
      <c r="E81" s="4" t="s">
        <v>333</v>
      </c>
      <c r="F81" s="4" t="s">
        <v>334</v>
      </c>
      <c r="G81" s="2">
        <v>604061158</v>
      </c>
      <c r="H81" s="4" t="s">
        <v>335</v>
      </c>
      <c r="I81" s="4" t="s">
        <v>46</v>
      </c>
      <c r="J81" s="4" t="s">
        <v>47</v>
      </c>
      <c r="K81" s="4" t="s">
        <v>48</v>
      </c>
      <c r="L81" s="3">
        <v>45748</v>
      </c>
      <c r="M81" s="4" t="s">
        <v>64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52</v>
      </c>
      <c r="U81" s="4" t="s">
        <v>46</v>
      </c>
      <c r="V81" s="5">
        <v>0</v>
      </c>
      <c r="W81" s="5">
        <v>0</v>
      </c>
      <c r="X81" s="5">
        <v>100</v>
      </c>
      <c r="Y81" s="5">
        <v>391.25</v>
      </c>
      <c r="Z81" s="4" t="s">
        <v>46</v>
      </c>
      <c r="AA81" s="5" t="s">
        <v>46</v>
      </c>
      <c r="AB81" s="4" t="s">
        <v>59</v>
      </c>
      <c r="AC81" s="4" t="s">
        <v>46</v>
      </c>
      <c r="AD81" s="5">
        <v>0</v>
      </c>
      <c r="AE81" s="4" t="s">
        <v>60</v>
      </c>
      <c r="AF81" s="3">
        <v>45748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55</v>
      </c>
      <c r="AO81" s="4" t="s">
        <v>46</v>
      </c>
      <c r="AP81" s="4" t="s">
        <v>46</v>
      </c>
    </row>
    <row r="82" spans="1:42" x14ac:dyDescent="0.25">
      <c r="A82" s="2">
        <v>1891456</v>
      </c>
      <c r="B82" s="3">
        <v>45756</v>
      </c>
      <c r="C82" s="4" t="s">
        <v>95</v>
      </c>
      <c r="D82" s="2">
        <v>1509744</v>
      </c>
      <c r="E82" s="4" t="s">
        <v>336</v>
      </c>
      <c r="F82" s="4" t="s">
        <v>337</v>
      </c>
      <c r="G82" s="4" t="s">
        <v>46</v>
      </c>
      <c r="H82" s="4" t="s">
        <v>46</v>
      </c>
      <c r="I82" s="4" t="s">
        <v>46</v>
      </c>
      <c r="J82" s="4" t="s">
        <v>338</v>
      </c>
      <c r="K82" s="4" t="s">
        <v>339</v>
      </c>
      <c r="L82" s="3">
        <v>45778</v>
      </c>
      <c r="M82" s="4" t="s">
        <v>49</v>
      </c>
      <c r="N82" s="4" t="s">
        <v>46</v>
      </c>
      <c r="O82" s="4" t="s">
        <v>106</v>
      </c>
      <c r="P82" s="4" t="s">
        <v>106</v>
      </c>
      <c r="Q82" s="2">
        <v>2</v>
      </c>
      <c r="R82" s="2">
        <v>60</v>
      </c>
      <c r="S82" s="4" t="s">
        <v>340</v>
      </c>
      <c r="T82" s="4" t="s">
        <v>46</v>
      </c>
      <c r="U82" s="4" t="s">
        <v>46</v>
      </c>
      <c r="V82" s="5">
        <v>10</v>
      </c>
      <c r="W82" s="5">
        <v>26.88</v>
      </c>
      <c r="X82" s="5">
        <v>100</v>
      </c>
      <c r="Y82" s="5">
        <v>2.69</v>
      </c>
      <c r="Z82" s="4" t="s">
        <v>46</v>
      </c>
      <c r="AA82" s="5" t="s">
        <v>46</v>
      </c>
      <c r="AB82" s="4" t="s">
        <v>341</v>
      </c>
      <c r="AC82" s="4" t="s">
        <v>46</v>
      </c>
      <c r="AD82" s="5">
        <v>0</v>
      </c>
      <c r="AE82" s="4" t="s">
        <v>342</v>
      </c>
      <c r="AF82" s="3">
        <v>45384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5">
      <c r="A83" s="2">
        <v>1891456</v>
      </c>
      <c r="B83" s="3">
        <v>45756</v>
      </c>
      <c r="C83" s="4" t="s">
        <v>95</v>
      </c>
      <c r="D83" s="2">
        <v>1509744</v>
      </c>
      <c r="E83" s="4" t="s">
        <v>343</v>
      </c>
      <c r="F83" s="4" t="s">
        <v>344</v>
      </c>
      <c r="G83" s="4" t="s">
        <v>46</v>
      </c>
      <c r="H83" s="4" t="s">
        <v>46</v>
      </c>
      <c r="I83" s="4" t="s">
        <v>46</v>
      </c>
      <c r="J83" s="4" t="s">
        <v>338</v>
      </c>
      <c r="K83" s="4" t="s">
        <v>339</v>
      </c>
      <c r="L83" s="3">
        <v>45778</v>
      </c>
      <c r="M83" s="4" t="s">
        <v>49</v>
      </c>
      <c r="N83" s="4" t="s">
        <v>46</v>
      </c>
      <c r="O83" s="4" t="s">
        <v>106</v>
      </c>
      <c r="P83" s="4" t="s">
        <v>106</v>
      </c>
      <c r="Q83" s="2">
        <v>1</v>
      </c>
      <c r="R83" s="2">
        <v>3</v>
      </c>
      <c r="S83" s="4" t="s">
        <v>345</v>
      </c>
      <c r="T83" s="4" t="s">
        <v>46</v>
      </c>
      <c r="U83" s="4" t="s">
        <v>46</v>
      </c>
      <c r="V83" s="5">
        <v>10</v>
      </c>
      <c r="W83" s="5">
        <v>13.93</v>
      </c>
      <c r="X83" s="5">
        <v>100</v>
      </c>
      <c r="Y83" s="5">
        <v>1.39</v>
      </c>
      <c r="Z83" s="4" t="s">
        <v>46</v>
      </c>
      <c r="AA83" s="5" t="s">
        <v>46</v>
      </c>
      <c r="AB83" s="4" t="s">
        <v>341</v>
      </c>
      <c r="AC83" s="4" t="s">
        <v>46</v>
      </c>
      <c r="AD83" s="5">
        <v>0</v>
      </c>
      <c r="AE83" s="4" t="s">
        <v>342</v>
      </c>
      <c r="AF83" s="3">
        <v>44197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5">
      <c r="A84" s="2">
        <v>1891456</v>
      </c>
      <c r="B84" s="3">
        <v>45756</v>
      </c>
      <c r="C84" s="4" t="s">
        <v>95</v>
      </c>
      <c r="D84" s="2">
        <v>1509744</v>
      </c>
      <c r="E84" s="4" t="s">
        <v>346</v>
      </c>
      <c r="F84" s="4" t="s">
        <v>347</v>
      </c>
      <c r="G84" s="4" t="s">
        <v>46</v>
      </c>
      <c r="H84" s="4" t="s">
        <v>46</v>
      </c>
      <c r="I84" s="4" t="s">
        <v>46</v>
      </c>
      <c r="J84" s="4" t="s">
        <v>338</v>
      </c>
      <c r="K84" s="4" t="s">
        <v>339</v>
      </c>
      <c r="L84" s="3">
        <v>45778</v>
      </c>
      <c r="M84" s="4" t="s">
        <v>49</v>
      </c>
      <c r="N84" s="4" t="s">
        <v>46</v>
      </c>
      <c r="O84" s="4" t="s">
        <v>106</v>
      </c>
      <c r="P84" s="4" t="s">
        <v>106</v>
      </c>
      <c r="Q84" s="2">
        <v>1</v>
      </c>
      <c r="R84" s="2">
        <v>60</v>
      </c>
      <c r="S84" s="4" t="s">
        <v>340</v>
      </c>
      <c r="T84" s="4" t="s">
        <v>46</v>
      </c>
      <c r="U84" s="4" t="s">
        <v>46</v>
      </c>
      <c r="V84" s="5">
        <v>10</v>
      </c>
      <c r="W84" s="5">
        <v>13.93</v>
      </c>
      <c r="X84" s="5">
        <v>100</v>
      </c>
      <c r="Y84" s="5">
        <v>1.39</v>
      </c>
      <c r="Z84" s="4" t="s">
        <v>46</v>
      </c>
      <c r="AA84" s="5" t="s">
        <v>46</v>
      </c>
      <c r="AB84" s="4" t="s">
        <v>341</v>
      </c>
      <c r="AC84" s="4" t="s">
        <v>46</v>
      </c>
      <c r="AD84" s="5">
        <v>0</v>
      </c>
      <c r="AE84" s="4" t="s">
        <v>342</v>
      </c>
      <c r="AF84" s="3">
        <v>45323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5">
      <c r="A85" s="2">
        <v>1891456</v>
      </c>
      <c r="B85" s="3">
        <v>45756</v>
      </c>
      <c r="C85" s="4" t="s">
        <v>95</v>
      </c>
      <c r="D85" s="2">
        <v>1509744</v>
      </c>
      <c r="E85" s="4" t="s">
        <v>348</v>
      </c>
      <c r="F85" s="4" t="s">
        <v>349</v>
      </c>
      <c r="G85" s="4" t="s">
        <v>46</v>
      </c>
      <c r="H85" s="4" t="s">
        <v>46</v>
      </c>
      <c r="I85" s="4" t="s">
        <v>46</v>
      </c>
      <c r="J85" s="4" t="s">
        <v>338</v>
      </c>
      <c r="K85" s="4" t="s">
        <v>339</v>
      </c>
      <c r="L85" s="3">
        <v>45778</v>
      </c>
      <c r="M85" s="4" t="s">
        <v>49</v>
      </c>
      <c r="N85" s="4" t="s">
        <v>46</v>
      </c>
      <c r="O85" s="4" t="s">
        <v>106</v>
      </c>
      <c r="P85" s="4" t="s">
        <v>106</v>
      </c>
      <c r="Q85" s="2">
        <v>2</v>
      </c>
      <c r="R85" s="2">
        <v>60</v>
      </c>
      <c r="S85" s="4" t="s">
        <v>340</v>
      </c>
      <c r="T85" s="4" t="s">
        <v>46</v>
      </c>
      <c r="U85" s="4" t="s">
        <v>46</v>
      </c>
      <c r="V85" s="5">
        <v>10</v>
      </c>
      <c r="W85" s="5">
        <v>26.88</v>
      </c>
      <c r="X85" s="5">
        <v>100</v>
      </c>
      <c r="Y85" s="5">
        <v>2.69</v>
      </c>
      <c r="Z85" s="4" t="s">
        <v>46</v>
      </c>
      <c r="AA85" s="5" t="s">
        <v>46</v>
      </c>
      <c r="AB85" s="4" t="s">
        <v>341</v>
      </c>
      <c r="AC85" s="4" t="s">
        <v>46</v>
      </c>
      <c r="AD85" s="5">
        <v>0</v>
      </c>
      <c r="AE85" s="4" t="s">
        <v>342</v>
      </c>
      <c r="AF85" s="3">
        <v>45323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5">
      <c r="A86" s="2">
        <v>1891456</v>
      </c>
      <c r="B86" s="3">
        <v>45756</v>
      </c>
      <c r="C86" s="4" t="s">
        <v>95</v>
      </c>
      <c r="D86" s="2">
        <v>1509744</v>
      </c>
      <c r="E86" s="4" t="s">
        <v>350</v>
      </c>
      <c r="F86" s="4" t="s">
        <v>351</v>
      </c>
      <c r="G86" s="4" t="s">
        <v>46</v>
      </c>
      <c r="H86" s="4" t="s">
        <v>46</v>
      </c>
      <c r="I86" s="4" t="s">
        <v>46</v>
      </c>
      <c r="J86" s="4" t="s">
        <v>338</v>
      </c>
      <c r="K86" s="4" t="s">
        <v>339</v>
      </c>
      <c r="L86" s="3">
        <v>45778</v>
      </c>
      <c r="M86" s="4" t="s">
        <v>49</v>
      </c>
      <c r="N86" s="4" t="s">
        <v>46</v>
      </c>
      <c r="O86" s="4" t="s">
        <v>106</v>
      </c>
      <c r="P86" s="4" t="s">
        <v>106</v>
      </c>
      <c r="Q86" s="2">
        <v>4</v>
      </c>
      <c r="R86" s="2">
        <v>60</v>
      </c>
      <c r="S86" s="4" t="s">
        <v>340</v>
      </c>
      <c r="T86" s="4" t="s">
        <v>46</v>
      </c>
      <c r="U86" s="4" t="s">
        <v>46</v>
      </c>
      <c r="V86" s="5">
        <v>10</v>
      </c>
      <c r="W86" s="5">
        <v>46.8</v>
      </c>
      <c r="X86" s="5">
        <v>100</v>
      </c>
      <c r="Y86" s="5">
        <v>4.68</v>
      </c>
      <c r="Z86" s="4" t="s">
        <v>46</v>
      </c>
      <c r="AA86" s="5" t="s">
        <v>46</v>
      </c>
      <c r="AB86" s="4" t="s">
        <v>341</v>
      </c>
      <c r="AC86" s="4" t="s">
        <v>46</v>
      </c>
      <c r="AD86" s="5">
        <v>0</v>
      </c>
      <c r="AE86" s="4" t="s">
        <v>342</v>
      </c>
      <c r="AF86" s="3">
        <v>45328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5">
      <c r="A87" s="2">
        <v>1891456</v>
      </c>
      <c r="B87" s="3">
        <v>45756</v>
      </c>
      <c r="C87" s="4" t="s">
        <v>95</v>
      </c>
      <c r="D87" s="2">
        <v>1509744</v>
      </c>
      <c r="E87" s="4" t="s">
        <v>352</v>
      </c>
      <c r="F87" s="4" t="s">
        <v>353</v>
      </c>
      <c r="G87" s="4" t="s">
        <v>46</v>
      </c>
      <c r="H87" s="4" t="s">
        <v>46</v>
      </c>
      <c r="I87" s="4" t="s">
        <v>46</v>
      </c>
      <c r="J87" s="4" t="s">
        <v>338</v>
      </c>
      <c r="K87" s="4" t="s">
        <v>339</v>
      </c>
      <c r="L87" s="3">
        <v>45778</v>
      </c>
      <c r="M87" s="4" t="s">
        <v>49</v>
      </c>
      <c r="N87" s="4" t="s">
        <v>46</v>
      </c>
      <c r="O87" s="4" t="s">
        <v>50</v>
      </c>
      <c r="P87" s="4" t="s">
        <v>106</v>
      </c>
      <c r="Q87" s="2">
        <v>1</v>
      </c>
      <c r="R87" s="2">
        <v>60</v>
      </c>
      <c r="S87" s="4" t="s">
        <v>340</v>
      </c>
      <c r="T87" s="4" t="s">
        <v>46</v>
      </c>
      <c r="U87" s="4" t="s">
        <v>46</v>
      </c>
      <c r="V87" s="5">
        <v>10</v>
      </c>
      <c r="W87" s="5">
        <v>13.93</v>
      </c>
      <c r="X87" s="5">
        <v>100</v>
      </c>
      <c r="Y87" s="5">
        <v>1.39</v>
      </c>
      <c r="Z87" s="4" t="s">
        <v>46</v>
      </c>
      <c r="AA87" s="5" t="s">
        <v>46</v>
      </c>
      <c r="AB87" s="4" t="s">
        <v>354</v>
      </c>
      <c r="AC87" s="4" t="s">
        <v>46</v>
      </c>
      <c r="AD87" s="5">
        <v>0</v>
      </c>
      <c r="AE87" s="4" t="s">
        <v>355</v>
      </c>
      <c r="AF87" s="3">
        <v>45614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5">
      <c r="A88" s="2">
        <v>1891456</v>
      </c>
      <c r="B88" s="3">
        <v>45756</v>
      </c>
      <c r="C88" s="4" t="s">
        <v>95</v>
      </c>
      <c r="D88" s="2">
        <v>1509744</v>
      </c>
      <c r="E88" s="4" t="s">
        <v>356</v>
      </c>
      <c r="F88" s="4" t="s">
        <v>357</v>
      </c>
      <c r="G88" s="4" t="s">
        <v>46</v>
      </c>
      <c r="H88" s="4" t="s">
        <v>46</v>
      </c>
      <c r="I88" s="4" t="s">
        <v>46</v>
      </c>
      <c r="J88" s="4" t="s">
        <v>338</v>
      </c>
      <c r="K88" s="4" t="s">
        <v>339</v>
      </c>
      <c r="L88" s="3">
        <v>45778</v>
      </c>
      <c r="M88" s="4" t="s">
        <v>49</v>
      </c>
      <c r="N88" s="4" t="s">
        <v>46</v>
      </c>
      <c r="O88" s="4" t="s">
        <v>50</v>
      </c>
      <c r="P88" s="4" t="s">
        <v>106</v>
      </c>
      <c r="Q88" s="2">
        <v>1</v>
      </c>
      <c r="R88" s="2">
        <v>60</v>
      </c>
      <c r="S88" s="4" t="s">
        <v>340</v>
      </c>
      <c r="T88" s="4" t="s">
        <v>46</v>
      </c>
      <c r="U88" s="4" t="s">
        <v>46</v>
      </c>
      <c r="V88" s="5">
        <v>10</v>
      </c>
      <c r="W88" s="5">
        <v>13.93</v>
      </c>
      <c r="X88" s="5">
        <v>100</v>
      </c>
      <c r="Y88" s="5">
        <v>1.39</v>
      </c>
      <c r="Z88" s="4" t="s">
        <v>46</v>
      </c>
      <c r="AA88" s="5" t="s">
        <v>46</v>
      </c>
      <c r="AB88" s="4" t="s">
        <v>354</v>
      </c>
      <c r="AC88" s="4" t="s">
        <v>46</v>
      </c>
      <c r="AD88" s="5">
        <v>0</v>
      </c>
      <c r="AE88" s="4" t="s">
        <v>355</v>
      </c>
      <c r="AF88" s="3">
        <v>45622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5">
      <c r="A89" s="2">
        <v>1891456</v>
      </c>
      <c r="B89" s="3">
        <v>45756</v>
      </c>
      <c r="C89" s="4" t="s">
        <v>95</v>
      </c>
      <c r="D89" s="2">
        <v>1509744</v>
      </c>
      <c r="E89" s="4" t="s">
        <v>358</v>
      </c>
      <c r="F89" s="4" t="s">
        <v>359</v>
      </c>
      <c r="G89" s="4" t="s">
        <v>46</v>
      </c>
      <c r="H89" s="4" t="s">
        <v>46</v>
      </c>
      <c r="I89" s="4" t="s">
        <v>46</v>
      </c>
      <c r="J89" s="4" t="s">
        <v>338</v>
      </c>
      <c r="K89" s="4" t="s">
        <v>339</v>
      </c>
      <c r="L89" s="3">
        <v>45778</v>
      </c>
      <c r="M89" s="4" t="s">
        <v>49</v>
      </c>
      <c r="N89" s="4" t="s">
        <v>46</v>
      </c>
      <c r="O89" s="4" t="s">
        <v>50</v>
      </c>
      <c r="P89" s="4" t="s">
        <v>106</v>
      </c>
      <c r="Q89" s="2">
        <v>1</v>
      </c>
      <c r="R89" s="2">
        <v>3</v>
      </c>
      <c r="S89" s="4" t="s">
        <v>345</v>
      </c>
      <c r="T89" s="4" t="s">
        <v>46</v>
      </c>
      <c r="U89" s="4" t="s">
        <v>46</v>
      </c>
      <c r="V89" s="5">
        <v>10</v>
      </c>
      <c r="W89" s="5">
        <v>24.54</v>
      </c>
      <c r="X89" s="5">
        <v>100</v>
      </c>
      <c r="Y89" s="5">
        <v>2.4500000000000002</v>
      </c>
      <c r="Z89" s="4" t="s">
        <v>46</v>
      </c>
      <c r="AA89" s="5" t="s">
        <v>46</v>
      </c>
      <c r="AB89" s="4" t="s">
        <v>354</v>
      </c>
      <c r="AC89" s="4" t="s">
        <v>46</v>
      </c>
      <c r="AD89" s="5">
        <v>0</v>
      </c>
      <c r="AE89" s="4" t="s">
        <v>355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5">
      <c r="A90" s="2">
        <v>1891456</v>
      </c>
      <c r="B90" s="3">
        <v>45756</v>
      </c>
      <c r="C90" s="4" t="s">
        <v>95</v>
      </c>
      <c r="D90" s="2">
        <v>1509744</v>
      </c>
      <c r="E90" s="4" t="s">
        <v>360</v>
      </c>
      <c r="F90" s="4" t="s">
        <v>361</v>
      </c>
      <c r="G90" s="4" t="s">
        <v>46</v>
      </c>
      <c r="H90" s="4" t="s">
        <v>46</v>
      </c>
      <c r="I90" s="4" t="s">
        <v>46</v>
      </c>
      <c r="J90" s="4" t="s">
        <v>338</v>
      </c>
      <c r="K90" s="4" t="s">
        <v>339</v>
      </c>
      <c r="L90" s="3">
        <v>45778</v>
      </c>
      <c r="M90" s="4" t="s">
        <v>49</v>
      </c>
      <c r="N90" s="4" t="s">
        <v>46</v>
      </c>
      <c r="O90" s="4" t="s">
        <v>50</v>
      </c>
      <c r="P90" s="4" t="s">
        <v>106</v>
      </c>
      <c r="Q90" s="2">
        <v>2</v>
      </c>
      <c r="R90" s="2">
        <v>3</v>
      </c>
      <c r="S90" s="4" t="s">
        <v>345</v>
      </c>
      <c r="T90" s="4" t="s">
        <v>46</v>
      </c>
      <c r="U90" s="4" t="s">
        <v>46</v>
      </c>
      <c r="V90" s="5">
        <v>10</v>
      </c>
      <c r="W90" s="5">
        <v>97.6</v>
      </c>
      <c r="X90" s="5">
        <v>100</v>
      </c>
      <c r="Y90" s="5">
        <v>9.76</v>
      </c>
      <c r="Z90" s="4" t="s">
        <v>46</v>
      </c>
      <c r="AA90" s="5" t="s">
        <v>46</v>
      </c>
      <c r="AB90" s="4" t="s">
        <v>354</v>
      </c>
      <c r="AC90" s="4" t="s">
        <v>46</v>
      </c>
      <c r="AD90" s="5">
        <v>0</v>
      </c>
      <c r="AE90" s="4" t="s">
        <v>355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5">
      <c r="A91" s="2">
        <v>1891456</v>
      </c>
      <c r="B91" s="3">
        <v>45756</v>
      </c>
      <c r="C91" s="4" t="s">
        <v>95</v>
      </c>
      <c r="D91" s="2">
        <v>1509744</v>
      </c>
      <c r="E91" s="4" t="s">
        <v>360</v>
      </c>
      <c r="F91" s="4" t="s">
        <v>362</v>
      </c>
      <c r="G91" s="4" t="s">
        <v>46</v>
      </c>
      <c r="H91" s="4" t="s">
        <v>46</v>
      </c>
      <c r="I91" s="4" t="s">
        <v>46</v>
      </c>
      <c r="J91" s="4" t="s">
        <v>338</v>
      </c>
      <c r="K91" s="4" t="s">
        <v>339</v>
      </c>
      <c r="L91" s="3">
        <v>45778</v>
      </c>
      <c r="M91" s="4" t="s">
        <v>49</v>
      </c>
      <c r="N91" s="4" t="s">
        <v>46</v>
      </c>
      <c r="O91" s="4" t="s">
        <v>50</v>
      </c>
      <c r="P91" s="4" t="s">
        <v>106</v>
      </c>
      <c r="Q91" s="2">
        <v>2</v>
      </c>
      <c r="R91" s="2">
        <v>60</v>
      </c>
      <c r="S91" s="4" t="s">
        <v>340</v>
      </c>
      <c r="T91" s="4" t="s">
        <v>46</v>
      </c>
      <c r="U91" s="4" t="s">
        <v>46</v>
      </c>
      <c r="V91" s="5">
        <v>10</v>
      </c>
      <c r="W91" s="5">
        <v>26.88</v>
      </c>
      <c r="X91" s="5">
        <v>100</v>
      </c>
      <c r="Y91" s="5">
        <v>2.69</v>
      </c>
      <c r="Z91" s="4" t="s">
        <v>46</v>
      </c>
      <c r="AA91" s="5" t="s">
        <v>46</v>
      </c>
      <c r="AB91" s="4" t="s">
        <v>354</v>
      </c>
      <c r="AC91" s="4" t="s">
        <v>46</v>
      </c>
      <c r="AD91" s="5">
        <v>0</v>
      </c>
      <c r="AE91" s="4" t="s">
        <v>355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5">
      <c r="A92" s="2">
        <v>1891456</v>
      </c>
      <c r="B92" s="3">
        <v>45756</v>
      </c>
      <c r="C92" s="4" t="s">
        <v>95</v>
      </c>
      <c r="D92" s="2">
        <v>1509744</v>
      </c>
      <c r="E92" s="4" t="s">
        <v>363</v>
      </c>
      <c r="F92" s="4" t="s">
        <v>364</v>
      </c>
      <c r="G92" s="4" t="s">
        <v>46</v>
      </c>
      <c r="H92" s="4" t="s">
        <v>46</v>
      </c>
      <c r="I92" s="4" t="s">
        <v>46</v>
      </c>
      <c r="J92" s="4" t="s">
        <v>338</v>
      </c>
      <c r="K92" s="4" t="s">
        <v>339</v>
      </c>
      <c r="L92" s="3">
        <v>45778</v>
      </c>
      <c r="M92" s="4" t="s">
        <v>49</v>
      </c>
      <c r="N92" s="4" t="s">
        <v>46</v>
      </c>
      <c r="O92" s="4" t="s">
        <v>50</v>
      </c>
      <c r="P92" s="4" t="s">
        <v>106</v>
      </c>
      <c r="Q92" s="2">
        <v>2</v>
      </c>
      <c r="R92" s="2">
        <v>3</v>
      </c>
      <c r="S92" s="4" t="s">
        <v>345</v>
      </c>
      <c r="T92" s="4" t="s">
        <v>46</v>
      </c>
      <c r="U92" s="4" t="s">
        <v>46</v>
      </c>
      <c r="V92" s="5">
        <v>10</v>
      </c>
      <c r="W92" s="5">
        <v>97.6</v>
      </c>
      <c r="X92" s="5">
        <v>100</v>
      </c>
      <c r="Y92" s="5">
        <v>9.76</v>
      </c>
      <c r="Z92" s="4" t="s">
        <v>46</v>
      </c>
      <c r="AA92" s="5" t="s">
        <v>46</v>
      </c>
      <c r="AB92" s="4" t="s">
        <v>354</v>
      </c>
      <c r="AC92" s="4" t="s">
        <v>46</v>
      </c>
      <c r="AD92" s="5">
        <v>0</v>
      </c>
      <c r="AE92" s="4" t="s">
        <v>355</v>
      </c>
      <c r="AF92" s="3">
        <v>45644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5">
      <c r="A93" s="2">
        <v>1891456</v>
      </c>
      <c r="B93" s="3">
        <v>45756</v>
      </c>
      <c r="C93" s="4" t="s">
        <v>95</v>
      </c>
      <c r="D93" s="2">
        <v>1509744</v>
      </c>
      <c r="E93" s="4" t="s">
        <v>363</v>
      </c>
      <c r="F93" s="4" t="s">
        <v>365</v>
      </c>
      <c r="G93" s="4" t="s">
        <v>46</v>
      </c>
      <c r="H93" s="4" t="s">
        <v>46</v>
      </c>
      <c r="I93" s="4" t="s">
        <v>46</v>
      </c>
      <c r="J93" s="4" t="s">
        <v>338</v>
      </c>
      <c r="K93" s="4" t="s">
        <v>339</v>
      </c>
      <c r="L93" s="3">
        <v>45778</v>
      </c>
      <c r="M93" s="4" t="s">
        <v>49</v>
      </c>
      <c r="N93" s="4" t="s">
        <v>46</v>
      </c>
      <c r="O93" s="4" t="s">
        <v>50</v>
      </c>
      <c r="P93" s="4" t="s">
        <v>106</v>
      </c>
      <c r="Q93" s="2">
        <v>2</v>
      </c>
      <c r="R93" s="2">
        <v>60</v>
      </c>
      <c r="S93" s="4" t="s">
        <v>340</v>
      </c>
      <c r="T93" s="4" t="s">
        <v>46</v>
      </c>
      <c r="U93" s="4" t="s">
        <v>46</v>
      </c>
      <c r="V93" s="5">
        <v>10</v>
      </c>
      <c r="W93" s="5">
        <v>26.88</v>
      </c>
      <c r="X93" s="5">
        <v>100</v>
      </c>
      <c r="Y93" s="5">
        <v>2.69</v>
      </c>
      <c r="Z93" s="4" t="s">
        <v>46</v>
      </c>
      <c r="AA93" s="5" t="s">
        <v>46</v>
      </c>
      <c r="AB93" s="4" t="s">
        <v>354</v>
      </c>
      <c r="AC93" s="4" t="s">
        <v>46</v>
      </c>
      <c r="AD93" s="5">
        <v>0</v>
      </c>
      <c r="AE93" s="4" t="s">
        <v>355</v>
      </c>
      <c r="AF93" s="3">
        <v>45644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5">
      <c r="A94" s="2">
        <v>1891456</v>
      </c>
      <c r="B94" s="3">
        <v>45756</v>
      </c>
      <c r="C94" s="4" t="s">
        <v>95</v>
      </c>
      <c r="D94" s="2">
        <v>1509744</v>
      </c>
      <c r="E94" s="4" t="s">
        <v>366</v>
      </c>
      <c r="F94" s="4" t="s">
        <v>367</v>
      </c>
      <c r="G94" s="4" t="s">
        <v>46</v>
      </c>
      <c r="H94" s="4" t="s">
        <v>46</v>
      </c>
      <c r="I94" s="4" t="s">
        <v>46</v>
      </c>
      <c r="J94" s="4" t="s">
        <v>338</v>
      </c>
      <c r="K94" s="4" t="s">
        <v>339</v>
      </c>
      <c r="L94" s="3">
        <v>45778</v>
      </c>
      <c r="M94" s="4" t="s">
        <v>49</v>
      </c>
      <c r="N94" s="4" t="s">
        <v>46</v>
      </c>
      <c r="O94" s="4" t="s">
        <v>50</v>
      </c>
      <c r="P94" s="4" t="s">
        <v>106</v>
      </c>
      <c r="Q94" s="2">
        <v>1</v>
      </c>
      <c r="R94" s="2">
        <v>3</v>
      </c>
      <c r="S94" s="4" t="s">
        <v>345</v>
      </c>
      <c r="T94" s="4" t="s">
        <v>46</v>
      </c>
      <c r="U94" s="4" t="s">
        <v>46</v>
      </c>
      <c r="V94" s="5">
        <v>10</v>
      </c>
      <c r="W94" s="5">
        <v>52.78</v>
      </c>
      <c r="X94" s="5">
        <v>100</v>
      </c>
      <c r="Y94" s="5">
        <v>5.28</v>
      </c>
      <c r="Z94" s="4" t="s">
        <v>46</v>
      </c>
      <c r="AA94" s="5" t="s">
        <v>46</v>
      </c>
      <c r="AB94" s="4" t="s">
        <v>354</v>
      </c>
      <c r="AC94" s="4" t="s">
        <v>46</v>
      </c>
      <c r="AD94" s="5">
        <v>0</v>
      </c>
      <c r="AE94" s="4" t="s">
        <v>355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5">
      <c r="A95" s="2">
        <v>1891456</v>
      </c>
      <c r="B95" s="3">
        <v>45756</v>
      </c>
      <c r="C95" s="4" t="s">
        <v>95</v>
      </c>
      <c r="D95" s="2">
        <v>1509744</v>
      </c>
      <c r="E95" s="4" t="s">
        <v>366</v>
      </c>
      <c r="F95" s="4" t="s">
        <v>368</v>
      </c>
      <c r="G95" s="4" t="s">
        <v>46</v>
      </c>
      <c r="H95" s="4" t="s">
        <v>46</v>
      </c>
      <c r="I95" s="4" t="s">
        <v>46</v>
      </c>
      <c r="J95" s="4" t="s">
        <v>338</v>
      </c>
      <c r="K95" s="4" t="s">
        <v>339</v>
      </c>
      <c r="L95" s="3">
        <v>45778</v>
      </c>
      <c r="M95" s="4" t="s">
        <v>49</v>
      </c>
      <c r="N95" s="4" t="s">
        <v>46</v>
      </c>
      <c r="O95" s="4" t="s">
        <v>50</v>
      </c>
      <c r="P95" s="4" t="s">
        <v>106</v>
      </c>
      <c r="Q95" s="2">
        <v>1</v>
      </c>
      <c r="R95" s="2">
        <v>60</v>
      </c>
      <c r="S95" s="4" t="s">
        <v>340</v>
      </c>
      <c r="T95" s="4" t="s">
        <v>46</v>
      </c>
      <c r="U95" s="4" t="s">
        <v>46</v>
      </c>
      <c r="V95" s="5">
        <v>10</v>
      </c>
      <c r="W95" s="5">
        <v>13.93</v>
      </c>
      <c r="X95" s="5">
        <v>100</v>
      </c>
      <c r="Y95" s="5">
        <v>1.39</v>
      </c>
      <c r="Z95" s="4" t="s">
        <v>46</v>
      </c>
      <c r="AA95" s="5" t="s">
        <v>46</v>
      </c>
      <c r="AB95" s="4" t="s">
        <v>354</v>
      </c>
      <c r="AC95" s="4" t="s">
        <v>46</v>
      </c>
      <c r="AD95" s="5">
        <v>0</v>
      </c>
      <c r="AE95" s="4" t="s">
        <v>355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5">
      <c r="A96" s="2">
        <v>1891456</v>
      </c>
      <c r="B96" s="3">
        <v>45756</v>
      </c>
      <c r="C96" s="4" t="s">
        <v>95</v>
      </c>
      <c r="D96" s="2">
        <v>1509744</v>
      </c>
      <c r="E96" s="4" t="s">
        <v>369</v>
      </c>
      <c r="F96" s="4" t="s">
        <v>370</v>
      </c>
      <c r="G96" s="4" t="s">
        <v>46</v>
      </c>
      <c r="H96" s="4" t="s">
        <v>46</v>
      </c>
      <c r="I96" s="4" t="s">
        <v>46</v>
      </c>
      <c r="J96" s="4" t="s">
        <v>338</v>
      </c>
      <c r="K96" s="4" t="s">
        <v>339</v>
      </c>
      <c r="L96" s="3">
        <v>45778</v>
      </c>
      <c r="M96" s="4" t="s">
        <v>49</v>
      </c>
      <c r="N96" s="4" t="s">
        <v>46</v>
      </c>
      <c r="O96" s="4" t="s">
        <v>50</v>
      </c>
      <c r="P96" s="4" t="s">
        <v>106</v>
      </c>
      <c r="Q96" s="2">
        <v>1</v>
      </c>
      <c r="R96" s="2">
        <v>3</v>
      </c>
      <c r="S96" s="4" t="s">
        <v>345</v>
      </c>
      <c r="T96" s="4" t="s">
        <v>46</v>
      </c>
      <c r="U96" s="4" t="s">
        <v>46</v>
      </c>
      <c r="V96" s="5">
        <v>10</v>
      </c>
      <c r="W96" s="5">
        <v>24.54</v>
      </c>
      <c r="X96" s="5">
        <v>100</v>
      </c>
      <c r="Y96" s="5">
        <v>2.4500000000000002</v>
      </c>
      <c r="Z96" s="4" t="s">
        <v>46</v>
      </c>
      <c r="AA96" s="5" t="s">
        <v>46</v>
      </c>
      <c r="AB96" s="4" t="s">
        <v>354</v>
      </c>
      <c r="AC96" s="4" t="s">
        <v>46</v>
      </c>
      <c r="AD96" s="5">
        <v>0</v>
      </c>
      <c r="AE96" s="4" t="s">
        <v>355</v>
      </c>
      <c r="AF96" s="3">
        <v>45646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5">
      <c r="A97" s="2">
        <v>1891456</v>
      </c>
      <c r="B97" s="3">
        <v>45756</v>
      </c>
      <c r="C97" s="4" t="s">
        <v>95</v>
      </c>
      <c r="D97" s="2">
        <v>1509744</v>
      </c>
      <c r="E97" s="4" t="s">
        <v>371</v>
      </c>
      <c r="F97" s="4" t="s">
        <v>372</v>
      </c>
      <c r="G97" s="4" t="s">
        <v>46</v>
      </c>
      <c r="H97" s="4" t="s">
        <v>46</v>
      </c>
      <c r="I97" s="4" t="s">
        <v>46</v>
      </c>
      <c r="J97" s="4" t="s">
        <v>338</v>
      </c>
      <c r="K97" s="4" t="s">
        <v>339</v>
      </c>
      <c r="L97" s="3">
        <v>45778</v>
      </c>
      <c r="M97" s="4" t="s">
        <v>49</v>
      </c>
      <c r="N97" s="4" t="s">
        <v>46</v>
      </c>
      <c r="O97" s="4" t="s">
        <v>50</v>
      </c>
      <c r="P97" s="4" t="s">
        <v>106</v>
      </c>
      <c r="Q97" s="2">
        <v>1</v>
      </c>
      <c r="R97" s="2">
        <v>60</v>
      </c>
      <c r="S97" s="4" t="s">
        <v>340</v>
      </c>
      <c r="T97" s="4" t="s">
        <v>46</v>
      </c>
      <c r="U97" s="4" t="s">
        <v>46</v>
      </c>
      <c r="V97" s="5">
        <v>10</v>
      </c>
      <c r="W97" s="5">
        <v>13.93</v>
      </c>
      <c r="X97" s="5">
        <v>100</v>
      </c>
      <c r="Y97" s="5">
        <v>1.39</v>
      </c>
      <c r="Z97" s="4" t="s">
        <v>46</v>
      </c>
      <c r="AA97" s="5" t="s">
        <v>46</v>
      </c>
      <c r="AB97" s="4" t="s">
        <v>354</v>
      </c>
      <c r="AC97" s="4" t="s">
        <v>46</v>
      </c>
      <c r="AD97" s="5">
        <v>0</v>
      </c>
      <c r="AE97" s="4" t="s">
        <v>355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5">
      <c r="A98" s="2">
        <v>1891456</v>
      </c>
      <c r="B98" s="3">
        <v>45756</v>
      </c>
      <c r="C98" s="4" t="s">
        <v>373</v>
      </c>
      <c r="D98" s="2">
        <v>1509841</v>
      </c>
      <c r="E98" s="4" t="s">
        <v>374</v>
      </c>
      <c r="F98" s="4" t="s">
        <v>375</v>
      </c>
      <c r="G98" s="4" t="s">
        <v>46</v>
      </c>
      <c r="H98" s="4" t="s">
        <v>46</v>
      </c>
      <c r="I98" s="4" t="s">
        <v>46</v>
      </c>
      <c r="J98" s="4" t="s">
        <v>376</v>
      </c>
      <c r="K98" s="4" t="s">
        <v>377</v>
      </c>
      <c r="L98" s="3">
        <v>45748</v>
      </c>
      <c r="M98" s="4" t="s">
        <v>64</v>
      </c>
      <c r="N98" s="4" t="s">
        <v>46</v>
      </c>
      <c r="O98" s="4" t="s">
        <v>50</v>
      </c>
      <c r="P98" s="4" t="s">
        <v>106</v>
      </c>
      <c r="Q98" s="2">
        <v>3</v>
      </c>
      <c r="R98" s="2">
        <v>3</v>
      </c>
      <c r="S98" s="4" t="s">
        <v>345</v>
      </c>
      <c r="T98" s="4" t="s">
        <v>46</v>
      </c>
      <c r="U98" s="4" t="s">
        <v>46</v>
      </c>
      <c r="V98" s="5">
        <v>10</v>
      </c>
      <c r="W98" s="5">
        <v>191.1</v>
      </c>
      <c r="X98" s="5">
        <v>100</v>
      </c>
      <c r="Y98" s="5">
        <v>19.11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5">
      <c r="A99" s="2">
        <v>1891456</v>
      </c>
      <c r="B99" s="3">
        <v>45756</v>
      </c>
      <c r="C99" s="4" t="s">
        <v>373</v>
      </c>
      <c r="D99" s="2">
        <v>1509841</v>
      </c>
      <c r="E99" s="4" t="s">
        <v>374</v>
      </c>
      <c r="F99" s="4" t="s">
        <v>375</v>
      </c>
      <c r="G99" s="4" t="s">
        <v>46</v>
      </c>
      <c r="H99" s="4" t="s">
        <v>46</v>
      </c>
      <c r="I99" s="4" t="s">
        <v>46</v>
      </c>
      <c r="J99" s="4" t="s">
        <v>376</v>
      </c>
      <c r="K99" s="4" t="s">
        <v>377</v>
      </c>
      <c r="L99" s="3">
        <v>45748</v>
      </c>
      <c r="M99" s="4" t="s">
        <v>64</v>
      </c>
      <c r="N99" s="4" t="s">
        <v>46</v>
      </c>
      <c r="O99" s="4" t="s">
        <v>50</v>
      </c>
      <c r="P99" s="4" t="s">
        <v>106</v>
      </c>
      <c r="Q99" s="2">
        <v>2</v>
      </c>
      <c r="R99" s="2">
        <v>60</v>
      </c>
      <c r="S99" s="4" t="s">
        <v>340</v>
      </c>
      <c r="T99" s="4" t="s">
        <v>46</v>
      </c>
      <c r="U99" s="4" t="s">
        <v>46</v>
      </c>
      <c r="V99" s="5">
        <v>10</v>
      </c>
      <c r="W99" s="5">
        <v>28.17</v>
      </c>
      <c r="X99" s="5">
        <v>100</v>
      </c>
      <c r="Y99" s="5">
        <v>2.82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5">
      <c r="A100" s="2">
        <v>1891456</v>
      </c>
      <c r="B100" s="3">
        <v>45756</v>
      </c>
      <c r="C100" s="4" t="s">
        <v>373</v>
      </c>
      <c r="D100" s="2">
        <v>1509841</v>
      </c>
      <c r="E100" s="4" t="s">
        <v>378</v>
      </c>
      <c r="F100" s="4" t="s">
        <v>379</v>
      </c>
      <c r="G100" s="4" t="s">
        <v>46</v>
      </c>
      <c r="H100" s="4" t="s">
        <v>46</v>
      </c>
      <c r="I100" s="4" t="s">
        <v>46</v>
      </c>
      <c r="J100" s="4" t="s">
        <v>376</v>
      </c>
      <c r="K100" s="4" t="s">
        <v>377</v>
      </c>
      <c r="L100" s="3">
        <v>45748</v>
      </c>
      <c r="M100" s="4" t="s">
        <v>64</v>
      </c>
      <c r="N100" s="4" t="s">
        <v>46</v>
      </c>
      <c r="O100" s="4" t="s">
        <v>50</v>
      </c>
      <c r="P100" s="4" t="s">
        <v>106</v>
      </c>
      <c r="Q100" s="2">
        <v>9</v>
      </c>
      <c r="R100" s="2">
        <v>3</v>
      </c>
      <c r="S100" s="4" t="s">
        <v>345</v>
      </c>
      <c r="T100" s="4" t="s">
        <v>46</v>
      </c>
      <c r="U100" s="4" t="s">
        <v>46</v>
      </c>
      <c r="V100" s="5">
        <v>10</v>
      </c>
      <c r="W100" s="5">
        <v>378.75</v>
      </c>
      <c r="X100" s="5">
        <v>100</v>
      </c>
      <c r="Y100" s="5">
        <v>37.880000000000003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5">
      <c r="A101" s="2">
        <v>1891456</v>
      </c>
      <c r="B101" s="3">
        <v>45756</v>
      </c>
      <c r="C101" s="4" t="s">
        <v>373</v>
      </c>
      <c r="D101" s="2">
        <v>1509841</v>
      </c>
      <c r="E101" s="4" t="s">
        <v>378</v>
      </c>
      <c r="F101" s="4" t="s">
        <v>379</v>
      </c>
      <c r="G101" s="4" t="s">
        <v>46</v>
      </c>
      <c r="H101" s="4" t="s">
        <v>46</v>
      </c>
      <c r="I101" s="4" t="s">
        <v>46</v>
      </c>
      <c r="J101" s="4" t="s">
        <v>376</v>
      </c>
      <c r="K101" s="4" t="s">
        <v>377</v>
      </c>
      <c r="L101" s="3">
        <v>45748</v>
      </c>
      <c r="M101" s="4" t="s">
        <v>64</v>
      </c>
      <c r="N101" s="4" t="s">
        <v>46</v>
      </c>
      <c r="O101" s="4" t="s">
        <v>50</v>
      </c>
      <c r="P101" s="4" t="s">
        <v>106</v>
      </c>
      <c r="Q101" s="2">
        <v>9</v>
      </c>
      <c r="R101" s="2">
        <v>60</v>
      </c>
      <c r="S101" s="4" t="s">
        <v>340</v>
      </c>
      <c r="T101" s="4" t="s">
        <v>46</v>
      </c>
      <c r="U101" s="4" t="s">
        <v>46</v>
      </c>
      <c r="V101" s="5">
        <v>10</v>
      </c>
      <c r="W101" s="5">
        <v>77.77</v>
      </c>
      <c r="X101" s="5">
        <v>100</v>
      </c>
      <c r="Y101" s="5">
        <v>7.78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45658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5">
      <c r="A102" s="2">
        <v>1891456</v>
      </c>
      <c r="B102" s="3">
        <v>45756</v>
      </c>
      <c r="C102" s="4" t="s">
        <v>373</v>
      </c>
      <c r="D102" s="2">
        <v>1509841</v>
      </c>
      <c r="E102" s="4" t="s">
        <v>380</v>
      </c>
      <c r="F102" s="4" t="s">
        <v>381</v>
      </c>
      <c r="G102" s="4" t="s">
        <v>46</v>
      </c>
      <c r="H102" s="4" t="s">
        <v>46</v>
      </c>
      <c r="I102" s="4" t="s">
        <v>46</v>
      </c>
      <c r="J102" s="4" t="s">
        <v>376</v>
      </c>
      <c r="K102" s="4" t="s">
        <v>377</v>
      </c>
      <c r="L102" s="3">
        <v>45748</v>
      </c>
      <c r="M102" s="4" t="s">
        <v>64</v>
      </c>
      <c r="N102" s="4" t="s">
        <v>46</v>
      </c>
      <c r="O102" s="4" t="s">
        <v>50</v>
      </c>
      <c r="P102" s="4" t="s">
        <v>106</v>
      </c>
      <c r="Q102" s="2">
        <v>4</v>
      </c>
      <c r="R102" s="2">
        <v>3</v>
      </c>
      <c r="S102" s="4" t="s">
        <v>345</v>
      </c>
      <c r="T102" s="4" t="s">
        <v>46</v>
      </c>
      <c r="U102" s="4" t="s">
        <v>46</v>
      </c>
      <c r="V102" s="5">
        <v>10</v>
      </c>
      <c r="W102" s="5">
        <v>227.04</v>
      </c>
      <c r="X102" s="5">
        <v>100</v>
      </c>
      <c r="Y102" s="5">
        <v>22.7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45658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5">
      <c r="A103" s="2">
        <v>1891456</v>
      </c>
      <c r="B103" s="3">
        <v>45756</v>
      </c>
      <c r="C103" s="4" t="s">
        <v>373</v>
      </c>
      <c r="D103" s="2">
        <v>1509841</v>
      </c>
      <c r="E103" s="4" t="s">
        <v>380</v>
      </c>
      <c r="F103" s="4" t="s">
        <v>381</v>
      </c>
      <c r="G103" s="4" t="s">
        <v>46</v>
      </c>
      <c r="H103" s="4" t="s">
        <v>46</v>
      </c>
      <c r="I103" s="4" t="s">
        <v>46</v>
      </c>
      <c r="J103" s="4" t="s">
        <v>376</v>
      </c>
      <c r="K103" s="4" t="s">
        <v>377</v>
      </c>
      <c r="L103" s="3">
        <v>45748</v>
      </c>
      <c r="M103" s="4" t="s">
        <v>64</v>
      </c>
      <c r="N103" s="4" t="s">
        <v>46</v>
      </c>
      <c r="O103" s="4" t="s">
        <v>50</v>
      </c>
      <c r="P103" s="4" t="s">
        <v>106</v>
      </c>
      <c r="Q103" s="2">
        <v>4</v>
      </c>
      <c r="R103" s="2">
        <v>60</v>
      </c>
      <c r="S103" s="4" t="s">
        <v>340</v>
      </c>
      <c r="T103" s="4" t="s">
        <v>46</v>
      </c>
      <c r="U103" s="4" t="s">
        <v>46</v>
      </c>
      <c r="V103" s="5">
        <v>10</v>
      </c>
      <c r="W103" s="5">
        <v>35.35</v>
      </c>
      <c r="X103" s="5">
        <v>100</v>
      </c>
      <c r="Y103" s="5">
        <v>3.54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45658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5">
      <c r="A104" s="2">
        <v>1891456</v>
      </c>
      <c r="B104" s="3">
        <v>45756</v>
      </c>
      <c r="C104" s="4" t="s">
        <v>123</v>
      </c>
      <c r="D104" s="2">
        <v>1510085</v>
      </c>
      <c r="E104" s="4" t="s">
        <v>382</v>
      </c>
      <c r="F104" s="4" t="s">
        <v>383</v>
      </c>
      <c r="G104" s="4" t="s">
        <v>46</v>
      </c>
      <c r="H104" s="4" t="s">
        <v>46</v>
      </c>
      <c r="I104" s="4" t="s">
        <v>46</v>
      </c>
      <c r="J104" s="4" t="s">
        <v>376</v>
      </c>
      <c r="K104" s="4" t="s">
        <v>377</v>
      </c>
      <c r="L104" s="3">
        <v>45748</v>
      </c>
      <c r="M104" s="4" t="s">
        <v>64</v>
      </c>
      <c r="N104" s="4" t="s">
        <v>46</v>
      </c>
      <c r="O104" s="4" t="s">
        <v>106</v>
      </c>
      <c r="P104" s="4" t="s">
        <v>106</v>
      </c>
      <c r="Q104" s="2">
        <v>1</v>
      </c>
      <c r="R104" s="2">
        <v>60</v>
      </c>
      <c r="S104" s="4" t="s">
        <v>340</v>
      </c>
      <c r="T104" s="4" t="s">
        <v>46</v>
      </c>
      <c r="U104" s="4" t="s">
        <v>46</v>
      </c>
      <c r="V104" s="5">
        <v>10</v>
      </c>
      <c r="W104" s="5">
        <v>5.69</v>
      </c>
      <c r="X104" s="5">
        <v>100</v>
      </c>
      <c r="Y104" s="5">
        <v>0.56999999999999995</v>
      </c>
      <c r="Z104" s="4" t="s">
        <v>46</v>
      </c>
      <c r="AA104" s="5" t="s">
        <v>46</v>
      </c>
      <c r="AB104" s="4" t="s">
        <v>107</v>
      </c>
      <c r="AC104" s="4" t="s">
        <v>46</v>
      </c>
      <c r="AD104" s="5">
        <v>0</v>
      </c>
      <c r="AE104" s="4" t="s">
        <v>108</v>
      </c>
      <c r="AF104" s="3">
        <v>44287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5">
      <c r="A105" s="2">
        <v>1891456</v>
      </c>
      <c r="B105" s="3">
        <v>45756</v>
      </c>
      <c r="C105" s="4" t="s">
        <v>127</v>
      </c>
      <c r="D105" s="2">
        <v>1510420</v>
      </c>
      <c r="E105" s="4" t="s">
        <v>384</v>
      </c>
      <c r="F105" s="4" t="s">
        <v>385</v>
      </c>
      <c r="G105" s="4" t="s">
        <v>46</v>
      </c>
      <c r="H105" s="4" t="s">
        <v>46</v>
      </c>
      <c r="I105" s="4" t="s">
        <v>46</v>
      </c>
      <c r="J105" s="4" t="s">
        <v>386</v>
      </c>
      <c r="K105" s="4" t="s">
        <v>48</v>
      </c>
      <c r="L105" s="3">
        <v>45748</v>
      </c>
      <c r="M105" s="4" t="s">
        <v>64</v>
      </c>
      <c r="N105" s="4" t="s">
        <v>46</v>
      </c>
      <c r="O105" s="4" t="s">
        <v>50</v>
      </c>
      <c r="P105" s="4" t="s">
        <v>106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2438.16</v>
      </c>
      <c r="X105" s="5">
        <v>100</v>
      </c>
      <c r="Y105" s="5">
        <v>536.4</v>
      </c>
      <c r="Z105" s="5">
        <v>0</v>
      </c>
      <c r="AA105" s="5">
        <v>0</v>
      </c>
      <c r="AB105" s="4" t="s">
        <v>387</v>
      </c>
      <c r="AC105" s="4" t="s">
        <v>46</v>
      </c>
      <c r="AD105" s="5">
        <v>0</v>
      </c>
      <c r="AE105" s="4" t="s">
        <v>388</v>
      </c>
      <c r="AF105" s="3">
        <v>45748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5">
      <c r="A106" s="2">
        <v>1891456</v>
      </c>
      <c r="B106" s="3">
        <v>45756</v>
      </c>
      <c r="C106" s="4" t="s">
        <v>127</v>
      </c>
      <c r="D106" s="2">
        <v>1510420</v>
      </c>
      <c r="E106" s="4" t="s">
        <v>389</v>
      </c>
      <c r="F106" s="4" t="s">
        <v>390</v>
      </c>
      <c r="G106" s="4" t="s">
        <v>46</v>
      </c>
      <c r="H106" s="4" t="s">
        <v>46</v>
      </c>
      <c r="I106" s="4" t="s">
        <v>46</v>
      </c>
      <c r="J106" s="4" t="s">
        <v>386</v>
      </c>
      <c r="K106" s="4" t="s">
        <v>48</v>
      </c>
      <c r="L106" s="3">
        <v>45748</v>
      </c>
      <c r="M106" s="4" t="s">
        <v>64</v>
      </c>
      <c r="N106" s="4" t="s">
        <v>46</v>
      </c>
      <c r="O106" s="4" t="s">
        <v>50</v>
      </c>
      <c r="P106" s="4" t="s">
        <v>106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11</v>
      </c>
      <c r="W106" s="5">
        <v>2438.4</v>
      </c>
      <c r="X106" s="5">
        <v>100</v>
      </c>
      <c r="Y106" s="5">
        <v>268.2</v>
      </c>
      <c r="Z106" s="5">
        <v>0</v>
      </c>
      <c r="AA106" s="5">
        <v>0</v>
      </c>
      <c r="AB106" s="4" t="s">
        <v>387</v>
      </c>
      <c r="AC106" s="4" t="s">
        <v>46</v>
      </c>
      <c r="AD106" s="5">
        <v>0</v>
      </c>
      <c r="AE106" s="4" t="s">
        <v>388</v>
      </c>
      <c r="AF106" s="3">
        <v>45748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5">
      <c r="A107" s="2">
        <v>1891456</v>
      </c>
      <c r="B107" s="3">
        <v>45756</v>
      </c>
      <c r="C107" s="4" t="s">
        <v>127</v>
      </c>
      <c r="D107" s="2">
        <v>1510420</v>
      </c>
      <c r="E107" s="4" t="s">
        <v>391</v>
      </c>
      <c r="F107" s="4" t="s">
        <v>392</v>
      </c>
      <c r="G107" s="4" t="s">
        <v>46</v>
      </c>
      <c r="H107" s="4" t="s">
        <v>46</v>
      </c>
      <c r="I107" s="4" t="s">
        <v>46</v>
      </c>
      <c r="J107" s="4" t="s">
        <v>338</v>
      </c>
      <c r="K107" s="4" t="s">
        <v>339</v>
      </c>
      <c r="L107" s="3">
        <v>45778</v>
      </c>
      <c r="M107" s="4" t="s">
        <v>49</v>
      </c>
      <c r="N107" s="4" t="s">
        <v>46</v>
      </c>
      <c r="O107" s="4" t="s">
        <v>106</v>
      </c>
      <c r="P107" s="4" t="s">
        <v>106</v>
      </c>
      <c r="Q107" s="2">
        <v>1</v>
      </c>
      <c r="R107" s="2">
        <v>3</v>
      </c>
      <c r="S107" s="4" t="s">
        <v>345</v>
      </c>
      <c r="T107" s="4" t="s">
        <v>46</v>
      </c>
      <c r="U107" s="4" t="s">
        <v>46</v>
      </c>
      <c r="V107" s="5">
        <v>10</v>
      </c>
      <c r="W107" s="5">
        <v>-21.54</v>
      </c>
      <c r="X107" s="5">
        <v>100</v>
      </c>
      <c r="Y107" s="5">
        <v>-2.15</v>
      </c>
      <c r="Z107" s="4" t="s">
        <v>46</v>
      </c>
      <c r="AA107" s="5" t="s">
        <v>46</v>
      </c>
      <c r="AB107" s="4" t="s">
        <v>341</v>
      </c>
      <c r="AC107" s="4" t="s">
        <v>46</v>
      </c>
      <c r="AD107" s="5">
        <v>0</v>
      </c>
      <c r="AE107" s="4" t="s">
        <v>342</v>
      </c>
      <c r="AF107" s="3">
        <v>40848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5">
      <c r="A108" s="2">
        <v>1891456</v>
      </c>
      <c r="B108" s="3">
        <v>45756</v>
      </c>
      <c r="C108" s="4" t="s">
        <v>162</v>
      </c>
      <c r="D108" s="2">
        <v>1524629</v>
      </c>
      <c r="E108" s="4" t="s">
        <v>393</v>
      </c>
      <c r="F108" s="4" t="s">
        <v>394</v>
      </c>
      <c r="G108" s="4" t="s">
        <v>46</v>
      </c>
      <c r="H108" s="4" t="s">
        <v>46</v>
      </c>
      <c r="I108" s="4" t="s">
        <v>46</v>
      </c>
      <c r="J108" s="4" t="s">
        <v>386</v>
      </c>
      <c r="K108" s="4" t="s">
        <v>48</v>
      </c>
      <c r="L108" s="3">
        <v>45748</v>
      </c>
      <c r="M108" s="4" t="s">
        <v>64</v>
      </c>
      <c r="N108" s="4" t="s">
        <v>46</v>
      </c>
      <c r="O108" s="4" t="s">
        <v>106</v>
      </c>
      <c r="P108" s="4" t="s">
        <v>106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26</v>
      </c>
      <c r="W108" s="5">
        <v>147.1</v>
      </c>
      <c r="X108" s="5">
        <v>100</v>
      </c>
      <c r="Y108" s="5">
        <v>38.25</v>
      </c>
      <c r="Z108" s="5">
        <v>0</v>
      </c>
      <c r="AA108" s="5">
        <v>0</v>
      </c>
      <c r="AB108" s="4" t="s">
        <v>395</v>
      </c>
      <c r="AC108" s="4" t="s">
        <v>46</v>
      </c>
      <c r="AD108" s="5">
        <v>0</v>
      </c>
      <c r="AE108" s="4" t="s">
        <v>396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5">
      <c r="A109" s="2">
        <v>1891456</v>
      </c>
      <c r="B109" s="3">
        <v>45756</v>
      </c>
      <c r="C109" s="4" t="s">
        <v>162</v>
      </c>
      <c r="D109" s="2">
        <v>1524629</v>
      </c>
      <c r="E109" s="4" t="s">
        <v>397</v>
      </c>
      <c r="F109" s="4" t="s">
        <v>398</v>
      </c>
      <c r="G109" s="4" t="s">
        <v>46</v>
      </c>
      <c r="H109" s="4" t="s">
        <v>46</v>
      </c>
      <c r="I109" s="4" t="s">
        <v>46</v>
      </c>
      <c r="J109" s="4" t="s">
        <v>386</v>
      </c>
      <c r="K109" s="4" t="s">
        <v>48</v>
      </c>
      <c r="L109" s="3">
        <v>45748</v>
      </c>
      <c r="M109" s="4" t="s">
        <v>64</v>
      </c>
      <c r="N109" s="4" t="s">
        <v>46</v>
      </c>
      <c r="O109" s="4" t="s">
        <v>106</v>
      </c>
      <c r="P109" s="4" t="s">
        <v>106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193.65</v>
      </c>
      <c r="X109" s="5">
        <v>100</v>
      </c>
      <c r="Y109" s="5">
        <v>42.6</v>
      </c>
      <c r="Z109" s="5">
        <v>0</v>
      </c>
      <c r="AA109" s="5">
        <v>0</v>
      </c>
      <c r="AB109" s="4" t="s">
        <v>395</v>
      </c>
      <c r="AC109" s="4" t="s">
        <v>46</v>
      </c>
      <c r="AD109" s="5">
        <v>0</v>
      </c>
      <c r="AE109" s="4" t="s">
        <v>396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5">
      <c r="A110" s="2">
        <v>1891456</v>
      </c>
      <c r="B110" s="3">
        <v>45756</v>
      </c>
      <c r="C110" s="4" t="s">
        <v>162</v>
      </c>
      <c r="D110" s="2">
        <v>1524629</v>
      </c>
      <c r="E110" s="4" t="s">
        <v>399</v>
      </c>
      <c r="F110" s="4" t="s">
        <v>400</v>
      </c>
      <c r="G110" s="4" t="s">
        <v>46</v>
      </c>
      <c r="H110" s="4" t="s">
        <v>46</v>
      </c>
      <c r="I110" s="4" t="s">
        <v>46</v>
      </c>
      <c r="J110" s="4" t="s">
        <v>386</v>
      </c>
      <c r="K110" s="4" t="s">
        <v>48</v>
      </c>
      <c r="L110" s="3">
        <v>45748</v>
      </c>
      <c r="M110" s="4" t="s">
        <v>64</v>
      </c>
      <c r="N110" s="4" t="s">
        <v>46</v>
      </c>
      <c r="O110" s="4" t="s">
        <v>106</v>
      </c>
      <c r="P110" s="4" t="s">
        <v>106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26</v>
      </c>
      <c r="W110" s="5">
        <v>164.25</v>
      </c>
      <c r="X110" s="5">
        <v>100</v>
      </c>
      <c r="Y110" s="5">
        <v>42.71</v>
      </c>
      <c r="Z110" s="5">
        <v>0</v>
      </c>
      <c r="AA110" s="5">
        <v>0</v>
      </c>
      <c r="AB110" s="4" t="s">
        <v>395</v>
      </c>
      <c r="AC110" s="4" t="s">
        <v>46</v>
      </c>
      <c r="AD110" s="5">
        <v>0</v>
      </c>
      <c r="AE110" s="4" t="s">
        <v>396</v>
      </c>
      <c r="AF110" s="3">
        <v>45261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5">
      <c r="A111" s="2">
        <v>1891456</v>
      </c>
      <c r="B111" s="3">
        <v>45756</v>
      </c>
      <c r="C111" s="4" t="s">
        <v>162</v>
      </c>
      <c r="D111" s="2">
        <v>1524629</v>
      </c>
      <c r="E111" s="4" t="s">
        <v>401</v>
      </c>
      <c r="F111" s="4" t="s">
        <v>402</v>
      </c>
      <c r="G111" s="4" t="s">
        <v>46</v>
      </c>
      <c r="H111" s="4" t="s">
        <v>46</v>
      </c>
      <c r="I111" s="4" t="s">
        <v>46</v>
      </c>
      <c r="J111" s="4" t="s">
        <v>386</v>
      </c>
      <c r="K111" s="4" t="s">
        <v>48</v>
      </c>
      <c r="L111" s="3">
        <v>45748</v>
      </c>
      <c r="M111" s="4" t="s">
        <v>64</v>
      </c>
      <c r="N111" s="4" t="s">
        <v>46</v>
      </c>
      <c r="O111" s="4" t="s">
        <v>106</v>
      </c>
      <c r="P111" s="4" t="s">
        <v>106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164</v>
      </c>
      <c r="X111" s="5">
        <v>100</v>
      </c>
      <c r="Y111" s="5">
        <v>36.08</v>
      </c>
      <c r="Z111" s="5">
        <v>0</v>
      </c>
      <c r="AA111" s="5">
        <v>0</v>
      </c>
      <c r="AB111" s="4" t="s">
        <v>107</v>
      </c>
      <c r="AC111" s="4" t="s">
        <v>46</v>
      </c>
      <c r="AD111" s="5">
        <v>0</v>
      </c>
      <c r="AE111" s="4" t="s">
        <v>108</v>
      </c>
      <c r="AF111" s="3">
        <v>45292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5">
      <c r="A112" s="2">
        <v>1891456</v>
      </c>
      <c r="B112" s="3">
        <v>45756</v>
      </c>
      <c r="C112" s="4" t="s">
        <v>162</v>
      </c>
      <c r="D112" s="2">
        <v>1524629</v>
      </c>
      <c r="E112" s="4" t="s">
        <v>403</v>
      </c>
      <c r="F112" s="4" t="s">
        <v>404</v>
      </c>
      <c r="G112" s="4" t="s">
        <v>46</v>
      </c>
      <c r="H112" s="4" t="s">
        <v>46</v>
      </c>
      <c r="I112" s="4" t="s">
        <v>46</v>
      </c>
      <c r="J112" s="4" t="s">
        <v>386</v>
      </c>
      <c r="K112" s="4" t="s">
        <v>48</v>
      </c>
      <c r="L112" s="3">
        <v>45748</v>
      </c>
      <c r="M112" s="4" t="s">
        <v>64</v>
      </c>
      <c r="N112" s="4" t="s">
        <v>46</v>
      </c>
      <c r="O112" s="4" t="s">
        <v>50</v>
      </c>
      <c r="P112" s="4" t="s">
        <v>106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1801.56</v>
      </c>
      <c r="X112" s="5">
        <v>100</v>
      </c>
      <c r="Y112" s="5">
        <v>396.36</v>
      </c>
      <c r="Z112" s="5">
        <v>0</v>
      </c>
      <c r="AA112" s="5">
        <v>0</v>
      </c>
      <c r="AB112" s="4" t="s">
        <v>405</v>
      </c>
      <c r="AC112" s="4" t="s">
        <v>46</v>
      </c>
      <c r="AD112" s="5">
        <v>0</v>
      </c>
      <c r="AE112" s="4" t="s">
        <v>406</v>
      </c>
      <c r="AF112" s="3">
        <v>45748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5">
      <c r="A113" s="2">
        <v>1891456</v>
      </c>
      <c r="B113" s="3">
        <v>45756</v>
      </c>
      <c r="C113" s="4" t="s">
        <v>407</v>
      </c>
      <c r="D113" s="2">
        <v>1581327</v>
      </c>
      <c r="E113" s="4" t="s">
        <v>408</v>
      </c>
      <c r="F113" s="4" t="s">
        <v>409</v>
      </c>
      <c r="G113" s="4" t="s">
        <v>46</v>
      </c>
      <c r="H113" s="4" t="s">
        <v>46</v>
      </c>
      <c r="I113" s="4" t="s">
        <v>46</v>
      </c>
      <c r="J113" s="4" t="s">
        <v>386</v>
      </c>
      <c r="K113" s="4" t="s">
        <v>48</v>
      </c>
      <c r="L113" s="3">
        <v>45748</v>
      </c>
      <c r="M113" s="4" t="s">
        <v>64</v>
      </c>
      <c r="N113" s="4" t="s">
        <v>46</v>
      </c>
      <c r="O113" s="4" t="s">
        <v>106</v>
      </c>
      <c r="P113" s="4" t="s">
        <v>106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11</v>
      </c>
      <c r="W113" s="5">
        <v>326.25</v>
      </c>
      <c r="X113" s="5">
        <v>100</v>
      </c>
      <c r="Y113" s="5">
        <v>35.89</v>
      </c>
      <c r="Z113" s="5">
        <v>0</v>
      </c>
      <c r="AA113" s="5">
        <v>0</v>
      </c>
      <c r="AB113" s="4" t="s">
        <v>107</v>
      </c>
      <c r="AC113" s="4" t="s">
        <v>46</v>
      </c>
      <c r="AD113" s="5">
        <v>0</v>
      </c>
      <c r="AE113" s="4" t="s">
        <v>108</v>
      </c>
      <c r="AF113" s="3">
        <v>45261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5">
      <c r="A114" s="2">
        <v>1891456</v>
      </c>
      <c r="B114" s="3">
        <v>45756</v>
      </c>
      <c r="C114" s="4" t="s">
        <v>407</v>
      </c>
      <c r="D114" s="2">
        <v>1581327</v>
      </c>
      <c r="E114" s="4" t="s">
        <v>410</v>
      </c>
      <c r="F114" s="4" t="s">
        <v>411</v>
      </c>
      <c r="G114" s="4" t="s">
        <v>46</v>
      </c>
      <c r="H114" s="4" t="s">
        <v>46</v>
      </c>
      <c r="I114" s="4" t="s">
        <v>46</v>
      </c>
      <c r="J114" s="4" t="s">
        <v>386</v>
      </c>
      <c r="K114" s="4" t="s">
        <v>48</v>
      </c>
      <c r="L114" s="3">
        <v>45748</v>
      </c>
      <c r="M114" s="4" t="s">
        <v>64</v>
      </c>
      <c r="N114" s="4" t="s">
        <v>46</v>
      </c>
      <c r="O114" s="4" t="s">
        <v>106</v>
      </c>
      <c r="P114" s="4" t="s">
        <v>106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11</v>
      </c>
      <c r="W114" s="5">
        <v>326.25</v>
      </c>
      <c r="X114" s="5">
        <v>100</v>
      </c>
      <c r="Y114" s="5">
        <v>35.89</v>
      </c>
      <c r="Z114" s="5">
        <v>0</v>
      </c>
      <c r="AA114" s="5">
        <v>0</v>
      </c>
      <c r="AB114" s="4" t="s">
        <v>107</v>
      </c>
      <c r="AC114" s="4" t="s">
        <v>46</v>
      </c>
      <c r="AD114" s="5">
        <v>0</v>
      </c>
      <c r="AE114" s="4" t="s">
        <v>108</v>
      </c>
      <c r="AF114" s="3">
        <v>45292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5">
      <c r="A115" s="2">
        <v>1891456</v>
      </c>
      <c r="B115" s="3">
        <v>45756</v>
      </c>
      <c r="C115" s="4" t="s">
        <v>407</v>
      </c>
      <c r="D115" s="2">
        <v>1581327</v>
      </c>
      <c r="E115" s="4" t="s">
        <v>412</v>
      </c>
      <c r="F115" s="4" t="s">
        <v>413</v>
      </c>
      <c r="G115" s="4" t="s">
        <v>46</v>
      </c>
      <c r="H115" s="4" t="s">
        <v>46</v>
      </c>
      <c r="I115" s="4" t="s">
        <v>46</v>
      </c>
      <c r="J115" s="4" t="s">
        <v>386</v>
      </c>
      <c r="K115" s="4" t="s">
        <v>48</v>
      </c>
      <c r="L115" s="3">
        <v>45748</v>
      </c>
      <c r="M115" s="4" t="s">
        <v>64</v>
      </c>
      <c r="N115" s="4" t="s">
        <v>46</v>
      </c>
      <c r="O115" s="4" t="s">
        <v>50</v>
      </c>
      <c r="P115" s="4" t="s">
        <v>106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3</v>
      </c>
      <c r="W115" s="5">
        <v>2290.92</v>
      </c>
      <c r="X115" s="5">
        <v>100</v>
      </c>
      <c r="Y115" s="5">
        <v>68.760000000000005</v>
      </c>
      <c r="Z115" s="5">
        <v>0</v>
      </c>
      <c r="AA115" s="5">
        <v>0</v>
      </c>
      <c r="AB115" s="4" t="s">
        <v>387</v>
      </c>
      <c r="AC115" s="4" t="s">
        <v>46</v>
      </c>
      <c r="AD115" s="5">
        <v>0</v>
      </c>
      <c r="AE115" s="4" t="s">
        <v>388</v>
      </c>
      <c r="AF115" s="3">
        <v>45748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5">
      <c r="A116" s="2">
        <v>1891456</v>
      </c>
      <c r="B116" s="3">
        <v>45756</v>
      </c>
      <c r="C116" s="4" t="s">
        <v>414</v>
      </c>
      <c r="D116" s="2">
        <v>1594305</v>
      </c>
      <c r="E116" s="4" t="s">
        <v>415</v>
      </c>
      <c r="F116" s="4" t="s">
        <v>416</v>
      </c>
      <c r="G116" s="4" t="s">
        <v>46</v>
      </c>
      <c r="H116" s="4" t="s">
        <v>46</v>
      </c>
      <c r="I116" s="4" t="s">
        <v>46</v>
      </c>
      <c r="J116" s="4" t="s">
        <v>386</v>
      </c>
      <c r="K116" s="4" t="s">
        <v>48</v>
      </c>
      <c r="L116" s="3">
        <v>45748</v>
      </c>
      <c r="M116" s="4" t="s">
        <v>64</v>
      </c>
      <c r="N116" s="4" t="s">
        <v>46</v>
      </c>
      <c r="O116" s="4" t="s">
        <v>50</v>
      </c>
      <c r="P116" s="4" t="s">
        <v>106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1851.72</v>
      </c>
      <c r="X116" s="5">
        <v>100</v>
      </c>
      <c r="Y116" s="5">
        <v>407.4</v>
      </c>
      <c r="Z116" s="5">
        <v>0</v>
      </c>
      <c r="AA116" s="5">
        <v>0</v>
      </c>
      <c r="AB116" s="4" t="s">
        <v>387</v>
      </c>
      <c r="AC116" s="4" t="s">
        <v>46</v>
      </c>
      <c r="AD116" s="5">
        <v>0</v>
      </c>
      <c r="AE116" s="4" t="s">
        <v>388</v>
      </c>
      <c r="AF116" s="3">
        <v>45748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5">
      <c r="A117" s="2">
        <v>1891456</v>
      </c>
      <c r="B117" s="3">
        <v>45756</v>
      </c>
      <c r="C117" s="4" t="s">
        <v>417</v>
      </c>
      <c r="D117" s="2">
        <v>1673763</v>
      </c>
      <c r="E117" s="4" t="s">
        <v>418</v>
      </c>
      <c r="F117" s="4" t="s">
        <v>419</v>
      </c>
      <c r="G117" s="4" t="s">
        <v>46</v>
      </c>
      <c r="H117" s="4" t="s">
        <v>46</v>
      </c>
      <c r="I117" s="4" t="s">
        <v>46</v>
      </c>
      <c r="J117" s="4" t="s">
        <v>386</v>
      </c>
      <c r="K117" s="4" t="s">
        <v>48</v>
      </c>
      <c r="L117" s="3">
        <v>45748</v>
      </c>
      <c r="M117" s="4" t="s">
        <v>64</v>
      </c>
      <c r="N117" s="4" t="s">
        <v>46</v>
      </c>
      <c r="O117" s="4" t="s">
        <v>106</v>
      </c>
      <c r="P117" s="4" t="s">
        <v>106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1</v>
      </c>
      <c r="W117" s="5">
        <v>159.94999999999999</v>
      </c>
      <c r="X117" s="5">
        <v>100</v>
      </c>
      <c r="Y117" s="5">
        <v>1.6</v>
      </c>
      <c r="Z117" s="5">
        <v>0</v>
      </c>
      <c r="AA117" s="5">
        <v>0</v>
      </c>
      <c r="AB117" s="4" t="s">
        <v>395</v>
      </c>
      <c r="AC117" s="4" t="s">
        <v>46</v>
      </c>
      <c r="AD117" s="5">
        <v>0</v>
      </c>
      <c r="AE117" s="4" t="s">
        <v>396</v>
      </c>
      <c r="AF117" s="3">
        <v>45170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5">
      <c r="A118" s="2">
        <v>1891456</v>
      </c>
      <c r="B118" s="3">
        <v>45756</v>
      </c>
      <c r="C118" s="4" t="s">
        <v>417</v>
      </c>
      <c r="D118" s="2">
        <v>1673763</v>
      </c>
      <c r="E118" s="4" t="s">
        <v>420</v>
      </c>
      <c r="F118" s="4" t="s">
        <v>421</v>
      </c>
      <c r="G118" s="4" t="s">
        <v>46</v>
      </c>
      <c r="H118" s="4" t="s">
        <v>46</v>
      </c>
      <c r="I118" s="4" t="s">
        <v>46</v>
      </c>
      <c r="J118" s="4" t="s">
        <v>386</v>
      </c>
      <c r="K118" s="4" t="s">
        <v>48</v>
      </c>
      <c r="L118" s="3">
        <v>45748</v>
      </c>
      <c r="M118" s="4" t="s">
        <v>64</v>
      </c>
      <c r="N118" s="4" t="s">
        <v>46</v>
      </c>
      <c r="O118" s="4" t="s">
        <v>106</v>
      </c>
      <c r="P118" s="4" t="s">
        <v>106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115.3</v>
      </c>
      <c r="X118" s="5">
        <v>100</v>
      </c>
      <c r="Y118" s="5">
        <v>25.37</v>
      </c>
      <c r="Z118" s="5">
        <v>0</v>
      </c>
      <c r="AA118" s="5">
        <v>0</v>
      </c>
      <c r="AB118" s="4" t="s">
        <v>395</v>
      </c>
      <c r="AC118" s="4" t="s">
        <v>46</v>
      </c>
      <c r="AD118" s="5">
        <v>0</v>
      </c>
      <c r="AE118" s="4" t="s">
        <v>396</v>
      </c>
      <c r="AF118" s="3">
        <v>45292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5">
      <c r="A119" s="2">
        <v>1891456</v>
      </c>
      <c r="B119" s="3">
        <v>45756</v>
      </c>
      <c r="C119" s="4" t="s">
        <v>417</v>
      </c>
      <c r="D119" s="2">
        <v>1673763</v>
      </c>
      <c r="E119" s="4" t="s">
        <v>422</v>
      </c>
      <c r="F119" s="4" t="s">
        <v>423</v>
      </c>
      <c r="G119" s="4" t="s">
        <v>46</v>
      </c>
      <c r="H119" s="4" t="s">
        <v>46</v>
      </c>
      <c r="I119" s="4" t="s">
        <v>46</v>
      </c>
      <c r="J119" s="4" t="s">
        <v>386</v>
      </c>
      <c r="K119" s="4" t="s">
        <v>48</v>
      </c>
      <c r="L119" s="3">
        <v>45748</v>
      </c>
      <c r="M119" s="4" t="s">
        <v>64</v>
      </c>
      <c r="N119" s="4" t="s">
        <v>46</v>
      </c>
      <c r="O119" s="4" t="s">
        <v>106</v>
      </c>
      <c r="P119" s="4" t="s">
        <v>106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131.96</v>
      </c>
      <c r="X119" s="5">
        <v>100</v>
      </c>
      <c r="Y119" s="5">
        <v>29.03</v>
      </c>
      <c r="Z119" s="5">
        <v>0</v>
      </c>
      <c r="AA119" s="5">
        <v>0</v>
      </c>
      <c r="AB119" s="4" t="s">
        <v>395</v>
      </c>
      <c r="AC119" s="4" t="s">
        <v>46</v>
      </c>
      <c r="AD119" s="5">
        <v>0</v>
      </c>
      <c r="AE119" s="4" t="s">
        <v>396</v>
      </c>
      <c r="AF119" s="3">
        <v>45292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5">
      <c r="A120" s="2">
        <v>1891456</v>
      </c>
      <c r="B120" s="3">
        <v>45756</v>
      </c>
      <c r="C120" s="4" t="s">
        <v>417</v>
      </c>
      <c r="D120" s="2">
        <v>1673763</v>
      </c>
      <c r="E120" s="4" t="s">
        <v>424</v>
      </c>
      <c r="F120" s="4" t="s">
        <v>425</v>
      </c>
      <c r="G120" s="4" t="s">
        <v>46</v>
      </c>
      <c r="H120" s="4" t="s">
        <v>46</v>
      </c>
      <c r="I120" s="4" t="s">
        <v>46</v>
      </c>
      <c r="J120" s="4" t="s">
        <v>386</v>
      </c>
      <c r="K120" s="4" t="s">
        <v>48</v>
      </c>
      <c r="L120" s="3">
        <v>45748</v>
      </c>
      <c r="M120" s="4" t="s">
        <v>64</v>
      </c>
      <c r="N120" s="4" t="s">
        <v>46</v>
      </c>
      <c r="O120" s="4" t="s">
        <v>106</v>
      </c>
      <c r="P120" s="4" t="s">
        <v>106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130.08000000000001</v>
      </c>
      <c r="X120" s="5">
        <v>100</v>
      </c>
      <c r="Y120" s="5">
        <v>28.62</v>
      </c>
      <c r="Z120" s="5">
        <v>0</v>
      </c>
      <c r="AA120" s="5">
        <v>0</v>
      </c>
      <c r="AB120" s="4" t="s">
        <v>395</v>
      </c>
      <c r="AC120" s="4" t="s">
        <v>46</v>
      </c>
      <c r="AD120" s="5">
        <v>0</v>
      </c>
      <c r="AE120" s="4" t="s">
        <v>396</v>
      </c>
      <c r="AF120" s="3">
        <v>45292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5">
      <c r="A121" s="2">
        <v>1891456</v>
      </c>
      <c r="B121" s="3">
        <v>45756</v>
      </c>
      <c r="C121" s="4" t="s">
        <v>417</v>
      </c>
      <c r="D121" s="2">
        <v>1673763</v>
      </c>
      <c r="E121" s="4" t="s">
        <v>426</v>
      </c>
      <c r="F121" s="4" t="s">
        <v>427</v>
      </c>
      <c r="G121" s="4" t="s">
        <v>46</v>
      </c>
      <c r="H121" s="4" t="s">
        <v>46</v>
      </c>
      <c r="I121" s="4" t="s">
        <v>46</v>
      </c>
      <c r="J121" s="4" t="s">
        <v>386</v>
      </c>
      <c r="K121" s="4" t="s">
        <v>48</v>
      </c>
      <c r="L121" s="3">
        <v>45748</v>
      </c>
      <c r="M121" s="4" t="s">
        <v>64</v>
      </c>
      <c r="N121" s="4" t="s">
        <v>46</v>
      </c>
      <c r="O121" s="4" t="s">
        <v>106</v>
      </c>
      <c r="P121" s="4" t="s">
        <v>106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22</v>
      </c>
      <c r="W121" s="5">
        <v>130.08000000000001</v>
      </c>
      <c r="X121" s="5">
        <v>100</v>
      </c>
      <c r="Y121" s="5">
        <v>28.62</v>
      </c>
      <c r="Z121" s="5">
        <v>0</v>
      </c>
      <c r="AA121" s="5">
        <v>0</v>
      </c>
      <c r="AB121" s="4" t="s">
        <v>395</v>
      </c>
      <c r="AC121" s="4" t="s">
        <v>46</v>
      </c>
      <c r="AD121" s="5">
        <v>0</v>
      </c>
      <c r="AE121" s="4" t="s">
        <v>396</v>
      </c>
      <c r="AF121" s="3">
        <v>45261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5">
      <c r="A122" s="2">
        <v>1891456</v>
      </c>
      <c r="B122" s="3">
        <v>45756</v>
      </c>
      <c r="C122" s="4" t="s">
        <v>417</v>
      </c>
      <c r="D122" s="2">
        <v>1673763</v>
      </c>
      <c r="E122" s="4" t="s">
        <v>428</v>
      </c>
      <c r="F122" s="4" t="s">
        <v>429</v>
      </c>
      <c r="G122" s="4" t="s">
        <v>46</v>
      </c>
      <c r="H122" s="4" t="s">
        <v>46</v>
      </c>
      <c r="I122" s="4" t="s">
        <v>46</v>
      </c>
      <c r="J122" s="4" t="s">
        <v>386</v>
      </c>
      <c r="K122" s="4" t="s">
        <v>48</v>
      </c>
      <c r="L122" s="3">
        <v>45748</v>
      </c>
      <c r="M122" s="4" t="s">
        <v>64</v>
      </c>
      <c r="N122" s="4" t="s">
        <v>46</v>
      </c>
      <c r="O122" s="4" t="s">
        <v>106</v>
      </c>
      <c r="P122" s="4" t="s">
        <v>106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130.08000000000001</v>
      </c>
      <c r="X122" s="5">
        <v>100</v>
      </c>
      <c r="Y122" s="5">
        <v>28.62</v>
      </c>
      <c r="Z122" s="5">
        <v>0</v>
      </c>
      <c r="AA122" s="5">
        <v>0</v>
      </c>
      <c r="AB122" s="4" t="s">
        <v>395</v>
      </c>
      <c r="AC122" s="4" t="s">
        <v>46</v>
      </c>
      <c r="AD122" s="5">
        <v>0</v>
      </c>
      <c r="AE122" s="4" t="s">
        <v>396</v>
      </c>
      <c r="AF122" s="3">
        <v>45261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5">
      <c r="A123" s="2">
        <v>1891456</v>
      </c>
      <c r="B123" s="3">
        <v>45756</v>
      </c>
      <c r="C123" s="4" t="s">
        <v>417</v>
      </c>
      <c r="D123" s="2">
        <v>1673763</v>
      </c>
      <c r="E123" s="4" t="s">
        <v>430</v>
      </c>
      <c r="F123" s="4" t="s">
        <v>431</v>
      </c>
      <c r="G123" s="4" t="s">
        <v>46</v>
      </c>
      <c r="H123" s="4" t="s">
        <v>46</v>
      </c>
      <c r="I123" s="4" t="s">
        <v>46</v>
      </c>
      <c r="J123" s="4" t="s">
        <v>386</v>
      </c>
      <c r="K123" s="4" t="s">
        <v>48</v>
      </c>
      <c r="L123" s="3">
        <v>45748</v>
      </c>
      <c r="M123" s="4" t="s">
        <v>64</v>
      </c>
      <c r="N123" s="4" t="s">
        <v>46</v>
      </c>
      <c r="O123" s="4" t="s">
        <v>106</v>
      </c>
      <c r="P123" s="4" t="s">
        <v>106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154.43</v>
      </c>
      <c r="X123" s="5">
        <v>100</v>
      </c>
      <c r="Y123" s="5">
        <v>33.97</v>
      </c>
      <c r="Z123" s="5">
        <v>0</v>
      </c>
      <c r="AA123" s="5">
        <v>0</v>
      </c>
      <c r="AB123" s="4" t="s">
        <v>395</v>
      </c>
      <c r="AC123" s="4" t="s">
        <v>46</v>
      </c>
      <c r="AD123" s="5">
        <v>0</v>
      </c>
      <c r="AE123" s="4" t="s">
        <v>396</v>
      </c>
      <c r="AF123" s="3">
        <v>45292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5">
      <c r="A124" s="2">
        <v>1891456</v>
      </c>
      <c r="B124" s="3">
        <v>45756</v>
      </c>
      <c r="C124" s="4" t="s">
        <v>417</v>
      </c>
      <c r="D124" s="2">
        <v>1673763</v>
      </c>
      <c r="E124" s="4" t="s">
        <v>432</v>
      </c>
      <c r="F124" s="4" t="s">
        <v>433</v>
      </c>
      <c r="G124" s="4" t="s">
        <v>46</v>
      </c>
      <c r="H124" s="4" t="s">
        <v>46</v>
      </c>
      <c r="I124" s="4" t="s">
        <v>46</v>
      </c>
      <c r="J124" s="4" t="s">
        <v>386</v>
      </c>
      <c r="K124" s="4" t="s">
        <v>48</v>
      </c>
      <c r="L124" s="3">
        <v>45748</v>
      </c>
      <c r="M124" s="4" t="s">
        <v>64</v>
      </c>
      <c r="N124" s="4" t="s">
        <v>46</v>
      </c>
      <c r="O124" s="4" t="s">
        <v>106</v>
      </c>
      <c r="P124" s="4" t="s">
        <v>106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134.6</v>
      </c>
      <c r="X124" s="5">
        <v>100</v>
      </c>
      <c r="Y124" s="5">
        <v>29.61</v>
      </c>
      <c r="Z124" s="5">
        <v>0</v>
      </c>
      <c r="AA124" s="5">
        <v>0</v>
      </c>
      <c r="AB124" s="4" t="s">
        <v>395</v>
      </c>
      <c r="AC124" s="4" t="s">
        <v>46</v>
      </c>
      <c r="AD124" s="5">
        <v>0</v>
      </c>
      <c r="AE124" s="4" t="s">
        <v>396</v>
      </c>
      <c r="AF124" s="3">
        <v>45292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5">
      <c r="A125" s="2">
        <v>1891456</v>
      </c>
      <c r="B125" s="3">
        <v>45756</v>
      </c>
      <c r="C125" s="4" t="s">
        <v>417</v>
      </c>
      <c r="D125" s="2">
        <v>1673763</v>
      </c>
      <c r="E125" s="4" t="s">
        <v>434</v>
      </c>
      <c r="F125" s="4" t="s">
        <v>435</v>
      </c>
      <c r="G125" s="4" t="s">
        <v>46</v>
      </c>
      <c r="H125" s="4" t="s">
        <v>46</v>
      </c>
      <c r="I125" s="4" t="s">
        <v>46</v>
      </c>
      <c r="J125" s="4" t="s">
        <v>386</v>
      </c>
      <c r="K125" s="4" t="s">
        <v>48</v>
      </c>
      <c r="L125" s="3">
        <v>45748</v>
      </c>
      <c r="M125" s="4" t="s">
        <v>64</v>
      </c>
      <c r="N125" s="4" t="s">
        <v>46</v>
      </c>
      <c r="O125" s="4" t="s">
        <v>106</v>
      </c>
      <c r="P125" s="4" t="s">
        <v>106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148.9</v>
      </c>
      <c r="X125" s="5">
        <v>100</v>
      </c>
      <c r="Y125" s="5">
        <v>32.76</v>
      </c>
      <c r="Z125" s="5">
        <v>0</v>
      </c>
      <c r="AA125" s="5">
        <v>0</v>
      </c>
      <c r="AB125" s="4" t="s">
        <v>395</v>
      </c>
      <c r="AC125" s="4" t="s">
        <v>46</v>
      </c>
      <c r="AD125" s="5">
        <v>0</v>
      </c>
      <c r="AE125" s="4" t="s">
        <v>396</v>
      </c>
      <c r="AF125" s="3">
        <v>45292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5">
      <c r="A126" s="2">
        <v>1891456</v>
      </c>
      <c r="B126" s="3">
        <v>45756</v>
      </c>
      <c r="C126" s="4" t="s">
        <v>417</v>
      </c>
      <c r="D126" s="2">
        <v>1673763</v>
      </c>
      <c r="E126" s="4" t="s">
        <v>436</v>
      </c>
      <c r="F126" s="4" t="s">
        <v>437</v>
      </c>
      <c r="G126" s="4" t="s">
        <v>46</v>
      </c>
      <c r="H126" s="4" t="s">
        <v>46</v>
      </c>
      <c r="I126" s="4" t="s">
        <v>46</v>
      </c>
      <c r="J126" s="4" t="s">
        <v>386</v>
      </c>
      <c r="K126" s="4" t="s">
        <v>48</v>
      </c>
      <c r="L126" s="3">
        <v>45748</v>
      </c>
      <c r="M126" s="4" t="s">
        <v>64</v>
      </c>
      <c r="N126" s="4" t="s">
        <v>46</v>
      </c>
      <c r="O126" s="4" t="s">
        <v>106</v>
      </c>
      <c r="P126" s="4" t="s">
        <v>106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155.12</v>
      </c>
      <c r="X126" s="5">
        <v>100</v>
      </c>
      <c r="Y126" s="5">
        <v>34.130000000000003</v>
      </c>
      <c r="Z126" s="5">
        <v>0</v>
      </c>
      <c r="AA126" s="5">
        <v>0</v>
      </c>
      <c r="AB126" s="4" t="s">
        <v>395</v>
      </c>
      <c r="AC126" s="4" t="s">
        <v>46</v>
      </c>
      <c r="AD126" s="5">
        <v>0</v>
      </c>
      <c r="AE126" s="4" t="s">
        <v>396</v>
      </c>
      <c r="AF126" s="3">
        <v>45292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5">
      <c r="A127" s="2">
        <v>1891456</v>
      </c>
      <c r="B127" s="3">
        <v>45756</v>
      </c>
      <c r="C127" s="4" t="s">
        <v>417</v>
      </c>
      <c r="D127" s="2">
        <v>1673763</v>
      </c>
      <c r="E127" s="4" t="s">
        <v>438</v>
      </c>
      <c r="F127" s="4" t="s">
        <v>439</v>
      </c>
      <c r="G127" s="4" t="s">
        <v>46</v>
      </c>
      <c r="H127" s="4" t="s">
        <v>46</v>
      </c>
      <c r="I127" s="4" t="s">
        <v>46</v>
      </c>
      <c r="J127" s="4" t="s">
        <v>386</v>
      </c>
      <c r="K127" s="4" t="s">
        <v>48</v>
      </c>
      <c r="L127" s="3">
        <v>45748</v>
      </c>
      <c r="M127" s="4" t="s">
        <v>64</v>
      </c>
      <c r="N127" s="4" t="s">
        <v>46</v>
      </c>
      <c r="O127" s="4" t="s">
        <v>106</v>
      </c>
      <c r="P127" s="4" t="s">
        <v>106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0</v>
      </c>
      <c r="W127" s="5">
        <v>146.72999999999999</v>
      </c>
      <c r="X127" s="5">
        <v>100</v>
      </c>
      <c r="Y127" s="5">
        <v>4.17</v>
      </c>
      <c r="Z127" s="5">
        <v>0</v>
      </c>
      <c r="AA127" s="5">
        <v>0</v>
      </c>
      <c r="AB127" s="4" t="s">
        <v>395</v>
      </c>
      <c r="AC127" s="4" t="s">
        <v>46</v>
      </c>
      <c r="AD127" s="5">
        <v>0</v>
      </c>
      <c r="AE127" s="4" t="s">
        <v>396</v>
      </c>
      <c r="AF127" s="3">
        <v>45261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5">
      <c r="A128" s="2">
        <v>1891456</v>
      </c>
      <c r="B128" s="3">
        <v>45756</v>
      </c>
      <c r="C128" s="4" t="s">
        <v>417</v>
      </c>
      <c r="D128" s="2">
        <v>1673763</v>
      </c>
      <c r="E128" s="4" t="s">
        <v>440</v>
      </c>
      <c r="F128" s="4" t="s">
        <v>441</v>
      </c>
      <c r="G128" s="4" t="s">
        <v>46</v>
      </c>
      <c r="H128" s="4" t="s">
        <v>46</v>
      </c>
      <c r="I128" s="4" t="s">
        <v>46</v>
      </c>
      <c r="J128" s="4" t="s">
        <v>386</v>
      </c>
      <c r="K128" s="4" t="s">
        <v>48</v>
      </c>
      <c r="L128" s="3">
        <v>45748</v>
      </c>
      <c r="M128" s="4" t="s">
        <v>64</v>
      </c>
      <c r="N128" s="4" t="s">
        <v>46</v>
      </c>
      <c r="O128" s="4" t="s">
        <v>106</v>
      </c>
      <c r="P128" s="4" t="s">
        <v>106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1</v>
      </c>
      <c r="W128" s="5">
        <v>130.03</v>
      </c>
      <c r="X128" s="5">
        <v>100</v>
      </c>
      <c r="Y128" s="5">
        <v>1.3</v>
      </c>
      <c r="Z128" s="5">
        <v>0</v>
      </c>
      <c r="AA128" s="5">
        <v>0</v>
      </c>
      <c r="AB128" s="4" t="s">
        <v>395</v>
      </c>
      <c r="AC128" s="4" t="s">
        <v>46</v>
      </c>
      <c r="AD128" s="5">
        <v>0</v>
      </c>
      <c r="AE128" s="4" t="s">
        <v>396</v>
      </c>
      <c r="AF128" s="3">
        <v>45323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5">
      <c r="A129" s="2">
        <v>1891456</v>
      </c>
      <c r="B129" s="3">
        <v>45756</v>
      </c>
      <c r="C129" s="4" t="s">
        <v>417</v>
      </c>
      <c r="D129" s="2">
        <v>1673763</v>
      </c>
      <c r="E129" s="4" t="s">
        <v>442</v>
      </c>
      <c r="F129" s="4" t="s">
        <v>443</v>
      </c>
      <c r="G129" s="4" t="s">
        <v>46</v>
      </c>
      <c r="H129" s="4" t="s">
        <v>46</v>
      </c>
      <c r="I129" s="4" t="s">
        <v>46</v>
      </c>
      <c r="J129" s="4" t="s">
        <v>386</v>
      </c>
      <c r="K129" s="4" t="s">
        <v>48</v>
      </c>
      <c r="L129" s="3">
        <v>45748</v>
      </c>
      <c r="M129" s="4" t="s">
        <v>64</v>
      </c>
      <c r="N129" s="4" t="s">
        <v>46</v>
      </c>
      <c r="O129" s="4" t="s">
        <v>106</v>
      </c>
      <c r="P129" s="4" t="s">
        <v>106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130.08000000000001</v>
      </c>
      <c r="X129" s="5">
        <v>100</v>
      </c>
      <c r="Y129" s="5">
        <v>28.62</v>
      </c>
      <c r="Z129" s="5">
        <v>0</v>
      </c>
      <c r="AA129" s="5">
        <v>0</v>
      </c>
      <c r="AB129" s="4" t="s">
        <v>395</v>
      </c>
      <c r="AC129" s="4" t="s">
        <v>46</v>
      </c>
      <c r="AD129" s="5">
        <v>0</v>
      </c>
      <c r="AE129" s="4" t="s">
        <v>396</v>
      </c>
      <c r="AF129" s="3">
        <v>45352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5">
      <c r="A130" s="2">
        <v>1891456</v>
      </c>
      <c r="B130" s="3">
        <v>45756</v>
      </c>
      <c r="C130" s="4" t="s">
        <v>417</v>
      </c>
      <c r="D130" s="2">
        <v>1673763</v>
      </c>
      <c r="E130" s="4" t="s">
        <v>444</v>
      </c>
      <c r="F130" s="4" t="s">
        <v>445</v>
      </c>
      <c r="G130" s="4" t="s">
        <v>46</v>
      </c>
      <c r="H130" s="4" t="s">
        <v>46</v>
      </c>
      <c r="I130" s="4" t="s">
        <v>46</v>
      </c>
      <c r="J130" s="4" t="s">
        <v>386</v>
      </c>
      <c r="K130" s="4" t="s">
        <v>48</v>
      </c>
      <c r="L130" s="3">
        <v>45748</v>
      </c>
      <c r="M130" s="4" t="s">
        <v>64</v>
      </c>
      <c r="N130" s="4" t="s">
        <v>46</v>
      </c>
      <c r="O130" s="4" t="s">
        <v>106</v>
      </c>
      <c r="P130" s="4" t="s">
        <v>106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130.08000000000001</v>
      </c>
      <c r="X130" s="5">
        <v>100</v>
      </c>
      <c r="Y130" s="5">
        <v>28.62</v>
      </c>
      <c r="Z130" s="5">
        <v>0</v>
      </c>
      <c r="AA130" s="5">
        <v>0</v>
      </c>
      <c r="AB130" s="4" t="s">
        <v>395</v>
      </c>
      <c r="AC130" s="4" t="s">
        <v>46</v>
      </c>
      <c r="AD130" s="5">
        <v>0</v>
      </c>
      <c r="AE130" s="4" t="s">
        <v>396</v>
      </c>
      <c r="AF130" s="3">
        <v>45352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5">
      <c r="A131" s="2">
        <v>1891456</v>
      </c>
      <c r="B131" s="3">
        <v>45756</v>
      </c>
      <c r="C131" s="4" t="s">
        <v>417</v>
      </c>
      <c r="D131" s="2">
        <v>1673763</v>
      </c>
      <c r="E131" s="4" t="s">
        <v>446</v>
      </c>
      <c r="F131" s="4" t="s">
        <v>447</v>
      </c>
      <c r="G131" s="4" t="s">
        <v>46</v>
      </c>
      <c r="H131" s="4" t="s">
        <v>46</v>
      </c>
      <c r="I131" s="4" t="s">
        <v>46</v>
      </c>
      <c r="J131" s="4" t="s">
        <v>386</v>
      </c>
      <c r="K131" s="4" t="s">
        <v>48</v>
      </c>
      <c r="L131" s="3">
        <v>45748</v>
      </c>
      <c r="M131" s="4" t="s">
        <v>64</v>
      </c>
      <c r="N131" s="4" t="s">
        <v>46</v>
      </c>
      <c r="O131" s="4" t="s">
        <v>106</v>
      </c>
      <c r="P131" s="4" t="s">
        <v>106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146.72999999999999</v>
      </c>
      <c r="X131" s="5">
        <v>100</v>
      </c>
      <c r="Y131" s="5">
        <v>32.28</v>
      </c>
      <c r="Z131" s="5">
        <v>0</v>
      </c>
      <c r="AA131" s="5">
        <v>0</v>
      </c>
      <c r="AB131" s="4" t="s">
        <v>395</v>
      </c>
      <c r="AC131" s="4" t="s">
        <v>46</v>
      </c>
      <c r="AD131" s="5">
        <v>0</v>
      </c>
      <c r="AE131" s="4" t="s">
        <v>396</v>
      </c>
      <c r="AF131" s="3">
        <v>45383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5">
      <c r="A132" s="2">
        <v>1891456</v>
      </c>
      <c r="B132" s="3">
        <v>45756</v>
      </c>
      <c r="C132" s="4" t="s">
        <v>417</v>
      </c>
      <c r="D132" s="2">
        <v>1673763</v>
      </c>
      <c r="E132" s="4" t="s">
        <v>448</v>
      </c>
      <c r="F132" s="4" t="s">
        <v>449</v>
      </c>
      <c r="G132" s="4" t="s">
        <v>46</v>
      </c>
      <c r="H132" s="4" t="s">
        <v>46</v>
      </c>
      <c r="I132" s="4" t="s">
        <v>46</v>
      </c>
      <c r="J132" s="4" t="s">
        <v>386</v>
      </c>
      <c r="K132" s="4" t="s">
        <v>48</v>
      </c>
      <c r="L132" s="3">
        <v>45717</v>
      </c>
      <c r="M132" s="4" t="s">
        <v>119</v>
      </c>
      <c r="N132" s="4" t="s">
        <v>46</v>
      </c>
      <c r="O132" s="4" t="s">
        <v>50</v>
      </c>
      <c r="P132" s="4" t="s">
        <v>106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22</v>
      </c>
      <c r="W132" s="5">
        <v>-1674.6</v>
      </c>
      <c r="X132" s="5">
        <v>100</v>
      </c>
      <c r="Y132" s="5">
        <v>-368.4</v>
      </c>
      <c r="Z132" s="5">
        <v>0</v>
      </c>
      <c r="AA132" s="5">
        <v>0</v>
      </c>
      <c r="AB132" s="4" t="s">
        <v>405</v>
      </c>
      <c r="AC132" s="4" t="s">
        <v>46</v>
      </c>
      <c r="AD132" s="5">
        <v>0</v>
      </c>
      <c r="AE132" s="4" t="s">
        <v>406</v>
      </c>
      <c r="AF132" s="3">
        <v>45717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5">
      <c r="A133" s="2">
        <v>1891456</v>
      </c>
      <c r="B133" s="3">
        <v>45756</v>
      </c>
      <c r="C133" s="4" t="s">
        <v>417</v>
      </c>
      <c r="D133" s="2">
        <v>1673763</v>
      </c>
      <c r="E133" s="4" t="s">
        <v>450</v>
      </c>
      <c r="F133" s="4" t="s">
        <v>451</v>
      </c>
      <c r="G133" s="4" t="s">
        <v>46</v>
      </c>
      <c r="H133" s="4" t="s">
        <v>46</v>
      </c>
      <c r="I133" s="4" t="s">
        <v>46</v>
      </c>
      <c r="J133" s="4" t="s">
        <v>386</v>
      </c>
      <c r="K133" s="4" t="s">
        <v>48</v>
      </c>
      <c r="L133" s="3">
        <v>45717</v>
      </c>
      <c r="M133" s="4" t="s">
        <v>119</v>
      </c>
      <c r="N133" s="4" t="s">
        <v>46</v>
      </c>
      <c r="O133" s="4" t="s">
        <v>50</v>
      </c>
      <c r="P133" s="4" t="s">
        <v>106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22</v>
      </c>
      <c r="W133" s="5">
        <v>-1674.6</v>
      </c>
      <c r="X133" s="5">
        <v>100</v>
      </c>
      <c r="Y133" s="5">
        <v>-368.4</v>
      </c>
      <c r="Z133" s="5">
        <v>0</v>
      </c>
      <c r="AA133" s="5">
        <v>0</v>
      </c>
      <c r="AB133" s="4" t="s">
        <v>405</v>
      </c>
      <c r="AC133" s="4" t="s">
        <v>46</v>
      </c>
      <c r="AD133" s="5">
        <v>0</v>
      </c>
      <c r="AE133" s="4" t="s">
        <v>406</v>
      </c>
      <c r="AF133" s="3">
        <v>45717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5">
      <c r="A134" s="2">
        <v>1891456</v>
      </c>
      <c r="B134" s="3">
        <v>45756</v>
      </c>
      <c r="C134" s="4" t="s">
        <v>417</v>
      </c>
      <c r="D134" s="2">
        <v>1673763</v>
      </c>
      <c r="E134" s="4" t="s">
        <v>452</v>
      </c>
      <c r="F134" s="4" t="s">
        <v>453</v>
      </c>
      <c r="G134" s="4" t="s">
        <v>46</v>
      </c>
      <c r="H134" s="4" t="s">
        <v>46</v>
      </c>
      <c r="I134" s="4" t="s">
        <v>46</v>
      </c>
      <c r="J134" s="4" t="s">
        <v>386</v>
      </c>
      <c r="K134" s="4" t="s">
        <v>48</v>
      </c>
      <c r="L134" s="3">
        <v>45748</v>
      </c>
      <c r="M134" s="4" t="s">
        <v>64</v>
      </c>
      <c r="N134" s="4" t="s">
        <v>46</v>
      </c>
      <c r="O134" s="4" t="s">
        <v>50</v>
      </c>
      <c r="P134" s="4" t="s">
        <v>106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1674.6</v>
      </c>
      <c r="X134" s="5">
        <v>100</v>
      </c>
      <c r="Y134" s="5">
        <v>368.4</v>
      </c>
      <c r="Z134" s="5">
        <v>0</v>
      </c>
      <c r="AA134" s="5">
        <v>0</v>
      </c>
      <c r="AB134" s="4" t="s">
        <v>405</v>
      </c>
      <c r="AC134" s="4" t="s">
        <v>46</v>
      </c>
      <c r="AD134" s="5">
        <v>0</v>
      </c>
      <c r="AE134" s="4" t="s">
        <v>406</v>
      </c>
      <c r="AF134" s="3">
        <v>45748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5">
      <c r="A135" s="2">
        <v>1891456</v>
      </c>
      <c r="B135" s="3">
        <v>45756</v>
      </c>
      <c r="C135" s="4" t="s">
        <v>417</v>
      </c>
      <c r="D135" s="2">
        <v>1673763</v>
      </c>
      <c r="E135" s="4" t="s">
        <v>454</v>
      </c>
      <c r="F135" s="4" t="s">
        <v>455</v>
      </c>
      <c r="G135" s="4" t="s">
        <v>46</v>
      </c>
      <c r="H135" s="4" t="s">
        <v>46</v>
      </c>
      <c r="I135" s="4" t="s">
        <v>46</v>
      </c>
      <c r="J135" s="4" t="s">
        <v>386</v>
      </c>
      <c r="K135" s="4" t="s">
        <v>48</v>
      </c>
      <c r="L135" s="3">
        <v>45748</v>
      </c>
      <c r="M135" s="4" t="s">
        <v>64</v>
      </c>
      <c r="N135" s="4" t="s">
        <v>46</v>
      </c>
      <c r="O135" s="4" t="s">
        <v>50</v>
      </c>
      <c r="P135" s="4" t="s">
        <v>106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1674.6</v>
      </c>
      <c r="X135" s="5">
        <v>100</v>
      </c>
      <c r="Y135" s="5">
        <v>368.4</v>
      </c>
      <c r="Z135" s="5">
        <v>0</v>
      </c>
      <c r="AA135" s="5">
        <v>0</v>
      </c>
      <c r="AB135" s="4" t="s">
        <v>405</v>
      </c>
      <c r="AC135" s="4" t="s">
        <v>46</v>
      </c>
      <c r="AD135" s="5">
        <v>0</v>
      </c>
      <c r="AE135" s="4" t="s">
        <v>406</v>
      </c>
      <c r="AF135" s="3">
        <v>45748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5">
      <c r="A136" s="2">
        <v>1891456</v>
      </c>
      <c r="B136" s="3">
        <v>45756</v>
      </c>
      <c r="C136" s="4" t="s">
        <v>417</v>
      </c>
      <c r="D136" s="2">
        <v>1673763</v>
      </c>
      <c r="E136" s="4" t="s">
        <v>456</v>
      </c>
      <c r="F136" s="4" t="s">
        <v>457</v>
      </c>
      <c r="G136" s="4" t="s">
        <v>46</v>
      </c>
      <c r="H136" s="4" t="s">
        <v>46</v>
      </c>
      <c r="I136" s="4" t="s">
        <v>46</v>
      </c>
      <c r="J136" s="4" t="s">
        <v>338</v>
      </c>
      <c r="K136" s="4" t="s">
        <v>339</v>
      </c>
      <c r="L136" s="3">
        <v>45778</v>
      </c>
      <c r="M136" s="4" t="s">
        <v>49</v>
      </c>
      <c r="N136" s="4" t="s">
        <v>46</v>
      </c>
      <c r="O136" s="4" t="s">
        <v>50</v>
      </c>
      <c r="P136" s="4" t="s">
        <v>106</v>
      </c>
      <c r="Q136" s="2">
        <v>1</v>
      </c>
      <c r="R136" s="2">
        <v>60</v>
      </c>
      <c r="S136" s="4" t="s">
        <v>340</v>
      </c>
      <c r="T136" s="4" t="s">
        <v>46</v>
      </c>
      <c r="U136" s="4" t="s">
        <v>46</v>
      </c>
      <c r="V136" s="5">
        <v>10</v>
      </c>
      <c r="W136" s="5">
        <v>12.99</v>
      </c>
      <c r="X136" s="5">
        <v>100</v>
      </c>
      <c r="Y136" s="5">
        <v>1.3</v>
      </c>
      <c r="Z136" s="4" t="s">
        <v>46</v>
      </c>
      <c r="AA136" s="5" t="s">
        <v>46</v>
      </c>
      <c r="AB136" s="4" t="s">
        <v>354</v>
      </c>
      <c r="AC136" s="4" t="s">
        <v>46</v>
      </c>
      <c r="AD136" s="5">
        <v>0</v>
      </c>
      <c r="AE136" s="4" t="s">
        <v>355</v>
      </c>
      <c r="AF136" s="3">
        <v>45689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5">
      <c r="A137" s="2">
        <v>1891456</v>
      </c>
      <c r="B137" s="3">
        <v>45756</v>
      </c>
      <c r="C137" s="4" t="s">
        <v>458</v>
      </c>
      <c r="D137" s="2">
        <v>1703723</v>
      </c>
      <c r="E137" s="4" t="s">
        <v>459</v>
      </c>
      <c r="F137" s="4" t="s">
        <v>460</v>
      </c>
      <c r="G137" s="4" t="s">
        <v>46</v>
      </c>
      <c r="H137" s="4" t="s">
        <v>46</v>
      </c>
      <c r="I137" s="4" t="s">
        <v>46</v>
      </c>
      <c r="J137" s="4" t="s">
        <v>386</v>
      </c>
      <c r="K137" s="4" t="s">
        <v>48</v>
      </c>
      <c r="L137" s="3">
        <v>45748</v>
      </c>
      <c r="M137" s="4" t="s">
        <v>64</v>
      </c>
      <c r="N137" s="4" t="s">
        <v>46</v>
      </c>
      <c r="O137" s="4" t="s">
        <v>106</v>
      </c>
      <c r="P137" s="4" t="s">
        <v>106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26</v>
      </c>
      <c r="W137" s="5">
        <v>113</v>
      </c>
      <c r="X137" s="5">
        <v>100</v>
      </c>
      <c r="Y137" s="5">
        <v>29.38</v>
      </c>
      <c r="Z137" s="5">
        <v>0</v>
      </c>
      <c r="AA137" s="5">
        <v>0</v>
      </c>
      <c r="AB137" s="4" t="s">
        <v>395</v>
      </c>
      <c r="AC137" s="4" t="s">
        <v>46</v>
      </c>
      <c r="AD137" s="5">
        <v>0</v>
      </c>
      <c r="AE137" s="4" t="s">
        <v>396</v>
      </c>
      <c r="AF137" s="3">
        <v>45352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5">
      <c r="A138" s="2">
        <v>1891456</v>
      </c>
      <c r="B138" s="3">
        <v>45756</v>
      </c>
      <c r="C138" s="4" t="s">
        <v>461</v>
      </c>
      <c r="D138" s="2">
        <v>1755893</v>
      </c>
      <c r="E138" s="4" t="s">
        <v>462</v>
      </c>
      <c r="F138" s="4" t="s">
        <v>463</v>
      </c>
      <c r="G138" s="4" t="s">
        <v>46</v>
      </c>
      <c r="H138" s="4" t="s">
        <v>46</v>
      </c>
      <c r="I138" s="4" t="s">
        <v>46</v>
      </c>
      <c r="J138" s="4" t="s">
        <v>338</v>
      </c>
      <c r="K138" s="4" t="s">
        <v>339</v>
      </c>
      <c r="L138" s="3">
        <v>45778</v>
      </c>
      <c r="M138" s="4" t="s">
        <v>49</v>
      </c>
      <c r="N138" s="4" t="s">
        <v>46</v>
      </c>
      <c r="O138" s="4" t="s">
        <v>50</v>
      </c>
      <c r="P138" s="4" t="s">
        <v>106</v>
      </c>
      <c r="Q138" s="2">
        <v>1</v>
      </c>
      <c r="R138" s="2">
        <v>60</v>
      </c>
      <c r="S138" s="4" t="s">
        <v>340</v>
      </c>
      <c r="T138" s="4" t="s">
        <v>46</v>
      </c>
      <c r="U138" s="4" t="s">
        <v>46</v>
      </c>
      <c r="V138" s="5">
        <v>10</v>
      </c>
      <c r="W138" s="5">
        <v>12.99</v>
      </c>
      <c r="X138" s="5">
        <v>100</v>
      </c>
      <c r="Y138" s="5">
        <v>1.3</v>
      </c>
      <c r="Z138" s="4" t="s">
        <v>46</v>
      </c>
      <c r="AA138" s="5" t="s">
        <v>46</v>
      </c>
      <c r="AB138" s="4" t="s">
        <v>354</v>
      </c>
      <c r="AC138" s="4" t="s">
        <v>46</v>
      </c>
      <c r="AD138" s="5">
        <v>0</v>
      </c>
      <c r="AE138" s="4" t="s">
        <v>355</v>
      </c>
      <c r="AF138" s="3">
        <v>45693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5">
      <c r="A139" s="2">
        <v>1891456</v>
      </c>
      <c r="B139" s="3">
        <v>45756</v>
      </c>
      <c r="C139" s="4" t="s">
        <v>461</v>
      </c>
      <c r="D139" s="2">
        <v>1755893</v>
      </c>
      <c r="E139" s="4" t="s">
        <v>464</v>
      </c>
      <c r="F139" s="4" t="s">
        <v>465</v>
      </c>
      <c r="G139" s="4" t="s">
        <v>46</v>
      </c>
      <c r="H139" s="4" t="s">
        <v>46</v>
      </c>
      <c r="I139" s="4" t="s">
        <v>46</v>
      </c>
      <c r="J139" s="4" t="s">
        <v>338</v>
      </c>
      <c r="K139" s="4" t="s">
        <v>339</v>
      </c>
      <c r="L139" s="3">
        <v>45778</v>
      </c>
      <c r="M139" s="4" t="s">
        <v>49</v>
      </c>
      <c r="N139" s="4" t="s">
        <v>46</v>
      </c>
      <c r="O139" s="4" t="s">
        <v>50</v>
      </c>
      <c r="P139" s="4" t="s">
        <v>106</v>
      </c>
      <c r="Q139" s="2">
        <v>1</v>
      </c>
      <c r="R139" s="2">
        <v>60</v>
      </c>
      <c r="S139" s="4" t="s">
        <v>340</v>
      </c>
      <c r="T139" s="4" t="s">
        <v>46</v>
      </c>
      <c r="U139" s="4" t="s">
        <v>46</v>
      </c>
      <c r="V139" s="5">
        <v>10</v>
      </c>
      <c r="W139" s="5">
        <v>12.99</v>
      </c>
      <c r="X139" s="5">
        <v>100</v>
      </c>
      <c r="Y139" s="5">
        <v>1.3</v>
      </c>
      <c r="Z139" s="4" t="s">
        <v>46</v>
      </c>
      <c r="AA139" s="5" t="s">
        <v>46</v>
      </c>
      <c r="AB139" s="4" t="s">
        <v>354</v>
      </c>
      <c r="AC139" s="4" t="s">
        <v>46</v>
      </c>
      <c r="AD139" s="5">
        <v>0</v>
      </c>
      <c r="AE139" s="4" t="s">
        <v>355</v>
      </c>
      <c r="AF139" s="3">
        <v>45717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5">
      <c r="A140" s="2">
        <v>1891456</v>
      </c>
      <c r="B140" s="3">
        <v>45756</v>
      </c>
      <c r="C140" s="4" t="s">
        <v>461</v>
      </c>
      <c r="D140" s="2">
        <v>1755893</v>
      </c>
      <c r="E140" s="4" t="s">
        <v>466</v>
      </c>
      <c r="F140" s="4" t="s">
        <v>467</v>
      </c>
      <c r="G140" s="4" t="s">
        <v>46</v>
      </c>
      <c r="H140" s="4" t="s">
        <v>46</v>
      </c>
      <c r="I140" s="4" t="s">
        <v>46</v>
      </c>
      <c r="J140" s="4" t="s">
        <v>338</v>
      </c>
      <c r="K140" s="4" t="s">
        <v>339</v>
      </c>
      <c r="L140" s="3">
        <v>45778</v>
      </c>
      <c r="M140" s="4" t="s">
        <v>49</v>
      </c>
      <c r="N140" s="4" t="s">
        <v>46</v>
      </c>
      <c r="O140" s="4" t="s">
        <v>50</v>
      </c>
      <c r="P140" s="4" t="s">
        <v>106</v>
      </c>
      <c r="Q140" s="2">
        <v>1</v>
      </c>
      <c r="R140" s="2">
        <v>60</v>
      </c>
      <c r="S140" s="4" t="s">
        <v>340</v>
      </c>
      <c r="T140" s="4" t="s">
        <v>46</v>
      </c>
      <c r="U140" s="4" t="s">
        <v>46</v>
      </c>
      <c r="V140" s="5">
        <v>10</v>
      </c>
      <c r="W140" s="5">
        <v>12.99</v>
      </c>
      <c r="X140" s="5">
        <v>100</v>
      </c>
      <c r="Y140" s="5">
        <v>1.3</v>
      </c>
      <c r="Z140" s="4" t="s">
        <v>46</v>
      </c>
      <c r="AA140" s="5" t="s">
        <v>46</v>
      </c>
      <c r="AB140" s="4" t="s">
        <v>354</v>
      </c>
      <c r="AC140" s="4" t="s">
        <v>46</v>
      </c>
      <c r="AD140" s="5">
        <v>0</v>
      </c>
      <c r="AE140" s="4" t="s">
        <v>355</v>
      </c>
      <c r="AF140" s="3">
        <v>45748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5">
      <c r="A141" s="2">
        <v>1891456</v>
      </c>
      <c r="B141" s="3">
        <v>45756</v>
      </c>
      <c r="C141" s="4" t="s">
        <v>245</v>
      </c>
      <c r="D141" s="2">
        <v>1758433</v>
      </c>
      <c r="E141" s="4" t="s">
        <v>468</v>
      </c>
      <c r="F141" s="4" t="s">
        <v>469</v>
      </c>
      <c r="G141" s="4" t="s">
        <v>46</v>
      </c>
      <c r="H141" s="4" t="s">
        <v>46</v>
      </c>
      <c r="I141" s="4" t="s">
        <v>46</v>
      </c>
      <c r="J141" s="4" t="s">
        <v>386</v>
      </c>
      <c r="K141" s="4" t="s">
        <v>48</v>
      </c>
      <c r="L141" s="3">
        <v>45748</v>
      </c>
      <c r="M141" s="4" t="s">
        <v>64</v>
      </c>
      <c r="N141" s="4" t="s">
        <v>46</v>
      </c>
      <c r="O141" s="4" t="s">
        <v>106</v>
      </c>
      <c r="P141" s="4" t="s">
        <v>106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130.03</v>
      </c>
      <c r="X141" s="5">
        <v>100</v>
      </c>
      <c r="Y141" s="5">
        <v>28.61</v>
      </c>
      <c r="Z141" s="5">
        <v>0</v>
      </c>
      <c r="AA141" s="5">
        <v>0</v>
      </c>
      <c r="AB141" s="4" t="s">
        <v>395</v>
      </c>
      <c r="AC141" s="4" t="s">
        <v>46</v>
      </c>
      <c r="AD141" s="5">
        <v>0</v>
      </c>
      <c r="AE141" s="4" t="s">
        <v>396</v>
      </c>
      <c r="AF141" s="3">
        <v>45323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5">
      <c r="A142" s="2">
        <v>1891456</v>
      </c>
      <c r="B142" s="3">
        <v>45756</v>
      </c>
      <c r="C142" s="4" t="s">
        <v>245</v>
      </c>
      <c r="D142" s="2">
        <v>1758433</v>
      </c>
      <c r="E142" s="4" t="s">
        <v>470</v>
      </c>
      <c r="F142" s="4" t="s">
        <v>471</v>
      </c>
      <c r="G142" s="4" t="s">
        <v>46</v>
      </c>
      <c r="H142" s="4" t="s">
        <v>46</v>
      </c>
      <c r="I142" s="4" t="s">
        <v>46</v>
      </c>
      <c r="J142" s="4" t="s">
        <v>386</v>
      </c>
      <c r="K142" s="4" t="s">
        <v>48</v>
      </c>
      <c r="L142" s="3">
        <v>45748</v>
      </c>
      <c r="M142" s="4" t="s">
        <v>64</v>
      </c>
      <c r="N142" s="4" t="s">
        <v>46</v>
      </c>
      <c r="O142" s="4" t="s">
        <v>106</v>
      </c>
      <c r="P142" s="4" t="s">
        <v>106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22</v>
      </c>
      <c r="W142" s="5">
        <v>115.3</v>
      </c>
      <c r="X142" s="5">
        <v>100</v>
      </c>
      <c r="Y142" s="5">
        <v>25.37</v>
      </c>
      <c r="Z142" s="5">
        <v>0</v>
      </c>
      <c r="AA142" s="5">
        <v>0</v>
      </c>
      <c r="AB142" s="4" t="s">
        <v>395</v>
      </c>
      <c r="AC142" s="4" t="s">
        <v>46</v>
      </c>
      <c r="AD142" s="5">
        <v>0</v>
      </c>
      <c r="AE142" s="4" t="s">
        <v>396</v>
      </c>
      <c r="AF142" s="3">
        <v>45323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5">
      <c r="A143" s="2">
        <v>1891456</v>
      </c>
      <c r="B143" s="3">
        <v>45756</v>
      </c>
      <c r="C143" s="4" t="s">
        <v>245</v>
      </c>
      <c r="D143" s="2">
        <v>1758433</v>
      </c>
      <c r="E143" s="4" t="s">
        <v>472</v>
      </c>
      <c r="F143" s="4" t="s">
        <v>473</v>
      </c>
      <c r="G143" s="4" t="s">
        <v>46</v>
      </c>
      <c r="H143" s="4" t="s">
        <v>46</v>
      </c>
      <c r="I143" s="4" t="s">
        <v>46</v>
      </c>
      <c r="J143" s="4" t="s">
        <v>386</v>
      </c>
      <c r="K143" s="4" t="s">
        <v>48</v>
      </c>
      <c r="L143" s="3">
        <v>45748</v>
      </c>
      <c r="M143" s="4" t="s">
        <v>64</v>
      </c>
      <c r="N143" s="4" t="s">
        <v>46</v>
      </c>
      <c r="O143" s="4" t="s">
        <v>106</v>
      </c>
      <c r="P143" s="4" t="s">
        <v>106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22</v>
      </c>
      <c r="W143" s="5">
        <v>115.3</v>
      </c>
      <c r="X143" s="5">
        <v>100</v>
      </c>
      <c r="Y143" s="5">
        <v>25.37</v>
      </c>
      <c r="Z143" s="5">
        <v>0</v>
      </c>
      <c r="AA143" s="5">
        <v>0</v>
      </c>
      <c r="AB143" s="4" t="s">
        <v>395</v>
      </c>
      <c r="AC143" s="4" t="s">
        <v>46</v>
      </c>
      <c r="AD143" s="5">
        <v>0</v>
      </c>
      <c r="AE143" s="4" t="s">
        <v>396</v>
      </c>
      <c r="AF143" s="3">
        <v>45383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5">
      <c r="A144" s="2">
        <v>1891456</v>
      </c>
      <c r="B144" s="3">
        <v>45756</v>
      </c>
      <c r="C144" s="4" t="s">
        <v>245</v>
      </c>
      <c r="D144" s="2">
        <v>1758433</v>
      </c>
      <c r="E144" s="4" t="s">
        <v>474</v>
      </c>
      <c r="F144" s="4" t="s">
        <v>475</v>
      </c>
      <c r="G144" s="4" t="s">
        <v>46</v>
      </c>
      <c r="H144" s="4" t="s">
        <v>46</v>
      </c>
      <c r="I144" s="4" t="s">
        <v>46</v>
      </c>
      <c r="J144" s="4" t="s">
        <v>386</v>
      </c>
      <c r="K144" s="4" t="s">
        <v>48</v>
      </c>
      <c r="L144" s="3">
        <v>45748</v>
      </c>
      <c r="M144" s="4" t="s">
        <v>64</v>
      </c>
      <c r="N144" s="4" t="s">
        <v>46</v>
      </c>
      <c r="O144" s="4" t="s">
        <v>106</v>
      </c>
      <c r="P144" s="4" t="s">
        <v>106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22</v>
      </c>
      <c r="W144" s="5">
        <v>156.38999999999999</v>
      </c>
      <c r="X144" s="5">
        <v>100</v>
      </c>
      <c r="Y144" s="5">
        <v>34.409999999999997</v>
      </c>
      <c r="Z144" s="5">
        <v>0</v>
      </c>
      <c r="AA144" s="5">
        <v>0</v>
      </c>
      <c r="AB144" s="4" t="s">
        <v>395</v>
      </c>
      <c r="AC144" s="4" t="s">
        <v>46</v>
      </c>
      <c r="AD144" s="5">
        <v>0</v>
      </c>
      <c r="AE144" s="4" t="s">
        <v>396</v>
      </c>
      <c r="AF144" s="3">
        <v>45383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5">
      <c r="A145" s="2">
        <v>1891456</v>
      </c>
      <c r="B145" s="3">
        <v>45756</v>
      </c>
      <c r="C145" s="4" t="s">
        <v>245</v>
      </c>
      <c r="D145" s="2">
        <v>1758433</v>
      </c>
      <c r="E145" s="4" t="s">
        <v>246</v>
      </c>
      <c r="F145" s="4" t="s">
        <v>476</v>
      </c>
      <c r="G145" s="4" t="s">
        <v>46</v>
      </c>
      <c r="H145" s="4" t="s">
        <v>46</v>
      </c>
      <c r="I145" s="4" t="s">
        <v>46</v>
      </c>
      <c r="J145" s="4" t="s">
        <v>386</v>
      </c>
      <c r="K145" s="4" t="s">
        <v>48</v>
      </c>
      <c r="L145" s="3">
        <v>45748</v>
      </c>
      <c r="M145" s="4" t="s">
        <v>64</v>
      </c>
      <c r="N145" s="4" t="s">
        <v>46</v>
      </c>
      <c r="O145" s="4" t="s">
        <v>50</v>
      </c>
      <c r="P145" s="4" t="s">
        <v>106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22</v>
      </c>
      <c r="W145" s="5">
        <v>2778.6</v>
      </c>
      <c r="X145" s="5">
        <v>100</v>
      </c>
      <c r="Y145" s="5">
        <v>611.28</v>
      </c>
      <c r="Z145" s="5">
        <v>0</v>
      </c>
      <c r="AA145" s="5">
        <v>0</v>
      </c>
      <c r="AB145" s="4" t="s">
        <v>405</v>
      </c>
      <c r="AC145" s="4" t="s">
        <v>46</v>
      </c>
      <c r="AD145" s="5">
        <v>0</v>
      </c>
      <c r="AE145" s="4" t="s">
        <v>406</v>
      </c>
      <c r="AF145" s="3">
        <v>45748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5">
      <c r="A146" s="2">
        <v>1891456</v>
      </c>
      <c r="B146" s="3">
        <v>45756</v>
      </c>
      <c r="C146" s="4" t="s">
        <v>477</v>
      </c>
      <c r="D146" s="2">
        <v>1775329</v>
      </c>
      <c r="E146" s="4" t="s">
        <v>478</v>
      </c>
      <c r="F146" s="4" t="s">
        <v>479</v>
      </c>
      <c r="G146" s="4" t="s">
        <v>46</v>
      </c>
      <c r="H146" s="4" t="s">
        <v>46</v>
      </c>
      <c r="I146" s="4" t="s">
        <v>46</v>
      </c>
      <c r="J146" s="4" t="s">
        <v>386</v>
      </c>
      <c r="K146" s="4" t="s">
        <v>48</v>
      </c>
      <c r="L146" s="3">
        <v>45748</v>
      </c>
      <c r="M146" s="4" t="s">
        <v>64</v>
      </c>
      <c r="N146" s="4" t="s">
        <v>46</v>
      </c>
      <c r="O146" s="4" t="s">
        <v>50</v>
      </c>
      <c r="P146" s="4" t="s">
        <v>106</v>
      </c>
      <c r="Q146" s="2">
        <v>1</v>
      </c>
      <c r="R146" s="2">
        <v>17</v>
      </c>
      <c r="S146" s="4" t="s">
        <v>51</v>
      </c>
      <c r="T146" s="4" t="s">
        <v>46</v>
      </c>
      <c r="U146" s="4" t="s">
        <v>46</v>
      </c>
      <c r="V146" s="5">
        <v>11</v>
      </c>
      <c r="W146" s="5">
        <v>142.16999999999999</v>
      </c>
      <c r="X146" s="5">
        <v>100</v>
      </c>
      <c r="Y146" s="5">
        <v>15.64</v>
      </c>
      <c r="Z146" s="5">
        <v>0</v>
      </c>
      <c r="AA146" s="5">
        <v>0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45505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5">
      <c r="A147" s="2">
        <v>1891456</v>
      </c>
      <c r="B147" s="3">
        <v>45756</v>
      </c>
      <c r="C147" s="4" t="s">
        <v>477</v>
      </c>
      <c r="D147" s="2">
        <v>1775329</v>
      </c>
      <c r="E147" s="4" t="s">
        <v>480</v>
      </c>
      <c r="F147" s="4" t="s">
        <v>481</v>
      </c>
      <c r="G147" s="4" t="s">
        <v>46</v>
      </c>
      <c r="H147" s="4" t="s">
        <v>46</v>
      </c>
      <c r="I147" s="4" t="s">
        <v>46</v>
      </c>
      <c r="J147" s="4" t="s">
        <v>386</v>
      </c>
      <c r="K147" s="4" t="s">
        <v>48</v>
      </c>
      <c r="L147" s="3">
        <v>45748</v>
      </c>
      <c r="M147" s="4" t="s">
        <v>64</v>
      </c>
      <c r="N147" s="4" t="s">
        <v>46</v>
      </c>
      <c r="O147" s="4" t="s">
        <v>50</v>
      </c>
      <c r="P147" s="4" t="s">
        <v>106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11</v>
      </c>
      <c r="W147" s="5">
        <v>142.16999999999999</v>
      </c>
      <c r="X147" s="5">
        <v>100</v>
      </c>
      <c r="Y147" s="5">
        <v>15.64</v>
      </c>
      <c r="Z147" s="5">
        <v>0</v>
      </c>
      <c r="AA147" s="5">
        <v>0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45505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5">
      <c r="A148" s="2">
        <v>1891456</v>
      </c>
      <c r="B148" s="3">
        <v>45756</v>
      </c>
      <c r="C148" s="4" t="s">
        <v>477</v>
      </c>
      <c r="D148" s="2">
        <v>1775329</v>
      </c>
      <c r="E148" s="4" t="s">
        <v>482</v>
      </c>
      <c r="F148" s="4" t="s">
        <v>483</v>
      </c>
      <c r="G148" s="4" t="s">
        <v>46</v>
      </c>
      <c r="H148" s="4" t="s">
        <v>46</v>
      </c>
      <c r="I148" s="4" t="s">
        <v>46</v>
      </c>
      <c r="J148" s="4" t="s">
        <v>386</v>
      </c>
      <c r="K148" s="4" t="s">
        <v>48</v>
      </c>
      <c r="L148" s="3">
        <v>45748</v>
      </c>
      <c r="M148" s="4" t="s">
        <v>64</v>
      </c>
      <c r="N148" s="4" t="s">
        <v>46</v>
      </c>
      <c r="O148" s="4" t="s">
        <v>50</v>
      </c>
      <c r="P148" s="4" t="s">
        <v>106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2080.44</v>
      </c>
      <c r="X148" s="5">
        <v>100</v>
      </c>
      <c r="Y148" s="5">
        <v>457.68</v>
      </c>
      <c r="Z148" s="5">
        <v>0</v>
      </c>
      <c r="AA148" s="5">
        <v>0</v>
      </c>
      <c r="AB148" s="4" t="s">
        <v>387</v>
      </c>
      <c r="AC148" s="4" t="s">
        <v>46</v>
      </c>
      <c r="AD148" s="5">
        <v>0</v>
      </c>
      <c r="AE148" s="4" t="s">
        <v>388</v>
      </c>
      <c r="AF148" s="3">
        <v>45748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5">
      <c r="A149" s="2">
        <v>1891456</v>
      </c>
      <c r="B149" s="3">
        <v>45756</v>
      </c>
      <c r="C149" s="4" t="s">
        <v>477</v>
      </c>
      <c r="D149" s="2">
        <v>1775329</v>
      </c>
      <c r="E149" s="4" t="s">
        <v>484</v>
      </c>
      <c r="F149" s="4" t="s">
        <v>485</v>
      </c>
      <c r="G149" s="4" t="s">
        <v>46</v>
      </c>
      <c r="H149" s="4" t="s">
        <v>46</v>
      </c>
      <c r="I149" s="4" t="s">
        <v>46</v>
      </c>
      <c r="J149" s="4" t="s">
        <v>386</v>
      </c>
      <c r="K149" s="4" t="s">
        <v>48</v>
      </c>
      <c r="L149" s="3">
        <v>45748</v>
      </c>
      <c r="M149" s="4" t="s">
        <v>64</v>
      </c>
      <c r="N149" s="4" t="s">
        <v>46</v>
      </c>
      <c r="O149" s="4" t="s">
        <v>50</v>
      </c>
      <c r="P149" s="4" t="s">
        <v>106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22</v>
      </c>
      <c r="W149" s="5">
        <v>1622.64</v>
      </c>
      <c r="X149" s="5">
        <v>100</v>
      </c>
      <c r="Y149" s="5">
        <v>357</v>
      </c>
      <c r="Z149" s="5">
        <v>0</v>
      </c>
      <c r="AA149" s="5">
        <v>0</v>
      </c>
      <c r="AB149" s="4" t="s">
        <v>387</v>
      </c>
      <c r="AC149" s="4" t="s">
        <v>46</v>
      </c>
      <c r="AD149" s="5">
        <v>0</v>
      </c>
      <c r="AE149" s="4" t="s">
        <v>388</v>
      </c>
      <c r="AF149" s="3">
        <v>45748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5">
      <c r="A150" s="2">
        <v>1891456</v>
      </c>
      <c r="B150" s="3">
        <v>45756</v>
      </c>
      <c r="C150" s="4" t="s">
        <v>477</v>
      </c>
      <c r="D150" s="2">
        <v>1775329</v>
      </c>
      <c r="E150" s="4" t="s">
        <v>486</v>
      </c>
      <c r="F150" s="4" t="s">
        <v>487</v>
      </c>
      <c r="G150" s="4" t="s">
        <v>46</v>
      </c>
      <c r="H150" s="4" t="s">
        <v>46</v>
      </c>
      <c r="I150" s="4" t="s">
        <v>46</v>
      </c>
      <c r="J150" s="4" t="s">
        <v>386</v>
      </c>
      <c r="K150" s="4" t="s">
        <v>48</v>
      </c>
      <c r="L150" s="3">
        <v>45748</v>
      </c>
      <c r="M150" s="4" t="s">
        <v>64</v>
      </c>
      <c r="N150" s="4" t="s">
        <v>46</v>
      </c>
      <c r="O150" s="4" t="s">
        <v>50</v>
      </c>
      <c r="P150" s="4" t="s">
        <v>106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2080.44</v>
      </c>
      <c r="X150" s="5">
        <v>100</v>
      </c>
      <c r="Y150" s="5">
        <v>457.68</v>
      </c>
      <c r="Z150" s="5">
        <v>0</v>
      </c>
      <c r="AA150" s="5">
        <v>0</v>
      </c>
      <c r="AB150" s="4" t="s">
        <v>387</v>
      </c>
      <c r="AC150" s="4" t="s">
        <v>46</v>
      </c>
      <c r="AD150" s="5">
        <v>0</v>
      </c>
      <c r="AE150" s="4" t="s">
        <v>388</v>
      </c>
      <c r="AF150" s="3">
        <v>45748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5">
      <c r="A151" s="2">
        <v>1891456</v>
      </c>
      <c r="B151" s="3">
        <v>45756</v>
      </c>
      <c r="C151" s="4" t="s">
        <v>477</v>
      </c>
      <c r="D151" s="2">
        <v>1775329</v>
      </c>
      <c r="E151" s="4" t="s">
        <v>488</v>
      </c>
      <c r="F151" s="4" t="s">
        <v>489</v>
      </c>
      <c r="G151" s="4" t="s">
        <v>46</v>
      </c>
      <c r="H151" s="4" t="s">
        <v>46</v>
      </c>
      <c r="I151" s="4" t="s">
        <v>46</v>
      </c>
      <c r="J151" s="4" t="s">
        <v>386</v>
      </c>
      <c r="K151" s="4" t="s">
        <v>48</v>
      </c>
      <c r="L151" s="3">
        <v>45748</v>
      </c>
      <c r="M151" s="4" t="s">
        <v>64</v>
      </c>
      <c r="N151" s="4" t="s">
        <v>46</v>
      </c>
      <c r="O151" s="4" t="s">
        <v>50</v>
      </c>
      <c r="P151" s="4" t="s">
        <v>106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1843.92</v>
      </c>
      <c r="X151" s="5">
        <v>100</v>
      </c>
      <c r="Y151" s="5">
        <v>405.72</v>
      </c>
      <c r="Z151" s="5">
        <v>0</v>
      </c>
      <c r="AA151" s="5">
        <v>0</v>
      </c>
      <c r="AB151" s="4" t="s">
        <v>387</v>
      </c>
      <c r="AC151" s="4" t="s">
        <v>46</v>
      </c>
      <c r="AD151" s="5">
        <v>0</v>
      </c>
      <c r="AE151" s="4" t="s">
        <v>388</v>
      </c>
      <c r="AF151" s="3">
        <v>45748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5">
      <c r="A152" s="2">
        <v>1891456</v>
      </c>
      <c r="B152" s="3">
        <v>45756</v>
      </c>
      <c r="C152" s="4" t="s">
        <v>288</v>
      </c>
      <c r="D152" s="2">
        <v>1831491</v>
      </c>
      <c r="E152" s="4" t="s">
        <v>490</v>
      </c>
      <c r="F152" s="4" t="s">
        <v>491</v>
      </c>
      <c r="G152" s="4" t="s">
        <v>46</v>
      </c>
      <c r="H152" s="4" t="s">
        <v>46</v>
      </c>
      <c r="I152" s="4" t="s">
        <v>46</v>
      </c>
      <c r="J152" s="4" t="s">
        <v>338</v>
      </c>
      <c r="K152" s="4" t="s">
        <v>339</v>
      </c>
      <c r="L152" s="3">
        <v>45778</v>
      </c>
      <c r="M152" s="4" t="s">
        <v>49</v>
      </c>
      <c r="N152" s="4" t="s">
        <v>46</v>
      </c>
      <c r="O152" s="4" t="s">
        <v>50</v>
      </c>
      <c r="P152" s="4" t="s">
        <v>106</v>
      </c>
      <c r="Q152" s="2">
        <v>1</v>
      </c>
      <c r="R152" s="2">
        <v>3</v>
      </c>
      <c r="S152" s="4" t="s">
        <v>345</v>
      </c>
      <c r="T152" s="4" t="s">
        <v>46</v>
      </c>
      <c r="U152" s="4" t="s">
        <v>46</v>
      </c>
      <c r="V152" s="5">
        <v>10</v>
      </c>
      <c r="W152" s="5">
        <v>41.82</v>
      </c>
      <c r="X152" s="5">
        <v>100</v>
      </c>
      <c r="Y152" s="5">
        <v>4.18</v>
      </c>
      <c r="Z152" s="4" t="s">
        <v>46</v>
      </c>
      <c r="AA152" s="5" t="s">
        <v>46</v>
      </c>
      <c r="AB152" s="4" t="s">
        <v>354</v>
      </c>
      <c r="AC152" s="4" t="s">
        <v>46</v>
      </c>
      <c r="AD152" s="5">
        <v>0</v>
      </c>
      <c r="AE152" s="4" t="s">
        <v>355</v>
      </c>
      <c r="AF152" s="3">
        <v>45658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5">
      <c r="A153" s="2">
        <v>1891456</v>
      </c>
      <c r="B153" s="3">
        <v>45756</v>
      </c>
      <c r="C153" s="4" t="s">
        <v>321</v>
      </c>
      <c r="D153" s="2">
        <v>1875462</v>
      </c>
      <c r="E153" s="4" t="s">
        <v>492</v>
      </c>
      <c r="F153" s="4" t="s">
        <v>493</v>
      </c>
      <c r="G153" s="4" t="s">
        <v>46</v>
      </c>
      <c r="H153" s="4" t="s">
        <v>46</v>
      </c>
      <c r="I153" s="4" t="s">
        <v>46</v>
      </c>
      <c r="J153" s="4" t="s">
        <v>386</v>
      </c>
      <c r="K153" s="4" t="s">
        <v>48</v>
      </c>
      <c r="L153" s="3">
        <v>45748</v>
      </c>
      <c r="M153" s="4" t="s">
        <v>64</v>
      </c>
      <c r="N153" s="4" t="s">
        <v>46</v>
      </c>
      <c r="O153" s="4" t="s">
        <v>50</v>
      </c>
      <c r="P153" s="4" t="s">
        <v>106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26</v>
      </c>
      <c r="W153" s="5">
        <v>1231.92</v>
      </c>
      <c r="X153" s="5">
        <v>100</v>
      </c>
      <c r="Y153" s="5">
        <v>320.27999999999997</v>
      </c>
      <c r="Z153" s="5">
        <v>0</v>
      </c>
      <c r="AA153" s="5">
        <v>0</v>
      </c>
      <c r="AB153" s="4" t="s">
        <v>405</v>
      </c>
      <c r="AC153" s="4" t="s">
        <v>46</v>
      </c>
      <c r="AD153" s="5">
        <v>0</v>
      </c>
      <c r="AE153" s="4" t="s">
        <v>406</v>
      </c>
      <c r="AF153" s="3">
        <v>45748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5">
      <c r="A154" s="2">
        <v>1891456</v>
      </c>
      <c r="B154" s="3">
        <v>45756</v>
      </c>
      <c r="C154" s="4" t="s">
        <v>321</v>
      </c>
      <c r="D154" s="2">
        <v>1875462</v>
      </c>
      <c r="E154" s="4" t="s">
        <v>494</v>
      </c>
      <c r="F154" s="4" t="s">
        <v>495</v>
      </c>
      <c r="G154" s="4" t="s">
        <v>46</v>
      </c>
      <c r="H154" s="4" t="s">
        <v>46</v>
      </c>
      <c r="I154" s="4" t="s">
        <v>46</v>
      </c>
      <c r="J154" s="4" t="s">
        <v>338</v>
      </c>
      <c r="K154" s="4" t="s">
        <v>339</v>
      </c>
      <c r="L154" s="3">
        <v>45778</v>
      </c>
      <c r="M154" s="4" t="s">
        <v>49</v>
      </c>
      <c r="N154" s="4" t="s">
        <v>46</v>
      </c>
      <c r="O154" s="4" t="s">
        <v>50</v>
      </c>
      <c r="P154" s="4" t="s">
        <v>106</v>
      </c>
      <c r="Q154" s="2">
        <v>4</v>
      </c>
      <c r="R154" s="2">
        <v>60</v>
      </c>
      <c r="S154" s="4" t="s">
        <v>340</v>
      </c>
      <c r="T154" s="4" t="s">
        <v>46</v>
      </c>
      <c r="U154" s="4" t="s">
        <v>46</v>
      </c>
      <c r="V154" s="5">
        <v>10</v>
      </c>
      <c r="W154" s="5">
        <v>36.99</v>
      </c>
      <c r="X154" s="5">
        <v>100</v>
      </c>
      <c r="Y154" s="5">
        <v>3.7</v>
      </c>
      <c r="Z154" s="4" t="s">
        <v>46</v>
      </c>
      <c r="AA154" s="5" t="s">
        <v>46</v>
      </c>
      <c r="AB154" s="4" t="s">
        <v>354</v>
      </c>
      <c r="AC154" s="4" t="s">
        <v>46</v>
      </c>
      <c r="AD154" s="5">
        <v>0</v>
      </c>
      <c r="AE154" s="4" t="s">
        <v>355</v>
      </c>
      <c r="AF154" s="3">
        <v>45700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5">
      <c r="A155" s="2">
        <v>1891456</v>
      </c>
      <c r="B155" s="3">
        <v>45756</v>
      </c>
      <c r="C155" s="4" t="s">
        <v>321</v>
      </c>
      <c r="D155" s="2">
        <v>1875462</v>
      </c>
      <c r="E155" s="4" t="s">
        <v>496</v>
      </c>
      <c r="F155" s="4" t="s">
        <v>497</v>
      </c>
      <c r="G155" s="4" t="s">
        <v>46</v>
      </c>
      <c r="H155" s="4" t="s">
        <v>46</v>
      </c>
      <c r="I155" s="4" t="s">
        <v>46</v>
      </c>
      <c r="J155" s="4" t="s">
        <v>338</v>
      </c>
      <c r="K155" s="4" t="s">
        <v>339</v>
      </c>
      <c r="L155" s="3">
        <v>45778</v>
      </c>
      <c r="M155" s="4" t="s">
        <v>49</v>
      </c>
      <c r="N155" s="4" t="s">
        <v>46</v>
      </c>
      <c r="O155" s="4" t="s">
        <v>50</v>
      </c>
      <c r="P155" s="4" t="s">
        <v>106</v>
      </c>
      <c r="Q155" s="2">
        <v>1</v>
      </c>
      <c r="R155" s="2">
        <v>3</v>
      </c>
      <c r="S155" s="4" t="s">
        <v>345</v>
      </c>
      <c r="T155" s="4" t="s">
        <v>46</v>
      </c>
      <c r="U155" s="4" t="s">
        <v>46</v>
      </c>
      <c r="V155" s="5">
        <v>10</v>
      </c>
      <c r="W155" s="5">
        <v>53.99</v>
      </c>
      <c r="X155" s="5">
        <v>100</v>
      </c>
      <c r="Y155" s="5">
        <v>5.4</v>
      </c>
      <c r="Z155" s="4" t="s">
        <v>46</v>
      </c>
      <c r="AA155" s="5" t="s">
        <v>46</v>
      </c>
      <c r="AB155" s="4" t="s">
        <v>354</v>
      </c>
      <c r="AC155" s="4" t="s">
        <v>46</v>
      </c>
      <c r="AD155" s="5">
        <v>0</v>
      </c>
      <c r="AE155" s="4" t="s">
        <v>355</v>
      </c>
      <c r="AF155" s="3">
        <v>45748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C20-A906-477E-9586-D59E2FC33076}">
  <dimension ref="A1:S205"/>
  <sheetViews>
    <sheetView tabSelected="1" topLeftCell="B171" workbookViewId="0">
      <selection activeCell="P2" sqref="P2:P192"/>
    </sheetView>
  </sheetViews>
  <sheetFormatPr defaultRowHeight="13.2" x14ac:dyDescent="0.25"/>
  <cols>
    <col min="1" max="1" width="24.6640625" style="21" bestFit="1" customWidth="1"/>
    <col min="2" max="2" width="10.33203125" style="23" customWidth="1"/>
    <col min="3" max="3" width="16.33203125" style="21" customWidth="1"/>
    <col min="4" max="4" width="20.6640625" style="21" customWidth="1"/>
    <col min="5" max="5" width="13.33203125" style="21" bestFit="1" customWidth="1"/>
    <col min="6" max="6" width="14.33203125" style="21" bestFit="1" customWidth="1"/>
    <col min="7" max="7" width="11.44140625" style="21" bestFit="1" customWidth="1"/>
    <col min="8" max="8" width="7.109375" style="21" customWidth="1"/>
    <col min="9" max="9" width="10.5546875" style="21" customWidth="1"/>
    <col min="10" max="10" width="6.33203125" style="21" customWidth="1"/>
    <col min="11" max="11" width="9.5546875" style="21" bestFit="1" customWidth="1"/>
    <col min="12" max="12" width="9.21875" style="21" customWidth="1"/>
    <col min="13" max="13" width="25.109375" style="21" customWidth="1"/>
    <col min="14" max="14" width="11.88671875" style="21" customWidth="1"/>
    <col min="15" max="15" width="51.6640625" style="21" bestFit="1" customWidth="1"/>
    <col min="16" max="16" width="8.44140625" style="21" customWidth="1"/>
    <col min="17" max="16384" width="8.88671875" style="21"/>
  </cols>
  <sheetData>
    <row r="1" spans="1:19" x14ac:dyDescent="0.25">
      <c r="A1" s="14" t="s">
        <v>2</v>
      </c>
      <c r="B1" s="15" t="s">
        <v>3</v>
      </c>
      <c r="C1" s="14" t="s">
        <v>4</v>
      </c>
      <c r="D1" s="14"/>
      <c r="E1" s="14" t="s">
        <v>5</v>
      </c>
      <c r="F1" s="14"/>
      <c r="G1" s="14" t="s">
        <v>11</v>
      </c>
      <c r="H1" s="14" t="s">
        <v>12</v>
      </c>
      <c r="I1" s="14" t="s">
        <v>18</v>
      </c>
      <c r="J1" s="14" t="s">
        <v>21</v>
      </c>
      <c r="K1" s="14" t="s">
        <v>22</v>
      </c>
      <c r="L1" s="14" t="s">
        <v>24</v>
      </c>
      <c r="M1" s="14" t="s">
        <v>27</v>
      </c>
      <c r="N1" s="14" t="s">
        <v>31</v>
      </c>
    </row>
    <row r="2" spans="1:19" x14ac:dyDescent="0.25">
      <c r="A2" s="16" t="s">
        <v>253</v>
      </c>
      <c r="B2" s="17">
        <v>19396223</v>
      </c>
      <c r="C2" s="16" t="s">
        <v>254</v>
      </c>
      <c r="D2" s="18" t="s">
        <v>926</v>
      </c>
      <c r="E2" s="16" t="s">
        <v>255</v>
      </c>
      <c r="F2" s="18" t="s">
        <v>1075</v>
      </c>
      <c r="G2" s="19">
        <v>45717</v>
      </c>
      <c r="H2" s="16" t="s">
        <v>119</v>
      </c>
      <c r="I2" s="16" t="s">
        <v>51</v>
      </c>
      <c r="J2" s="20">
        <v>0</v>
      </c>
      <c r="K2" s="20">
        <v>0</v>
      </c>
      <c r="L2" s="20">
        <v>365.17</v>
      </c>
      <c r="M2" s="16" t="s">
        <v>59</v>
      </c>
      <c r="N2" s="19">
        <v>45717</v>
      </c>
      <c r="O2" s="21" t="s">
        <v>1073</v>
      </c>
      <c r="P2" s="21" t="s">
        <v>1070</v>
      </c>
      <c r="S2" s="21">
        <v>626</v>
      </c>
    </row>
    <row r="3" spans="1:19" x14ac:dyDescent="0.25">
      <c r="A3" s="16" t="s">
        <v>115</v>
      </c>
      <c r="B3" s="17">
        <v>3475518</v>
      </c>
      <c r="C3" s="16" t="s">
        <v>116</v>
      </c>
      <c r="D3" s="18" t="s">
        <v>928</v>
      </c>
      <c r="E3" s="16" t="s">
        <v>117</v>
      </c>
      <c r="F3" s="18" t="s">
        <v>1076</v>
      </c>
      <c r="G3" s="19">
        <v>45717</v>
      </c>
      <c r="H3" s="16" t="s">
        <v>119</v>
      </c>
      <c r="I3" s="16" t="s">
        <v>51</v>
      </c>
      <c r="J3" s="20">
        <v>0</v>
      </c>
      <c r="K3" s="20">
        <v>0</v>
      </c>
      <c r="L3" s="20">
        <v>365.17</v>
      </c>
      <c r="M3" s="16" t="s">
        <v>59</v>
      </c>
      <c r="N3" s="19">
        <v>45717</v>
      </c>
      <c r="O3" s="21" t="s">
        <v>1073</v>
      </c>
      <c r="P3" s="21" t="s">
        <v>1070</v>
      </c>
      <c r="S3" s="21">
        <v>626</v>
      </c>
    </row>
    <row r="4" spans="1:19" x14ac:dyDescent="0.25">
      <c r="A4" s="16" t="s">
        <v>253</v>
      </c>
      <c r="B4" s="17">
        <v>19396223</v>
      </c>
      <c r="C4" s="16" t="s">
        <v>257</v>
      </c>
      <c r="D4" s="18" t="s">
        <v>927</v>
      </c>
      <c r="E4" s="16" t="s">
        <v>258</v>
      </c>
      <c r="F4" s="18" t="s">
        <v>1077</v>
      </c>
      <c r="G4" s="19">
        <v>45717</v>
      </c>
      <c r="H4" s="16" t="s">
        <v>119</v>
      </c>
      <c r="I4" s="16" t="s">
        <v>51</v>
      </c>
      <c r="J4" s="20">
        <v>0</v>
      </c>
      <c r="K4" s="20">
        <v>0</v>
      </c>
      <c r="L4" s="20">
        <v>365.17</v>
      </c>
      <c r="M4" s="16" t="s">
        <v>59</v>
      </c>
      <c r="N4" s="19">
        <v>45717</v>
      </c>
      <c r="O4" s="21" t="s">
        <v>1073</v>
      </c>
      <c r="P4" s="21" t="s">
        <v>1070</v>
      </c>
      <c r="S4" s="21">
        <v>626</v>
      </c>
    </row>
    <row r="5" spans="1:19" x14ac:dyDescent="0.25">
      <c r="A5" s="16" t="s">
        <v>127</v>
      </c>
      <c r="B5" s="17">
        <v>7146581</v>
      </c>
      <c r="C5" s="16" t="s">
        <v>137</v>
      </c>
      <c r="D5" s="18" t="s">
        <v>975</v>
      </c>
      <c r="E5" s="16" t="s">
        <v>138</v>
      </c>
      <c r="F5" s="18" t="s">
        <v>1078</v>
      </c>
      <c r="G5" s="19">
        <v>45717</v>
      </c>
      <c r="H5" s="16" t="s">
        <v>119</v>
      </c>
      <c r="I5" s="16" t="s">
        <v>51</v>
      </c>
      <c r="J5" s="20">
        <v>0</v>
      </c>
      <c r="K5" s="20">
        <v>0</v>
      </c>
      <c r="L5" s="20">
        <v>365.17</v>
      </c>
      <c r="M5" s="16" t="s">
        <v>59</v>
      </c>
      <c r="N5" s="19">
        <v>45717</v>
      </c>
      <c r="O5" s="21" t="s">
        <v>1073</v>
      </c>
      <c r="P5" s="21" t="s">
        <v>1070</v>
      </c>
      <c r="S5" s="21">
        <v>626</v>
      </c>
    </row>
    <row r="6" spans="1:19" x14ac:dyDescent="0.25">
      <c r="A6" s="16" t="s">
        <v>127</v>
      </c>
      <c r="B6" s="17">
        <v>7146581</v>
      </c>
      <c r="C6" s="16" t="s">
        <v>128</v>
      </c>
      <c r="D6" s="18" t="s">
        <v>974</v>
      </c>
      <c r="E6" s="16" t="s">
        <v>129</v>
      </c>
      <c r="F6" s="18" t="s">
        <v>1079</v>
      </c>
      <c r="G6" s="19">
        <v>45717</v>
      </c>
      <c r="H6" s="16" t="s">
        <v>119</v>
      </c>
      <c r="I6" s="16" t="s">
        <v>51</v>
      </c>
      <c r="J6" s="20">
        <v>0</v>
      </c>
      <c r="K6" s="20">
        <v>0</v>
      </c>
      <c r="L6" s="20">
        <v>365.17</v>
      </c>
      <c r="M6" s="16" t="s">
        <v>59</v>
      </c>
      <c r="N6" s="19">
        <v>45717</v>
      </c>
      <c r="O6" s="21" t="s">
        <v>1073</v>
      </c>
      <c r="P6" s="21" t="s">
        <v>1070</v>
      </c>
      <c r="S6" s="21">
        <v>626</v>
      </c>
    </row>
    <row r="7" spans="1:19" x14ac:dyDescent="0.25">
      <c r="A7" s="16" t="s">
        <v>288</v>
      </c>
      <c r="B7" s="17" t="s">
        <v>664</v>
      </c>
      <c r="C7" s="16" t="s">
        <v>295</v>
      </c>
      <c r="D7" s="18" t="s">
        <v>954</v>
      </c>
      <c r="E7" s="16" t="s">
        <v>296</v>
      </c>
      <c r="F7" s="18" t="s">
        <v>1080</v>
      </c>
      <c r="G7" s="19">
        <v>45717</v>
      </c>
      <c r="H7" s="16" t="s">
        <v>119</v>
      </c>
      <c r="I7" s="16" t="s">
        <v>51</v>
      </c>
      <c r="J7" s="20">
        <v>0</v>
      </c>
      <c r="K7" s="20">
        <v>0</v>
      </c>
      <c r="L7" s="20">
        <v>365.17</v>
      </c>
      <c r="M7" s="16" t="s">
        <v>59</v>
      </c>
      <c r="N7" s="19">
        <v>45717</v>
      </c>
      <c r="O7" s="21" t="s">
        <v>1073</v>
      </c>
      <c r="P7" s="21" t="s">
        <v>1070</v>
      </c>
      <c r="S7" s="21">
        <v>626</v>
      </c>
    </row>
    <row r="8" spans="1:19" x14ac:dyDescent="0.25">
      <c r="A8" s="16" t="s">
        <v>183</v>
      </c>
      <c r="B8" s="17">
        <v>16633294</v>
      </c>
      <c r="C8" s="16" t="s">
        <v>194</v>
      </c>
      <c r="D8" s="18" t="s">
        <v>1065</v>
      </c>
      <c r="E8" s="16" t="s">
        <v>195</v>
      </c>
      <c r="F8" s="18" t="s">
        <v>1081</v>
      </c>
      <c r="G8" s="19">
        <v>45748</v>
      </c>
      <c r="H8" s="16" t="s">
        <v>64</v>
      </c>
      <c r="I8" s="16" t="s">
        <v>51</v>
      </c>
      <c r="J8" s="20">
        <v>0</v>
      </c>
      <c r="K8" s="20">
        <v>0</v>
      </c>
      <c r="L8" s="20">
        <v>391.25</v>
      </c>
      <c r="M8" s="16" t="s">
        <v>59</v>
      </c>
      <c r="N8" s="19">
        <v>45748</v>
      </c>
      <c r="O8" s="21" t="s">
        <v>1073</v>
      </c>
      <c r="P8" s="21" t="s">
        <v>1070</v>
      </c>
      <c r="S8" s="21">
        <v>626</v>
      </c>
    </row>
    <row r="9" spans="1:19" x14ac:dyDescent="0.25">
      <c r="A9" s="16" t="s">
        <v>223</v>
      </c>
      <c r="B9" s="17">
        <v>9213293</v>
      </c>
      <c r="C9" s="16" t="s">
        <v>236</v>
      </c>
      <c r="D9" s="18" t="s">
        <v>1034</v>
      </c>
      <c r="E9" s="16" t="s">
        <v>237</v>
      </c>
      <c r="F9" s="18" t="s">
        <v>1082</v>
      </c>
      <c r="G9" s="19">
        <v>45748</v>
      </c>
      <c r="H9" s="16" t="s">
        <v>64</v>
      </c>
      <c r="I9" s="16" t="s">
        <v>51</v>
      </c>
      <c r="J9" s="20">
        <v>0</v>
      </c>
      <c r="K9" s="20">
        <v>0</v>
      </c>
      <c r="L9" s="20">
        <v>391.25</v>
      </c>
      <c r="M9" s="16" t="s">
        <v>59</v>
      </c>
      <c r="N9" s="19">
        <v>45748</v>
      </c>
      <c r="O9" s="21" t="s">
        <v>1073</v>
      </c>
      <c r="P9" s="21" t="s">
        <v>1070</v>
      </c>
      <c r="S9" s="21">
        <v>626</v>
      </c>
    </row>
    <row r="10" spans="1:19" x14ac:dyDescent="0.25">
      <c r="A10" s="16" t="s">
        <v>274</v>
      </c>
      <c r="B10" s="17">
        <v>19586992</v>
      </c>
      <c r="C10" s="16" t="s">
        <v>278</v>
      </c>
      <c r="D10" s="18" t="s">
        <v>1047</v>
      </c>
      <c r="E10" s="16" t="s">
        <v>279</v>
      </c>
      <c r="F10" s="18" t="s">
        <v>1083</v>
      </c>
      <c r="G10" s="19">
        <v>45748</v>
      </c>
      <c r="H10" s="16" t="s">
        <v>64</v>
      </c>
      <c r="I10" s="16" t="s">
        <v>51</v>
      </c>
      <c r="J10" s="20">
        <v>0</v>
      </c>
      <c r="K10" s="20">
        <v>0</v>
      </c>
      <c r="L10" s="20">
        <v>391.25</v>
      </c>
      <c r="M10" s="16" t="s">
        <v>59</v>
      </c>
      <c r="N10" s="19">
        <v>45748</v>
      </c>
      <c r="O10" s="21" t="s">
        <v>1073</v>
      </c>
      <c r="P10" s="21" t="s">
        <v>1070</v>
      </c>
      <c r="S10" s="21">
        <v>626</v>
      </c>
    </row>
    <row r="11" spans="1:19" x14ac:dyDescent="0.25">
      <c r="A11" s="16" t="s">
        <v>76</v>
      </c>
      <c r="B11" s="17">
        <v>7470776</v>
      </c>
      <c r="C11" s="16" t="s">
        <v>89</v>
      </c>
      <c r="D11" s="18" t="s">
        <v>932</v>
      </c>
      <c r="E11" s="16" t="s">
        <v>90</v>
      </c>
      <c r="F11" s="18" t="s">
        <v>1084</v>
      </c>
      <c r="G11" s="19">
        <v>45748</v>
      </c>
      <c r="H11" s="16" t="s">
        <v>64</v>
      </c>
      <c r="I11" s="16" t="s">
        <v>51</v>
      </c>
      <c r="J11" s="20">
        <v>0</v>
      </c>
      <c r="K11" s="20">
        <v>0</v>
      </c>
      <c r="L11" s="20">
        <v>391.25</v>
      </c>
      <c r="M11" s="16" t="s">
        <v>59</v>
      </c>
      <c r="N11" s="19">
        <v>45748</v>
      </c>
      <c r="O11" s="21" t="s">
        <v>1073</v>
      </c>
      <c r="P11" s="21" t="s">
        <v>1070</v>
      </c>
      <c r="S11" s="21">
        <v>626</v>
      </c>
    </row>
    <row r="12" spans="1:19" ht="13.8" x14ac:dyDescent="0.3">
      <c r="A12" s="16" t="s">
        <v>260</v>
      </c>
      <c r="B12" s="22">
        <v>19200754</v>
      </c>
      <c r="C12" s="16" t="s">
        <v>270</v>
      </c>
      <c r="D12" s="18" t="s">
        <v>1045</v>
      </c>
      <c r="E12" s="16" t="s">
        <v>271</v>
      </c>
      <c r="F12" s="18" t="s">
        <v>1085</v>
      </c>
      <c r="G12" s="19">
        <v>45748</v>
      </c>
      <c r="H12" s="16" t="s">
        <v>64</v>
      </c>
      <c r="I12" s="16" t="s">
        <v>51</v>
      </c>
      <c r="J12" s="20">
        <v>0</v>
      </c>
      <c r="K12" s="20">
        <v>0</v>
      </c>
      <c r="L12" s="20">
        <v>391.25</v>
      </c>
      <c r="M12" s="16" t="s">
        <v>59</v>
      </c>
      <c r="N12" s="19">
        <v>45748</v>
      </c>
      <c r="O12" s="21" t="s">
        <v>1073</v>
      </c>
      <c r="P12" s="21" t="s">
        <v>1070</v>
      </c>
      <c r="S12" s="21">
        <v>626</v>
      </c>
    </row>
    <row r="13" spans="1:19" x14ac:dyDescent="0.25">
      <c r="A13" s="16" t="s">
        <v>99</v>
      </c>
      <c r="B13" s="17">
        <v>8307933</v>
      </c>
      <c r="C13" s="16" t="s">
        <v>112</v>
      </c>
      <c r="D13" s="18" t="s">
        <v>1055</v>
      </c>
      <c r="E13" s="16" t="s">
        <v>113</v>
      </c>
      <c r="F13" s="18" t="s">
        <v>1086</v>
      </c>
      <c r="G13" s="19">
        <v>45748</v>
      </c>
      <c r="H13" s="16" t="s">
        <v>64</v>
      </c>
      <c r="I13" s="16" t="s">
        <v>51</v>
      </c>
      <c r="J13" s="20">
        <v>0</v>
      </c>
      <c r="K13" s="20">
        <v>0</v>
      </c>
      <c r="L13" s="20">
        <v>391.25</v>
      </c>
      <c r="M13" s="16" t="s">
        <v>59</v>
      </c>
      <c r="N13" s="19">
        <v>45748</v>
      </c>
      <c r="O13" s="21" t="s">
        <v>1073</v>
      </c>
      <c r="P13" s="21" t="s">
        <v>1070</v>
      </c>
      <c r="S13" s="21">
        <v>626</v>
      </c>
    </row>
    <row r="14" spans="1:19" x14ac:dyDescent="0.25">
      <c r="A14" s="16" t="s">
        <v>329</v>
      </c>
      <c r="B14" s="17">
        <v>21104854</v>
      </c>
      <c r="C14" s="16" t="s">
        <v>333</v>
      </c>
      <c r="D14" s="18" t="s">
        <v>1049</v>
      </c>
      <c r="E14" s="16" t="s">
        <v>334</v>
      </c>
      <c r="F14" s="18" t="s">
        <v>1087</v>
      </c>
      <c r="G14" s="19">
        <v>45748</v>
      </c>
      <c r="H14" s="16" t="s">
        <v>64</v>
      </c>
      <c r="I14" s="16" t="s">
        <v>51</v>
      </c>
      <c r="J14" s="20">
        <v>0</v>
      </c>
      <c r="K14" s="20">
        <v>0</v>
      </c>
      <c r="L14" s="20">
        <v>391.25</v>
      </c>
      <c r="M14" s="16" t="s">
        <v>59</v>
      </c>
      <c r="N14" s="19">
        <v>45748</v>
      </c>
      <c r="O14" s="21" t="s">
        <v>1073</v>
      </c>
      <c r="P14" s="21" t="s">
        <v>1070</v>
      </c>
      <c r="S14" s="21">
        <v>626</v>
      </c>
    </row>
    <row r="15" spans="1:19" x14ac:dyDescent="0.25">
      <c r="A15" s="16" t="s">
        <v>99</v>
      </c>
      <c r="B15" s="17">
        <v>8307933</v>
      </c>
      <c r="C15" s="16" t="s">
        <v>109</v>
      </c>
      <c r="D15" s="18" t="s">
        <v>1054</v>
      </c>
      <c r="E15" s="16" t="s">
        <v>110</v>
      </c>
      <c r="F15" s="18" t="s">
        <v>1088</v>
      </c>
      <c r="G15" s="19">
        <v>45748</v>
      </c>
      <c r="H15" s="16" t="s">
        <v>64</v>
      </c>
      <c r="I15" s="16" t="s">
        <v>51</v>
      </c>
      <c r="J15" s="20">
        <v>0</v>
      </c>
      <c r="K15" s="20">
        <v>0</v>
      </c>
      <c r="L15" s="20">
        <v>391.25</v>
      </c>
      <c r="M15" s="16" t="s">
        <v>59</v>
      </c>
      <c r="N15" s="19">
        <v>45748</v>
      </c>
      <c r="O15" s="21" t="s">
        <v>1073</v>
      </c>
      <c r="P15" s="21" t="s">
        <v>1070</v>
      </c>
      <c r="S15" s="21">
        <v>626</v>
      </c>
    </row>
    <row r="16" spans="1:19" x14ac:dyDescent="0.25">
      <c r="A16" s="16" t="s">
        <v>183</v>
      </c>
      <c r="B16" s="17">
        <v>16633294</v>
      </c>
      <c r="C16" s="16" t="s">
        <v>200</v>
      </c>
      <c r="D16" s="18" t="s">
        <v>1067</v>
      </c>
      <c r="E16" s="16" t="s">
        <v>201</v>
      </c>
      <c r="F16" s="18" t="s">
        <v>1089</v>
      </c>
      <c r="G16" s="19">
        <v>45748</v>
      </c>
      <c r="H16" s="16" t="s">
        <v>64</v>
      </c>
      <c r="I16" s="16" t="s">
        <v>51</v>
      </c>
      <c r="J16" s="20">
        <v>0</v>
      </c>
      <c r="K16" s="20">
        <v>0</v>
      </c>
      <c r="L16" s="20">
        <v>391.25</v>
      </c>
      <c r="M16" s="16" t="s">
        <v>59</v>
      </c>
      <c r="N16" s="19">
        <v>45748</v>
      </c>
      <c r="O16" s="21" t="s">
        <v>1073</v>
      </c>
      <c r="P16" s="21" t="s">
        <v>1070</v>
      </c>
      <c r="S16" s="21">
        <v>626</v>
      </c>
    </row>
    <row r="17" spans="1:19" x14ac:dyDescent="0.25">
      <c r="A17" s="16" t="s">
        <v>167</v>
      </c>
      <c r="B17" s="17">
        <v>8325282</v>
      </c>
      <c r="C17" s="16" t="s">
        <v>168</v>
      </c>
      <c r="D17" s="18" t="s">
        <v>1056</v>
      </c>
      <c r="E17" s="16" t="s">
        <v>169</v>
      </c>
      <c r="F17" s="18" t="s">
        <v>1090</v>
      </c>
      <c r="G17" s="19">
        <v>45748</v>
      </c>
      <c r="H17" s="16" t="s">
        <v>64</v>
      </c>
      <c r="I17" s="16" t="s">
        <v>51</v>
      </c>
      <c r="J17" s="20">
        <v>0</v>
      </c>
      <c r="K17" s="20">
        <v>0</v>
      </c>
      <c r="L17" s="20">
        <v>391.25</v>
      </c>
      <c r="M17" s="16" t="s">
        <v>59</v>
      </c>
      <c r="N17" s="19">
        <v>45748</v>
      </c>
      <c r="O17" s="21" t="s">
        <v>1073</v>
      </c>
      <c r="P17" s="21" t="s">
        <v>1070</v>
      </c>
      <c r="S17" s="21">
        <v>626</v>
      </c>
    </row>
    <row r="18" spans="1:19" x14ac:dyDescent="0.25">
      <c r="A18" s="16" t="s">
        <v>76</v>
      </c>
      <c r="B18" s="17">
        <v>7470776</v>
      </c>
      <c r="C18" s="16" t="s">
        <v>92</v>
      </c>
      <c r="D18" s="18" t="s">
        <v>933</v>
      </c>
      <c r="E18" s="16" t="s">
        <v>93</v>
      </c>
      <c r="F18" s="18" t="s">
        <v>1091</v>
      </c>
      <c r="G18" s="19">
        <v>45748</v>
      </c>
      <c r="H18" s="16" t="s">
        <v>64</v>
      </c>
      <c r="I18" s="16" t="s">
        <v>51</v>
      </c>
      <c r="J18" s="20">
        <v>0</v>
      </c>
      <c r="K18" s="20">
        <v>0</v>
      </c>
      <c r="L18" s="20">
        <v>391.25</v>
      </c>
      <c r="M18" s="16" t="s">
        <v>59</v>
      </c>
      <c r="N18" s="19">
        <v>45748</v>
      </c>
      <c r="O18" s="21" t="s">
        <v>1073</v>
      </c>
      <c r="P18" s="21" t="s">
        <v>1070</v>
      </c>
      <c r="S18" s="21">
        <v>626</v>
      </c>
    </row>
    <row r="19" spans="1:19" x14ac:dyDescent="0.25">
      <c r="A19" s="16" t="s">
        <v>281</v>
      </c>
      <c r="B19" s="17">
        <v>19681796</v>
      </c>
      <c r="C19" s="16" t="s">
        <v>282</v>
      </c>
      <c r="D19" s="18" t="s">
        <v>1050</v>
      </c>
      <c r="E19" s="16" t="s">
        <v>283</v>
      </c>
      <c r="F19" s="18" t="s">
        <v>1092</v>
      </c>
      <c r="G19" s="19">
        <v>45748</v>
      </c>
      <c r="H19" s="16" t="s">
        <v>64</v>
      </c>
      <c r="I19" s="16" t="s">
        <v>51</v>
      </c>
      <c r="J19" s="20">
        <v>0</v>
      </c>
      <c r="K19" s="20">
        <v>0</v>
      </c>
      <c r="L19" s="20">
        <v>391.25</v>
      </c>
      <c r="M19" s="16" t="s">
        <v>59</v>
      </c>
      <c r="N19" s="19">
        <v>45748</v>
      </c>
      <c r="O19" s="21" t="s">
        <v>1073</v>
      </c>
      <c r="P19" s="21" t="s">
        <v>1070</v>
      </c>
      <c r="S19" s="21">
        <v>626</v>
      </c>
    </row>
    <row r="20" spans="1:19" x14ac:dyDescent="0.25">
      <c r="A20" s="16" t="s">
        <v>42</v>
      </c>
      <c r="B20" s="17">
        <v>8814784</v>
      </c>
      <c r="C20" s="16" t="s">
        <v>61</v>
      </c>
      <c r="D20" s="18" t="s">
        <v>1012</v>
      </c>
      <c r="E20" s="16" t="s">
        <v>62</v>
      </c>
      <c r="F20" s="18" t="s">
        <v>1093</v>
      </c>
      <c r="G20" s="19">
        <v>45748</v>
      </c>
      <c r="H20" s="16" t="s">
        <v>64</v>
      </c>
      <c r="I20" s="16" t="s">
        <v>51</v>
      </c>
      <c r="J20" s="20">
        <v>0</v>
      </c>
      <c r="K20" s="20">
        <v>0</v>
      </c>
      <c r="L20" s="20">
        <v>391.25</v>
      </c>
      <c r="M20" s="16" t="s">
        <v>59</v>
      </c>
      <c r="N20" s="19">
        <v>45748</v>
      </c>
      <c r="O20" s="21" t="s">
        <v>1073</v>
      </c>
      <c r="P20" s="21" t="s">
        <v>1070</v>
      </c>
      <c r="S20" s="21">
        <v>626</v>
      </c>
    </row>
    <row r="21" spans="1:19" x14ac:dyDescent="0.25">
      <c r="A21" s="16" t="s">
        <v>127</v>
      </c>
      <c r="B21" s="17">
        <v>7146581</v>
      </c>
      <c r="C21" s="16" t="s">
        <v>140</v>
      </c>
      <c r="D21" s="18" t="s">
        <v>977</v>
      </c>
      <c r="E21" s="16" t="s">
        <v>141</v>
      </c>
      <c r="F21" s="18" t="s">
        <v>1094</v>
      </c>
      <c r="G21" s="19">
        <v>45748</v>
      </c>
      <c r="H21" s="16" t="s">
        <v>64</v>
      </c>
      <c r="I21" s="16" t="s">
        <v>51</v>
      </c>
      <c r="J21" s="20">
        <v>0</v>
      </c>
      <c r="K21" s="20">
        <v>0</v>
      </c>
      <c r="L21" s="20">
        <v>391.25</v>
      </c>
      <c r="M21" s="16" t="s">
        <v>59</v>
      </c>
      <c r="N21" s="19">
        <v>45748</v>
      </c>
      <c r="O21" s="21" t="s">
        <v>1073</v>
      </c>
      <c r="P21" s="21" t="s">
        <v>1070</v>
      </c>
      <c r="S21" s="21">
        <v>626</v>
      </c>
    </row>
    <row r="22" spans="1:19" x14ac:dyDescent="0.25">
      <c r="A22" s="16" t="s">
        <v>183</v>
      </c>
      <c r="B22" s="17">
        <v>16633294</v>
      </c>
      <c r="C22" s="16" t="s">
        <v>203</v>
      </c>
      <c r="D22" s="18" t="s">
        <v>1068</v>
      </c>
      <c r="E22" s="16" t="s">
        <v>204</v>
      </c>
      <c r="F22" s="18" t="s">
        <v>1095</v>
      </c>
      <c r="G22" s="19">
        <v>45748</v>
      </c>
      <c r="H22" s="16" t="s">
        <v>64</v>
      </c>
      <c r="I22" s="16" t="s">
        <v>51</v>
      </c>
      <c r="J22" s="20">
        <v>0</v>
      </c>
      <c r="K22" s="20">
        <v>0</v>
      </c>
      <c r="L22" s="20">
        <v>391.25</v>
      </c>
      <c r="M22" s="16" t="s">
        <v>59</v>
      </c>
      <c r="N22" s="19">
        <v>45748</v>
      </c>
      <c r="O22" s="21" t="s">
        <v>1073</v>
      </c>
      <c r="P22" s="21" t="s">
        <v>1070</v>
      </c>
      <c r="S22" s="21">
        <v>626</v>
      </c>
    </row>
    <row r="23" spans="1:19" x14ac:dyDescent="0.25">
      <c r="A23" s="16" t="s">
        <v>223</v>
      </c>
      <c r="B23" s="17">
        <v>9213293</v>
      </c>
      <c r="C23" s="16" t="s">
        <v>233</v>
      </c>
      <c r="D23" s="18" t="s">
        <v>1033</v>
      </c>
      <c r="E23" s="16" t="s">
        <v>234</v>
      </c>
      <c r="F23" s="18" t="s">
        <v>1096</v>
      </c>
      <c r="G23" s="19">
        <v>45748</v>
      </c>
      <c r="H23" s="16" t="s">
        <v>64</v>
      </c>
      <c r="I23" s="16" t="s">
        <v>51</v>
      </c>
      <c r="J23" s="20">
        <v>0</v>
      </c>
      <c r="K23" s="20">
        <v>0</v>
      </c>
      <c r="L23" s="20">
        <v>391.25</v>
      </c>
      <c r="M23" s="16" t="s">
        <v>59</v>
      </c>
      <c r="N23" s="19">
        <v>45748</v>
      </c>
      <c r="O23" s="21" t="s">
        <v>1073</v>
      </c>
      <c r="P23" s="21" t="s">
        <v>1070</v>
      </c>
      <c r="S23" s="21">
        <v>626</v>
      </c>
    </row>
    <row r="24" spans="1:19" x14ac:dyDescent="0.25">
      <c r="A24" s="16" t="s">
        <v>167</v>
      </c>
      <c r="B24" s="17">
        <v>8325282</v>
      </c>
      <c r="C24" s="16" t="s">
        <v>171</v>
      </c>
      <c r="D24" s="18" t="s">
        <v>1057</v>
      </c>
      <c r="E24" s="16" t="s">
        <v>172</v>
      </c>
      <c r="F24" s="18" t="s">
        <v>1097</v>
      </c>
      <c r="G24" s="19">
        <v>45748</v>
      </c>
      <c r="H24" s="16" t="s">
        <v>64</v>
      </c>
      <c r="I24" s="16" t="s">
        <v>51</v>
      </c>
      <c r="J24" s="20">
        <v>0</v>
      </c>
      <c r="K24" s="20">
        <v>0</v>
      </c>
      <c r="L24" s="20">
        <v>391.25</v>
      </c>
      <c r="M24" s="16" t="s">
        <v>59</v>
      </c>
      <c r="N24" s="19">
        <v>45748</v>
      </c>
      <c r="O24" s="21" t="s">
        <v>1073</v>
      </c>
      <c r="P24" s="21" t="s">
        <v>1070</v>
      </c>
      <c r="S24" s="21">
        <v>626</v>
      </c>
    </row>
    <row r="25" spans="1:19" x14ac:dyDescent="0.25">
      <c r="A25" s="16" t="s">
        <v>127</v>
      </c>
      <c r="B25" s="17">
        <v>7146581</v>
      </c>
      <c r="C25" s="16" t="s">
        <v>143</v>
      </c>
      <c r="D25" s="18" t="s">
        <v>978</v>
      </c>
      <c r="E25" s="16" t="s">
        <v>144</v>
      </c>
      <c r="F25" s="18" t="s">
        <v>1098</v>
      </c>
      <c r="G25" s="19">
        <v>45748</v>
      </c>
      <c r="H25" s="16" t="s">
        <v>64</v>
      </c>
      <c r="I25" s="16" t="s">
        <v>51</v>
      </c>
      <c r="J25" s="20">
        <v>0</v>
      </c>
      <c r="K25" s="20">
        <v>0</v>
      </c>
      <c r="L25" s="20">
        <v>391.25</v>
      </c>
      <c r="M25" s="16" t="s">
        <v>59</v>
      </c>
      <c r="N25" s="19">
        <v>45748</v>
      </c>
      <c r="O25" s="21" t="s">
        <v>1073</v>
      </c>
      <c r="P25" s="21" t="s">
        <v>1070</v>
      </c>
      <c r="S25" s="21">
        <v>626</v>
      </c>
    </row>
    <row r="26" spans="1:19" ht="13.8" x14ac:dyDescent="0.3">
      <c r="A26" s="16" t="s">
        <v>260</v>
      </c>
      <c r="B26" s="22">
        <v>19200754</v>
      </c>
      <c r="C26" s="16" t="s">
        <v>267</v>
      </c>
      <c r="D26" s="18" t="s">
        <v>1044</v>
      </c>
      <c r="E26" s="16" t="s">
        <v>268</v>
      </c>
      <c r="F26" s="18" t="s">
        <v>1099</v>
      </c>
      <c r="G26" s="19">
        <v>45748</v>
      </c>
      <c r="H26" s="16" t="s">
        <v>64</v>
      </c>
      <c r="I26" s="16" t="s">
        <v>51</v>
      </c>
      <c r="J26" s="20">
        <v>0</v>
      </c>
      <c r="K26" s="20">
        <v>0</v>
      </c>
      <c r="L26" s="20">
        <v>391.25</v>
      </c>
      <c r="M26" s="16" t="s">
        <v>59</v>
      </c>
      <c r="N26" s="19">
        <v>45748</v>
      </c>
      <c r="O26" s="21" t="s">
        <v>1073</v>
      </c>
      <c r="P26" s="21" t="s">
        <v>1070</v>
      </c>
      <c r="S26" s="21">
        <v>626</v>
      </c>
    </row>
    <row r="27" spans="1:19" x14ac:dyDescent="0.25">
      <c r="A27" s="16" t="s">
        <v>42</v>
      </c>
      <c r="B27" s="17">
        <v>8814784</v>
      </c>
      <c r="C27" s="16" t="s">
        <v>65</v>
      </c>
      <c r="D27" s="18" t="s">
        <v>1013</v>
      </c>
      <c r="E27" s="16" t="s">
        <v>66</v>
      </c>
      <c r="F27" s="18" t="s">
        <v>1100</v>
      </c>
      <c r="G27" s="19">
        <v>45748</v>
      </c>
      <c r="H27" s="16" t="s">
        <v>64</v>
      </c>
      <c r="I27" s="16" t="s">
        <v>51</v>
      </c>
      <c r="J27" s="20">
        <v>0</v>
      </c>
      <c r="K27" s="20">
        <v>0</v>
      </c>
      <c r="L27" s="20">
        <v>391.25</v>
      </c>
      <c r="M27" s="16" t="s">
        <v>59</v>
      </c>
      <c r="N27" s="19">
        <v>45748</v>
      </c>
      <c r="O27" s="21" t="s">
        <v>1073</v>
      </c>
      <c r="P27" s="21" t="s">
        <v>1070</v>
      </c>
      <c r="S27" s="21">
        <v>626</v>
      </c>
    </row>
    <row r="28" spans="1:19" x14ac:dyDescent="0.25">
      <c r="A28" s="16" t="s">
        <v>304</v>
      </c>
      <c r="B28" s="17">
        <v>19645587</v>
      </c>
      <c r="C28" s="16" t="s">
        <v>305</v>
      </c>
      <c r="D28" s="18" t="s">
        <v>1038</v>
      </c>
      <c r="E28" s="16" t="s">
        <v>306</v>
      </c>
      <c r="F28" s="18" t="s">
        <v>1101</v>
      </c>
      <c r="G28" s="19">
        <v>45748</v>
      </c>
      <c r="H28" s="16" t="s">
        <v>64</v>
      </c>
      <c r="I28" s="16" t="s">
        <v>51</v>
      </c>
      <c r="J28" s="20">
        <v>0</v>
      </c>
      <c r="K28" s="20">
        <v>0</v>
      </c>
      <c r="L28" s="20">
        <v>391.25</v>
      </c>
      <c r="M28" s="16" t="s">
        <v>59</v>
      </c>
      <c r="N28" s="19">
        <v>45748</v>
      </c>
      <c r="O28" s="21" t="s">
        <v>1073</v>
      </c>
      <c r="P28" s="21" t="s">
        <v>1070</v>
      </c>
      <c r="S28" s="21">
        <v>626</v>
      </c>
    </row>
    <row r="29" spans="1:19" x14ac:dyDescent="0.25">
      <c r="A29" s="16" t="s">
        <v>99</v>
      </c>
      <c r="B29" s="17">
        <v>8307933</v>
      </c>
      <c r="C29" s="16" t="s">
        <v>100</v>
      </c>
      <c r="D29" s="18" t="s">
        <v>1053</v>
      </c>
      <c r="E29" s="16" t="s">
        <v>101</v>
      </c>
      <c r="F29" s="18" t="s">
        <v>1102</v>
      </c>
      <c r="G29" s="19">
        <v>45748</v>
      </c>
      <c r="H29" s="16" t="s">
        <v>64</v>
      </c>
      <c r="I29" s="16" t="s">
        <v>51</v>
      </c>
      <c r="J29" s="20">
        <v>0</v>
      </c>
      <c r="K29" s="20">
        <v>0</v>
      </c>
      <c r="L29" s="20">
        <v>391.25</v>
      </c>
      <c r="M29" s="16" t="s">
        <v>59</v>
      </c>
      <c r="N29" s="19">
        <v>45748</v>
      </c>
      <c r="O29" s="21" t="s">
        <v>1073</v>
      </c>
      <c r="P29" s="21" t="s">
        <v>1070</v>
      </c>
      <c r="S29" s="21">
        <v>626</v>
      </c>
    </row>
    <row r="30" spans="1:19" x14ac:dyDescent="0.25">
      <c r="A30" s="16" t="s">
        <v>281</v>
      </c>
      <c r="B30" s="17">
        <v>19681796</v>
      </c>
      <c r="C30" s="16" t="s">
        <v>285</v>
      </c>
      <c r="D30" s="18" t="s">
        <v>1051</v>
      </c>
      <c r="E30" s="16" t="s">
        <v>286</v>
      </c>
      <c r="F30" s="18" t="s">
        <v>1103</v>
      </c>
      <c r="G30" s="19">
        <v>45748</v>
      </c>
      <c r="H30" s="16" t="s">
        <v>64</v>
      </c>
      <c r="I30" s="16" t="s">
        <v>51</v>
      </c>
      <c r="J30" s="20">
        <v>0</v>
      </c>
      <c r="K30" s="20">
        <v>0</v>
      </c>
      <c r="L30" s="20">
        <v>391.25</v>
      </c>
      <c r="M30" s="16" t="s">
        <v>59</v>
      </c>
      <c r="N30" s="19">
        <v>45748</v>
      </c>
      <c r="O30" s="21" t="s">
        <v>1073</v>
      </c>
      <c r="P30" s="21" t="s">
        <v>1070</v>
      </c>
      <c r="S30" s="21">
        <v>626</v>
      </c>
    </row>
    <row r="31" spans="1:19" x14ac:dyDescent="0.25">
      <c r="A31" s="16" t="s">
        <v>127</v>
      </c>
      <c r="B31" s="17">
        <v>7146581</v>
      </c>
      <c r="C31" s="16" t="s">
        <v>134</v>
      </c>
      <c r="D31" s="18" t="s">
        <v>976</v>
      </c>
      <c r="E31" s="16" t="s">
        <v>135</v>
      </c>
      <c r="F31" s="18" t="s">
        <v>1104</v>
      </c>
      <c r="G31" s="19">
        <v>45748</v>
      </c>
      <c r="H31" s="16" t="s">
        <v>64</v>
      </c>
      <c r="I31" s="16" t="s">
        <v>51</v>
      </c>
      <c r="J31" s="20">
        <v>0</v>
      </c>
      <c r="K31" s="20">
        <v>0</v>
      </c>
      <c r="L31" s="20">
        <v>391.25</v>
      </c>
      <c r="M31" s="16" t="s">
        <v>59</v>
      </c>
      <c r="N31" s="19">
        <v>45748</v>
      </c>
      <c r="O31" s="21" t="s">
        <v>1073</v>
      </c>
      <c r="P31" s="21" t="s">
        <v>1070</v>
      </c>
      <c r="S31" s="21">
        <v>626</v>
      </c>
    </row>
    <row r="32" spans="1:19" x14ac:dyDescent="0.25">
      <c r="A32" s="16" t="s">
        <v>223</v>
      </c>
      <c r="B32" s="17">
        <v>9213293</v>
      </c>
      <c r="C32" s="16" t="s">
        <v>227</v>
      </c>
      <c r="D32" s="18" t="s">
        <v>1032</v>
      </c>
      <c r="E32" s="16" t="s">
        <v>228</v>
      </c>
      <c r="F32" s="18" t="s">
        <v>1105</v>
      </c>
      <c r="G32" s="19">
        <v>45748</v>
      </c>
      <c r="H32" s="16" t="s">
        <v>64</v>
      </c>
      <c r="I32" s="16" t="s">
        <v>51</v>
      </c>
      <c r="J32" s="20">
        <v>0</v>
      </c>
      <c r="K32" s="20">
        <v>0</v>
      </c>
      <c r="L32" s="20">
        <v>391.25</v>
      </c>
      <c r="M32" s="16" t="s">
        <v>59</v>
      </c>
      <c r="N32" s="19">
        <v>45748</v>
      </c>
      <c r="O32" s="21" t="s">
        <v>1073</v>
      </c>
      <c r="P32" s="21" t="s">
        <v>1070</v>
      </c>
      <c r="S32" s="21">
        <v>626</v>
      </c>
    </row>
    <row r="33" spans="1:19" x14ac:dyDescent="0.25">
      <c r="A33" s="16" t="s">
        <v>76</v>
      </c>
      <c r="B33" s="17">
        <v>7470776</v>
      </c>
      <c r="C33" s="16" t="s">
        <v>77</v>
      </c>
      <c r="D33" s="18" t="s">
        <v>930</v>
      </c>
      <c r="E33" s="16" t="s">
        <v>78</v>
      </c>
      <c r="F33" s="18" t="s">
        <v>1106</v>
      </c>
      <c r="G33" s="19">
        <v>45748</v>
      </c>
      <c r="H33" s="16" t="s">
        <v>64</v>
      </c>
      <c r="I33" s="16" t="s">
        <v>51</v>
      </c>
      <c r="J33" s="20">
        <v>0</v>
      </c>
      <c r="K33" s="20">
        <v>0</v>
      </c>
      <c r="L33" s="20">
        <v>391.25</v>
      </c>
      <c r="M33" s="16" t="s">
        <v>59</v>
      </c>
      <c r="N33" s="19">
        <v>45748</v>
      </c>
      <c r="O33" s="21" t="s">
        <v>1073</v>
      </c>
      <c r="P33" s="21" t="s">
        <v>1070</v>
      </c>
      <c r="S33" s="21">
        <v>626</v>
      </c>
    </row>
    <row r="34" spans="1:19" x14ac:dyDescent="0.25">
      <c r="A34" s="16" t="s">
        <v>215</v>
      </c>
      <c r="B34" s="17">
        <v>17425766</v>
      </c>
      <c r="C34" s="16" t="s">
        <v>216</v>
      </c>
      <c r="D34" s="18" t="s">
        <v>958</v>
      </c>
      <c r="E34" s="16" t="s">
        <v>217</v>
      </c>
      <c r="F34" s="18" t="s">
        <v>1107</v>
      </c>
      <c r="G34" s="19">
        <v>45748</v>
      </c>
      <c r="H34" s="16" t="s">
        <v>64</v>
      </c>
      <c r="I34" s="16" t="s">
        <v>51</v>
      </c>
      <c r="J34" s="20">
        <v>0</v>
      </c>
      <c r="K34" s="20">
        <v>0</v>
      </c>
      <c r="L34" s="20">
        <v>391.25</v>
      </c>
      <c r="M34" s="16" t="s">
        <v>59</v>
      </c>
      <c r="N34" s="19">
        <v>45748</v>
      </c>
      <c r="O34" s="21" t="s">
        <v>1073</v>
      </c>
      <c r="P34" s="21" t="s">
        <v>1070</v>
      </c>
      <c r="S34" s="21">
        <v>626</v>
      </c>
    </row>
    <row r="35" spans="1:19" x14ac:dyDescent="0.25">
      <c r="A35" s="16" t="s">
        <v>123</v>
      </c>
      <c r="B35" s="17">
        <v>6634327</v>
      </c>
      <c r="C35" s="16" t="s">
        <v>124</v>
      </c>
      <c r="D35" s="18" t="s">
        <v>1008</v>
      </c>
      <c r="E35" s="16" t="s">
        <v>125</v>
      </c>
      <c r="F35" s="18" t="s">
        <v>1108</v>
      </c>
      <c r="G35" s="19">
        <v>45748</v>
      </c>
      <c r="H35" s="16" t="s">
        <v>64</v>
      </c>
      <c r="I35" s="16" t="s">
        <v>51</v>
      </c>
      <c r="J35" s="20">
        <v>0</v>
      </c>
      <c r="K35" s="20">
        <v>0</v>
      </c>
      <c r="L35" s="20">
        <v>391.25</v>
      </c>
      <c r="M35" s="16" t="s">
        <v>59</v>
      </c>
      <c r="N35" s="19">
        <v>45748</v>
      </c>
      <c r="O35" s="21" t="s">
        <v>1073</v>
      </c>
      <c r="P35" s="21" t="s">
        <v>1070</v>
      </c>
      <c r="S35" s="21">
        <v>626</v>
      </c>
    </row>
    <row r="36" spans="1:19" x14ac:dyDescent="0.25">
      <c r="A36" s="16" t="s">
        <v>183</v>
      </c>
      <c r="B36" s="17">
        <v>16633294</v>
      </c>
      <c r="C36" s="16" t="s">
        <v>197</v>
      </c>
      <c r="D36" s="18" t="s">
        <v>1066</v>
      </c>
      <c r="E36" s="16" t="s">
        <v>198</v>
      </c>
      <c r="F36" s="18" t="s">
        <v>1109</v>
      </c>
      <c r="G36" s="19">
        <v>45748</v>
      </c>
      <c r="H36" s="16" t="s">
        <v>64</v>
      </c>
      <c r="I36" s="16" t="s">
        <v>51</v>
      </c>
      <c r="J36" s="20">
        <v>0</v>
      </c>
      <c r="K36" s="20">
        <v>0</v>
      </c>
      <c r="L36" s="20">
        <v>391.25</v>
      </c>
      <c r="M36" s="16" t="s">
        <v>59</v>
      </c>
      <c r="N36" s="19">
        <v>45748</v>
      </c>
      <c r="O36" s="21" t="s">
        <v>1073</v>
      </c>
      <c r="P36" s="21" t="s">
        <v>1070</v>
      </c>
      <c r="S36" s="21">
        <v>626</v>
      </c>
    </row>
    <row r="37" spans="1:19" x14ac:dyDescent="0.25">
      <c r="A37" s="16" t="s">
        <v>76</v>
      </c>
      <c r="B37" s="17">
        <v>7470776</v>
      </c>
      <c r="C37" s="16" t="s">
        <v>80</v>
      </c>
      <c r="D37" s="18" t="s">
        <v>931</v>
      </c>
      <c r="E37" s="16" t="s">
        <v>81</v>
      </c>
      <c r="F37" s="18" t="s">
        <v>1110</v>
      </c>
      <c r="G37" s="19">
        <v>45748</v>
      </c>
      <c r="H37" s="16" t="s">
        <v>64</v>
      </c>
      <c r="I37" s="16" t="s">
        <v>51</v>
      </c>
      <c r="J37" s="20">
        <v>0</v>
      </c>
      <c r="K37" s="20">
        <v>0</v>
      </c>
      <c r="L37" s="20">
        <v>391.25</v>
      </c>
      <c r="M37" s="16" t="s">
        <v>59</v>
      </c>
      <c r="N37" s="19">
        <v>45748</v>
      </c>
      <c r="O37" s="21" t="s">
        <v>1073</v>
      </c>
      <c r="P37" s="21" t="s">
        <v>1070</v>
      </c>
      <c r="S37" s="21">
        <v>626</v>
      </c>
    </row>
    <row r="38" spans="1:19" x14ac:dyDescent="0.25">
      <c r="A38" s="16" t="s">
        <v>179</v>
      </c>
      <c r="B38" s="17">
        <v>1706194</v>
      </c>
      <c r="C38" s="16" t="s">
        <v>180</v>
      </c>
      <c r="D38" s="18" t="s">
        <v>935</v>
      </c>
      <c r="E38" s="16" t="s">
        <v>181</v>
      </c>
      <c r="F38" s="18" t="s">
        <v>1111</v>
      </c>
      <c r="G38" s="19">
        <v>45778</v>
      </c>
      <c r="H38" s="16" t="s">
        <v>49</v>
      </c>
      <c r="I38" s="16" t="s">
        <v>51</v>
      </c>
      <c r="J38" s="20">
        <v>0</v>
      </c>
      <c r="K38" s="20">
        <v>0</v>
      </c>
      <c r="L38" s="20">
        <v>417.33</v>
      </c>
      <c r="M38" s="16" t="s">
        <v>59</v>
      </c>
      <c r="N38" s="19">
        <v>45778</v>
      </c>
      <c r="O38" s="21" t="s">
        <v>1073</v>
      </c>
      <c r="P38" s="21" t="s">
        <v>1070</v>
      </c>
      <c r="S38" s="21">
        <f>208.67+417.33</f>
        <v>626</v>
      </c>
    </row>
    <row r="39" spans="1:19" x14ac:dyDescent="0.25">
      <c r="A39" s="16" t="s">
        <v>42</v>
      </c>
      <c r="B39" s="17">
        <v>8814784</v>
      </c>
      <c r="C39" s="16" t="s">
        <v>56</v>
      </c>
      <c r="D39" s="18" t="s">
        <v>1014</v>
      </c>
      <c r="E39" s="16" t="s">
        <v>57</v>
      </c>
      <c r="F39" s="18" t="s">
        <v>1112</v>
      </c>
      <c r="G39" s="19">
        <v>45778</v>
      </c>
      <c r="H39" s="16" t="s">
        <v>49</v>
      </c>
      <c r="I39" s="16" t="s">
        <v>51</v>
      </c>
      <c r="J39" s="20">
        <v>0</v>
      </c>
      <c r="K39" s="20">
        <v>0</v>
      </c>
      <c r="L39" s="20">
        <v>417.33</v>
      </c>
      <c r="M39" s="16" t="s">
        <v>59</v>
      </c>
      <c r="N39" s="19">
        <v>45778</v>
      </c>
      <c r="O39" s="21" t="s">
        <v>1073</v>
      </c>
      <c r="P39" s="21" t="s">
        <v>1070</v>
      </c>
      <c r="S39" s="21">
        <f>208.67+417.33</f>
        <v>626</v>
      </c>
    </row>
    <row r="40" spans="1:19" x14ac:dyDescent="0.25">
      <c r="A40" s="16" t="s">
        <v>223</v>
      </c>
      <c r="B40" s="17">
        <v>9213293</v>
      </c>
      <c r="C40" s="16" t="s">
        <v>230</v>
      </c>
      <c r="D40" s="18" t="s">
        <v>1035</v>
      </c>
      <c r="E40" s="16" t="s">
        <v>231</v>
      </c>
      <c r="F40" s="18" t="s">
        <v>1113</v>
      </c>
      <c r="G40" s="19">
        <v>45778</v>
      </c>
      <c r="H40" s="16" t="s">
        <v>49</v>
      </c>
      <c r="I40" s="16" t="s">
        <v>51</v>
      </c>
      <c r="J40" s="20">
        <v>0</v>
      </c>
      <c r="K40" s="20">
        <v>0</v>
      </c>
      <c r="L40" s="20">
        <v>417.33</v>
      </c>
      <c r="M40" s="16" t="s">
        <v>59</v>
      </c>
      <c r="N40" s="19">
        <v>45778</v>
      </c>
      <c r="O40" s="21" t="s">
        <v>1073</v>
      </c>
      <c r="P40" s="21" t="s">
        <v>1070</v>
      </c>
      <c r="S40" s="21">
        <f>208.67+417.33</f>
        <v>626</v>
      </c>
    </row>
    <row r="41" spans="1:19" x14ac:dyDescent="0.25">
      <c r="A41" s="16" t="s">
        <v>127</v>
      </c>
      <c r="B41" s="17">
        <v>7146581</v>
      </c>
      <c r="C41" s="16" t="s">
        <v>131</v>
      </c>
      <c r="D41" s="18" t="s">
        <v>979</v>
      </c>
      <c r="E41" s="16" t="s">
        <v>132</v>
      </c>
      <c r="F41" s="18" t="s">
        <v>1114</v>
      </c>
      <c r="G41" s="19">
        <v>45809</v>
      </c>
      <c r="H41" s="16" t="s">
        <v>86</v>
      </c>
      <c r="I41" s="16" t="s">
        <v>51</v>
      </c>
      <c r="J41" s="20">
        <v>0</v>
      </c>
      <c r="K41" s="20">
        <v>0</v>
      </c>
      <c r="L41" s="20">
        <v>443.42</v>
      </c>
      <c r="M41" s="16" t="s">
        <v>59</v>
      </c>
      <c r="N41" s="19">
        <v>45809</v>
      </c>
      <c r="O41" s="21" t="s">
        <v>1073</v>
      </c>
      <c r="P41" s="21" t="s">
        <v>1070</v>
      </c>
      <c r="S41" s="21">
        <v>626</v>
      </c>
    </row>
    <row r="42" spans="1:19" x14ac:dyDescent="0.25">
      <c r="A42" s="16" t="s">
        <v>304</v>
      </c>
      <c r="B42" s="17">
        <v>19645587</v>
      </c>
      <c r="C42" s="16" t="s">
        <v>309</v>
      </c>
      <c r="D42" s="18" t="s">
        <v>1039</v>
      </c>
      <c r="E42" s="16" t="s">
        <v>310</v>
      </c>
      <c r="F42" s="18" t="s">
        <v>1115</v>
      </c>
      <c r="G42" s="19">
        <v>45809</v>
      </c>
      <c r="H42" s="16" t="s">
        <v>86</v>
      </c>
      <c r="I42" s="16" t="s">
        <v>51</v>
      </c>
      <c r="J42" s="20">
        <v>0</v>
      </c>
      <c r="K42" s="20">
        <v>0</v>
      </c>
      <c r="L42" s="20">
        <v>443.42</v>
      </c>
      <c r="M42" s="16" t="s">
        <v>59</v>
      </c>
      <c r="N42" s="19">
        <v>45809</v>
      </c>
      <c r="O42" s="21" t="s">
        <v>1073</v>
      </c>
      <c r="P42" s="21" t="s">
        <v>1070</v>
      </c>
      <c r="S42" s="21">
        <v>626</v>
      </c>
    </row>
    <row r="43" spans="1:19" x14ac:dyDescent="0.25">
      <c r="A43" s="16" t="s">
        <v>288</v>
      </c>
      <c r="B43" s="17" t="s">
        <v>664</v>
      </c>
      <c r="C43" s="16" t="s">
        <v>298</v>
      </c>
      <c r="D43" s="18" t="s">
        <v>955</v>
      </c>
      <c r="E43" s="16" t="s">
        <v>299</v>
      </c>
      <c r="F43" s="18" t="s">
        <v>1116</v>
      </c>
      <c r="G43" s="19">
        <v>45809</v>
      </c>
      <c r="H43" s="16" t="s">
        <v>86</v>
      </c>
      <c r="I43" s="16" t="s">
        <v>51</v>
      </c>
      <c r="J43" s="20">
        <v>0</v>
      </c>
      <c r="K43" s="20">
        <v>0</v>
      </c>
      <c r="L43" s="20">
        <v>443.42</v>
      </c>
      <c r="M43" s="16" t="s">
        <v>59</v>
      </c>
      <c r="N43" s="19">
        <v>45809</v>
      </c>
      <c r="O43" s="21" t="s">
        <v>1073</v>
      </c>
      <c r="P43" s="21" t="s">
        <v>1070</v>
      </c>
      <c r="S43" s="21">
        <v>626</v>
      </c>
    </row>
    <row r="44" spans="1:19" x14ac:dyDescent="0.25">
      <c r="A44" s="16" t="s">
        <v>321</v>
      </c>
      <c r="B44" s="17">
        <v>19278370</v>
      </c>
      <c r="C44" s="16" t="s">
        <v>322</v>
      </c>
      <c r="D44" s="18" t="s">
        <v>1003</v>
      </c>
      <c r="E44" s="16" t="s">
        <v>323</v>
      </c>
      <c r="F44" s="18" t="s">
        <v>1117</v>
      </c>
      <c r="G44" s="19">
        <v>45778</v>
      </c>
      <c r="H44" s="16" t="s">
        <v>49</v>
      </c>
      <c r="I44" s="16" t="s">
        <v>51</v>
      </c>
      <c r="J44" s="20">
        <v>0</v>
      </c>
      <c r="K44" s="20">
        <v>0</v>
      </c>
      <c r="L44" s="20">
        <v>469.67</v>
      </c>
      <c r="M44" s="16" t="s">
        <v>59</v>
      </c>
      <c r="N44" s="19">
        <v>45778</v>
      </c>
      <c r="O44" s="21" t="s">
        <v>1074</v>
      </c>
      <c r="P44" s="21" t="s">
        <v>1071</v>
      </c>
      <c r="S44" s="21">
        <v>705</v>
      </c>
    </row>
    <row r="45" spans="1:19" x14ac:dyDescent="0.25">
      <c r="A45" s="16" t="s">
        <v>321</v>
      </c>
      <c r="B45" s="17">
        <v>19278370</v>
      </c>
      <c r="C45" s="16" t="s">
        <v>322</v>
      </c>
      <c r="D45" s="18" t="s">
        <v>1003</v>
      </c>
      <c r="E45" s="16" t="s">
        <v>323</v>
      </c>
      <c r="F45" s="18" t="s">
        <v>657</v>
      </c>
      <c r="G45" s="19">
        <v>45778</v>
      </c>
      <c r="H45" s="16" t="s">
        <v>49</v>
      </c>
      <c r="I45" s="16" t="s">
        <v>51</v>
      </c>
      <c r="J45" s="20">
        <v>0</v>
      </c>
      <c r="K45" s="20">
        <v>0</v>
      </c>
      <c r="L45" s="20">
        <v>469.67</v>
      </c>
      <c r="M45" s="16" t="s">
        <v>59</v>
      </c>
      <c r="N45" s="19">
        <v>45778</v>
      </c>
      <c r="O45" s="21" t="s">
        <v>505</v>
      </c>
      <c r="P45" s="21" t="s">
        <v>1072</v>
      </c>
      <c r="S45" s="21">
        <v>-235.33</v>
      </c>
    </row>
    <row r="46" spans="1:19" x14ac:dyDescent="0.25">
      <c r="A46" s="16" t="s">
        <v>174</v>
      </c>
      <c r="B46" s="17">
        <v>9079571</v>
      </c>
      <c r="C46" s="16" t="s">
        <v>175</v>
      </c>
      <c r="D46" s="18" t="s">
        <v>1040</v>
      </c>
      <c r="E46" s="16" t="s">
        <v>176</v>
      </c>
      <c r="F46" s="18" t="s">
        <v>515</v>
      </c>
      <c r="G46" s="19">
        <v>45748</v>
      </c>
      <c r="H46" s="16" t="s">
        <v>64</v>
      </c>
      <c r="I46" s="16" t="s">
        <v>51</v>
      </c>
      <c r="J46" s="20">
        <v>1</v>
      </c>
      <c r="K46" s="20">
        <v>0</v>
      </c>
      <c r="L46" s="20">
        <v>29.41</v>
      </c>
      <c r="M46" s="16" t="s">
        <v>107</v>
      </c>
      <c r="N46" s="19">
        <v>45292</v>
      </c>
      <c r="O46" s="21" t="s">
        <v>505</v>
      </c>
      <c r="P46" s="21" t="s">
        <v>514</v>
      </c>
      <c r="S46" s="20">
        <v>29.41</v>
      </c>
    </row>
    <row r="47" spans="1:19" x14ac:dyDescent="0.25">
      <c r="A47" s="16" t="s">
        <v>162</v>
      </c>
      <c r="B47" s="17">
        <v>15278437</v>
      </c>
      <c r="C47" s="16" t="s">
        <v>403</v>
      </c>
      <c r="D47" s="18" t="s">
        <v>962</v>
      </c>
      <c r="E47" s="16" t="s">
        <v>404</v>
      </c>
      <c r="F47" s="18" t="s">
        <v>540</v>
      </c>
      <c r="G47" s="19">
        <v>45748</v>
      </c>
      <c r="H47" s="16" t="s">
        <v>64</v>
      </c>
      <c r="I47" s="16" t="s">
        <v>51</v>
      </c>
      <c r="J47" s="20">
        <v>22</v>
      </c>
      <c r="K47" s="20">
        <v>1801.56</v>
      </c>
      <c r="L47" s="20">
        <v>396.36</v>
      </c>
      <c r="M47" s="16" t="s">
        <v>405</v>
      </c>
      <c r="N47" s="19">
        <v>45748</v>
      </c>
      <c r="O47" s="21" t="s">
        <v>500</v>
      </c>
      <c r="S47" s="20">
        <v>396.36</v>
      </c>
    </row>
    <row r="48" spans="1:19" x14ac:dyDescent="0.25">
      <c r="A48" s="16" t="s">
        <v>417</v>
      </c>
      <c r="B48" s="17" t="s">
        <v>665</v>
      </c>
      <c r="C48" s="16" t="s">
        <v>454</v>
      </c>
      <c r="D48" s="18" t="s">
        <v>981</v>
      </c>
      <c r="E48" s="16" t="s">
        <v>455</v>
      </c>
      <c r="F48" s="18" t="s">
        <v>539</v>
      </c>
      <c r="G48" s="19">
        <v>45748</v>
      </c>
      <c r="H48" s="16" t="s">
        <v>64</v>
      </c>
      <c r="I48" s="16" t="s">
        <v>51</v>
      </c>
      <c r="J48" s="20">
        <v>22</v>
      </c>
      <c r="K48" s="20">
        <v>1674.6</v>
      </c>
      <c r="L48" s="20">
        <v>368.4</v>
      </c>
      <c r="M48" s="16" t="s">
        <v>405</v>
      </c>
      <c r="N48" s="19">
        <v>45748</v>
      </c>
      <c r="O48" s="21" t="s">
        <v>500</v>
      </c>
      <c r="S48" s="20">
        <v>368.4</v>
      </c>
    </row>
    <row r="49" spans="1:19" x14ac:dyDescent="0.25">
      <c r="A49" s="16" t="s">
        <v>417</v>
      </c>
      <c r="B49" s="17" t="s">
        <v>665</v>
      </c>
      <c r="C49" s="16" t="s">
        <v>452</v>
      </c>
      <c r="D49" s="18" t="s">
        <v>980</v>
      </c>
      <c r="E49" s="16" t="s">
        <v>453</v>
      </c>
      <c r="F49" s="18" t="s">
        <v>538</v>
      </c>
      <c r="G49" s="19">
        <v>45748</v>
      </c>
      <c r="H49" s="16" t="s">
        <v>64</v>
      </c>
      <c r="I49" s="16" t="s">
        <v>51</v>
      </c>
      <c r="J49" s="20">
        <v>22</v>
      </c>
      <c r="K49" s="20">
        <v>1674.6</v>
      </c>
      <c r="L49" s="20">
        <v>368.4</v>
      </c>
      <c r="M49" s="16" t="s">
        <v>405</v>
      </c>
      <c r="N49" s="19">
        <v>45748</v>
      </c>
      <c r="O49" s="21" t="s">
        <v>500</v>
      </c>
      <c r="S49" s="20">
        <v>368.4</v>
      </c>
    </row>
    <row r="50" spans="1:19" x14ac:dyDescent="0.25">
      <c r="A50" s="16" t="s">
        <v>417</v>
      </c>
      <c r="B50" s="17" t="s">
        <v>665</v>
      </c>
      <c r="C50" s="16" t="s">
        <v>448</v>
      </c>
      <c r="D50" s="18" t="s">
        <v>982</v>
      </c>
      <c r="E50" s="16" t="s">
        <v>449</v>
      </c>
      <c r="F50" s="18" t="s">
        <v>516</v>
      </c>
      <c r="G50" s="19">
        <v>45717</v>
      </c>
      <c r="H50" s="16" t="s">
        <v>119</v>
      </c>
      <c r="I50" s="16" t="s">
        <v>51</v>
      </c>
      <c r="J50" s="20">
        <v>22</v>
      </c>
      <c r="K50" s="20">
        <v>-1674.6</v>
      </c>
      <c r="L50" s="20">
        <v>-368.4</v>
      </c>
      <c r="M50" s="16" t="s">
        <v>405</v>
      </c>
      <c r="N50" s="19">
        <v>45717</v>
      </c>
      <c r="O50" s="21" t="s">
        <v>500</v>
      </c>
      <c r="S50" s="20">
        <v>-368.4</v>
      </c>
    </row>
    <row r="51" spans="1:19" x14ac:dyDescent="0.25">
      <c r="A51" s="16" t="s">
        <v>245</v>
      </c>
      <c r="B51" s="17">
        <v>18794740</v>
      </c>
      <c r="C51" s="16" t="s">
        <v>246</v>
      </c>
      <c r="D51" s="18" t="s">
        <v>1019</v>
      </c>
      <c r="E51" s="16" t="s">
        <v>476</v>
      </c>
      <c r="F51" s="18" t="s">
        <v>546</v>
      </c>
      <c r="G51" s="19">
        <v>45748</v>
      </c>
      <c r="H51" s="16" t="s">
        <v>64</v>
      </c>
      <c r="I51" s="16" t="s">
        <v>51</v>
      </c>
      <c r="J51" s="20">
        <v>22</v>
      </c>
      <c r="K51" s="20">
        <v>2778.6</v>
      </c>
      <c r="L51" s="20">
        <v>611.28</v>
      </c>
      <c r="M51" s="16" t="s">
        <v>405</v>
      </c>
      <c r="N51" s="19">
        <v>45748</v>
      </c>
      <c r="O51" s="21" t="s">
        <v>500</v>
      </c>
      <c r="S51" s="20">
        <v>611.28</v>
      </c>
    </row>
    <row r="52" spans="1:19" x14ac:dyDescent="0.25">
      <c r="A52" s="16" t="s">
        <v>417</v>
      </c>
      <c r="B52" s="17" t="s">
        <v>665</v>
      </c>
      <c r="C52" s="16" t="s">
        <v>450</v>
      </c>
      <c r="D52" s="18" t="s">
        <v>983</v>
      </c>
      <c r="E52" s="16" t="s">
        <v>451</v>
      </c>
      <c r="F52" s="18" t="s">
        <v>517</v>
      </c>
      <c r="G52" s="19">
        <v>45717</v>
      </c>
      <c r="H52" s="16" t="s">
        <v>119</v>
      </c>
      <c r="I52" s="16" t="s">
        <v>51</v>
      </c>
      <c r="J52" s="20">
        <v>22</v>
      </c>
      <c r="K52" s="20">
        <v>-1674.6</v>
      </c>
      <c r="L52" s="20">
        <v>-368.4</v>
      </c>
      <c r="M52" s="16" t="s">
        <v>405</v>
      </c>
      <c r="N52" s="19">
        <v>45717</v>
      </c>
      <c r="O52" s="21" t="s">
        <v>500</v>
      </c>
      <c r="S52" s="20">
        <v>-368.4</v>
      </c>
    </row>
    <row r="53" spans="1:19" x14ac:dyDescent="0.25">
      <c r="A53" s="16" t="s">
        <v>127</v>
      </c>
      <c r="B53" s="17">
        <v>7146581</v>
      </c>
      <c r="C53" s="16" t="s">
        <v>384</v>
      </c>
      <c r="D53" s="18" t="s">
        <v>966</v>
      </c>
      <c r="E53" s="16" t="s">
        <v>385</v>
      </c>
      <c r="F53" s="18" t="s">
        <v>545</v>
      </c>
      <c r="G53" s="19">
        <v>45748</v>
      </c>
      <c r="H53" s="16" t="s">
        <v>64</v>
      </c>
      <c r="I53" s="16" t="s">
        <v>51</v>
      </c>
      <c r="J53" s="20">
        <v>22</v>
      </c>
      <c r="K53" s="20">
        <v>2438.16</v>
      </c>
      <c r="L53" s="20">
        <v>536.4</v>
      </c>
      <c r="M53" s="16" t="s">
        <v>387</v>
      </c>
      <c r="N53" s="19">
        <v>45748</v>
      </c>
      <c r="O53" s="21" t="s">
        <v>500</v>
      </c>
      <c r="S53" s="20">
        <v>536.4</v>
      </c>
    </row>
    <row r="54" spans="1:19" x14ac:dyDescent="0.25">
      <c r="A54" s="16" t="s">
        <v>477</v>
      </c>
      <c r="B54" s="17">
        <v>5442438</v>
      </c>
      <c r="C54" s="16" t="s">
        <v>482</v>
      </c>
      <c r="D54" s="18" t="s">
        <v>1022</v>
      </c>
      <c r="E54" s="16" t="s">
        <v>483</v>
      </c>
      <c r="F54" s="18" t="s">
        <v>543</v>
      </c>
      <c r="G54" s="19">
        <v>45748</v>
      </c>
      <c r="H54" s="16" t="s">
        <v>64</v>
      </c>
      <c r="I54" s="16" t="s">
        <v>51</v>
      </c>
      <c r="J54" s="20">
        <v>22</v>
      </c>
      <c r="K54" s="20">
        <v>2080.44</v>
      </c>
      <c r="L54" s="20">
        <v>457.68</v>
      </c>
      <c r="M54" s="16" t="s">
        <v>387</v>
      </c>
      <c r="N54" s="19">
        <v>45748</v>
      </c>
      <c r="O54" s="21" t="s">
        <v>500</v>
      </c>
      <c r="S54" s="20">
        <v>457.68</v>
      </c>
    </row>
    <row r="55" spans="1:19" x14ac:dyDescent="0.25">
      <c r="A55" s="16" t="s">
        <v>477</v>
      </c>
      <c r="B55" s="17">
        <v>5442438</v>
      </c>
      <c r="C55" s="16" t="s">
        <v>488</v>
      </c>
      <c r="D55" s="18" t="s">
        <v>1021</v>
      </c>
      <c r="E55" s="16" t="s">
        <v>489</v>
      </c>
      <c r="F55" s="18" t="s">
        <v>541</v>
      </c>
      <c r="G55" s="19">
        <v>45748</v>
      </c>
      <c r="H55" s="16" t="s">
        <v>64</v>
      </c>
      <c r="I55" s="16" t="s">
        <v>51</v>
      </c>
      <c r="J55" s="20">
        <v>22</v>
      </c>
      <c r="K55" s="20">
        <v>1843.92</v>
      </c>
      <c r="L55" s="20">
        <v>405.72</v>
      </c>
      <c r="M55" s="16" t="s">
        <v>387</v>
      </c>
      <c r="N55" s="19">
        <v>45748</v>
      </c>
      <c r="O55" s="21" t="s">
        <v>500</v>
      </c>
      <c r="S55" s="20">
        <v>405.72</v>
      </c>
    </row>
    <row r="56" spans="1:19" x14ac:dyDescent="0.25">
      <c r="A56" s="16" t="s">
        <v>477</v>
      </c>
      <c r="B56" s="17">
        <v>5442438</v>
      </c>
      <c r="C56" s="16" t="s">
        <v>484</v>
      </c>
      <c r="D56" s="18" t="s">
        <v>1020</v>
      </c>
      <c r="E56" s="16" t="s">
        <v>485</v>
      </c>
      <c r="F56" s="18" t="s">
        <v>537</v>
      </c>
      <c r="G56" s="19">
        <v>45748</v>
      </c>
      <c r="H56" s="16" t="s">
        <v>64</v>
      </c>
      <c r="I56" s="16" t="s">
        <v>51</v>
      </c>
      <c r="J56" s="20">
        <v>22</v>
      </c>
      <c r="K56" s="20">
        <v>1622.64</v>
      </c>
      <c r="L56" s="20">
        <v>357</v>
      </c>
      <c r="M56" s="16" t="s">
        <v>387</v>
      </c>
      <c r="N56" s="19">
        <v>45748</v>
      </c>
      <c r="O56" s="21" t="s">
        <v>500</v>
      </c>
      <c r="S56" s="20">
        <v>357</v>
      </c>
    </row>
    <row r="57" spans="1:19" x14ac:dyDescent="0.25">
      <c r="A57" s="16" t="s">
        <v>414</v>
      </c>
      <c r="B57" s="17">
        <v>16865615</v>
      </c>
      <c r="C57" s="16" t="s">
        <v>415</v>
      </c>
      <c r="D57" s="18" t="s">
        <v>959</v>
      </c>
      <c r="E57" s="16" t="s">
        <v>416</v>
      </c>
      <c r="F57" s="18" t="s">
        <v>542</v>
      </c>
      <c r="G57" s="19">
        <v>45748</v>
      </c>
      <c r="H57" s="16" t="s">
        <v>64</v>
      </c>
      <c r="I57" s="16" t="s">
        <v>51</v>
      </c>
      <c r="J57" s="20">
        <v>22</v>
      </c>
      <c r="K57" s="20">
        <v>1851.72</v>
      </c>
      <c r="L57" s="20">
        <v>407.4</v>
      </c>
      <c r="M57" s="16" t="s">
        <v>387</v>
      </c>
      <c r="N57" s="19">
        <v>45748</v>
      </c>
      <c r="O57" s="21" t="s">
        <v>500</v>
      </c>
      <c r="S57" s="20">
        <v>407.4</v>
      </c>
    </row>
    <row r="58" spans="1:19" x14ac:dyDescent="0.25">
      <c r="A58" s="16" t="s">
        <v>477</v>
      </c>
      <c r="B58" s="17">
        <v>5442438</v>
      </c>
      <c r="C58" s="16" t="s">
        <v>486</v>
      </c>
      <c r="D58" s="18" t="s">
        <v>1023</v>
      </c>
      <c r="E58" s="16" t="s">
        <v>487</v>
      </c>
      <c r="F58" s="18" t="s">
        <v>544</v>
      </c>
      <c r="G58" s="19">
        <v>45748</v>
      </c>
      <c r="H58" s="16" t="s">
        <v>64</v>
      </c>
      <c r="I58" s="16" t="s">
        <v>51</v>
      </c>
      <c r="J58" s="20">
        <v>22</v>
      </c>
      <c r="K58" s="20">
        <v>2080.44</v>
      </c>
      <c r="L58" s="20">
        <v>457.68</v>
      </c>
      <c r="M58" s="16" t="s">
        <v>387</v>
      </c>
      <c r="N58" s="19">
        <v>45748</v>
      </c>
      <c r="O58" s="21" t="s">
        <v>500</v>
      </c>
      <c r="S58" s="20">
        <v>457.68</v>
      </c>
    </row>
    <row r="59" spans="1:19" x14ac:dyDescent="0.25">
      <c r="A59" s="16" t="s">
        <v>417</v>
      </c>
      <c r="B59" s="17">
        <v>17528908</v>
      </c>
      <c r="C59" s="16" t="s">
        <v>420</v>
      </c>
      <c r="D59" s="18" t="s">
        <v>989</v>
      </c>
      <c r="E59" s="16" t="s">
        <v>421</v>
      </c>
      <c r="F59" s="18" t="s">
        <v>519</v>
      </c>
      <c r="G59" s="19">
        <v>45748</v>
      </c>
      <c r="H59" s="16" t="s">
        <v>64</v>
      </c>
      <c r="I59" s="16" t="s">
        <v>51</v>
      </c>
      <c r="J59" s="20">
        <v>22</v>
      </c>
      <c r="K59" s="20">
        <v>115.3</v>
      </c>
      <c r="L59" s="20">
        <v>25.37</v>
      </c>
      <c r="M59" s="16" t="s">
        <v>395</v>
      </c>
      <c r="N59" s="19">
        <v>45292</v>
      </c>
      <c r="O59" s="21" t="s">
        <v>500</v>
      </c>
      <c r="S59" s="20">
        <v>25.37</v>
      </c>
    </row>
    <row r="60" spans="1:19" x14ac:dyDescent="0.25">
      <c r="A60" s="16" t="s">
        <v>162</v>
      </c>
      <c r="B60" s="17">
        <v>15278437</v>
      </c>
      <c r="C60" s="16" t="s">
        <v>397</v>
      </c>
      <c r="D60" s="18" t="s">
        <v>961</v>
      </c>
      <c r="E60" s="16" t="s">
        <v>398</v>
      </c>
      <c r="F60" s="18" t="s">
        <v>536</v>
      </c>
      <c r="G60" s="19">
        <v>45748</v>
      </c>
      <c r="H60" s="16" t="s">
        <v>64</v>
      </c>
      <c r="I60" s="16" t="s">
        <v>51</v>
      </c>
      <c r="J60" s="20">
        <v>22</v>
      </c>
      <c r="K60" s="20">
        <v>193.65</v>
      </c>
      <c r="L60" s="20">
        <v>42.6</v>
      </c>
      <c r="M60" s="16" t="s">
        <v>395</v>
      </c>
      <c r="N60" s="19">
        <v>45292</v>
      </c>
      <c r="O60" s="21" t="s">
        <v>500</v>
      </c>
      <c r="S60" s="20">
        <v>42.6</v>
      </c>
    </row>
    <row r="61" spans="1:19" x14ac:dyDescent="0.25">
      <c r="A61" s="16" t="s">
        <v>417</v>
      </c>
      <c r="B61" s="17">
        <v>17528908</v>
      </c>
      <c r="C61" s="16" t="s">
        <v>426</v>
      </c>
      <c r="D61" s="18" t="s">
        <v>997</v>
      </c>
      <c r="E61" s="16" t="s">
        <v>427</v>
      </c>
      <c r="F61" s="18" t="s">
        <v>524</v>
      </c>
      <c r="G61" s="19">
        <v>45748</v>
      </c>
      <c r="H61" s="16" t="s">
        <v>64</v>
      </c>
      <c r="I61" s="16" t="s">
        <v>51</v>
      </c>
      <c r="J61" s="20">
        <v>22</v>
      </c>
      <c r="K61" s="20">
        <v>130.08000000000001</v>
      </c>
      <c r="L61" s="20">
        <v>28.62</v>
      </c>
      <c r="M61" s="16" t="s">
        <v>395</v>
      </c>
      <c r="N61" s="19">
        <v>45261</v>
      </c>
      <c r="O61" s="21" t="s">
        <v>500</v>
      </c>
      <c r="S61" s="20">
        <v>28.62</v>
      </c>
    </row>
    <row r="62" spans="1:19" x14ac:dyDescent="0.25">
      <c r="A62" s="16" t="s">
        <v>417</v>
      </c>
      <c r="B62" s="17">
        <v>17528908</v>
      </c>
      <c r="C62" s="16" t="s">
        <v>436</v>
      </c>
      <c r="D62" s="18" t="s">
        <v>995</v>
      </c>
      <c r="E62" s="16" t="s">
        <v>437</v>
      </c>
      <c r="F62" s="18" t="s">
        <v>533</v>
      </c>
      <c r="G62" s="19">
        <v>45748</v>
      </c>
      <c r="H62" s="16" t="s">
        <v>64</v>
      </c>
      <c r="I62" s="16" t="s">
        <v>51</v>
      </c>
      <c r="J62" s="20">
        <v>22</v>
      </c>
      <c r="K62" s="20">
        <v>155.12</v>
      </c>
      <c r="L62" s="20">
        <v>34.130000000000003</v>
      </c>
      <c r="M62" s="16" t="s">
        <v>395</v>
      </c>
      <c r="N62" s="19">
        <v>45292</v>
      </c>
      <c r="O62" s="21" t="s">
        <v>500</v>
      </c>
      <c r="S62" s="20">
        <v>34.130000000000003</v>
      </c>
    </row>
    <row r="63" spans="1:19" x14ac:dyDescent="0.25">
      <c r="A63" s="16" t="s">
        <v>417</v>
      </c>
      <c r="B63" s="17">
        <v>17528908</v>
      </c>
      <c r="C63" s="16" t="s">
        <v>442</v>
      </c>
      <c r="D63" s="18" t="s">
        <v>986</v>
      </c>
      <c r="E63" s="16" t="s">
        <v>443</v>
      </c>
      <c r="F63" s="18" t="s">
        <v>526</v>
      </c>
      <c r="G63" s="19">
        <v>45748</v>
      </c>
      <c r="H63" s="16" t="s">
        <v>64</v>
      </c>
      <c r="I63" s="16" t="s">
        <v>51</v>
      </c>
      <c r="J63" s="20">
        <v>22</v>
      </c>
      <c r="K63" s="20">
        <v>130.08000000000001</v>
      </c>
      <c r="L63" s="20">
        <v>28.62</v>
      </c>
      <c r="M63" s="16" t="s">
        <v>395</v>
      </c>
      <c r="N63" s="19">
        <v>45352</v>
      </c>
      <c r="O63" s="21" t="s">
        <v>500</v>
      </c>
      <c r="S63" s="20">
        <v>28.62</v>
      </c>
    </row>
    <row r="64" spans="1:19" x14ac:dyDescent="0.25">
      <c r="A64" s="16" t="s">
        <v>417</v>
      </c>
      <c r="B64" s="17">
        <v>17528908</v>
      </c>
      <c r="C64" s="16" t="s">
        <v>424</v>
      </c>
      <c r="D64" s="18" t="s">
        <v>990</v>
      </c>
      <c r="E64" s="16" t="s">
        <v>425</v>
      </c>
      <c r="F64" s="18" t="s">
        <v>523</v>
      </c>
      <c r="G64" s="19">
        <v>45748</v>
      </c>
      <c r="H64" s="16" t="s">
        <v>64</v>
      </c>
      <c r="I64" s="16" t="s">
        <v>51</v>
      </c>
      <c r="J64" s="20">
        <v>22</v>
      </c>
      <c r="K64" s="20">
        <v>130.08000000000001</v>
      </c>
      <c r="L64" s="20">
        <v>28.62</v>
      </c>
      <c r="M64" s="16" t="s">
        <v>395</v>
      </c>
      <c r="N64" s="19">
        <v>45292</v>
      </c>
      <c r="O64" s="21" t="s">
        <v>500</v>
      </c>
      <c r="S64" s="20">
        <v>28.62</v>
      </c>
    </row>
    <row r="65" spans="1:19" x14ac:dyDescent="0.25">
      <c r="A65" s="16" t="s">
        <v>245</v>
      </c>
      <c r="B65" s="17">
        <v>18794740</v>
      </c>
      <c r="C65" s="16" t="s">
        <v>474</v>
      </c>
      <c r="D65" s="18" t="s">
        <v>1018</v>
      </c>
      <c r="E65" s="16" t="s">
        <v>475</v>
      </c>
      <c r="F65" s="18" t="s">
        <v>534</v>
      </c>
      <c r="G65" s="19">
        <v>45748</v>
      </c>
      <c r="H65" s="16" t="s">
        <v>64</v>
      </c>
      <c r="I65" s="16" t="s">
        <v>51</v>
      </c>
      <c r="J65" s="20">
        <v>22</v>
      </c>
      <c r="K65" s="20">
        <v>156.38999999999999</v>
      </c>
      <c r="L65" s="20">
        <v>34.409999999999997</v>
      </c>
      <c r="M65" s="16" t="s">
        <v>395</v>
      </c>
      <c r="N65" s="19">
        <v>45383</v>
      </c>
      <c r="O65" s="21" t="s">
        <v>500</v>
      </c>
      <c r="S65" s="20">
        <v>34.409999999999997</v>
      </c>
    </row>
    <row r="66" spans="1:19" x14ac:dyDescent="0.25">
      <c r="A66" s="16" t="s">
        <v>417</v>
      </c>
      <c r="B66" s="17">
        <v>17528908</v>
      </c>
      <c r="C66" s="16" t="s">
        <v>422</v>
      </c>
      <c r="D66" s="18" t="s">
        <v>991</v>
      </c>
      <c r="E66" s="16" t="s">
        <v>423</v>
      </c>
      <c r="F66" s="18" t="s">
        <v>528</v>
      </c>
      <c r="G66" s="19">
        <v>45748</v>
      </c>
      <c r="H66" s="16" t="s">
        <v>64</v>
      </c>
      <c r="I66" s="16" t="s">
        <v>51</v>
      </c>
      <c r="J66" s="20">
        <v>22</v>
      </c>
      <c r="K66" s="20">
        <v>131.96</v>
      </c>
      <c r="L66" s="20">
        <v>29.03</v>
      </c>
      <c r="M66" s="16" t="s">
        <v>395</v>
      </c>
      <c r="N66" s="19">
        <v>45292</v>
      </c>
      <c r="O66" s="21" t="s">
        <v>500</v>
      </c>
      <c r="S66" s="20">
        <v>29.03</v>
      </c>
    </row>
    <row r="67" spans="1:19" x14ac:dyDescent="0.25">
      <c r="A67" s="16" t="s">
        <v>417</v>
      </c>
      <c r="B67" s="17">
        <v>17528908</v>
      </c>
      <c r="C67" s="16" t="s">
        <v>434</v>
      </c>
      <c r="D67" s="18" t="s">
        <v>993</v>
      </c>
      <c r="E67" s="16" t="s">
        <v>435</v>
      </c>
      <c r="F67" s="18" t="s">
        <v>531</v>
      </c>
      <c r="G67" s="19">
        <v>45748</v>
      </c>
      <c r="H67" s="16" t="s">
        <v>64</v>
      </c>
      <c r="I67" s="16" t="s">
        <v>51</v>
      </c>
      <c r="J67" s="20">
        <v>22</v>
      </c>
      <c r="K67" s="20">
        <v>148.9</v>
      </c>
      <c r="L67" s="20">
        <v>32.76</v>
      </c>
      <c r="M67" s="16" t="s">
        <v>395</v>
      </c>
      <c r="N67" s="19">
        <v>45292</v>
      </c>
      <c r="O67" s="21" t="s">
        <v>500</v>
      </c>
      <c r="S67" s="20">
        <v>32.76</v>
      </c>
    </row>
    <row r="68" spans="1:19" x14ac:dyDescent="0.25">
      <c r="A68" s="16" t="s">
        <v>245</v>
      </c>
      <c r="B68" s="17">
        <v>18794740</v>
      </c>
      <c r="C68" s="16" t="s">
        <v>470</v>
      </c>
      <c r="D68" s="18" t="s">
        <v>1015</v>
      </c>
      <c r="E68" s="16" t="s">
        <v>471</v>
      </c>
      <c r="F68" s="18" t="s">
        <v>520</v>
      </c>
      <c r="G68" s="19">
        <v>45748</v>
      </c>
      <c r="H68" s="16" t="s">
        <v>64</v>
      </c>
      <c r="I68" s="16" t="s">
        <v>51</v>
      </c>
      <c r="J68" s="20">
        <v>22</v>
      </c>
      <c r="K68" s="20">
        <v>115.3</v>
      </c>
      <c r="L68" s="20">
        <v>25.37</v>
      </c>
      <c r="M68" s="16" t="s">
        <v>395</v>
      </c>
      <c r="N68" s="19">
        <v>45323</v>
      </c>
      <c r="O68" s="21" t="s">
        <v>500</v>
      </c>
      <c r="S68" s="20">
        <v>25.37</v>
      </c>
    </row>
    <row r="69" spans="1:19" x14ac:dyDescent="0.25">
      <c r="A69" s="16" t="s">
        <v>417</v>
      </c>
      <c r="B69" s="17">
        <v>17528908</v>
      </c>
      <c r="C69" s="16" t="s">
        <v>438</v>
      </c>
      <c r="D69" s="18" t="s">
        <v>996</v>
      </c>
      <c r="E69" s="16" t="s">
        <v>439</v>
      </c>
      <c r="F69" s="18" t="s">
        <v>518</v>
      </c>
      <c r="G69" s="19">
        <v>45748</v>
      </c>
      <c r="H69" s="16" t="s">
        <v>64</v>
      </c>
      <c r="I69" s="16" t="s">
        <v>51</v>
      </c>
      <c r="J69" s="20">
        <v>0</v>
      </c>
      <c r="K69" s="20">
        <v>146.72999999999999</v>
      </c>
      <c r="L69" s="20">
        <v>4.17</v>
      </c>
      <c r="M69" s="16" t="s">
        <v>395</v>
      </c>
      <c r="N69" s="19">
        <v>45261</v>
      </c>
      <c r="O69" s="21" t="s">
        <v>500</v>
      </c>
      <c r="S69" s="20">
        <v>4.17</v>
      </c>
    </row>
    <row r="70" spans="1:19" x14ac:dyDescent="0.25">
      <c r="A70" s="16" t="s">
        <v>245</v>
      </c>
      <c r="B70" s="17">
        <v>18794740</v>
      </c>
      <c r="C70" s="16" t="s">
        <v>468</v>
      </c>
      <c r="D70" s="18" t="s">
        <v>1017</v>
      </c>
      <c r="E70" s="16" t="s">
        <v>469</v>
      </c>
      <c r="F70" s="18" t="s">
        <v>522</v>
      </c>
      <c r="G70" s="19">
        <v>45748</v>
      </c>
      <c r="H70" s="16" t="s">
        <v>64</v>
      </c>
      <c r="I70" s="16" t="s">
        <v>51</v>
      </c>
      <c r="J70" s="20">
        <v>22</v>
      </c>
      <c r="K70" s="20">
        <v>130.03</v>
      </c>
      <c r="L70" s="20">
        <v>28.61</v>
      </c>
      <c r="M70" s="16" t="s">
        <v>395</v>
      </c>
      <c r="N70" s="19">
        <v>45323</v>
      </c>
      <c r="O70" s="21" t="s">
        <v>500</v>
      </c>
      <c r="S70" s="20">
        <v>28.61</v>
      </c>
    </row>
    <row r="71" spans="1:19" x14ac:dyDescent="0.25">
      <c r="A71" s="16" t="s">
        <v>417</v>
      </c>
      <c r="B71" s="17">
        <v>17528908</v>
      </c>
      <c r="C71" s="16" t="s">
        <v>444</v>
      </c>
      <c r="D71" s="18" t="s">
        <v>987</v>
      </c>
      <c r="E71" s="16" t="s">
        <v>445</v>
      </c>
      <c r="F71" s="18" t="s">
        <v>527</v>
      </c>
      <c r="G71" s="19">
        <v>45748</v>
      </c>
      <c r="H71" s="16" t="s">
        <v>64</v>
      </c>
      <c r="I71" s="16" t="s">
        <v>51</v>
      </c>
      <c r="J71" s="20">
        <v>22</v>
      </c>
      <c r="K71" s="20">
        <v>130.08000000000001</v>
      </c>
      <c r="L71" s="20">
        <v>28.62</v>
      </c>
      <c r="M71" s="16" t="s">
        <v>395</v>
      </c>
      <c r="N71" s="19">
        <v>45352</v>
      </c>
      <c r="O71" s="21" t="s">
        <v>500</v>
      </c>
      <c r="S71" s="20">
        <v>28.62</v>
      </c>
    </row>
    <row r="72" spans="1:19" x14ac:dyDescent="0.25">
      <c r="A72" s="16" t="s">
        <v>417</v>
      </c>
      <c r="B72" s="17">
        <v>17528908</v>
      </c>
      <c r="C72" s="16" t="s">
        <v>428</v>
      </c>
      <c r="D72" s="18" t="s">
        <v>998</v>
      </c>
      <c r="E72" s="16" t="s">
        <v>429</v>
      </c>
      <c r="F72" s="18" t="s">
        <v>525</v>
      </c>
      <c r="G72" s="19">
        <v>45748</v>
      </c>
      <c r="H72" s="16" t="s">
        <v>64</v>
      </c>
      <c r="I72" s="16" t="s">
        <v>51</v>
      </c>
      <c r="J72" s="20">
        <v>22</v>
      </c>
      <c r="K72" s="20">
        <v>130.08000000000001</v>
      </c>
      <c r="L72" s="20">
        <v>28.62</v>
      </c>
      <c r="M72" s="16" t="s">
        <v>395</v>
      </c>
      <c r="N72" s="19">
        <v>45261</v>
      </c>
      <c r="O72" s="21" t="s">
        <v>500</v>
      </c>
      <c r="S72" s="20">
        <v>28.62</v>
      </c>
    </row>
    <row r="73" spans="1:19" x14ac:dyDescent="0.25">
      <c r="A73" s="16" t="s">
        <v>245</v>
      </c>
      <c r="B73" s="17">
        <v>18794740</v>
      </c>
      <c r="C73" s="16" t="s">
        <v>472</v>
      </c>
      <c r="D73" s="18" t="s">
        <v>1016</v>
      </c>
      <c r="E73" s="16" t="s">
        <v>473</v>
      </c>
      <c r="F73" s="18" t="s">
        <v>521</v>
      </c>
      <c r="G73" s="19">
        <v>45748</v>
      </c>
      <c r="H73" s="16" t="s">
        <v>64</v>
      </c>
      <c r="I73" s="16" t="s">
        <v>51</v>
      </c>
      <c r="J73" s="20">
        <v>22</v>
      </c>
      <c r="K73" s="20">
        <v>115.3</v>
      </c>
      <c r="L73" s="20">
        <v>25.37</v>
      </c>
      <c r="M73" s="16" t="s">
        <v>395</v>
      </c>
      <c r="N73" s="19">
        <v>45383</v>
      </c>
      <c r="O73" s="21" t="s">
        <v>500</v>
      </c>
      <c r="S73" s="20">
        <v>25.37</v>
      </c>
    </row>
    <row r="74" spans="1:19" x14ac:dyDescent="0.25">
      <c r="A74" s="16" t="s">
        <v>417</v>
      </c>
      <c r="B74" s="17">
        <v>17528908</v>
      </c>
      <c r="C74" s="16" t="s">
        <v>432</v>
      </c>
      <c r="D74" s="18" t="s">
        <v>992</v>
      </c>
      <c r="E74" s="16" t="s">
        <v>433</v>
      </c>
      <c r="F74" s="18" t="s">
        <v>529</v>
      </c>
      <c r="G74" s="19">
        <v>45748</v>
      </c>
      <c r="H74" s="16" t="s">
        <v>64</v>
      </c>
      <c r="I74" s="16" t="s">
        <v>51</v>
      </c>
      <c r="J74" s="20">
        <v>22</v>
      </c>
      <c r="K74" s="20">
        <v>134.6</v>
      </c>
      <c r="L74" s="20">
        <v>29.61</v>
      </c>
      <c r="M74" s="16" t="s">
        <v>395</v>
      </c>
      <c r="N74" s="19">
        <v>45292</v>
      </c>
      <c r="O74" s="21" t="s">
        <v>500</v>
      </c>
      <c r="S74" s="20">
        <v>29.61</v>
      </c>
    </row>
    <row r="75" spans="1:19" x14ac:dyDescent="0.25">
      <c r="A75" s="16" t="s">
        <v>417</v>
      </c>
      <c r="B75" s="17">
        <v>17528908</v>
      </c>
      <c r="C75" s="16" t="s">
        <v>430</v>
      </c>
      <c r="D75" s="18" t="s">
        <v>994</v>
      </c>
      <c r="E75" s="16" t="s">
        <v>431</v>
      </c>
      <c r="F75" s="18" t="s">
        <v>532</v>
      </c>
      <c r="G75" s="19">
        <v>45748</v>
      </c>
      <c r="H75" s="16" t="s">
        <v>64</v>
      </c>
      <c r="I75" s="16" t="s">
        <v>51</v>
      </c>
      <c r="J75" s="20">
        <v>22</v>
      </c>
      <c r="K75" s="20">
        <v>154.43</v>
      </c>
      <c r="L75" s="20">
        <v>33.97</v>
      </c>
      <c r="M75" s="16" t="s">
        <v>395</v>
      </c>
      <c r="N75" s="19">
        <v>45292</v>
      </c>
      <c r="O75" s="21" t="s">
        <v>500</v>
      </c>
      <c r="S75" s="20">
        <v>33.97</v>
      </c>
    </row>
    <row r="76" spans="1:19" x14ac:dyDescent="0.25">
      <c r="A76" s="16" t="s">
        <v>417</v>
      </c>
      <c r="B76" s="17">
        <v>17528908</v>
      </c>
      <c r="C76" s="16" t="s">
        <v>446</v>
      </c>
      <c r="D76" s="18" t="s">
        <v>985</v>
      </c>
      <c r="E76" s="16" t="s">
        <v>447</v>
      </c>
      <c r="F76" s="18" t="s">
        <v>530</v>
      </c>
      <c r="G76" s="19">
        <v>45748</v>
      </c>
      <c r="H76" s="16" t="s">
        <v>64</v>
      </c>
      <c r="I76" s="16" t="s">
        <v>51</v>
      </c>
      <c r="J76" s="20">
        <v>22</v>
      </c>
      <c r="K76" s="20">
        <v>146.72999999999999</v>
      </c>
      <c r="L76" s="20">
        <v>32.28</v>
      </c>
      <c r="M76" s="16" t="s">
        <v>395</v>
      </c>
      <c r="N76" s="19">
        <v>45383</v>
      </c>
      <c r="O76" s="21" t="s">
        <v>500</v>
      </c>
      <c r="S76" s="20">
        <v>32.28</v>
      </c>
    </row>
    <row r="77" spans="1:19" x14ac:dyDescent="0.25">
      <c r="A77" s="16" t="s">
        <v>162</v>
      </c>
      <c r="B77" s="17">
        <v>15278437</v>
      </c>
      <c r="C77" s="16" t="s">
        <v>401</v>
      </c>
      <c r="D77" s="18" t="s">
        <v>960</v>
      </c>
      <c r="E77" s="16" t="s">
        <v>402</v>
      </c>
      <c r="F77" s="18" t="s">
        <v>535</v>
      </c>
      <c r="G77" s="19">
        <v>45748</v>
      </c>
      <c r="H77" s="16" t="s">
        <v>64</v>
      </c>
      <c r="I77" s="16" t="s">
        <v>51</v>
      </c>
      <c r="J77" s="20">
        <v>22</v>
      </c>
      <c r="K77" s="20">
        <v>164</v>
      </c>
      <c r="L77" s="20">
        <v>36.08</v>
      </c>
      <c r="M77" s="16" t="s">
        <v>107</v>
      </c>
      <c r="N77" s="19">
        <v>45292</v>
      </c>
      <c r="O77" s="21" t="s">
        <v>500</v>
      </c>
      <c r="S77" s="20">
        <v>36.08</v>
      </c>
    </row>
    <row r="78" spans="1:19" x14ac:dyDescent="0.25">
      <c r="A78" s="16" t="s">
        <v>407</v>
      </c>
      <c r="B78" s="17">
        <v>16202925</v>
      </c>
      <c r="C78" s="16" t="s">
        <v>412</v>
      </c>
      <c r="D78" s="18" t="s">
        <v>1004</v>
      </c>
      <c r="E78" s="16" t="s">
        <v>413</v>
      </c>
      <c r="F78" s="18" t="s">
        <v>547</v>
      </c>
      <c r="G78" s="19">
        <v>45748</v>
      </c>
      <c r="H78" s="16" t="s">
        <v>64</v>
      </c>
      <c r="I78" s="16" t="s">
        <v>51</v>
      </c>
      <c r="J78" s="20">
        <v>3</v>
      </c>
      <c r="K78" s="20">
        <v>2290.92</v>
      </c>
      <c r="L78" s="20">
        <v>68.760000000000005</v>
      </c>
      <c r="M78" s="16" t="s">
        <v>387</v>
      </c>
      <c r="N78" s="19">
        <v>45748</v>
      </c>
      <c r="O78" s="21" t="s">
        <v>502</v>
      </c>
      <c r="S78" s="20">
        <v>68.760000000000005</v>
      </c>
    </row>
    <row r="79" spans="1:19" x14ac:dyDescent="0.25">
      <c r="A79" s="16" t="s">
        <v>477</v>
      </c>
      <c r="B79" s="17">
        <v>5442438</v>
      </c>
      <c r="C79" s="16" t="s">
        <v>480</v>
      </c>
      <c r="D79" s="18" t="s">
        <v>1025</v>
      </c>
      <c r="E79" s="16" t="s">
        <v>481</v>
      </c>
      <c r="F79" s="18" t="s">
        <v>549</v>
      </c>
      <c r="G79" s="19">
        <v>45748</v>
      </c>
      <c r="H79" s="16" t="s">
        <v>64</v>
      </c>
      <c r="I79" s="16" t="s">
        <v>51</v>
      </c>
      <c r="J79" s="20">
        <v>11</v>
      </c>
      <c r="K79" s="20">
        <v>142.16999999999999</v>
      </c>
      <c r="L79" s="20">
        <v>15.64</v>
      </c>
      <c r="M79" s="16" t="s">
        <v>53</v>
      </c>
      <c r="N79" s="19">
        <v>45505</v>
      </c>
      <c r="O79" s="21" t="s">
        <v>499</v>
      </c>
      <c r="S79" s="20">
        <v>15.64</v>
      </c>
    </row>
    <row r="80" spans="1:19" x14ac:dyDescent="0.25">
      <c r="A80" s="16" t="s">
        <v>477</v>
      </c>
      <c r="B80" s="17">
        <v>5442438</v>
      </c>
      <c r="C80" s="16" t="s">
        <v>478</v>
      </c>
      <c r="D80" s="18" t="s">
        <v>1024</v>
      </c>
      <c r="E80" s="16" t="s">
        <v>479</v>
      </c>
      <c r="F80" s="18" t="s">
        <v>548</v>
      </c>
      <c r="G80" s="19">
        <v>45748</v>
      </c>
      <c r="H80" s="16" t="s">
        <v>64</v>
      </c>
      <c r="I80" s="16" t="s">
        <v>51</v>
      </c>
      <c r="J80" s="20">
        <v>11</v>
      </c>
      <c r="K80" s="20">
        <v>142.16999999999999</v>
      </c>
      <c r="L80" s="20">
        <v>15.64</v>
      </c>
      <c r="M80" s="16" t="s">
        <v>53</v>
      </c>
      <c r="N80" s="19">
        <v>45505</v>
      </c>
      <c r="O80" s="21" t="s">
        <v>499</v>
      </c>
      <c r="S80" s="20">
        <v>15.64</v>
      </c>
    </row>
    <row r="81" spans="1:19" x14ac:dyDescent="0.25">
      <c r="A81" s="16" t="s">
        <v>127</v>
      </c>
      <c r="B81" s="17">
        <v>7146581</v>
      </c>
      <c r="C81" s="16" t="s">
        <v>389</v>
      </c>
      <c r="D81" s="18" t="s">
        <v>967</v>
      </c>
      <c r="E81" s="16" t="s">
        <v>390</v>
      </c>
      <c r="F81" s="18" t="s">
        <v>552</v>
      </c>
      <c r="G81" s="19">
        <v>45748</v>
      </c>
      <c r="H81" s="16" t="s">
        <v>64</v>
      </c>
      <c r="I81" s="16" t="s">
        <v>51</v>
      </c>
      <c r="J81" s="20">
        <v>11</v>
      </c>
      <c r="K81" s="20">
        <v>2438.4</v>
      </c>
      <c r="L81" s="20">
        <v>268.2</v>
      </c>
      <c r="M81" s="16" t="s">
        <v>387</v>
      </c>
      <c r="N81" s="19">
        <v>45748</v>
      </c>
      <c r="O81" s="21" t="s">
        <v>499</v>
      </c>
      <c r="S81" s="20">
        <v>268.2</v>
      </c>
    </row>
    <row r="82" spans="1:19" x14ac:dyDescent="0.25">
      <c r="A82" s="16" t="s">
        <v>407</v>
      </c>
      <c r="B82" s="17">
        <v>16202925</v>
      </c>
      <c r="C82" s="16" t="s">
        <v>408</v>
      </c>
      <c r="D82" s="18" t="s">
        <v>1005</v>
      </c>
      <c r="E82" s="16" t="s">
        <v>409</v>
      </c>
      <c r="F82" s="18" t="s">
        <v>550</v>
      </c>
      <c r="G82" s="19">
        <v>45748</v>
      </c>
      <c r="H82" s="16" t="s">
        <v>64</v>
      </c>
      <c r="I82" s="16" t="s">
        <v>51</v>
      </c>
      <c r="J82" s="20">
        <v>11</v>
      </c>
      <c r="K82" s="20">
        <v>326.25</v>
      </c>
      <c r="L82" s="20">
        <v>35.89</v>
      </c>
      <c r="M82" s="16" t="s">
        <v>107</v>
      </c>
      <c r="N82" s="19">
        <v>45261</v>
      </c>
      <c r="O82" s="21" t="s">
        <v>499</v>
      </c>
      <c r="S82" s="20">
        <v>35.89</v>
      </c>
    </row>
    <row r="83" spans="1:19" x14ac:dyDescent="0.25">
      <c r="A83" s="16" t="s">
        <v>407</v>
      </c>
      <c r="B83" s="17">
        <v>16202925</v>
      </c>
      <c r="C83" s="16" t="s">
        <v>410</v>
      </c>
      <c r="D83" s="18" t="s">
        <v>1006</v>
      </c>
      <c r="E83" s="16" t="s">
        <v>411</v>
      </c>
      <c r="F83" s="18" t="s">
        <v>551</v>
      </c>
      <c r="G83" s="19">
        <v>45748</v>
      </c>
      <c r="H83" s="16" t="s">
        <v>64</v>
      </c>
      <c r="I83" s="16" t="s">
        <v>51</v>
      </c>
      <c r="J83" s="20">
        <v>11</v>
      </c>
      <c r="K83" s="20">
        <v>326.25</v>
      </c>
      <c r="L83" s="20">
        <v>35.89</v>
      </c>
      <c r="M83" s="16" t="s">
        <v>107</v>
      </c>
      <c r="N83" s="19">
        <v>45292</v>
      </c>
      <c r="O83" s="21" t="s">
        <v>499</v>
      </c>
      <c r="S83" s="20">
        <v>35.89</v>
      </c>
    </row>
    <row r="84" spans="1:19" x14ac:dyDescent="0.25">
      <c r="A84" s="16" t="s">
        <v>321</v>
      </c>
      <c r="B84" s="17">
        <v>19278370</v>
      </c>
      <c r="C84" s="16" t="s">
        <v>492</v>
      </c>
      <c r="D84" s="18" t="s">
        <v>1000</v>
      </c>
      <c r="E84" s="16" t="s">
        <v>493</v>
      </c>
      <c r="F84" s="18" t="s">
        <v>556</v>
      </c>
      <c r="G84" s="19">
        <v>45748</v>
      </c>
      <c r="H84" s="16" t="s">
        <v>64</v>
      </c>
      <c r="I84" s="16" t="s">
        <v>51</v>
      </c>
      <c r="J84" s="20">
        <v>26</v>
      </c>
      <c r="K84" s="20">
        <v>1231.92</v>
      </c>
      <c r="L84" s="20">
        <v>320.27999999999997</v>
      </c>
      <c r="M84" s="16" t="s">
        <v>405</v>
      </c>
      <c r="N84" s="19">
        <v>45748</v>
      </c>
      <c r="O84" s="21" t="s">
        <v>501</v>
      </c>
      <c r="S84" s="20">
        <v>320.27999999999997</v>
      </c>
    </row>
    <row r="85" spans="1:19" x14ac:dyDescent="0.25">
      <c r="A85" s="16" t="s">
        <v>458</v>
      </c>
      <c r="B85" s="17">
        <v>17774994</v>
      </c>
      <c r="C85" s="16" t="s">
        <v>459</v>
      </c>
      <c r="D85" s="18" t="s">
        <v>956</v>
      </c>
      <c r="E85" s="16" t="s">
        <v>460</v>
      </c>
      <c r="F85" s="18" t="s">
        <v>553</v>
      </c>
      <c r="G85" s="19">
        <v>45748</v>
      </c>
      <c r="H85" s="16" t="s">
        <v>64</v>
      </c>
      <c r="I85" s="16" t="s">
        <v>51</v>
      </c>
      <c r="J85" s="20">
        <v>26</v>
      </c>
      <c r="K85" s="20">
        <v>113</v>
      </c>
      <c r="L85" s="20">
        <v>29.38</v>
      </c>
      <c r="M85" s="16" t="s">
        <v>395</v>
      </c>
      <c r="N85" s="19">
        <v>45352</v>
      </c>
      <c r="O85" s="21" t="s">
        <v>501</v>
      </c>
      <c r="S85" s="20">
        <v>29.38</v>
      </c>
    </row>
    <row r="86" spans="1:19" x14ac:dyDescent="0.25">
      <c r="A86" s="16" t="s">
        <v>162</v>
      </c>
      <c r="B86" s="17">
        <v>15278437</v>
      </c>
      <c r="C86" s="16" t="s">
        <v>393</v>
      </c>
      <c r="D86" s="18" t="s">
        <v>963</v>
      </c>
      <c r="E86" s="16" t="s">
        <v>394</v>
      </c>
      <c r="F86" s="18" t="s">
        <v>554</v>
      </c>
      <c r="G86" s="19">
        <v>45748</v>
      </c>
      <c r="H86" s="16" t="s">
        <v>64</v>
      </c>
      <c r="I86" s="16" t="s">
        <v>51</v>
      </c>
      <c r="J86" s="20">
        <v>26</v>
      </c>
      <c r="K86" s="20">
        <v>147.1</v>
      </c>
      <c r="L86" s="20">
        <v>38.25</v>
      </c>
      <c r="M86" s="16" t="s">
        <v>395</v>
      </c>
      <c r="N86" s="19">
        <v>45292</v>
      </c>
      <c r="O86" s="21" t="s">
        <v>501</v>
      </c>
      <c r="S86" s="20">
        <v>38.25</v>
      </c>
    </row>
    <row r="87" spans="1:19" x14ac:dyDescent="0.25">
      <c r="A87" s="16" t="s">
        <v>162</v>
      </c>
      <c r="B87" s="17">
        <v>15278437</v>
      </c>
      <c r="C87" s="16" t="s">
        <v>399</v>
      </c>
      <c r="D87" s="18" t="s">
        <v>964</v>
      </c>
      <c r="E87" s="16" t="s">
        <v>400</v>
      </c>
      <c r="F87" s="18" t="s">
        <v>555</v>
      </c>
      <c r="G87" s="19">
        <v>45748</v>
      </c>
      <c r="H87" s="16" t="s">
        <v>64</v>
      </c>
      <c r="I87" s="16" t="s">
        <v>51</v>
      </c>
      <c r="J87" s="20">
        <v>26</v>
      </c>
      <c r="K87" s="20">
        <v>164.25</v>
      </c>
      <c r="L87" s="20">
        <v>42.71</v>
      </c>
      <c r="M87" s="16" t="s">
        <v>395</v>
      </c>
      <c r="N87" s="19">
        <v>45261</v>
      </c>
      <c r="O87" s="21" t="s">
        <v>501</v>
      </c>
      <c r="S87" s="20">
        <v>42.71</v>
      </c>
    </row>
    <row r="88" spans="1:19" x14ac:dyDescent="0.25">
      <c r="A88" s="16" t="s">
        <v>95</v>
      </c>
      <c r="B88" s="17">
        <v>8244481</v>
      </c>
      <c r="C88" s="16" t="s">
        <v>369</v>
      </c>
      <c r="D88" s="18" t="s">
        <v>943</v>
      </c>
      <c r="E88" s="16" t="s">
        <v>370</v>
      </c>
      <c r="F88" s="18" t="s">
        <v>569</v>
      </c>
      <c r="G88" s="19">
        <v>45778</v>
      </c>
      <c r="H88" s="16" t="s">
        <v>49</v>
      </c>
      <c r="I88" s="16" t="s">
        <v>345</v>
      </c>
      <c r="J88" s="20">
        <v>10</v>
      </c>
      <c r="K88" s="20">
        <v>24.54</v>
      </c>
      <c r="L88" s="20">
        <v>2.4500000000000002</v>
      </c>
      <c r="M88" s="16" t="s">
        <v>354</v>
      </c>
      <c r="N88" s="19">
        <v>45646</v>
      </c>
      <c r="O88" s="21" t="s">
        <v>498</v>
      </c>
      <c r="S88" s="20">
        <v>2.4500000000000002</v>
      </c>
    </row>
    <row r="89" spans="1:19" x14ac:dyDescent="0.25">
      <c r="A89" s="16" t="s">
        <v>461</v>
      </c>
      <c r="B89" s="17" t="s">
        <v>666</v>
      </c>
      <c r="C89" s="16" t="s">
        <v>466</v>
      </c>
      <c r="D89" s="18" t="s">
        <v>1028</v>
      </c>
      <c r="E89" s="16" t="s">
        <v>467</v>
      </c>
      <c r="F89" s="18">
        <v>90302678904</v>
      </c>
      <c r="G89" s="19">
        <v>45778</v>
      </c>
      <c r="H89" s="16" t="s">
        <v>49</v>
      </c>
      <c r="I89" s="16" t="s">
        <v>340</v>
      </c>
      <c r="J89" s="20">
        <v>10</v>
      </c>
      <c r="K89" s="20">
        <v>12.99</v>
      </c>
      <c r="L89" s="20">
        <v>1.3</v>
      </c>
      <c r="M89" s="16" t="s">
        <v>354</v>
      </c>
      <c r="N89" s="19">
        <v>45748</v>
      </c>
      <c r="O89" s="21" t="s">
        <v>498</v>
      </c>
      <c r="S89" s="20">
        <v>1.3</v>
      </c>
    </row>
    <row r="90" spans="1:19" x14ac:dyDescent="0.25">
      <c r="A90" s="16" t="s">
        <v>461</v>
      </c>
      <c r="B90" s="17" t="s">
        <v>666</v>
      </c>
      <c r="C90" s="16" t="s">
        <v>462</v>
      </c>
      <c r="D90" s="18" t="s">
        <v>1026</v>
      </c>
      <c r="E90" s="16" t="s">
        <v>463</v>
      </c>
      <c r="F90" s="18" t="s">
        <v>560</v>
      </c>
      <c r="G90" s="19">
        <v>45778</v>
      </c>
      <c r="H90" s="16" t="s">
        <v>49</v>
      </c>
      <c r="I90" s="16" t="s">
        <v>340</v>
      </c>
      <c r="J90" s="20">
        <v>10</v>
      </c>
      <c r="K90" s="20">
        <v>12.99</v>
      </c>
      <c r="L90" s="20">
        <v>1.3</v>
      </c>
      <c r="M90" s="16" t="s">
        <v>354</v>
      </c>
      <c r="N90" s="19">
        <v>45689</v>
      </c>
      <c r="O90" s="21" t="s">
        <v>498</v>
      </c>
      <c r="S90" s="20">
        <v>1.3</v>
      </c>
    </row>
    <row r="91" spans="1:19" x14ac:dyDescent="0.25">
      <c r="A91" s="16" t="s">
        <v>95</v>
      </c>
      <c r="B91" s="17">
        <v>8244481</v>
      </c>
      <c r="C91" s="16" t="s">
        <v>360</v>
      </c>
      <c r="D91" s="18" t="s">
        <v>944</v>
      </c>
      <c r="E91" s="16" t="s">
        <v>362</v>
      </c>
      <c r="F91" s="18" t="s">
        <v>570</v>
      </c>
      <c r="G91" s="19">
        <v>45778</v>
      </c>
      <c r="H91" s="16" t="s">
        <v>49</v>
      </c>
      <c r="I91" s="16" t="s">
        <v>340</v>
      </c>
      <c r="J91" s="20">
        <v>10</v>
      </c>
      <c r="K91" s="20">
        <v>26.88</v>
      </c>
      <c r="L91" s="20">
        <v>2.69</v>
      </c>
      <c r="M91" s="16" t="s">
        <v>354</v>
      </c>
      <c r="N91" s="19">
        <v>45658</v>
      </c>
      <c r="O91" s="21" t="s">
        <v>498</v>
      </c>
      <c r="S91" s="20">
        <v>2.69</v>
      </c>
    </row>
    <row r="92" spans="1:19" x14ac:dyDescent="0.25">
      <c r="A92" s="16" t="s">
        <v>95</v>
      </c>
      <c r="B92" s="17">
        <v>8244481</v>
      </c>
      <c r="C92" s="16" t="s">
        <v>360</v>
      </c>
      <c r="D92" s="18" t="s">
        <v>944</v>
      </c>
      <c r="E92" s="16" t="s">
        <v>361</v>
      </c>
      <c r="F92" s="18" t="s">
        <v>582</v>
      </c>
      <c r="G92" s="19">
        <v>45778</v>
      </c>
      <c r="H92" s="16" t="s">
        <v>49</v>
      </c>
      <c r="I92" s="16" t="s">
        <v>345</v>
      </c>
      <c r="J92" s="20">
        <v>10</v>
      </c>
      <c r="K92" s="20">
        <v>97.6</v>
      </c>
      <c r="L92" s="20">
        <v>9.76</v>
      </c>
      <c r="M92" s="16" t="s">
        <v>354</v>
      </c>
      <c r="N92" s="19">
        <v>45658</v>
      </c>
      <c r="O92" s="21" t="s">
        <v>498</v>
      </c>
      <c r="S92" s="20">
        <v>9.76</v>
      </c>
    </row>
    <row r="93" spans="1:19" x14ac:dyDescent="0.25">
      <c r="A93" s="16" t="s">
        <v>95</v>
      </c>
      <c r="B93" s="17">
        <v>8244481</v>
      </c>
      <c r="C93" s="16" t="s">
        <v>356</v>
      </c>
      <c r="D93" s="18" t="s">
        <v>937</v>
      </c>
      <c r="E93" s="16" t="s">
        <v>357</v>
      </c>
      <c r="F93" s="18" t="s">
        <v>563</v>
      </c>
      <c r="G93" s="19">
        <v>45778</v>
      </c>
      <c r="H93" s="16" t="s">
        <v>49</v>
      </c>
      <c r="I93" s="16" t="s">
        <v>340</v>
      </c>
      <c r="J93" s="20">
        <v>10</v>
      </c>
      <c r="K93" s="20">
        <v>13.93</v>
      </c>
      <c r="L93" s="20">
        <v>1.39</v>
      </c>
      <c r="M93" s="16" t="s">
        <v>354</v>
      </c>
      <c r="N93" s="19">
        <v>45622</v>
      </c>
      <c r="O93" s="21" t="s">
        <v>498</v>
      </c>
      <c r="S93" s="20">
        <v>1.39</v>
      </c>
    </row>
    <row r="94" spans="1:19" x14ac:dyDescent="0.25">
      <c r="A94" s="16" t="s">
        <v>95</v>
      </c>
      <c r="B94" s="17">
        <v>8244481</v>
      </c>
      <c r="C94" s="16" t="s">
        <v>363</v>
      </c>
      <c r="D94" s="18" t="s">
        <v>945</v>
      </c>
      <c r="E94" s="16" t="s">
        <v>365</v>
      </c>
      <c r="F94" s="18" t="s">
        <v>571</v>
      </c>
      <c r="G94" s="19">
        <v>45778</v>
      </c>
      <c r="H94" s="16" t="s">
        <v>49</v>
      </c>
      <c r="I94" s="16" t="s">
        <v>340</v>
      </c>
      <c r="J94" s="20">
        <v>10</v>
      </c>
      <c r="K94" s="20">
        <v>26.88</v>
      </c>
      <c r="L94" s="20">
        <v>2.69</v>
      </c>
      <c r="M94" s="16" t="s">
        <v>354</v>
      </c>
      <c r="N94" s="19">
        <v>45644</v>
      </c>
      <c r="O94" s="21" t="s">
        <v>498</v>
      </c>
      <c r="S94" s="20">
        <v>2.69</v>
      </c>
    </row>
    <row r="95" spans="1:19" x14ac:dyDescent="0.25">
      <c r="A95" s="16" t="s">
        <v>95</v>
      </c>
      <c r="B95" s="17">
        <v>8244481</v>
      </c>
      <c r="C95" s="16" t="s">
        <v>363</v>
      </c>
      <c r="D95" s="18" t="s">
        <v>945</v>
      </c>
      <c r="E95" s="16" t="s">
        <v>364</v>
      </c>
      <c r="F95" s="18" t="s">
        <v>583</v>
      </c>
      <c r="G95" s="19">
        <v>45778</v>
      </c>
      <c r="H95" s="16" t="s">
        <v>49</v>
      </c>
      <c r="I95" s="16" t="s">
        <v>345</v>
      </c>
      <c r="J95" s="20">
        <v>10</v>
      </c>
      <c r="K95" s="20">
        <v>97.6</v>
      </c>
      <c r="L95" s="20">
        <v>9.76</v>
      </c>
      <c r="M95" s="16" t="s">
        <v>354</v>
      </c>
      <c r="N95" s="19">
        <v>45644</v>
      </c>
      <c r="O95" s="21" t="s">
        <v>498</v>
      </c>
      <c r="S95" s="20">
        <v>9.76</v>
      </c>
    </row>
    <row r="96" spans="1:19" x14ac:dyDescent="0.25">
      <c r="A96" s="16" t="s">
        <v>95</v>
      </c>
      <c r="B96" s="17">
        <v>8244481</v>
      </c>
      <c r="C96" s="16" t="s">
        <v>358</v>
      </c>
      <c r="D96" s="18" t="s">
        <v>942</v>
      </c>
      <c r="E96" s="16" t="s">
        <v>359</v>
      </c>
      <c r="F96" s="18" t="s">
        <v>568</v>
      </c>
      <c r="G96" s="19">
        <v>45778</v>
      </c>
      <c r="H96" s="16" t="s">
        <v>49</v>
      </c>
      <c r="I96" s="16" t="s">
        <v>345</v>
      </c>
      <c r="J96" s="20">
        <v>10</v>
      </c>
      <c r="K96" s="20">
        <v>24.54</v>
      </c>
      <c r="L96" s="20">
        <v>2.4500000000000002</v>
      </c>
      <c r="M96" s="16" t="s">
        <v>354</v>
      </c>
      <c r="N96" s="19">
        <v>45658</v>
      </c>
      <c r="O96" s="21" t="s">
        <v>498</v>
      </c>
      <c r="S96" s="20">
        <v>2.4500000000000002</v>
      </c>
    </row>
    <row r="97" spans="1:19" x14ac:dyDescent="0.25">
      <c r="A97" s="16" t="s">
        <v>417</v>
      </c>
      <c r="B97" s="17" t="s">
        <v>665</v>
      </c>
      <c r="C97" s="16" t="s">
        <v>456</v>
      </c>
      <c r="D97" s="18" t="s">
        <v>984</v>
      </c>
      <c r="E97" s="16" t="s">
        <v>457</v>
      </c>
      <c r="F97" s="18" t="s">
        <v>559</v>
      </c>
      <c r="G97" s="19">
        <v>45778</v>
      </c>
      <c r="H97" s="16" t="s">
        <v>49</v>
      </c>
      <c r="I97" s="16" t="s">
        <v>340</v>
      </c>
      <c r="J97" s="20">
        <v>10</v>
      </c>
      <c r="K97" s="20">
        <v>12.99</v>
      </c>
      <c r="L97" s="20">
        <v>1.3</v>
      </c>
      <c r="M97" s="16" t="s">
        <v>354</v>
      </c>
      <c r="N97" s="19">
        <v>45689</v>
      </c>
      <c r="O97" s="21" t="s">
        <v>498</v>
      </c>
      <c r="S97" s="20">
        <v>1.3</v>
      </c>
    </row>
    <row r="98" spans="1:19" x14ac:dyDescent="0.25">
      <c r="A98" s="16" t="s">
        <v>95</v>
      </c>
      <c r="B98" s="17">
        <v>8244481</v>
      </c>
      <c r="C98" s="16" t="s">
        <v>371</v>
      </c>
      <c r="D98" s="18" t="s">
        <v>939</v>
      </c>
      <c r="E98" s="16" t="s">
        <v>372</v>
      </c>
      <c r="F98" s="18" t="s">
        <v>565</v>
      </c>
      <c r="G98" s="19">
        <v>45778</v>
      </c>
      <c r="H98" s="16" t="s">
        <v>49</v>
      </c>
      <c r="I98" s="16" t="s">
        <v>340</v>
      </c>
      <c r="J98" s="20">
        <v>10</v>
      </c>
      <c r="K98" s="20">
        <v>13.93</v>
      </c>
      <c r="L98" s="20">
        <v>1.39</v>
      </c>
      <c r="M98" s="16" t="s">
        <v>354</v>
      </c>
      <c r="N98" s="19">
        <v>45658</v>
      </c>
      <c r="O98" s="21" t="s">
        <v>498</v>
      </c>
      <c r="S98" s="20">
        <v>1.39</v>
      </c>
    </row>
    <row r="99" spans="1:19" x14ac:dyDescent="0.25">
      <c r="A99" s="16" t="s">
        <v>95</v>
      </c>
      <c r="B99" s="17">
        <v>8244481</v>
      </c>
      <c r="C99" s="16" t="s">
        <v>366</v>
      </c>
      <c r="D99" s="18" t="s">
        <v>938</v>
      </c>
      <c r="E99" s="16" t="s">
        <v>368</v>
      </c>
      <c r="F99" s="18" t="s">
        <v>564</v>
      </c>
      <c r="G99" s="19">
        <v>45778</v>
      </c>
      <c r="H99" s="16" t="s">
        <v>49</v>
      </c>
      <c r="I99" s="16" t="s">
        <v>340</v>
      </c>
      <c r="J99" s="20">
        <v>10</v>
      </c>
      <c r="K99" s="20">
        <v>13.93</v>
      </c>
      <c r="L99" s="20">
        <v>1.39</v>
      </c>
      <c r="M99" s="16" t="s">
        <v>354</v>
      </c>
      <c r="N99" s="19">
        <v>45658</v>
      </c>
      <c r="O99" s="21" t="s">
        <v>498</v>
      </c>
      <c r="S99" s="20">
        <v>1.39</v>
      </c>
    </row>
    <row r="100" spans="1:19" x14ac:dyDescent="0.25">
      <c r="A100" s="16" t="s">
        <v>95</v>
      </c>
      <c r="B100" s="17">
        <v>8244481</v>
      </c>
      <c r="C100" s="16" t="s">
        <v>366</v>
      </c>
      <c r="D100" s="18" t="s">
        <v>938</v>
      </c>
      <c r="E100" s="16" t="s">
        <v>367</v>
      </c>
      <c r="F100" s="18" t="s">
        <v>579</v>
      </c>
      <c r="G100" s="19">
        <v>45778</v>
      </c>
      <c r="H100" s="16" t="s">
        <v>49</v>
      </c>
      <c r="I100" s="16" t="s">
        <v>345</v>
      </c>
      <c r="J100" s="20">
        <v>10</v>
      </c>
      <c r="K100" s="20">
        <v>52.78</v>
      </c>
      <c r="L100" s="20">
        <v>5.28</v>
      </c>
      <c r="M100" s="16" t="s">
        <v>354</v>
      </c>
      <c r="N100" s="19">
        <v>45658</v>
      </c>
      <c r="O100" s="21" t="s">
        <v>498</v>
      </c>
      <c r="S100" s="20">
        <v>5.28</v>
      </c>
    </row>
    <row r="101" spans="1:19" x14ac:dyDescent="0.25">
      <c r="A101" s="16" t="s">
        <v>321</v>
      </c>
      <c r="B101" s="17">
        <v>19278370</v>
      </c>
      <c r="C101" s="16" t="s">
        <v>494</v>
      </c>
      <c r="D101" s="18" t="s">
        <v>1001</v>
      </c>
      <c r="E101" s="16" t="s">
        <v>495</v>
      </c>
      <c r="F101" s="18" t="s">
        <v>576</v>
      </c>
      <c r="G101" s="19">
        <v>45778</v>
      </c>
      <c r="H101" s="16" t="s">
        <v>49</v>
      </c>
      <c r="I101" s="16" t="s">
        <v>340</v>
      </c>
      <c r="J101" s="20">
        <v>10</v>
      </c>
      <c r="K101" s="20">
        <v>36.99</v>
      </c>
      <c r="L101" s="20">
        <v>3.7</v>
      </c>
      <c r="M101" s="16" t="s">
        <v>354</v>
      </c>
      <c r="N101" s="19">
        <v>45700</v>
      </c>
      <c r="O101" s="21" t="s">
        <v>498</v>
      </c>
      <c r="S101" s="20">
        <v>3.7</v>
      </c>
    </row>
    <row r="102" spans="1:19" x14ac:dyDescent="0.25">
      <c r="A102" s="16" t="s">
        <v>461</v>
      </c>
      <c r="B102" s="17" t="s">
        <v>666</v>
      </c>
      <c r="C102" s="16" t="s">
        <v>464</v>
      </c>
      <c r="D102" s="18" t="s">
        <v>1027</v>
      </c>
      <c r="E102" s="16" t="s">
        <v>465</v>
      </c>
      <c r="F102" s="18" t="s">
        <v>561</v>
      </c>
      <c r="G102" s="19">
        <v>45778</v>
      </c>
      <c r="H102" s="16" t="s">
        <v>49</v>
      </c>
      <c r="I102" s="16" t="s">
        <v>340</v>
      </c>
      <c r="J102" s="20">
        <v>10</v>
      </c>
      <c r="K102" s="20">
        <v>12.99</v>
      </c>
      <c r="L102" s="20">
        <v>1.3</v>
      </c>
      <c r="M102" s="16" t="s">
        <v>354</v>
      </c>
      <c r="N102" s="19">
        <v>45717</v>
      </c>
      <c r="O102" s="21" t="s">
        <v>498</v>
      </c>
      <c r="S102" s="20">
        <v>1.3</v>
      </c>
    </row>
    <row r="103" spans="1:19" x14ac:dyDescent="0.25">
      <c r="A103" s="16" t="s">
        <v>288</v>
      </c>
      <c r="B103" s="17" t="s">
        <v>664</v>
      </c>
      <c r="C103" s="16" t="s">
        <v>490</v>
      </c>
      <c r="D103" s="18" t="s">
        <v>950</v>
      </c>
      <c r="E103" s="16" t="s">
        <v>491</v>
      </c>
      <c r="F103" s="18" t="s">
        <v>577</v>
      </c>
      <c r="G103" s="19">
        <v>45778</v>
      </c>
      <c r="H103" s="16" t="s">
        <v>49</v>
      </c>
      <c r="I103" s="16" t="s">
        <v>345</v>
      </c>
      <c r="J103" s="20">
        <v>10</v>
      </c>
      <c r="K103" s="20">
        <v>41.82</v>
      </c>
      <c r="L103" s="20">
        <v>4.18</v>
      </c>
      <c r="M103" s="16" t="s">
        <v>354</v>
      </c>
      <c r="N103" s="19">
        <v>45658</v>
      </c>
      <c r="O103" s="21" t="s">
        <v>498</v>
      </c>
      <c r="S103" s="20">
        <v>4.18</v>
      </c>
    </row>
    <row r="104" spans="1:19" x14ac:dyDescent="0.25">
      <c r="A104" s="16" t="s">
        <v>95</v>
      </c>
      <c r="B104" s="17">
        <v>8244481</v>
      </c>
      <c r="C104" s="16" t="s">
        <v>352</v>
      </c>
      <c r="D104" s="18" t="s">
        <v>936</v>
      </c>
      <c r="E104" s="16" t="s">
        <v>353</v>
      </c>
      <c r="F104" s="18" t="s">
        <v>562</v>
      </c>
      <c r="G104" s="19">
        <v>45778</v>
      </c>
      <c r="H104" s="16" t="s">
        <v>49</v>
      </c>
      <c r="I104" s="16" t="s">
        <v>340</v>
      </c>
      <c r="J104" s="20">
        <v>10</v>
      </c>
      <c r="K104" s="20">
        <v>13.93</v>
      </c>
      <c r="L104" s="20">
        <v>1.39</v>
      </c>
      <c r="M104" s="16" t="s">
        <v>354</v>
      </c>
      <c r="N104" s="19">
        <v>45614</v>
      </c>
      <c r="O104" s="21" t="s">
        <v>498</v>
      </c>
      <c r="S104" s="20">
        <v>1.39</v>
      </c>
    </row>
    <row r="105" spans="1:19" x14ac:dyDescent="0.25">
      <c r="A105" s="16" t="s">
        <v>321</v>
      </c>
      <c r="B105" s="17">
        <v>19278370</v>
      </c>
      <c r="C105" s="16" t="s">
        <v>496</v>
      </c>
      <c r="D105" s="18" t="s">
        <v>1002</v>
      </c>
      <c r="E105" s="16" t="s">
        <v>497</v>
      </c>
      <c r="F105" s="18" t="s">
        <v>580</v>
      </c>
      <c r="G105" s="19">
        <v>45778</v>
      </c>
      <c r="H105" s="16" t="s">
        <v>49</v>
      </c>
      <c r="I105" s="16" t="s">
        <v>345</v>
      </c>
      <c r="J105" s="20">
        <v>10</v>
      </c>
      <c r="K105" s="20">
        <v>53.99</v>
      </c>
      <c r="L105" s="20">
        <v>5.4</v>
      </c>
      <c r="M105" s="16" t="s">
        <v>354</v>
      </c>
      <c r="N105" s="19">
        <v>45748</v>
      </c>
      <c r="O105" s="21" t="s">
        <v>498</v>
      </c>
      <c r="S105" s="20">
        <v>5.4</v>
      </c>
    </row>
    <row r="106" spans="1:19" x14ac:dyDescent="0.25">
      <c r="A106" s="16" t="s">
        <v>95</v>
      </c>
      <c r="B106" s="17">
        <v>8244481</v>
      </c>
      <c r="C106" s="16" t="s">
        <v>346</v>
      </c>
      <c r="D106" s="18" t="s">
        <v>941</v>
      </c>
      <c r="E106" s="16" t="s">
        <v>347</v>
      </c>
      <c r="F106" s="18" t="s">
        <v>567</v>
      </c>
      <c r="G106" s="19">
        <v>45778</v>
      </c>
      <c r="H106" s="16" t="s">
        <v>49</v>
      </c>
      <c r="I106" s="16" t="s">
        <v>340</v>
      </c>
      <c r="J106" s="20">
        <v>10</v>
      </c>
      <c r="K106" s="20">
        <v>13.93</v>
      </c>
      <c r="L106" s="20">
        <v>1.39</v>
      </c>
      <c r="M106" s="16" t="s">
        <v>341</v>
      </c>
      <c r="N106" s="19">
        <v>45323</v>
      </c>
      <c r="O106" s="21" t="s">
        <v>498</v>
      </c>
      <c r="S106" s="20">
        <v>1.39</v>
      </c>
    </row>
    <row r="107" spans="1:19" x14ac:dyDescent="0.25">
      <c r="A107" s="16" t="s">
        <v>95</v>
      </c>
      <c r="B107" s="17">
        <v>8244481</v>
      </c>
      <c r="C107" s="16" t="s">
        <v>350</v>
      </c>
      <c r="D107" s="18" t="s">
        <v>948</v>
      </c>
      <c r="E107" s="16" t="s">
        <v>351</v>
      </c>
      <c r="F107" s="18" t="s">
        <v>578</v>
      </c>
      <c r="G107" s="19">
        <v>45778</v>
      </c>
      <c r="H107" s="16" t="s">
        <v>49</v>
      </c>
      <c r="I107" s="16" t="s">
        <v>340</v>
      </c>
      <c r="J107" s="20">
        <v>10</v>
      </c>
      <c r="K107" s="20">
        <v>46.8</v>
      </c>
      <c r="L107" s="20">
        <v>4.68</v>
      </c>
      <c r="M107" s="16" t="s">
        <v>341</v>
      </c>
      <c r="N107" s="19">
        <v>45328</v>
      </c>
      <c r="O107" s="21" t="s">
        <v>498</v>
      </c>
      <c r="S107" s="20">
        <v>4.68</v>
      </c>
    </row>
    <row r="108" spans="1:19" x14ac:dyDescent="0.25">
      <c r="A108" s="16" t="s">
        <v>95</v>
      </c>
      <c r="B108" s="17">
        <v>8244481</v>
      </c>
      <c r="C108" s="16" t="s">
        <v>348</v>
      </c>
      <c r="D108" s="18" t="s">
        <v>947</v>
      </c>
      <c r="E108" s="16" t="s">
        <v>349</v>
      </c>
      <c r="F108" s="18" t="s">
        <v>573</v>
      </c>
      <c r="G108" s="19">
        <v>45778</v>
      </c>
      <c r="H108" s="16" t="s">
        <v>49</v>
      </c>
      <c r="I108" s="16" t="s">
        <v>340</v>
      </c>
      <c r="J108" s="20">
        <v>10</v>
      </c>
      <c r="K108" s="20">
        <v>26.88</v>
      </c>
      <c r="L108" s="20">
        <v>2.69</v>
      </c>
      <c r="M108" s="16" t="s">
        <v>341</v>
      </c>
      <c r="N108" s="19">
        <v>45323</v>
      </c>
      <c r="O108" s="21" t="s">
        <v>498</v>
      </c>
      <c r="S108" s="20">
        <v>2.69</v>
      </c>
    </row>
    <row r="109" spans="1:19" x14ac:dyDescent="0.25">
      <c r="A109" s="16" t="s">
        <v>95</v>
      </c>
      <c r="B109" s="17">
        <v>8244481</v>
      </c>
      <c r="C109" s="16" t="s">
        <v>343</v>
      </c>
      <c r="D109" s="18" t="s">
        <v>940</v>
      </c>
      <c r="E109" s="16" t="s">
        <v>344</v>
      </c>
      <c r="F109" s="18" t="s">
        <v>566</v>
      </c>
      <c r="G109" s="19">
        <v>45778</v>
      </c>
      <c r="H109" s="16" t="s">
        <v>49</v>
      </c>
      <c r="I109" s="16" t="s">
        <v>345</v>
      </c>
      <c r="J109" s="20">
        <v>10</v>
      </c>
      <c r="K109" s="20">
        <v>13.93</v>
      </c>
      <c r="L109" s="20">
        <v>1.39</v>
      </c>
      <c r="M109" s="16" t="s">
        <v>341</v>
      </c>
      <c r="N109" s="19">
        <v>44197</v>
      </c>
      <c r="O109" s="21" t="s">
        <v>498</v>
      </c>
      <c r="S109" s="20">
        <v>1.39</v>
      </c>
    </row>
    <row r="110" spans="1:19" x14ac:dyDescent="0.25">
      <c r="A110" s="16" t="s">
        <v>127</v>
      </c>
      <c r="B110" s="17">
        <v>7146581</v>
      </c>
      <c r="C110" s="16" t="s">
        <v>391</v>
      </c>
      <c r="D110" s="18" t="s">
        <v>968</v>
      </c>
      <c r="E110" s="16" t="s">
        <v>392</v>
      </c>
      <c r="F110" s="18" t="s">
        <v>557</v>
      </c>
      <c r="G110" s="19">
        <v>45778</v>
      </c>
      <c r="H110" s="16" t="s">
        <v>49</v>
      </c>
      <c r="I110" s="16" t="s">
        <v>345</v>
      </c>
      <c r="J110" s="20">
        <v>10</v>
      </c>
      <c r="K110" s="20">
        <v>-21.54</v>
      </c>
      <c r="L110" s="20">
        <v>-2.15</v>
      </c>
      <c r="M110" s="16" t="s">
        <v>341</v>
      </c>
      <c r="N110" s="19">
        <v>40848</v>
      </c>
      <c r="O110" s="21" t="s">
        <v>498</v>
      </c>
      <c r="S110" s="20">
        <v>-2.15</v>
      </c>
    </row>
    <row r="111" spans="1:19" x14ac:dyDescent="0.25">
      <c r="A111" s="16" t="s">
        <v>95</v>
      </c>
      <c r="B111" s="17">
        <v>8244481</v>
      </c>
      <c r="C111" s="16" t="s">
        <v>336</v>
      </c>
      <c r="D111" s="18" t="s">
        <v>946</v>
      </c>
      <c r="E111" s="16" t="s">
        <v>337</v>
      </c>
      <c r="F111" s="18" t="s">
        <v>572</v>
      </c>
      <c r="G111" s="19">
        <v>45778</v>
      </c>
      <c r="H111" s="16" t="s">
        <v>49</v>
      </c>
      <c r="I111" s="16" t="s">
        <v>340</v>
      </c>
      <c r="J111" s="20">
        <v>10</v>
      </c>
      <c r="K111" s="20">
        <v>26.88</v>
      </c>
      <c r="L111" s="20">
        <v>2.69</v>
      </c>
      <c r="M111" s="16" t="s">
        <v>341</v>
      </c>
      <c r="N111" s="19">
        <v>45384</v>
      </c>
      <c r="O111" s="21" t="s">
        <v>498</v>
      </c>
      <c r="S111" s="20">
        <v>2.69</v>
      </c>
    </row>
    <row r="112" spans="1:19" x14ac:dyDescent="0.25">
      <c r="A112" s="16" t="s">
        <v>123</v>
      </c>
      <c r="B112" s="17">
        <v>6634327</v>
      </c>
      <c r="C112" s="16" t="s">
        <v>382</v>
      </c>
      <c r="D112" s="18" t="s">
        <v>1007</v>
      </c>
      <c r="E112" s="16" t="s">
        <v>383</v>
      </c>
      <c r="F112" s="18" t="s">
        <v>558</v>
      </c>
      <c r="G112" s="19">
        <v>45748</v>
      </c>
      <c r="H112" s="16" t="s">
        <v>64</v>
      </c>
      <c r="I112" s="16" t="s">
        <v>340</v>
      </c>
      <c r="J112" s="20">
        <v>10</v>
      </c>
      <c r="K112" s="20">
        <v>5.69</v>
      </c>
      <c r="L112" s="20">
        <v>0.56999999999999995</v>
      </c>
      <c r="M112" s="16" t="s">
        <v>107</v>
      </c>
      <c r="N112" s="19">
        <v>44287</v>
      </c>
      <c r="O112" s="21" t="s">
        <v>498</v>
      </c>
      <c r="S112" s="20">
        <v>0.56999999999999995</v>
      </c>
    </row>
    <row r="113" spans="1:19" x14ac:dyDescent="0.25">
      <c r="A113" s="16" t="s">
        <v>373</v>
      </c>
      <c r="B113" s="17">
        <v>14177521</v>
      </c>
      <c r="C113" s="16" t="s">
        <v>378</v>
      </c>
      <c r="D113" s="16" t="s">
        <v>378</v>
      </c>
      <c r="E113" s="16" t="s">
        <v>379</v>
      </c>
      <c r="F113" s="18" t="s">
        <v>581</v>
      </c>
      <c r="G113" s="19">
        <v>45748</v>
      </c>
      <c r="H113" s="16" t="s">
        <v>64</v>
      </c>
      <c r="I113" s="16" t="s">
        <v>340</v>
      </c>
      <c r="J113" s="20">
        <v>10</v>
      </c>
      <c r="K113" s="20">
        <v>77.77</v>
      </c>
      <c r="L113" s="20">
        <v>7.78</v>
      </c>
      <c r="M113" s="16" t="s">
        <v>53</v>
      </c>
      <c r="N113" s="19">
        <v>45658</v>
      </c>
      <c r="O113" s="21" t="s">
        <v>1069</v>
      </c>
      <c r="S113" s="20">
        <v>7.78</v>
      </c>
    </row>
    <row r="114" spans="1:19" x14ac:dyDescent="0.25">
      <c r="A114" s="16" t="s">
        <v>373</v>
      </c>
      <c r="B114" s="17">
        <v>14177521</v>
      </c>
      <c r="C114" s="16" t="s">
        <v>378</v>
      </c>
      <c r="D114" s="16" t="s">
        <v>378</v>
      </c>
      <c r="E114" s="16" t="s">
        <v>379</v>
      </c>
      <c r="F114" s="18" t="s">
        <v>581</v>
      </c>
      <c r="G114" s="19">
        <v>45748</v>
      </c>
      <c r="H114" s="16" t="s">
        <v>64</v>
      </c>
      <c r="I114" s="16" t="s">
        <v>345</v>
      </c>
      <c r="J114" s="20">
        <v>10</v>
      </c>
      <c r="K114" s="20">
        <v>378.75</v>
      </c>
      <c r="L114" s="20">
        <v>37.880000000000003</v>
      </c>
      <c r="M114" s="16" t="s">
        <v>53</v>
      </c>
      <c r="N114" s="19">
        <v>45658</v>
      </c>
      <c r="O114" s="21" t="s">
        <v>1069</v>
      </c>
      <c r="S114" s="20">
        <v>37.880000000000003</v>
      </c>
    </row>
    <row r="115" spans="1:19" x14ac:dyDescent="0.25">
      <c r="A115" s="16" t="s">
        <v>373</v>
      </c>
      <c r="B115" s="17">
        <v>14177521</v>
      </c>
      <c r="C115" s="16" t="s">
        <v>374</v>
      </c>
      <c r="D115" s="16" t="s">
        <v>374</v>
      </c>
      <c r="E115" s="16" t="s">
        <v>375</v>
      </c>
      <c r="F115" s="18" t="s">
        <v>574</v>
      </c>
      <c r="G115" s="19">
        <v>45748</v>
      </c>
      <c r="H115" s="16" t="s">
        <v>64</v>
      </c>
      <c r="I115" s="16" t="s">
        <v>340</v>
      </c>
      <c r="J115" s="20">
        <v>10</v>
      </c>
      <c r="K115" s="20">
        <v>28.17</v>
      </c>
      <c r="L115" s="20">
        <v>2.82</v>
      </c>
      <c r="M115" s="16" t="s">
        <v>53</v>
      </c>
      <c r="N115" s="19">
        <v>45658</v>
      </c>
      <c r="O115" s="21" t="s">
        <v>1069</v>
      </c>
      <c r="S115" s="20">
        <v>2.82</v>
      </c>
    </row>
    <row r="116" spans="1:19" x14ac:dyDescent="0.25">
      <c r="A116" s="16" t="s">
        <v>373</v>
      </c>
      <c r="B116" s="17">
        <v>14177521</v>
      </c>
      <c r="C116" s="16" t="s">
        <v>374</v>
      </c>
      <c r="D116" s="16" t="s">
        <v>374</v>
      </c>
      <c r="E116" s="16" t="s">
        <v>375</v>
      </c>
      <c r="F116" s="18" t="s">
        <v>574</v>
      </c>
      <c r="G116" s="19">
        <v>45748</v>
      </c>
      <c r="H116" s="16" t="s">
        <v>64</v>
      </c>
      <c r="I116" s="16" t="s">
        <v>345</v>
      </c>
      <c r="J116" s="20">
        <v>10</v>
      </c>
      <c r="K116" s="20">
        <v>191.1</v>
      </c>
      <c r="L116" s="20">
        <v>19.11</v>
      </c>
      <c r="M116" s="16" t="s">
        <v>53</v>
      </c>
      <c r="N116" s="19">
        <v>45658</v>
      </c>
      <c r="O116" s="21" t="s">
        <v>1069</v>
      </c>
      <c r="S116" s="20">
        <v>19.11</v>
      </c>
    </row>
    <row r="117" spans="1:19" x14ac:dyDescent="0.25">
      <c r="A117" s="16" t="s">
        <v>373</v>
      </c>
      <c r="B117" s="17">
        <v>14177521</v>
      </c>
      <c r="C117" s="16" t="s">
        <v>380</v>
      </c>
      <c r="D117" s="16" t="s">
        <v>380</v>
      </c>
      <c r="E117" s="16" t="s">
        <v>381</v>
      </c>
      <c r="F117" s="18" t="s">
        <v>575</v>
      </c>
      <c r="G117" s="19">
        <v>45748</v>
      </c>
      <c r="H117" s="16" t="s">
        <v>64</v>
      </c>
      <c r="I117" s="16" t="s">
        <v>340</v>
      </c>
      <c r="J117" s="20">
        <v>10</v>
      </c>
      <c r="K117" s="20">
        <v>35.35</v>
      </c>
      <c r="L117" s="20">
        <v>3.54</v>
      </c>
      <c r="M117" s="16" t="s">
        <v>53</v>
      </c>
      <c r="N117" s="19">
        <v>45658</v>
      </c>
      <c r="O117" s="21" t="s">
        <v>1069</v>
      </c>
      <c r="S117" s="20">
        <v>3.54</v>
      </c>
    </row>
    <row r="118" spans="1:19" x14ac:dyDescent="0.25">
      <c r="A118" s="16" t="s">
        <v>373</v>
      </c>
      <c r="B118" s="17">
        <v>14177521</v>
      </c>
      <c r="C118" s="16" t="s">
        <v>380</v>
      </c>
      <c r="D118" s="16" t="s">
        <v>380</v>
      </c>
      <c r="E118" s="16" t="s">
        <v>381</v>
      </c>
      <c r="F118" s="18" t="s">
        <v>575</v>
      </c>
      <c r="G118" s="19">
        <v>45748</v>
      </c>
      <c r="H118" s="16" t="s">
        <v>64</v>
      </c>
      <c r="I118" s="16" t="s">
        <v>345</v>
      </c>
      <c r="J118" s="20">
        <v>10</v>
      </c>
      <c r="K118" s="20">
        <v>227.04</v>
      </c>
      <c r="L118" s="20">
        <v>22.7</v>
      </c>
      <c r="M118" s="16" t="s">
        <v>53</v>
      </c>
      <c r="N118" s="19">
        <v>45658</v>
      </c>
      <c r="O118" s="21" t="s">
        <v>1069</v>
      </c>
      <c r="S118" s="20">
        <v>22.7</v>
      </c>
    </row>
    <row r="119" spans="1:19" x14ac:dyDescent="0.25">
      <c r="A119" s="16" t="s">
        <v>127</v>
      </c>
      <c r="B119" s="17">
        <v>7146581</v>
      </c>
      <c r="C119" s="16" t="s">
        <v>158</v>
      </c>
      <c r="D119" s="18" t="s">
        <v>969</v>
      </c>
      <c r="E119" s="16" t="s">
        <v>159</v>
      </c>
      <c r="F119" s="18" t="s">
        <v>590</v>
      </c>
      <c r="G119" s="19">
        <v>45839</v>
      </c>
      <c r="H119" s="16" t="s">
        <v>161</v>
      </c>
      <c r="I119" s="16" t="s">
        <v>51</v>
      </c>
      <c r="J119" s="20">
        <v>0.5</v>
      </c>
      <c r="K119" s="20">
        <v>0</v>
      </c>
      <c r="L119" s="20">
        <v>156.5</v>
      </c>
      <c r="M119" s="16" t="s">
        <v>53</v>
      </c>
      <c r="N119" s="19">
        <v>45839</v>
      </c>
      <c r="O119" s="21" t="s">
        <v>504</v>
      </c>
      <c r="P119" s="21" t="s">
        <v>510</v>
      </c>
      <c r="S119" s="20">
        <v>156.5</v>
      </c>
    </row>
    <row r="120" spans="1:19" x14ac:dyDescent="0.25">
      <c r="A120" s="16" t="s">
        <v>42</v>
      </c>
      <c r="B120" s="17">
        <v>8814784</v>
      </c>
      <c r="C120" s="16" t="s">
        <v>43</v>
      </c>
      <c r="D120" s="18" t="s">
        <v>1009</v>
      </c>
      <c r="E120" s="16" t="s">
        <v>44</v>
      </c>
      <c r="F120" s="18" t="s">
        <v>593</v>
      </c>
      <c r="G120" s="19">
        <v>45778</v>
      </c>
      <c r="H120" s="16" t="s">
        <v>49</v>
      </c>
      <c r="I120" s="16" t="s">
        <v>51</v>
      </c>
      <c r="J120" s="20">
        <v>0.67</v>
      </c>
      <c r="K120" s="20">
        <v>0</v>
      </c>
      <c r="L120" s="20">
        <v>208.67</v>
      </c>
      <c r="M120" s="16" t="s">
        <v>53</v>
      </c>
      <c r="N120" s="19">
        <v>45778</v>
      </c>
      <c r="O120" s="21" t="s">
        <v>504</v>
      </c>
      <c r="P120" s="21" t="s">
        <v>508</v>
      </c>
      <c r="S120" s="20">
        <v>208.67</v>
      </c>
    </row>
    <row r="121" spans="1:19" x14ac:dyDescent="0.25">
      <c r="A121" s="16" t="s">
        <v>183</v>
      </c>
      <c r="B121" s="17">
        <v>16633294</v>
      </c>
      <c r="C121" s="16" t="s">
        <v>209</v>
      </c>
      <c r="D121" s="18" t="s">
        <v>1063</v>
      </c>
      <c r="E121" s="16" t="s">
        <v>210</v>
      </c>
      <c r="F121" s="18" t="s">
        <v>611</v>
      </c>
      <c r="G121" s="19">
        <v>45748</v>
      </c>
      <c r="H121" s="16" t="s">
        <v>64</v>
      </c>
      <c r="I121" s="16" t="s">
        <v>51</v>
      </c>
      <c r="J121" s="20">
        <v>0.75</v>
      </c>
      <c r="K121" s="20">
        <v>0</v>
      </c>
      <c r="L121" s="20">
        <v>234.75</v>
      </c>
      <c r="M121" s="16" t="s">
        <v>53</v>
      </c>
      <c r="N121" s="19">
        <v>45748</v>
      </c>
      <c r="O121" s="21" t="s">
        <v>504</v>
      </c>
      <c r="P121" s="21" t="s">
        <v>512</v>
      </c>
      <c r="S121" s="20">
        <v>234.75</v>
      </c>
    </row>
    <row r="122" spans="1:19" x14ac:dyDescent="0.25">
      <c r="A122" s="16" t="s">
        <v>127</v>
      </c>
      <c r="B122" s="17">
        <v>7146581</v>
      </c>
      <c r="C122" s="16" t="s">
        <v>152</v>
      </c>
      <c r="D122" s="18" t="s">
        <v>973</v>
      </c>
      <c r="E122" s="16" t="s">
        <v>153</v>
      </c>
      <c r="F122" s="18" t="s">
        <v>610</v>
      </c>
      <c r="G122" s="19">
        <v>45748</v>
      </c>
      <c r="H122" s="16" t="s">
        <v>64</v>
      </c>
      <c r="I122" s="16" t="s">
        <v>51</v>
      </c>
      <c r="J122" s="20">
        <v>0.75</v>
      </c>
      <c r="K122" s="20">
        <v>0</v>
      </c>
      <c r="L122" s="20">
        <v>234.75</v>
      </c>
      <c r="M122" s="16" t="s">
        <v>53</v>
      </c>
      <c r="N122" s="19">
        <v>45748</v>
      </c>
      <c r="O122" s="21" t="s">
        <v>504</v>
      </c>
      <c r="P122" s="21" t="s">
        <v>512</v>
      </c>
      <c r="S122" s="20">
        <v>234.75</v>
      </c>
    </row>
    <row r="123" spans="1:19" x14ac:dyDescent="0.25">
      <c r="A123" s="16" t="s">
        <v>249</v>
      </c>
      <c r="B123" s="17">
        <v>18754354</v>
      </c>
      <c r="C123" s="16" t="s">
        <v>250</v>
      </c>
      <c r="D123" s="18" t="s">
        <v>1058</v>
      </c>
      <c r="E123" s="16" t="s">
        <v>251</v>
      </c>
      <c r="F123" s="18" t="s">
        <v>612</v>
      </c>
      <c r="G123" s="19">
        <v>45748</v>
      </c>
      <c r="H123" s="16" t="s">
        <v>64</v>
      </c>
      <c r="I123" s="16" t="s">
        <v>51</v>
      </c>
      <c r="J123" s="20">
        <v>0.75</v>
      </c>
      <c r="K123" s="20">
        <v>0</v>
      </c>
      <c r="L123" s="20">
        <v>234.75</v>
      </c>
      <c r="M123" s="16" t="s">
        <v>53</v>
      </c>
      <c r="N123" s="19">
        <v>45748</v>
      </c>
      <c r="O123" s="21" t="s">
        <v>504</v>
      </c>
      <c r="P123" s="21" t="s">
        <v>512</v>
      </c>
      <c r="S123" s="20">
        <v>234.75</v>
      </c>
    </row>
    <row r="124" spans="1:19" x14ac:dyDescent="0.25">
      <c r="A124" s="16" t="s">
        <v>183</v>
      </c>
      <c r="B124" s="17">
        <v>16633294</v>
      </c>
      <c r="C124" s="16" t="s">
        <v>212</v>
      </c>
      <c r="D124" s="18" t="s">
        <v>1060</v>
      </c>
      <c r="E124" s="16" t="s">
        <v>213</v>
      </c>
      <c r="F124" s="18" t="s">
        <v>592</v>
      </c>
      <c r="G124" s="19">
        <v>45809</v>
      </c>
      <c r="H124" s="16" t="s">
        <v>86</v>
      </c>
      <c r="I124" s="16" t="s">
        <v>51</v>
      </c>
      <c r="J124" s="20">
        <v>0.57999999999999996</v>
      </c>
      <c r="K124" s="20">
        <v>0</v>
      </c>
      <c r="L124" s="20">
        <v>182.58</v>
      </c>
      <c r="M124" s="16" t="s">
        <v>53</v>
      </c>
      <c r="N124" s="19">
        <v>45809</v>
      </c>
      <c r="O124" s="21" t="s">
        <v>504</v>
      </c>
      <c r="P124" s="21" t="s">
        <v>511</v>
      </c>
      <c r="S124" s="20">
        <v>182.58</v>
      </c>
    </row>
    <row r="125" spans="1:19" x14ac:dyDescent="0.25">
      <c r="A125" s="16" t="s">
        <v>183</v>
      </c>
      <c r="B125" s="17">
        <v>16633294</v>
      </c>
      <c r="C125" s="16" t="s">
        <v>190</v>
      </c>
      <c r="D125" s="18" t="s">
        <v>1059</v>
      </c>
      <c r="E125" s="16" t="s">
        <v>191</v>
      </c>
      <c r="F125" s="18" t="s">
        <v>586</v>
      </c>
      <c r="G125" s="19">
        <v>45689</v>
      </c>
      <c r="H125" s="16" t="s">
        <v>193</v>
      </c>
      <c r="I125" s="16" t="s">
        <v>51</v>
      </c>
      <c r="J125" s="20">
        <v>-0.67</v>
      </c>
      <c r="K125" s="20">
        <v>0</v>
      </c>
      <c r="L125" s="20">
        <v>-208.67</v>
      </c>
      <c r="M125" s="16" t="s">
        <v>53</v>
      </c>
      <c r="N125" s="19">
        <v>45689</v>
      </c>
      <c r="O125" s="21" t="s">
        <v>504</v>
      </c>
      <c r="P125" s="21" t="s">
        <v>508</v>
      </c>
      <c r="S125" s="20">
        <v>-208.67</v>
      </c>
    </row>
    <row r="126" spans="1:19" x14ac:dyDescent="0.25">
      <c r="A126" s="16" t="s">
        <v>288</v>
      </c>
      <c r="B126" s="17" t="s">
        <v>664</v>
      </c>
      <c r="C126" s="16" t="s">
        <v>289</v>
      </c>
      <c r="D126" s="18" t="s">
        <v>951</v>
      </c>
      <c r="E126" s="16" t="s">
        <v>290</v>
      </c>
      <c r="F126" s="18" t="s">
        <v>585</v>
      </c>
      <c r="G126" s="19">
        <v>45658</v>
      </c>
      <c r="H126" s="16" t="s">
        <v>166</v>
      </c>
      <c r="I126" s="16" t="s">
        <v>51</v>
      </c>
      <c r="J126" s="20">
        <v>-0.83</v>
      </c>
      <c r="K126" s="20">
        <v>0</v>
      </c>
      <c r="L126" s="20">
        <v>-260.83</v>
      </c>
      <c r="M126" s="16" t="s">
        <v>53</v>
      </c>
      <c r="N126" s="19">
        <v>45658</v>
      </c>
      <c r="O126" s="21" t="s">
        <v>504</v>
      </c>
      <c r="P126" s="21" t="s">
        <v>507</v>
      </c>
      <c r="S126" s="20">
        <v>-260.83</v>
      </c>
    </row>
    <row r="127" spans="1:19" x14ac:dyDescent="0.25">
      <c r="A127" s="16" t="s">
        <v>42</v>
      </c>
      <c r="B127" s="17">
        <v>8814784</v>
      </c>
      <c r="C127" s="16" t="s">
        <v>68</v>
      </c>
      <c r="D127" s="18" t="s">
        <v>1011</v>
      </c>
      <c r="E127" s="16" t="s">
        <v>69</v>
      </c>
      <c r="F127" s="18" t="s">
        <v>606</v>
      </c>
      <c r="G127" s="19">
        <v>45748</v>
      </c>
      <c r="H127" s="16" t="s">
        <v>64</v>
      </c>
      <c r="I127" s="16" t="s">
        <v>51</v>
      </c>
      <c r="J127" s="20">
        <v>0.75</v>
      </c>
      <c r="K127" s="20">
        <v>0</v>
      </c>
      <c r="L127" s="20">
        <v>234.75</v>
      </c>
      <c r="M127" s="16" t="s">
        <v>53</v>
      </c>
      <c r="N127" s="19">
        <v>45748</v>
      </c>
      <c r="O127" s="21" t="s">
        <v>504</v>
      </c>
      <c r="P127" s="21" t="s">
        <v>512</v>
      </c>
      <c r="S127" s="20">
        <v>234.75</v>
      </c>
    </row>
    <row r="128" spans="1:19" x14ac:dyDescent="0.25">
      <c r="A128" s="16" t="s">
        <v>42</v>
      </c>
      <c r="B128" s="17">
        <v>8814784</v>
      </c>
      <c r="C128" s="16" t="s">
        <v>71</v>
      </c>
      <c r="D128" s="18" t="s">
        <v>1010</v>
      </c>
      <c r="E128" s="16" t="s">
        <v>72</v>
      </c>
      <c r="F128" s="18" t="s">
        <v>594</v>
      </c>
      <c r="G128" s="19">
        <v>45778</v>
      </c>
      <c r="H128" s="16" t="s">
        <v>49</v>
      </c>
      <c r="I128" s="16" t="s">
        <v>51</v>
      </c>
      <c r="J128" s="20">
        <v>0.67</v>
      </c>
      <c r="K128" s="20">
        <v>0</v>
      </c>
      <c r="L128" s="20">
        <v>208.67</v>
      </c>
      <c r="M128" s="16" t="s">
        <v>53</v>
      </c>
      <c r="N128" s="19">
        <v>45778</v>
      </c>
      <c r="O128" s="21" t="s">
        <v>504</v>
      </c>
      <c r="P128" s="21" t="s">
        <v>508</v>
      </c>
      <c r="S128" s="20">
        <v>208.67</v>
      </c>
    </row>
    <row r="129" spans="1:19" x14ac:dyDescent="0.25">
      <c r="A129" s="16" t="s">
        <v>223</v>
      </c>
      <c r="B129" s="17">
        <v>9213293</v>
      </c>
      <c r="C129" s="16" t="s">
        <v>239</v>
      </c>
      <c r="D129" s="18" t="s">
        <v>1030</v>
      </c>
      <c r="E129" s="16" t="s">
        <v>240</v>
      </c>
      <c r="F129" s="18" t="s">
        <v>591</v>
      </c>
      <c r="G129" s="19">
        <v>45839</v>
      </c>
      <c r="H129" s="16" t="s">
        <v>161</v>
      </c>
      <c r="I129" s="16" t="s">
        <v>51</v>
      </c>
      <c r="J129" s="20">
        <v>0.5</v>
      </c>
      <c r="K129" s="20">
        <v>0</v>
      </c>
      <c r="L129" s="20">
        <v>156.5</v>
      </c>
      <c r="M129" s="16" t="s">
        <v>53</v>
      </c>
      <c r="N129" s="19">
        <v>45839</v>
      </c>
      <c r="O129" s="21" t="s">
        <v>504</v>
      </c>
      <c r="P129" s="21" t="s">
        <v>510</v>
      </c>
      <c r="S129" s="20">
        <v>156.5</v>
      </c>
    </row>
    <row r="130" spans="1:19" x14ac:dyDescent="0.25">
      <c r="A130" s="16" t="s">
        <v>325</v>
      </c>
      <c r="B130" s="17">
        <v>16983460</v>
      </c>
      <c r="C130" s="16" t="s">
        <v>326</v>
      </c>
      <c r="D130" s="18" t="s">
        <v>1041</v>
      </c>
      <c r="E130" s="16" t="s">
        <v>327</v>
      </c>
      <c r="F130" s="18" t="s">
        <v>600</v>
      </c>
      <c r="G130" s="19">
        <v>45778</v>
      </c>
      <c r="H130" s="16" t="s">
        <v>49</v>
      </c>
      <c r="I130" s="16" t="s">
        <v>51</v>
      </c>
      <c r="J130" s="20">
        <v>0.67</v>
      </c>
      <c r="K130" s="20">
        <v>0</v>
      </c>
      <c r="L130" s="20">
        <v>208.67</v>
      </c>
      <c r="M130" s="16" t="s">
        <v>53</v>
      </c>
      <c r="N130" s="19">
        <v>45778</v>
      </c>
      <c r="O130" s="21" t="s">
        <v>504</v>
      </c>
      <c r="P130" s="21" t="s">
        <v>508</v>
      </c>
      <c r="S130" s="20">
        <v>208.67</v>
      </c>
    </row>
    <row r="131" spans="1:19" x14ac:dyDescent="0.25">
      <c r="A131" s="16" t="s">
        <v>95</v>
      </c>
      <c r="B131" s="17">
        <v>8244481</v>
      </c>
      <c r="C131" s="16" t="s">
        <v>96</v>
      </c>
      <c r="D131" s="18" t="s">
        <v>949</v>
      </c>
      <c r="E131" s="16" t="s">
        <v>97</v>
      </c>
      <c r="F131" s="18" t="s">
        <v>607</v>
      </c>
      <c r="G131" s="19">
        <v>45748</v>
      </c>
      <c r="H131" s="16" t="s">
        <v>64</v>
      </c>
      <c r="I131" s="16" t="s">
        <v>51</v>
      </c>
      <c r="J131" s="20">
        <v>0.75</v>
      </c>
      <c r="K131" s="20">
        <v>0</v>
      </c>
      <c r="L131" s="20">
        <v>234.75</v>
      </c>
      <c r="M131" s="16" t="s">
        <v>53</v>
      </c>
      <c r="N131" s="19">
        <v>45748</v>
      </c>
      <c r="O131" s="21" t="s">
        <v>504</v>
      </c>
      <c r="P131" s="21" t="s">
        <v>512</v>
      </c>
      <c r="S131" s="20">
        <v>234.75</v>
      </c>
    </row>
    <row r="132" spans="1:19" x14ac:dyDescent="0.25">
      <c r="A132" s="16" t="s">
        <v>223</v>
      </c>
      <c r="B132" s="17">
        <v>9213293</v>
      </c>
      <c r="C132" s="16" t="s">
        <v>224</v>
      </c>
      <c r="D132" s="18" t="s">
        <v>1029</v>
      </c>
      <c r="E132" s="16" t="s">
        <v>225</v>
      </c>
      <c r="F132" s="18" t="s">
        <v>584</v>
      </c>
      <c r="G132" s="19">
        <v>45658</v>
      </c>
      <c r="H132" s="16" t="s">
        <v>166</v>
      </c>
      <c r="I132" s="16" t="s">
        <v>51</v>
      </c>
      <c r="J132" s="20">
        <v>-1</v>
      </c>
      <c r="K132" s="20">
        <v>0</v>
      </c>
      <c r="L132" s="20">
        <v>-313</v>
      </c>
      <c r="M132" s="16" t="s">
        <v>53</v>
      </c>
      <c r="N132" s="19">
        <v>45658</v>
      </c>
      <c r="O132" s="21" t="s">
        <v>504</v>
      </c>
      <c r="P132" s="21" t="s">
        <v>506</v>
      </c>
      <c r="S132" s="20">
        <v>-313</v>
      </c>
    </row>
    <row r="133" spans="1:19" x14ac:dyDescent="0.25">
      <c r="A133" s="16" t="s">
        <v>127</v>
      </c>
      <c r="B133" s="17">
        <v>7146581</v>
      </c>
      <c r="C133" s="16" t="s">
        <v>149</v>
      </c>
      <c r="D133" s="18" t="s">
        <v>972</v>
      </c>
      <c r="E133" s="16" t="s">
        <v>150</v>
      </c>
      <c r="F133" s="18" t="s">
        <v>609</v>
      </c>
      <c r="G133" s="19">
        <v>45748</v>
      </c>
      <c r="H133" s="16" t="s">
        <v>64</v>
      </c>
      <c r="I133" s="16" t="s">
        <v>51</v>
      </c>
      <c r="J133" s="20">
        <v>0.75</v>
      </c>
      <c r="K133" s="20">
        <v>0</v>
      </c>
      <c r="L133" s="20">
        <v>234.75</v>
      </c>
      <c r="M133" s="16" t="s">
        <v>53</v>
      </c>
      <c r="N133" s="19">
        <v>45748</v>
      </c>
      <c r="O133" s="21" t="s">
        <v>504</v>
      </c>
      <c r="P133" s="21" t="s">
        <v>512</v>
      </c>
      <c r="S133" s="20">
        <v>234.75</v>
      </c>
    </row>
    <row r="134" spans="1:19" x14ac:dyDescent="0.25">
      <c r="A134" s="16" t="s">
        <v>329</v>
      </c>
      <c r="B134" s="17">
        <v>21104854</v>
      </c>
      <c r="C134" s="16" t="s">
        <v>330</v>
      </c>
      <c r="D134" s="18" t="s">
        <v>1048</v>
      </c>
      <c r="E134" s="16" t="s">
        <v>331</v>
      </c>
      <c r="F134" s="18" t="s">
        <v>613</v>
      </c>
      <c r="G134" s="19">
        <v>45748</v>
      </c>
      <c r="H134" s="16" t="s">
        <v>64</v>
      </c>
      <c r="I134" s="16" t="s">
        <v>51</v>
      </c>
      <c r="J134" s="20">
        <v>0.75</v>
      </c>
      <c r="K134" s="20">
        <v>0</v>
      </c>
      <c r="L134" s="20">
        <v>234.75</v>
      </c>
      <c r="M134" s="16" t="s">
        <v>53</v>
      </c>
      <c r="N134" s="19">
        <v>45748</v>
      </c>
      <c r="O134" s="21" t="s">
        <v>504</v>
      </c>
      <c r="P134" s="21" t="s">
        <v>512</v>
      </c>
      <c r="S134" s="20">
        <v>234.75</v>
      </c>
    </row>
    <row r="135" spans="1:19" x14ac:dyDescent="0.25">
      <c r="A135" s="16" t="s">
        <v>223</v>
      </c>
      <c r="B135" s="17">
        <v>9213293</v>
      </c>
      <c r="C135" s="16" t="s">
        <v>242</v>
      </c>
      <c r="D135" s="18" t="s">
        <v>1031</v>
      </c>
      <c r="E135" s="16" t="s">
        <v>243</v>
      </c>
      <c r="F135" s="18" t="s">
        <v>597</v>
      </c>
      <c r="G135" s="19">
        <v>45778</v>
      </c>
      <c r="H135" s="16" t="s">
        <v>49</v>
      </c>
      <c r="I135" s="16" t="s">
        <v>51</v>
      </c>
      <c r="J135" s="20">
        <v>0.67</v>
      </c>
      <c r="K135" s="20">
        <v>0</v>
      </c>
      <c r="L135" s="20">
        <v>208.67</v>
      </c>
      <c r="M135" s="16" t="s">
        <v>53</v>
      </c>
      <c r="N135" s="19">
        <v>45778</v>
      </c>
      <c r="O135" s="21" t="s">
        <v>504</v>
      </c>
      <c r="P135" s="21" t="s">
        <v>508</v>
      </c>
      <c r="S135" s="20">
        <v>208.67</v>
      </c>
    </row>
    <row r="136" spans="1:19" x14ac:dyDescent="0.25">
      <c r="A136" s="16" t="s">
        <v>304</v>
      </c>
      <c r="B136" s="17">
        <v>19645587</v>
      </c>
      <c r="C136" s="16" t="s">
        <v>313</v>
      </c>
      <c r="D136" s="18" t="s">
        <v>1036</v>
      </c>
      <c r="E136" s="16" t="s">
        <v>314</v>
      </c>
      <c r="F136" s="18" t="s">
        <v>598</v>
      </c>
      <c r="G136" s="19">
        <v>45778</v>
      </c>
      <c r="H136" s="16" t="s">
        <v>49</v>
      </c>
      <c r="I136" s="16" t="s">
        <v>51</v>
      </c>
      <c r="J136" s="20">
        <v>0.67</v>
      </c>
      <c r="K136" s="20">
        <v>0</v>
      </c>
      <c r="L136" s="20">
        <v>208.67</v>
      </c>
      <c r="M136" s="16" t="s">
        <v>53</v>
      </c>
      <c r="N136" s="19">
        <v>45778</v>
      </c>
      <c r="O136" s="21" t="s">
        <v>504</v>
      </c>
      <c r="P136" s="21" t="s">
        <v>508</v>
      </c>
      <c r="S136" s="20">
        <v>208.67</v>
      </c>
    </row>
    <row r="137" spans="1:19" x14ac:dyDescent="0.25">
      <c r="A137" s="16" t="s">
        <v>215</v>
      </c>
      <c r="B137" s="17">
        <v>17425766</v>
      </c>
      <c r="C137" s="16" t="s">
        <v>219</v>
      </c>
      <c r="D137" s="18" t="s">
        <v>957</v>
      </c>
      <c r="E137" s="16" t="s">
        <v>220</v>
      </c>
      <c r="F137" s="18" t="s">
        <v>596</v>
      </c>
      <c r="G137" s="19">
        <v>45778</v>
      </c>
      <c r="H137" s="16" t="s">
        <v>49</v>
      </c>
      <c r="I137" s="16" t="s">
        <v>51</v>
      </c>
      <c r="J137" s="20">
        <v>0.67</v>
      </c>
      <c r="K137" s="20">
        <v>0</v>
      </c>
      <c r="L137" s="20">
        <v>208.67</v>
      </c>
      <c r="M137" s="16" t="s">
        <v>53</v>
      </c>
      <c r="N137" s="19">
        <v>45778</v>
      </c>
      <c r="O137" s="21" t="s">
        <v>504</v>
      </c>
      <c r="P137" s="21" t="s">
        <v>508</v>
      </c>
      <c r="S137" s="20">
        <v>208.67</v>
      </c>
    </row>
    <row r="138" spans="1:19" x14ac:dyDescent="0.25">
      <c r="A138" s="16" t="s">
        <v>127</v>
      </c>
      <c r="B138" s="17">
        <v>7146581</v>
      </c>
      <c r="C138" s="16" t="s">
        <v>155</v>
      </c>
      <c r="D138" s="18" t="s">
        <v>970</v>
      </c>
      <c r="E138" s="16" t="s">
        <v>156</v>
      </c>
      <c r="F138" s="18" t="s">
        <v>595</v>
      </c>
      <c r="G138" s="19">
        <v>45778</v>
      </c>
      <c r="H138" s="16" t="s">
        <v>49</v>
      </c>
      <c r="I138" s="16" t="s">
        <v>51</v>
      </c>
      <c r="J138" s="20">
        <v>0.67</v>
      </c>
      <c r="K138" s="20">
        <v>0</v>
      </c>
      <c r="L138" s="20">
        <v>208.67</v>
      </c>
      <c r="M138" s="16" t="s">
        <v>53</v>
      </c>
      <c r="N138" s="19">
        <v>45778</v>
      </c>
      <c r="O138" s="21" t="s">
        <v>504</v>
      </c>
      <c r="P138" s="21" t="s">
        <v>508</v>
      </c>
      <c r="S138" s="20">
        <v>208.67</v>
      </c>
    </row>
    <row r="139" spans="1:19" x14ac:dyDescent="0.25">
      <c r="A139" s="16" t="s">
        <v>127</v>
      </c>
      <c r="B139" s="17">
        <v>7146581</v>
      </c>
      <c r="C139" s="16" t="s">
        <v>146</v>
      </c>
      <c r="D139" s="18" t="s">
        <v>971</v>
      </c>
      <c r="E139" s="16" t="s">
        <v>147</v>
      </c>
      <c r="F139" s="18" t="s">
        <v>608</v>
      </c>
      <c r="G139" s="19">
        <v>45748</v>
      </c>
      <c r="H139" s="16" t="s">
        <v>64</v>
      </c>
      <c r="I139" s="16" t="s">
        <v>51</v>
      </c>
      <c r="J139" s="20">
        <v>0.75</v>
      </c>
      <c r="K139" s="20">
        <v>0</v>
      </c>
      <c r="L139" s="20">
        <v>234.75</v>
      </c>
      <c r="M139" s="16" t="s">
        <v>53</v>
      </c>
      <c r="N139" s="19">
        <v>45748</v>
      </c>
      <c r="O139" s="21" t="s">
        <v>504</v>
      </c>
      <c r="P139" s="21" t="s">
        <v>512</v>
      </c>
      <c r="S139" s="20">
        <v>234.75</v>
      </c>
    </row>
    <row r="140" spans="1:19" x14ac:dyDescent="0.25">
      <c r="A140" s="16" t="s">
        <v>304</v>
      </c>
      <c r="B140" s="17">
        <v>19645587</v>
      </c>
      <c r="C140" s="16" t="s">
        <v>316</v>
      </c>
      <c r="D140" s="18" t="s">
        <v>1037</v>
      </c>
      <c r="E140" s="16" t="s">
        <v>317</v>
      </c>
      <c r="F140" s="18" t="s">
        <v>599</v>
      </c>
      <c r="G140" s="19">
        <v>45778</v>
      </c>
      <c r="H140" s="16" t="s">
        <v>49</v>
      </c>
      <c r="I140" s="16" t="s">
        <v>51</v>
      </c>
      <c r="J140" s="20">
        <v>0.67</v>
      </c>
      <c r="K140" s="20">
        <v>0</v>
      </c>
      <c r="L140" s="20">
        <v>208.67</v>
      </c>
      <c r="M140" s="16" t="s">
        <v>53</v>
      </c>
      <c r="N140" s="19">
        <v>45778</v>
      </c>
      <c r="O140" s="21" t="s">
        <v>504</v>
      </c>
      <c r="P140" s="21" t="s">
        <v>508</v>
      </c>
      <c r="S140" s="20">
        <v>208.67</v>
      </c>
    </row>
    <row r="141" spans="1:19" x14ac:dyDescent="0.25">
      <c r="A141" s="16" t="s">
        <v>183</v>
      </c>
      <c r="B141" s="17">
        <v>16633294</v>
      </c>
      <c r="C141" s="16" t="s">
        <v>184</v>
      </c>
      <c r="D141" s="18" t="s">
        <v>1064</v>
      </c>
      <c r="E141" s="16" t="s">
        <v>185</v>
      </c>
      <c r="F141" s="18" t="s">
        <v>614</v>
      </c>
      <c r="G141" s="19">
        <v>45658</v>
      </c>
      <c r="H141" s="16" t="s">
        <v>166</v>
      </c>
      <c r="I141" s="16" t="s">
        <v>51</v>
      </c>
      <c r="J141" s="20">
        <v>1</v>
      </c>
      <c r="K141" s="20">
        <v>0</v>
      </c>
      <c r="L141" s="20">
        <v>313</v>
      </c>
      <c r="M141" s="16" t="s">
        <v>53</v>
      </c>
      <c r="N141" s="19">
        <v>45658</v>
      </c>
      <c r="O141" s="21" t="s">
        <v>504</v>
      </c>
      <c r="P141" s="21" t="s">
        <v>506</v>
      </c>
      <c r="S141" s="20">
        <v>313</v>
      </c>
    </row>
    <row r="142" spans="1:19" x14ac:dyDescent="0.25">
      <c r="A142" s="16" t="s">
        <v>223</v>
      </c>
      <c r="B142" s="17">
        <v>9213293</v>
      </c>
      <c r="C142" s="16" t="s">
        <v>224</v>
      </c>
      <c r="D142" s="18" t="s">
        <v>1029</v>
      </c>
      <c r="E142" s="16" t="s">
        <v>225</v>
      </c>
      <c r="F142" s="18" t="s">
        <v>584</v>
      </c>
      <c r="G142" s="19">
        <v>45658</v>
      </c>
      <c r="H142" s="16" t="s">
        <v>166</v>
      </c>
      <c r="I142" s="16" t="s">
        <v>51</v>
      </c>
      <c r="J142" s="20">
        <v>0</v>
      </c>
      <c r="K142" s="20">
        <v>0</v>
      </c>
      <c r="L142" s="20">
        <v>-313</v>
      </c>
      <c r="M142" s="16" t="s">
        <v>59</v>
      </c>
      <c r="N142" s="19">
        <v>45658</v>
      </c>
      <c r="O142" s="21" t="s">
        <v>504</v>
      </c>
      <c r="P142" s="21" t="s">
        <v>506</v>
      </c>
      <c r="S142" s="20">
        <v>-313</v>
      </c>
    </row>
    <row r="143" spans="1:19" x14ac:dyDescent="0.25">
      <c r="A143" s="16" t="s">
        <v>183</v>
      </c>
      <c r="B143" s="17">
        <v>16633294</v>
      </c>
      <c r="C143" s="16" t="s">
        <v>206</v>
      </c>
      <c r="D143" s="18" t="s">
        <v>1062</v>
      </c>
      <c r="E143" s="16" t="s">
        <v>207</v>
      </c>
      <c r="F143" s="18" t="s">
        <v>602</v>
      </c>
      <c r="G143" s="19">
        <v>45748</v>
      </c>
      <c r="H143" s="16" t="s">
        <v>64</v>
      </c>
      <c r="I143" s="16" t="s">
        <v>51</v>
      </c>
      <c r="J143" s="20">
        <v>0</v>
      </c>
      <c r="K143" s="20">
        <v>0</v>
      </c>
      <c r="L143" s="20">
        <v>234.75</v>
      </c>
      <c r="M143" s="16" t="s">
        <v>59</v>
      </c>
      <c r="N143" s="19">
        <v>45748</v>
      </c>
      <c r="O143" s="21" t="s">
        <v>504</v>
      </c>
      <c r="P143" s="21" t="s">
        <v>512</v>
      </c>
      <c r="S143" s="20">
        <v>234.75</v>
      </c>
    </row>
    <row r="144" spans="1:19" x14ac:dyDescent="0.25">
      <c r="A144" s="16" t="s">
        <v>288</v>
      </c>
      <c r="B144" s="17" t="s">
        <v>664</v>
      </c>
      <c r="C144" s="16" t="s">
        <v>301</v>
      </c>
      <c r="D144" s="18" t="s">
        <v>953</v>
      </c>
      <c r="E144" s="16" t="s">
        <v>302</v>
      </c>
      <c r="F144" s="18" t="s">
        <v>605</v>
      </c>
      <c r="G144" s="19">
        <v>45748</v>
      </c>
      <c r="H144" s="16" t="s">
        <v>64</v>
      </c>
      <c r="I144" s="16" t="s">
        <v>51</v>
      </c>
      <c r="J144" s="20">
        <v>0</v>
      </c>
      <c r="K144" s="20">
        <v>0</v>
      </c>
      <c r="L144" s="20">
        <v>234.75</v>
      </c>
      <c r="M144" s="16" t="s">
        <v>59</v>
      </c>
      <c r="N144" s="19">
        <v>45748</v>
      </c>
      <c r="O144" s="21" t="s">
        <v>504</v>
      </c>
      <c r="P144" s="21" t="s">
        <v>512</v>
      </c>
      <c r="S144" s="20">
        <v>234.75</v>
      </c>
    </row>
    <row r="145" spans="1:19" ht="13.8" x14ac:dyDescent="0.3">
      <c r="A145" s="16" t="s">
        <v>260</v>
      </c>
      <c r="B145" s="22">
        <v>19200754</v>
      </c>
      <c r="C145" s="16" t="s">
        <v>264</v>
      </c>
      <c r="D145" s="18" t="s">
        <v>1043</v>
      </c>
      <c r="E145" s="16" t="s">
        <v>265</v>
      </c>
      <c r="F145" s="18" t="s">
        <v>604</v>
      </c>
      <c r="G145" s="19">
        <v>45748</v>
      </c>
      <c r="H145" s="16" t="s">
        <v>64</v>
      </c>
      <c r="I145" s="16" t="s">
        <v>51</v>
      </c>
      <c r="J145" s="20">
        <v>0</v>
      </c>
      <c r="K145" s="20">
        <v>0</v>
      </c>
      <c r="L145" s="20">
        <v>234.75</v>
      </c>
      <c r="M145" s="16" t="s">
        <v>59</v>
      </c>
      <c r="N145" s="19">
        <v>45748</v>
      </c>
      <c r="O145" s="21" t="s">
        <v>504</v>
      </c>
      <c r="P145" s="21" t="s">
        <v>512</v>
      </c>
      <c r="S145" s="20">
        <v>234.75</v>
      </c>
    </row>
    <row r="146" spans="1:19" ht="13.8" x14ac:dyDescent="0.3">
      <c r="A146" s="16" t="s">
        <v>260</v>
      </c>
      <c r="B146" s="22">
        <v>19200754</v>
      </c>
      <c r="C146" s="16" t="s">
        <v>261</v>
      </c>
      <c r="D146" s="18" t="s">
        <v>1042</v>
      </c>
      <c r="E146" s="16" t="s">
        <v>262</v>
      </c>
      <c r="F146" s="18" t="s">
        <v>603</v>
      </c>
      <c r="G146" s="19">
        <v>45748</v>
      </c>
      <c r="H146" s="16" t="s">
        <v>64</v>
      </c>
      <c r="I146" s="16" t="s">
        <v>51</v>
      </c>
      <c r="J146" s="20">
        <v>0</v>
      </c>
      <c r="K146" s="20">
        <v>0</v>
      </c>
      <c r="L146" s="20">
        <v>234.75</v>
      </c>
      <c r="M146" s="16" t="s">
        <v>59</v>
      </c>
      <c r="N146" s="19">
        <v>45748</v>
      </c>
      <c r="O146" s="21" t="s">
        <v>504</v>
      </c>
      <c r="P146" s="21" t="s">
        <v>512</v>
      </c>
      <c r="S146" s="20">
        <v>234.75</v>
      </c>
    </row>
    <row r="147" spans="1:19" x14ac:dyDescent="0.25">
      <c r="A147" s="16" t="s">
        <v>183</v>
      </c>
      <c r="B147" s="17">
        <v>16633294</v>
      </c>
      <c r="C147" s="16" t="s">
        <v>187</v>
      </c>
      <c r="D147" s="18" t="s">
        <v>1061</v>
      </c>
      <c r="E147" s="16" t="s">
        <v>188</v>
      </c>
      <c r="F147" s="18" t="s">
        <v>601</v>
      </c>
      <c r="G147" s="19">
        <v>45748</v>
      </c>
      <c r="H147" s="16" t="s">
        <v>64</v>
      </c>
      <c r="I147" s="16" t="s">
        <v>51</v>
      </c>
      <c r="J147" s="20">
        <v>0</v>
      </c>
      <c r="K147" s="20">
        <v>0</v>
      </c>
      <c r="L147" s="20">
        <v>234.75</v>
      </c>
      <c r="M147" s="16" t="s">
        <v>59</v>
      </c>
      <c r="N147" s="19">
        <v>45748</v>
      </c>
      <c r="O147" s="21" t="s">
        <v>504</v>
      </c>
      <c r="P147" s="21" t="s">
        <v>512</v>
      </c>
      <c r="S147" s="20">
        <v>234.75</v>
      </c>
    </row>
    <row r="148" spans="1:19" x14ac:dyDescent="0.25">
      <c r="A148" s="16" t="s">
        <v>253</v>
      </c>
      <c r="B148" s="17">
        <v>19396223</v>
      </c>
      <c r="C148" s="16" t="s">
        <v>254</v>
      </c>
      <c r="D148" s="18" t="s">
        <v>926</v>
      </c>
      <c r="E148" s="16" t="s">
        <v>255</v>
      </c>
      <c r="F148" s="18" t="s">
        <v>618</v>
      </c>
      <c r="G148" s="19">
        <v>45717</v>
      </c>
      <c r="H148" s="16" t="s">
        <v>119</v>
      </c>
      <c r="I148" s="16" t="s">
        <v>51</v>
      </c>
      <c r="J148" s="20">
        <v>0</v>
      </c>
      <c r="K148" s="20">
        <v>0</v>
      </c>
      <c r="L148" s="20">
        <v>365.17</v>
      </c>
      <c r="M148" s="16" t="s">
        <v>59</v>
      </c>
      <c r="N148" s="19">
        <v>45717</v>
      </c>
      <c r="O148" s="21" t="s">
        <v>504</v>
      </c>
      <c r="P148" s="21" t="s">
        <v>507</v>
      </c>
      <c r="S148" s="21">
        <v>-260.83</v>
      </c>
    </row>
    <row r="149" spans="1:19" x14ac:dyDescent="0.25">
      <c r="A149" s="16" t="s">
        <v>115</v>
      </c>
      <c r="B149" s="17">
        <v>3475518</v>
      </c>
      <c r="C149" s="16" t="s">
        <v>116</v>
      </c>
      <c r="D149" s="18" t="s">
        <v>928</v>
      </c>
      <c r="E149" s="16" t="s">
        <v>117</v>
      </c>
      <c r="F149" s="18" t="s">
        <v>615</v>
      </c>
      <c r="G149" s="19">
        <v>45717</v>
      </c>
      <c r="H149" s="16" t="s">
        <v>119</v>
      </c>
      <c r="I149" s="16" t="s">
        <v>51</v>
      </c>
      <c r="J149" s="20">
        <v>0</v>
      </c>
      <c r="K149" s="20">
        <v>0</v>
      </c>
      <c r="L149" s="20">
        <v>365.17</v>
      </c>
      <c r="M149" s="16" t="s">
        <v>59</v>
      </c>
      <c r="N149" s="19">
        <v>45717</v>
      </c>
      <c r="O149" s="21" t="s">
        <v>504</v>
      </c>
      <c r="P149" s="21" t="s">
        <v>507</v>
      </c>
      <c r="S149" s="21">
        <v>-260.83</v>
      </c>
    </row>
    <row r="150" spans="1:19" x14ac:dyDescent="0.25">
      <c r="A150" s="16" t="s">
        <v>253</v>
      </c>
      <c r="B150" s="17">
        <v>19396223</v>
      </c>
      <c r="C150" s="16" t="s">
        <v>257</v>
      </c>
      <c r="D150" s="18" t="s">
        <v>927</v>
      </c>
      <c r="E150" s="16" t="s">
        <v>258</v>
      </c>
      <c r="F150" s="18" t="s">
        <v>619</v>
      </c>
      <c r="G150" s="19">
        <v>45717</v>
      </c>
      <c r="H150" s="16" t="s">
        <v>119</v>
      </c>
      <c r="I150" s="16" t="s">
        <v>51</v>
      </c>
      <c r="J150" s="20">
        <v>0</v>
      </c>
      <c r="K150" s="20">
        <v>0</v>
      </c>
      <c r="L150" s="20">
        <v>365.17</v>
      </c>
      <c r="M150" s="16" t="s">
        <v>59</v>
      </c>
      <c r="N150" s="19">
        <v>45717</v>
      </c>
      <c r="O150" s="21" t="s">
        <v>504</v>
      </c>
      <c r="P150" s="21" t="s">
        <v>507</v>
      </c>
      <c r="S150" s="21">
        <v>-260.83</v>
      </c>
    </row>
    <row r="151" spans="1:19" x14ac:dyDescent="0.25">
      <c r="A151" s="16" t="s">
        <v>127</v>
      </c>
      <c r="B151" s="17">
        <v>7146581</v>
      </c>
      <c r="C151" s="16" t="s">
        <v>137</v>
      </c>
      <c r="D151" s="18" t="s">
        <v>975</v>
      </c>
      <c r="E151" s="16" t="s">
        <v>138</v>
      </c>
      <c r="F151" s="18" t="s">
        <v>617</v>
      </c>
      <c r="G151" s="19">
        <v>45717</v>
      </c>
      <c r="H151" s="16" t="s">
        <v>119</v>
      </c>
      <c r="I151" s="16" t="s">
        <v>51</v>
      </c>
      <c r="J151" s="20">
        <v>0</v>
      </c>
      <c r="K151" s="20">
        <v>0</v>
      </c>
      <c r="L151" s="20">
        <v>365.17</v>
      </c>
      <c r="M151" s="16" t="s">
        <v>59</v>
      </c>
      <c r="N151" s="19">
        <v>45717</v>
      </c>
      <c r="O151" s="21" t="s">
        <v>504</v>
      </c>
      <c r="P151" s="21" t="s">
        <v>507</v>
      </c>
      <c r="S151" s="21">
        <v>-260.83</v>
      </c>
    </row>
    <row r="152" spans="1:19" x14ac:dyDescent="0.25">
      <c r="A152" s="16" t="s">
        <v>127</v>
      </c>
      <c r="B152" s="17">
        <v>7146581</v>
      </c>
      <c r="C152" s="16" t="s">
        <v>128</v>
      </c>
      <c r="D152" s="18" t="s">
        <v>974</v>
      </c>
      <c r="E152" s="16" t="s">
        <v>129</v>
      </c>
      <c r="F152" s="18" t="s">
        <v>616</v>
      </c>
      <c r="G152" s="19">
        <v>45717</v>
      </c>
      <c r="H152" s="16" t="s">
        <v>119</v>
      </c>
      <c r="I152" s="16" t="s">
        <v>51</v>
      </c>
      <c r="J152" s="20">
        <v>0</v>
      </c>
      <c r="K152" s="20">
        <v>0</v>
      </c>
      <c r="L152" s="20">
        <v>365.17</v>
      </c>
      <c r="M152" s="16" t="s">
        <v>59</v>
      </c>
      <c r="N152" s="19">
        <v>45717</v>
      </c>
      <c r="O152" s="21" t="s">
        <v>504</v>
      </c>
      <c r="P152" s="21" t="s">
        <v>507</v>
      </c>
      <c r="S152" s="21">
        <v>-260.83</v>
      </c>
    </row>
    <row r="153" spans="1:19" x14ac:dyDescent="0.25">
      <c r="A153" s="16" t="s">
        <v>288</v>
      </c>
      <c r="B153" s="17" t="s">
        <v>664</v>
      </c>
      <c r="C153" s="16" t="s">
        <v>295</v>
      </c>
      <c r="D153" s="18" t="s">
        <v>954</v>
      </c>
      <c r="E153" s="16" t="s">
        <v>296</v>
      </c>
      <c r="F153" s="18" t="s">
        <v>620</v>
      </c>
      <c r="G153" s="19">
        <v>45717</v>
      </c>
      <c r="H153" s="16" t="s">
        <v>119</v>
      </c>
      <c r="I153" s="16" t="s">
        <v>51</v>
      </c>
      <c r="J153" s="20">
        <v>0</v>
      </c>
      <c r="K153" s="20">
        <v>0</v>
      </c>
      <c r="L153" s="20">
        <v>365.17</v>
      </c>
      <c r="M153" s="16" t="s">
        <v>59</v>
      </c>
      <c r="N153" s="19">
        <v>45717</v>
      </c>
      <c r="O153" s="21" t="s">
        <v>504</v>
      </c>
      <c r="P153" s="21" t="s">
        <v>507</v>
      </c>
      <c r="S153" s="21">
        <v>-260.83</v>
      </c>
    </row>
    <row r="154" spans="1:19" x14ac:dyDescent="0.25">
      <c r="A154" s="16" t="s">
        <v>183</v>
      </c>
      <c r="B154" s="17">
        <v>16633294</v>
      </c>
      <c r="C154" s="16" t="s">
        <v>194</v>
      </c>
      <c r="D154" s="18" t="s">
        <v>1065</v>
      </c>
      <c r="E154" s="16" t="s">
        <v>195</v>
      </c>
      <c r="F154" s="18" t="s">
        <v>636</v>
      </c>
      <c r="G154" s="19">
        <v>45748</v>
      </c>
      <c r="H154" s="16" t="s">
        <v>64</v>
      </c>
      <c r="I154" s="16" t="s">
        <v>51</v>
      </c>
      <c r="J154" s="20">
        <v>0</v>
      </c>
      <c r="K154" s="20">
        <v>0</v>
      </c>
      <c r="L154" s="20">
        <v>391.25</v>
      </c>
      <c r="M154" s="16" t="s">
        <v>59</v>
      </c>
      <c r="N154" s="19">
        <v>45748</v>
      </c>
      <c r="O154" s="21" t="s">
        <v>504</v>
      </c>
      <c r="P154" s="21" t="s">
        <v>512</v>
      </c>
      <c r="S154" s="21">
        <v>-234.75</v>
      </c>
    </row>
    <row r="155" spans="1:19" x14ac:dyDescent="0.25">
      <c r="A155" s="16" t="s">
        <v>223</v>
      </c>
      <c r="B155" s="17">
        <v>9213293</v>
      </c>
      <c r="C155" s="16" t="s">
        <v>236</v>
      </c>
      <c r="D155" s="18" t="s">
        <v>1034</v>
      </c>
      <c r="E155" s="16" t="s">
        <v>237</v>
      </c>
      <c r="F155" s="18" t="s">
        <v>643</v>
      </c>
      <c r="G155" s="19">
        <v>45748</v>
      </c>
      <c r="H155" s="16" t="s">
        <v>64</v>
      </c>
      <c r="I155" s="16" t="s">
        <v>51</v>
      </c>
      <c r="J155" s="20">
        <v>0</v>
      </c>
      <c r="K155" s="20">
        <v>0</v>
      </c>
      <c r="L155" s="20">
        <v>391.25</v>
      </c>
      <c r="M155" s="16" t="s">
        <v>59</v>
      </c>
      <c r="N155" s="19">
        <v>45748</v>
      </c>
      <c r="O155" s="21" t="s">
        <v>504</v>
      </c>
      <c r="P155" s="21" t="s">
        <v>512</v>
      </c>
      <c r="S155" s="21">
        <v>-234.75</v>
      </c>
    </row>
    <row r="156" spans="1:19" x14ac:dyDescent="0.25">
      <c r="A156" s="16" t="s">
        <v>274</v>
      </c>
      <c r="B156" s="17">
        <v>19586992</v>
      </c>
      <c r="C156" s="16" t="s">
        <v>278</v>
      </c>
      <c r="D156" s="18" t="s">
        <v>1047</v>
      </c>
      <c r="E156" s="16" t="s">
        <v>279</v>
      </c>
      <c r="F156" s="18" t="s">
        <v>646</v>
      </c>
      <c r="G156" s="19">
        <v>45748</v>
      </c>
      <c r="H156" s="16" t="s">
        <v>64</v>
      </c>
      <c r="I156" s="16" t="s">
        <v>51</v>
      </c>
      <c r="J156" s="20">
        <v>0</v>
      </c>
      <c r="K156" s="20">
        <v>0</v>
      </c>
      <c r="L156" s="20">
        <v>391.25</v>
      </c>
      <c r="M156" s="16" t="s">
        <v>59</v>
      </c>
      <c r="N156" s="19">
        <v>45748</v>
      </c>
      <c r="O156" s="21" t="s">
        <v>504</v>
      </c>
      <c r="P156" s="21" t="s">
        <v>512</v>
      </c>
      <c r="S156" s="21">
        <v>-234.75</v>
      </c>
    </row>
    <row r="157" spans="1:19" x14ac:dyDescent="0.25">
      <c r="A157" s="16" t="s">
        <v>76</v>
      </c>
      <c r="B157" s="17">
        <v>7470776</v>
      </c>
      <c r="C157" s="16" t="s">
        <v>89</v>
      </c>
      <c r="D157" s="18" t="s">
        <v>932</v>
      </c>
      <c r="E157" s="16" t="s">
        <v>90</v>
      </c>
      <c r="F157" s="18" t="s">
        <v>625</v>
      </c>
      <c r="G157" s="19">
        <v>45748</v>
      </c>
      <c r="H157" s="16" t="s">
        <v>64</v>
      </c>
      <c r="I157" s="16" t="s">
        <v>51</v>
      </c>
      <c r="J157" s="20">
        <v>0</v>
      </c>
      <c r="K157" s="20">
        <v>0</v>
      </c>
      <c r="L157" s="20">
        <v>391.25</v>
      </c>
      <c r="M157" s="16" t="s">
        <v>59</v>
      </c>
      <c r="N157" s="19">
        <v>45748</v>
      </c>
      <c r="O157" s="21" t="s">
        <v>504</v>
      </c>
      <c r="P157" s="21" t="s">
        <v>512</v>
      </c>
      <c r="S157" s="21">
        <v>-234.75</v>
      </c>
    </row>
    <row r="158" spans="1:19" ht="13.8" x14ac:dyDescent="0.3">
      <c r="A158" s="16" t="s">
        <v>260</v>
      </c>
      <c r="B158" s="22">
        <v>19200754</v>
      </c>
      <c r="C158" s="16" t="s">
        <v>270</v>
      </c>
      <c r="D158" s="18" t="s">
        <v>1045</v>
      </c>
      <c r="E158" s="16" t="s">
        <v>271</v>
      </c>
      <c r="F158" s="18" t="s">
        <v>645</v>
      </c>
      <c r="G158" s="19">
        <v>45748</v>
      </c>
      <c r="H158" s="16" t="s">
        <v>64</v>
      </c>
      <c r="I158" s="16" t="s">
        <v>51</v>
      </c>
      <c r="J158" s="20">
        <v>0</v>
      </c>
      <c r="K158" s="20">
        <v>0</v>
      </c>
      <c r="L158" s="20">
        <v>391.25</v>
      </c>
      <c r="M158" s="16" t="s">
        <v>59</v>
      </c>
      <c r="N158" s="19">
        <v>45748</v>
      </c>
      <c r="O158" s="21" t="s">
        <v>504</v>
      </c>
      <c r="P158" s="21" t="s">
        <v>512</v>
      </c>
      <c r="S158" s="21">
        <v>-234.75</v>
      </c>
    </row>
    <row r="159" spans="1:19" x14ac:dyDescent="0.25">
      <c r="A159" s="16" t="s">
        <v>99</v>
      </c>
      <c r="B159" s="17">
        <v>8307933</v>
      </c>
      <c r="C159" s="16" t="s">
        <v>112</v>
      </c>
      <c r="D159" s="18" t="s">
        <v>1055</v>
      </c>
      <c r="E159" s="16" t="s">
        <v>113</v>
      </c>
      <c r="F159" s="18" t="s">
        <v>629</v>
      </c>
      <c r="G159" s="19">
        <v>45748</v>
      </c>
      <c r="H159" s="16" t="s">
        <v>64</v>
      </c>
      <c r="I159" s="16" t="s">
        <v>51</v>
      </c>
      <c r="J159" s="20">
        <v>0</v>
      </c>
      <c r="K159" s="20">
        <v>0</v>
      </c>
      <c r="L159" s="20">
        <v>391.25</v>
      </c>
      <c r="M159" s="16" t="s">
        <v>59</v>
      </c>
      <c r="N159" s="19">
        <v>45748</v>
      </c>
      <c r="O159" s="21" t="s">
        <v>504</v>
      </c>
      <c r="P159" s="21" t="s">
        <v>512</v>
      </c>
      <c r="S159" s="21">
        <v>-234.75</v>
      </c>
    </row>
    <row r="160" spans="1:19" x14ac:dyDescent="0.25">
      <c r="A160" s="16" t="s">
        <v>329</v>
      </c>
      <c r="B160" s="17">
        <v>21104854</v>
      </c>
      <c r="C160" s="16" t="s">
        <v>333</v>
      </c>
      <c r="D160" s="18" t="s">
        <v>1049</v>
      </c>
      <c r="E160" s="16" t="s">
        <v>334</v>
      </c>
      <c r="F160" s="18" t="s">
        <v>650</v>
      </c>
      <c r="G160" s="19">
        <v>45748</v>
      </c>
      <c r="H160" s="16" t="s">
        <v>64</v>
      </c>
      <c r="I160" s="16" t="s">
        <v>51</v>
      </c>
      <c r="J160" s="20">
        <v>0</v>
      </c>
      <c r="K160" s="20">
        <v>0</v>
      </c>
      <c r="L160" s="20">
        <v>391.25</v>
      </c>
      <c r="M160" s="16" t="s">
        <v>59</v>
      </c>
      <c r="N160" s="19">
        <v>45748</v>
      </c>
      <c r="O160" s="21" t="s">
        <v>504</v>
      </c>
      <c r="P160" s="21" t="s">
        <v>512</v>
      </c>
      <c r="S160" s="21">
        <v>-234.75</v>
      </c>
    </row>
    <row r="161" spans="1:19" x14ac:dyDescent="0.25">
      <c r="A161" s="16" t="s">
        <v>99</v>
      </c>
      <c r="B161" s="17">
        <v>8307933</v>
      </c>
      <c r="C161" s="16" t="s">
        <v>109</v>
      </c>
      <c r="D161" s="18" t="s">
        <v>1054</v>
      </c>
      <c r="E161" s="16" t="s">
        <v>110</v>
      </c>
      <c r="F161" s="18" t="s">
        <v>628</v>
      </c>
      <c r="G161" s="19">
        <v>45748</v>
      </c>
      <c r="H161" s="16" t="s">
        <v>64</v>
      </c>
      <c r="I161" s="16" t="s">
        <v>51</v>
      </c>
      <c r="J161" s="20">
        <v>0</v>
      </c>
      <c r="K161" s="20">
        <v>0</v>
      </c>
      <c r="L161" s="20">
        <v>391.25</v>
      </c>
      <c r="M161" s="16" t="s">
        <v>59</v>
      </c>
      <c r="N161" s="19">
        <v>45748</v>
      </c>
      <c r="O161" s="21" t="s">
        <v>504</v>
      </c>
      <c r="P161" s="21" t="s">
        <v>512</v>
      </c>
      <c r="S161" s="21">
        <v>-234.75</v>
      </c>
    </row>
    <row r="162" spans="1:19" x14ac:dyDescent="0.25">
      <c r="A162" s="16" t="s">
        <v>183</v>
      </c>
      <c r="B162" s="17">
        <v>16633294</v>
      </c>
      <c r="C162" s="16" t="s">
        <v>200</v>
      </c>
      <c r="D162" s="18" t="s">
        <v>1067</v>
      </c>
      <c r="E162" s="16" t="s">
        <v>201</v>
      </c>
      <c r="F162" s="18" t="s">
        <v>638</v>
      </c>
      <c r="G162" s="19">
        <v>45748</v>
      </c>
      <c r="H162" s="16" t="s">
        <v>64</v>
      </c>
      <c r="I162" s="16" t="s">
        <v>51</v>
      </c>
      <c r="J162" s="20">
        <v>0</v>
      </c>
      <c r="K162" s="20">
        <v>0</v>
      </c>
      <c r="L162" s="20">
        <v>391.25</v>
      </c>
      <c r="M162" s="16" t="s">
        <v>59</v>
      </c>
      <c r="N162" s="19">
        <v>45748</v>
      </c>
      <c r="O162" s="21" t="s">
        <v>504</v>
      </c>
      <c r="P162" s="21" t="s">
        <v>512</v>
      </c>
      <c r="S162" s="21">
        <v>-234.75</v>
      </c>
    </row>
    <row r="163" spans="1:19" x14ac:dyDescent="0.25">
      <c r="A163" s="16" t="s">
        <v>167</v>
      </c>
      <c r="B163" s="17">
        <v>8325282</v>
      </c>
      <c r="C163" s="16" t="s">
        <v>168</v>
      </c>
      <c r="D163" s="18" t="s">
        <v>1056</v>
      </c>
      <c r="E163" s="16" t="s">
        <v>169</v>
      </c>
      <c r="F163" s="18" t="s">
        <v>634</v>
      </c>
      <c r="G163" s="19">
        <v>45748</v>
      </c>
      <c r="H163" s="16" t="s">
        <v>64</v>
      </c>
      <c r="I163" s="16" t="s">
        <v>51</v>
      </c>
      <c r="J163" s="20">
        <v>0</v>
      </c>
      <c r="K163" s="20">
        <v>0</v>
      </c>
      <c r="L163" s="20">
        <v>391.25</v>
      </c>
      <c r="M163" s="16" t="s">
        <v>59</v>
      </c>
      <c r="N163" s="19">
        <v>45748</v>
      </c>
      <c r="O163" s="21" t="s">
        <v>504</v>
      </c>
      <c r="P163" s="21" t="s">
        <v>512</v>
      </c>
      <c r="S163" s="21">
        <v>-234.75</v>
      </c>
    </row>
    <row r="164" spans="1:19" x14ac:dyDescent="0.25">
      <c r="A164" s="16" t="s">
        <v>76</v>
      </c>
      <c r="B164" s="17">
        <v>7470776</v>
      </c>
      <c r="C164" s="16" t="s">
        <v>92</v>
      </c>
      <c r="D164" s="18" t="s">
        <v>933</v>
      </c>
      <c r="E164" s="16" t="s">
        <v>93</v>
      </c>
      <c r="F164" s="18" t="s">
        <v>626</v>
      </c>
      <c r="G164" s="19">
        <v>45748</v>
      </c>
      <c r="H164" s="16" t="s">
        <v>64</v>
      </c>
      <c r="I164" s="16" t="s">
        <v>51</v>
      </c>
      <c r="J164" s="20">
        <v>0</v>
      </c>
      <c r="K164" s="20">
        <v>0</v>
      </c>
      <c r="L164" s="20">
        <v>391.25</v>
      </c>
      <c r="M164" s="16" t="s">
        <v>59</v>
      </c>
      <c r="N164" s="19">
        <v>45748</v>
      </c>
      <c r="O164" s="21" t="s">
        <v>504</v>
      </c>
      <c r="P164" s="21" t="s">
        <v>512</v>
      </c>
      <c r="S164" s="21">
        <v>-234.75</v>
      </c>
    </row>
    <row r="165" spans="1:19" x14ac:dyDescent="0.25">
      <c r="A165" s="16" t="s">
        <v>281</v>
      </c>
      <c r="B165" s="17">
        <v>19681796</v>
      </c>
      <c r="C165" s="16" t="s">
        <v>282</v>
      </c>
      <c r="D165" s="18" t="s">
        <v>1050</v>
      </c>
      <c r="E165" s="16" t="s">
        <v>283</v>
      </c>
      <c r="F165" s="18" t="s">
        <v>647</v>
      </c>
      <c r="G165" s="19">
        <v>45748</v>
      </c>
      <c r="H165" s="16" t="s">
        <v>64</v>
      </c>
      <c r="I165" s="16" t="s">
        <v>51</v>
      </c>
      <c r="J165" s="20">
        <v>0</v>
      </c>
      <c r="K165" s="20">
        <v>0</v>
      </c>
      <c r="L165" s="20">
        <v>391.25</v>
      </c>
      <c r="M165" s="16" t="s">
        <v>59</v>
      </c>
      <c r="N165" s="19">
        <v>45748</v>
      </c>
      <c r="O165" s="21" t="s">
        <v>504</v>
      </c>
      <c r="P165" s="21" t="s">
        <v>512</v>
      </c>
      <c r="S165" s="21">
        <v>-234.75</v>
      </c>
    </row>
    <row r="166" spans="1:19" x14ac:dyDescent="0.25">
      <c r="A166" s="16" t="s">
        <v>42</v>
      </c>
      <c r="B166" s="17">
        <v>8814784</v>
      </c>
      <c r="C166" s="16" t="s">
        <v>61</v>
      </c>
      <c r="D166" s="18" t="s">
        <v>1012</v>
      </c>
      <c r="E166" s="16" t="s">
        <v>62</v>
      </c>
      <c r="F166" s="18" t="s">
        <v>621</v>
      </c>
      <c r="G166" s="19">
        <v>45748</v>
      </c>
      <c r="H166" s="16" t="s">
        <v>64</v>
      </c>
      <c r="I166" s="16" t="s">
        <v>51</v>
      </c>
      <c r="J166" s="20">
        <v>0</v>
      </c>
      <c r="K166" s="20">
        <v>0</v>
      </c>
      <c r="L166" s="20">
        <v>391.25</v>
      </c>
      <c r="M166" s="16" t="s">
        <v>59</v>
      </c>
      <c r="N166" s="19">
        <v>45748</v>
      </c>
      <c r="O166" s="21" t="s">
        <v>504</v>
      </c>
      <c r="P166" s="21" t="s">
        <v>512</v>
      </c>
      <c r="S166" s="21">
        <v>-234.75</v>
      </c>
    </row>
    <row r="167" spans="1:19" x14ac:dyDescent="0.25">
      <c r="A167" s="16" t="s">
        <v>127</v>
      </c>
      <c r="B167" s="17">
        <v>7146581</v>
      </c>
      <c r="C167" s="16" t="s">
        <v>140</v>
      </c>
      <c r="D167" s="18" t="s">
        <v>977</v>
      </c>
      <c r="E167" s="16" t="s">
        <v>141</v>
      </c>
      <c r="F167" s="18" t="s">
        <v>632</v>
      </c>
      <c r="G167" s="19">
        <v>45748</v>
      </c>
      <c r="H167" s="16" t="s">
        <v>64</v>
      </c>
      <c r="I167" s="16" t="s">
        <v>51</v>
      </c>
      <c r="J167" s="20">
        <v>0</v>
      </c>
      <c r="K167" s="20">
        <v>0</v>
      </c>
      <c r="L167" s="20">
        <v>391.25</v>
      </c>
      <c r="M167" s="16" t="s">
        <v>59</v>
      </c>
      <c r="N167" s="19">
        <v>45748</v>
      </c>
      <c r="O167" s="21" t="s">
        <v>504</v>
      </c>
      <c r="P167" s="21" t="s">
        <v>512</v>
      </c>
      <c r="S167" s="21">
        <v>-234.75</v>
      </c>
    </row>
    <row r="168" spans="1:19" x14ac:dyDescent="0.25">
      <c r="A168" s="16" t="s">
        <v>183</v>
      </c>
      <c r="B168" s="17">
        <v>16633294</v>
      </c>
      <c r="C168" s="16" t="s">
        <v>203</v>
      </c>
      <c r="D168" s="18" t="s">
        <v>1068</v>
      </c>
      <c r="E168" s="16" t="s">
        <v>204</v>
      </c>
      <c r="F168" s="18" t="s">
        <v>639</v>
      </c>
      <c r="G168" s="19">
        <v>45748</v>
      </c>
      <c r="H168" s="16" t="s">
        <v>64</v>
      </c>
      <c r="I168" s="16" t="s">
        <v>51</v>
      </c>
      <c r="J168" s="20">
        <v>0</v>
      </c>
      <c r="K168" s="20">
        <v>0</v>
      </c>
      <c r="L168" s="20">
        <v>391.25</v>
      </c>
      <c r="M168" s="16" t="s">
        <v>59</v>
      </c>
      <c r="N168" s="19">
        <v>45748</v>
      </c>
      <c r="O168" s="21" t="s">
        <v>504</v>
      </c>
      <c r="P168" s="21" t="s">
        <v>512</v>
      </c>
      <c r="S168" s="21">
        <v>-234.75</v>
      </c>
    </row>
    <row r="169" spans="1:19" x14ac:dyDescent="0.25">
      <c r="A169" s="16" t="s">
        <v>223</v>
      </c>
      <c r="B169" s="17">
        <v>9213293</v>
      </c>
      <c r="C169" s="16" t="s">
        <v>233</v>
      </c>
      <c r="D169" s="18" t="s">
        <v>1033</v>
      </c>
      <c r="E169" s="16" t="s">
        <v>234</v>
      </c>
      <c r="F169" s="18" t="s">
        <v>642</v>
      </c>
      <c r="G169" s="19">
        <v>45748</v>
      </c>
      <c r="H169" s="16" t="s">
        <v>64</v>
      </c>
      <c r="I169" s="16" t="s">
        <v>51</v>
      </c>
      <c r="J169" s="20">
        <v>0</v>
      </c>
      <c r="K169" s="20">
        <v>0</v>
      </c>
      <c r="L169" s="20">
        <v>391.25</v>
      </c>
      <c r="M169" s="16" t="s">
        <v>59</v>
      </c>
      <c r="N169" s="19">
        <v>45748</v>
      </c>
      <c r="O169" s="21" t="s">
        <v>504</v>
      </c>
      <c r="P169" s="21" t="s">
        <v>512</v>
      </c>
      <c r="S169" s="21">
        <v>-234.75</v>
      </c>
    </row>
    <row r="170" spans="1:19" x14ac:dyDescent="0.25">
      <c r="A170" s="16" t="s">
        <v>167</v>
      </c>
      <c r="B170" s="17">
        <v>8325282</v>
      </c>
      <c r="C170" s="16" t="s">
        <v>171</v>
      </c>
      <c r="D170" s="18" t="s">
        <v>1057</v>
      </c>
      <c r="E170" s="16" t="s">
        <v>172</v>
      </c>
      <c r="F170" s="18" t="s">
        <v>635</v>
      </c>
      <c r="G170" s="19">
        <v>45748</v>
      </c>
      <c r="H170" s="16" t="s">
        <v>64</v>
      </c>
      <c r="I170" s="16" t="s">
        <v>51</v>
      </c>
      <c r="J170" s="20">
        <v>0</v>
      </c>
      <c r="K170" s="20">
        <v>0</v>
      </c>
      <c r="L170" s="20">
        <v>391.25</v>
      </c>
      <c r="M170" s="16" t="s">
        <v>59</v>
      </c>
      <c r="N170" s="19">
        <v>45748</v>
      </c>
      <c r="O170" s="21" t="s">
        <v>504</v>
      </c>
      <c r="P170" s="21" t="s">
        <v>512</v>
      </c>
      <c r="S170" s="21">
        <v>-234.75</v>
      </c>
    </row>
    <row r="171" spans="1:19" x14ac:dyDescent="0.25">
      <c r="A171" s="16" t="s">
        <v>127</v>
      </c>
      <c r="B171" s="17">
        <v>7146581</v>
      </c>
      <c r="C171" s="16" t="s">
        <v>143</v>
      </c>
      <c r="D171" s="18" t="s">
        <v>978</v>
      </c>
      <c r="E171" s="16" t="s">
        <v>144</v>
      </c>
      <c r="F171" s="18" t="s">
        <v>633</v>
      </c>
      <c r="G171" s="19">
        <v>45748</v>
      </c>
      <c r="H171" s="16" t="s">
        <v>64</v>
      </c>
      <c r="I171" s="16" t="s">
        <v>51</v>
      </c>
      <c r="J171" s="20">
        <v>0</v>
      </c>
      <c r="K171" s="20">
        <v>0</v>
      </c>
      <c r="L171" s="20">
        <v>391.25</v>
      </c>
      <c r="M171" s="16" t="s">
        <v>59</v>
      </c>
      <c r="N171" s="19">
        <v>45748</v>
      </c>
      <c r="O171" s="21" t="s">
        <v>504</v>
      </c>
      <c r="P171" s="21" t="s">
        <v>512</v>
      </c>
      <c r="S171" s="21">
        <v>-234.75</v>
      </c>
    </row>
    <row r="172" spans="1:19" ht="13.8" x14ac:dyDescent="0.3">
      <c r="A172" s="16" t="s">
        <v>260</v>
      </c>
      <c r="B172" s="22">
        <v>19200754</v>
      </c>
      <c r="C172" s="16" t="s">
        <v>267</v>
      </c>
      <c r="D172" s="18" t="s">
        <v>1044</v>
      </c>
      <c r="E172" s="16" t="s">
        <v>268</v>
      </c>
      <c r="F172" s="18" t="s">
        <v>644</v>
      </c>
      <c r="G172" s="19">
        <v>45748</v>
      </c>
      <c r="H172" s="16" t="s">
        <v>64</v>
      </c>
      <c r="I172" s="16" t="s">
        <v>51</v>
      </c>
      <c r="J172" s="20">
        <v>0</v>
      </c>
      <c r="K172" s="20">
        <v>0</v>
      </c>
      <c r="L172" s="20">
        <v>391.25</v>
      </c>
      <c r="M172" s="16" t="s">
        <v>59</v>
      </c>
      <c r="N172" s="19">
        <v>45748</v>
      </c>
      <c r="O172" s="21" t="s">
        <v>504</v>
      </c>
      <c r="P172" s="21" t="s">
        <v>512</v>
      </c>
      <c r="S172" s="21">
        <v>-234.75</v>
      </c>
    </row>
    <row r="173" spans="1:19" x14ac:dyDescent="0.25">
      <c r="A173" s="16" t="s">
        <v>42</v>
      </c>
      <c r="B173" s="17">
        <v>8814784</v>
      </c>
      <c r="C173" s="16" t="s">
        <v>65</v>
      </c>
      <c r="D173" s="18" t="s">
        <v>1013</v>
      </c>
      <c r="E173" s="16" t="s">
        <v>66</v>
      </c>
      <c r="F173" s="18" t="s">
        <v>622</v>
      </c>
      <c r="G173" s="19">
        <v>45748</v>
      </c>
      <c r="H173" s="16" t="s">
        <v>64</v>
      </c>
      <c r="I173" s="16" t="s">
        <v>51</v>
      </c>
      <c r="J173" s="20">
        <v>0</v>
      </c>
      <c r="K173" s="20">
        <v>0</v>
      </c>
      <c r="L173" s="20">
        <v>391.25</v>
      </c>
      <c r="M173" s="16" t="s">
        <v>59</v>
      </c>
      <c r="N173" s="19">
        <v>45748</v>
      </c>
      <c r="O173" s="21" t="s">
        <v>504</v>
      </c>
      <c r="P173" s="21" t="s">
        <v>512</v>
      </c>
      <c r="S173" s="21">
        <v>-234.75</v>
      </c>
    </row>
    <row r="174" spans="1:19" x14ac:dyDescent="0.25">
      <c r="A174" s="16" t="s">
        <v>304</v>
      </c>
      <c r="B174" s="17">
        <v>19645587</v>
      </c>
      <c r="C174" s="16" t="s">
        <v>305</v>
      </c>
      <c r="D174" s="18" t="s">
        <v>1038</v>
      </c>
      <c r="E174" s="16" t="s">
        <v>306</v>
      </c>
      <c r="F174" s="18" t="s">
        <v>649</v>
      </c>
      <c r="G174" s="19">
        <v>45748</v>
      </c>
      <c r="H174" s="16" t="s">
        <v>64</v>
      </c>
      <c r="I174" s="16" t="s">
        <v>51</v>
      </c>
      <c r="J174" s="20">
        <v>0</v>
      </c>
      <c r="K174" s="20">
        <v>0</v>
      </c>
      <c r="L174" s="20">
        <v>391.25</v>
      </c>
      <c r="M174" s="16" t="s">
        <v>59</v>
      </c>
      <c r="N174" s="19">
        <v>45748</v>
      </c>
      <c r="O174" s="21" t="s">
        <v>504</v>
      </c>
      <c r="P174" s="21" t="s">
        <v>512</v>
      </c>
      <c r="S174" s="21">
        <v>-234.75</v>
      </c>
    </row>
    <row r="175" spans="1:19" x14ac:dyDescent="0.25">
      <c r="A175" s="16" t="s">
        <v>99</v>
      </c>
      <c r="B175" s="17">
        <v>8307933</v>
      </c>
      <c r="C175" s="16" t="s">
        <v>100</v>
      </c>
      <c r="D175" s="18" t="s">
        <v>1053</v>
      </c>
      <c r="E175" s="16" t="s">
        <v>101</v>
      </c>
      <c r="F175" s="18" t="s">
        <v>627</v>
      </c>
      <c r="G175" s="19">
        <v>45748</v>
      </c>
      <c r="H175" s="16" t="s">
        <v>64</v>
      </c>
      <c r="I175" s="16" t="s">
        <v>51</v>
      </c>
      <c r="J175" s="20">
        <v>0</v>
      </c>
      <c r="K175" s="20">
        <v>0</v>
      </c>
      <c r="L175" s="20">
        <v>391.25</v>
      </c>
      <c r="M175" s="16" t="s">
        <v>59</v>
      </c>
      <c r="N175" s="19">
        <v>45748</v>
      </c>
      <c r="O175" s="21" t="s">
        <v>504</v>
      </c>
      <c r="P175" s="21" t="s">
        <v>512</v>
      </c>
      <c r="S175" s="21">
        <v>-234.75</v>
      </c>
    </row>
    <row r="176" spans="1:19" x14ac:dyDescent="0.25">
      <c r="A176" s="16" t="s">
        <v>281</v>
      </c>
      <c r="B176" s="17">
        <v>19681796</v>
      </c>
      <c r="C176" s="16" t="s">
        <v>285</v>
      </c>
      <c r="D176" s="18" t="s">
        <v>1051</v>
      </c>
      <c r="E176" s="16" t="s">
        <v>286</v>
      </c>
      <c r="F176" s="18" t="s">
        <v>648</v>
      </c>
      <c r="G176" s="19">
        <v>45748</v>
      </c>
      <c r="H176" s="16" t="s">
        <v>64</v>
      </c>
      <c r="I176" s="16" t="s">
        <v>51</v>
      </c>
      <c r="J176" s="20">
        <v>0</v>
      </c>
      <c r="K176" s="20">
        <v>0</v>
      </c>
      <c r="L176" s="20">
        <v>391.25</v>
      </c>
      <c r="M176" s="16" t="s">
        <v>59</v>
      </c>
      <c r="N176" s="19">
        <v>45748</v>
      </c>
      <c r="O176" s="21" t="s">
        <v>504</v>
      </c>
      <c r="P176" s="21" t="s">
        <v>512</v>
      </c>
      <c r="S176" s="21">
        <v>-234.75</v>
      </c>
    </row>
    <row r="177" spans="1:19" x14ac:dyDescent="0.25">
      <c r="A177" s="16" t="s">
        <v>127</v>
      </c>
      <c r="B177" s="17">
        <v>7146581</v>
      </c>
      <c r="C177" s="16" t="s">
        <v>134</v>
      </c>
      <c r="D177" s="18" t="s">
        <v>976</v>
      </c>
      <c r="E177" s="16" t="s">
        <v>135</v>
      </c>
      <c r="F177" s="18" t="s">
        <v>631</v>
      </c>
      <c r="G177" s="19">
        <v>45748</v>
      </c>
      <c r="H177" s="16" t="s">
        <v>64</v>
      </c>
      <c r="I177" s="16" t="s">
        <v>51</v>
      </c>
      <c r="J177" s="20">
        <v>0</v>
      </c>
      <c r="K177" s="20">
        <v>0</v>
      </c>
      <c r="L177" s="20">
        <v>391.25</v>
      </c>
      <c r="M177" s="16" t="s">
        <v>59</v>
      </c>
      <c r="N177" s="19">
        <v>45748</v>
      </c>
      <c r="O177" s="21" t="s">
        <v>504</v>
      </c>
      <c r="P177" s="21" t="s">
        <v>512</v>
      </c>
      <c r="S177" s="21">
        <v>-234.75</v>
      </c>
    </row>
    <row r="178" spans="1:19" x14ac:dyDescent="0.25">
      <c r="A178" s="16" t="s">
        <v>223</v>
      </c>
      <c r="B178" s="17">
        <v>9213293</v>
      </c>
      <c r="C178" s="16" t="s">
        <v>227</v>
      </c>
      <c r="D178" s="18" t="s">
        <v>1032</v>
      </c>
      <c r="E178" s="16" t="s">
        <v>228</v>
      </c>
      <c r="F178" s="18" t="s">
        <v>641</v>
      </c>
      <c r="G178" s="19">
        <v>45748</v>
      </c>
      <c r="H178" s="16" t="s">
        <v>64</v>
      </c>
      <c r="I178" s="16" t="s">
        <v>51</v>
      </c>
      <c r="J178" s="20">
        <v>0</v>
      </c>
      <c r="K178" s="20">
        <v>0</v>
      </c>
      <c r="L178" s="20">
        <v>391.25</v>
      </c>
      <c r="M178" s="16" t="s">
        <v>59</v>
      </c>
      <c r="N178" s="19">
        <v>45748</v>
      </c>
      <c r="O178" s="21" t="s">
        <v>504</v>
      </c>
      <c r="P178" s="21" t="s">
        <v>512</v>
      </c>
      <c r="S178" s="21">
        <v>-234.75</v>
      </c>
    </row>
    <row r="179" spans="1:19" x14ac:dyDescent="0.25">
      <c r="A179" s="16" t="s">
        <v>76</v>
      </c>
      <c r="B179" s="17">
        <v>7470776</v>
      </c>
      <c r="C179" s="16" t="s">
        <v>77</v>
      </c>
      <c r="D179" s="18" t="s">
        <v>930</v>
      </c>
      <c r="E179" s="16" t="s">
        <v>78</v>
      </c>
      <c r="F179" s="18" t="s">
        <v>623</v>
      </c>
      <c r="G179" s="19">
        <v>45748</v>
      </c>
      <c r="H179" s="16" t="s">
        <v>64</v>
      </c>
      <c r="I179" s="16" t="s">
        <v>51</v>
      </c>
      <c r="J179" s="20">
        <v>0</v>
      </c>
      <c r="K179" s="20">
        <v>0</v>
      </c>
      <c r="L179" s="20">
        <v>391.25</v>
      </c>
      <c r="M179" s="16" t="s">
        <v>59</v>
      </c>
      <c r="N179" s="19">
        <v>45748</v>
      </c>
      <c r="O179" s="21" t="s">
        <v>504</v>
      </c>
      <c r="P179" s="21" t="s">
        <v>512</v>
      </c>
      <c r="S179" s="21">
        <v>-234.75</v>
      </c>
    </row>
    <row r="180" spans="1:19" x14ac:dyDescent="0.25">
      <c r="A180" s="16" t="s">
        <v>215</v>
      </c>
      <c r="B180" s="17">
        <v>17425766</v>
      </c>
      <c r="C180" s="16" t="s">
        <v>216</v>
      </c>
      <c r="D180" s="18" t="s">
        <v>958</v>
      </c>
      <c r="E180" s="16" t="s">
        <v>217</v>
      </c>
      <c r="F180" s="18" t="s">
        <v>640</v>
      </c>
      <c r="G180" s="19">
        <v>45748</v>
      </c>
      <c r="H180" s="16" t="s">
        <v>64</v>
      </c>
      <c r="I180" s="16" t="s">
        <v>51</v>
      </c>
      <c r="J180" s="20">
        <v>0</v>
      </c>
      <c r="K180" s="20">
        <v>0</v>
      </c>
      <c r="L180" s="20">
        <v>391.25</v>
      </c>
      <c r="M180" s="16" t="s">
        <v>59</v>
      </c>
      <c r="N180" s="19">
        <v>45748</v>
      </c>
      <c r="O180" s="21" t="s">
        <v>504</v>
      </c>
      <c r="P180" s="21" t="s">
        <v>512</v>
      </c>
      <c r="S180" s="21">
        <v>-234.75</v>
      </c>
    </row>
    <row r="181" spans="1:19" x14ac:dyDescent="0.25">
      <c r="A181" s="16" t="s">
        <v>123</v>
      </c>
      <c r="B181" s="17">
        <v>6634327</v>
      </c>
      <c r="C181" s="16" t="s">
        <v>124</v>
      </c>
      <c r="D181" s="18" t="s">
        <v>1008</v>
      </c>
      <c r="E181" s="16" t="s">
        <v>125</v>
      </c>
      <c r="F181" s="18" t="s">
        <v>630</v>
      </c>
      <c r="G181" s="19">
        <v>45748</v>
      </c>
      <c r="H181" s="16" t="s">
        <v>64</v>
      </c>
      <c r="I181" s="16" t="s">
        <v>51</v>
      </c>
      <c r="J181" s="20">
        <v>0</v>
      </c>
      <c r="K181" s="20">
        <v>0</v>
      </c>
      <c r="L181" s="20">
        <v>391.25</v>
      </c>
      <c r="M181" s="16" t="s">
        <v>59</v>
      </c>
      <c r="N181" s="19">
        <v>45748</v>
      </c>
      <c r="O181" s="21" t="s">
        <v>504</v>
      </c>
      <c r="P181" s="21" t="s">
        <v>512</v>
      </c>
      <c r="S181" s="21">
        <v>-234.75</v>
      </c>
    </row>
    <row r="182" spans="1:19" x14ac:dyDescent="0.25">
      <c r="A182" s="16" t="s">
        <v>183</v>
      </c>
      <c r="B182" s="17">
        <v>16633294</v>
      </c>
      <c r="C182" s="16" t="s">
        <v>197</v>
      </c>
      <c r="D182" s="18" t="s">
        <v>1066</v>
      </c>
      <c r="E182" s="16" t="s">
        <v>198</v>
      </c>
      <c r="F182" s="18" t="s">
        <v>637</v>
      </c>
      <c r="G182" s="19">
        <v>45748</v>
      </c>
      <c r="H182" s="16" t="s">
        <v>64</v>
      </c>
      <c r="I182" s="16" t="s">
        <v>51</v>
      </c>
      <c r="J182" s="20">
        <v>0</v>
      </c>
      <c r="K182" s="20">
        <v>0</v>
      </c>
      <c r="L182" s="20">
        <v>391.25</v>
      </c>
      <c r="M182" s="16" t="s">
        <v>59</v>
      </c>
      <c r="N182" s="19">
        <v>45748</v>
      </c>
      <c r="O182" s="21" t="s">
        <v>504</v>
      </c>
      <c r="P182" s="21" t="s">
        <v>512</v>
      </c>
      <c r="S182" s="21">
        <v>-234.75</v>
      </c>
    </row>
    <row r="183" spans="1:19" x14ac:dyDescent="0.25">
      <c r="A183" s="16" t="s">
        <v>76</v>
      </c>
      <c r="B183" s="17">
        <v>7470776</v>
      </c>
      <c r="C183" s="16" t="s">
        <v>80</v>
      </c>
      <c r="D183" s="18" t="s">
        <v>931</v>
      </c>
      <c r="E183" s="16" t="s">
        <v>81</v>
      </c>
      <c r="F183" s="18" t="s">
        <v>624</v>
      </c>
      <c r="G183" s="19">
        <v>45748</v>
      </c>
      <c r="H183" s="16" t="s">
        <v>64</v>
      </c>
      <c r="I183" s="16" t="s">
        <v>51</v>
      </c>
      <c r="J183" s="20">
        <v>0</v>
      </c>
      <c r="K183" s="20">
        <v>0</v>
      </c>
      <c r="L183" s="20">
        <v>391.25</v>
      </c>
      <c r="M183" s="16" t="s">
        <v>59</v>
      </c>
      <c r="N183" s="19">
        <v>45748</v>
      </c>
      <c r="O183" s="21" t="s">
        <v>504</v>
      </c>
      <c r="P183" s="21" t="s">
        <v>512</v>
      </c>
      <c r="S183" s="21">
        <v>-234.75</v>
      </c>
    </row>
    <row r="184" spans="1:19" x14ac:dyDescent="0.25">
      <c r="A184" s="16" t="s">
        <v>179</v>
      </c>
      <c r="B184" s="17">
        <v>1706194</v>
      </c>
      <c r="C184" s="16" t="s">
        <v>180</v>
      </c>
      <c r="D184" s="18" t="s">
        <v>935</v>
      </c>
      <c r="E184" s="16" t="s">
        <v>181</v>
      </c>
      <c r="F184" s="18" t="s">
        <v>652</v>
      </c>
      <c r="G184" s="19">
        <v>45778</v>
      </c>
      <c r="H184" s="16" t="s">
        <v>49</v>
      </c>
      <c r="I184" s="16" t="s">
        <v>51</v>
      </c>
      <c r="J184" s="20">
        <v>0</v>
      </c>
      <c r="K184" s="20">
        <v>0</v>
      </c>
      <c r="L184" s="20">
        <v>417.33</v>
      </c>
      <c r="M184" s="16" t="s">
        <v>59</v>
      </c>
      <c r="N184" s="19">
        <v>45778</v>
      </c>
      <c r="O184" s="21" t="s">
        <v>504</v>
      </c>
      <c r="P184" s="21" t="s">
        <v>508</v>
      </c>
      <c r="S184" s="21">
        <v>-208.67</v>
      </c>
    </row>
    <row r="185" spans="1:19" x14ac:dyDescent="0.25">
      <c r="A185" s="16" t="s">
        <v>42</v>
      </c>
      <c r="B185" s="17">
        <v>8814784</v>
      </c>
      <c r="C185" s="16" t="s">
        <v>56</v>
      </c>
      <c r="D185" s="18" t="s">
        <v>1014</v>
      </c>
      <c r="E185" s="16" t="s">
        <v>57</v>
      </c>
      <c r="F185" s="18" t="s">
        <v>651</v>
      </c>
      <c r="G185" s="19">
        <v>45778</v>
      </c>
      <c r="H185" s="16" t="s">
        <v>49</v>
      </c>
      <c r="I185" s="16" t="s">
        <v>51</v>
      </c>
      <c r="J185" s="20">
        <v>0</v>
      </c>
      <c r="K185" s="20">
        <v>0</v>
      </c>
      <c r="L185" s="20">
        <v>417.33</v>
      </c>
      <c r="M185" s="16" t="s">
        <v>59</v>
      </c>
      <c r="N185" s="19">
        <v>45778</v>
      </c>
      <c r="O185" s="21" t="s">
        <v>504</v>
      </c>
      <c r="P185" s="21" t="s">
        <v>508</v>
      </c>
      <c r="S185" s="21">
        <v>-208.67</v>
      </c>
    </row>
    <row r="186" spans="1:19" x14ac:dyDescent="0.25">
      <c r="A186" s="16" t="s">
        <v>223</v>
      </c>
      <c r="B186" s="17">
        <v>9213293</v>
      </c>
      <c r="C186" s="16" t="s">
        <v>230</v>
      </c>
      <c r="D186" s="18" t="s">
        <v>1035</v>
      </c>
      <c r="E186" s="16" t="s">
        <v>231</v>
      </c>
      <c r="F186" s="18" t="s">
        <v>653</v>
      </c>
      <c r="G186" s="19">
        <v>45778</v>
      </c>
      <c r="H186" s="16" t="s">
        <v>49</v>
      </c>
      <c r="I186" s="16" t="s">
        <v>51</v>
      </c>
      <c r="J186" s="20">
        <v>0</v>
      </c>
      <c r="K186" s="20">
        <v>0</v>
      </c>
      <c r="L186" s="20">
        <v>417.33</v>
      </c>
      <c r="M186" s="16" t="s">
        <v>59</v>
      </c>
      <c r="N186" s="19">
        <v>45778</v>
      </c>
      <c r="O186" s="21" t="s">
        <v>504</v>
      </c>
      <c r="P186" s="21" t="s">
        <v>508</v>
      </c>
      <c r="S186" s="21">
        <v>-208.67</v>
      </c>
    </row>
    <row r="187" spans="1:19" x14ac:dyDescent="0.25">
      <c r="A187" s="16" t="s">
        <v>127</v>
      </c>
      <c r="B187" s="17">
        <v>7146581</v>
      </c>
      <c r="C187" s="16" t="s">
        <v>131</v>
      </c>
      <c r="D187" s="18" t="s">
        <v>979</v>
      </c>
      <c r="E187" s="16" t="s">
        <v>132</v>
      </c>
      <c r="F187" s="18" t="s">
        <v>654</v>
      </c>
      <c r="G187" s="19">
        <v>45809</v>
      </c>
      <c r="H187" s="16" t="s">
        <v>86</v>
      </c>
      <c r="I187" s="16" t="s">
        <v>51</v>
      </c>
      <c r="J187" s="20">
        <v>0</v>
      </c>
      <c r="K187" s="20">
        <v>0</v>
      </c>
      <c r="L187" s="20">
        <v>443.42</v>
      </c>
      <c r="M187" s="16" t="s">
        <v>59</v>
      </c>
      <c r="N187" s="19">
        <v>45809</v>
      </c>
      <c r="O187" s="21" t="s">
        <v>504</v>
      </c>
      <c r="P187" s="21" t="s">
        <v>511</v>
      </c>
      <c r="S187" s="21">
        <v>-182.58</v>
      </c>
    </row>
    <row r="188" spans="1:19" x14ac:dyDescent="0.25">
      <c r="A188" s="16" t="s">
        <v>304</v>
      </c>
      <c r="B188" s="17">
        <v>19645587</v>
      </c>
      <c r="C188" s="16" t="s">
        <v>309</v>
      </c>
      <c r="D188" s="18" t="s">
        <v>1039</v>
      </c>
      <c r="E188" s="16" t="s">
        <v>310</v>
      </c>
      <c r="F188" s="18" t="s">
        <v>656</v>
      </c>
      <c r="G188" s="19">
        <v>45809</v>
      </c>
      <c r="H188" s="16" t="s">
        <v>86</v>
      </c>
      <c r="I188" s="16" t="s">
        <v>51</v>
      </c>
      <c r="J188" s="20">
        <v>0</v>
      </c>
      <c r="K188" s="20">
        <v>0</v>
      </c>
      <c r="L188" s="20">
        <v>443.42</v>
      </c>
      <c r="M188" s="16" t="s">
        <v>59</v>
      </c>
      <c r="N188" s="19">
        <v>45809</v>
      </c>
      <c r="O188" s="21" t="s">
        <v>504</v>
      </c>
      <c r="P188" s="21" t="s">
        <v>511</v>
      </c>
      <c r="S188" s="21">
        <v>-182.58</v>
      </c>
    </row>
    <row r="189" spans="1:19" x14ac:dyDescent="0.25">
      <c r="A189" s="16" t="s">
        <v>288</v>
      </c>
      <c r="B189" s="17" t="s">
        <v>664</v>
      </c>
      <c r="C189" s="16" t="s">
        <v>298</v>
      </c>
      <c r="D189" s="18" t="s">
        <v>955</v>
      </c>
      <c r="E189" s="16" t="s">
        <v>299</v>
      </c>
      <c r="F189" s="18" t="s">
        <v>655</v>
      </c>
      <c r="G189" s="19">
        <v>45809</v>
      </c>
      <c r="H189" s="16" t="s">
        <v>86</v>
      </c>
      <c r="I189" s="16" t="s">
        <v>51</v>
      </c>
      <c r="J189" s="20">
        <v>0</v>
      </c>
      <c r="K189" s="20">
        <v>0</v>
      </c>
      <c r="L189" s="20">
        <v>443.42</v>
      </c>
      <c r="M189" s="16" t="s">
        <v>59</v>
      </c>
      <c r="N189" s="19">
        <v>45809</v>
      </c>
      <c r="O189" s="21" t="s">
        <v>504</v>
      </c>
      <c r="P189" s="21" t="s">
        <v>511</v>
      </c>
      <c r="S189" s="21">
        <v>-182.58</v>
      </c>
    </row>
    <row r="190" spans="1:19" x14ac:dyDescent="0.25">
      <c r="A190" s="16" t="s">
        <v>274</v>
      </c>
      <c r="B190" s="17">
        <v>19586992</v>
      </c>
      <c r="C190" s="16" t="s">
        <v>275</v>
      </c>
      <c r="D190" s="18" t="s">
        <v>1046</v>
      </c>
      <c r="E190" s="16" t="s">
        <v>276</v>
      </c>
      <c r="F190" s="18" t="s">
        <v>588</v>
      </c>
      <c r="G190" s="19">
        <v>45748</v>
      </c>
      <c r="H190" s="16" t="s">
        <v>64</v>
      </c>
      <c r="I190" s="16" t="s">
        <v>51</v>
      </c>
      <c r="J190" s="20">
        <v>1</v>
      </c>
      <c r="K190" s="20">
        <v>0</v>
      </c>
      <c r="L190" s="20">
        <v>26.08</v>
      </c>
      <c r="M190" s="16" t="s">
        <v>107</v>
      </c>
      <c r="N190" s="19">
        <v>45627</v>
      </c>
      <c r="O190" s="21" t="s">
        <v>504</v>
      </c>
      <c r="P190" s="21" t="s">
        <v>513</v>
      </c>
      <c r="S190" s="20">
        <v>26.08</v>
      </c>
    </row>
    <row r="191" spans="1:19" x14ac:dyDescent="0.25">
      <c r="A191" s="16" t="s">
        <v>99</v>
      </c>
      <c r="B191" s="17">
        <v>8307933</v>
      </c>
      <c r="C191" s="16" t="s">
        <v>103</v>
      </c>
      <c r="D191" s="18" t="s">
        <v>1052</v>
      </c>
      <c r="E191" s="16" t="s">
        <v>104</v>
      </c>
      <c r="F191" s="18" t="s">
        <v>587</v>
      </c>
      <c r="G191" s="19">
        <v>45748</v>
      </c>
      <c r="H191" s="16" t="s">
        <v>64</v>
      </c>
      <c r="I191" s="16" t="s">
        <v>51</v>
      </c>
      <c r="J191" s="20">
        <v>1</v>
      </c>
      <c r="K191" s="20">
        <v>0</v>
      </c>
      <c r="L191" s="20">
        <v>26.08</v>
      </c>
      <c r="M191" s="16" t="s">
        <v>107</v>
      </c>
      <c r="N191" s="19">
        <v>45597</v>
      </c>
      <c r="O191" s="21" t="s">
        <v>504</v>
      </c>
      <c r="P191" s="21" t="s">
        <v>513</v>
      </c>
      <c r="S191" s="20">
        <v>26.08</v>
      </c>
    </row>
    <row r="192" spans="1:19" x14ac:dyDescent="0.25">
      <c r="A192" s="16" t="s">
        <v>288</v>
      </c>
      <c r="B192" s="17" t="s">
        <v>664</v>
      </c>
      <c r="C192" s="16" t="s">
        <v>292</v>
      </c>
      <c r="D192" s="18" t="s">
        <v>952</v>
      </c>
      <c r="E192" s="16" t="s">
        <v>293</v>
      </c>
      <c r="F192" s="18" t="s">
        <v>589</v>
      </c>
      <c r="G192" s="19">
        <v>45748</v>
      </c>
      <c r="H192" s="16" t="s">
        <v>64</v>
      </c>
      <c r="I192" s="16" t="s">
        <v>51</v>
      </c>
      <c r="J192" s="20">
        <v>1</v>
      </c>
      <c r="K192" s="20">
        <v>0</v>
      </c>
      <c r="L192" s="20">
        <v>26.08</v>
      </c>
      <c r="M192" s="16" t="s">
        <v>107</v>
      </c>
      <c r="N192" s="19">
        <v>45627</v>
      </c>
      <c r="O192" s="21" t="s">
        <v>504</v>
      </c>
      <c r="P192" s="21" t="s">
        <v>513</v>
      </c>
      <c r="S192" s="20">
        <v>26.08</v>
      </c>
    </row>
    <row r="193" spans="1:19" x14ac:dyDescent="0.25">
      <c r="A193" s="16" t="s">
        <v>417</v>
      </c>
      <c r="B193" s="17">
        <v>17528908</v>
      </c>
      <c r="C193" s="16" t="s">
        <v>440</v>
      </c>
      <c r="D193" s="18" t="s">
        <v>988</v>
      </c>
      <c r="E193" s="16" t="s">
        <v>441</v>
      </c>
      <c r="F193" s="18" t="s">
        <v>658</v>
      </c>
      <c r="G193" s="19">
        <v>45748</v>
      </c>
      <c r="H193" s="16" t="s">
        <v>64</v>
      </c>
      <c r="I193" s="16" t="s">
        <v>51</v>
      </c>
      <c r="J193" s="20">
        <v>1</v>
      </c>
      <c r="K193" s="20">
        <v>130.03</v>
      </c>
      <c r="L193" s="20">
        <v>1.3</v>
      </c>
      <c r="M193" s="16" t="s">
        <v>395</v>
      </c>
      <c r="N193" s="19">
        <v>45323</v>
      </c>
      <c r="O193" s="21" t="s">
        <v>503</v>
      </c>
      <c r="S193" s="20">
        <v>1.3</v>
      </c>
    </row>
    <row r="194" spans="1:19" x14ac:dyDescent="0.25">
      <c r="A194" s="16" t="s">
        <v>417</v>
      </c>
      <c r="B194" s="17">
        <v>17528908</v>
      </c>
      <c r="C194" s="16" t="s">
        <v>418</v>
      </c>
      <c r="D194" s="18" t="s">
        <v>999</v>
      </c>
      <c r="E194" s="16" t="s">
        <v>419</v>
      </c>
      <c r="F194" s="18" t="s">
        <v>659</v>
      </c>
      <c r="G194" s="19">
        <v>45748</v>
      </c>
      <c r="H194" s="16" t="s">
        <v>64</v>
      </c>
      <c r="I194" s="16" t="s">
        <v>51</v>
      </c>
      <c r="J194" s="20">
        <v>1</v>
      </c>
      <c r="K194" s="20">
        <v>159.94999999999999</v>
      </c>
      <c r="L194" s="20">
        <v>1.6</v>
      </c>
      <c r="M194" s="16" t="s">
        <v>395</v>
      </c>
      <c r="N194" s="19">
        <v>45170</v>
      </c>
      <c r="O194" s="21" t="s">
        <v>503</v>
      </c>
      <c r="S194" s="20">
        <v>1.6</v>
      </c>
    </row>
    <row r="195" spans="1:19" x14ac:dyDescent="0.25">
      <c r="A195" s="16" t="s">
        <v>115</v>
      </c>
      <c r="B195" s="17">
        <v>3475518</v>
      </c>
      <c r="C195" s="16" t="s">
        <v>120</v>
      </c>
      <c r="D195" s="18" t="s">
        <v>929</v>
      </c>
      <c r="E195" s="16" t="s">
        <v>121</v>
      </c>
      <c r="F195" s="18" t="s">
        <v>661</v>
      </c>
      <c r="G195" s="19">
        <v>45748</v>
      </c>
      <c r="H195" s="16" t="s">
        <v>64</v>
      </c>
      <c r="I195" s="16" t="s">
        <v>51</v>
      </c>
      <c r="J195" s="20">
        <v>0</v>
      </c>
      <c r="K195" s="20">
        <v>0</v>
      </c>
      <c r="L195" s="20">
        <v>67.75</v>
      </c>
      <c r="M195" s="16" t="s">
        <v>59</v>
      </c>
      <c r="N195" s="19">
        <v>45748</v>
      </c>
      <c r="O195" s="21" t="s">
        <v>509</v>
      </c>
      <c r="S195" s="20">
        <v>67.75</v>
      </c>
    </row>
    <row r="196" spans="1:19" x14ac:dyDescent="0.25">
      <c r="A196" s="16" t="s">
        <v>245</v>
      </c>
      <c r="B196" s="17">
        <v>18794740</v>
      </c>
      <c r="C196" s="16" t="s">
        <v>246</v>
      </c>
      <c r="D196" s="18" t="s">
        <v>1019</v>
      </c>
      <c r="E196" s="16" t="s">
        <v>247</v>
      </c>
      <c r="F196" s="18" t="s">
        <v>662</v>
      </c>
      <c r="G196" s="19">
        <v>45748</v>
      </c>
      <c r="H196" s="16" t="s">
        <v>64</v>
      </c>
      <c r="I196" s="16" t="s">
        <v>51</v>
      </c>
      <c r="J196" s="20">
        <v>0</v>
      </c>
      <c r="K196" s="20">
        <v>0</v>
      </c>
      <c r="L196" s="20">
        <v>67.75</v>
      </c>
      <c r="M196" s="16" t="s">
        <v>59</v>
      </c>
      <c r="N196" s="19">
        <v>45748</v>
      </c>
      <c r="O196" s="21" t="s">
        <v>509</v>
      </c>
      <c r="S196" s="20">
        <v>67.75</v>
      </c>
    </row>
    <row r="197" spans="1:19" x14ac:dyDescent="0.25">
      <c r="A197" s="16" t="s">
        <v>76</v>
      </c>
      <c r="B197" s="17">
        <v>7470776</v>
      </c>
      <c r="C197" s="16" t="s">
        <v>83</v>
      </c>
      <c r="D197" s="18" t="s">
        <v>934</v>
      </c>
      <c r="E197" s="16" t="s">
        <v>84</v>
      </c>
      <c r="F197" s="18" t="s">
        <v>663</v>
      </c>
      <c r="G197" s="19">
        <v>45809</v>
      </c>
      <c r="H197" s="16" t="s">
        <v>86</v>
      </c>
      <c r="I197" s="16" t="s">
        <v>51</v>
      </c>
      <c r="J197" s="20">
        <v>0</v>
      </c>
      <c r="K197" s="20">
        <v>0</v>
      </c>
      <c r="L197" s="20">
        <v>76.92</v>
      </c>
      <c r="M197" s="16" t="s">
        <v>59</v>
      </c>
      <c r="N197" s="19">
        <v>45809</v>
      </c>
      <c r="O197" s="21" t="s">
        <v>509</v>
      </c>
      <c r="S197" s="20">
        <v>76.92</v>
      </c>
    </row>
    <row r="198" spans="1:19" x14ac:dyDescent="0.25">
      <c r="A198" s="16" t="s">
        <v>162</v>
      </c>
      <c r="B198" s="17">
        <v>15278437</v>
      </c>
      <c r="C198" s="16" t="s">
        <v>163</v>
      </c>
      <c r="D198" s="18" t="s">
        <v>965</v>
      </c>
      <c r="E198" s="16" t="s">
        <v>164</v>
      </c>
      <c r="F198" s="18" t="s">
        <v>660</v>
      </c>
      <c r="G198" s="19">
        <v>45658</v>
      </c>
      <c r="H198" s="16" t="s">
        <v>166</v>
      </c>
      <c r="I198" s="16" t="s">
        <v>51</v>
      </c>
      <c r="J198" s="20">
        <v>-0.75</v>
      </c>
      <c r="K198" s="20">
        <v>0</v>
      </c>
      <c r="L198" s="20">
        <v>-41.25</v>
      </c>
      <c r="M198" s="16" t="s">
        <v>107</v>
      </c>
      <c r="N198" s="19">
        <v>45323</v>
      </c>
      <c r="O198" s="21" t="s">
        <v>509</v>
      </c>
      <c r="S198" s="20">
        <v>-41.25</v>
      </c>
    </row>
    <row r="205" spans="1:19" x14ac:dyDescent="0.25">
      <c r="F205" s="21">
        <f>275.44/2</f>
        <v>137.72</v>
      </c>
    </row>
  </sheetData>
  <sortState xmlns:xlrd2="http://schemas.microsoft.com/office/spreadsheetml/2017/richdata2" ref="A2:T198">
    <sortCondition ref="O2:O198"/>
  </sortState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32D9-B059-4055-B6D2-5E915DB41196}">
  <dimension ref="A1:I197"/>
  <sheetViews>
    <sheetView workbookViewId="0">
      <selection activeCell="I1" sqref="I1:I43"/>
    </sheetView>
  </sheetViews>
  <sheetFormatPr defaultRowHeight="13.2" x14ac:dyDescent="0.25"/>
  <cols>
    <col min="1" max="1" width="13.33203125" bestFit="1" customWidth="1"/>
    <col min="2" max="2" width="14.33203125" bestFit="1" customWidth="1"/>
    <col min="4" max="4" width="30.44140625" bestFit="1" customWidth="1"/>
    <col min="5" max="5" width="13.77734375" bestFit="1" customWidth="1"/>
    <col min="6" max="6" width="22.33203125" bestFit="1" customWidth="1"/>
    <col min="8" max="8" width="14.33203125" bestFit="1" customWidth="1"/>
    <col min="9" max="9" width="15.33203125" bestFit="1" customWidth="1"/>
  </cols>
  <sheetData>
    <row r="1" spans="1:9" x14ac:dyDescent="0.25">
      <c r="A1" s="8" t="s">
        <v>176</v>
      </c>
      <c r="B1" t="str">
        <f>CONCATENATE(A1,6)</f>
        <v>00021044590K6</v>
      </c>
      <c r="D1" s="8" t="s">
        <v>667</v>
      </c>
      <c r="E1" t="s">
        <v>668</v>
      </c>
      <c r="F1" t="str">
        <f>CONCATENATE(E1, " ", D1)</f>
        <v>CHERYL NESTEROWICZ</v>
      </c>
      <c r="H1" s="18" t="s">
        <v>618</v>
      </c>
      <c r="I1" t="str">
        <f>CONCATENATE(H1,7)</f>
        <v>00023146640K67</v>
      </c>
    </row>
    <row r="2" spans="1:9" x14ac:dyDescent="0.25">
      <c r="A2" s="11" t="s">
        <v>449</v>
      </c>
      <c r="B2" t="str">
        <f>CONCATENATE(A2,8)</f>
        <v>00000963205A8</v>
      </c>
      <c r="D2" s="8" t="s">
        <v>667</v>
      </c>
      <c r="E2" t="s">
        <v>669</v>
      </c>
      <c r="F2" t="str">
        <f t="shared" ref="F2:F65" si="0">CONCATENATE(E2, " ", D2)</f>
        <v>JOHN NESTEROWICZ</v>
      </c>
      <c r="H2" s="18" t="s">
        <v>615</v>
      </c>
      <c r="I2" t="str">
        <f t="shared" ref="I2:I43" si="1">CONCATENATE(H2,7)</f>
        <v>00023163634K67</v>
      </c>
    </row>
    <row r="3" spans="1:9" x14ac:dyDescent="0.25">
      <c r="A3" s="11" t="s">
        <v>451</v>
      </c>
      <c r="B3" t="str">
        <f t="shared" ref="B3:B42" si="2">CONCATENATE(A3,8)</f>
        <v>00000964708A8</v>
      </c>
      <c r="D3" s="8" t="s">
        <v>667</v>
      </c>
      <c r="E3" t="s">
        <v>668</v>
      </c>
      <c r="F3" t="str">
        <f t="shared" si="0"/>
        <v>CHERYL NESTEROWICZ</v>
      </c>
      <c r="H3" s="18" t="s">
        <v>619</v>
      </c>
      <c r="I3" t="str">
        <f t="shared" si="1"/>
        <v>00023146818K67</v>
      </c>
    </row>
    <row r="4" spans="1:9" x14ac:dyDescent="0.25">
      <c r="A4" s="11" t="s">
        <v>439</v>
      </c>
      <c r="B4" t="str">
        <f t="shared" si="2"/>
        <v>00000801899A8</v>
      </c>
      <c r="D4" s="8" t="s">
        <v>667</v>
      </c>
      <c r="E4" t="s">
        <v>669</v>
      </c>
      <c r="F4" t="str">
        <f t="shared" si="0"/>
        <v>JOHN NESTEROWICZ</v>
      </c>
      <c r="H4" s="18" t="s">
        <v>617</v>
      </c>
      <c r="I4" t="str">
        <f t="shared" si="1"/>
        <v>00023151593K67</v>
      </c>
    </row>
    <row r="5" spans="1:9" x14ac:dyDescent="0.25">
      <c r="A5" s="11" t="s">
        <v>421</v>
      </c>
      <c r="B5" t="str">
        <f t="shared" si="2"/>
        <v>00000770425A8</v>
      </c>
      <c r="D5" s="8" t="s">
        <v>670</v>
      </c>
      <c r="E5" t="s">
        <v>671</v>
      </c>
      <c r="F5" t="str">
        <f t="shared" si="0"/>
        <v>JOANNE HRONOPOULOS</v>
      </c>
      <c r="H5" s="18" t="s">
        <v>616</v>
      </c>
      <c r="I5" t="str">
        <f t="shared" si="1"/>
        <v>00021086243K67</v>
      </c>
    </row>
    <row r="6" spans="1:9" x14ac:dyDescent="0.25">
      <c r="A6" s="11" t="s">
        <v>471</v>
      </c>
      <c r="B6" t="str">
        <f t="shared" si="2"/>
        <v>00000803433A8</v>
      </c>
      <c r="D6" s="8" t="s">
        <v>670</v>
      </c>
      <c r="E6" t="s">
        <v>671</v>
      </c>
      <c r="F6" t="str">
        <f t="shared" si="0"/>
        <v>JOANNE HRONOPOULOS</v>
      </c>
      <c r="H6" s="18" t="s">
        <v>620</v>
      </c>
      <c r="I6" t="str">
        <f t="shared" si="1"/>
        <v>00023146576K67</v>
      </c>
    </row>
    <row r="7" spans="1:9" x14ac:dyDescent="0.25">
      <c r="A7" s="11" t="s">
        <v>473</v>
      </c>
      <c r="B7" t="str">
        <f t="shared" si="2"/>
        <v>00000822114A8</v>
      </c>
      <c r="D7" s="8" t="s">
        <v>672</v>
      </c>
      <c r="E7" t="s">
        <v>673</v>
      </c>
      <c r="F7" t="str">
        <f t="shared" si="0"/>
        <v>SANDRA BOWIE</v>
      </c>
      <c r="H7" s="18" t="s">
        <v>636</v>
      </c>
      <c r="I7" t="str">
        <f t="shared" si="1"/>
        <v>00023161838K67</v>
      </c>
    </row>
    <row r="8" spans="1:9" x14ac:dyDescent="0.25">
      <c r="A8" s="11" t="s">
        <v>469</v>
      </c>
      <c r="B8" t="str">
        <f t="shared" si="2"/>
        <v>00000803303A8</v>
      </c>
      <c r="D8" s="8" t="s">
        <v>674</v>
      </c>
      <c r="E8" t="s">
        <v>675</v>
      </c>
      <c r="F8" t="str">
        <f t="shared" si="0"/>
        <v>RETHA DYMOND</v>
      </c>
      <c r="H8" s="18" t="s">
        <v>643</v>
      </c>
      <c r="I8" t="str">
        <f t="shared" si="1"/>
        <v>00023235653K67</v>
      </c>
    </row>
    <row r="9" spans="1:9" x14ac:dyDescent="0.25">
      <c r="A9" s="11" t="s">
        <v>425</v>
      </c>
      <c r="B9" t="str">
        <f t="shared" si="2"/>
        <v>00000770807A8</v>
      </c>
      <c r="D9" s="8" t="s">
        <v>676</v>
      </c>
      <c r="E9" t="s">
        <v>677</v>
      </c>
      <c r="F9" t="str">
        <f t="shared" si="0"/>
        <v>THERESA REMIAS</v>
      </c>
      <c r="H9" s="18" t="s">
        <v>646</v>
      </c>
      <c r="I9" t="str">
        <f t="shared" si="1"/>
        <v>00023222148K67</v>
      </c>
    </row>
    <row r="10" spans="1:9" x14ac:dyDescent="0.25">
      <c r="A10" s="11" t="s">
        <v>427</v>
      </c>
      <c r="B10" t="str">
        <f t="shared" si="2"/>
        <v>00000775340A8</v>
      </c>
      <c r="D10" s="8" t="s">
        <v>678</v>
      </c>
      <c r="E10" t="s">
        <v>679</v>
      </c>
      <c r="F10" t="str">
        <f t="shared" si="0"/>
        <v>CRAIG WEISS</v>
      </c>
      <c r="H10" s="18" t="s">
        <v>625</v>
      </c>
      <c r="I10" t="str">
        <f t="shared" si="1"/>
        <v>00023185259K67</v>
      </c>
    </row>
    <row r="11" spans="1:9" x14ac:dyDescent="0.25">
      <c r="A11" s="11" t="s">
        <v>429</v>
      </c>
      <c r="B11" t="str">
        <f t="shared" si="2"/>
        <v>00000776436A8</v>
      </c>
      <c r="D11" s="8" t="s">
        <v>678</v>
      </c>
      <c r="E11" t="s">
        <v>680</v>
      </c>
      <c r="F11" t="str">
        <f t="shared" si="0"/>
        <v>JEAN WEISS</v>
      </c>
      <c r="H11" s="18" t="s">
        <v>645</v>
      </c>
      <c r="I11" t="str">
        <f t="shared" si="1"/>
        <v>00023195200K67</v>
      </c>
    </row>
    <row r="12" spans="1:9" x14ac:dyDescent="0.25">
      <c r="A12" s="11" t="s">
        <v>443</v>
      </c>
      <c r="B12" t="str">
        <f t="shared" si="2"/>
        <v>00000809128A8</v>
      </c>
      <c r="D12" s="8" t="s">
        <v>674</v>
      </c>
      <c r="E12" t="s">
        <v>675</v>
      </c>
      <c r="F12" t="str">
        <f t="shared" si="0"/>
        <v>RETHA DYMOND</v>
      </c>
      <c r="H12" s="18" t="s">
        <v>629</v>
      </c>
      <c r="I12" t="str">
        <f t="shared" si="1"/>
        <v>00023203793K67</v>
      </c>
    </row>
    <row r="13" spans="1:9" x14ac:dyDescent="0.25">
      <c r="A13" s="11" t="s">
        <v>445</v>
      </c>
      <c r="B13" t="str">
        <f t="shared" si="2"/>
        <v>00000810902A8</v>
      </c>
      <c r="D13" s="8" t="s">
        <v>676</v>
      </c>
      <c r="E13" t="s">
        <v>677</v>
      </c>
      <c r="F13" t="str">
        <f t="shared" si="0"/>
        <v>THERESA REMIAS</v>
      </c>
      <c r="H13" s="18" t="s">
        <v>650</v>
      </c>
      <c r="I13" t="str">
        <f t="shared" si="1"/>
        <v>00023208350K67</v>
      </c>
    </row>
    <row r="14" spans="1:9" x14ac:dyDescent="0.25">
      <c r="A14" s="11" t="s">
        <v>423</v>
      </c>
      <c r="B14" t="str">
        <f t="shared" si="2"/>
        <v>00000770562A8</v>
      </c>
      <c r="D14" s="8" t="s">
        <v>678</v>
      </c>
      <c r="E14" t="s">
        <v>679</v>
      </c>
      <c r="F14" t="str">
        <f t="shared" si="0"/>
        <v>CRAIG WEISS</v>
      </c>
      <c r="H14" s="18" t="s">
        <v>628</v>
      </c>
      <c r="I14" t="str">
        <f t="shared" si="1"/>
        <v>00023183658K67</v>
      </c>
    </row>
    <row r="15" spans="1:9" x14ac:dyDescent="0.25">
      <c r="A15" s="11" t="s">
        <v>433</v>
      </c>
      <c r="B15" t="str">
        <f t="shared" si="2"/>
        <v>00000784750A8</v>
      </c>
      <c r="D15" s="8" t="s">
        <v>678</v>
      </c>
      <c r="E15" t="s">
        <v>680</v>
      </c>
      <c r="F15" t="str">
        <f t="shared" si="0"/>
        <v>JEAN WEISS</v>
      </c>
      <c r="H15" s="18" t="s">
        <v>638</v>
      </c>
      <c r="I15" t="str">
        <f t="shared" si="1"/>
        <v>00023224834K67</v>
      </c>
    </row>
    <row r="16" spans="1:9" x14ac:dyDescent="0.25">
      <c r="A16" s="11" t="s">
        <v>447</v>
      </c>
      <c r="B16" t="str">
        <f t="shared" si="2"/>
        <v>00000812465A8</v>
      </c>
      <c r="D16" s="8" t="s">
        <v>681</v>
      </c>
      <c r="E16" t="s">
        <v>682</v>
      </c>
      <c r="F16" t="str">
        <f t="shared" si="0"/>
        <v>THOMAS BOGARDUS</v>
      </c>
      <c r="H16" s="18" t="s">
        <v>634</v>
      </c>
      <c r="I16" t="str">
        <f t="shared" si="1"/>
        <v>00023163873K67</v>
      </c>
    </row>
    <row r="17" spans="1:9" x14ac:dyDescent="0.25">
      <c r="A17" s="11" t="s">
        <v>435</v>
      </c>
      <c r="B17" t="str">
        <f t="shared" si="2"/>
        <v>00000786056A8</v>
      </c>
      <c r="D17" s="8" t="s">
        <v>683</v>
      </c>
      <c r="E17" t="s">
        <v>684</v>
      </c>
      <c r="F17" t="str">
        <f t="shared" si="0"/>
        <v>JENNIFER BOYD</v>
      </c>
      <c r="H17" s="18" t="s">
        <v>626</v>
      </c>
      <c r="I17" t="str">
        <f t="shared" si="1"/>
        <v>00023186504K67</v>
      </c>
    </row>
    <row r="18" spans="1:9" x14ac:dyDescent="0.25">
      <c r="A18" s="11" t="s">
        <v>431</v>
      </c>
      <c r="B18" t="str">
        <f t="shared" si="2"/>
        <v>00000777658A8</v>
      </c>
      <c r="D18" s="8" t="s">
        <v>683</v>
      </c>
      <c r="E18" t="s">
        <v>684</v>
      </c>
      <c r="F18" t="str">
        <f t="shared" si="0"/>
        <v>JENNIFER BOYD</v>
      </c>
      <c r="H18" s="18" t="s">
        <v>647</v>
      </c>
      <c r="I18" t="str">
        <f t="shared" si="1"/>
        <v>00023200476K67</v>
      </c>
    </row>
    <row r="19" spans="1:9" x14ac:dyDescent="0.25">
      <c r="A19" s="11" t="s">
        <v>437</v>
      </c>
      <c r="B19" t="str">
        <f t="shared" si="2"/>
        <v>00000790321A8</v>
      </c>
      <c r="D19" s="8" t="s">
        <v>685</v>
      </c>
      <c r="E19" t="s">
        <v>686</v>
      </c>
      <c r="F19" t="str">
        <f t="shared" si="0"/>
        <v>Therese Thompson</v>
      </c>
      <c r="H19" s="18" t="s">
        <v>621</v>
      </c>
      <c r="I19" t="str">
        <f t="shared" si="1"/>
        <v>00023222045K67</v>
      </c>
    </row>
    <row r="20" spans="1:9" x14ac:dyDescent="0.25">
      <c r="A20" s="11" t="s">
        <v>475</v>
      </c>
      <c r="B20" t="str">
        <f t="shared" si="2"/>
        <v>00000822229A8</v>
      </c>
      <c r="D20" s="8" t="s">
        <v>687</v>
      </c>
      <c r="E20" t="s">
        <v>688</v>
      </c>
      <c r="F20" t="str">
        <f t="shared" si="0"/>
        <v>Christie Dornbierer</v>
      </c>
      <c r="H20" s="18" t="s">
        <v>632</v>
      </c>
      <c r="I20" t="str">
        <f t="shared" si="1"/>
        <v>00023174321K67</v>
      </c>
    </row>
    <row r="21" spans="1:9" x14ac:dyDescent="0.25">
      <c r="A21" s="11" t="s">
        <v>402</v>
      </c>
      <c r="B21" t="str">
        <f t="shared" si="2"/>
        <v>00000795448A8</v>
      </c>
      <c r="D21" s="8" t="s">
        <v>689</v>
      </c>
      <c r="E21" t="s">
        <v>690</v>
      </c>
      <c r="F21" t="str">
        <f t="shared" si="0"/>
        <v>Larry Taylor</v>
      </c>
      <c r="H21" s="18" t="s">
        <v>639</v>
      </c>
      <c r="I21" t="str">
        <f t="shared" si="1"/>
        <v>00023224844K67</v>
      </c>
    </row>
    <row r="22" spans="1:9" x14ac:dyDescent="0.25">
      <c r="A22" s="11" t="s">
        <v>398</v>
      </c>
      <c r="B22" t="str">
        <f t="shared" si="2"/>
        <v>00000770493A8</v>
      </c>
      <c r="D22" s="8" t="s">
        <v>691</v>
      </c>
      <c r="E22" t="s">
        <v>692</v>
      </c>
      <c r="F22" t="str">
        <f t="shared" si="0"/>
        <v>Kimberly Davison</v>
      </c>
      <c r="H22" s="18" t="s">
        <v>642</v>
      </c>
      <c r="I22" t="str">
        <f t="shared" si="1"/>
        <v>00023203836K67</v>
      </c>
    </row>
    <row r="23" spans="1:9" x14ac:dyDescent="0.25">
      <c r="A23" s="11" t="s">
        <v>485</v>
      </c>
      <c r="B23" t="str">
        <f t="shared" si="2"/>
        <v>00000973579A8</v>
      </c>
      <c r="D23" s="8" t="s">
        <v>693</v>
      </c>
      <c r="E23" t="s">
        <v>694</v>
      </c>
      <c r="F23" t="str">
        <f t="shared" si="0"/>
        <v>Michael Baker</v>
      </c>
      <c r="H23" s="18" t="s">
        <v>635</v>
      </c>
      <c r="I23" t="str">
        <f t="shared" si="1"/>
        <v>00023188842K67</v>
      </c>
    </row>
    <row r="24" spans="1:9" x14ac:dyDescent="0.25">
      <c r="A24" s="11" t="s">
        <v>453</v>
      </c>
      <c r="B24" t="str">
        <f t="shared" si="2"/>
        <v>00000972510A8</v>
      </c>
      <c r="D24" s="8" t="s">
        <v>695</v>
      </c>
      <c r="E24" t="s">
        <v>696</v>
      </c>
      <c r="F24" t="str">
        <f t="shared" si="0"/>
        <v>Carrie Taber</v>
      </c>
      <c r="H24" s="18" t="s">
        <v>633</v>
      </c>
      <c r="I24" t="str">
        <f t="shared" si="1"/>
        <v>00023177736K67</v>
      </c>
    </row>
    <row r="25" spans="1:9" x14ac:dyDescent="0.25">
      <c r="A25" s="11" t="s">
        <v>455</v>
      </c>
      <c r="B25" t="str">
        <f t="shared" si="2"/>
        <v>00000980155A8</v>
      </c>
      <c r="D25" s="8" t="s">
        <v>697</v>
      </c>
      <c r="E25" t="s">
        <v>698</v>
      </c>
      <c r="F25" t="str">
        <f t="shared" si="0"/>
        <v>Janine Petrovic</v>
      </c>
      <c r="H25" s="18" t="s">
        <v>644</v>
      </c>
      <c r="I25" t="str">
        <f t="shared" si="1"/>
        <v>00023154864K67</v>
      </c>
    </row>
    <row r="26" spans="1:9" x14ac:dyDescent="0.25">
      <c r="A26" s="11" t="s">
        <v>404</v>
      </c>
      <c r="B26" t="str">
        <f t="shared" si="2"/>
        <v>00000948449A8</v>
      </c>
      <c r="D26" s="8" t="s">
        <v>699</v>
      </c>
      <c r="E26" t="s">
        <v>700</v>
      </c>
      <c r="F26" t="str">
        <f t="shared" si="0"/>
        <v>Angela Larimer</v>
      </c>
      <c r="H26" s="18" t="s">
        <v>622</v>
      </c>
      <c r="I26" t="str">
        <f t="shared" si="1"/>
        <v>00023231591K67</v>
      </c>
    </row>
    <row r="27" spans="1:9" x14ac:dyDescent="0.25">
      <c r="A27" s="11" t="s">
        <v>489</v>
      </c>
      <c r="B27" t="str">
        <f t="shared" si="2"/>
        <v>00000976693A8</v>
      </c>
      <c r="D27" s="8" t="s">
        <v>701</v>
      </c>
      <c r="E27" t="s">
        <v>702</v>
      </c>
      <c r="F27" t="str">
        <f t="shared" si="0"/>
        <v>Carla Finlen</v>
      </c>
      <c r="H27" s="18" t="s">
        <v>649</v>
      </c>
      <c r="I27" t="str">
        <f t="shared" si="1"/>
        <v>00023184274K67</v>
      </c>
    </row>
    <row r="28" spans="1:9" x14ac:dyDescent="0.25">
      <c r="A28" s="11" t="s">
        <v>416</v>
      </c>
      <c r="B28" t="str">
        <f t="shared" si="2"/>
        <v>00000972550A8</v>
      </c>
      <c r="D28" s="8" t="s">
        <v>703</v>
      </c>
      <c r="E28" t="s">
        <v>704</v>
      </c>
      <c r="F28" t="str">
        <f t="shared" si="0"/>
        <v>Christopher Ward</v>
      </c>
      <c r="H28" s="18" t="s">
        <v>627</v>
      </c>
      <c r="I28" t="str">
        <f t="shared" si="1"/>
        <v>00021558272K67</v>
      </c>
    </row>
    <row r="29" spans="1:9" x14ac:dyDescent="0.25">
      <c r="A29" s="11" t="s">
        <v>483</v>
      </c>
      <c r="B29" t="str">
        <f t="shared" si="2"/>
        <v>00000973506A8</v>
      </c>
      <c r="D29" s="8" t="s">
        <v>705</v>
      </c>
      <c r="E29" t="s">
        <v>706</v>
      </c>
      <c r="F29" t="str">
        <f t="shared" si="0"/>
        <v>Rebekah Schmidt</v>
      </c>
      <c r="H29" s="18" t="s">
        <v>648</v>
      </c>
      <c r="I29" t="str">
        <f t="shared" si="1"/>
        <v>00023222214K67</v>
      </c>
    </row>
    <row r="30" spans="1:9" x14ac:dyDescent="0.25">
      <c r="A30" s="11" t="s">
        <v>487</v>
      </c>
      <c r="B30" t="str">
        <f t="shared" si="2"/>
        <v>00000976123A8</v>
      </c>
      <c r="D30" s="8" t="s">
        <v>707</v>
      </c>
      <c r="E30" t="s">
        <v>708</v>
      </c>
      <c r="F30" t="str">
        <f t="shared" si="0"/>
        <v>Joanna Young</v>
      </c>
      <c r="H30" s="18" t="s">
        <v>631</v>
      </c>
      <c r="I30" t="str">
        <f t="shared" si="1"/>
        <v>00023151464K67</v>
      </c>
    </row>
    <row r="31" spans="1:9" x14ac:dyDescent="0.25">
      <c r="A31" s="11" t="s">
        <v>385</v>
      </c>
      <c r="B31" t="str">
        <f t="shared" si="2"/>
        <v>00000973438A8</v>
      </c>
      <c r="D31" s="8" t="s">
        <v>709</v>
      </c>
      <c r="E31" t="s">
        <v>710</v>
      </c>
      <c r="F31" t="str">
        <f t="shared" si="0"/>
        <v>Jessica McClure</v>
      </c>
      <c r="H31" s="18" t="s">
        <v>641</v>
      </c>
      <c r="I31" t="str">
        <f t="shared" si="1"/>
        <v>00023178815K67</v>
      </c>
    </row>
    <row r="32" spans="1:9" x14ac:dyDescent="0.25">
      <c r="A32" s="11" t="s">
        <v>476</v>
      </c>
      <c r="B32" t="str">
        <f t="shared" si="2"/>
        <v>00000973745A8</v>
      </c>
      <c r="D32" s="8" t="s">
        <v>689</v>
      </c>
      <c r="E32" t="s">
        <v>690</v>
      </c>
      <c r="F32" t="str">
        <f t="shared" si="0"/>
        <v>Larry Taylor</v>
      </c>
      <c r="H32" s="18" t="s">
        <v>623</v>
      </c>
      <c r="I32" t="str">
        <f t="shared" si="1"/>
        <v>00023154874K67</v>
      </c>
    </row>
    <row r="33" spans="1:9" x14ac:dyDescent="0.25">
      <c r="A33" s="11" t="s">
        <v>413</v>
      </c>
      <c r="B33" t="str">
        <f t="shared" si="2"/>
        <v>00000974011A8</v>
      </c>
      <c r="D33" s="8" t="s">
        <v>701</v>
      </c>
      <c r="E33" t="s">
        <v>702</v>
      </c>
      <c r="F33" t="str">
        <f t="shared" si="0"/>
        <v>Carla Finlen</v>
      </c>
      <c r="H33" s="18" t="s">
        <v>640</v>
      </c>
      <c r="I33" t="str">
        <f t="shared" si="1"/>
        <v>00023202122K67</v>
      </c>
    </row>
    <row r="34" spans="1:9" x14ac:dyDescent="0.25">
      <c r="A34" s="11" t="s">
        <v>479</v>
      </c>
      <c r="B34" t="str">
        <f t="shared" si="2"/>
        <v>00000858729A8</v>
      </c>
      <c r="D34" s="8" t="s">
        <v>703</v>
      </c>
      <c r="E34" t="s">
        <v>704</v>
      </c>
      <c r="F34" t="str">
        <f t="shared" si="0"/>
        <v>Christopher Ward</v>
      </c>
      <c r="H34" s="18" t="s">
        <v>630</v>
      </c>
      <c r="I34" t="str">
        <f t="shared" si="1"/>
        <v>00023204136K67</v>
      </c>
    </row>
    <row r="35" spans="1:9" x14ac:dyDescent="0.25">
      <c r="A35" s="11" t="s">
        <v>481</v>
      </c>
      <c r="B35" t="str">
        <f t="shared" si="2"/>
        <v>00000858732A8</v>
      </c>
      <c r="D35" s="8" t="s">
        <v>711</v>
      </c>
      <c r="E35" t="s">
        <v>712</v>
      </c>
      <c r="F35" t="str">
        <f t="shared" si="0"/>
        <v>MICHAEL WALSH</v>
      </c>
      <c r="H35" s="18" t="s">
        <v>637</v>
      </c>
      <c r="I35" t="str">
        <f t="shared" si="1"/>
        <v>00023200099K67</v>
      </c>
    </row>
    <row r="36" spans="1:9" x14ac:dyDescent="0.25">
      <c r="A36" s="11" t="s">
        <v>409</v>
      </c>
      <c r="B36" t="str">
        <f t="shared" si="2"/>
        <v>00000776552A8</v>
      </c>
      <c r="D36" s="8" t="s">
        <v>713</v>
      </c>
      <c r="E36" t="s">
        <v>714</v>
      </c>
      <c r="F36" t="str">
        <f t="shared" si="0"/>
        <v>Patti Green</v>
      </c>
      <c r="H36" s="18" t="s">
        <v>624</v>
      </c>
      <c r="I36" t="str">
        <f t="shared" si="1"/>
        <v>00023157542K67</v>
      </c>
    </row>
    <row r="37" spans="1:9" x14ac:dyDescent="0.25">
      <c r="A37" s="11" t="s">
        <v>411</v>
      </c>
      <c r="B37" t="str">
        <f t="shared" si="2"/>
        <v>00000782684A8</v>
      </c>
      <c r="D37" s="8" t="s">
        <v>715</v>
      </c>
      <c r="E37" t="s">
        <v>716</v>
      </c>
      <c r="F37" t="str">
        <f t="shared" si="0"/>
        <v>ERIN BRICKER</v>
      </c>
      <c r="H37" s="18" t="s">
        <v>652</v>
      </c>
      <c r="I37" t="str">
        <f t="shared" si="1"/>
        <v>00023184051K67</v>
      </c>
    </row>
    <row r="38" spans="1:9" x14ac:dyDescent="0.25">
      <c r="A38" s="11" t="s">
        <v>390</v>
      </c>
      <c r="B38" t="str">
        <f t="shared" si="2"/>
        <v>00000977750A8</v>
      </c>
      <c r="D38" s="8" t="s">
        <v>717</v>
      </c>
      <c r="E38" t="s">
        <v>718</v>
      </c>
      <c r="F38" t="str">
        <f t="shared" si="0"/>
        <v>MARILYN SCHUMM</v>
      </c>
      <c r="H38" s="18" t="s">
        <v>651</v>
      </c>
      <c r="I38" t="str">
        <f t="shared" si="1"/>
        <v>00023174017K67</v>
      </c>
    </row>
    <row r="39" spans="1:9" x14ac:dyDescent="0.25">
      <c r="A39" s="11" t="s">
        <v>460</v>
      </c>
      <c r="B39" t="str">
        <f t="shared" si="2"/>
        <v>00000817901A8</v>
      </c>
      <c r="D39" s="8" t="s">
        <v>719</v>
      </c>
      <c r="E39" t="s">
        <v>720</v>
      </c>
      <c r="F39" t="str">
        <f t="shared" si="0"/>
        <v>JAMES DRESSER</v>
      </c>
      <c r="H39" s="18" t="s">
        <v>653</v>
      </c>
      <c r="I39" t="str">
        <f t="shared" si="1"/>
        <v>00023187958K67</v>
      </c>
    </row>
    <row r="40" spans="1:9" x14ac:dyDescent="0.25">
      <c r="A40" s="11" t="s">
        <v>394</v>
      </c>
      <c r="B40" t="str">
        <f t="shared" si="2"/>
        <v>00000106089A8</v>
      </c>
      <c r="D40" s="8" t="s">
        <v>679</v>
      </c>
      <c r="E40" t="s">
        <v>721</v>
      </c>
      <c r="F40" t="str">
        <f t="shared" si="0"/>
        <v>SHARON CRAIG</v>
      </c>
      <c r="H40" s="18" t="s">
        <v>654</v>
      </c>
      <c r="I40" t="str">
        <f t="shared" si="1"/>
        <v>00023151397K67</v>
      </c>
    </row>
    <row r="41" spans="1:9" x14ac:dyDescent="0.25">
      <c r="A41" s="11" t="s">
        <v>400</v>
      </c>
      <c r="B41" t="str">
        <f t="shared" si="2"/>
        <v>00000779014A8</v>
      </c>
      <c r="D41" s="8" t="s">
        <v>679</v>
      </c>
      <c r="E41" t="s">
        <v>721</v>
      </c>
      <c r="F41" t="str">
        <f t="shared" si="0"/>
        <v>SHARON CRAIG</v>
      </c>
      <c r="H41" s="18" t="s">
        <v>656</v>
      </c>
      <c r="I41" t="str">
        <f t="shared" si="1"/>
        <v>00023224608K67</v>
      </c>
    </row>
    <row r="42" spans="1:9" x14ac:dyDescent="0.25">
      <c r="A42" s="11" t="s">
        <v>493</v>
      </c>
      <c r="B42" t="str">
        <f t="shared" si="2"/>
        <v>00000973526A8</v>
      </c>
      <c r="D42" s="8" t="s">
        <v>722</v>
      </c>
      <c r="E42" t="s">
        <v>723</v>
      </c>
      <c r="F42" t="str">
        <f t="shared" si="0"/>
        <v>SHARI BRAMMEIER</v>
      </c>
      <c r="H42" s="18" t="s">
        <v>655</v>
      </c>
      <c r="I42" t="str">
        <f t="shared" si="1"/>
        <v>00023171733K67</v>
      </c>
    </row>
    <row r="43" spans="1:9" x14ac:dyDescent="0.25">
      <c r="A43" s="12" t="s">
        <v>392</v>
      </c>
      <c r="B43" t="str">
        <f>CONCATENATE(A43,4)</f>
        <v>90074719704</v>
      </c>
      <c r="D43" s="8" t="s">
        <v>722</v>
      </c>
      <c r="E43" t="s">
        <v>723</v>
      </c>
      <c r="F43" t="str">
        <f t="shared" si="0"/>
        <v>SHARI BRAMMEIER</v>
      </c>
      <c r="H43" s="18" t="s">
        <v>657</v>
      </c>
      <c r="I43" t="str">
        <f t="shared" si="1"/>
        <v>00023213469K67</v>
      </c>
    </row>
    <row r="44" spans="1:9" x14ac:dyDescent="0.25">
      <c r="A44" s="12" t="s">
        <v>383</v>
      </c>
      <c r="B44" t="str">
        <f t="shared" ref="B44:B73" si="3">CONCATENATE(A44,4)</f>
        <v>0000008458194</v>
      </c>
      <c r="D44" s="8" t="s">
        <v>724</v>
      </c>
      <c r="E44" t="s">
        <v>725</v>
      </c>
      <c r="F44" t="str">
        <f t="shared" si="0"/>
        <v>ESTEBAN CARBAJAL</v>
      </c>
    </row>
    <row r="45" spans="1:9" x14ac:dyDescent="0.25">
      <c r="A45" s="12" t="s">
        <v>457</v>
      </c>
      <c r="B45" t="str">
        <f t="shared" si="3"/>
        <v>90299714704</v>
      </c>
      <c r="D45" s="8" t="s">
        <v>726</v>
      </c>
      <c r="E45" t="s">
        <v>727</v>
      </c>
      <c r="F45" t="str">
        <f t="shared" si="0"/>
        <v>TEENA ROSS</v>
      </c>
    </row>
    <row r="46" spans="1:9" x14ac:dyDescent="0.25">
      <c r="A46" s="12" t="s">
        <v>463</v>
      </c>
      <c r="B46" t="str">
        <f t="shared" si="3"/>
        <v>90300053804</v>
      </c>
      <c r="D46" s="8" t="s">
        <v>728</v>
      </c>
      <c r="E46" t="s">
        <v>729</v>
      </c>
      <c r="F46" t="str">
        <f t="shared" si="0"/>
        <v>STEVEN SETRON</v>
      </c>
    </row>
    <row r="47" spans="1:9" x14ac:dyDescent="0.25">
      <c r="A47" s="12" t="s">
        <v>465</v>
      </c>
      <c r="B47" t="str">
        <f t="shared" si="3"/>
        <v>90301085804</v>
      </c>
      <c r="D47" s="8" t="s">
        <v>728</v>
      </c>
      <c r="E47" t="s">
        <v>729</v>
      </c>
      <c r="F47" t="str">
        <f t="shared" si="0"/>
        <v>STEVEN SETRON</v>
      </c>
    </row>
    <row r="48" spans="1:9" x14ac:dyDescent="0.25">
      <c r="A48" s="12" t="s">
        <v>467</v>
      </c>
      <c r="B48" t="str">
        <f t="shared" si="3"/>
        <v>90302678904</v>
      </c>
      <c r="D48" s="8" t="s">
        <v>730</v>
      </c>
      <c r="E48" t="s">
        <v>731</v>
      </c>
      <c r="F48" t="str">
        <f t="shared" si="0"/>
        <v>TIMOTHY STANGL</v>
      </c>
    </row>
    <row r="49" spans="1:6" x14ac:dyDescent="0.25">
      <c r="A49" s="12" t="s">
        <v>353</v>
      </c>
      <c r="B49" t="str">
        <f t="shared" si="3"/>
        <v>90295648604</v>
      </c>
      <c r="D49" s="8" t="s">
        <v>732</v>
      </c>
      <c r="E49" t="s">
        <v>733</v>
      </c>
      <c r="F49" t="str">
        <f t="shared" si="0"/>
        <v>CINDY FATSIS</v>
      </c>
    </row>
    <row r="50" spans="1:6" x14ac:dyDescent="0.25">
      <c r="A50" s="12" t="s">
        <v>357</v>
      </c>
      <c r="B50" t="str">
        <f t="shared" si="3"/>
        <v>90296115204</v>
      </c>
      <c r="D50" s="8" t="s">
        <v>734</v>
      </c>
      <c r="E50" t="s">
        <v>735</v>
      </c>
      <c r="F50" t="str">
        <f t="shared" si="0"/>
        <v>BONNIE VAGNONI</v>
      </c>
    </row>
    <row r="51" spans="1:6" x14ac:dyDescent="0.25">
      <c r="A51" s="12" t="s">
        <v>368</v>
      </c>
      <c r="B51" t="str">
        <f t="shared" si="3"/>
        <v>90297002604</v>
      </c>
      <c r="D51" s="8" t="s">
        <v>736</v>
      </c>
      <c r="E51" t="s">
        <v>737</v>
      </c>
      <c r="F51" t="str">
        <f t="shared" si="0"/>
        <v>DEBORAH HOUSEBERG</v>
      </c>
    </row>
    <row r="52" spans="1:6" x14ac:dyDescent="0.25">
      <c r="A52" s="12" t="s">
        <v>372</v>
      </c>
      <c r="B52" t="str">
        <f t="shared" si="3"/>
        <v>90297660604</v>
      </c>
      <c r="D52" s="8" t="s">
        <v>738</v>
      </c>
      <c r="E52" t="s">
        <v>739</v>
      </c>
      <c r="F52" t="str">
        <f t="shared" si="0"/>
        <v>JACQUELINE TRAINOR</v>
      </c>
    </row>
    <row r="53" spans="1:6" x14ac:dyDescent="0.25">
      <c r="A53" s="12" t="s">
        <v>344</v>
      </c>
      <c r="B53" t="str">
        <f t="shared" si="3"/>
        <v>32490349704</v>
      </c>
      <c r="D53" s="8" t="s">
        <v>740</v>
      </c>
      <c r="E53" t="s">
        <v>741</v>
      </c>
      <c r="F53" t="str">
        <f t="shared" si="0"/>
        <v>STEVE MOFFAT</v>
      </c>
    </row>
    <row r="54" spans="1:6" x14ac:dyDescent="0.25">
      <c r="A54" s="12" t="s">
        <v>347</v>
      </c>
      <c r="B54" t="str">
        <f t="shared" si="3"/>
        <v>90283427404</v>
      </c>
      <c r="D54" s="8" t="s">
        <v>742</v>
      </c>
      <c r="E54" t="s">
        <v>743</v>
      </c>
      <c r="F54" t="str">
        <f t="shared" si="0"/>
        <v>JACK DELVECCHIO</v>
      </c>
    </row>
    <row r="55" spans="1:6" x14ac:dyDescent="0.25">
      <c r="A55" s="12" t="s">
        <v>359</v>
      </c>
      <c r="B55" t="str">
        <f t="shared" si="3"/>
        <v>90296602104</v>
      </c>
      <c r="D55" s="8" t="s">
        <v>744</v>
      </c>
      <c r="E55" t="s">
        <v>745</v>
      </c>
      <c r="F55" t="str">
        <f t="shared" si="0"/>
        <v>DIANA EKSTAM</v>
      </c>
    </row>
    <row r="56" spans="1:6" x14ac:dyDescent="0.25">
      <c r="A56" s="12" t="s">
        <v>370</v>
      </c>
      <c r="B56" t="str">
        <f t="shared" si="3"/>
        <v>90297154704</v>
      </c>
      <c r="D56" s="8" t="s">
        <v>746</v>
      </c>
      <c r="E56" t="s">
        <v>747</v>
      </c>
      <c r="F56" t="str">
        <f t="shared" si="0"/>
        <v>LINDA SDRENKA</v>
      </c>
    </row>
    <row r="57" spans="1:6" x14ac:dyDescent="0.25">
      <c r="A57" s="12" t="s">
        <v>362</v>
      </c>
      <c r="B57" t="str">
        <f t="shared" si="3"/>
        <v>90296856004</v>
      </c>
      <c r="D57" s="8" t="s">
        <v>748</v>
      </c>
      <c r="E57" t="s">
        <v>749</v>
      </c>
      <c r="F57" t="str">
        <f t="shared" si="0"/>
        <v>Rachel Fields</v>
      </c>
    </row>
    <row r="58" spans="1:6" x14ac:dyDescent="0.25">
      <c r="A58" s="12" t="s">
        <v>365</v>
      </c>
      <c r="B58" t="str">
        <f t="shared" si="3"/>
        <v>90296919204</v>
      </c>
      <c r="D58" s="8" t="s">
        <v>750</v>
      </c>
      <c r="E58" t="s">
        <v>751</v>
      </c>
      <c r="F58" t="str">
        <f t="shared" si="0"/>
        <v>CATHERINE KAPPELER</v>
      </c>
    </row>
    <row r="59" spans="1:6" x14ac:dyDescent="0.25">
      <c r="A59" s="12" t="s">
        <v>337</v>
      </c>
      <c r="B59" t="str">
        <f t="shared" si="3"/>
        <v>32084095704</v>
      </c>
      <c r="D59" s="8" t="s">
        <v>752</v>
      </c>
      <c r="E59" t="s">
        <v>753</v>
      </c>
      <c r="F59" t="str">
        <f t="shared" si="0"/>
        <v>TIM JOHNSON</v>
      </c>
    </row>
    <row r="60" spans="1:6" x14ac:dyDescent="0.25">
      <c r="A60" s="12" t="s">
        <v>349</v>
      </c>
      <c r="B60" t="str">
        <f t="shared" si="3"/>
        <v>90284062404</v>
      </c>
      <c r="D60" s="8" t="s">
        <v>754</v>
      </c>
      <c r="E60" t="s">
        <v>755</v>
      </c>
      <c r="F60" t="str">
        <f t="shared" si="0"/>
        <v>VANETTA PINN</v>
      </c>
    </row>
    <row r="61" spans="1:6" x14ac:dyDescent="0.25">
      <c r="A61" s="12" t="s">
        <v>375</v>
      </c>
      <c r="B61" t="str">
        <f t="shared" si="3"/>
        <v>0000004164024</v>
      </c>
      <c r="D61" s="8" t="s">
        <v>756</v>
      </c>
      <c r="E61" t="s">
        <v>757</v>
      </c>
      <c r="F61" t="str">
        <f t="shared" si="0"/>
        <v>NICHOLAS HEDERMAN</v>
      </c>
    </row>
    <row r="62" spans="1:6" x14ac:dyDescent="0.25">
      <c r="A62" s="12" t="s">
        <v>381</v>
      </c>
      <c r="B62" t="str">
        <f t="shared" si="3"/>
        <v>0000004167004</v>
      </c>
      <c r="D62" s="8" t="s">
        <v>758</v>
      </c>
      <c r="E62" t="s">
        <v>759</v>
      </c>
      <c r="F62" t="str">
        <f t="shared" si="0"/>
        <v>DEANNA WILTGEN</v>
      </c>
    </row>
    <row r="63" spans="1:6" x14ac:dyDescent="0.25">
      <c r="A63" s="12" t="s">
        <v>495</v>
      </c>
      <c r="B63" t="str">
        <f t="shared" si="3"/>
        <v>90300471904</v>
      </c>
      <c r="D63" s="8" t="s">
        <v>760</v>
      </c>
      <c r="E63" t="s">
        <v>761</v>
      </c>
      <c r="F63" t="str">
        <f t="shared" si="0"/>
        <v>RICKY MEISNER</v>
      </c>
    </row>
    <row r="64" spans="1:6" x14ac:dyDescent="0.25">
      <c r="A64" s="12" t="s">
        <v>491</v>
      </c>
      <c r="B64" t="str">
        <f t="shared" si="3"/>
        <v>90294550804</v>
      </c>
      <c r="D64" s="8" t="s">
        <v>762</v>
      </c>
      <c r="E64" t="s">
        <v>763</v>
      </c>
      <c r="F64" t="str">
        <f t="shared" si="0"/>
        <v>RANDY BLANK</v>
      </c>
    </row>
    <row r="65" spans="1:6" x14ac:dyDescent="0.25">
      <c r="A65" s="12" t="s">
        <v>351</v>
      </c>
      <c r="B65" t="str">
        <f t="shared" si="3"/>
        <v>90284549304</v>
      </c>
      <c r="D65" s="8" t="s">
        <v>760</v>
      </c>
      <c r="E65" t="s">
        <v>761</v>
      </c>
      <c r="F65" t="str">
        <f t="shared" si="0"/>
        <v>RICKY MEISNER</v>
      </c>
    </row>
    <row r="66" spans="1:6" x14ac:dyDescent="0.25">
      <c r="A66" s="12" t="s">
        <v>367</v>
      </c>
      <c r="B66" t="str">
        <f t="shared" si="3"/>
        <v>90297002504</v>
      </c>
      <c r="D66" s="8" t="s">
        <v>762</v>
      </c>
      <c r="E66" t="s">
        <v>763</v>
      </c>
      <c r="F66" t="str">
        <f t="shared" ref="F66:F129" si="4">CONCATENATE(E66, " ", D66)</f>
        <v>RANDY BLANK</v>
      </c>
    </row>
    <row r="67" spans="1:6" x14ac:dyDescent="0.25">
      <c r="A67" s="12" t="s">
        <v>497</v>
      </c>
      <c r="B67" t="str">
        <f t="shared" si="3"/>
        <v>90302976704</v>
      </c>
      <c r="D67" s="8" t="s">
        <v>764</v>
      </c>
      <c r="E67" t="s">
        <v>765</v>
      </c>
      <c r="F67" t="str">
        <f t="shared" si="4"/>
        <v>RENE LATZKE</v>
      </c>
    </row>
    <row r="68" spans="1:6" x14ac:dyDescent="0.25">
      <c r="A68" s="12" t="s">
        <v>379</v>
      </c>
      <c r="B68" t="str">
        <f t="shared" si="3"/>
        <v>0000004165834</v>
      </c>
      <c r="D68" s="8" t="s">
        <v>766</v>
      </c>
      <c r="E68" t="s">
        <v>767</v>
      </c>
      <c r="F68" t="str">
        <f t="shared" si="4"/>
        <v>KURTISH BEXHETI</v>
      </c>
    </row>
    <row r="69" spans="1:6" x14ac:dyDescent="0.25">
      <c r="A69" s="12" t="s">
        <v>361</v>
      </c>
      <c r="B69" t="str">
        <f t="shared" si="3"/>
        <v>90296855904</v>
      </c>
      <c r="D69" s="8" t="s">
        <v>768</v>
      </c>
      <c r="E69" t="s">
        <v>769</v>
      </c>
      <c r="F69" t="str">
        <f t="shared" si="4"/>
        <v>LISA COLOVOS</v>
      </c>
    </row>
    <row r="70" spans="1:6" x14ac:dyDescent="0.25">
      <c r="A70" s="12" t="s">
        <v>364</v>
      </c>
      <c r="B70" t="str">
        <f t="shared" si="3"/>
        <v>90296919104</v>
      </c>
      <c r="D70" s="8" t="s">
        <v>764</v>
      </c>
      <c r="E70" t="s">
        <v>765</v>
      </c>
      <c r="F70" t="str">
        <f t="shared" si="4"/>
        <v>RENE LATZKE</v>
      </c>
    </row>
    <row r="71" spans="1:6" x14ac:dyDescent="0.25">
      <c r="A71" s="12" t="s">
        <v>375</v>
      </c>
      <c r="B71" t="str">
        <f t="shared" si="3"/>
        <v>0000004164024</v>
      </c>
      <c r="D71" s="8" t="s">
        <v>766</v>
      </c>
      <c r="E71" t="s">
        <v>767</v>
      </c>
      <c r="F71" t="str">
        <f t="shared" si="4"/>
        <v>KURTISH BEXHETI</v>
      </c>
    </row>
    <row r="72" spans="1:6" x14ac:dyDescent="0.25">
      <c r="A72" s="12" t="s">
        <v>381</v>
      </c>
      <c r="B72" t="str">
        <f t="shared" si="3"/>
        <v>0000004167004</v>
      </c>
      <c r="D72" s="8" t="s">
        <v>768</v>
      </c>
      <c r="E72" t="s">
        <v>769</v>
      </c>
      <c r="F72" t="str">
        <f t="shared" si="4"/>
        <v>LISA COLOVOS</v>
      </c>
    </row>
    <row r="73" spans="1:6" x14ac:dyDescent="0.25">
      <c r="A73" s="12" t="s">
        <v>379</v>
      </c>
      <c r="B73" t="str">
        <f t="shared" si="3"/>
        <v>0000004165834</v>
      </c>
      <c r="D73" s="8" t="s">
        <v>764</v>
      </c>
      <c r="E73" t="s">
        <v>770</v>
      </c>
      <c r="F73" t="str">
        <f t="shared" si="4"/>
        <v>GERALD LATZKE</v>
      </c>
    </row>
    <row r="74" spans="1:6" x14ac:dyDescent="0.25">
      <c r="A74" s="8" t="s">
        <v>225</v>
      </c>
      <c r="B74" t="str">
        <f t="shared" ref="B74:B137" si="5">CONCATENATE(A74,6)</f>
        <v>00022700969K6</v>
      </c>
      <c r="D74" s="8" t="s">
        <v>764</v>
      </c>
      <c r="E74" t="s">
        <v>770</v>
      </c>
      <c r="F74" t="str">
        <f t="shared" si="4"/>
        <v>GERALD LATZKE</v>
      </c>
    </row>
    <row r="75" spans="1:6" x14ac:dyDescent="0.25">
      <c r="A75" s="8" t="s">
        <v>225</v>
      </c>
      <c r="B75" t="str">
        <f t="shared" si="5"/>
        <v>00022700969K6</v>
      </c>
      <c r="D75" s="8" t="s">
        <v>771</v>
      </c>
      <c r="E75" t="s">
        <v>772</v>
      </c>
      <c r="F75" t="str">
        <f t="shared" si="4"/>
        <v>KIMBERLY KICINSKI</v>
      </c>
    </row>
    <row r="76" spans="1:6" x14ac:dyDescent="0.25">
      <c r="A76" s="8" t="s">
        <v>290</v>
      </c>
      <c r="B76" t="str">
        <f t="shared" si="5"/>
        <v>00022113555K6</v>
      </c>
      <c r="D76" s="8" t="s">
        <v>773</v>
      </c>
      <c r="E76" t="s">
        <v>774</v>
      </c>
      <c r="F76" t="str">
        <f t="shared" si="4"/>
        <v>DEBRA DAVIS</v>
      </c>
    </row>
    <row r="77" spans="1:6" x14ac:dyDescent="0.25">
      <c r="A77" s="8" t="s">
        <v>191</v>
      </c>
      <c r="B77" t="str">
        <f t="shared" si="5"/>
        <v>00022982390K6</v>
      </c>
      <c r="D77" s="8" t="s">
        <v>775</v>
      </c>
      <c r="E77" t="s">
        <v>776</v>
      </c>
      <c r="F77" t="str">
        <f t="shared" si="4"/>
        <v>LORI CARTER</v>
      </c>
    </row>
    <row r="78" spans="1:6" x14ac:dyDescent="0.25">
      <c r="A78" s="8" t="s">
        <v>104</v>
      </c>
      <c r="B78" t="str">
        <f t="shared" si="5"/>
        <v>00022094137K6</v>
      </c>
      <c r="D78" s="8" t="s">
        <v>777</v>
      </c>
      <c r="E78" t="s">
        <v>778</v>
      </c>
      <c r="F78" t="str">
        <f t="shared" si="4"/>
        <v>SUSAN CHANG</v>
      </c>
    </row>
    <row r="79" spans="1:6" x14ac:dyDescent="0.25">
      <c r="A79" s="8" t="s">
        <v>276</v>
      </c>
      <c r="B79" t="str">
        <f t="shared" si="5"/>
        <v>00022698535K6</v>
      </c>
      <c r="D79" s="8" t="s">
        <v>779</v>
      </c>
      <c r="E79" t="s">
        <v>780</v>
      </c>
      <c r="F79" t="str">
        <f t="shared" si="4"/>
        <v>Kathleen Madigan</v>
      </c>
    </row>
    <row r="80" spans="1:6" x14ac:dyDescent="0.25">
      <c r="A80" s="8" t="s">
        <v>293</v>
      </c>
      <c r="B80" t="str">
        <f t="shared" si="5"/>
        <v>00022524693K6</v>
      </c>
      <c r="D80" s="8" t="s">
        <v>781</v>
      </c>
      <c r="E80" t="s">
        <v>782</v>
      </c>
      <c r="F80" t="str">
        <f t="shared" si="4"/>
        <v>WILLIAM MOMEYER</v>
      </c>
    </row>
    <row r="81" spans="1:6" x14ac:dyDescent="0.25">
      <c r="A81" s="8" t="s">
        <v>159</v>
      </c>
      <c r="B81" t="str">
        <f t="shared" si="5"/>
        <v>00023251126K6</v>
      </c>
      <c r="D81" s="8" t="s">
        <v>783</v>
      </c>
      <c r="E81" t="s">
        <v>774</v>
      </c>
      <c r="F81" t="str">
        <f t="shared" si="4"/>
        <v>DEBRA WILLIAMS</v>
      </c>
    </row>
    <row r="82" spans="1:6" x14ac:dyDescent="0.25">
      <c r="A82" s="8" t="s">
        <v>240</v>
      </c>
      <c r="B82" t="str">
        <f t="shared" si="5"/>
        <v>00023244763K6</v>
      </c>
      <c r="D82" s="8" t="s">
        <v>784</v>
      </c>
      <c r="E82" t="s">
        <v>769</v>
      </c>
      <c r="F82" t="str">
        <f t="shared" si="4"/>
        <v>LISA GRESS</v>
      </c>
    </row>
    <row r="83" spans="1:6" x14ac:dyDescent="0.25">
      <c r="A83" s="8" t="s">
        <v>213</v>
      </c>
      <c r="B83" t="str">
        <f t="shared" si="5"/>
        <v>00023257494K6</v>
      </c>
      <c r="D83" s="8" t="s">
        <v>785</v>
      </c>
      <c r="E83" t="s">
        <v>786</v>
      </c>
      <c r="F83" t="str">
        <f t="shared" si="4"/>
        <v>BRIAN COFFMAN</v>
      </c>
    </row>
    <row r="84" spans="1:6" x14ac:dyDescent="0.25">
      <c r="A84" s="8" t="s">
        <v>44</v>
      </c>
      <c r="B84" t="str">
        <f t="shared" si="5"/>
        <v>00014119498K6</v>
      </c>
      <c r="D84" s="8" t="s">
        <v>679</v>
      </c>
      <c r="E84" t="s">
        <v>787</v>
      </c>
      <c r="F84" t="str">
        <f t="shared" si="4"/>
        <v>BARBARA CRAIG</v>
      </c>
    </row>
    <row r="85" spans="1:6" x14ac:dyDescent="0.25">
      <c r="A85" s="8" t="s">
        <v>72</v>
      </c>
      <c r="B85" t="str">
        <f t="shared" si="5"/>
        <v>00023243657K6</v>
      </c>
      <c r="D85" s="8" t="s">
        <v>788</v>
      </c>
      <c r="E85" t="s">
        <v>789</v>
      </c>
      <c r="F85" t="str">
        <f t="shared" si="4"/>
        <v>DENISE BARNER</v>
      </c>
    </row>
    <row r="86" spans="1:6" x14ac:dyDescent="0.25">
      <c r="A86" s="8" t="s">
        <v>156</v>
      </c>
      <c r="B86" t="str">
        <f t="shared" si="5"/>
        <v>00023250215K6</v>
      </c>
      <c r="D86" s="8" t="s">
        <v>679</v>
      </c>
      <c r="E86" t="s">
        <v>790</v>
      </c>
      <c r="F86" t="str">
        <f t="shared" si="4"/>
        <v>DONALD CRAIG</v>
      </c>
    </row>
    <row r="87" spans="1:6" x14ac:dyDescent="0.25">
      <c r="A87" s="8" t="s">
        <v>220</v>
      </c>
      <c r="B87" t="str">
        <f t="shared" si="5"/>
        <v>00023257863K6</v>
      </c>
      <c r="D87" s="8" t="s">
        <v>791</v>
      </c>
      <c r="E87" t="s">
        <v>792</v>
      </c>
      <c r="F87" t="str">
        <f t="shared" si="4"/>
        <v>MAUREEN REBMANN</v>
      </c>
    </row>
    <row r="88" spans="1:6" x14ac:dyDescent="0.25">
      <c r="A88" s="8" t="s">
        <v>243</v>
      </c>
      <c r="B88" t="str">
        <f t="shared" si="5"/>
        <v>00023250929K6</v>
      </c>
      <c r="D88" s="8" t="s">
        <v>791</v>
      </c>
      <c r="E88" t="s">
        <v>793</v>
      </c>
      <c r="F88" t="str">
        <f t="shared" si="4"/>
        <v>EDWARD REBMANN</v>
      </c>
    </row>
    <row r="89" spans="1:6" x14ac:dyDescent="0.25">
      <c r="A89" s="8" t="s">
        <v>314</v>
      </c>
      <c r="B89" t="str">
        <f t="shared" si="5"/>
        <v>00023259320K6</v>
      </c>
      <c r="D89" s="8" t="s">
        <v>794</v>
      </c>
      <c r="E89" t="s">
        <v>795</v>
      </c>
      <c r="F89" t="str">
        <f t="shared" si="4"/>
        <v>ROBIN GILDEN</v>
      </c>
    </row>
    <row r="90" spans="1:6" x14ac:dyDescent="0.25">
      <c r="A90" s="8" t="s">
        <v>317</v>
      </c>
      <c r="B90" t="str">
        <f t="shared" si="5"/>
        <v>00023259955K6</v>
      </c>
      <c r="D90" s="8" t="s">
        <v>796</v>
      </c>
      <c r="E90" t="s">
        <v>797</v>
      </c>
      <c r="F90" t="str">
        <f t="shared" si="4"/>
        <v>DAVID SCISCIANI</v>
      </c>
    </row>
    <row r="91" spans="1:6" x14ac:dyDescent="0.25">
      <c r="A91" s="8" t="s">
        <v>327</v>
      </c>
      <c r="B91" t="str">
        <f t="shared" si="5"/>
        <v>00023187920K6</v>
      </c>
      <c r="D91" s="8" t="s">
        <v>798</v>
      </c>
      <c r="E91" t="s">
        <v>669</v>
      </c>
      <c r="F91" t="str">
        <f t="shared" si="4"/>
        <v>JOHN KELLY</v>
      </c>
    </row>
    <row r="92" spans="1:6" x14ac:dyDescent="0.25">
      <c r="A92" s="8" t="s">
        <v>188</v>
      </c>
      <c r="B92" t="str">
        <f t="shared" si="5"/>
        <v>00022958376K6</v>
      </c>
      <c r="D92" s="8" t="s">
        <v>798</v>
      </c>
      <c r="E92" t="s">
        <v>799</v>
      </c>
      <c r="F92" t="str">
        <f t="shared" si="4"/>
        <v>DARCY KELLY</v>
      </c>
    </row>
    <row r="93" spans="1:6" x14ac:dyDescent="0.25">
      <c r="A93" s="8" t="s">
        <v>207</v>
      </c>
      <c r="B93" t="str">
        <f t="shared" si="5"/>
        <v>00023234567K6</v>
      </c>
      <c r="D93" s="8" t="s">
        <v>800</v>
      </c>
      <c r="E93" t="s">
        <v>801</v>
      </c>
      <c r="F93" t="str">
        <f t="shared" si="4"/>
        <v>LYNNE HARPER</v>
      </c>
    </row>
    <row r="94" spans="1:6" x14ac:dyDescent="0.25">
      <c r="A94" s="8" t="s">
        <v>262</v>
      </c>
      <c r="B94" t="str">
        <f t="shared" si="5"/>
        <v>00022965116K6</v>
      </c>
      <c r="D94" s="8" t="s">
        <v>802</v>
      </c>
      <c r="E94" t="s">
        <v>790</v>
      </c>
      <c r="F94" t="str">
        <f t="shared" si="4"/>
        <v>DONALD SPROUSE</v>
      </c>
    </row>
    <row r="95" spans="1:6" x14ac:dyDescent="0.25">
      <c r="A95" s="8" t="s">
        <v>265</v>
      </c>
      <c r="B95" t="str">
        <f t="shared" si="5"/>
        <v>00022969890K6</v>
      </c>
      <c r="D95" s="8" t="s">
        <v>803</v>
      </c>
      <c r="E95" t="s">
        <v>682</v>
      </c>
      <c r="F95" t="str">
        <f t="shared" si="4"/>
        <v>THOMAS HINKLE</v>
      </c>
    </row>
    <row r="96" spans="1:6" x14ac:dyDescent="0.25">
      <c r="A96" s="8" t="s">
        <v>302</v>
      </c>
      <c r="B96" t="str">
        <f t="shared" si="5"/>
        <v>00023190021K6</v>
      </c>
      <c r="D96" s="8" t="s">
        <v>804</v>
      </c>
      <c r="E96" t="s">
        <v>805</v>
      </c>
      <c r="F96" t="str">
        <f t="shared" si="4"/>
        <v>Massimo Ferrari</v>
      </c>
    </row>
    <row r="97" spans="1:6" x14ac:dyDescent="0.25">
      <c r="A97" s="8" t="s">
        <v>69</v>
      </c>
      <c r="B97" t="str">
        <f t="shared" si="5"/>
        <v>00023241263K6</v>
      </c>
      <c r="D97" s="8" t="s">
        <v>806</v>
      </c>
      <c r="E97" t="s">
        <v>807</v>
      </c>
      <c r="F97" t="str">
        <f t="shared" si="4"/>
        <v>William Carr</v>
      </c>
    </row>
    <row r="98" spans="1:6" x14ac:dyDescent="0.25">
      <c r="A98" s="8" t="s">
        <v>97</v>
      </c>
      <c r="B98" t="str">
        <f t="shared" si="5"/>
        <v>00023247603K6</v>
      </c>
      <c r="D98" s="8" t="s">
        <v>682</v>
      </c>
      <c r="E98" t="s">
        <v>790</v>
      </c>
      <c r="F98" t="str">
        <f t="shared" si="4"/>
        <v>DONALD THOMAS</v>
      </c>
    </row>
    <row r="99" spans="1:6" x14ac:dyDescent="0.25">
      <c r="A99" s="8" t="s">
        <v>147</v>
      </c>
      <c r="B99" t="str">
        <f t="shared" si="5"/>
        <v>00023242232K6</v>
      </c>
      <c r="D99" s="8" t="s">
        <v>682</v>
      </c>
      <c r="E99" t="s">
        <v>790</v>
      </c>
      <c r="F99" t="str">
        <f t="shared" si="4"/>
        <v>DONALD THOMAS</v>
      </c>
    </row>
    <row r="100" spans="1:6" x14ac:dyDescent="0.25">
      <c r="A100" s="8" t="s">
        <v>150</v>
      </c>
      <c r="B100" t="str">
        <f t="shared" si="5"/>
        <v>00023243949K6</v>
      </c>
      <c r="D100" s="8" t="s">
        <v>808</v>
      </c>
      <c r="E100" t="s">
        <v>809</v>
      </c>
      <c r="F100" t="str">
        <f t="shared" si="4"/>
        <v>DUDLEY HINEGARDNER</v>
      </c>
    </row>
    <row r="101" spans="1:6" x14ac:dyDescent="0.25">
      <c r="A101" s="8" t="s">
        <v>153</v>
      </c>
      <c r="B101" t="str">
        <f t="shared" si="5"/>
        <v>00023247495K6</v>
      </c>
      <c r="D101" s="8" t="s">
        <v>810</v>
      </c>
      <c r="E101" t="s">
        <v>774</v>
      </c>
      <c r="F101" t="str">
        <f t="shared" si="4"/>
        <v>DEBRA BECK</v>
      </c>
    </row>
    <row r="102" spans="1:6" x14ac:dyDescent="0.25">
      <c r="A102" s="8" t="s">
        <v>210</v>
      </c>
      <c r="B102" t="str">
        <f t="shared" si="5"/>
        <v>00023245997K6</v>
      </c>
      <c r="D102" s="8" t="s">
        <v>811</v>
      </c>
      <c r="E102" t="s">
        <v>812</v>
      </c>
      <c r="F102" t="str">
        <f t="shared" si="4"/>
        <v>ELIZABETH PARADIS</v>
      </c>
    </row>
    <row r="103" spans="1:6" x14ac:dyDescent="0.25">
      <c r="A103" s="8" t="s">
        <v>251</v>
      </c>
      <c r="B103" t="str">
        <f t="shared" si="5"/>
        <v>00023247398K6</v>
      </c>
      <c r="D103" s="8" t="s">
        <v>813</v>
      </c>
      <c r="E103" t="s">
        <v>814</v>
      </c>
      <c r="F103" t="str">
        <f t="shared" si="4"/>
        <v>LLC DIMEX</v>
      </c>
    </row>
    <row r="104" spans="1:6" x14ac:dyDescent="0.25">
      <c r="A104" s="8" t="s">
        <v>331</v>
      </c>
      <c r="B104" t="str">
        <f t="shared" si="5"/>
        <v>00019870511K6</v>
      </c>
      <c r="D104" s="8" t="s">
        <v>815</v>
      </c>
      <c r="E104" t="s">
        <v>778</v>
      </c>
      <c r="F104" t="str">
        <f t="shared" si="4"/>
        <v>SUSAN HICKMAN</v>
      </c>
    </row>
    <row r="105" spans="1:6" x14ac:dyDescent="0.25">
      <c r="A105" s="8" t="s">
        <v>185</v>
      </c>
      <c r="B105" t="str">
        <f t="shared" si="5"/>
        <v>00010438260K6</v>
      </c>
      <c r="D105" s="8" t="s">
        <v>815</v>
      </c>
      <c r="E105" t="s">
        <v>778</v>
      </c>
      <c r="F105" t="str">
        <f t="shared" si="4"/>
        <v>SUSAN HICKMAN</v>
      </c>
    </row>
    <row r="106" spans="1:6" x14ac:dyDescent="0.25">
      <c r="A106" s="8" t="s">
        <v>117</v>
      </c>
      <c r="B106" t="str">
        <f t="shared" si="5"/>
        <v>00023163634K6</v>
      </c>
      <c r="D106" s="8" t="s">
        <v>816</v>
      </c>
      <c r="E106" t="s">
        <v>817</v>
      </c>
      <c r="F106" t="str">
        <f t="shared" si="4"/>
        <v>DANIELA BURTON</v>
      </c>
    </row>
    <row r="107" spans="1:6" x14ac:dyDescent="0.25">
      <c r="A107" s="8" t="s">
        <v>129</v>
      </c>
      <c r="B107" t="str">
        <f t="shared" si="5"/>
        <v>00021086243K6</v>
      </c>
      <c r="D107" s="8" t="s">
        <v>818</v>
      </c>
      <c r="E107" t="s">
        <v>819</v>
      </c>
      <c r="F107" t="str">
        <f t="shared" si="4"/>
        <v>JOSEPH MAROLA</v>
      </c>
    </row>
    <row r="108" spans="1:6" x14ac:dyDescent="0.25">
      <c r="A108" s="8" t="s">
        <v>138</v>
      </c>
      <c r="B108" t="str">
        <f t="shared" si="5"/>
        <v>00023151593K6</v>
      </c>
      <c r="D108" s="8" t="s">
        <v>820</v>
      </c>
      <c r="E108" t="s">
        <v>821</v>
      </c>
      <c r="F108" t="str">
        <f t="shared" si="4"/>
        <v>FRANK JERZ</v>
      </c>
    </row>
    <row r="109" spans="1:6" x14ac:dyDescent="0.25">
      <c r="A109" s="8" t="s">
        <v>255</v>
      </c>
      <c r="B109" t="str">
        <f t="shared" si="5"/>
        <v>00023146640K6</v>
      </c>
      <c r="D109" s="8" t="s">
        <v>822</v>
      </c>
      <c r="E109" t="s">
        <v>823</v>
      </c>
      <c r="F109" t="str">
        <f t="shared" si="4"/>
        <v>KATHY DEJESUS</v>
      </c>
    </row>
    <row r="110" spans="1:6" x14ac:dyDescent="0.25">
      <c r="A110" s="8" t="s">
        <v>258</v>
      </c>
      <c r="B110" t="str">
        <f t="shared" si="5"/>
        <v>00023146818K6</v>
      </c>
      <c r="D110" s="8" t="s">
        <v>824</v>
      </c>
      <c r="E110" t="s">
        <v>825</v>
      </c>
      <c r="F110" t="str">
        <f t="shared" si="4"/>
        <v>MARY ALAGHEBAND</v>
      </c>
    </row>
    <row r="111" spans="1:6" x14ac:dyDescent="0.25">
      <c r="A111" s="8" t="s">
        <v>296</v>
      </c>
      <c r="B111" t="str">
        <f t="shared" si="5"/>
        <v>00023146576K6</v>
      </c>
      <c r="D111" s="8" t="s">
        <v>822</v>
      </c>
      <c r="E111" t="s">
        <v>823</v>
      </c>
      <c r="F111" t="str">
        <f t="shared" si="4"/>
        <v>KATHY DEJESUS</v>
      </c>
    </row>
    <row r="112" spans="1:6" x14ac:dyDescent="0.25">
      <c r="A112" s="8" t="s">
        <v>117</v>
      </c>
      <c r="B112" t="str">
        <f t="shared" si="5"/>
        <v>00023163634K6</v>
      </c>
      <c r="D112" s="8" t="s">
        <v>824</v>
      </c>
      <c r="E112" t="s">
        <v>825</v>
      </c>
      <c r="F112" t="str">
        <f t="shared" si="4"/>
        <v>MARY ALAGHEBAND</v>
      </c>
    </row>
    <row r="113" spans="1:6" x14ac:dyDescent="0.25">
      <c r="A113" s="8" t="s">
        <v>129</v>
      </c>
      <c r="B113" t="str">
        <f t="shared" si="5"/>
        <v>00021086243K6</v>
      </c>
      <c r="D113" s="8" t="s">
        <v>826</v>
      </c>
      <c r="E113" t="s">
        <v>776</v>
      </c>
      <c r="F113" t="str">
        <f t="shared" si="4"/>
        <v>LORI CERNY</v>
      </c>
    </row>
    <row r="114" spans="1:6" x14ac:dyDescent="0.25">
      <c r="A114" s="8" t="s">
        <v>138</v>
      </c>
      <c r="B114" t="str">
        <f t="shared" si="5"/>
        <v>00023151593K6</v>
      </c>
      <c r="D114" s="8" t="s">
        <v>826</v>
      </c>
      <c r="E114" t="s">
        <v>776</v>
      </c>
      <c r="F114" t="str">
        <f t="shared" si="4"/>
        <v>LORI CERNY</v>
      </c>
    </row>
    <row r="115" spans="1:6" x14ac:dyDescent="0.25">
      <c r="A115" s="8" t="s">
        <v>255</v>
      </c>
      <c r="B115" t="str">
        <f t="shared" si="5"/>
        <v>00023146640K6</v>
      </c>
      <c r="D115" s="8" t="s">
        <v>827</v>
      </c>
      <c r="E115" t="s">
        <v>828</v>
      </c>
      <c r="F115" t="str">
        <f t="shared" si="4"/>
        <v>ELAINE GREGORY</v>
      </c>
    </row>
    <row r="116" spans="1:6" x14ac:dyDescent="0.25">
      <c r="A116" s="8" t="s">
        <v>258</v>
      </c>
      <c r="B116" t="str">
        <f t="shared" si="5"/>
        <v>00023146818K6</v>
      </c>
      <c r="D116" s="8" t="s">
        <v>783</v>
      </c>
      <c r="E116" t="s">
        <v>829</v>
      </c>
      <c r="F116" t="str">
        <f t="shared" si="4"/>
        <v>MARJORIE WILLIAMS</v>
      </c>
    </row>
    <row r="117" spans="1:6" x14ac:dyDescent="0.25">
      <c r="A117" s="8" t="s">
        <v>296</v>
      </c>
      <c r="B117" t="str">
        <f t="shared" si="5"/>
        <v>00023146576K6</v>
      </c>
      <c r="D117" s="8" t="s">
        <v>830</v>
      </c>
      <c r="E117" t="s">
        <v>831</v>
      </c>
      <c r="F117" t="str">
        <f t="shared" si="4"/>
        <v>LESLIE NEWMAN</v>
      </c>
    </row>
    <row r="118" spans="1:6" x14ac:dyDescent="0.25">
      <c r="A118" s="8" t="s">
        <v>62</v>
      </c>
      <c r="B118" t="str">
        <f t="shared" si="5"/>
        <v>00023222045K6</v>
      </c>
      <c r="D118" s="8" t="s">
        <v>783</v>
      </c>
      <c r="E118" t="s">
        <v>832</v>
      </c>
      <c r="F118" t="str">
        <f t="shared" si="4"/>
        <v>DENNIS WILLIAMS</v>
      </c>
    </row>
    <row r="119" spans="1:6" x14ac:dyDescent="0.25">
      <c r="A119" s="8" t="s">
        <v>66</v>
      </c>
      <c r="B119" t="str">
        <f t="shared" si="5"/>
        <v>00023231591K6</v>
      </c>
      <c r="D119" s="8" t="s">
        <v>833</v>
      </c>
      <c r="E119" t="s">
        <v>834</v>
      </c>
      <c r="F119" t="str">
        <f t="shared" si="4"/>
        <v>SCOTT GRIFFITH</v>
      </c>
    </row>
    <row r="120" spans="1:6" x14ac:dyDescent="0.25">
      <c r="A120" s="8" t="s">
        <v>78</v>
      </c>
      <c r="B120" t="str">
        <f t="shared" si="5"/>
        <v>00023154874K6</v>
      </c>
      <c r="D120" s="8" t="s">
        <v>833</v>
      </c>
      <c r="E120" t="s">
        <v>834</v>
      </c>
      <c r="F120" t="str">
        <f t="shared" si="4"/>
        <v>SCOTT GRIFFITH</v>
      </c>
    </row>
    <row r="121" spans="1:6" x14ac:dyDescent="0.25">
      <c r="A121" s="8" t="s">
        <v>81</v>
      </c>
      <c r="B121" t="str">
        <f t="shared" si="5"/>
        <v>00023157542K6</v>
      </c>
      <c r="D121" s="8" t="s">
        <v>835</v>
      </c>
      <c r="E121" t="s">
        <v>836</v>
      </c>
      <c r="F121" t="str">
        <f t="shared" si="4"/>
        <v>MICHELE CHIRICO</v>
      </c>
    </row>
    <row r="122" spans="1:6" x14ac:dyDescent="0.25">
      <c r="A122" s="8" t="s">
        <v>90</v>
      </c>
      <c r="B122" t="str">
        <f t="shared" si="5"/>
        <v>00023185259K6</v>
      </c>
      <c r="D122" s="8" t="s">
        <v>783</v>
      </c>
      <c r="E122" t="s">
        <v>837</v>
      </c>
      <c r="F122" t="str">
        <f t="shared" si="4"/>
        <v>MARGARET WILLIAMS</v>
      </c>
    </row>
    <row r="123" spans="1:6" x14ac:dyDescent="0.25">
      <c r="A123" s="8" t="s">
        <v>93</v>
      </c>
      <c r="B123" t="str">
        <f t="shared" si="5"/>
        <v>00023186504K6</v>
      </c>
      <c r="D123" s="8" t="s">
        <v>838</v>
      </c>
      <c r="E123" t="s">
        <v>839</v>
      </c>
      <c r="F123" t="str">
        <f t="shared" si="4"/>
        <v>KENNETH WARLICK</v>
      </c>
    </row>
    <row r="124" spans="1:6" x14ac:dyDescent="0.25">
      <c r="A124" s="8" t="s">
        <v>101</v>
      </c>
      <c r="B124" t="str">
        <f t="shared" si="5"/>
        <v>00021558272K6</v>
      </c>
      <c r="D124" s="8" t="s">
        <v>840</v>
      </c>
      <c r="E124" t="s">
        <v>782</v>
      </c>
      <c r="F124" t="str">
        <f t="shared" si="4"/>
        <v>WILLIAM SIMONET</v>
      </c>
    </row>
    <row r="125" spans="1:6" x14ac:dyDescent="0.25">
      <c r="A125" s="8" t="s">
        <v>110</v>
      </c>
      <c r="B125" t="str">
        <f t="shared" si="5"/>
        <v>00023183658K6</v>
      </c>
      <c r="D125" s="8" t="s">
        <v>841</v>
      </c>
      <c r="E125" t="s">
        <v>842</v>
      </c>
      <c r="F125" t="str">
        <f t="shared" si="4"/>
        <v>KEVIN THOMPSON</v>
      </c>
    </row>
    <row r="126" spans="1:6" x14ac:dyDescent="0.25">
      <c r="A126" s="8" t="s">
        <v>113</v>
      </c>
      <c r="B126" t="str">
        <f t="shared" si="5"/>
        <v>00023203793K6</v>
      </c>
      <c r="D126" s="8" t="s">
        <v>843</v>
      </c>
      <c r="E126" t="s">
        <v>844</v>
      </c>
      <c r="F126" t="str">
        <f t="shared" si="4"/>
        <v>JEROME EDWARDS</v>
      </c>
    </row>
    <row r="127" spans="1:6" x14ac:dyDescent="0.25">
      <c r="A127" s="8" t="s">
        <v>125</v>
      </c>
      <c r="B127" t="str">
        <f t="shared" si="5"/>
        <v>00023204136K6</v>
      </c>
      <c r="D127" s="8" t="s">
        <v>845</v>
      </c>
      <c r="E127" t="s">
        <v>846</v>
      </c>
      <c r="F127" t="str">
        <f t="shared" si="4"/>
        <v>Barbara Johnston</v>
      </c>
    </row>
    <row r="128" spans="1:6" x14ac:dyDescent="0.25">
      <c r="A128" s="8" t="s">
        <v>135</v>
      </c>
      <c r="B128" t="str">
        <f t="shared" si="5"/>
        <v>00023151464K6</v>
      </c>
      <c r="D128" s="8" t="s">
        <v>847</v>
      </c>
      <c r="E128" t="s">
        <v>848</v>
      </c>
      <c r="F128" t="str">
        <f t="shared" si="4"/>
        <v>Michelle McCorkle</v>
      </c>
    </row>
    <row r="129" spans="1:6" x14ac:dyDescent="0.25">
      <c r="A129" s="8" t="s">
        <v>141</v>
      </c>
      <c r="B129" t="str">
        <f t="shared" si="5"/>
        <v>00023174321K6</v>
      </c>
      <c r="D129" s="8" t="s">
        <v>849</v>
      </c>
      <c r="E129" t="s">
        <v>700</v>
      </c>
      <c r="F129" t="str">
        <f t="shared" si="4"/>
        <v>Angela Ricciuti</v>
      </c>
    </row>
    <row r="130" spans="1:6" x14ac:dyDescent="0.25">
      <c r="A130" s="8" t="s">
        <v>144</v>
      </c>
      <c r="B130" t="str">
        <f t="shared" si="5"/>
        <v>00023177736K6</v>
      </c>
      <c r="D130" s="8" t="s">
        <v>850</v>
      </c>
      <c r="E130" t="s">
        <v>851</v>
      </c>
      <c r="F130" t="str">
        <f t="shared" ref="F130:F193" si="6">CONCATENATE(E130, " ", D130)</f>
        <v>MYRNA HECKMAN</v>
      </c>
    </row>
    <row r="131" spans="1:6" x14ac:dyDescent="0.25">
      <c r="A131" s="8" t="s">
        <v>169</v>
      </c>
      <c r="B131" t="str">
        <f t="shared" si="5"/>
        <v>00023163873K6</v>
      </c>
      <c r="D131" s="8" t="s">
        <v>850</v>
      </c>
      <c r="E131" t="s">
        <v>851</v>
      </c>
      <c r="F131" t="str">
        <f t="shared" si="6"/>
        <v>MYRNA HECKMAN</v>
      </c>
    </row>
    <row r="132" spans="1:6" x14ac:dyDescent="0.25">
      <c r="A132" s="8" t="s">
        <v>172</v>
      </c>
      <c r="B132" t="str">
        <f t="shared" si="5"/>
        <v>00023188842K6</v>
      </c>
      <c r="D132" s="8" t="s">
        <v>852</v>
      </c>
      <c r="E132" t="s">
        <v>853</v>
      </c>
      <c r="F132" t="str">
        <f t="shared" si="6"/>
        <v>MARK CARR</v>
      </c>
    </row>
    <row r="133" spans="1:6" x14ac:dyDescent="0.25">
      <c r="A133" s="8" t="s">
        <v>195</v>
      </c>
      <c r="B133" t="str">
        <f t="shared" si="5"/>
        <v>00023161838K6</v>
      </c>
      <c r="D133" s="8" t="s">
        <v>854</v>
      </c>
      <c r="E133" t="s">
        <v>855</v>
      </c>
      <c r="F133" t="str">
        <f t="shared" si="6"/>
        <v>ROBERT OSTENSEN</v>
      </c>
    </row>
    <row r="134" spans="1:6" x14ac:dyDescent="0.25">
      <c r="A134" s="8" t="s">
        <v>198</v>
      </c>
      <c r="B134" t="str">
        <f t="shared" si="5"/>
        <v>00023200099K6</v>
      </c>
      <c r="D134" s="8" t="s">
        <v>856</v>
      </c>
      <c r="E134" t="s">
        <v>857</v>
      </c>
      <c r="F134" t="str">
        <f t="shared" si="6"/>
        <v>RENEE FITZPATRICK</v>
      </c>
    </row>
    <row r="135" spans="1:6" x14ac:dyDescent="0.25">
      <c r="A135" s="8" t="s">
        <v>201</v>
      </c>
      <c r="B135" t="str">
        <f t="shared" si="5"/>
        <v>00023224834K6</v>
      </c>
      <c r="D135" s="8" t="s">
        <v>858</v>
      </c>
      <c r="E135" t="s">
        <v>859</v>
      </c>
      <c r="F135" t="str">
        <f t="shared" si="6"/>
        <v>LEE DO</v>
      </c>
    </row>
    <row r="136" spans="1:6" x14ac:dyDescent="0.25">
      <c r="A136" s="8" t="s">
        <v>204</v>
      </c>
      <c r="B136" t="str">
        <f t="shared" si="5"/>
        <v>00023224844K6</v>
      </c>
      <c r="D136" s="8" t="s">
        <v>860</v>
      </c>
      <c r="E136" t="s">
        <v>861</v>
      </c>
      <c r="F136" t="str">
        <f t="shared" si="6"/>
        <v>ALEJOS MARTINEZ</v>
      </c>
    </row>
    <row r="137" spans="1:6" x14ac:dyDescent="0.25">
      <c r="A137" s="8" t="s">
        <v>217</v>
      </c>
      <c r="B137" t="str">
        <f t="shared" si="5"/>
        <v>00023202122K6</v>
      </c>
      <c r="D137" s="8" t="s">
        <v>856</v>
      </c>
      <c r="E137" t="s">
        <v>857</v>
      </c>
      <c r="F137" t="str">
        <f t="shared" si="6"/>
        <v>RENEE FITZPATRICK</v>
      </c>
    </row>
    <row r="138" spans="1:6" x14ac:dyDescent="0.25">
      <c r="A138" s="8" t="s">
        <v>228</v>
      </c>
      <c r="B138" t="str">
        <f t="shared" ref="B138:B191" si="7">CONCATENATE(A138,6)</f>
        <v>00023178815K6</v>
      </c>
      <c r="D138" s="8" t="s">
        <v>858</v>
      </c>
      <c r="E138" t="s">
        <v>859</v>
      </c>
      <c r="F138" t="str">
        <f t="shared" si="6"/>
        <v>LEE DO</v>
      </c>
    </row>
    <row r="139" spans="1:6" x14ac:dyDescent="0.25">
      <c r="A139" s="8" t="s">
        <v>234</v>
      </c>
      <c r="B139" t="str">
        <f t="shared" si="7"/>
        <v>00023203836K6</v>
      </c>
      <c r="D139" s="8" t="s">
        <v>860</v>
      </c>
      <c r="E139" t="s">
        <v>861</v>
      </c>
      <c r="F139" t="str">
        <f t="shared" si="6"/>
        <v>ALEJOS MARTINEZ</v>
      </c>
    </row>
    <row r="140" spans="1:6" x14ac:dyDescent="0.25">
      <c r="A140" s="8" t="s">
        <v>237</v>
      </c>
      <c r="B140" t="str">
        <f t="shared" si="7"/>
        <v>00023235653K6</v>
      </c>
      <c r="D140" s="8" t="s">
        <v>862</v>
      </c>
      <c r="E140" t="s">
        <v>863</v>
      </c>
      <c r="F140" t="str">
        <f t="shared" si="6"/>
        <v>WALTER KERLIN</v>
      </c>
    </row>
    <row r="141" spans="1:6" x14ac:dyDescent="0.25">
      <c r="A141" s="8" t="s">
        <v>268</v>
      </c>
      <c r="B141" t="str">
        <f t="shared" si="7"/>
        <v>00023154864K6</v>
      </c>
      <c r="D141" s="8" t="s">
        <v>862</v>
      </c>
      <c r="E141" t="s">
        <v>863</v>
      </c>
      <c r="F141" t="str">
        <f t="shared" si="6"/>
        <v>WALTER KERLIN</v>
      </c>
    </row>
    <row r="142" spans="1:6" x14ac:dyDescent="0.25">
      <c r="A142" s="8" t="s">
        <v>271</v>
      </c>
      <c r="B142" t="str">
        <f t="shared" si="7"/>
        <v>00023195200K6</v>
      </c>
      <c r="D142" s="8" t="s">
        <v>864</v>
      </c>
      <c r="E142" t="s">
        <v>721</v>
      </c>
      <c r="F142" t="str">
        <f t="shared" si="6"/>
        <v>SHARON MCGINLEY</v>
      </c>
    </row>
    <row r="143" spans="1:6" x14ac:dyDescent="0.25">
      <c r="A143" s="8" t="s">
        <v>279</v>
      </c>
      <c r="B143" t="str">
        <f t="shared" si="7"/>
        <v>00023222148K6</v>
      </c>
      <c r="D143" s="8" t="s">
        <v>865</v>
      </c>
      <c r="E143" t="s">
        <v>866</v>
      </c>
      <c r="F143" t="str">
        <f t="shared" si="6"/>
        <v>VEDANAND SINGH</v>
      </c>
    </row>
    <row r="144" spans="1:6" x14ac:dyDescent="0.25">
      <c r="A144" s="8" t="s">
        <v>283</v>
      </c>
      <c r="B144" t="str">
        <f t="shared" si="7"/>
        <v>00023200476K6</v>
      </c>
      <c r="D144" s="8" t="s">
        <v>867</v>
      </c>
      <c r="E144" t="s">
        <v>868</v>
      </c>
      <c r="F144" t="str">
        <f t="shared" si="6"/>
        <v>MATTHEW LENHART</v>
      </c>
    </row>
    <row r="145" spans="1:6" x14ac:dyDescent="0.25">
      <c r="A145" s="8" t="s">
        <v>286</v>
      </c>
      <c r="B145" t="str">
        <f t="shared" si="7"/>
        <v>00023222214K6</v>
      </c>
      <c r="D145" s="8" t="s">
        <v>867</v>
      </c>
      <c r="E145" t="s">
        <v>868</v>
      </c>
      <c r="F145" t="str">
        <f t="shared" si="6"/>
        <v>MATTHEW LENHART</v>
      </c>
    </row>
    <row r="146" spans="1:6" x14ac:dyDescent="0.25">
      <c r="A146" s="8" t="s">
        <v>306</v>
      </c>
      <c r="B146" t="str">
        <f t="shared" si="7"/>
        <v>00023184274K6</v>
      </c>
      <c r="D146" s="8" t="s">
        <v>869</v>
      </c>
      <c r="E146" t="s">
        <v>870</v>
      </c>
      <c r="F146" t="str">
        <f t="shared" si="6"/>
        <v>JUDI DELTORO</v>
      </c>
    </row>
    <row r="147" spans="1:6" x14ac:dyDescent="0.25">
      <c r="A147" s="8" t="s">
        <v>334</v>
      </c>
      <c r="B147" t="str">
        <f t="shared" si="7"/>
        <v>00023208350K6</v>
      </c>
      <c r="D147" s="8" t="s">
        <v>869</v>
      </c>
      <c r="E147" t="s">
        <v>870</v>
      </c>
      <c r="F147" t="str">
        <f t="shared" si="6"/>
        <v>JUDI DELTORO</v>
      </c>
    </row>
    <row r="148" spans="1:6" x14ac:dyDescent="0.25">
      <c r="A148" s="8" t="s">
        <v>62</v>
      </c>
      <c r="B148" t="str">
        <f t="shared" si="7"/>
        <v>00023222045K6</v>
      </c>
      <c r="D148" s="8" t="s">
        <v>871</v>
      </c>
      <c r="E148" t="s">
        <v>872</v>
      </c>
      <c r="F148" t="str">
        <f t="shared" si="6"/>
        <v>TINA POOLE</v>
      </c>
    </row>
    <row r="149" spans="1:6" x14ac:dyDescent="0.25">
      <c r="A149" s="8" t="s">
        <v>66</v>
      </c>
      <c r="B149" t="str">
        <f t="shared" si="7"/>
        <v>00023231591K6</v>
      </c>
      <c r="D149" s="8" t="s">
        <v>873</v>
      </c>
      <c r="E149" t="s">
        <v>825</v>
      </c>
      <c r="F149" t="str">
        <f t="shared" si="6"/>
        <v>MARY DERDA</v>
      </c>
    </row>
    <row r="150" spans="1:6" x14ac:dyDescent="0.25">
      <c r="A150" s="8" t="s">
        <v>78</v>
      </c>
      <c r="B150" t="str">
        <f t="shared" si="7"/>
        <v>00023154874K6</v>
      </c>
      <c r="D150" s="8" t="s">
        <v>874</v>
      </c>
      <c r="E150" t="s">
        <v>875</v>
      </c>
      <c r="F150" t="str">
        <f t="shared" si="6"/>
        <v>NESTOR RAMORAN</v>
      </c>
    </row>
    <row r="151" spans="1:6" x14ac:dyDescent="0.25">
      <c r="A151" s="8" t="s">
        <v>81</v>
      </c>
      <c r="B151" t="str">
        <f t="shared" si="7"/>
        <v>00023157542K6</v>
      </c>
      <c r="D151" s="8" t="s">
        <v>874</v>
      </c>
      <c r="E151" t="s">
        <v>876</v>
      </c>
      <c r="F151" t="str">
        <f t="shared" si="6"/>
        <v>LOURDES RAMORAN</v>
      </c>
    </row>
    <row r="152" spans="1:6" x14ac:dyDescent="0.25">
      <c r="A152" s="8" t="s">
        <v>90</v>
      </c>
      <c r="B152" t="str">
        <f t="shared" si="7"/>
        <v>00023185259K6</v>
      </c>
      <c r="D152" s="8" t="s">
        <v>877</v>
      </c>
      <c r="E152" t="s">
        <v>878</v>
      </c>
      <c r="F152" t="str">
        <f t="shared" si="6"/>
        <v>MARINA SHARAPOVA</v>
      </c>
    </row>
    <row r="153" spans="1:6" x14ac:dyDescent="0.25">
      <c r="A153" s="8" t="s">
        <v>93</v>
      </c>
      <c r="B153" t="str">
        <f t="shared" si="7"/>
        <v>00023186504K6</v>
      </c>
      <c r="D153" s="8" t="s">
        <v>879</v>
      </c>
      <c r="E153" t="s">
        <v>797</v>
      </c>
      <c r="F153" t="str">
        <f t="shared" si="6"/>
        <v>DAVID RINI</v>
      </c>
    </row>
    <row r="154" spans="1:6" x14ac:dyDescent="0.25">
      <c r="A154" s="8" t="s">
        <v>101</v>
      </c>
      <c r="B154" t="str">
        <f t="shared" si="7"/>
        <v>00021558272K6</v>
      </c>
      <c r="D154" s="8" t="s">
        <v>877</v>
      </c>
      <c r="E154" t="s">
        <v>878</v>
      </c>
      <c r="F154" t="str">
        <f t="shared" si="6"/>
        <v>MARINA SHARAPOVA</v>
      </c>
    </row>
    <row r="155" spans="1:6" x14ac:dyDescent="0.25">
      <c r="A155" s="8" t="s">
        <v>110</v>
      </c>
      <c r="B155" t="str">
        <f t="shared" si="7"/>
        <v>00023183658K6</v>
      </c>
      <c r="D155" s="8" t="s">
        <v>879</v>
      </c>
      <c r="E155" t="s">
        <v>797</v>
      </c>
      <c r="F155" t="str">
        <f t="shared" si="6"/>
        <v>DAVID RINI</v>
      </c>
    </row>
    <row r="156" spans="1:6" x14ac:dyDescent="0.25">
      <c r="A156" s="8" t="s">
        <v>113</v>
      </c>
      <c r="B156" t="str">
        <f t="shared" si="7"/>
        <v>00023203793K6</v>
      </c>
      <c r="D156" s="8" t="s">
        <v>880</v>
      </c>
      <c r="E156" t="s">
        <v>720</v>
      </c>
      <c r="F156" t="str">
        <f t="shared" si="6"/>
        <v>JAMES BECKWITH</v>
      </c>
    </row>
    <row r="157" spans="1:6" x14ac:dyDescent="0.25">
      <c r="A157" s="8" t="s">
        <v>125</v>
      </c>
      <c r="B157" t="str">
        <f t="shared" si="7"/>
        <v>00023204136K6</v>
      </c>
      <c r="D157" s="8" t="s">
        <v>881</v>
      </c>
      <c r="E157" t="s">
        <v>882</v>
      </c>
      <c r="F157" t="str">
        <f t="shared" si="6"/>
        <v>AMY REED</v>
      </c>
    </row>
    <row r="158" spans="1:6" x14ac:dyDescent="0.25">
      <c r="A158" s="8" t="s">
        <v>135</v>
      </c>
      <c r="B158" t="str">
        <f t="shared" si="7"/>
        <v>00023151464K6</v>
      </c>
      <c r="D158" s="8" t="s">
        <v>881</v>
      </c>
      <c r="E158" t="s">
        <v>882</v>
      </c>
      <c r="F158" t="str">
        <f t="shared" si="6"/>
        <v>AMY REED</v>
      </c>
    </row>
    <row r="159" spans="1:6" x14ac:dyDescent="0.25">
      <c r="A159" s="8" t="s">
        <v>141</v>
      </c>
      <c r="B159" t="str">
        <f t="shared" si="7"/>
        <v>00023174321K6</v>
      </c>
      <c r="D159" s="8" t="s">
        <v>883</v>
      </c>
      <c r="E159" t="s">
        <v>884</v>
      </c>
      <c r="F159" t="str">
        <f t="shared" si="6"/>
        <v>PAMELA HARRIS</v>
      </c>
    </row>
    <row r="160" spans="1:6" x14ac:dyDescent="0.25">
      <c r="A160" s="8" t="s">
        <v>144</v>
      </c>
      <c r="B160" t="str">
        <f t="shared" si="7"/>
        <v>00023177736K6</v>
      </c>
      <c r="D160" s="8" t="s">
        <v>885</v>
      </c>
      <c r="E160" t="s">
        <v>886</v>
      </c>
      <c r="F160" t="str">
        <f t="shared" si="6"/>
        <v>HARRY RICHER</v>
      </c>
    </row>
    <row r="161" spans="1:6" x14ac:dyDescent="0.25">
      <c r="A161" s="8" t="s">
        <v>169</v>
      </c>
      <c r="B161" t="str">
        <f t="shared" si="7"/>
        <v>00023163873K6</v>
      </c>
      <c r="D161" s="8" t="s">
        <v>885</v>
      </c>
      <c r="E161" t="s">
        <v>886</v>
      </c>
      <c r="F161" t="str">
        <f t="shared" si="6"/>
        <v>HARRY RICHER</v>
      </c>
    </row>
    <row r="162" spans="1:6" x14ac:dyDescent="0.25">
      <c r="A162" s="8" t="s">
        <v>172</v>
      </c>
      <c r="B162" t="str">
        <f t="shared" si="7"/>
        <v>00023188842K6</v>
      </c>
      <c r="D162" s="8" t="s">
        <v>887</v>
      </c>
      <c r="E162" t="s">
        <v>888</v>
      </c>
      <c r="F162" t="str">
        <f t="shared" si="6"/>
        <v>COUNSELING JMM</v>
      </c>
    </row>
    <row r="163" spans="1:6" x14ac:dyDescent="0.25">
      <c r="A163" s="8" t="s">
        <v>195</v>
      </c>
      <c r="B163" t="str">
        <f t="shared" si="7"/>
        <v>00023161838K6</v>
      </c>
      <c r="D163" s="8" t="s">
        <v>889</v>
      </c>
      <c r="E163" t="s">
        <v>890</v>
      </c>
      <c r="F163" t="str">
        <f t="shared" si="6"/>
        <v>PSYCHOLOGY RELATIONAL</v>
      </c>
    </row>
    <row r="164" spans="1:6" x14ac:dyDescent="0.25">
      <c r="A164" s="8" t="s">
        <v>198</v>
      </c>
      <c r="B164" t="str">
        <f t="shared" si="7"/>
        <v>00023200099K6</v>
      </c>
      <c r="D164" s="8" t="s">
        <v>891</v>
      </c>
      <c r="E164" t="s">
        <v>892</v>
      </c>
      <c r="F164" t="str">
        <f t="shared" si="6"/>
        <v>HEART HEAD</v>
      </c>
    </row>
    <row r="165" spans="1:6" x14ac:dyDescent="0.25">
      <c r="A165" s="8" t="s">
        <v>201</v>
      </c>
      <c r="B165" t="str">
        <f t="shared" si="7"/>
        <v>00023224834K6</v>
      </c>
      <c r="D165" s="8" t="s">
        <v>887</v>
      </c>
      <c r="E165" t="s">
        <v>888</v>
      </c>
      <c r="F165" t="str">
        <f t="shared" si="6"/>
        <v>COUNSELING JMM</v>
      </c>
    </row>
    <row r="166" spans="1:6" x14ac:dyDescent="0.25">
      <c r="A166" s="8" t="s">
        <v>204</v>
      </c>
      <c r="B166" t="str">
        <f t="shared" si="7"/>
        <v>00023224844K6</v>
      </c>
      <c r="D166" s="8" t="s">
        <v>889</v>
      </c>
      <c r="E166" t="s">
        <v>890</v>
      </c>
      <c r="F166" t="str">
        <f t="shared" si="6"/>
        <v>PSYCHOLOGY RELATIONAL</v>
      </c>
    </row>
    <row r="167" spans="1:6" x14ac:dyDescent="0.25">
      <c r="A167" s="8" t="s">
        <v>217</v>
      </c>
      <c r="B167" t="str">
        <f t="shared" si="7"/>
        <v>00023202122K6</v>
      </c>
      <c r="D167" s="8" t="s">
        <v>891</v>
      </c>
      <c r="E167" t="s">
        <v>892</v>
      </c>
      <c r="F167" t="str">
        <f t="shared" si="6"/>
        <v>HEART HEAD</v>
      </c>
    </row>
    <row r="168" spans="1:6" x14ac:dyDescent="0.25">
      <c r="A168" s="8" t="s">
        <v>228</v>
      </c>
      <c r="B168" t="str">
        <f t="shared" si="7"/>
        <v>00023178815K6</v>
      </c>
      <c r="D168" s="8" t="s">
        <v>893</v>
      </c>
      <c r="E168" t="s">
        <v>894</v>
      </c>
      <c r="F168" t="str">
        <f t="shared" si="6"/>
        <v>JODY SUSMAN</v>
      </c>
    </row>
    <row r="169" spans="1:6" x14ac:dyDescent="0.25">
      <c r="A169" s="8" t="s">
        <v>234</v>
      </c>
      <c r="B169" t="str">
        <f t="shared" si="7"/>
        <v>00023203836K6</v>
      </c>
      <c r="D169" s="8" t="s">
        <v>895</v>
      </c>
      <c r="E169" t="s">
        <v>896</v>
      </c>
      <c r="F169" t="str">
        <f t="shared" si="6"/>
        <v>PAUL HALL</v>
      </c>
    </row>
    <row r="170" spans="1:6" x14ac:dyDescent="0.25">
      <c r="A170" s="8" t="s">
        <v>237</v>
      </c>
      <c r="B170" t="str">
        <f t="shared" si="7"/>
        <v>00023235653K6</v>
      </c>
      <c r="D170" s="8" t="s">
        <v>893</v>
      </c>
      <c r="E170" t="s">
        <v>894</v>
      </c>
      <c r="F170" t="str">
        <f t="shared" si="6"/>
        <v>JODY SUSMAN</v>
      </c>
    </row>
    <row r="171" spans="1:6" x14ac:dyDescent="0.25">
      <c r="A171" s="8" t="s">
        <v>268</v>
      </c>
      <c r="B171" t="str">
        <f t="shared" si="7"/>
        <v>00023154864K6</v>
      </c>
      <c r="D171" s="8" t="s">
        <v>895</v>
      </c>
      <c r="E171" t="s">
        <v>896</v>
      </c>
      <c r="F171" t="str">
        <f t="shared" si="6"/>
        <v>PAUL HALL</v>
      </c>
    </row>
    <row r="172" spans="1:6" x14ac:dyDescent="0.25">
      <c r="A172" s="8" t="s">
        <v>271</v>
      </c>
      <c r="B172" t="str">
        <f t="shared" si="7"/>
        <v>00023195200K6</v>
      </c>
      <c r="D172" s="8" t="s">
        <v>897</v>
      </c>
      <c r="E172" t="s">
        <v>898</v>
      </c>
      <c r="F172" t="str">
        <f t="shared" si="6"/>
        <v>MARCO SANCHEZ</v>
      </c>
    </row>
    <row r="173" spans="1:6" x14ac:dyDescent="0.25">
      <c r="A173" s="8" t="s">
        <v>279</v>
      </c>
      <c r="B173" t="str">
        <f t="shared" si="7"/>
        <v>00023222148K6</v>
      </c>
      <c r="D173" s="8" t="s">
        <v>899</v>
      </c>
      <c r="E173" t="s">
        <v>900</v>
      </c>
      <c r="F173" t="str">
        <f t="shared" si="6"/>
        <v>NATHAN HARTRY</v>
      </c>
    </row>
    <row r="174" spans="1:6" x14ac:dyDescent="0.25">
      <c r="A174" s="8" t="s">
        <v>283</v>
      </c>
      <c r="B174" t="str">
        <f t="shared" si="7"/>
        <v>00023200476K6</v>
      </c>
      <c r="D174" s="8" t="s">
        <v>773</v>
      </c>
      <c r="E174" t="s">
        <v>901</v>
      </c>
      <c r="F174" t="str">
        <f t="shared" si="6"/>
        <v>HUGH DAVIS</v>
      </c>
    </row>
    <row r="175" spans="1:6" x14ac:dyDescent="0.25">
      <c r="A175" s="8" t="s">
        <v>286</v>
      </c>
      <c r="B175" t="str">
        <f t="shared" si="7"/>
        <v>00023222214K6</v>
      </c>
      <c r="D175" s="8" t="s">
        <v>902</v>
      </c>
      <c r="E175" t="s">
        <v>903</v>
      </c>
      <c r="F175" t="str">
        <f t="shared" si="6"/>
        <v>DON BLACKER</v>
      </c>
    </row>
    <row r="176" spans="1:6" x14ac:dyDescent="0.25">
      <c r="A176" s="8" t="s">
        <v>306</v>
      </c>
      <c r="B176" t="str">
        <f t="shared" si="7"/>
        <v>00023184274K6</v>
      </c>
      <c r="D176" s="8" t="s">
        <v>899</v>
      </c>
      <c r="E176" t="s">
        <v>900</v>
      </c>
      <c r="F176" t="str">
        <f t="shared" si="6"/>
        <v>NATHAN HARTRY</v>
      </c>
    </row>
    <row r="177" spans="1:6" x14ac:dyDescent="0.25">
      <c r="A177" s="8" t="s">
        <v>334</v>
      </c>
      <c r="B177" t="str">
        <f t="shared" si="7"/>
        <v>00023208350K6</v>
      </c>
      <c r="D177" s="8" t="s">
        <v>773</v>
      </c>
      <c r="E177" t="s">
        <v>901</v>
      </c>
      <c r="F177" t="str">
        <f t="shared" si="6"/>
        <v>HUGH DAVIS</v>
      </c>
    </row>
    <row r="178" spans="1:6" x14ac:dyDescent="0.25">
      <c r="A178" s="8" t="s">
        <v>57</v>
      </c>
      <c r="B178" t="str">
        <f t="shared" si="7"/>
        <v>00023174017K6</v>
      </c>
      <c r="D178" s="8" t="s">
        <v>902</v>
      </c>
      <c r="E178" t="s">
        <v>903</v>
      </c>
      <c r="F178" t="str">
        <f t="shared" si="6"/>
        <v>DON BLACKER</v>
      </c>
    </row>
    <row r="179" spans="1:6" x14ac:dyDescent="0.25">
      <c r="A179" s="8" t="s">
        <v>181</v>
      </c>
      <c r="B179" t="str">
        <f t="shared" si="7"/>
        <v>00023184051K6</v>
      </c>
      <c r="D179" s="8" t="s">
        <v>904</v>
      </c>
      <c r="E179" t="s">
        <v>720</v>
      </c>
      <c r="F179" t="str">
        <f t="shared" si="6"/>
        <v>JAMES CLOW</v>
      </c>
    </row>
    <row r="180" spans="1:6" x14ac:dyDescent="0.25">
      <c r="A180" s="8" t="s">
        <v>231</v>
      </c>
      <c r="B180" t="str">
        <f t="shared" si="7"/>
        <v>00023187958K6</v>
      </c>
      <c r="D180" s="8" t="s">
        <v>905</v>
      </c>
      <c r="E180" t="s">
        <v>831</v>
      </c>
      <c r="F180" t="str">
        <f t="shared" si="6"/>
        <v>LESLIE HEARN</v>
      </c>
    </row>
    <row r="181" spans="1:6" x14ac:dyDescent="0.25">
      <c r="A181" s="8" t="s">
        <v>132</v>
      </c>
      <c r="B181" t="str">
        <f t="shared" si="7"/>
        <v>00023151397K6</v>
      </c>
      <c r="D181" s="8" t="s">
        <v>904</v>
      </c>
      <c r="E181" t="s">
        <v>720</v>
      </c>
      <c r="F181" t="str">
        <f t="shared" si="6"/>
        <v>JAMES CLOW</v>
      </c>
    </row>
    <row r="182" spans="1:6" x14ac:dyDescent="0.25">
      <c r="A182" s="8" t="s">
        <v>299</v>
      </c>
      <c r="B182" t="str">
        <f t="shared" si="7"/>
        <v>00023171733K6</v>
      </c>
      <c r="D182" s="8" t="s">
        <v>905</v>
      </c>
      <c r="E182" t="s">
        <v>831</v>
      </c>
      <c r="F182" t="str">
        <f t="shared" si="6"/>
        <v>LESLIE HEARN</v>
      </c>
    </row>
    <row r="183" spans="1:6" x14ac:dyDescent="0.25">
      <c r="A183" s="8" t="s">
        <v>310</v>
      </c>
      <c r="B183" t="str">
        <f t="shared" si="7"/>
        <v>00023224608K6</v>
      </c>
      <c r="D183" s="8" t="s">
        <v>906</v>
      </c>
      <c r="E183" t="s">
        <v>907</v>
      </c>
      <c r="F183" t="str">
        <f t="shared" si="6"/>
        <v>DEMOS BOURLOKAS</v>
      </c>
    </row>
    <row r="184" spans="1:6" x14ac:dyDescent="0.25">
      <c r="A184" s="8" t="s">
        <v>57</v>
      </c>
      <c r="B184" t="str">
        <f t="shared" si="7"/>
        <v>00023174017K6</v>
      </c>
      <c r="D184" s="8" t="s">
        <v>908</v>
      </c>
      <c r="E184" t="s">
        <v>909</v>
      </c>
      <c r="F184" t="str">
        <f t="shared" si="6"/>
        <v>EDMUNDO NORIEGA</v>
      </c>
    </row>
    <row r="185" spans="1:6" x14ac:dyDescent="0.25">
      <c r="A185" s="8" t="s">
        <v>181</v>
      </c>
      <c r="B185" t="str">
        <f t="shared" si="7"/>
        <v>00023184051K6</v>
      </c>
      <c r="D185" s="8" t="s">
        <v>910</v>
      </c>
      <c r="E185" t="s">
        <v>911</v>
      </c>
      <c r="F185" t="str">
        <f t="shared" si="6"/>
        <v>DONNA FLINN</v>
      </c>
    </row>
    <row r="186" spans="1:6" x14ac:dyDescent="0.25">
      <c r="A186" s="8" t="s">
        <v>231</v>
      </c>
      <c r="B186" t="str">
        <f t="shared" si="7"/>
        <v>00023187958K6</v>
      </c>
      <c r="D186" s="8" t="s">
        <v>912</v>
      </c>
      <c r="E186" t="s">
        <v>913</v>
      </c>
      <c r="F186" t="str">
        <f t="shared" si="6"/>
        <v>RODNEY VICTOR</v>
      </c>
    </row>
    <row r="187" spans="1:6" x14ac:dyDescent="0.25">
      <c r="A187" s="8" t="s">
        <v>132</v>
      </c>
      <c r="B187" t="str">
        <f t="shared" si="7"/>
        <v>00023151397K6</v>
      </c>
      <c r="D187" s="8" t="s">
        <v>914</v>
      </c>
      <c r="E187" t="s">
        <v>797</v>
      </c>
      <c r="F187" t="str">
        <f t="shared" si="6"/>
        <v>DAVID GREENSPAN</v>
      </c>
    </row>
    <row r="188" spans="1:6" x14ac:dyDescent="0.25">
      <c r="A188" s="8" t="s">
        <v>299</v>
      </c>
      <c r="B188" t="str">
        <f t="shared" si="7"/>
        <v>00023171733K6</v>
      </c>
      <c r="D188" s="8" t="s">
        <v>915</v>
      </c>
      <c r="E188" t="s">
        <v>797</v>
      </c>
      <c r="F188" t="str">
        <f t="shared" si="6"/>
        <v>DAVID JANKURA</v>
      </c>
    </row>
    <row r="189" spans="1:6" x14ac:dyDescent="0.25">
      <c r="A189" s="8" t="s">
        <v>310</v>
      </c>
      <c r="B189" t="str">
        <f t="shared" si="7"/>
        <v>00023224608K6</v>
      </c>
      <c r="D189" s="8" t="s">
        <v>916</v>
      </c>
      <c r="E189" t="s">
        <v>917</v>
      </c>
      <c r="F189" t="str">
        <f t="shared" si="6"/>
        <v>VIDOSAVA MAISLINGER</v>
      </c>
    </row>
    <row r="190" spans="1:6" x14ac:dyDescent="0.25">
      <c r="A190" s="8" t="s">
        <v>323</v>
      </c>
      <c r="B190" t="str">
        <f t="shared" si="7"/>
        <v>00023213469K6</v>
      </c>
      <c r="D190" s="8" t="s">
        <v>918</v>
      </c>
      <c r="E190" t="s">
        <v>919</v>
      </c>
      <c r="F190" t="str">
        <f t="shared" si="6"/>
        <v>AIMEE COHEN</v>
      </c>
    </row>
    <row r="191" spans="1:6" x14ac:dyDescent="0.25">
      <c r="A191" s="8" t="s">
        <v>323</v>
      </c>
      <c r="B191" t="str">
        <f t="shared" si="7"/>
        <v>00023213469K6</v>
      </c>
      <c r="D191" s="8" t="s">
        <v>920</v>
      </c>
      <c r="E191" t="s">
        <v>921</v>
      </c>
      <c r="F191" t="str">
        <f t="shared" si="6"/>
        <v>SUSANA CHUA</v>
      </c>
    </row>
    <row r="192" spans="1:6" x14ac:dyDescent="0.25">
      <c r="A192" s="11" t="s">
        <v>441</v>
      </c>
      <c r="B192" t="str">
        <f t="shared" ref="B192:B193" si="8">CONCATENATE(A192,8)</f>
        <v>00000804864A8</v>
      </c>
      <c r="D192" s="8" t="s">
        <v>922</v>
      </c>
      <c r="E192" t="s">
        <v>923</v>
      </c>
      <c r="F192" t="str">
        <f t="shared" si="6"/>
        <v>IULIANA ACHIMAS</v>
      </c>
    </row>
    <row r="193" spans="1:6" x14ac:dyDescent="0.25">
      <c r="A193" s="11" t="s">
        <v>419</v>
      </c>
      <c r="B193" t="str">
        <f t="shared" si="8"/>
        <v>00000754585A8</v>
      </c>
      <c r="D193" s="8" t="s">
        <v>924</v>
      </c>
      <c r="E193" t="s">
        <v>925</v>
      </c>
      <c r="F193" t="str">
        <f t="shared" si="6"/>
        <v>LAURA SEWALL</v>
      </c>
    </row>
    <row r="194" spans="1:6" x14ac:dyDescent="0.25">
      <c r="A194" s="13" t="s">
        <v>164</v>
      </c>
      <c r="B194" t="str">
        <f>CONCATENATE(A194,9)</f>
        <v>00021452306K9</v>
      </c>
      <c r="D194" s="8" t="s">
        <v>918</v>
      </c>
      <c r="E194" t="s">
        <v>919</v>
      </c>
      <c r="F194" t="str">
        <f t="shared" ref="F194:F197" si="9">CONCATENATE(E194, " ", D194)</f>
        <v>AIMEE COHEN</v>
      </c>
    </row>
    <row r="195" spans="1:6" x14ac:dyDescent="0.25">
      <c r="A195" s="13" t="s">
        <v>121</v>
      </c>
      <c r="B195" t="str">
        <f t="shared" ref="B195:B197" si="10">CONCATENATE(A195,9)</f>
        <v>00023213919K9</v>
      </c>
      <c r="D195" s="8" t="s">
        <v>920</v>
      </c>
      <c r="E195" t="s">
        <v>921</v>
      </c>
      <c r="F195" t="str">
        <f t="shared" si="9"/>
        <v>SUSANA CHUA</v>
      </c>
    </row>
    <row r="196" spans="1:6" x14ac:dyDescent="0.25">
      <c r="A196" s="13" t="s">
        <v>247</v>
      </c>
      <c r="B196" t="str">
        <f t="shared" si="10"/>
        <v>00023186444K9</v>
      </c>
      <c r="D196" s="8" t="s">
        <v>922</v>
      </c>
      <c r="E196" t="s">
        <v>923</v>
      </c>
      <c r="F196" t="str">
        <f t="shared" si="9"/>
        <v>IULIANA ACHIMAS</v>
      </c>
    </row>
    <row r="197" spans="1:6" x14ac:dyDescent="0.25">
      <c r="A197" s="13" t="s">
        <v>84</v>
      </c>
      <c r="B197" t="str">
        <f t="shared" si="10"/>
        <v>00023168907K9</v>
      </c>
      <c r="D197" s="8" t="s">
        <v>924</v>
      </c>
      <c r="E197" t="s">
        <v>925</v>
      </c>
      <c r="F197" t="str">
        <f t="shared" si="9"/>
        <v>LAURA SEWALL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2025-04-10T12:11:05Z</dcterms:created>
  <dcterms:modified xsi:type="dcterms:W3CDTF">2025-04-15T22:40:12Z</dcterms:modified>
</cp:coreProperties>
</file>