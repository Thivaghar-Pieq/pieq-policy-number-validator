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5-21-25\"/>
    </mc:Choice>
  </mc:AlternateContent>
  <xr:revisionPtr revIDLastSave="0" documentId="13_ncr:1_{9F145D3B-FF5E-4D84-8DC9-6B7B63F6599F}" xr6:coauthVersionLast="47" xr6:coauthVersionMax="47" xr10:uidLastSave="{00000000-0000-0000-0000-000000000000}"/>
  <bookViews>
    <workbookView xWindow="28680" yWindow="-120" windowWidth="29040" windowHeight="16440" activeTab="1" xr2:uid="{D904516F-C28C-4BBA-BAC0-63A33B2C2238}"/>
  </bookViews>
  <sheets>
    <sheet name="CommissionData_1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" i="3"/>
  <c r="E7" i="2"/>
  <c r="E6" i="2"/>
  <c r="E5" i="2"/>
  <c r="E4" i="2"/>
  <c r="E14" i="2"/>
  <c r="E13" i="2"/>
  <c r="E12" i="2"/>
  <c r="E10" i="2"/>
  <c r="E11" i="2"/>
  <c r="E2" i="2"/>
  <c r="E16" i="2"/>
  <c r="E15" i="2"/>
  <c r="E8" i="2"/>
  <c r="E9" i="2"/>
  <c r="E3" i="2"/>
  <c r="E18" i="2"/>
  <c r="E17" i="2"/>
  <c r="B12" i="3"/>
  <c r="B11" i="3"/>
  <c r="B17" i="3"/>
  <c r="B16" i="3"/>
  <c r="B15" i="3"/>
  <c r="B14" i="3"/>
  <c r="B13" i="3"/>
  <c r="B10" i="3"/>
  <c r="B9" i="3"/>
  <c r="B8" i="3"/>
  <c r="B7" i="3"/>
  <c r="B6" i="3"/>
  <c r="B5" i="3"/>
  <c r="B4" i="3"/>
  <c r="B3" i="3"/>
  <c r="B2" i="3"/>
  <c r="B1" i="3"/>
  <c r="P18" i="2"/>
  <c r="P17" i="2"/>
</calcChain>
</file>

<file path=xl/sharedStrings.xml><?xml version="1.0" encoding="utf-8"?>
<sst xmlns="http://schemas.openxmlformats.org/spreadsheetml/2006/main" count="715" uniqueCount="176">
  <si>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</si>
  <si>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</si>
  <si>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</si>
  <si>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</si>
  <si>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</si>
  <si>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</si>
  <si>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</si>
  <si>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</si>
  <si>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</si>
  <si>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</si>
  <si>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</si>
  <si>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</si>
  <si>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</si>
  <si>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</si>
  <si>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</si>
  <si>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</si>
  <si>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</si>
  <si>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</si>
  <si>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</si>
  <si>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</si>
  <si>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</si>
  <si>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</si>
  <si>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</si>
  <si>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</si>
  <si>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</si>
  <si>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</si>
  <si>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</si>
  <si>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</si>
  <si>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</si>
  <si>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</si>
  <si>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</si>
  <si>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</si>
  <si>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</si>
  <si>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</si>
  <si>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</si>
  <si>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</si>
  <si>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</si>
  <si>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</si>
  <si>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</si>
  <si>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</si>
  <si>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</si>
  <si>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</si>
  <si>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YALE RICHARD A A</t>
  </si>
  <si>
    <t>BERGERSEN LAURA M</t>
  </si>
  <si>
    <t>00023345760K</t>
  </si>
  <si>
    <t>8QW4R61PJ02</t>
  </si>
  <si>
    <t/>
  </si>
  <si>
    <t>MA</t>
  </si>
  <si>
    <t>LV</t>
  </si>
  <si>
    <t>JUL</t>
  </si>
  <si>
    <t>F</t>
  </si>
  <si>
    <t>MEDICARE</t>
  </si>
  <si>
    <t>MER</t>
  </si>
  <si>
    <t>FIRST YEAR COMMISSIONS</t>
  </si>
  <si>
    <t>ARCF</t>
  </si>
  <si>
    <t>H1468</t>
  </si>
  <si>
    <t>SINGH GURBACHAN</t>
  </si>
  <si>
    <t>00023358106K</t>
  </si>
  <si>
    <t>3RP8VJ4UY48</t>
  </si>
  <si>
    <t>JUN</t>
  </si>
  <si>
    <t>H0028</t>
  </si>
  <si>
    <t>DRAPAC STEPHANIE E</t>
  </si>
  <si>
    <t>BENEDICT MICHAEL W</t>
  </si>
  <si>
    <t>00023351659K</t>
  </si>
  <si>
    <t>2C79MW0WD30</t>
  </si>
  <si>
    <t>MEP</t>
  </si>
  <si>
    <t>H5216</t>
  </si>
  <si>
    <t>HERRERA-LARSEN ESTHER M</t>
  </si>
  <si>
    <t>ABDUL FARMER KAREEMA</t>
  </si>
  <si>
    <t>00021880649K</t>
  </si>
  <si>
    <t>2KE5KW0XQ64</t>
  </si>
  <si>
    <t>FEB</t>
  </si>
  <si>
    <t>FOLEY CAROL</t>
  </si>
  <si>
    <t>SHAW DELORIS</t>
  </si>
  <si>
    <t>00014214997K</t>
  </si>
  <si>
    <t>8XR0DP4HG37</t>
  </si>
  <si>
    <t>PORTUGAL GARY</t>
  </si>
  <si>
    <t>PUTMAN TIMOTHY L</t>
  </si>
  <si>
    <t>00000646024D</t>
  </si>
  <si>
    <t>4G23J02RR84</t>
  </si>
  <si>
    <t>TYK ROGER E</t>
  </si>
  <si>
    <t>00011895530K</t>
  </si>
  <si>
    <t>1J47JK5ER46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</si>
  <si>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</si>
  <si>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</si>
  <si>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</si>
  <si>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</si>
  <si>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</si>
  <si>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</si>
  <si>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</si>
  <si>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</si>
  <si>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</si>
  <si>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HUNSBERGER ANTHONY J</t>
  </si>
  <si>
    <t>Grychowski Jerry</t>
  </si>
  <si>
    <t>9007596540</t>
  </si>
  <si>
    <t>DENTAL</t>
  </si>
  <si>
    <t>HOFFMANN JASON R</t>
  </si>
  <si>
    <t>Gerber Elliot</t>
  </si>
  <si>
    <t>0654656220</t>
  </si>
  <si>
    <t>INSKIPT DEBORAH L</t>
  </si>
  <si>
    <t>SCHUBERT DAVID</t>
  </si>
  <si>
    <t>00000789641A</t>
  </si>
  <si>
    <t>MS</t>
  </si>
  <si>
    <t>MED SUPP RENEWAL ACHIEVE</t>
  </si>
  <si>
    <t>MSRA</t>
  </si>
  <si>
    <t>CARDOSI KAREN E</t>
  </si>
  <si>
    <t>00000828881A</t>
  </si>
  <si>
    <t>MCCORKLE MICHELLE</t>
  </si>
  <si>
    <t>Miller Kayla M</t>
  </si>
  <si>
    <t>9030250530</t>
  </si>
  <si>
    <t>COMPBENEFITS FIRST YEAR COMMISSION</t>
  </si>
  <si>
    <t>CRCF</t>
  </si>
  <si>
    <t>DUNAVANT MICHAEL</t>
  </si>
  <si>
    <t>Gambetti Brianna</t>
  </si>
  <si>
    <t>9030544330</t>
  </si>
  <si>
    <t>MAY</t>
  </si>
  <si>
    <t>9030544350</t>
  </si>
  <si>
    <t>Taylor David</t>
  </si>
  <si>
    <t>9030558330</t>
  </si>
  <si>
    <t>Shaw Robert</t>
  </si>
  <si>
    <t>9030572460</t>
  </si>
  <si>
    <t>Humana Dental &amp; Vision</t>
  </si>
  <si>
    <t>Humana MAPD 2025*</t>
  </si>
  <si>
    <t>[%/$=313][prorate=6/12]</t>
  </si>
  <si>
    <t>[%/$=313][prorate=7/12]</t>
  </si>
  <si>
    <t>Humana AL, AZ, AR, GA, etc. Plan N OE &amp; UW</t>
  </si>
  <si>
    <t>Humana 65-80 AL, AZ, AR, GA, etc. All Except N OE &amp; UW</t>
  </si>
  <si>
    <t>BERGERSEN</t>
  </si>
  <si>
    <t>LAURA</t>
  </si>
  <si>
    <t>SINGH</t>
  </si>
  <si>
    <t>GURBACHAN</t>
  </si>
  <si>
    <t>BENEDICT</t>
  </si>
  <si>
    <t>MICHAEL</t>
  </si>
  <si>
    <t>ABDUL</t>
  </si>
  <si>
    <t>KAREEMA</t>
  </si>
  <si>
    <t>SHAW</t>
  </si>
  <si>
    <t>DELORIS</t>
  </si>
  <si>
    <t>PUTMAN</t>
  </si>
  <si>
    <t>TIMOTHY</t>
  </si>
  <si>
    <t>TYK</t>
  </si>
  <si>
    <t>ROGER</t>
  </si>
  <si>
    <t>Elliott</t>
  </si>
  <si>
    <t>Joseph</t>
  </si>
  <si>
    <t>Grychowski</t>
  </si>
  <si>
    <t>Jerry</t>
  </si>
  <si>
    <t>Gerber</t>
  </si>
  <si>
    <t>Elliot</t>
  </si>
  <si>
    <t>SCHUBERT</t>
  </si>
  <si>
    <t>DAVID</t>
  </si>
  <si>
    <t>CARDOSI</t>
  </si>
  <si>
    <t>KAREN</t>
  </si>
  <si>
    <t>Miller</t>
  </si>
  <si>
    <t>Kayla</t>
  </si>
  <si>
    <t>Gambetti</t>
  </si>
  <si>
    <t>Brianna</t>
  </si>
  <si>
    <t>Taylor</t>
  </si>
  <si>
    <t>David</t>
  </si>
  <si>
    <t>Shaw</t>
  </si>
  <si>
    <t>Robert</t>
  </si>
  <si>
    <t>LAURA BERGERSEN</t>
  </si>
  <si>
    <t>GURBACHAN SINGH</t>
  </si>
  <si>
    <t>MICHAEL BENEDICT</t>
  </si>
  <si>
    <t>KAREEMA ABDUL</t>
  </si>
  <si>
    <t>DELORIS SHAW</t>
  </si>
  <si>
    <t>TIMOTHY PUTMAN</t>
  </si>
  <si>
    <t>ROGER TYK</t>
  </si>
  <si>
    <t>Joseph Elliott</t>
  </si>
  <si>
    <t>Jerry Grychowski</t>
  </si>
  <si>
    <t>Elliot Gerber</t>
  </si>
  <si>
    <t>DAVID SCHUBERT</t>
  </si>
  <si>
    <t>KAREN CARDOSI</t>
  </si>
  <si>
    <t>Kayla Miller</t>
  </si>
  <si>
    <t>Brianna Gambetti</t>
  </si>
  <si>
    <t>David Taylor</t>
  </si>
  <si>
    <t>Robert Shaw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</si>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</sst>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18" fillId="0" borderId="0" xfId="0" applyNumberFormat="1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Fill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  <xf numFmtId="0" fontId="19" fillId="0" borderId="0" xfId="0" applyFont="1" applyFill="1"/>
    <xf numFmtId="1" fontId="19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BEE3-549E-4D83-92C6-D4B9BA9A444E}">
  <dimension ref="A1:AP18"/>
  <sheetViews>
    <sheetView topLeftCell="M1" workbookViewId="0">
      <selection activeCell="M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45798</v>
      </c>
      <c r="C2" s="4" t="s">
        <v>42</v>
      </c>
      <c r="D2" s="2">
        <v>1573279</v>
      </c>
      <c r="E2" s="4" t="s">
        <v>43</v>
      </c>
      <c r="F2" s="4" t="s">
        <v>44</v>
      </c>
      <c r="G2" s="2">
        <v>236767423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0.5</v>
      </c>
      <c r="W2" s="5">
        <v>0</v>
      </c>
      <c r="X2" s="5">
        <v>100</v>
      </c>
      <c r="Y2" s="5">
        <v>156.5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45798</v>
      </c>
      <c r="C3" s="4" t="s">
        <v>42</v>
      </c>
      <c r="D3" s="2">
        <v>1573279</v>
      </c>
      <c r="E3" s="4" t="s">
        <v>56</v>
      </c>
      <c r="F3" s="4" t="s">
        <v>57</v>
      </c>
      <c r="G3" s="2">
        <v>473341130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45809</v>
      </c>
      <c r="M3" s="4" t="s">
        <v>59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0.57999999999999996</v>
      </c>
      <c r="W3" s="5">
        <v>0</v>
      </c>
      <c r="X3" s="5">
        <v>100</v>
      </c>
      <c r="Y3" s="5">
        <v>182.58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45809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45798</v>
      </c>
      <c r="C4" s="4" t="s">
        <v>61</v>
      </c>
      <c r="D4" s="2">
        <v>1626475</v>
      </c>
      <c r="E4" s="4" t="s">
        <v>62</v>
      </c>
      <c r="F4" s="4" t="s">
        <v>63</v>
      </c>
      <c r="G4" s="2">
        <v>322996583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45809</v>
      </c>
      <c r="M4" s="4" t="s">
        <v>59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65</v>
      </c>
      <c r="U4" s="4" t="s">
        <v>46</v>
      </c>
      <c r="V4" s="5">
        <v>0.57999999999999996</v>
      </c>
      <c r="W4" s="5">
        <v>0</v>
      </c>
      <c r="X4" s="5">
        <v>100</v>
      </c>
      <c r="Y4" s="5">
        <v>182.58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45809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66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45798</v>
      </c>
      <c r="C5" s="4" t="s">
        <v>67</v>
      </c>
      <c r="D5" s="2">
        <v>1646082</v>
      </c>
      <c r="E5" s="4" t="s">
        <v>68</v>
      </c>
      <c r="F5" s="4" t="s">
        <v>69</v>
      </c>
      <c r="G5" s="2">
        <v>456341403</v>
      </c>
      <c r="H5" s="4" t="s">
        <v>70</v>
      </c>
      <c r="I5" s="4" t="s">
        <v>46</v>
      </c>
      <c r="J5" s="4" t="s">
        <v>47</v>
      </c>
      <c r="K5" s="4" t="s">
        <v>48</v>
      </c>
      <c r="L5" s="3">
        <v>45689</v>
      </c>
      <c r="M5" s="4" t="s">
        <v>71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-0.57999999999999996</v>
      </c>
      <c r="W5" s="5">
        <v>0</v>
      </c>
      <c r="X5" s="5">
        <v>100</v>
      </c>
      <c r="Y5" s="5">
        <v>-182.59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45798</v>
      </c>
      <c r="C6" s="4" t="s">
        <v>72</v>
      </c>
      <c r="D6" s="2">
        <v>1673202</v>
      </c>
      <c r="E6" s="4" t="s">
        <v>73</v>
      </c>
      <c r="F6" s="4" t="s">
        <v>74</v>
      </c>
      <c r="G6" s="2">
        <v>780317543</v>
      </c>
      <c r="H6" s="4" t="s">
        <v>75</v>
      </c>
      <c r="I6" s="4" t="s">
        <v>46</v>
      </c>
      <c r="J6" s="4" t="s">
        <v>47</v>
      </c>
      <c r="K6" s="4" t="s">
        <v>48</v>
      </c>
      <c r="L6" s="3">
        <v>45809</v>
      </c>
      <c r="M6" s="4" t="s">
        <v>59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65</v>
      </c>
      <c r="U6" s="4" t="s">
        <v>46</v>
      </c>
      <c r="V6" s="5">
        <v>0.57999999999999996</v>
      </c>
      <c r="W6" s="5">
        <v>0</v>
      </c>
      <c r="X6" s="5">
        <v>100</v>
      </c>
      <c r="Y6" s="5">
        <v>182.58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45809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66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45798</v>
      </c>
      <c r="C7" s="4" t="s">
        <v>76</v>
      </c>
      <c r="D7" s="2">
        <v>1703942</v>
      </c>
      <c r="E7" s="4" t="s">
        <v>77</v>
      </c>
      <c r="F7" s="4" t="s">
        <v>78</v>
      </c>
      <c r="G7" s="2">
        <v>985742827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45809</v>
      </c>
      <c r="M7" s="4" t="s">
        <v>59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65</v>
      </c>
      <c r="U7" s="4" t="s">
        <v>46</v>
      </c>
      <c r="V7" s="5">
        <v>0.57999999999999996</v>
      </c>
      <c r="W7" s="5">
        <v>0</v>
      </c>
      <c r="X7" s="5">
        <v>100</v>
      </c>
      <c r="Y7" s="5">
        <v>182.58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45809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66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45798</v>
      </c>
      <c r="C8" s="4" t="s">
        <v>76</v>
      </c>
      <c r="D8" s="2">
        <v>1703942</v>
      </c>
      <c r="E8" s="4" t="s">
        <v>80</v>
      </c>
      <c r="F8" s="4" t="s">
        <v>81</v>
      </c>
      <c r="G8" s="2">
        <v>896590395</v>
      </c>
      <c r="H8" s="4" t="s">
        <v>82</v>
      </c>
      <c r="I8" s="4" t="s">
        <v>46</v>
      </c>
      <c r="J8" s="4" t="s">
        <v>47</v>
      </c>
      <c r="K8" s="4" t="s">
        <v>48</v>
      </c>
      <c r="L8" s="3">
        <v>45689</v>
      </c>
      <c r="M8" s="4" t="s">
        <v>71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-0.57999999999999996</v>
      </c>
      <c r="W8" s="5">
        <v>0</v>
      </c>
      <c r="X8" s="5">
        <v>100</v>
      </c>
      <c r="Y8" s="5">
        <v>-182.59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45689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45798</v>
      </c>
      <c r="C9" s="4" t="s">
        <v>83</v>
      </c>
      <c r="D9" s="2">
        <v>1509744</v>
      </c>
      <c r="E9" s="4" t="s">
        <v>84</v>
      </c>
      <c r="F9" s="4" t="s">
        <v>85</v>
      </c>
      <c r="G9" s="4" t="s">
        <v>46</v>
      </c>
      <c r="H9" s="4" t="s">
        <v>46</v>
      </c>
      <c r="I9" s="4" t="s">
        <v>46</v>
      </c>
      <c r="J9" s="4" t="s">
        <v>86</v>
      </c>
      <c r="K9" s="4" t="s">
        <v>87</v>
      </c>
      <c r="L9" s="3">
        <v>45809</v>
      </c>
      <c r="M9" s="4" t="s">
        <v>59</v>
      </c>
      <c r="N9" s="4" t="s">
        <v>46</v>
      </c>
      <c r="O9" s="4" t="s">
        <v>88</v>
      </c>
      <c r="P9" s="4" t="s">
        <v>88</v>
      </c>
      <c r="Q9" s="2">
        <v>2</v>
      </c>
      <c r="R9" s="2">
        <v>60</v>
      </c>
      <c r="S9" s="4" t="s">
        <v>89</v>
      </c>
      <c r="T9" s="4" t="s">
        <v>46</v>
      </c>
      <c r="U9" s="4" t="s">
        <v>46</v>
      </c>
      <c r="V9" s="5">
        <v>10</v>
      </c>
      <c r="W9" s="5">
        <v>26.88</v>
      </c>
      <c r="X9" s="5">
        <v>100</v>
      </c>
      <c r="Y9" s="5">
        <v>2.69</v>
      </c>
      <c r="Z9" s="4" t="s">
        <v>46</v>
      </c>
      <c r="AA9" s="5" t="s">
        <v>46</v>
      </c>
      <c r="AB9" s="4" t="s">
        <v>90</v>
      </c>
      <c r="AC9" s="4" t="s">
        <v>46</v>
      </c>
      <c r="AD9" s="5">
        <v>0</v>
      </c>
      <c r="AE9" s="4" t="s">
        <v>91</v>
      </c>
      <c r="AF9" s="3">
        <v>45276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45798</v>
      </c>
      <c r="C10" s="4" t="s">
        <v>92</v>
      </c>
      <c r="D10" s="2">
        <v>1510420</v>
      </c>
      <c r="E10" s="4" t="s">
        <v>93</v>
      </c>
      <c r="F10" s="4" t="s">
        <v>94</v>
      </c>
      <c r="G10" s="4" t="s">
        <v>46</v>
      </c>
      <c r="H10" s="4" t="s">
        <v>46</v>
      </c>
      <c r="I10" s="4" t="s">
        <v>46</v>
      </c>
      <c r="J10" s="4" t="s">
        <v>86</v>
      </c>
      <c r="K10" s="4" t="s">
        <v>87</v>
      </c>
      <c r="L10" s="3">
        <v>45809</v>
      </c>
      <c r="M10" s="4" t="s">
        <v>59</v>
      </c>
      <c r="N10" s="4" t="s">
        <v>46</v>
      </c>
      <c r="O10" s="4" t="s">
        <v>88</v>
      </c>
      <c r="P10" s="4" t="s">
        <v>88</v>
      </c>
      <c r="Q10" s="2">
        <v>2</v>
      </c>
      <c r="R10" s="2">
        <v>3</v>
      </c>
      <c r="S10" s="4" t="s">
        <v>95</v>
      </c>
      <c r="T10" s="4" t="s">
        <v>46</v>
      </c>
      <c r="U10" s="4" t="s">
        <v>46</v>
      </c>
      <c r="V10" s="5">
        <v>10</v>
      </c>
      <c r="W10" s="5">
        <v>43.09</v>
      </c>
      <c r="X10" s="5">
        <v>100</v>
      </c>
      <c r="Y10" s="5">
        <v>4.3099999999999996</v>
      </c>
      <c r="Z10" s="4" t="s">
        <v>46</v>
      </c>
      <c r="AA10" s="5" t="s">
        <v>46</v>
      </c>
      <c r="AB10" s="4" t="s">
        <v>90</v>
      </c>
      <c r="AC10" s="4" t="s">
        <v>46</v>
      </c>
      <c r="AD10" s="5">
        <v>0</v>
      </c>
      <c r="AE10" s="4" t="s">
        <v>91</v>
      </c>
      <c r="AF10" s="3">
        <v>40969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45798</v>
      </c>
      <c r="C11" s="4" t="s">
        <v>96</v>
      </c>
      <c r="D11" s="2">
        <v>1524629</v>
      </c>
      <c r="E11" s="4" t="s">
        <v>97</v>
      </c>
      <c r="F11" s="4" t="s">
        <v>98</v>
      </c>
      <c r="G11" s="4" t="s">
        <v>46</v>
      </c>
      <c r="H11" s="4" t="s">
        <v>46</v>
      </c>
      <c r="I11" s="4" t="s">
        <v>46</v>
      </c>
      <c r="J11" s="4" t="s">
        <v>86</v>
      </c>
      <c r="K11" s="4" t="s">
        <v>87</v>
      </c>
      <c r="L11" s="3">
        <v>45809</v>
      </c>
      <c r="M11" s="4" t="s">
        <v>59</v>
      </c>
      <c r="N11" s="4" t="s">
        <v>46</v>
      </c>
      <c r="O11" s="4" t="s">
        <v>88</v>
      </c>
      <c r="P11" s="4" t="s">
        <v>88</v>
      </c>
      <c r="Q11" s="2">
        <v>1</v>
      </c>
      <c r="R11" s="2">
        <v>60</v>
      </c>
      <c r="S11" s="4" t="s">
        <v>89</v>
      </c>
      <c r="T11" s="4" t="s">
        <v>46</v>
      </c>
      <c r="U11" s="4" t="s">
        <v>46</v>
      </c>
      <c r="V11" s="5">
        <v>10</v>
      </c>
      <c r="W11" s="5">
        <v>12.99</v>
      </c>
      <c r="X11" s="5">
        <v>100</v>
      </c>
      <c r="Y11" s="5">
        <v>1.3</v>
      </c>
      <c r="Z11" s="4" t="s">
        <v>46</v>
      </c>
      <c r="AA11" s="5" t="s">
        <v>46</v>
      </c>
      <c r="AB11" s="4" t="s">
        <v>90</v>
      </c>
      <c r="AC11" s="4" t="s">
        <v>46</v>
      </c>
      <c r="AD11" s="5">
        <v>0</v>
      </c>
      <c r="AE11" s="4" t="s">
        <v>91</v>
      </c>
      <c r="AF11" s="3">
        <v>45371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45798</v>
      </c>
      <c r="C12" s="4" t="s">
        <v>99</v>
      </c>
      <c r="D12" s="2">
        <v>1673763</v>
      </c>
      <c r="E12" s="4" t="s">
        <v>100</v>
      </c>
      <c r="F12" s="4" t="s">
        <v>101</v>
      </c>
      <c r="G12" s="4" t="s">
        <v>46</v>
      </c>
      <c r="H12" s="4" t="s">
        <v>46</v>
      </c>
      <c r="I12" s="4" t="s">
        <v>46</v>
      </c>
      <c r="J12" s="4" t="s">
        <v>102</v>
      </c>
      <c r="K12" s="4" t="s">
        <v>48</v>
      </c>
      <c r="L12" s="3">
        <v>45809</v>
      </c>
      <c r="M12" s="4" t="s">
        <v>59</v>
      </c>
      <c r="N12" s="4" t="s">
        <v>46</v>
      </c>
      <c r="O12" s="4" t="s">
        <v>88</v>
      </c>
      <c r="P12" s="4" t="s">
        <v>88</v>
      </c>
      <c r="Q12" s="2">
        <v>1</v>
      </c>
      <c r="R12" s="2">
        <v>17</v>
      </c>
      <c r="S12" s="4" t="s">
        <v>51</v>
      </c>
      <c r="T12" s="4" t="s">
        <v>46</v>
      </c>
      <c r="U12" s="4" t="s">
        <v>46</v>
      </c>
      <c r="V12" s="5">
        <v>26</v>
      </c>
      <c r="W12" s="5">
        <v>307</v>
      </c>
      <c r="X12" s="5">
        <v>100</v>
      </c>
      <c r="Y12" s="5">
        <v>79.819999999999993</v>
      </c>
      <c r="Z12" s="5">
        <v>0</v>
      </c>
      <c r="AA12" s="5">
        <v>0</v>
      </c>
      <c r="AB12" s="4" t="s">
        <v>103</v>
      </c>
      <c r="AC12" s="4" t="s">
        <v>46</v>
      </c>
      <c r="AD12" s="5">
        <v>0</v>
      </c>
      <c r="AE12" s="4" t="s">
        <v>104</v>
      </c>
      <c r="AF12" s="3">
        <v>45292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45798</v>
      </c>
      <c r="C13" s="4" t="s">
        <v>99</v>
      </c>
      <c r="D13" s="2">
        <v>1673763</v>
      </c>
      <c r="E13" s="4" t="s">
        <v>105</v>
      </c>
      <c r="F13" s="4" t="s">
        <v>106</v>
      </c>
      <c r="G13" s="4" t="s">
        <v>46</v>
      </c>
      <c r="H13" s="4" t="s">
        <v>46</v>
      </c>
      <c r="I13" s="4" t="s">
        <v>46</v>
      </c>
      <c r="J13" s="4" t="s">
        <v>102</v>
      </c>
      <c r="K13" s="4" t="s">
        <v>48</v>
      </c>
      <c r="L13" s="3">
        <v>45809</v>
      </c>
      <c r="M13" s="4" t="s">
        <v>59</v>
      </c>
      <c r="N13" s="4" t="s">
        <v>46</v>
      </c>
      <c r="O13" s="4" t="s">
        <v>88</v>
      </c>
      <c r="P13" s="4" t="s">
        <v>88</v>
      </c>
      <c r="Q13" s="2">
        <v>1</v>
      </c>
      <c r="R13" s="2">
        <v>17</v>
      </c>
      <c r="S13" s="4" t="s">
        <v>51</v>
      </c>
      <c r="T13" s="4" t="s">
        <v>46</v>
      </c>
      <c r="U13" s="4" t="s">
        <v>46</v>
      </c>
      <c r="V13" s="5">
        <v>22</v>
      </c>
      <c r="W13" s="5">
        <v>110.73</v>
      </c>
      <c r="X13" s="5">
        <v>100</v>
      </c>
      <c r="Y13" s="5">
        <v>24.36</v>
      </c>
      <c r="Z13" s="5">
        <v>0</v>
      </c>
      <c r="AA13" s="5">
        <v>0</v>
      </c>
      <c r="AB13" s="4" t="s">
        <v>103</v>
      </c>
      <c r="AC13" s="4" t="s">
        <v>46</v>
      </c>
      <c r="AD13" s="5">
        <v>0</v>
      </c>
      <c r="AE13" s="4" t="s">
        <v>104</v>
      </c>
      <c r="AF13" s="3">
        <v>45444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45798</v>
      </c>
      <c r="C14" s="4" t="s">
        <v>107</v>
      </c>
      <c r="D14" s="2">
        <v>1755893</v>
      </c>
      <c r="E14" s="4" t="s">
        <v>108</v>
      </c>
      <c r="F14" s="4" t="s">
        <v>109</v>
      </c>
      <c r="G14" s="4" t="s">
        <v>46</v>
      </c>
      <c r="H14" s="4" t="s">
        <v>46</v>
      </c>
      <c r="I14" s="4" t="s">
        <v>46</v>
      </c>
      <c r="J14" s="4" t="s">
        <v>86</v>
      </c>
      <c r="K14" s="4" t="s">
        <v>87</v>
      </c>
      <c r="L14" s="3">
        <v>45809</v>
      </c>
      <c r="M14" s="4" t="s">
        <v>59</v>
      </c>
      <c r="N14" s="4" t="s">
        <v>46</v>
      </c>
      <c r="O14" s="4" t="s">
        <v>50</v>
      </c>
      <c r="P14" s="4" t="s">
        <v>88</v>
      </c>
      <c r="Q14" s="2">
        <v>1</v>
      </c>
      <c r="R14" s="2">
        <v>60</v>
      </c>
      <c r="S14" s="4" t="s">
        <v>89</v>
      </c>
      <c r="T14" s="4" t="s">
        <v>46</v>
      </c>
      <c r="U14" s="4" t="s">
        <v>46</v>
      </c>
      <c r="V14" s="5">
        <v>10</v>
      </c>
      <c r="W14" s="5">
        <v>12.99</v>
      </c>
      <c r="X14" s="5">
        <v>100</v>
      </c>
      <c r="Y14" s="5">
        <v>1.3</v>
      </c>
      <c r="Z14" s="4" t="s">
        <v>46</v>
      </c>
      <c r="AA14" s="5" t="s">
        <v>46</v>
      </c>
      <c r="AB14" s="4" t="s">
        <v>110</v>
      </c>
      <c r="AC14" s="4" t="s">
        <v>46</v>
      </c>
      <c r="AD14" s="5">
        <v>0</v>
      </c>
      <c r="AE14" s="4" t="s">
        <v>111</v>
      </c>
      <c r="AF14" s="3">
        <v>45748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45798</v>
      </c>
      <c r="C15" s="4" t="s">
        <v>112</v>
      </c>
      <c r="D15" s="2">
        <v>1831491</v>
      </c>
      <c r="E15" s="4" t="s">
        <v>113</v>
      </c>
      <c r="F15" s="4" t="s">
        <v>114</v>
      </c>
      <c r="G15" s="4" t="s">
        <v>46</v>
      </c>
      <c r="H15" s="4" t="s">
        <v>46</v>
      </c>
      <c r="I15" s="4" t="s">
        <v>46</v>
      </c>
      <c r="J15" s="4" t="s">
        <v>86</v>
      </c>
      <c r="K15" s="4" t="s">
        <v>87</v>
      </c>
      <c r="L15" s="3">
        <v>45778</v>
      </c>
      <c r="M15" s="4" t="s">
        <v>115</v>
      </c>
      <c r="N15" s="4" t="s">
        <v>46</v>
      </c>
      <c r="O15" s="4" t="s">
        <v>50</v>
      </c>
      <c r="P15" s="4" t="s">
        <v>88</v>
      </c>
      <c r="Q15" s="2">
        <v>2</v>
      </c>
      <c r="R15" s="2">
        <v>60</v>
      </c>
      <c r="S15" s="4" t="s">
        <v>89</v>
      </c>
      <c r="T15" s="4" t="s">
        <v>46</v>
      </c>
      <c r="U15" s="4" t="s">
        <v>46</v>
      </c>
      <c r="V15" s="5">
        <v>10</v>
      </c>
      <c r="W15" s="5">
        <v>26.88</v>
      </c>
      <c r="X15" s="5">
        <v>100</v>
      </c>
      <c r="Y15" s="5">
        <v>37.69</v>
      </c>
      <c r="Z15" s="4" t="s">
        <v>46</v>
      </c>
      <c r="AA15" s="5" t="s">
        <v>46</v>
      </c>
      <c r="AB15" s="4" t="s">
        <v>110</v>
      </c>
      <c r="AC15" s="4" t="s">
        <v>46</v>
      </c>
      <c r="AD15" s="5">
        <v>0</v>
      </c>
      <c r="AE15" s="4" t="s">
        <v>111</v>
      </c>
      <c r="AF15" s="3">
        <v>45808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45798</v>
      </c>
      <c r="C16" s="4" t="s">
        <v>112</v>
      </c>
      <c r="D16" s="2">
        <v>1831491</v>
      </c>
      <c r="E16" s="4" t="s">
        <v>113</v>
      </c>
      <c r="F16" s="4" t="s">
        <v>116</v>
      </c>
      <c r="G16" s="4" t="s">
        <v>46</v>
      </c>
      <c r="H16" s="4" t="s">
        <v>46</v>
      </c>
      <c r="I16" s="4" t="s">
        <v>46</v>
      </c>
      <c r="J16" s="4" t="s">
        <v>86</v>
      </c>
      <c r="K16" s="4" t="s">
        <v>87</v>
      </c>
      <c r="L16" s="3">
        <v>45778</v>
      </c>
      <c r="M16" s="4" t="s">
        <v>115</v>
      </c>
      <c r="N16" s="4" t="s">
        <v>46</v>
      </c>
      <c r="O16" s="4" t="s">
        <v>50</v>
      </c>
      <c r="P16" s="4" t="s">
        <v>88</v>
      </c>
      <c r="Q16" s="2">
        <v>2</v>
      </c>
      <c r="R16" s="2">
        <v>60</v>
      </c>
      <c r="S16" s="4" t="s">
        <v>89</v>
      </c>
      <c r="T16" s="4" t="s">
        <v>46</v>
      </c>
      <c r="U16" s="4" t="s">
        <v>46</v>
      </c>
      <c r="V16" s="5">
        <v>10</v>
      </c>
      <c r="W16" s="5">
        <v>26.88</v>
      </c>
      <c r="X16" s="5">
        <v>100</v>
      </c>
      <c r="Y16" s="5">
        <v>37.69</v>
      </c>
      <c r="Z16" s="4" t="s">
        <v>46</v>
      </c>
      <c r="AA16" s="5" t="s">
        <v>46</v>
      </c>
      <c r="AB16" s="4" t="s">
        <v>110</v>
      </c>
      <c r="AC16" s="4" t="s">
        <v>46</v>
      </c>
      <c r="AD16" s="5">
        <v>0</v>
      </c>
      <c r="AE16" s="4" t="s">
        <v>111</v>
      </c>
      <c r="AF16" s="3">
        <v>45808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45798</v>
      </c>
      <c r="C17" s="4" t="s">
        <v>112</v>
      </c>
      <c r="D17" s="2">
        <v>1831491</v>
      </c>
      <c r="E17" s="4" t="s">
        <v>117</v>
      </c>
      <c r="F17" s="4" t="s">
        <v>118</v>
      </c>
      <c r="G17" s="4" t="s">
        <v>46</v>
      </c>
      <c r="H17" s="4" t="s">
        <v>46</v>
      </c>
      <c r="I17" s="4" t="s">
        <v>46</v>
      </c>
      <c r="J17" s="4" t="s">
        <v>86</v>
      </c>
      <c r="K17" s="4" t="s">
        <v>87</v>
      </c>
      <c r="L17" s="3">
        <v>45778</v>
      </c>
      <c r="M17" s="4" t="s">
        <v>115</v>
      </c>
      <c r="N17" s="4" t="s">
        <v>46</v>
      </c>
      <c r="O17" s="4" t="s">
        <v>50</v>
      </c>
      <c r="P17" s="4" t="s">
        <v>88</v>
      </c>
      <c r="Q17" s="2">
        <v>2</v>
      </c>
      <c r="R17" s="2">
        <v>60</v>
      </c>
      <c r="S17" s="4" t="s">
        <v>89</v>
      </c>
      <c r="T17" s="4" t="s">
        <v>46</v>
      </c>
      <c r="U17" s="4" t="s">
        <v>46</v>
      </c>
      <c r="V17" s="5">
        <v>10</v>
      </c>
      <c r="W17" s="5">
        <v>26.88</v>
      </c>
      <c r="X17" s="5">
        <v>100</v>
      </c>
      <c r="Y17" s="5">
        <v>37.69</v>
      </c>
      <c r="Z17" s="4" t="s">
        <v>46</v>
      </c>
      <c r="AA17" s="5" t="s">
        <v>46</v>
      </c>
      <c r="AB17" s="4" t="s">
        <v>110</v>
      </c>
      <c r="AC17" s="4" t="s">
        <v>46</v>
      </c>
      <c r="AD17" s="5">
        <v>0</v>
      </c>
      <c r="AE17" s="4" t="s">
        <v>111</v>
      </c>
      <c r="AF17" s="3">
        <v>45808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45798</v>
      </c>
      <c r="C18" s="4" t="s">
        <v>112</v>
      </c>
      <c r="D18" s="2">
        <v>1831491</v>
      </c>
      <c r="E18" s="4" t="s">
        <v>119</v>
      </c>
      <c r="F18" s="4" t="s">
        <v>120</v>
      </c>
      <c r="G18" s="4" t="s">
        <v>46</v>
      </c>
      <c r="H18" s="4" t="s">
        <v>46</v>
      </c>
      <c r="I18" s="4" t="s">
        <v>46</v>
      </c>
      <c r="J18" s="4" t="s">
        <v>86</v>
      </c>
      <c r="K18" s="4" t="s">
        <v>87</v>
      </c>
      <c r="L18" s="3">
        <v>45809</v>
      </c>
      <c r="M18" s="4" t="s">
        <v>59</v>
      </c>
      <c r="N18" s="4" t="s">
        <v>46</v>
      </c>
      <c r="O18" s="4" t="s">
        <v>50</v>
      </c>
      <c r="P18" s="4" t="s">
        <v>88</v>
      </c>
      <c r="Q18" s="2">
        <v>1</v>
      </c>
      <c r="R18" s="2">
        <v>60</v>
      </c>
      <c r="S18" s="4" t="s">
        <v>89</v>
      </c>
      <c r="T18" s="4" t="s">
        <v>46</v>
      </c>
      <c r="U18" s="4" t="s">
        <v>46</v>
      </c>
      <c r="V18" s="5">
        <v>10</v>
      </c>
      <c r="W18" s="5">
        <v>13.93</v>
      </c>
      <c r="X18" s="5">
        <v>100</v>
      </c>
      <c r="Y18" s="5">
        <v>36.39</v>
      </c>
      <c r="Z18" s="4" t="s">
        <v>46</v>
      </c>
      <c r="AA18" s="5" t="s">
        <v>46</v>
      </c>
      <c r="AB18" s="4" t="s">
        <v>110</v>
      </c>
      <c r="AC18" s="4" t="s">
        <v>46</v>
      </c>
      <c r="AD18" s="5">
        <v>0</v>
      </c>
      <c r="AE18" s="4" t="s">
        <v>111</v>
      </c>
      <c r="AF18" s="3">
        <v>45809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5B56-7757-432B-AE04-DBF0626BC1E3}">
  <dimension ref="A1:P18"/>
  <sheetViews>
    <sheetView tabSelected="1" workbookViewId="0">
      <selection activeCell="K7" sqref="K7"/>
    </sheetView>
  </sheetViews>
  <sheetFormatPr defaultRowHeight="12.75" x14ac:dyDescent="0.2"/>
  <cols>
    <col min="1" max="1" width="24.7109375" style="11" bestFit="1" customWidth="1"/>
    <col min="2" max="2" width="19" style="11" customWidth="1"/>
    <col min="3" max="3" width="28.5703125" style="11" bestFit="1" customWidth="1"/>
    <col min="4" max="4" width="13.28515625" style="11" bestFit="1" customWidth="1"/>
    <col min="5" max="5" width="14.42578125" style="11" bestFit="1" customWidth="1"/>
    <col min="6" max="7" width="11.42578125" style="11" bestFit="1" customWidth="1"/>
    <col min="8" max="8" width="15.28515625" style="11" bestFit="1" customWidth="1"/>
    <col min="9" max="9" width="13.7109375" style="11" bestFit="1" customWidth="1"/>
    <col min="10" max="10" width="9.5703125" style="18" bestFit="1" customWidth="1"/>
    <col min="11" max="11" width="15.28515625" style="11" bestFit="1" customWidth="1"/>
    <col min="12" max="12" width="40.5703125" style="11" bestFit="1" customWidth="1"/>
    <col min="13" max="13" width="13.7109375" style="11" bestFit="1" customWidth="1"/>
    <col min="14" max="14" width="21.7109375" style="11" bestFit="1" customWidth="1"/>
    <col min="15" max="15" width="21.5703125" style="11" bestFit="1" customWidth="1"/>
    <col min="16" max="16384" width="9.140625" style="11"/>
  </cols>
  <sheetData>
    <row r="1" spans="1:15" x14ac:dyDescent="0.2">
      <c r="A1" s="9" t="s">
        <v>2</v>
      </c>
      <c r="B1" s="9" t="s">
        <v>3</v>
      </c>
      <c r="C1" s="9" t="s">
        <v>4</v>
      </c>
      <c r="D1" s="9" t="s">
        <v>5</v>
      </c>
      <c r="E1" s="9"/>
      <c r="F1" s="9" t="s">
        <v>11</v>
      </c>
      <c r="G1" s="9" t="s">
        <v>12</v>
      </c>
      <c r="H1" s="9" t="s">
        <v>18</v>
      </c>
      <c r="I1" s="9" t="s">
        <v>21</v>
      </c>
      <c r="J1" s="10" t="s">
        <v>22</v>
      </c>
      <c r="K1" s="9" t="s">
        <v>24</v>
      </c>
      <c r="L1" s="9" t="s">
        <v>27</v>
      </c>
      <c r="M1" s="9" t="s">
        <v>31</v>
      </c>
    </row>
    <row r="2" spans="1:15" x14ac:dyDescent="0.2">
      <c r="A2" s="12" t="s">
        <v>83</v>
      </c>
      <c r="B2" s="13">
        <v>8244481</v>
      </c>
      <c r="C2" s="14" t="s">
        <v>166</v>
      </c>
      <c r="D2" s="15">
        <v>9028205190</v>
      </c>
      <c r="E2" s="11" t="str">
        <f>CONCATENATE(D2,4)</f>
        <v>90282051904</v>
      </c>
      <c r="F2" s="16">
        <v>45809</v>
      </c>
      <c r="G2" s="12" t="s">
        <v>59</v>
      </c>
      <c r="H2" s="12" t="s">
        <v>89</v>
      </c>
      <c r="I2" s="17">
        <v>10</v>
      </c>
      <c r="J2" s="18">
        <v>26.88</v>
      </c>
      <c r="K2" s="17">
        <v>2.69</v>
      </c>
      <c r="L2" s="12" t="s">
        <v>90</v>
      </c>
      <c r="M2" s="16">
        <v>45276</v>
      </c>
      <c r="N2" s="11" t="s">
        <v>121</v>
      </c>
    </row>
    <row r="3" spans="1:15" x14ac:dyDescent="0.2">
      <c r="A3" s="12" t="s">
        <v>61</v>
      </c>
      <c r="B3" s="13">
        <v>17126004</v>
      </c>
      <c r="C3" s="14" t="s">
        <v>161</v>
      </c>
      <c r="D3" s="12" t="s">
        <v>63</v>
      </c>
      <c r="E3" s="11" t="str">
        <f>CONCATENATE(D3,6)</f>
        <v>00023351659K6</v>
      </c>
      <c r="F3" s="16">
        <v>45809</v>
      </c>
      <c r="G3" s="12" t="s">
        <v>59</v>
      </c>
      <c r="H3" s="12" t="s">
        <v>51</v>
      </c>
      <c r="I3" s="17">
        <v>0.57999999999999996</v>
      </c>
      <c r="J3" s="18">
        <v>1</v>
      </c>
      <c r="K3" s="17">
        <v>182.58</v>
      </c>
      <c r="L3" s="12" t="s">
        <v>53</v>
      </c>
      <c r="M3" s="16">
        <v>45809</v>
      </c>
      <c r="N3" s="11" t="s">
        <v>122</v>
      </c>
      <c r="O3" s="19" t="s">
        <v>124</v>
      </c>
    </row>
    <row r="4" spans="1:15" x14ac:dyDescent="0.2">
      <c r="A4" s="12" t="s">
        <v>112</v>
      </c>
      <c r="B4" s="13">
        <v>18828278</v>
      </c>
      <c r="C4" s="14" t="s">
        <v>172</v>
      </c>
      <c r="D4" s="15">
        <v>9030544330</v>
      </c>
      <c r="E4" s="11" t="str">
        <f>CONCATENATE(D4,4)</f>
        <v>90305443304</v>
      </c>
      <c r="F4" s="16">
        <v>45778</v>
      </c>
      <c r="G4" s="12" t="s">
        <v>115</v>
      </c>
      <c r="H4" s="12" t="s">
        <v>89</v>
      </c>
      <c r="I4" s="17">
        <v>10</v>
      </c>
      <c r="J4" s="18">
        <v>26.88</v>
      </c>
      <c r="K4" s="17">
        <v>37.69</v>
      </c>
      <c r="L4" s="12" t="s">
        <v>110</v>
      </c>
      <c r="M4" s="16">
        <v>45808</v>
      </c>
      <c r="N4" s="11" t="s">
        <v>121</v>
      </c>
    </row>
    <row r="5" spans="1:15" x14ac:dyDescent="0.2">
      <c r="A5" s="12" t="s">
        <v>112</v>
      </c>
      <c r="B5" s="13">
        <v>18828278</v>
      </c>
      <c r="C5" s="14" t="s">
        <v>172</v>
      </c>
      <c r="D5" s="15">
        <v>9030544350</v>
      </c>
      <c r="E5" s="11" t="str">
        <f>CONCATENATE(D5,4)</f>
        <v>90305443504</v>
      </c>
      <c r="F5" s="16">
        <v>45778</v>
      </c>
      <c r="G5" s="12" t="s">
        <v>115</v>
      </c>
      <c r="H5" s="12" t="s">
        <v>89</v>
      </c>
      <c r="I5" s="17">
        <v>10</v>
      </c>
      <c r="J5" s="18">
        <v>26.88</v>
      </c>
      <c r="K5" s="17">
        <v>37.69</v>
      </c>
      <c r="L5" s="12" t="s">
        <v>110</v>
      </c>
      <c r="M5" s="16">
        <v>45808</v>
      </c>
      <c r="N5" s="11" t="s">
        <v>121</v>
      </c>
    </row>
    <row r="6" spans="1:15" x14ac:dyDescent="0.2">
      <c r="A6" s="12" t="s">
        <v>112</v>
      </c>
      <c r="B6" s="13">
        <v>18828278</v>
      </c>
      <c r="C6" s="14" t="s">
        <v>173</v>
      </c>
      <c r="D6" s="15">
        <v>9030558330</v>
      </c>
      <c r="E6" s="11" t="str">
        <f>CONCATENATE(D6,4)</f>
        <v>90305583304</v>
      </c>
      <c r="F6" s="16">
        <v>45778</v>
      </c>
      <c r="G6" s="12" t="s">
        <v>115</v>
      </c>
      <c r="H6" s="12" t="s">
        <v>89</v>
      </c>
      <c r="I6" s="17">
        <v>10</v>
      </c>
      <c r="J6" s="18">
        <v>26.88</v>
      </c>
      <c r="K6" s="17">
        <v>37.69</v>
      </c>
      <c r="L6" s="12" t="s">
        <v>110</v>
      </c>
      <c r="M6" s="16">
        <v>45808</v>
      </c>
      <c r="N6" s="11" t="s">
        <v>121</v>
      </c>
    </row>
    <row r="7" spans="1:15" x14ac:dyDescent="0.2">
      <c r="A7" s="12" t="s">
        <v>112</v>
      </c>
      <c r="B7" s="13">
        <v>18828278</v>
      </c>
      <c r="C7" s="14" t="s">
        <v>174</v>
      </c>
      <c r="D7" s="15">
        <v>9030572460</v>
      </c>
      <c r="E7" s="11" t="str">
        <f>CONCATENATE(D7,4)</f>
        <v>90305724604</v>
      </c>
      <c r="F7" s="16">
        <v>45809</v>
      </c>
      <c r="G7" s="12" t="s">
        <v>59</v>
      </c>
      <c r="H7" s="12" t="s">
        <v>89</v>
      </c>
      <c r="I7" s="17">
        <v>10</v>
      </c>
      <c r="J7" s="18">
        <v>13.93</v>
      </c>
      <c r="K7" s="17">
        <v>36.39</v>
      </c>
      <c r="L7" s="12" t="s">
        <v>110</v>
      </c>
      <c r="M7" s="16">
        <v>45809</v>
      </c>
      <c r="N7" s="11" t="s">
        <v>121</v>
      </c>
    </row>
    <row r="8" spans="1:15" x14ac:dyDescent="0.2">
      <c r="A8" s="12" t="s">
        <v>72</v>
      </c>
      <c r="B8" s="13">
        <v>17425766</v>
      </c>
      <c r="C8" s="14" t="s">
        <v>163</v>
      </c>
      <c r="D8" s="12" t="s">
        <v>74</v>
      </c>
      <c r="E8" s="11" t="str">
        <f>CONCATENATE(D8,6)</f>
        <v>00014214997K6</v>
      </c>
      <c r="F8" s="16">
        <v>45809</v>
      </c>
      <c r="G8" s="12" t="s">
        <v>59</v>
      </c>
      <c r="H8" s="12" t="s">
        <v>51</v>
      </c>
      <c r="I8" s="17">
        <v>0.57999999999999996</v>
      </c>
      <c r="J8" s="18">
        <v>1</v>
      </c>
      <c r="K8" s="17">
        <v>182.58</v>
      </c>
      <c r="L8" s="12" t="s">
        <v>53</v>
      </c>
      <c r="M8" s="16">
        <v>45809</v>
      </c>
      <c r="N8" s="11" t="s">
        <v>122</v>
      </c>
      <c r="O8" s="19" t="s">
        <v>124</v>
      </c>
    </row>
    <row r="9" spans="1:15" x14ac:dyDescent="0.2">
      <c r="A9" s="12" t="s">
        <v>67</v>
      </c>
      <c r="B9" s="13">
        <v>17301495</v>
      </c>
      <c r="C9" s="14" t="s">
        <v>162</v>
      </c>
      <c r="D9" s="12" t="s">
        <v>69</v>
      </c>
      <c r="E9" s="11" t="str">
        <f>CONCATENATE(D9,6)</f>
        <v>00021880649K6</v>
      </c>
      <c r="F9" s="16">
        <v>45689</v>
      </c>
      <c r="G9" s="12" t="s">
        <v>71</v>
      </c>
      <c r="H9" s="12" t="s">
        <v>51</v>
      </c>
      <c r="I9" s="17">
        <v>-0.57999999999999996</v>
      </c>
      <c r="J9" s="18">
        <v>-1</v>
      </c>
      <c r="K9" s="17">
        <v>-182.59</v>
      </c>
      <c r="L9" s="12" t="s">
        <v>53</v>
      </c>
      <c r="M9" s="16">
        <v>45689</v>
      </c>
      <c r="N9" s="11" t="s">
        <v>122</v>
      </c>
      <c r="O9" s="19" t="s">
        <v>124</v>
      </c>
    </row>
    <row r="10" spans="1:15" x14ac:dyDescent="0.2">
      <c r="A10" s="12" t="s">
        <v>96</v>
      </c>
      <c r="B10" s="13">
        <v>15278437</v>
      </c>
      <c r="C10" s="14" t="s">
        <v>168</v>
      </c>
      <c r="D10" s="15">
        <v>654656220</v>
      </c>
      <c r="E10" s="11" t="str">
        <f>CONCATENATE(D10,4)</f>
        <v>6546562204</v>
      </c>
      <c r="F10" s="16">
        <v>45809</v>
      </c>
      <c r="G10" s="12" t="s">
        <v>59</v>
      </c>
      <c r="H10" s="12" t="s">
        <v>89</v>
      </c>
      <c r="I10" s="17">
        <v>10</v>
      </c>
      <c r="J10" s="18">
        <v>12.99</v>
      </c>
      <c r="K10" s="17">
        <v>1.3</v>
      </c>
      <c r="L10" s="12" t="s">
        <v>90</v>
      </c>
      <c r="M10" s="16">
        <v>45371</v>
      </c>
      <c r="N10" s="11" t="s">
        <v>121</v>
      </c>
    </row>
    <row r="11" spans="1:15" x14ac:dyDescent="0.2">
      <c r="A11" s="12" t="s">
        <v>92</v>
      </c>
      <c r="B11" s="13">
        <v>7146581</v>
      </c>
      <c r="C11" s="14" t="s">
        <v>167</v>
      </c>
      <c r="D11" s="15">
        <v>9007596540</v>
      </c>
      <c r="E11" s="11" t="str">
        <f>CONCATENATE(D11,4)</f>
        <v>90075965404</v>
      </c>
      <c r="F11" s="16">
        <v>45809</v>
      </c>
      <c r="G11" s="12" t="s">
        <v>59</v>
      </c>
      <c r="H11" s="12" t="s">
        <v>95</v>
      </c>
      <c r="I11" s="17">
        <v>10</v>
      </c>
      <c r="J11" s="18">
        <v>43.09</v>
      </c>
      <c r="K11" s="17">
        <v>4.3099999999999996</v>
      </c>
      <c r="L11" s="12" t="s">
        <v>90</v>
      </c>
      <c r="M11" s="16">
        <v>40969</v>
      </c>
      <c r="N11" s="11" t="s">
        <v>121</v>
      </c>
    </row>
    <row r="12" spans="1:15" x14ac:dyDescent="0.2">
      <c r="A12" s="12" t="s">
        <v>99</v>
      </c>
      <c r="B12" s="13">
        <v>17528908</v>
      </c>
      <c r="C12" s="14" t="s">
        <v>169</v>
      </c>
      <c r="D12" s="12" t="s">
        <v>101</v>
      </c>
      <c r="E12" s="11" t="str">
        <f>CONCATENATE(D12,8)</f>
        <v>00000789641A8</v>
      </c>
      <c r="F12" s="16">
        <v>45809</v>
      </c>
      <c r="G12" s="12" t="s">
        <v>59</v>
      </c>
      <c r="H12" s="12" t="s">
        <v>51</v>
      </c>
      <c r="I12" s="17">
        <v>26</v>
      </c>
      <c r="J12" s="18">
        <v>307</v>
      </c>
      <c r="K12" s="17">
        <v>79.819999999999993</v>
      </c>
      <c r="L12" s="12" t="s">
        <v>103</v>
      </c>
      <c r="M12" s="16">
        <v>45292</v>
      </c>
      <c r="N12" s="11" t="s">
        <v>125</v>
      </c>
    </row>
    <row r="13" spans="1:15" x14ac:dyDescent="0.2">
      <c r="A13" s="12" t="s">
        <v>99</v>
      </c>
      <c r="B13" s="13">
        <v>17528908</v>
      </c>
      <c r="C13" s="14" t="s">
        <v>170</v>
      </c>
      <c r="D13" s="12" t="s">
        <v>106</v>
      </c>
      <c r="E13" s="11" t="str">
        <f>CONCATENATE(D13,8)</f>
        <v>00000828881A8</v>
      </c>
      <c r="F13" s="16">
        <v>45809</v>
      </c>
      <c r="G13" s="12" t="s">
        <v>59</v>
      </c>
      <c r="H13" s="12" t="s">
        <v>51</v>
      </c>
      <c r="I13" s="17">
        <v>22</v>
      </c>
      <c r="J13" s="18">
        <v>110.73</v>
      </c>
      <c r="K13" s="17">
        <v>24.36</v>
      </c>
      <c r="L13" s="12" t="s">
        <v>103</v>
      </c>
      <c r="M13" s="16">
        <v>45444</v>
      </c>
      <c r="N13" s="11" t="s">
        <v>126</v>
      </c>
    </row>
    <row r="14" spans="1:15" x14ac:dyDescent="0.2">
      <c r="A14" s="12" t="s">
        <v>107</v>
      </c>
      <c r="B14" s="20" t="s">
        <v>175</v>
      </c>
      <c r="C14" s="14" t="s">
        <v>171</v>
      </c>
      <c r="D14" s="15">
        <v>9030250530</v>
      </c>
      <c r="E14" s="11" t="str">
        <f>CONCATENATE(D14,4)</f>
        <v>90302505304</v>
      </c>
      <c r="F14" s="16">
        <v>45809</v>
      </c>
      <c r="G14" s="12" t="s">
        <v>59</v>
      </c>
      <c r="H14" s="12" t="s">
        <v>89</v>
      </c>
      <c r="I14" s="17">
        <v>10</v>
      </c>
      <c r="J14" s="18">
        <v>12.99</v>
      </c>
      <c r="K14" s="17">
        <v>1.3</v>
      </c>
      <c r="L14" s="12" t="s">
        <v>110</v>
      </c>
      <c r="M14" s="16">
        <v>45748</v>
      </c>
      <c r="N14" s="11" t="s">
        <v>121</v>
      </c>
    </row>
    <row r="15" spans="1:15" x14ac:dyDescent="0.2">
      <c r="A15" s="12" t="s">
        <v>76</v>
      </c>
      <c r="B15" s="13">
        <v>9213293</v>
      </c>
      <c r="C15" s="14" t="s">
        <v>164</v>
      </c>
      <c r="D15" s="12" t="s">
        <v>78</v>
      </c>
      <c r="E15" s="11" t="str">
        <f>CONCATENATE(D15,6)</f>
        <v>00000646024D6</v>
      </c>
      <c r="F15" s="16">
        <v>45809</v>
      </c>
      <c r="G15" s="12" t="s">
        <v>59</v>
      </c>
      <c r="H15" s="12" t="s">
        <v>51</v>
      </c>
      <c r="I15" s="17">
        <v>0.57999999999999996</v>
      </c>
      <c r="J15" s="18">
        <v>1</v>
      </c>
      <c r="K15" s="17">
        <v>182.58</v>
      </c>
      <c r="L15" s="12" t="s">
        <v>53</v>
      </c>
      <c r="M15" s="16">
        <v>45809</v>
      </c>
      <c r="N15" s="11" t="s">
        <v>122</v>
      </c>
      <c r="O15" s="19" t="s">
        <v>124</v>
      </c>
    </row>
    <row r="16" spans="1:15" x14ac:dyDescent="0.2">
      <c r="A16" s="12" t="s">
        <v>76</v>
      </c>
      <c r="B16" s="13">
        <v>9213293</v>
      </c>
      <c r="C16" s="14" t="s">
        <v>165</v>
      </c>
      <c r="D16" s="12" t="s">
        <v>81</v>
      </c>
      <c r="E16" s="11" t="str">
        <f>CONCATENATE(D16,6)</f>
        <v>00011895530K6</v>
      </c>
      <c r="F16" s="16">
        <v>45689</v>
      </c>
      <c r="G16" s="12" t="s">
        <v>71</v>
      </c>
      <c r="H16" s="12" t="s">
        <v>51</v>
      </c>
      <c r="I16" s="17">
        <v>-0.57999999999999996</v>
      </c>
      <c r="J16" s="18">
        <v>-1</v>
      </c>
      <c r="K16" s="17">
        <v>-182.59</v>
      </c>
      <c r="L16" s="12" t="s">
        <v>53</v>
      </c>
      <c r="M16" s="16">
        <v>45689</v>
      </c>
      <c r="N16" s="11" t="s">
        <v>122</v>
      </c>
      <c r="O16" s="19" t="s">
        <v>124</v>
      </c>
    </row>
    <row r="17" spans="1:16" x14ac:dyDescent="0.2">
      <c r="A17" s="12" t="s">
        <v>42</v>
      </c>
      <c r="B17" s="13">
        <v>16633294</v>
      </c>
      <c r="C17" s="14" t="s">
        <v>159</v>
      </c>
      <c r="D17" s="12" t="s">
        <v>44</v>
      </c>
      <c r="E17" s="11" t="str">
        <f>CONCATENATE(D17,6)</f>
        <v>00023345760K6</v>
      </c>
      <c r="F17" s="16">
        <v>45839</v>
      </c>
      <c r="G17" s="12" t="s">
        <v>49</v>
      </c>
      <c r="H17" s="12" t="s">
        <v>51</v>
      </c>
      <c r="I17" s="17">
        <v>0.5</v>
      </c>
      <c r="J17" s="18">
        <v>1</v>
      </c>
      <c r="K17" s="17">
        <v>156.5</v>
      </c>
      <c r="L17" s="12" t="s">
        <v>53</v>
      </c>
      <c r="M17" s="16">
        <v>45839</v>
      </c>
      <c r="N17" s="11" t="s">
        <v>122</v>
      </c>
      <c r="O17" s="19" t="s">
        <v>123</v>
      </c>
      <c r="P17" s="11">
        <f>313/12*6</f>
        <v>156.5</v>
      </c>
    </row>
    <row r="18" spans="1:16" x14ac:dyDescent="0.2">
      <c r="A18" s="12" t="s">
        <v>42</v>
      </c>
      <c r="B18" s="13">
        <v>16633294</v>
      </c>
      <c r="C18" s="14" t="s">
        <v>160</v>
      </c>
      <c r="D18" s="12" t="s">
        <v>57</v>
      </c>
      <c r="E18" s="11" t="str">
        <f>CONCATENATE(D18,6)</f>
        <v>00023358106K6</v>
      </c>
      <c r="F18" s="16">
        <v>45809</v>
      </c>
      <c r="G18" s="12" t="s">
        <v>59</v>
      </c>
      <c r="H18" s="12" t="s">
        <v>51</v>
      </c>
      <c r="I18" s="17">
        <v>0.57999999999999996</v>
      </c>
      <c r="J18" s="18">
        <v>1</v>
      </c>
      <c r="K18" s="17">
        <v>182.58</v>
      </c>
      <c r="L18" s="12" t="s">
        <v>53</v>
      </c>
      <c r="M18" s="16">
        <v>45809</v>
      </c>
      <c r="N18" s="11" t="s">
        <v>122</v>
      </c>
      <c r="O18" s="19" t="s">
        <v>124</v>
      </c>
      <c r="P18" s="11">
        <f>313/12*7</f>
        <v>182.58333333333331</v>
      </c>
    </row>
  </sheetData>
  <sortState xmlns:xlrd2="http://schemas.microsoft.com/office/spreadsheetml/2017/richdata2" ref="A2:AQ18">
    <sortCondition ref="A2:A18"/>
  </sortState>
  <pageMargins left="0.7" right="0.7" top="0.75" bottom="0.75" header="0.3" footer="0.3"/>
  <ignoredErrors>
    <ignoredError sqref="E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7CC4-C70C-4A44-9F39-EE40D2D158AA}">
  <dimension ref="A1:F17"/>
  <sheetViews>
    <sheetView workbookViewId="0">
      <selection activeCell="F1" sqref="F1:F17"/>
    </sheetView>
  </sheetViews>
  <sheetFormatPr defaultRowHeight="12.75" x14ac:dyDescent="0.2"/>
  <cols>
    <col min="1" max="1" width="13.42578125" bestFit="1" customWidth="1"/>
    <col min="2" max="2" width="14.42578125" bestFit="1" customWidth="1"/>
    <col min="5" max="5" width="12.7109375" bestFit="1" customWidth="1"/>
    <col min="6" max="6" width="19.7109375" bestFit="1" customWidth="1"/>
  </cols>
  <sheetData>
    <row r="1" spans="1:6" x14ac:dyDescent="0.2">
      <c r="A1" s="4" t="s">
        <v>44</v>
      </c>
      <c r="B1" t="str">
        <f>CONCATENATE(A1,6)</f>
        <v>00023345760K6</v>
      </c>
      <c r="D1" s="4" t="s">
        <v>127</v>
      </c>
      <c r="E1" t="s">
        <v>128</v>
      </c>
      <c r="F1" t="str">
        <f>CONCATENATE(E1, " ",D1)</f>
        <v>LAURA BERGERSEN</v>
      </c>
    </row>
    <row r="2" spans="1:6" x14ac:dyDescent="0.2">
      <c r="A2" s="4" t="s">
        <v>57</v>
      </c>
      <c r="B2" t="str">
        <f t="shared" ref="B2:B7" si="0">CONCATENATE(A2,6)</f>
        <v>00023358106K6</v>
      </c>
      <c r="D2" s="4" t="s">
        <v>129</v>
      </c>
      <c r="E2" t="s">
        <v>130</v>
      </c>
      <c r="F2" t="str">
        <f t="shared" ref="F2:F17" si="1">CONCATENATE(E2, " ",D2)</f>
        <v>GURBACHAN SINGH</v>
      </c>
    </row>
    <row r="3" spans="1:6" x14ac:dyDescent="0.2">
      <c r="A3" s="4" t="s">
        <v>63</v>
      </c>
      <c r="B3" t="str">
        <f t="shared" si="0"/>
        <v>00023351659K6</v>
      </c>
      <c r="D3" s="4" t="s">
        <v>131</v>
      </c>
      <c r="E3" t="s">
        <v>132</v>
      </c>
      <c r="F3" t="str">
        <f t="shared" si="1"/>
        <v>MICHAEL BENEDICT</v>
      </c>
    </row>
    <row r="4" spans="1:6" x14ac:dyDescent="0.2">
      <c r="A4" s="4" t="s">
        <v>69</v>
      </c>
      <c r="B4" t="str">
        <f t="shared" si="0"/>
        <v>00021880649K6</v>
      </c>
      <c r="D4" s="4" t="s">
        <v>133</v>
      </c>
      <c r="E4" t="s">
        <v>134</v>
      </c>
      <c r="F4" t="str">
        <f t="shared" si="1"/>
        <v>KAREEMA ABDUL</v>
      </c>
    </row>
    <row r="5" spans="1:6" x14ac:dyDescent="0.2">
      <c r="A5" s="4" t="s">
        <v>74</v>
      </c>
      <c r="B5" t="str">
        <f t="shared" si="0"/>
        <v>00014214997K6</v>
      </c>
      <c r="D5" s="4" t="s">
        <v>135</v>
      </c>
      <c r="E5" t="s">
        <v>136</v>
      </c>
      <c r="F5" t="str">
        <f t="shared" si="1"/>
        <v>DELORIS SHAW</v>
      </c>
    </row>
    <row r="6" spans="1:6" x14ac:dyDescent="0.2">
      <c r="A6" s="4" t="s">
        <v>78</v>
      </c>
      <c r="B6" t="str">
        <f t="shared" si="0"/>
        <v>00000646024D6</v>
      </c>
      <c r="D6" s="4" t="s">
        <v>137</v>
      </c>
      <c r="E6" t="s">
        <v>138</v>
      </c>
      <c r="F6" t="str">
        <f t="shared" si="1"/>
        <v>TIMOTHY PUTMAN</v>
      </c>
    </row>
    <row r="7" spans="1:6" x14ac:dyDescent="0.2">
      <c r="A7" s="4" t="s">
        <v>81</v>
      </c>
      <c r="B7" t="str">
        <f t="shared" si="0"/>
        <v>00011895530K6</v>
      </c>
      <c r="D7" s="4" t="s">
        <v>139</v>
      </c>
      <c r="E7" t="s">
        <v>140</v>
      </c>
      <c r="F7" t="str">
        <f t="shared" si="1"/>
        <v>ROGER TYK</v>
      </c>
    </row>
    <row r="8" spans="1:6" x14ac:dyDescent="0.2">
      <c r="A8" s="7">
        <v>9028205190</v>
      </c>
      <c r="B8" t="str">
        <f>CONCATENATE(A8,4)</f>
        <v>90282051904</v>
      </c>
      <c r="D8" s="6" t="s">
        <v>141</v>
      </c>
      <c r="E8" t="s">
        <v>142</v>
      </c>
      <c r="F8" t="str">
        <f t="shared" si="1"/>
        <v>Joseph Elliott</v>
      </c>
    </row>
    <row r="9" spans="1:6" x14ac:dyDescent="0.2">
      <c r="A9" s="7">
        <v>9007596540</v>
      </c>
      <c r="B9" t="str">
        <f t="shared" ref="B9:B10" si="2">CONCATENATE(A9,4)</f>
        <v>90075965404</v>
      </c>
      <c r="D9" s="6" t="s">
        <v>143</v>
      </c>
      <c r="E9" t="s">
        <v>144</v>
      </c>
      <c r="F9" t="str">
        <f t="shared" si="1"/>
        <v>Jerry Grychowski</v>
      </c>
    </row>
    <row r="10" spans="1:6" x14ac:dyDescent="0.2">
      <c r="A10" s="7">
        <v>654656220</v>
      </c>
      <c r="B10" t="str">
        <f t="shared" si="2"/>
        <v>6546562204</v>
      </c>
      <c r="D10" s="6" t="s">
        <v>145</v>
      </c>
      <c r="E10" t="s">
        <v>146</v>
      </c>
      <c r="F10" t="str">
        <f t="shared" si="1"/>
        <v>Elliot Gerber</v>
      </c>
    </row>
    <row r="11" spans="1:6" x14ac:dyDescent="0.2">
      <c r="A11" s="8" t="s">
        <v>101</v>
      </c>
      <c r="B11" t="str">
        <f>CONCATENATE(A11,8)</f>
        <v>00000789641A8</v>
      </c>
      <c r="D11" s="8" t="s">
        <v>147</v>
      </c>
      <c r="E11" t="s">
        <v>148</v>
      </c>
      <c r="F11" t="str">
        <f t="shared" si="1"/>
        <v>DAVID SCHUBERT</v>
      </c>
    </row>
    <row r="12" spans="1:6" x14ac:dyDescent="0.2">
      <c r="A12" s="8" t="s">
        <v>106</v>
      </c>
      <c r="B12" t="str">
        <f>CONCATENATE(A12,8)</f>
        <v>00000828881A8</v>
      </c>
      <c r="D12" s="8" t="s">
        <v>149</v>
      </c>
      <c r="E12" t="s">
        <v>150</v>
      </c>
      <c r="F12" t="str">
        <f t="shared" si="1"/>
        <v>KAREN CARDOSI</v>
      </c>
    </row>
    <row r="13" spans="1:6" x14ac:dyDescent="0.2">
      <c r="A13" s="7">
        <v>9030250530</v>
      </c>
      <c r="B13" t="str">
        <f t="shared" ref="B13:B17" si="3">CONCATENATE(A13,4)</f>
        <v>90302505304</v>
      </c>
      <c r="D13" s="6" t="s">
        <v>151</v>
      </c>
      <c r="E13" t="s">
        <v>152</v>
      </c>
      <c r="F13" t="str">
        <f t="shared" si="1"/>
        <v>Kayla Miller</v>
      </c>
    </row>
    <row r="14" spans="1:6" x14ac:dyDescent="0.2">
      <c r="A14" s="7">
        <v>9030544330</v>
      </c>
      <c r="B14" t="str">
        <f t="shared" si="3"/>
        <v>90305443304</v>
      </c>
      <c r="D14" s="6" t="s">
        <v>153</v>
      </c>
      <c r="E14" t="s">
        <v>154</v>
      </c>
      <c r="F14" t="str">
        <f t="shared" si="1"/>
        <v>Brianna Gambetti</v>
      </c>
    </row>
    <row r="15" spans="1:6" x14ac:dyDescent="0.2">
      <c r="A15" s="7">
        <v>9030544350</v>
      </c>
      <c r="B15" t="str">
        <f t="shared" si="3"/>
        <v>90305443504</v>
      </c>
      <c r="D15" s="6" t="s">
        <v>153</v>
      </c>
      <c r="E15" t="s">
        <v>154</v>
      </c>
      <c r="F15" t="str">
        <f t="shared" si="1"/>
        <v>Brianna Gambetti</v>
      </c>
    </row>
    <row r="16" spans="1:6" x14ac:dyDescent="0.2">
      <c r="A16" s="7">
        <v>9030558330</v>
      </c>
      <c r="B16" t="str">
        <f t="shared" si="3"/>
        <v>90305583304</v>
      </c>
      <c r="D16" s="6" t="s">
        <v>155</v>
      </c>
      <c r="E16" t="s">
        <v>156</v>
      </c>
      <c r="F16" t="str">
        <f t="shared" si="1"/>
        <v>David Taylor</v>
      </c>
    </row>
    <row r="17" spans="1:6" x14ac:dyDescent="0.2">
      <c r="A17" s="7">
        <v>9030572460</v>
      </c>
      <c r="B17" t="str">
        <f t="shared" si="3"/>
        <v>90305724604</v>
      </c>
      <c r="D17" s="6" t="s">
        <v>157</v>
      </c>
      <c r="E17" t="s">
        <v>158</v>
      </c>
      <c r="F17" t="str">
        <f t="shared" si="1"/>
        <v>Robert Shaw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2025-05-23T12:18:00Z</dcterms:created>
  <dcterms:modified xsi:type="dcterms:W3CDTF">2025-05-27T18:41:31Z</dcterms:modified>
</cp:coreProperties>
</file>