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9-03-25\"/>
    </mc:Choice>
  </mc:AlternateContent>
  <xr:revisionPtr revIDLastSave="0" documentId="13_ncr:1_{E33B1B57-C958-461A-9B8F-E4593231820C}" xr6:coauthVersionLast="47" xr6:coauthVersionMax="47" xr10:uidLastSave="{00000000-0000-0000-0000-000000000000}"/>
  <bookViews>
    <workbookView xWindow="-120" yWindow="-120" windowWidth="29040" windowHeight="16440" xr2:uid="{DE99F883-8DC3-4214-ACA3-2DE64A4CC3D1}"/>
  </bookViews>
  <sheets>
    <sheet name="CommissionData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V29" i="2" l="1"/>
  <c r="V26" i="2"/>
  <c r="V25" i="2"/>
  <c r="V24" i="2"/>
  <c r="V30" i="2"/>
  <c r="V27" i="2"/>
  <c r="V23" i="2"/>
  <c r="V21" i="2"/>
  <c r="V19" i="2"/>
  <c r="V20" i="2"/>
  <c r="V17" i="2"/>
  <c r="V16" i="2"/>
  <c r="V15" i="2"/>
  <c r="V14" i="2"/>
  <c r="V8" i="2"/>
  <c r="V7" i="2"/>
  <c r="V5" i="2"/>
  <c r="V4" i="2"/>
  <c r="V3" i="2"/>
  <c r="V10" i="2"/>
  <c r="V9" i="2"/>
  <c r="V6" i="2"/>
  <c r="V13" i="2"/>
  <c r="V12" i="2"/>
  <c r="V11" i="2"/>
  <c r="V18" i="2"/>
  <c r="V56" i="2"/>
  <c r="V57" i="2"/>
  <c r="V50" i="2"/>
  <c r="V51" i="2"/>
  <c r="V48" i="2"/>
  <c r="V52" i="2"/>
  <c r="V45" i="2"/>
  <c r="V41" i="2"/>
  <c r="V2" i="2"/>
  <c r="V38" i="2"/>
  <c r="V49" i="2"/>
  <c r="V40" i="2"/>
  <c r="V39" i="2"/>
  <c r="V55" i="2"/>
  <c r="V54" i="2"/>
  <c r="V53" i="2"/>
  <c r="V44" i="2"/>
  <c r="V42" i="2"/>
  <c r="V47" i="2"/>
  <c r="V46" i="2"/>
  <c r="V43" i="2"/>
  <c r="V28" i="2"/>
  <c r="V22" i="2"/>
  <c r="S50" i="2"/>
  <c r="S51" i="2"/>
  <c r="S48" i="2"/>
  <c r="S52" i="2"/>
  <c r="S45" i="2"/>
  <c r="S41" i="2"/>
  <c r="S2" i="2"/>
  <c r="S38" i="2"/>
  <c r="S49" i="2"/>
  <c r="S40" i="2"/>
  <c r="S39" i="2"/>
  <c r="S44" i="2"/>
  <c r="S42" i="2"/>
  <c r="S47" i="2"/>
  <c r="S46" i="2"/>
  <c r="S43" i="2"/>
  <c r="S21" i="2"/>
  <c r="S19" i="2"/>
  <c r="S20" i="2"/>
  <c r="S17" i="2"/>
  <c r="S16" i="2"/>
  <c r="S15" i="2"/>
  <c r="S14" i="2"/>
  <c r="S8" i="2"/>
  <c r="S7" i="2"/>
  <c r="S5" i="2"/>
  <c r="S4" i="2"/>
  <c r="S3" i="2"/>
  <c r="S10" i="2"/>
  <c r="S9" i="2"/>
  <c r="S6" i="2"/>
  <c r="S13" i="2"/>
  <c r="S12" i="2"/>
  <c r="S11" i="2"/>
  <c r="S18" i="2"/>
  <c r="S56" i="2"/>
  <c r="S57" i="2"/>
  <c r="S55" i="2"/>
  <c r="S54" i="2"/>
  <c r="S53" i="2"/>
  <c r="S31" i="2"/>
  <c r="S37" i="2"/>
  <c r="S36" i="2"/>
  <c r="S35" i="2"/>
  <c r="S34" i="2"/>
  <c r="S33" i="2"/>
  <c r="S32" i="2"/>
  <c r="S29" i="2"/>
  <c r="S26" i="2"/>
  <c r="S25" i="2"/>
  <c r="S24" i="2"/>
  <c r="S30" i="2"/>
  <c r="S27" i="2"/>
  <c r="S23" i="2"/>
  <c r="S28" i="2"/>
  <c r="S22" i="2"/>
  <c r="Q2" i="2"/>
  <c r="Q39" i="2"/>
  <c r="Q46" i="2"/>
  <c r="Q43" i="2"/>
</calcChain>
</file>

<file path=xl/sharedStrings.xml><?xml version="1.0" encoding="utf-8"?>
<sst xmlns="http://schemas.openxmlformats.org/spreadsheetml/2006/main" count="2287" uniqueCount="328">
  <si>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</si>
  <si>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</si>
  <si>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</si>
  <si>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</si>
  <si>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</si>
  <si>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</si>
  <si>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</si>
  <si>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</si>
  <si>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</si>
  <si>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</si>
  <si>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</si>
  <si>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</si>
  <si>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</si>
  <si>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</si>
  <si>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</si>
  <si>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</si>
  <si>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</si>
  <si>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</si>
  <si>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</si>
  <si>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</si>
  <si>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</si>
  <si>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</si>
  <si>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</si>
  <si>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</si>
  <si>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</si>
  <si>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</si>
  <si>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</si>
  <si>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</si>
  <si>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</si>
  <si>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</si>
  <si>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</si>
  <si>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</si>
  <si>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</si>
  <si>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</si>
  <si>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</si>
  <si>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</si>
  <si>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</si>
  <si>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</si>
  <si>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</si>
  <si>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</si>
  <si>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</si>
  <si>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</si>
  <si>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LISKOVEC FRANK E</t>
  </si>
  <si>
    <t>WOODS BARBARA J</t>
  </si>
  <si>
    <t>00018331316K</t>
  </si>
  <si>
    <t>3PT1YG0EY22</t>
  </si>
  <si>
    <t/>
  </si>
  <si>
    <t>MA</t>
  </si>
  <si>
    <t>LV</t>
  </si>
  <si>
    <t>JAN</t>
  </si>
  <si>
    <t>F</t>
  </si>
  <si>
    <t>MEDICARE</t>
  </si>
  <si>
    <t>MEP</t>
  </si>
  <si>
    <t>MEDICARE 2ND HALF FIRST YEAR COMM</t>
  </si>
  <si>
    <t>MED2</t>
  </si>
  <si>
    <t>H5216</t>
  </si>
  <si>
    <t>FIRST YEAR COMMISSIONS</t>
  </si>
  <si>
    <t>ARCF</t>
  </si>
  <si>
    <t>SEP</t>
  </si>
  <si>
    <t>PDP</t>
  </si>
  <si>
    <t>S5884</t>
  </si>
  <si>
    <t>CHOI ANDREW J</t>
  </si>
  <si>
    <t>VARJU RANDY A</t>
  </si>
  <si>
    <t>00023584777K</t>
  </si>
  <si>
    <t>7UP5XP9AV56</t>
  </si>
  <si>
    <t>OCT</t>
  </si>
  <si>
    <t>SASAKI DAVIS K</t>
  </si>
  <si>
    <t>00023589143K</t>
  </si>
  <si>
    <t>7H52UR8KW91</t>
  </si>
  <si>
    <t>DEATON PAMELA S</t>
  </si>
  <si>
    <t>BROWN KATHERINE</t>
  </si>
  <si>
    <t>00023586114K</t>
  </si>
  <si>
    <t>1HG7RR0AT40</t>
  </si>
  <si>
    <t>HUNSBERGER ANTHONY J</t>
  </si>
  <si>
    <t>MENDEZ SAUL</t>
  </si>
  <si>
    <t>00023589322K</t>
  </si>
  <si>
    <t>5VT1RW7MF37</t>
  </si>
  <si>
    <t>WALENGA DALE J</t>
  </si>
  <si>
    <t>SAUNDERS KEN</t>
  </si>
  <si>
    <t>00023596308K</t>
  </si>
  <si>
    <t>9RD5QF2XA91</t>
  </si>
  <si>
    <t>ROLLER JASON</t>
  </si>
  <si>
    <t>BRADLEY JOSEPHINE P</t>
  </si>
  <si>
    <t>00023600065K</t>
  </si>
  <si>
    <t>2TJ5Y45KK93</t>
  </si>
  <si>
    <t>MER</t>
  </si>
  <si>
    <t>H1468</t>
  </si>
  <si>
    <t>DRAPAC STEPHANIE E</t>
  </si>
  <si>
    <t>HOWARD PAULA M</t>
  </si>
  <si>
    <t>00022898753K</t>
  </si>
  <si>
    <t>3UJ2TX8MY85</t>
  </si>
  <si>
    <t>HANSFORD GREGORY</t>
  </si>
  <si>
    <t>CASTILLO FRYDA E</t>
  </si>
  <si>
    <t>00013199675K</t>
  </si>
  <si>
    <t>3FF9DW6HQ15</t>
  </si>
  <si>
    <t>MAY</t>
  </si>
  <si>
    <t>INSKIPT DEBORAH L</t>
  </si>
  <si>
    <t>MENDENHALL JOYCE A</t>
  </si>
  <si>
    <t>00023592407K</t>
  </si>
  <si>
    <t>6DQ7KP0KF45</t>
  </si>
  <si>
    <t>H5525</t>
  </si>
  <si>
    <t>DUNBAR DOLORES V</t>
  </si>
  <si>
    <t>CARLSON KATHLEEN F</t>
  </si>
  <si>
    <t>00023115513K</t>
  </si>
  <si>
    <t>1CX3M23JP90</t>
  </si>
  <si>
    <t>MAR</t>
  </si>
  <si>
    <t>PORTUGAL GARY</t>
  </si>
  <si>
    <t>TURF SCOTT M</t>
  </si>
  <si>
    <t>00023585917K</t>
  </si>
  <si>
    <t>6KV7E72YN74</t>
  </si>
  <si>
    <t>BENDER CHAD</t>
  </si>
  <si>
    <t>KELLY KARYN D</t>
  </si>
  <si>
    <t>00023596422K</t>
  </si>
  <si>
    <t>5V45HK8TU80</t>
  </si>
  <si>
    <t>THANADABOUTH PATSAMON</t>
  </si>
  <si>
    <t>KHOUSAKOUN SOMDETH</t>
  </si>
  <si>
    <t>00023591468K</t>
  </si>
  <si>
    <t>3JY2CG5QW15</t>
  </si>
  <si>
    <t>SHAPIRO ROBERT A</t>
  </si>
  <si>
    <t>GALASINSKI RICHARD B</t>
  </si>
  <si>
    <t>00023509197K</t>
  </si>
  <si>
    <t>1TK2D72AK05</t>
  </si>
  <si>
    <t>AUG</t>
  </si>
  <si>
    <t>STROHMAN BRIAN C</t>
  </si>
  <si>
    <t>VOOGD HILL ANN L</t>
  </si>
  <si>
    <t>00023594897K</t>
  </si>
  <si>
    <t>3U22A47DV27</t>
  </si>
  <si>
    <t>SANDEROCK MARSHA</t>
  </si>
  <si>
    <t>RYSTED KATHLEEN M</t>
  </si>
  <si>
    <t>00023592603K</t>
  </si>
  <si>
    <t>2HM6C22QJ45</t>
  </si>
  <si>
    <t>Taylor Larry</t>
  </si>
  <si>
    <t>9029700250</t>
  </si>
  <si>
    <t>IN</t>
  </si>
  <si>
    <t>CB</t>
  </si>
  <si>
    <t>R</t>
  </si>
  <si>
    <t>DENTAL</t>
  </si>
  <si>
    <t>COMPBENEFITS FIRST YEAR COMMISSION</t>
  </si>
  <si>
    <t>CRCF</t>
  </si>
  <si>
    <t>9029700260</t>
  </si>
  <si>
    <t>VISION</t>
  </si>
  <si>
    <t>TATRO MELISSA</t>
  </si>
  <si>
    <t>JMM COUNSELING PLLC</t>
  </si>
  <si>
    <t>000000416402</t>
  </si>
  <si>
    <t>GR</t>
  </si>
  <si>
    <t>EM</t>
  </si>
  <si>
    <t>HEAD HEART THERAPY</t>
  </si>
  <si>
    <t>000000416583</t>
  </si>
  <si>
    <t>RELATIONAL PSYCHOLOGY GRO</t>
  </si>
  <si>
    <t>000000416700</t>
  </si>
  <si>
    <t>LEE JOEL N</t>
  </si>
  <si>
    <t>DIMEX LLC</t>
  </si>
  <si>
    <t>000000845819</t>
  </si>
  <si>
    <t>RENEWAL COMMISSIONS</t>
  </si>
  <si>
    <t>ARCM</t>
  </si>
  <si>
    <t>HOFFMANN JASON R</t>
  </si>
  <si>
    <t>KEPHART NORMA K</t>
  </si>
  <si>
    <t>00000808018A</t>
  </si>
  <si>
    <t>MS</t>
  </si>
  <si>
    <t>MED SUPP RENEWAL ACHIEVE</t>
  </si>
  <si>
    <t>MSRA</t>
  </si>
  <si>
    <t>RICHTER ADAM J</t>
  </si>
  <si>
    <t>HOFF CATHY J</t>
  </si>
  <si>
    <t>00001032969A</t>
  </si>
  <si>
    <t>MED SUPP ANNUALIZED STANDARD</t>
  </si>
  <si>
    <t>MSAS</t>
  </si>
  <si>
    <t>HOBBS CHARLES R</t>
  </si>
  <si>
    <t>00001033765A</t>
  </si>
  <si>
    <t>ELTRINGHAM JOYCE R</t>
  </si>
  <si>
    <t>00001039348A</t>
  </si>
  <si>
    <t>KUCAN THOMAS</t>
  </si>
  <si>
    <t>POWELL GLORIA A</t>
  </si>
  <si>
    <t>00001038916A</t>
  </si>
  <si>
    <t>KOTFIS BRIAN J</t>
  </si>
  <si>
    <t>00001023120A</t>
  </si>
  <si>
    <t>MED SUPP FIRST YEAR ACHIEVE</t>
  </si>
  <si>
    <t>MSFA</t>
  </si>
  <si>
    <t>Kirkpatrick Judy</t>
  </si>
  <si>
    <t>9031083750</t>
  </si>
  <si>
    <t>CARBAJAL ESTEBAN</t>
  </si>
  <si>
    <t>00000817901A</t>
  </si>
  <si>
    <t>MCCORKLE MICHELLE</t>
  </si>
  <si>
    <t>Yates Hanna R</t>
  </si>
  <si>
    <t>9031089540</t>
  </si>
  <si>
    <t>MAX RONALD J</t>
  </si>
  <si>
    <t>ZAIKO ANTHONY W</t>
  </si>
  <si>
    <t>00001036424A</t>
  </si>
  <si>
    <t>DEJARNETTE JAMES E</t>
  </si>
  <si>
    <t>00001038222A</t>
  </si>
  <si>
    <t>DUNAVANT MICHAEL</t>
  </si>
  <si>
    <t>KING KATHLEEN L</t>
  </si>
  <si>
    <t>00001016680A</t>
  </si>
  <si>
    <t>PETERSON JOHN R</t>
  </si>
  <si>
    <t>00001024152A</t>
  </si>
  <si>
    <t>FISH JOHN H</t>
  </si>
  <si>
    <t>00001028834A</t>
  </si>
  <si>
    <t>Sleeper Nichole</t>
  </si>
  <si>
    <t>9031050480</t>
  </si>
  <si>
    <t>Trost James</t>
  </si>
  <si>
    <t>9031076870</t>
  </si>
  <si>
    <t>Holtz Michael</t>
  </si>
  <si>
    <t>9031094580</t>
  </si>
  <si>
    <t>NOV</t>
  </si>
  <si>
    <t>KOZACHECK ANNE MARIE</t>
  </si>
  <si>
    <t>DOYLE THOMAS F</t>
  </si>
  <si>
    <t>00001022023A</t>
  </si>
  <si>
    <t>JARDINE PAMELA M</t>
  </si>
  <si>
    <t>00001022473A</t>
  </si>
  <si>
    <t>PRAESENT MARY LOUISE</t>
  </si>
  <si>
    <t>00001039111A</t>
  </si>
  <si>
    <t>MED SUPP ANNUALIZED ACHIEVE</t>
  </si>
  <si>
    <t>MSAA</t>
  </si>
  <si>
    <t>Swasey Devon</t>
  </si>
  <si>
    <t>9031083070</t>
  </si>
  <si>
    <t>9031083620</t>
  </si>
  <si>
    <t>ROCCIA MARK</t>
  </si>
  <si>
    <t>BLONG JOLENE M</t>
  </si>
  <si>
    <t>00001023733A</t>
  </si>
  <si>
    <t>ZECCA I MARIA R</t>
  </si>
  <si>
    <t>00001024708A</t>
  </si>
  <si>
    <t>PAINTER KAREN M</t>
  </si>
  <si>
    <t>00001028740A</t>
  </si>
  <si>
    <t>DINTINO LYNN A</t>
  </si>
  <si>
    <t>00001039786A</t>
  </si>
  <si>
    <t>Humana 68-80 AL, AZ, AR, GA, etc. All Except N OE &amp; UW*</t>
  </si>
  <si>
    <t>Humana 65-80 AL, AZ, AR, GA, etc. All Except N OE &amp; UW</t>
  </si>
  <si>
    <t>Humana AL, AZ, AR, GA, etc. Plan N OE &amp; UW</t>
  </si>
  <si>
    <t>Humana Dental &amp; Vision</t>
  </si>
  <si>
    <t>Humana Group 2025</t>
  </si>
  <si>
    <t>Humana PDP 2025!</t>
  </si>
  <si>
    <t>Humana MAPD 2025*</t>
  </si>
  <si>
    <t>[%/$=313][prorate=8/12]</t>
  </si>
  <si>
    <t>[%/$=313][prorate=4/12]</t>
  </si>
  <si>
    <t>[%/$=313][prorate=3/12]</t>
  </si>
  <si>
    <t>[%/$=353][prorate=3/12]</t>
  </si>
  <si>
    <t>Humana 2025 CT, PA, DC *</t>
  </si>
  <si>
    <t>Taylor</t>
  </si>
  <si>
    <t>Larry</t>
  </si>
  <si>
    <t>JMM</t>
  </si>
  <si>
    <t>COUNSELING</t>
  </si>
  <si>
    <t>HEAD</t>
  </si>
  <si>
    <t>HEART</t>
  </si>
  <si>
    <t>RELATIONAL</t>
  </si>
  <si>
    <t>PSYCHOLOGY</t>
  </si>
  <si>
    <t>Swasey</t>
  </si>
  <si>
    <t>Devon</t>
  </si>
  <si>
    <t>CARLSON</t>
  </si>
  <si>
    <t>KATHLEEN</t>
  </si>
  <si>
    <t>WOODS</t>
  </si>
  <si>
    <t>BARBARA</t>
  </si>
  <si>
    <t>HOWARD</t>
  </si>
  <si>
    <t>PAULA</t>
  </si>
  <si>
    <t>CASTILLO</t>
  </si>
  <si>
    <t>FRYDA</t>
  </si>
  <si>
    <t>VARJU</t>
  </si>
  <si>
    <t>RANDY</t>
  </si>
  <si>
    <t>SASAKI</t>
  </si>
  <si>
    <t>DAVIS</t>
  </si>
  <si>
    <t>BRADLEY</t>
  </si>
  <si>
    <t>JOSEPHINE</t>
  </si>
  <si>
    <t>KELLY</t>
  </si>
  <si>
    <t>KARYN</t>
  </si>
  <si>
    <t>MENDENHALL</t>
  </si>
  <si>
    <t>JOYCE</t>
  </si>
  <si>
    <t>BROWN</t>
  </si>
  <si>
    <t>KATHERINE</t>
  </si>
  <si>
    <t>MENDEZ</t>
  </si>
  <si>
    <t>SAUL</t>
  </si>
  <si>
    <t>SAUNDERS</t>
  </si>
  <si>
    <t>KEN</t>
  </si>
  <si>
    <t>TURF</t>
  </si>
  <si>
    <t>SCOTT</t>
  </si>
  <si>
    <t>KHOUSAKOUN</t>
  </si>
  <si>
    <t>SOMDETH</t>
  </si>
  <si>
    <t>GALASINSKI</t>
  </si>
  <si>
    <t>RICHARD</t>
  </si>
  <si>
    <t>VOOGD</t>
  </si>
  <si>
    <t>HILL</t>
  </si>
  <si>
    <t>RYSTED</t>
  </si>
  <si>
    <t>POWELL</t>
  </si>
  <si>
    <t>GLORIA</t>
  </si>
  <si>
    <t>HOFF</t>
  </si>
  <si>
    <t>CATHY</t>
  </si>
  <si>
    <t>HOBBS</t>
  </si>
  <si>
    <t>CHARLES</t>
  </si>
  <si>
    <t>ELTRINGHAM</t>
  </si>
  <si>
    <t>KOTFIS</t>
  </si>
  <si>
    <t>BRIAN</t>
  </si>
  <si>
    <t>ZAIKO</t>
  </si>
  <si>
    <t>ANTHONY</t>
  </si>
  <si>
    <t>DEJARNETTE</t>
  </si>
  <si>
    <t>JAMES</t>
  </si>
  <si>
    <t>KING</t>
  </si>
  <si>
    <t>PETERSON</t>
  </si>
  <si>
    <t>JOHN</t>
  </si>
  <si>
    <t>FISH</t>
  </si>
  <si>
    <t>DOYLE</t>
  </si>
  <si>
    <t>THOMAS</t>
  </si>
  <si>
    <t>JARDINE</t>
  </si>
  <si>
    <t>PAMELA</t>
  </si>
  <si>
    <t>BLONG</t>
  </si>
  <si>
    <t>JOLENE</t>
  </si>
  <si>
    <t>ZECCA</t>
  </si>
  <si>
    <t>MARIA</t>
  </si>
  <si>
    <t>PAINTER</t>
  </si>
  <si>
    <t>KAREN</t>
  </si>
  <si>
    <t>DINTINO</t>
  </si>
  <si>
    <t>LYNN</t>
  </si>
  <si>
    <t>KEPHART</t>
  </si>
  <si>
    <t>NORMA</t>
  </si>
  <si>
    <t>CARBAJAL</t>
  </si>
  <si>
    <t>ESTEBAN</t>
  </si>
  <si>
    <t>PRAESENT</t>
  </si>
  <si>
    <t>MARY</t>
  </si>
  <si>
    <t>DIMEX</t>
  </si>
  <si>
    <t>LLC</t>
  </si>
  <si>
    <t>Kirkpatrick</t>
  </si>
  <si>
    <t>Judy</t>
  </si>
  <si>
    <t>Yates</t>
  </si>
  <si>
    <t>Hanna</t>
  </si>
  <si>
    <t>Sleeper</t>
  </si>
  <si>
    <t>Nichole</t>
  </si>
  <si>
    <t>Trost</t>
  </si>
  <si>
    <t>James</t>
  </si>
  <si>
    <t>Holtz</t>
  </si>
  <si>
    <t>Michael</t>
  </si>
  <si>
    <t>17528908N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</si>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</sst>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" fontId="0" fillId="34" borderId="0" xfId="0" applyNumberFormat="1" applyFill="1"/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" fontId="0" fillId="35" borderId="0" xfId="0" applyNumberFormat="1" applyFill="1"/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0" fillId="36" borderId="0" xfId="0" applyNumberFormat="1" applyFill="1" applyAlignment="1">
      <alignment horizontal="left" vertical="top"/>
    </xf>
    <xf numFmtId="1" fontId="0" fillId="36" borderId="0" xfId="0" applyNumberFormat="1" applyFill="1"/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0" fontId="0" fillId="34" borderId="0" xfId="0" applyFill="1" applyAlignment="1">
      <alignment horizontal="left" vertical="top"/>
    </xf>
    <xf numFmtId="0" fontId="0" fillId="33" borderId="0" xfId="0" applyFill="1" applyAlignment="1">
      <alignment horizontal="left" vertical="top"/>
    </xf>
    <xf numFmtId="1" fontId="19" fillId="34" borderId="0" xfId="0" applyNumberFormat="1" applyFont="1" applyFill="1"/>
    <xf numFmtId="1" fontId="19" fillId="36" borderId="0" xfId="0" applyNumberFormat="1" applyFont="1" applyFill="1"/>
    <xf numFmtId="0" fontId="19" fillId="0" borderId="0" xfId="0" applyFont="1"/>
    <xf numFmtId="1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6059-BB93-4DF7-A4FA-CD26B07F9600}">
  <dimension ref="A1:AP57"/>
  <sheetViews>
    <sheetView tabSelected="1" topLeftCell="Q25" workbookViewId="0">
      <selection activeCell="AB54" sqref="AB54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40.5703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45903</v>
      </c>
      <c r="C2" s="4" t="s">
        <v>42</v>
      </c>
      <c r="D2" s="2">
        <v>1427681</v>
      </c>
      <c r="E2" s="4" t="s">
        <v>43</v>
      </c>
      <c r="F2" s="4" t="s">
        <v>44</v>
      </c>
      <c r="G2" s="2">
        <v>22648400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45658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</v>
      </c>
      <c r="W2" s="5">
        <v>0</v>
      </c>
      <c r="X2" s="5">
        <v>100</v>
      </c>
      <c r="Y2" s="5">
        <v>-104.34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45658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45903</v>
      </c>
      <c r="C3" s="4" t="s">
        <v>42</v>
      </c>
      <c r="D3" s="2">
        <v>1427681</v>
      </c>
      <c r="E3" s="4" t="s">
        <v>43</v>
      </c>
      <c r="F3" s="4" t="s">
        <v>44</v>
      </c>
      <c r="G3" s="2">
        <v>22648400</v>
      </c>
      <c r="H3" s="4" t="s">
        <v>45</v>
      </c>
      <c r="I3" s="4" t="s">
        <v>46</v>
      </c>
      <c r="J3" s="4" t="s">
        <v>47</v>
      </c>
      <c r="K3" s="4" t="s">
        <v>48</v>
      </c>
      <c r="L3" s="3">
        <v>45658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-0.33</v>
      </c>
      <c r="W3" s="5">
        <v>0</v>
      </c>
      <c r="X3" s="5">
        <v>100</v>
      </c>
      <c r="Y3" s="5">
        <v>-104.33</v>
      </c>
      <c r="Z3" s="4" t="s">
        <v>46</v>
      </c>
      <c r="AA3" s="5" t="s">
        <v>46</v>
      </c>
      <c r="AB3" s="4" t="s">
        <v>56</v>
      </c>
      <c r="AC3" s="4" t="s">
        <v>46</v>
      </c>
      <c r="AD3" s="5">
        <v>0</v>
      </c>
      <c r="AE3" s="4" t="s">
        <v>57</v>
      </c>
      <c r="AF3" s="3">
        <v>45658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45903</v>
      </c>
      <c r="C4" s="4" t="s">
        <v>42</v>
      </c>
      <c r="D4" s="2">
        <v>1427681</v>
      </c>
      <c r="E4" s="4" t="s">
        <v>43</v>
      </c>
      <c r="F4" s="4" t="s">
        <v>44</v>
      </c>
      <c r="G4" s="2">
        <v>22648400</v>
      </c>
      <c r="H4" s="4" t="s">
        <v>45</v>
      </c>
      <c r="I4" s="4" t="s">
        <v>46</v>
      </c>
      <c r="J4" s="4" t="s">
        <v>47</v>
      </c>
      <c r="K4" s="4" t="s">
        <v>48</v>
      </c>
      <c r="L4" s="3">
        <v>45901</v>
      </c>
      <c r="M4" s="4" t="s">
        <v>58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59</v>
      </c>
      <c r="U4" s="4" t="s">
        <v>46</v>
      </c>
      <c r="V4" s="5">
        <v>0.33</v>
      </c>
      <c r="W4" s="5">
        <v>0</v>
      </c>
      <c r="X4" s="5">
        <v>100</v>
      </c>
      <c r="Y4" s="5">
        <v>18.329999999999998</v>
      </c>
      <c r="Z4" s="4" t="s">
        <v>46</v>
      </c>
      <c r="AA4" s="5" t="s">
        <v>46</v>
      </c>
      <c r="AB4" s="4" t="s">
        <v>56</v>
      </c>
      <c r="AC4" s="4" t="s">
        <v>46</v>
      </c>
      <c r="AD4" s="5">
        <v>0</v>
      </c>
      <c r="AE4" s="4" t="s">
        <v>57</v>
      </c>
      <c r="AF4" s="3">
        <v>45901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60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45903</v>
      </c>
      <c r="C5" s="4" t="s">
        <v>61</v>
      </c>
      <c r="D5" s="2">
        <v>1466196</v>
      </c>
      <c r="E5" s="4" t="s">
        <v>62</v>
      </c>
      <c r="F5" s="4" t="s">
        <v>63</v>
      </c>
      <c r="G5" s="2">
        <v>32326703</v>
      </c>
      <c r="H5" s="4" t="s">
        <v>64</v>
      </c>
      <c r="I5" s="4" t="s">
        <v>46</v>
      </c>
      <c r="J5" s="4" t="s">
        <v>47</v>
      </c>
      <c r="K5" s="4" t="s">
        <v>48</v>
      </c>
      <c r="L5" s="3">
        <v>45931</v>
      </c>
      <c r="M5" s="4" t="s">
        <v>65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0.25</v>
      </c>
      <c r="W5" s="5">
        <v>0</v>
      </c>
      <c r="X5" s="5">
        <v>100</v>
      </c>
      <c r="Y5" s="5">
        <v>78.25</v>
      </c>
      <c r="Z5" s="4" t="s">
        <v>46</v>
      </c>
      <c r="AA5" s="5" t="s">
        <v>46</v>
      </c>
      <c r="AB5" s="4" t="s">
        <v>56</v>
      </c>
      <c r="AC5" s="4" t="s">
        <v>46</v>
      </c>
      <c r="AD5" s="5">
        <v>0</v>
      </c>
      <c r="AE5" s="4" t="s">
        <v>57</v>
      </c>
      <c r="AF5" s="3">
        <v>45931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45903</v>
      </c>
      <c r="C6" s="4" t="s">
        <v>61</v>
      </c>
      <c r="D6" s="2">
        <v>1466196</v>
      </c>
      <c r="E6" s="4" t="s">
        <v>66</v>
      </c>
      <c r="F6" s="4" t="s">
        <v>67</v>
      </c>
      <c r="G6" s="2">
        <v>412054353</v>
      </c>
      <c r="H6" s="4" t="s">
        <v>68</v>
      </c>
      <c r="I6" s="4" t="s">
        <v>46</v>
      </c>
      <c r="J6" s="4" t="s">
        <v>47</v>
      </c>
      <c r="K6" s="4" t="s">
        <v>48</v>
      </c>
      <c r="L6" s="3">
        <v>45931</v>
      </c>
      <c r="M6" s="4" t="s">
        <v>65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0.25</v>
      </c>
      <c r="W6" s="5">
        <v>0</v>
      </c>
      <c r="X6" s="5">
        <v>100</v>
      </c>
      <c r="Y6" s="5">
        <v>78.25</v>
      </c>
      <c r="Z6" s="4" t="s">
        <v>46</v>
      </c>
      <c r="AA6" s="5" t="s">
        <v>46</v>
      </c>
      <c r="AB6" s="4" t="s">
        <v>56</v>
      </c>
      <c r="AC6" s="4" t="s">
        <v>46</v>
      </c>
      <c r="AD6" s="5">
        <v>0</v>
      </c>
      <c r="AE6" s="4" t="s">
        <v>57</v>
      </c>
      <c r="AF6" s="3">
        <v>45931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45903</v>
      </c>
      <c r="C7" s="4" t="s">
        <v>69</v>
      </c>
      <c r="D7" s="2">
        <v>1509744</v>
      </c>
      <c r="E7" s="4" t="s">
        <v>70</v>
      </c>
      <c r="F7" s="4" t="s">
        <v>71</v>
      </c>
      <c r="G7" s="2">
        <v>455995019</v>
      </c>
      <c r="H7" s="4" t="s">
        <v>72</v>
      </c>
      <c r="I7" s="4" t="s">
        <v>46</v>
      </c>
      <c r="J7" s="4" t="s">
        <v>47</v>
      </c>
      <c r="K7" s="4" t="s">
        <v>48</v>
      </c>
      <c r="L7" s="3">
        <v>45901</v>
      </c>
      <c r="M7" s="4" t="s">
        <v>58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0.33</v>
      </c>
      <c r="W7" s="5">
        <v>0</v>
      </c>
      <c r="X7" s="5">
        <v>100</v>
      </c>
      <c r="Y7" s="5">
        <v>104.33</v>
      </c>
      <c r="Z7" s="4" t="s">
        <v>46</v>
      </c>
      <c r="AA7" s="5" t="s">
        <v>46</v>
      </c>
      <c r="AB7" s="4" t="s">
        <v>56</v>
      </c>
      <c r="AC7" s="4" t="s">
        <v>46</v>
      </c>
      <c r="AD7" s="5">
        <v>0</v>
      </c>
      <c r="AE7" s="4" t="s">
        <v>57</v>
      </c>
      <c r="AF7" s="3">
        <v>45901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45903</v>
      </c>
      <c r="C8" s="4" t="s">
        <v>73</v>
      </c>
      <c r="D8" s="2">
        <v>1510420</v>
      </c>
      <c r="E8" s="4" t="s">
        <v>74</v>
      </c>
      <c r="F8" s="4" t="s">
        <v>75</v>
      </c>
      <c r="G8" s="2">
        <v>470563474</v>
      </c>
      <c r="H8" s="4" t="s">
        <v>76</v>
      </c>
      <c r="I8" s="4" t="s">
        <v>46</v>
      </c>
      <c r="J8" s="4" t="s">
        <v>47</v>
      </c>
      <c r="K8" s="4" t="s">
        <v>48</v>
      </c>
      <c r="L8" s="3">
        <v>45901</v>
      </c>
      <c r="M8" s="4" t="s">
        <v>58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0.33</v>
      </c>
      <c r="W8" s="5">
        <v>0</v>
      </c>
      <c r="X8" s="5">
        <v>100</v>
      </c>
      <c r="Y8" s="5">
        <v>104.33</v>
      </c>
      <c r="Z8" s="4" t="s">
        <v>46</v>
      </c>
      <c r="AA8" s="5" t="s">
        <v>46</v>
      </c>
      <c r="AB8" s="4" t="s">
        <v>56</v>
      </c>
      <c r="AC8" s="4" t="s">
        <v>46</v>
      </c>
      <c r="AD8" s="5">
        <v>0</v>
      </c>
      <c r="AE8" s="4" t="s">
        <v>57</v>
      </c>
      <c r="AF8" s="3">
        <v>45901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45903</v>
      </c>
      <c r="C9" s="4" t="s">
        <v>77</v>
      </c>
      <c r="D9" s="2">
        <v>1535078</v>
      </c>
      <c r="E9" s="4" t="s">
        <v>78</v>
      </c>
      <c r="F9" s="4" t="s">
        <v>79</v>
      </c>
      <c r="G9" s="2">
        <v>722684410</v>
      </c>
      <c r="H9" s="4" t="s">
        <v>80</v>
      </c>
      <c r="I9" s="4" t="s">
        <v>46</v>
      </c>
      <c r="J9" s="4" t="s">
        <v>47</v>
      </c>
      <c r="K9" s="4" t="s">
        <v>48</v>
      </c>
      <c r="L9" s="3">
        <v>45901</v>
      </c>
      <c r="M9" s="4" t="s">
        <v>58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0.33</v>
      </c>
      <c r="W9" s="5">
        <v>0</v>
      </c>
      <c r="X9" s="5">
        <v>100</v>
      </c>
      <c r="Y9" s="5">
        <v>104.33</v>
      </c>
      <c r="Z9" s="4" t="s">
        <v>46</v>
      </c>
      <c r="AA9" s="5" t="s">
        <v>46</v>
      </c>
      <c r="AB9" s="4" t="s">
        <v>56</v>
      </c>
      <c r="AC9" s="4" t="s">
        <v>46</v>
      </c>
      <c r="AD9" s="5">
        <v>0</v>
      </c>
      <c r="AE9" s="4" t="s">
        <v>57</v>
      </c>
      <c r="AF9" s="3">
        <v>45901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45903</v>
      </c>
      <c r="C10" s="4" t="s">
        <v>81</v>
      </c>
      <c r="D10" s="2">
        <v>1545197</v>
      </c>
      <c r="E10" s="4" t="s">
        <v>82</v>
      </c>
      <c r="F10" s="4" t="s">
        <v>83</v>
      </c>
      <c r="G10" s="2">
        <v>114898434</v>
      </c>
      <c r="H10" s="4" t="s">
        <v>84</v>
      </c>
      <c r="I10" s="4" t="s">
        <v>46</v>
      </c>
      <c r="J10" s="4" t="s">
        <v>47</v>
      </c>
      <c r="K10" s="4" t="s">
        <v>48</v>
      </c>
      <c r="L10" s="3">
        <v>45931</v>
      </c>
      <c r="M10" s="4" t="s">
        <v>65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85</v>
      </c>
      <c r="U10" s="4" t="s">
        <v>46</v>
      </c>
      <c r="V10" s="5">
        <v>0.25</v>
      </c>
      <c r="W10" s="5">
        <v>0</v>
      </c>
      <c r="X10" s="5">
        <v>100</v>
      </c>
      <c r="Y10" s="5">
        <v>78.25</v>
      </c>
      <c r="Z10" s="4" t="s">
        <v>46</v>
      </c>
      <c r="AA10" s="5" t="s">
        <v>46</v>
      </c>
      <c r="AB10" s="4" t="s">
        <v>56</v>
      </c>
      <c r="AC10" s="4" t="s">
        <v>46</v>
      </c>
      <c r="AD10" s="5">
        <v>0</v>
      </c>
      <c r="AE10" s="4" t="s">
        <v>57</v>
      </c>
      <c r="AF10" s="3">
        <v>45931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86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45903</v>
      </c>
      <c r="C11" s="4" t="s">
        <v>87</v>
      </c>
      <c r="D11" s="2">
        <v>1626475</v>
      </c>
      <c r="E11" s="4" t="s">
        <v>88</v>
      </c>
      <c r="F11" s="4" t="s">
        <v>89</v>
      </c>
      <c r="G11" s="2">
        <v>387422354</v>
      </c>
      <c r="H11" s="4" t="s">
        <v>90</v>
      </c>
      <c r="I11" s="4" t="s">
        <v>46</v>
      </c>
      <c r="J11" s="4" t="s">
        <v>47</v>
      </c>
      <c r="K11" s="4" t="s">
        <v>48</v>
      </c>
      <c r="L11" s="3">
        <v>45658</v>
      </c>
      <c r="M11" s="4" t="s">
        <v>49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-0.33</v>
      </c>
      <c r="W11" s="5">
        <v>0</v>
      </c>
      <c r="X11" s="5">
        <v>100</v>
      </c>
      <c r="Y11" s="5">
        <v>-104.33</v>
      </c>
      <c r="Z11" s="4" t="s">
        <v>46</v>
      </c>
      <c r="AA11" s="5" t="s">
        <v>46</v>
      </c>
      <c r="AB11" s="4" t="s">
        <v>56</v>
      </c>
      <c r="AC11" s="4" t="s">
        <v>46</v>
      </c>
      <c r="AD11" s="5">
        <v>0</v>
      </c>
      <c r="AE11" s="4" t="s">
        <v>57</v>
      </c>
      <c r="AF11" s="3">
        <v>45658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45903</v>
      </c>
      <c r="C12" s="4" t="s">
        <v>91</v>
      </c>
      <c r="D12" s="2">
        <v>1639670</v>
      </c>
      <c r="E12" s="4" t="s">
        <v>92</v>
      </c>
      <c r="F12" s="4" t="s">
        <v>93</v>
      </c>
      <c r="G12" s="2">
        <v>229728430</v>
      </c>
      <c r="H12" s="4" t="s">
        <v>94</v>
      </c>
      <c r="I12" s="4" t="s">
        <v>46</v>
      </c>
      <c r="J12" s="4" t="s">
        <v>47</v>
      </c>
      <c r="K12" s="4" t="s">
        <v>48</v>
      </c>
      <c r="L12" s="3">
        <v>45778</v>
      </c>
      <c r="M12" s="4" t="s">
        <v>95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59</v>
      </c>
      <c r="U12" s="4" t="s">
        <v>46</v>
      </c>
      <c r="V12" s="5">
        <v>0</v>
      </c>
      <c r="W12" s="5">
        <v>0</v>
      </c>
      <c r="X12" s="5">
        <v>100</v>
      </c>
      <c r="Y12" s="5">
        <v>-18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45778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60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45903</v>
      </c>
      <c r="C13" s="4" t="s">
        <v>91</v>
      </c>
      <c r="D13" s="2">
        <v>1639670</v>
      </c>
      <c r="E13" s="4" t="s">
        <v>92</v>
      </c>
      <c r="F13" s="4" t="s">
        <v>93</v>
      </c>
      <c r="G13" s="2">
        <v>229728430</v>
      </c>
      <c r="H13" s="4" t="s">
        <v>94</v>
      </c>
      <c r="I13" s="4" t="s">
        <v>46</v>
      </c>
      <c r="J13" s="4" t="s">
        <v>47</v>
      </c>
      <c r="K13" s="4" t="s">
        <v>48</v>
      </c>
      <c r="L13" s="3">
        <v>45778</v>
      </c>
      <c r="M13" s="4" t="s">
        <v>95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59</v>
      </c>
      <c r="U13" s="4" t="s">
        <v>46</v>
      </c>
      <c r="V13" s="5">
        <v>-0.33</v>
      </c>
      <c r="W13" s="5">
        <v>0</v>
      </c>
      <c r="X13" s="5">
        <v>100</v>
      </c>
      <c r="Y13" s="5">
        <v>-18.34</v>
      </c>
      <c r="Z13" s="4" t="s">
        <v>46</v>
      </c>
      <c r="AA13" s="5" t="s">
        <v>46</v>
      </c>
      <c r="AB13" s="4" t="s">
        <v>56</v>
      </c>
      <c r="AC13" s="4" t="s">
        <v>46</v>
      </c>
      <c r="AD13" s="5">
        <v>0</v>
      </c>
      <c r="AE13" s="4" t="s">
        <v>57</v>
      </c>
      <c r="AF13" s="3">
        <v>45778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60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45903</v>
      </c>
      <c r="C14" s="4" t="s">
        <v>96</v>
      </c>
      <c r="D14" s="2">
        <v>1673763</v>
      </c>
      <c r="E14" s="4" t="s">
        <v>97</v>
      </c>
      <c r="F14" s="4" t="s">
        <v>98</v>
      </c>
      <c r="G14" s="2">
        <v>366181093</v>
      </c>
      <c r="H14" s="4" t="s">
        <v>99</v>
      </c>
      <c r="I14" s="4" t="s">
        <v>46</v>
      </c>
      <c r="J14" s="4" t="s">
        <v>47</v>
      </c>
      <c r="K14" s="4" t="s">
        <v>48</v>
      </c>
      <c r="L14" s="3">
        <v>45931</v>
      </c>
      <c r="M14" s="4" t="s">
        <v>65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0.25</v>
      </c>
      <c r="W14" s="5">
        <v>0</v>
      </c>
      <c r="X14" s="5">
        <v>100</v>
      </c>
      <c r="Y14" s="5">
        <v>88.25</v>
      </c>
      <c r="Z14" s="4" t="s">
        <v>46</v>
      </c>
      <c r="AA14" s="5" t="s">
        <v>46</v>
      </c>
      <c r="AB14" s="4" t="s">
        <v>56</v>
      </c>
      <c r="AC14" s="4" t="s">
        <v>46</v>
      </c>
      <c r="AD14" s="5">
        <v>0</v>
      </c>
      <c r="AE14" s="4" t="s">
        <v>57</v>
      </c>
      <c r="AF14" s="3">
        <v>45931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100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45903</v>
      </c>
      <c r="C15" s="4" t="s">
        <v>101</v>
      </c>
      <c r="D15" s="2">
        <v>1703723</v>
      </c>
      <c r="E15" s="4" t="s">
        <v>102</v>
      </c>
      <c r="F15" s="4" t="s">
        <v>103</v>
      </c>
      <c r="G15" s="2">
        <v>496857410</v>
      </c>
      <c r="H15" s="4" t="s">
        <v>104</v>
      </c>
      <c r="I15" s="4" t="s">
        <v>46</v>
      </c>
      <c r="J15" s="4" t="s">
        <v>47</v>
      </c>
      <c r="K15" s="4" t="s">
        <v>48</v>
      </c>
      <c r="L15" s="3">
        <v>45717</v>
      </c>
      <c r="M15" s="4" t="s">
        <v>105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0</v>
      </c>
      <c r="W15" s="5">
        <v>0</v>
      </c>
      <c r="X15" s="5">
        <v>100</v>
      </c>
      <c r="Y15" s="5">
        <v>-208.67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45717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45903</v>
      </c>
      <c r="C16" s="4" t="s">
        <v>101</v>
      </c>
      <c r="D16" s="2">
        <v>1703723</v>
      </c>
      <c r="E16" s="4" t="s">
        <v>102</v>
      </c>
      <c r="F16" s="4" t="s">
        <v>103</v>
      </c>
      <c r="G16" s="2">
        <v>496857410</v>
      </c>
      <c r="H16" s="4" t="s">
        <v>104</v>
      </c>
      <c r="I16" s="4" t="s">
        <v>46</v>
      </c>
      <c r="J16" s="4" t="s">
        <v>47</v>
      </c>
      <c r="K16" s="4" t="s">
        <v>48</v>
      </c>
      <c r="L16" s="3">
        <v>45717</v>
      </c>
      <c r="M16" s="4" t="s">
        <v>105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-0.33</v>
      </c>
      <c r="W16" s="5">
        <v>0</v>
      </c>
      <c r="X16" s="5">
        <v>100</v>
      </c>
      <c r="Y16" s="5">
        <v>-104.33</v>
      </c>
      <c r="Z16" s="4" t="s">
        <v>46</v>
      </c>
      <c r="AA16" s="5" t="s">
        <v>46</v>
      </c>
      <c r="AB16" s="4" t="s">
        <v>56</v>
      </c>
      <c r="AC16" s="4" t="s">
        <v>46</v>
      </c>
      <c r="AD16" s="5">
        <v>0</v>
      </c>
      <c r="AE16" s="4" t="s">
        <v>57</v>
      </c>
      <c r="AF16" s="3">
        <v>45717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55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45903</v>
      </c>
      <c r="C17" s="4" t="s">
        <v>106</v>
      </c>
      <c r="D17" s="2">
        <v>1703942</v>
      </c>
      <c r="E17" s="4" t="s">
        <v>107</v>
      </c>
      <c r="F17" s="4" t="s">
        <v>108</v>
      </c>
      <c r="G17" s="2">
        <v>395175364</v>
      </c>
      <c r="H17" s="4" t="s">
        <v>109</v>
      </c>
      <c r="I17" s="4" t="s">
        <v>46</v>
      </c>
      <c r="J17" s="4" t="s">
        <v>47</v>
      </c>
      <c r="K17" s="4" t="s">
        <v>48</v>
      </c>
      <c r="L17" s="3">
        <v>45901</v>
      </c>
      <c r="M17" s="4" t="s">
        <v>58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85</v>
      </c>
      <c r="U17" s="4" t="s">
        <v>46</v>
      </c>
      <c r="V17" s="5">
        <v>0.33</v>
      </c>
      <c r="W17" s="5">
        <v>0</v>
      </c>
      <c r="X17" s="5">
        <v>100</v>
      </c>
      <c r="Y17" s="5">
        <v>104.33</v>
      </c>
      <c r="Z17" s="4" t="s">
        <v>46</v>
      </c>
      <c r="AA17" s="5" t="s">
        <v>46</v>
      </c>
      <c r="AB17" s="4" t="s">
        <v>56</v>
      </c>
      <c r="AC17" s="4" t="s">
        <v>46</v>
      </c>
      <c r="AD17" s="5">
        <v>0</v>
      </c>
      <c r="AE17" s="4" t="s">
        <v>57</v>
      </c>
      <c r="AF17" s="3">
        <v>45901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86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45903</v>
      </c>
      <c r="C18" s="4" t="s">
        <v>110</v>
      </c>
      <c r="D18" s="2">
        <v>1795772</v>
      </c>
      <c r="E18" s="4" t="s">
        <v>111</v>
      </c>
      <c r="F18" s="4" t="s">
        <v>112</v>
      </c>
      <c r="G18" s="2">
        <v>758406484</v>
      </c>
      <c r="H18" s="4" t="s">
        <v>113</v>
      </c>
      <c r="I18" s="4" t="s">
        <v>46</v>
      </c>
      <c r="J18" s="4" t="s">
        <v>47</v>
      </c>
      <c r="K18" s="4" t="s">
        <v>48</v>
      </c>
      <c r="L18" s="3">
        <v>45931</v>
      </c>
      <c r="M18" s="4" t="s">
        <v>65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52</v>
      </c>
      <c r="U18" s="4" t="s">
        <v>46</v>
      </c>
      <c r="V18" s="5">
        <v>0.25</v>
      </c>
      <c r="W18" s="5">
        <v>0</v>
      </c>
      <c r="X18" s="5">
        <v>100</v>
      </c>
      <c r="Y18" s="5">
        <v>78.25</v>
      </c>
      <c r="Z18" s="4" t="s">
        <v>46</v>
      </c>
      <c r="AA18" s="5" t="s">
        <v>46</v>
      </c>
      <c r="AB18" s="4" t="s">
        <v>56</v>
      </c>
      <c r="AC18" s="4" t="s">
        <v>46</v>
      </c>
      <c r="AD18" s="5">
        <v>0</v>
      </c>
      <c r="AE18" s="4" t="s">
        <v>57</v>
      </c>
      <c r="AF18" s="3">
        <v>45931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55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45903</v>
      </c>
      <c r="C19" s="4" t="s">
        <v>114</v>
      </c>
      <c r="D19" s="2">
        <v>1815448</v>
      </c>
      <c r="E19" s="4" t="s">
        <v>115</v>
      </c>
      <c r="F19" s="4" t="s">
        <v>116</v>
      </c>
      <c r="G19" s="2">
        <v>69138094</v>
      </c>
      <c r="H19" s="4" t="s">
        <v>117</v>
      </c>
      <c r="I19" s="4" t="s">
        <v>46</v>
      </c>
      <c r="J19" s="4" t="s">
        <v>47</v>
      </c>
      <c r="K19" s="4" t="s">
        <v>48</v>
      </c>
      <c r="L19" s="3">
        <v>45901</v>
      </c>
      <c r="M19" s="4" t="s">
        <v>58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85</v>
      </c>
      <c r="U19" s="4" t="s">
        <v>46</v>
      </c>
      <c r="V19" s="5">
        <v>0.33</v>
      </c>
      <c r="W19" s="5">
        <v>0</v>
      </c>
      <c r="X19" s="5">
        <v>100</v>
      </c>
      <c r="Y19" s="5">
        <v>104.33</v>
      </c>
      <c r="Z19" s="4" t="s">
        <v>46</v>
      </c>
      <c r="AA19" s="5" t="s">
        <v>46</v>
      </c>
      <c r="AB19" s="4" t="s">
        <v>56</v>
      </c>
      <c r="AC19" s="4" t="s">
        <v>46</v>
      </c>
      <c r="AD19" s="5">
        <v>0</v>
      </c>
      <c r="AE19" s="4" t="s">
        <v>57</v>
      </c>
      <c r="AF19" s="3">
        <v>45901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86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45903</v>
      </c>
      <c r="C20" s="4" t="s">
        <v>118</v>
      </c>
      <c r="D20" s="2">
        <v>1913090</v>
      </c>
      <c r="E20" s="4" t="s">
        <v>119</v>
      </c>
      <c r="F20" s="4" t="s">
        <v>120</v>
      </c>
      <c r="G20" s="2">
        <v>52566133</v>
      </c>
      <c r="H20" s="4" t="s">
        <v>121</v>
      </c>
      <c r="I20" s="4" t="s">
        <v>46</v>
      </c>
      <c r="J20" s="4" t="s">
        <v>47</v>
      </c>
      <c r="K20" s="4" t="s">
        <v>48</v>
      </c>
      <c r="L20" s="3">
        <v>45870</v>
      </c>
      <c r="M20" s="4" t="s">
        <v>122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0.33</v>
      </c>
      <c r="W20" s="5">
        <v>0</v>
      </c>
      <c r="X20" s="5">
        <v>100</v>
      </c>
      <c r="Y20" s="5">
        <v>104.34</v>
      </c>
      <c r="Z20" s="4" t="s">
        <v>46</v>
      </c>
      <c r="AA20" s="5" t="s">
        <v>46</v>
      </c>
      <c r="AB20" s="4" t="s">
        <v>56</v>
      </c>
      <c r="AC20" s="4" t="s">
        <v>46</v>
      </c>
      <c r="AD20" s="5">
        <v>0</v>
      </c>
      <c r="AE20" s="4" t="s">
        <v>57</v>
      </c>
      <c r="AF20" s="3">
        <v>45870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55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45903</v>
      </c>
      <c r="C21" s="4" t="s">
        <v>123</v>
      </c>
      <c r="D21" s="2">
        <v>1953307</v>
      </c>
      <c r="E21" s="4" t="s">
        <v>124</v>
      </c>
      <c r="F21" s="4" t="s">
        <v>125</v>
      </c>
      <c r="G21" s="2">
        <v>217984164</v>
      </c>
      <c r="H21" s="4" t="s">
        <v>126</v>
      </c>
      <c r="I21" s="4" t="s">
        <v>46</v>
      </c>
      <c r="J21" s="4" t="s">
        <v>47</v>
      </c>
      <c r="K21" s="4" t="s">
        <v>48</v>
      </c>
      <c r="L21" s="3">
        <v>45901</v>
      </c>
      <c r="M21" s="4" t="s">
        <v>58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59</v>
      </c>
      <c r="U21" s="4" t="s">
        <v>46</v>
      </c>
      <c r="V21" s="5">
        <v>0.33</v>
      </c>
      <c r="W21" s="5">
        <v>0</v>
      </c>
      <c r="X21" s="5">
        <v>100</v>
      </c>
      <c r="Y21" s="5">
        <v>18.329999999999998</v>
      </c>
      <c r="Z21" s="4" t="s">
        <v>46</v>
      </c>
      <c r="AA21" s="5" t="s">
        <v>46</v>
      </c>
      <c r="AB21" s="4" t="s">
        <v>56</v>
      </c>
      <c r="AC21" s="4" t="s">
        <v>46</v>
      </c>
      <c r="AD21" s="5">
        <v>0</v>
      </c>
      <c r="AE21" s="4" t="s">
        <v>57</v>
      </c>
      <c r="AF21" s="3">
        <v>45901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60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45903</v>
      </c>
      <c r="C22" s="4" t="s">
        <v>127</v>
      </c>
      <c r="D22" s="2">
        <v>1982112</v>
      </c>
      <c r="E22" s="4" t="s">
        <v>128</v>
      </c>
      <c r="F22" s="4" t="s">
        <v>129</v>
      </c>
      <c r="G22" s="2">
        <v>444811444</v>
      </c>
      <c r="H22" s="4" t="s">
        <v>130</v>
      </c>
      <c r="I22" s="4" t="s">
        <v>46</v>
      </c>
      <c r="J22" s="4" t="s">
        <v>47</v>
      </c>
      <c r="K22" s="4" t="s">
        <v>48</v>
      </c>
      <c r="L22" s="3">
        <v>45931</v>
      </c>
      <c r="M22" s="4" t="s">
        <v>65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59</v>
      </c>
      <c r="U22" s="4" t="s">
        <v>46</v>
      </c>
      <c r="V22" s="5">
        <v>0.25</v>
      </c>
      <c r="W22" s="5">
        <v>0</v>
      </c>
      <c r="X22" s="5">
        <v>100</v>
      </c>
      <c r="Y22" s="5">
        <v>13.75</v>
      </c>
      <c r="Z22" s="4" t="s">
        <v>46</v>
      </c>
      <c r="AA22" s="5" t="s">
        <v>46</v>
      </c>
      <c r="AB22" s="4" t="s">
        <v>56</v>
      </c>
      <c r="AC22" s="4" t="s">
        <v>46</v>
      </c>
      <c r="AD22" s="5">
        <v>0</v>
      </c>
      <c r="AE22" s="4" t="s">
        <v>57</v>
      </c>
      <c r="AF22" s="3">
        <v>45931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60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45903</v>
      </c>
      <c r="C23" s="4" t="s">
        <v>69</v>
      </c>
      <c r="D23" s="2">
        <v>1509744</v>
      </c>
      <c r="E23" s="4" t="s">
        <v>131</v>
      </c>
      <c r="F23" s="4" t="s">
        <v>132</v>
      </c>
      <c r="G23" s="4" t="s">
        <v>46</v>
      </c>
      <c r="H23" s="4" t="s">
        <v>46</v>
      </c>
      <c r="I23" s="4" t="s">
        <v>46</v>
      </c>
      <c r="J23" s="4" t="s">
        <v>133</v>
      </c>
      <c r="K23" s="4" t="s">
        <v>134</v>
      </c>
      <c r="L23" s="3">
        <v>45931</v>
      </c>
      <c r="M23" s="4" t="s">
        <v>65</v>
      </c>
      <c r="N23" s="4" t="s">
        <v>46</v>
      </c>
      <c r="O23" s="4" t="s">
        <v>50</v>
      </c>
      <c r="P23" s="4" t="s">
        <v>135</v>
      </c>
      <c r="Q23" s="2">
        <v>1</v>
      </c>
      <c r="R23" s="2">
        <v>3</v>
      </c>
      <c r="S23" s="4" t="s">
        <v>136</v>
      </c>
      <c r="T23" s="4" t="s">
        <v>46</v>
      </c>
      <c r="U23" s="4" t="s">
        <v>46</v>
      </c>
      <c r="V23" s="5">
        <v>10</v>
      </c>
      <c r="W23" s="5">
        <v>-52.78</v>
      </c>
      <c r="X23" s="5">
        <v>100</v>
      </c>
      <c r="Y23" s="5">
        <v>-5.28</v>
      </c>
      <c r="Z23" s="4" t="s">
        <v>46</v>
      </c>
      <c r="AA23" s="5" t="s">
        <v>46</v>
      </c>
      <c r="AB23" s="4" t="s">
        <v>137</v>
      </c>
      <c r="AC23" s="4" t="s">
        <v>46</v>
      </c>
      <c r="AD23" s="5">
        <v>0</v>
      </c>
      <c r="AE23" s="4" t="s">
        <v>138</v>
      </c>
      <c r="AF23" s="3">
        <v>45658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46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45903</v>
      </c>
      <c r="C24" s="4" t="s">
        <v>69</v>
      </c>
      <c r="D24" s="2">
        <v>1509744</v>
      </c>
      <c r="E24" s="4" t="s">
        <v>131</v>
      </c>
      <c r="F24" s="4" t="s">
        <v>139</v>
      </c>
      <c r="G24" s="4" t="s">
        <v>46</v>
      </c>
      <c r="H24" s="4" t="s">
        <v>46</v>
      </c>
      <c r="I24" s="4" t="s">
        <v>46</v>
      </c>
      <c r="J24" s="4" t="s">
        <v>133</v>
      </c>
      <c r="K24" s="4" t="s">
        <v>134</v>
      </c>
      <c r="L24" s="3">
        <v>45931</v>
      </c>
      <c r="M24" s="4" t="s">
        <v>65</v>
      </c>
      <c r="N24" s="4" t="s">
        <v>46</v>
      </c>
      <c r="O24" s="4" t="s">
        <v>50</v>
      </c>
      <c r="P24" s="4" t="s">
        <v>135</v>
      </c>
      <c r="Q24" s="2">
        <v>1</v>
      </c>
      <c r="R24" s="2">
        <v>60</v>
      </c>
      <c r="S24" s="4" t="s">
        <v>140</v>
      </c>
      <c r="T24" s="4" t="s">
        <v>46</v>
      </c>
      <c r="U24" s="4" t="s">
        <v>46</v>
      </c>
      <c r="V24" s="5">
        <v>10</v>
      </c>
      <c r="W24" s="5">
        <v>-13.93</v>
      </c>
      <c r="X24" s="5">
        <v>100</v>
      </c>
      <c r="Y24" s="5">
        <v>-1.39</v>
      </c>
      <c r="Z24" s="4" t="s">
        <v>46</v>
      </c>
      <c r="AA24" s="5" t="s">
        <v>46</v>
      </c>
      <c r="AB24" s="4" t="s">
        <v>137</v>
      </c>
      <c r="AC24" s="4" t="s">
        <v>46</v>
      </c>
      <c r="AD24" s="5">
        <v>0</v>
      </c>
      <c r="AE24" s="4" t="s">
        <v>138</v>
      </c>
      <c r="AF24" s="3">
        <v>45658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46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45903</v>
      </c>
      <c r="C25" s="4" t="s">
        <v>141</v>
      </c>
      <c r="D25" s="2">
        <v>1509841</v>
      </c>
      <c r="E25" s="4" t="s">
        <v>142</v>
      </c>
      <c r="F25" s="4" t="s">
        <v>143</v>
      </c>
      <c r="G25" s="4" t="s">
        <v>46</v>
      </c>
      <c r="H25" s="4" t="s">
        <v>46</v>
      </c>
      <c r="I25" s="4" t="s">
        <v>46</v>
      </c>
      <c r="J25" s="4" t="s">
        <v>144</v>
      </c>
      <c r="K25" s="4" t="s">
        <v>145</v>
      </c>
      <c r="L25" s="3">
        <v>45901</v>
      </c>
      <c r="M25" s="4" t="s">
        <v>58</v>
      </c>
      <c r="N25" s="4" t="s">
        <v>46</v>
      </c>
      <c r="O25" s="4" t="s">
        <v>50</v>
      </c>
      <c r="P25" s="4" t="s">
        <v>135</v>
      </c>
      <c r="Q25" s="2">
        <v>3</v>
      </c>
      <c r="R25" s="2">
        <v>3</v>
      </c>
      <c r="S25" s="4" t="s">
        <v>136</v>
      </c>
      <c r="T25" s="4" t="s">
        <v>46</v>
      </c>
      <c r="U25" s="4" t="s">
        <v>46</v>
      </c>
      <c r="V25" s="5">
        <v>10</v>
      </c>
      <c r="W25" s="5">
        <v>191.1</v>
      </c>
      <c r="X25" s="5">
        <v>100</v>
      </c>
      <c r="Y25" s="5">
        <v>19.11</v>
      </c>
      <c r="Z25" s="4" t="s">
        <v>46</v>
      </c>
      <c r="AA25" s="5" t="s">
        <v>46</v>
      </c>
      <c r="AB25" s="4" t="s">
        <v>56</v>
      </c>
      <c r="AC25" s="4" t="s">
        <v>46</v>
      </c>
      <c r="AD25" s="5">
        <v>0</v>
      </c>
      <c r="AE25" s="4" t="s">
        <v>57</v>
      </c>
      <c r="AF25" s="3">
        <v>45658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46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45903</v>
      </c>
      <c r="C26" s="4" t="s">
        <v>141</v>
      </c>
      <c r="D26" s="2">
        <v>1509841</v>
      </c>
      <c r="E26" s="4" t="s">
        <v>142</v>
      </c>
      <c r="F26" s="4" t="s">
        <v>143</v>
      </c>
      <c r="G26" s="4" t="s">
        <v>46</v>
      </c>
      <c r="H26" s="4" t="s">
        <v>46</v>
      </c>
      <c r="I26" s="4" t="s">
        <v>46</v>
      </c>
      <c r="J26" s="4" t="s">
        <v>144</v>
      </c>
      <c r="K26" s="4" t="s">
        <v>145</v>
      </c>
      <c r="L26" s="3">
        <v>45901</v>
      </c>
      <c r="M26" s="4" t="s">
        <v>58</v>
      </c>
      <c r="N26" s="4" t="s">
        <v>46</v>
      </c>
      <c r="O26" s="4" t="s">
        <v>50</v>
      </c>
      <c r="P26" s="4" t="s">
        <v>135</v>
      </c>
      <c r="Q26" s="2">
        <v>2</v>
      </c>
      <c r="R26" s="2">
        <v>60</v>
      </c>
      <c r="S26" s="4" t="s">
        <v>140</v>
      </c>
      <c r="T26" s="4" t="s">
        <v>46</v>
      </c>
      <c r="U26" s="4" t="s">
        <v>46</v>
      </c>
      <c r="V26" s="5">
        <v>10</v>
      </c>
      <c r="W26" s="5">
        <v>28.17</v>
      </c>
      <c r="X26" s="5">
        <v>100</v>
      </c>
      <c r="Y26" s="5">
        <v>2.82</v>
      </c>
      <c r="Z26" s="4" t="s">
        <v>46</v>
      </c>
      <c r="AA26" s="5" t="s">
        <v>46</v>
      </c>
      <c r="AB26" s="4" t="s">
        <v>56</v>
      </c>
      <c r="AC26" s="4" t="s">
        <v>46</v>
      </c>
      <c r="AD26" s="5">
        <v>0</v>
      </c>
      <c r="AE26" s="4" t="s">
        <v>57</v>
      </c>
      <c r="AF26" s="3">
        <v>45658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46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45903</v>
      </c>
      <c r="C27" s="4" t="s">
        <v>141</v>
      </c>
      <c r="D27" s="2">
        <v>1509841</v>
      </c>
      <c r="E27" s="4" t="s">
        <v>146</v>
      </c>
      <c r="F27" s="4" t="s">
        <v>147</v>
      </c>
      <c r="G27" s="4" t="s">
        <v>46</v>
      </c>
      <c r="H27" s="4" t="s">
        <v>46</v>
      </c>
      <c r="I27" s="4" t="s">
        <v>46</v>
      </c>
      <c r="J27" s="4" t="s">
        <v>144</v>
      </c>
      <c r="K27" s="4" t="s">
        <v>145</v>
      </c>
      <c r="L27" s="3">
        <v>45901</v>
      </c>
      <c r="M27" s="4" t="s">
        <v>58</v>
      </c>
      <c r="N27" s="4" t="s">
        <v>46</v>
      </c>
      <c r="O27" s="4" t="s">
        <v>50</v>
      </c>
      <c r="P27" s="4" t="s">
        <v>135</v>
      </c>
      <c r="Q27" s="2">
        <v>9</v>
      </c>
      <c r="R27" s="2">
        <v>3</v>
      </c>
      <c r="S27" s="4" t="s">
        <v>136</v>
      </c>
      <c r="T27" s="4" t="s">
        <v>46</v>
      </c>
      <c r="U27" s="4" t="s">
        <v>46</v>
      </c>
      <c r="V27" s="5">
        <v>10</v>
      </c>
      <c r="W27" s="5">
        <v>378.75</v>
      </c>
      <c r="X27" s="5">
        <v>100</v>
      </c>
      <c r="Y27" s="5">
        <v>37.880000000000003</v>
      </c>
      <c r="Z27" s="4" t="s">
        <v>46</v>
      </c>
      <c r="AA27" s="5" t="s">
        <v>46</v>
      </c>
      <c r="AB27" s="4" t="s">
        <v>56</v>
      </c>
      <c r="AC27" s="4" t="s">
        <v>46</v>
      </c>
      <c r="AD27" s="5">
        <v>0</v>
      </c>
      <c r="AE27" s="4" t="s">
        <v>57</v>
      </c>
      <c r="AF27" s="3">
        <v>45658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46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45903</v>
      </c>
      <c r="C28" s="4" t="s">
        <v>141</v>
      </c>
      <c r="D28" s="2">
        <v>1509841</v>
      </c>
      <c r="E28" s="4" t="s">
        <v>146</v>
      </c>
      <c r="F28" s="4" t="s">
        <v>147</v>
      </c>
      <c r="G28" s="4" t="s">
        <v>46</v>
      </c>
      <c r="H28" s="4" t="s">
        <v>46</v>
      </c>
      <c r="I28" s="4" t="s">
        <v>46</v>
      </c>
      <c r="J28" s="4" t="s">
        <v>144</v>
      </c>
      <c r="K28" s="4" t="s">
        <v>145</v>
      </c>
      <c r="L28" s="3">
        <v>45901</v>
      </c>
      <c r="M28" s="4" t="s">
        <v>58</v>
      </c>
      <c r="N28" s="4" t="s">
        <v>46</v>
      </c>
      <c r="O28" s="4" t="s">
        <v>50</v>
      </c>
      <c r="P28" s="4" t="s">
        <v>135</v>
      </c>
      <c r="Q28" s="2">
        <v>9</v>
      </c>
      <c r="R28" s="2">
        <v>60</v>
      </c>
      <c r="S28" s="4" t="s">
        <v>140</v>
      </c>
      <c r="T28" s="4" t="s">
        <v>46</v>
      </c>
      <c r="U28" s="4" t="s">
        <v>46</v>
      </c>
      <c r="V28" s="5">
        <v>10</v>
      </c>
      <c r="W28" s="5">
        <v>77.77</v>
      </c>
      <c r="X28" s="5">
        <v>100</v>
      </c>
      <c r="Y28" s="5">
        <v>7.78</v>
      </c>
      <c r="Z28" s="4" t="s">
        <v>46</v>
      </c>
      <c r="AA28" s="5" t="s">
        <v>46</v>
      </c>
      <c r="AB28" s="4" t="s">
        <v>56</v>
      </c>
      <c r="AC28" s="4" t="s">
        <v>46</v>
      </c>
      <c r="AD28" s="5">
        <v>0</v>
      </c>
      <c r="AE28" s="4" t="s">
        <v>57</v>
      </c>
      <c r="AF28" s="3">
        <v>45658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46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45903</v>
      </c>
      <c r="C29" s="4" t="s">
        <v>141</v>
      </c>
      <c r="D29" s="2">
        <v>1509841</v>
      </c>
      <c r="E29" s="4" t="s">
        <v>148</v>
      </c>
      <c r="F29" s="4" t="s">
        <v>149</v>
      </c>
      <c r="G29" s="4" t="s">
        <v>46</v>
      </c>
      <c r="H29" s="4" t="s">
        <v>46</v>
      </c>
      <c r="I29" s="4" t="s">
        <v>46</v>
      </c>
      <c r="J29" s="4" t="s">
        <v>144</v>
      </c>
      <c r="K29" s="4" t="s">
        <v>145</v>
      </c>
      <c r="L29" s="3">
        <v>45901</v>
      </c>
      <c r="M29" s="4" t="s">
        <v>58</v>
      </c>
      <c r="N29" s="4" t="s">
        <v>46</v>
      </c>
      <c r="O29" s="4" t="s">
        <v>50</v>
      </c>
      <c r="P29" s="4" t="s">
        <v>135</v>
      </c>
      <c r="Q29" s="2">
        <v>4</v>
      </c>
      <c r="R29" s="2">
        <v>3</v>
      </c>
      <c r="S29" s="4" t="s">
        <v>136</v>
      </c>
      <c r="T29" s="4" t="s">
        <v>46</v>
      </c>
      <c r="U29" s="4" t="s">
        <v>46</v>
      </c>
      <c r="V29" s="5">
        <v>10</v>
      </c>
      <c r="W29" s="5">
        <v>24.14</v>
      </c>
      <c r="X29" s="5">
        <v>100</v>
      </c>
      <c r="Y29" s="5">
        <v>2.41</v>
      </c>
      <c r="Z29" s="4" t="s">
        <v>46</v>
      </c>
      <c r="AA29" s="5" t="s">
        <v>46</v>
      </c>
      <c r="AB29" s="4" t="s">
        <v>56</v>
      </c>
      <c r="AC29" s="4" t="s">
        <v>46</v>
      </c>
      <c r="AD29" s="5">
        <v>0</v>
      </c>
      <c r="AE29" s="4" t="s">
        <v>57</v>
      </c>
      <c r="AF29" s="3">
        <v>45658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46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45903</v>
      </c>
      <c r="C30" s="4" t="s">
        <v>141</v>
      </c>
      <c r="D30" s="2">
        <v>1509841</v>
      </c>
      <c r="E30" s="4" t="s">
        <v>148</v>
      </c>
      <c r="F30" s="4" t="s">
        <v>149</v>
      </c>
      <c r="G30" s="4" t="s">
        <v>46</v>
      </c>
      <c r="H30" s="4" t="s">
        <v>46</v>
      </c>
      <c r="I30" s="4" t="s">
        <v>46</v>
      </c>
      <c r="J30" s="4" t="s">
        <v>144</v>
      </c>
      <c r="K30" s="4" t="s">
        <v>145</v>
      </c>
      <c r="L30" s="3">
        <v>45901</v>
      </c>
      <c r="M30" s="4" t="s">
        <v>58</v>
      </c>
      <c r="N30" s="4" t="s">
        <v>46</v>
      </c>
      <c r="O30" s="4" t="s">
        <v>50</v>
      </c>
      <c r="P30" s="4" t="s">
        <v>135</v>
      </c>
      <c r="Q30" s="2">
        <v>4</v>
      </c>
      <c r="R30" s="2">
        <v>60</v>
      </c>
      <c r="S30" s="4" t="s">
        <v>140</v>
      </c>
      <c r="T30" s="4" t="s">
        <v>46</v>
      </c>
      <c r="U30" s="4" t="s">
        <v>46</v>
      </c>
      <c r="V30" s="5">
        <v>10</v>
      </c>
      <c r="W30" s="5">
        <v>3.48</v>
      </c>
      <c r="X30" s="5">
        <v>100</v>
      </c>
      <c r="Y30" s="5">
        <v>0.35</v>
      </c>
      <c r="Z30" s="4" t="s">
        <v>46</v>
      </c>
      <c r="AA30" s="5" t="s">
        <v>46</v>
      </c>
      <c r="AB30" s="4" t="s">
        <v>56</v>
      </c>
      <c r="AC30" s="4" t="s">
        <v>46</v>
      </c>
      <c r="AD30" s="5">
        <v>0</v>
      </c>
      <c r="AE30" s="4" t="s">
        <v>57</v>
      </c>
      <c r="AF30" s="3">
        <v>45658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45903</v>
      </c>
      <c r="C31" s="4" t="s">
        <v>150</v>
      </c>
      <c r="D31" s="2">
        <v>1510085</v>
      </c>
      <c r="E31" s="4" t="s">
        <v>151</v>
      </c>
      <c r="F31" s="4" t="s">
        <v>152</v>
      </c>
      <c r="G31" s="4" t="s">
        <v>46</v>
      </c>
      <c r="H31" s="4" t="s">
        <v>46</v>
      </c>
      <c r="I31" s="4" t="s">
        <v>46</v>
      </c>
      <c r="J31" s="4" t="s">
        <v>144</v>
      </c>
      <c r="K31" s="4" t="s">
        <v>145</v>
      </c>
      <c r="L31" s="3">
        <v>45901</v>
      </c>
      <c r="M31" s="4" t="s">
        <v>58</v>
      </c>
      <c r="N31" s="4" t="s">
        <v>46</v>
      </c>
      <c r="O31" s="4" t="s">
        <v>135</v>
      </c>
      <c r="P31" s="4" t="s">
        <v>135</v>
      </c>
      <c r="Q31" s="2">
        <v>1</v>
      </c>
      <c r="R31" s="2">
        <v>60</v>
      </c>
      <c r="S31" s="4" t="s">
        <v>140</v>
      </c>
      <c r="T31" s="4" t="s">
        <v>46</v>
      </c>
      <c r="U31" s="4" t="s">
        <v>46</v>
      </c>
      <c r="V31" s="5">
        <v>10</v>
      </c>
      <c r="W31" s="5">
        <v>5.69</v>
      </c>
      <c r="X31" s="5">
        <v>100</v>
      </c>
      <c r="Y31" s="5">
        <v>0.56999999999999995</v>
      </c>
      <c r="Z31" s="4" t="s">
        <v>46</v>
      </c>
      <c r="AA31" s="5" t="s">
        <v>46</v>
      </c>
      <c r="AB31" s="4" t="s">
        <v>153</v>
      </c>
      <c r="AC31" s="4" t="s">
        <v>46</v>
      </c>
      <c r="AD31" s="5">
        <v>0</v>
      </c>
      <c r="AE31" s="4" t="s">
        <v>154</v>
      </c>
      <c r="AF31" s="3">
        <v>44287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45903</v>
      </c>
      <c r="C32" s="4" t="s">
        <v>155</v>
      </c>
      <c r="D32" s="2">
        <v>1524629</v>
      </c>
      <c r="E32" s="4" t="s">
        <v>156</v>
      </c>
      <c r="F32" s="4" t="s">
        <v>157</v>
      </c>
      <c r="G32" s="4" t="s">
        <v>46</v>
      </c>
      <c r="H32" s="4" t="s">
        <v>46</v>
      </c>
      <c r="I32" s="4" t="s">
        <v>46</v>
      </c>
      <c r="J32" s="4" t="s">
        <v>158</v>
      </c>
      <c r="K32" s="4" t="s">
        <v>48</v>
      </c>
      <c r="L32" s="3">
        <v>45901</v>
      </c>
      <c r="M32" s="4" t="s">
        <v>58</v>
      </c>
      <c r="N32" s="4" t="s">
        <v>46</v>
      </c>
      <c r="O32" s="4" t="s">
        <v>135</v>
      </c>
      <c r="P32" s="4" t="s">
        <v>135</v>
      </c>
      <c r="Q32" s="2">
        <v>1</v>
      </c>
      <c r="R32" s="2">
        <v>17</v>
      </c>
      <c r="S32" s="4" t="s">
        <v>51</v>
      </c>
      <c r="T32" s="4" t="s">
        <v>46</v>
      </c>
      <c r="U32" s="4" t="s">
        <v>46</v>
      </c>
      <c r="V32" s="5">
        <v>26</v>
      </c>
      <c r="W32" s="5">
        <v>84.94</v>
      </c>
      <c r="X32" s="5">
        <v>100</v>
      </c>
      <c r="Y32" s="5">
        <v>22.08</v>
      </c>
      <c r="Z32" s="5">
        <v>0</v>
      </c>
      <c r="AA32" s="5">
        <v>0</v>
      </c>
      <c r="AB32" s="4" t="s">
        <v>159</v>
      </c>
      <c r="AC32" s="4" t="s">
        <v>46</v>
      </c>
      <c r="AD32" s="5">
        <v>0</v>
      </c>
      <c r="AE32" s="4" t="s">
        <v>160</v>
      </c>
      <c r="AF32" s="3">
        <v>45323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45903</v>
      </c>
      <c r="C33" s="4" t="s">
        <v>161</v>
      </c>
      <c r="D33" s="2">
        <v>1545980</v>
      </c>
      <c r="E33" s="4" t="s">
        <v>162</v>
      </c>
      <c r="F33" s="4" t="s">
        <v>163</v>
      </c>
      <c r="G33" s="4" t="s">
        <v>46</v>
      </c>
      <c r="H33" s="4" t="s">
        <v>46</v>
      </c>
      <c r="I33" s="4" t="s">
        <v>46</v>
      </c>
      <c r="J33" s="4" t="s">
        <v>158</v>
      </c>
      <c r="K33" s="4" t="s">
        <v>48</v>
      </c>
      <c r="L33" s="3">
        <v>45901</v>
      </c>
      <c r="M33" s="4" t="s">
        <v>58</v>
      </c>
      <c r="N33" s="4" t="s">
        <v>46</v>
      </c>
      <c r="O33" s="4" t="s">
        <v>50</v>
      </c>
      <c r="P33" s="4" t="s">
        <v>135</v>
      </c>
      <c r="Q33" s="2">
        <v>1</v>
      </c>
      <c r="R33" s="2">
        <v>17</v>
      </c>
      <c r="S33" s="4" t="s">
        <v>51</v>
      </c>
      <c r="T33" s="4" t="s">
        <v>46</v>
      </c>
      <c r="U33" s="4" t="s">
        <v>46</v>
      </c>
      <c r="V33" s="5">
        <v>22</v>
      </c>
      <c r="W33" s="5">
        <v>1448.16</v>
      </c>
      <c r="X33" s="5">
        <v>100</v>
      </c>
      <c r="Y33" s="5">
        <v>318.60000000000002</v>
      </c>
      <c r="Z33" s="5">
        <v>0</v>
      </c>
      <c r="AA33" s="5">
        <v>0</v>
      </c>
      <c r="AB33" s="4" t="s">
        <v>164</v>
      </c>
      <c r="AC33" s="4" t="s">
        <v>46</v>
      </c>
      <c r="AD33" s="5">
        <v>0</v>
      </c>
      <c r="AE33" s="4" t="s">
        <v>165</v>
      </c>
      <c r="AF33" s="3">
        <v>45901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45903</v>
      </c>
      <c r="C34" s="4" t="s">
        <v>161</v>
      </c>
      <c r="D34" s="2">
        <v>1545980</v>
      </c>
      <c r="E34" s="4" t="s">
        <v>166</v>
      </c>
      <c r="F34" s="4" t="s">
        <v>167</v>
      </c>
      <c r="G34" s="4" t="s">
        <v>46</v>
      </c>
      <c r="H34" s="4" t="s">
        <v>46</v>
      </c>
      <c r="I34" s="4" t="s">
        <v>46</v>
      </c>
      <c r="J34" s="4" t="s">
        <v>158</v>
      </c>
      <c r="K34" s="4" t="s">
        <v>48</v>
      </c>
      <c r="L34" s="3">
        <v>45901</v>
      </c>
      <c r="M34" s="4" t="s">
        <v>58</v>
      </c>
      <c r="N34" s="4" t="s">
        <v>46</v>
      </c>
      <c r="O34" s="4" t="s">
        <v>50</v>
      </c>
      <c r="P34" s="4" t="s">
        <v>135</v>
      </c>
      <c r="Q34" s="2">
        <v>1</v>
      </c>
      <c r="R34" s="2">
        <v>17</v>
      </c>
      <c r="S34" s="4" t="s">
        <v>51</v>
      </c>
      <c r="T34" s="4" t="s">
        <v>46</v>
      </c>
      <c r="U34" s="4" t="s">
        <v>46</v>
      </c>
      <c r="V34" s="5">
        <v>22</v>
      </c>
      <c r="W34" s="5">
        <v>2080.44</v>
      </c>
      <c r="X34" s="5">
        <v>100</v>
      </c>
      <c r="Y34" s="5">
        <v>457.68</v>
      </c>
      <c r="Z34" s="5">
        <v>0</v>
      </c>
      <c r="AA34" s="5">
        <v>0</v>
      </c>
      <c r="AB34" s="4" t="s">
        <v>164</v>
      </c>
      <c r="AC34" s="4" t="s">
        <v>46</v>
      </c>
      <c r="AD34" s="5">
        <v>0</v>
      </c>
      <c r="AE34" s="4" t="s">
        <v>165</v>
      </c>
      <c r="AF34" s="3">
        <v>45901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45903</v>
      </c>
      <c r="C35" s="4" t="s">
        <v>161</v>
      </c>
      <c r="D35" s="2">
        <v>1545980</v>
      </c>
      <c r="E35" s="4" t="s">
        <v>168</v>
      </c>
      <c r="F35" s="4" t="s">
        <v>169</v>
      </c>
      <c r="G35" s="4" t="s">
        <v>46</v>
      </c>
      <c r="H35" s="4" t="s">
        <v>46</v>
      </c>
      <c r="I35" s="4" t="s">
        <v>46</v>
      </c>
      <c r="J35" s="4" t="s">
        <v>158</v>
      </c>
      <c r="K35" s="4" t="s">
        <v>48</v>
      </c>
      <c r="L35" s="3">
        <v>45901</v>
      </c>
      <c r="M35" s="4" t="s">
        <v>58</v>
      </c>
      <c r="N35" s="4" t="s">
        <v>46</v>
      </c>
      <c r="O35" s="4" t="s">
        <v>50</v>
      </c>
      <c r="P35" s="4" t="s">
        <v>135</v>
      </c>
      <c r="Q35" s="2">
        <v>1</v>
      </c>
      <c r="R35" s="2">
        <v>17</v>
      </c>
      <c r="S35" s="4" t="s">
        <v>51</v>
      </c>
      <c r="T35" s="4" t="s">
        <v>46</v>
      </c>
      <c r="U35" s="4" t="s">
        <v>46</v>
      </c>
      <c r="V35" s="5">
        <v>22</v>
      </c>
      <c r="W35" s="5">
        <v>1843.92</v>
      </c>
      <c r="X35" s="5">
        <v>100</v>
      </c>
      <c r="Y35" s="5">
        <v>405.72</v>
      </c>
      <c r="Z35" s="5">
        <v>0</v>
      </c>
      <c r="AA35" s="5">
        <v>0</v>
      </c>
      <c r="AB35" s="4" t="s">
        <v>164</v>
      </c>
      <c r="AC35" s="4" t="s">
        <v>46</v>
      </c>
      <c r="AD35" s="5">
        <v>0</v>
      </c>
      <c r="AE35" s="4" t="s">
        <v>165</v>
      </c>
      <c r="AF35" s="3">
        <v>45901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45903</v>
      </c>
      <c r="C36" s="4" t="s">
        <v>170</v>
      </c>
      <c r="D36" s="2">
        <v>1581327</v>
      </c>
      <c r="E36" s="4" t="s">
        <v>171</v>
      </c>
      <c r="F36" s="4" t="s">
        <v>172</v>
      </c>
      <c r="G36" s="4" t="s">
        <v>46</v>
      </c>
      <c r="H36" s="4" t="s">
        <v>46</v>
      </c>
      <c r="I36" s="4" t="s">
        <v>46</v>
      </c>
      <c r="J36" s="4" t="s">
        <v>158</v>
      </c>
      <c r="K36" s="4" t="s">
        <v>48</v>
      </c>
      <c r="L36" s="3">
        <v>45901</v>
      </c>
      <c r="M36" s="4" t="s">
        <v>58</v>
      </c>
      <c r="N36" s="4" t="s">
        <v>46</v>
      </c>
      <c r="O36" s="4" t="s">
        <v>50</v>
      </c>
      <c r="P36" s="4" t="s">
        <v>135</v>
      </c>
      <c r="Q36" s="2">
        <v>1</v>
      </c>
      <c r="R36" s="2">
        <v>17</v>
      </c>
      <c r="S36" s="4" t="s">
        <v>51</v>
      </c>
      <c r="T36" s="4" t="s">
        <v>46</v>
      </c>
      <c r="U36" s="4" t="s">
        <v>46</v>
      </c>
      <c r="V36" s="5">
        <v>3</v>
      </c>
      <c r="W36" s="5">
        <v>2435.4</v>
      </c>
      <c r="X36" s="5">
        <v>100</v>
      </c>
      <c r="Y36" s="5">
        <v>73.08</v>
      </c>
      <c r="Z36" s="5">
        <v>0</v>
      </c>
      <c r="AA36" s="5">
        <v>0</v>
      </c>
      <c r="AB36" s="4" t="s">
        <v>164</v>
      </c>
      <c r="AC36" s="4" t="s">
        <v>46</v>
      </c>
      <c r="AD36" s="5">
        <v>0</v>
      </c>
      <c r="AE36" s="4" t="s">
        <v>165</v>
      </c>
      <c r="AF36" s="3">
        <v>45901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45903</v>
      </c>
      <c r="C37" s="4" t="s">
        <v>96</v>
      </c>
      <c r="D37" s="2">
        <v>1673763</v>
      </c>
      <c r="E37" s="4" t="s">
        <v>173</v>
      </c>
      <c r="F37" s="4" t="s">
        <v>174</v>
      </c>
      <c r="G37" s="4" t="s">
        <v>46</v>
      </c>
      <c r="H37" s="4" t="s">
        <v>46</v>
      </c>
      <c r="I37" s="4" t="s">
        <v>46</v>
      </c>
      <c r="J37" s="4" t="s">
        <v>158</v>
      </c>
      <c r="K37" s="4" t="s">
        <v>48</v>
      </c>
      <c r="L37" s="3">
        <v>45901</v>
      </c>
      <c r="M37" s="4" t="s">
        <v>58</v>
      </c>
      <c r="N37" s="4" t="s">
        <v>46</v>
      </c>
      <c r="O37" s="4" t="s">
        <v>50</v>
      </c>
      <c r="P37" s="4" t="s">
        <v>135</v>
      </c>
      <c r="Q37" s="2">
        <v>1</v>
      </c>
      <c r="R37" s="2">
        <v>17</v>
      </c>
      <c r="S37" s="4" t="s">
        <v>51</v>
      </c>
      <c r="T37" s="4" t="s">
        <v>46</v>
      </c>
      <c r="U37" s="4" t="s">
        <v>46</v>
      </c>
      <c r="V37" s="5">
        <v>22</v>
      </c>
      <c r="W37" s="5">
        <v>138.55000000000001</v>
      </c>
      <c r="X37" s="5">
        <v>100</v>
      </c>
      <c r="Y37" s="5">
        <v>30.48</v>
      </c>
      <c r="Z37" s="5">
        <v>0</v>
      </c>
      <c r="AA37" s="5">
        <v>0</v>
      </c>
      <c r="AB37" s="4" t="s">
        <v>175</v>
      </c>
      <c r="AC37" s="4" t="s">
        <v>46</v>
      </c>
      <c r="AD37" s="5">
        <v>0</v>
      </c>
      <c r="AE37" s="4" t="s">
        <v>176</v>
      </c>
      <c r="AF37" s="3">
        <v>45870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45903</v>
      </c>
      <c r="C38" s="4" t="s">
        <v>96</v>
      </c>
      <c r="D38" s="2">
        <v>1673763</v>
      </c>
      <c r="E38" s="4" t="s">
        <v>177</v>
      </c>
      <c r="F38" s="4" t="s">
        <v>178</v>
      </c>
      <c r="G38" s="4" t="s">
        <v>46</v>
      </c>
      <c r="H38" s="4" t="s">
        <v>46</v>
      </c>
      <c r="I38" s="4" t="s">
        <v>46</v>
      </c>
      <c r="J38" s="4" t="s">
        <v>133</v>
      </c>
      <c r="K38" s="4" t="s">
        <v>134</v>
      </c>
      <c r="L38" s="3">
        <v>45901</v>
      </c>
      <c r="M38" s="4" t="s">
        <v>58</v>
      </c>
      <c r="N38" s="4" t="s">
        <v>46</v>
      </c>
      <c r="O38" s="4" t="s">
        <v>50</v>
      </c>
      <c r="P38" s="4" t="s">
        <v>135</v>
      </c>
      <c r="Q38" s="2">
        <v>2</v>
      </c>
      <c r="R38" s="2">
        <v>60</v>
      </c>
      <c r="S38" s="4" t="s">
        <v>140</v>
      </c>
      <c r="T38" s="4" t="s">
        <v>46</v>
      </c>
      <c r="U38" s="4" t="s">
        <v>46</v>
      </c>
      <c r="V38" s="5">
        <v>10</v>
      </c>
      <c r="W38" s="5">
        <v>23.99</v>
      </c>
      <c r="X38" s="5">
        <v>100</v>
      </c>
      <c r="Y38" s="5">
        <v>37.4</v>
      </c>
      <c r="Z38" s="4" t="s">
        <v>46</v>
      </c>
      <c r="AA38" s="5" t="s">
        <v>46</v>
      </c>
      <c r="AB38" s="4" t="s">
        <v>137</v>
      </c>
      <c r="AC38" s="4" t="s">
        <v>46</v>
      </c>
      <c r="AD38" s="5">
        <v>0</v>
      </c>
      <c r="AE38" s="4" t="s">
        <v>138</v>
      </c>
      <c r="AF38" s="3">
        <v>45902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46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45903</v>
      </c>
      <c r="C39" s="4" t="s">
        <v>101</v>
      </c>
      <c r="D39" s="2">
        <v>1703723</v>
      </c>
      <c r="E39" s="4" t="s">
        <v>179</v>
      </c>
      <c r="F39" s="4" t="s">
        <v>180</v>
      </c>
      <c r="G39" s="4" t="s">
        <v>46</v>
      </c>
      <c r="H39" s="4" t="s">
        <v>46</v>
      </c>
      <c r="I39" s="4" t="s">
        <v>46</v>
      </c>
      <c r="J39" s="4" t="s">
        <v>158</v>
      </c>
      <c r="K39" s="4" t="s">
        <v>48</v>
      </c>
      <c r="L39" s="3">
        <v>45901</v>
      </c>
      <c r="M39" s="4" t="s">
        <v>58</v>
      </c>
      <c r="N39" s="4" t="s">
        <v>46</v>
      </c>
      <c r="O39" s="4" t="s">
        <v>135</v>
      </c>
      <c r="P39" s="4" t="s">
        <v>135</v>
      </c>
      <c r="Q39" s="2">
        <v>1</v>
      </c>
      <c r="R39" s="2">
        <v>17</v>
      </c>
      <c r="S39" s="4" t="s">
        <v>51</v>
      </c>
      <c r="T39" s="4" t="s">
        <v>46</v>
      </c>
      <c r="U39" s="4" t="s">
        <v>46</v>
      </c>
      <c r="V39" s="5">
        <v>26</v>
      </c>
      <c r="W39" s="5">
        <v>113</v>
      </c>
      <c r="X39" s="5">
        <v>100</v>
      </c>
      <c r="Y39" s="5">
        <v>29.38</v>
      </c>
      <c r="Z39" s="5">
        <v>0</v>
      </c>
      <c r="AA39" s="5">
        <v>0</v>
      </c>
      <c r="AB39" s="4" t="s">
        <v>159</v>
      </c>
      <c r="AC39" s="4" t="s">
        <v>46</v>
      </c>
      <c r="AD39" s="5">
        <v>0</v>
      </c>
      <c r="AE39" s="4" t="s">
        <v>160</v>
      </c>
      <c r="AF39" s="3">
        <v>45352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46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45903</v>
      </c>
      <c r="C40" s="4" t="s">
        <v>181</v>
      </c>
      <c r="D40" s="2">
        <v>1755893</v>
      </c>
      <c r="E40" s="4" t="s">
        <v>182</v>
      </c>
      <c r="F40" s="4" t="s">
        <v>183</v>
      </c>
      <c r="G40" s="4" t="s">
        <v>46</v>
      </c>
      <c r="H40" s="4" t="s">
        <v>46</v>
      </c>
      <c r="I40" s="4" t="s">
        <v>46</v>
      </c>
      <c r="J40" s="4" t="s">
        <v>133</v>
      </c>
      <c r="K40" s="4" t="s">
        <v>134</v>
      </c>
      <c r="L40" s="3">
        <v>45901</v>
      </c>
      <c r="M40" s="4" t="s">
        <v>58</v>
      </c>
      <c r="N40" s="4" t="s">
        <v>46</v>
      </c>
      <c r="O40" s="4" t="s">
        <v>50</v>
      </c>
      <c r="P40" s="4" t="s">
        <v>135</v>
      </c>
      <c r="Q40" s="2">
        <v>1</v>
      </c>
      <c r="R40" s="2">
        <v>60</v>
      </c>
      <c r="S40" s="4" t="s">
        <v>140</v>
      </c>
      <c r="T40" s="4" t="s">
        <v>46</v>
      </c>
      <c r="U40" s="4" t="s">
        <v>46</v>
      </c>
      <c r="V40" s="5">
        <v>10</v>
      </c>
      <c r="W40" s="5">
        <v>12.99</v>
      </c>
      <c r="X40" s="5">
        <v>100</v>
      </c>
      <c r="Y40" s="5">
        <v>36.299999999999997</v>
      </c>
      <c r="Z40" s="4" t="s">
        <v>46</v>
      </c>
      <c r="AA40" s="5" t="s">
        <v>46</v>
      </c>
      <c r="AB40" s="4" t="s">
        <v>137</v>
      </c>
      <c r="AC40" s="4" t="s">
        <v>46</v>
      </c>
      <c r="AD40" s="5">
        <v>0</v>
      </c>
      <c r="AE40" s="4" t="s">
        <v>138</v>
      </c>
      <c r="AF40" s="3">
        <v>45903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46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45903</v>
      </c>
      <c r="C41" s="4" t="s">
        <v>184</v>
      </c>
      <c r="D41" s="2">
        <v>1775329</v>
      </c>
      <c r="E41" s="4" t="s">
        <v>185</v>
      </c>
      <c r="F41" s="4" t="s">
        <v>186</v>
      </c>
      <c r="G41" s="4" t="s">
        <v>46</v>
      </c>
      <c r="H41" s="4" t="s">
        <v>46</v>
      </c>
      <c r="I41" s="4" t="s">
        <v>46</v>
      </c>
      <c r="J41" s="4" t="s">
        <v>158</v>
      </c>
      <c r="K41" s="4" t="s">
        <v>48</v>
      </c>
      <c r="L41" s="3">
        <v>45901</v>
      </c>
      <c r="M41" s="4" t="s">
        <v>58</v>
      </c>
      <c r="N41" s="4" t="s">
        <v>46</v>
      </c>
      <c r="O41" s="4" t="s">
        <v>50</v>
      </c>
      <c r="P41" s="4" t="s">
        <v>135</v>
      </c>
      <c r="Q41" s="2">
        <v>1</v>
      </c>
      <c r="R41" s="2">
        <v>17</v>
      </c>
      <c r="S41" s="4" t="s">
        <v>51</v>
      </c>
      <c r="T41" s="4" t="s">
        <v>46</v>
      </c>
      <c r="U41" s="4" t="s">
        <v>46</v>
      </c>
      <c r="V41" s="5">
        <v>22</v>
      </c>
      <c r="W41" s="5">
        <v>2111.2800000000002</v>
      </c>
      <c r="X41" s="5">
        <v>100</v>
      </c>
      <c r="Y41" s="5">
        <v>464.52</v>
      </c>
      <c r="Z41" s="5">
        <v>0</v>
      </c>
      <c r="AA41" s="5">
        <v>0</v>
      </c>
      <c r="AB41" s="4" t="s">
        <v>164</v>
      </c>
      <c r="AC41" s="4" t="s">
        <v>46</v>
      </c>
      <c r="AD41" s="5">
        <v>0</v>
      </c>
      <c r="AE41" s="4" t="s">
        <v>165</v>
      </c>
      <c r="AF41" s="3">
        <v>45901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46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45903</v>
      </c>
      <c r="C42" s="4" t="s">
        <v>184</v>
      </c>
      <c r="D42" s="2">
        <v>1775329</v>
      </c>
      <c r="E42" s="4" t="s">
        <v>187</v>
      </c>
      <c r="F42" s="4" t="s">
        <v>188</v>
      </c>
      <c r="G42" s="4" t="s">
        <v>46</v>
      </c>
      <c r="H42" s="4" t="s">
        <v>46</v>
      </c>
      <c r="I42" s="4" t="s">
        <v>46</v>
      </c>
      <c r="J42" s="4" t="s">
        <v>158</v>
      </c>
      <c r="K42" s="4" t="s">
        <v>48</v>
      </c>
      <c r="L42" s="3">
        <v>45901</v>
      </c>
      <c r="M42" s="4" t="s">
        <v>58</v>
      </c>
      <c r="N42" s="4" t="s">
        <v>46</v>
      </c>
      <c r="O42" s="4" t="s">
        <v>50</v>
      </c>
      <c r="P42" s="4" t="s">
        <v>135</v>
      </c>
      <c r="Q42" s="2">
        <v>1</v>
      </c>
      <c r="R42" s="2">
        <v>17</v>
      </c>
      <c r="S42" s="4" t="s">
        <v>51</v>
      </c>
      <c r="T42" s="4" t="s">
        <v>46</v>
      </c>
      <c r="U42" s="4" t="s">
        <v>46</v>
      </c>
      <c r="V42" s="5">
        <v>22</v>
      </c>
      <c r="W42" s="5">
        <v>1830.84</v>
      </c>
      <c r="X42" s="5">
        <v>100</v>
      </c>
      <c r="Y42" s="5">
        <v>402.84</v>
      </c>
      <c r="Z42" s="5">
        <v>0</v>
      </c>
      <c r="AA42" s="5">
        <v>0</v>
      </c>
      <c r="AB42" s="4" t="s">
        <v>164</v>
      </c>
      <c r="AC42" s="4" t="s">
        <v>46</v>
      </c>
      <c r="AD42" s="5">
        <v>0</v>
      </c>
      <c r="AE42" s="4" t="s">
        <v>165</v>
      </c>
      <c r="AF42" s="3">
        <v>45901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46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45903</v>
      </c>
      <c r="C43" s="4" t="s">
        <v>189</v>
      </c>
      <c r="D43" s="2">
        <v>1831491</v>
      </c>
      <c r="E43" s="4" t="s">
        <v>190</v>
      </c>
      <c r="F43" s="4" t="s">
        <v>191</v>
      </c>
      <c r="G43" s="4" t="s">
        <v>46</v>
      </c>
      <c r="H43" s="4" t="s">
        <v>46</v>
      </c>
      <c r="I43" s="4" t="s">
        <v>46</v>
      </c>
      <c r="J43" s="4" t="s">
        <v>158</v>
      </c>
      <c r="K43" s="4" t="s">
        <v>48</v>
      </c>
      <c r="L43" s="3">
        <v>45901</v>
      </c>
      <c r="M43" s="4" t="s">
        <v>58</v>
      </c>
      <c r="N43" s="4" t="s">
        <v>46</v>
      </c>
      <c r="O43" s="4" t="s">
        <v>50</v>
      </c>
      <c r="P43" s="4" t="s">
        <v>135</v>
      </c>
      <c r="Q43" s="2">
        <v>1</v>
      </c>
      <c r="R43" s="2">
        <v>17</v>
      </c>
      <c r="S43" s="4" t="s">
        <v>51</v>
      </c>
      <c r="T43" s="4" t="s">
        <v>46</v>
      </c>
      <c r="U43" s="4" t="s">
        <v>46</v>
      </c>
      <c r="V43" s="5">
        <v>22</v>
      </c>
      <c r="W43" s="5">
        <v>1876.56</v>
      </c>
      <c r="X43" s="5">
        <v>100</v>
      </c>
      <c r="Y43" s="5">
        <v>412.8</v>
      </c>
      <c r="Z43" s="5">
        <v>0</v>
      </c>
      <c r="AA43" s="5">
        <v>0</v>
      </c>
      <c r="AB43" s="4" t="s">
        <v>164</v>
      </c>
      <c r="AC43" s="4" t="s">
        <v>46</v>
      </c>
      <c r="AD43" s="5">
        <v>0</v>
      </c>
      <c r="AE43" s="4" t="s">
        <v>165</v>
      </c>
      <c r="AF43" s="3">
        <v>45901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46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45903</v>
      </c>
      <c r="C44" s="4" t="s">
        <v>189</v>
      </c>
      <c r="D44" s="2">
        <v>1831491</v>
      </c>
      <c r="E44" s="4" t="s">
        <v>192</v>
      </c>
      <c r="F44" s="4" t="s">
        <v>193</v>
      </c>
      <c r="G44" s="4" t="s">
        <v>46</v>
      </c>
      <c r="H44" s="4" t="s">
        <v>46</v>
      </c>
      <c r="I44" s="4" t="s">
        <v>46</v>
      </c>
      <c r="J44" s="4" t="s">
        <v>158</v>
      </c>
      <c r="K44" s="4" t="s">
        <v>48</v>
      </c>
      <c r="L44" s="3">
        <v>45901</v>
      </c>
      <c r="M44" s="4" t="s">
        <v>58</v>
      </c>
      <c r="N44" s="4" t="s">
        <v>46</v>
      </c>
      <c r="O44" s="4" t="s">
        <v>50</v>
      </c>
      <c r="P44" s="4" t="s">
        <v>135</v>
      </c>
      <c r="Q44" s="2">
        <v>1</v>
      </c>
      <c r="R44" s="2">
        <v>17</v>
      </c>
      <c r="S44" s="4" t="s">
        <v>51</v>
      </c>
      <c r="T44" s="4" t="s">
        <v>46</v>
      </c>
      <c r="U44" s="4" t="s">
        <v>46</v>
      </c>
      <c r="V44" s="5">
        <v>22</v>
      </c>
      <c r="W44" s="5">
        <v>1863.24</v>
      </c>
      <c r="X44" s="5">
        <v>100</v>
      </c>
      <c r="Y44" s="5">
        <v>409.92</v>
      </c>
      <c r="Z44" s="5">
        <v>0</v>
      </c>
      <c r="AA44" s="5">
        <v>0</v>
      </c>
      <c r="AB44" s="4" t="s">
        <v>164</v>
      </c>
      <c r="AC44" s="4" t="s">
        <v>46</v>
      </c>
      <c r="AD44" s="5">
        <v>0</v>
      </c>
      <c r="AE44" s="4" t="s">
        <v>165</v>
      </c>
      <c r="AF44" s="3">
        <v>45901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46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45903</v>
      </c>
      <c r="C45" s="4" t="s">
        <v>189</v>
      </c>
      <c r="D45" s="2">
        <v>1831491</v>
      </c>
      <c r="E45" s="4" t="s">
        <v>194</v>
      </c>
      <c r="F45" s="4" t="s">
        <v>195</v>
      </c>
      <c r="G45" s="4" t="s">
        <v>46</v>
      </c>
      <c r="H45" s="4" t="s">
        <v>46</v>
      </c>
      <c r="I45" s="4" t="s">
        <v>46</v>
      </c>
      <c r="J45" s="4" t="s">
        <v>158</v>
      </c>
      <c r="K45" s="4" t="s">
        <v>48</v>
      </c>
      <c r="L45" s="3">
        <v>45901</v>
      </c>
      <c r="M45" s="4" t="s">
        <v>58</v>
      </c>
      <c r="N45" s="4" t="s">
        <v>46</v>
      </c>
      <c r="O45" s="4" t="s">
        <v>50</v>
      </c>
      <c r="P45" s="4" t="s">
        <v>135</v>
      </c>
      <c r="Q45" s="2">
        <v>1</v>
      </c>
      <c r="R45" s="2">
        <v>17</v>
      </c>
      <c r="S45" s="4" t="s">
        <v>51</v>
      </c>
      <c r="T45" s="4" t="s">
        <v>46</v>
      </c>
      <c r="U45" s="4" t="s">
        <v>46</v>
      </c>
      <c r="V45" s="5">
        <v>22</v>
      </c>
      <c r="W45" s="5">
        <v>227.48</v>
      </c>
      <c r="X45" s="5">
        <v>100</v>
      </c>
      <c r="Y45" s="5">
        <v>50.05</v>
      </c>
      <c r="Z45" s="5">
        <v>0</v>
      </c>
      <c r="AA45" s="5">
        <v>0</v>
      </c>
      <c r="AB45" s="4" t="s">
        <v>56</v>
      </c>
      <c r="AC45" s="4" t="s">
        <v>46</v>
      </c>
      <c r="AD45" s="5">
        <v>0</v>
      </c>
      <c r="AE45" s="4" t="s">
        <v>57</v>
      </c>
      <c r="AF45" s="3">
        <v>45870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46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45903</v>
      </c>
      <c r="C46" s="4" t="s">
        <v>189</v>
      </c>
      <c r="D46" s="2">
        <v>1831491</v>
      </c>
      <c r="E46" s="4" t="s">
        <v>196</v>
      </c>
      <c r="F46" s="4" t="s">
        <v>197</v>
      </c>
      <c r="G46" s="4" t="s">
        <v>46</v>
      </c>
      <c r="H46" s="4" t="s">
        <v>46</v>
      </c>
      <c r="I46" s="4" t="s">
        <v>46</v>
      </c>
      <c r="J46" s="4" t="s">
        <v>133</v>
      </c>
      <c r="K46" s="4" t="s">
        <v>134</v>
      </c>
      <c r="L46" s="3">
        <v>45901</v>
      </c>
      <c r="M46" s="4" t="s">
        <v>58</v>
      </c>
      <c r="N46" s="4" t="s">
        <v>46</v>
      </c>
      <c r="O46" s="4" t="s">
        <v>50</v>
      </c>
      <c r="P46" s="4" t="s">
        <v>135</v>
      </c>
      <c r="Q46" s="2">
        <v>1</v>
      </c>
      <c r="R46" s="2">
        <v>60</v>
      </c>
      <c r="S46" s="4" t="s">
        <v>140</v>
      </c>
      <c r="T46" s="4" t="s">
        <v>46</v>
      </c>
      <c r="U46" s="4" t="s">
        <v>46</v>
      </c>
      <c r="V46" s="5">
        <v>10</v>
      </c>
      <c r="W46" s="5">
        <v>14.93</v>
      </c>
      <c r="X46" s="5">
        <v>100</v>
      </c>
      <c r="Y46" s="5">
        <v>36.49</v>
      </c>
      <c r="Z46" s="4" t="s">
        <v>46</v>
      </c>
      <c r="AA46" s="5" t="s">
        <v>46</v>
      </c>
      <c r="AB46" s="4" t="s">
        <v>137</v>
      </c>
      <c r="AC46" s="4" t="s">
        <v>46</v>
      </c>
      <c r="AD46" s="5">
        <v>0</v>
      </c>
      <c r="AE46" s="4" t="s">
        <v>138</v>
      </c>
      <c r="AF46" s="3">
        <v>45908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46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45903</v>
      </c>
      <c r="C47" s="4" t="s">
        <v>189</v>
      </c>
      <c r="D47" s="2">
        <v>1831491</v>
      </c>
      <c r="E47" s="4" t="s">
        <v>198</v>
      </c>
      <c r="F47" s="4" t="s">
        <v>199</v>
      </c>
      <c r="G47" s="4" t="s">
        <v>46</v>
      </c>
      <c r="H47" s="4" t="s">
        <v>46</v>
      </c>
      <c r="I47" s="4" t="s">
        <v>46</v>
      </c>
      <c r="J47" s="4" t="s">
        <v>133</v>
      </c>
      <c r="K47" s="4" t="s">
        <v>134</v>
      </c>
      <c r="L47" s="3">
        <v>45901</v>
      </c>
      <c r="M47" s="4" t="s">
        <v>58</v>
      </c>
      <c r="N47" s="4" t="s">
        <v>46</v>
      </c>
      <c r="O47" s="4" t="s">
        <v>50</v>
      </c>
      <c r="P47" s="4" t="s">
        <v>135</v>
      </c>
      <c r="Q47" s="2">
        <v>2</v>
      </c>
      <c r="R47" s="2">
        <v>60</v>
      </c>
      <c r="S47" s="4" t="s">
        <v>140</v>
      </c>
      <c r="T47" s="4" t="s">
        <v>46</v>
      </c>
      <c r="U47" s="4" t="s">
        <v>46</v>
      </c>
      <c r="V47" s="5">
        <v>10</v>
      </c>
      <c r="W47" s="5">
        <v>26.88</v>
      </c>
      <c r="X47" s="5">
        <v>100</v>
      </c>
      <c r="Y47" s="5">
        <v>37.69</v>
      </c>
      <c r="Z47" s="4" t="s">
        <v>46</v>
      </c>
      <c r="AA47" s="5" t="s">
        <v>46</v>
      </c>
      <c r="AB47" s="4" t="s">
        <v>137</v>
      </c>
      <c r="AC47" s="4" t="s">
        <v>46</v>
      </c>
      <c r="AD47" s="5">
        <v>0</v>
      </c>
      <c r="AE47" s="4" t="s">
        <v>138</v>
      </c>
      <c r="AF47" s="3">
        <v>45901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46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45903</v>
      </c>
      <c r="C48" s="4" t="s">
        <v>189</v>
      </c>
      <c r="D48" s="2">
        <v>1831491</v>
      </c>
      <c r="E48" s="4" t="s">
        <v>200</v>
      </c>
      <c r="F48" s="4" t="s">
        <v>201</v>
      </c>
      <c r="G48" s="4" t="s">
        <v>46</v>
      </c>
      <c r="H48" s="4" t="s">
        <v>46</v>
      </c>
      <c r="I48" s="4" t="s">
        <v>46</v>
      </c>
      <c r="J48" s="4" t="s">
        <v>133</v>
      </c>
      <c r="K48" s="4" t="s">
        <v>134</v>
      </c>
      <c r="L48" s="3">
        <v>45962</v>
      </c>
      <c r="M48" s="4" t="s">
        <v>202</v>
      </c>
      <c r="N48" s="4" t="s">
        <v>46</v>
      </c>
      <c r="O48" s="4" t="s">
        <v>50</v>
      </c>
      <c r="P48" s="4" t="s">
        <v>135</v>
      </c>
      <c r="Q48" s="2">
        <v>1</v>
      </c>
      <c r="R48" s="2">
        <v>60</v>
      </c>
      <c r="S48" s="4" t="s">
        <v>140</v>
      </c>
      <c r="T48" s="4" t="s">
        <v>46</v>
      </c>
      <c r="U48" s="4" t="s">
        <v>46</v>
      </c>
      <c r="V48" s="5">
        <v>10</v>
      </c>
      <c r="W48" s="5">
        <v>14.93</v>
      </c>
      <c r="X48" s="5">
        <v>100</v>
      </c>
      <c r="Y48" s="5">
        <v>36.49</v>
      </c>
      <c r="Z48" s="4" t="s">
        <v>46</v>
      </c>
      <c r="AA48" s="5" t="s">
        <v>46</v>
      </c>
      <c r="AB48" s="4" t="s">
        <v>137</v>
      </c>
      <c r="AC48" s="4" t="s">
        <v>46</v>
      </c>
      <c r="AD48" s="5">
        <v>0</v>
      </c>
      <c r="AE48" s="4" t="s">
        <v>138</v>
      </c>
      <c r="AF48" s="3">
        <v>45991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46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45903</v>
      </c>
      <c r="C49" s="4" t="s">
        <v>203</v>
      </c>
      <c r="D49" s="2">
        <v>1875462</v>
      </c>
      <c r="E49" s="4" t="s">
        <v>204</v>
      </c>
      <c r="F49" s="4" t="s">
        <v>205</v>
      </c>
      <c r="G49" s="4" t="s">
        <v>46</v>
      </c>
      <c r="H49" s="4" t="s">
        <v>46</v>
      </c>
      <c r="I49" s="4" t="s">
        <v>46</v>
      </c>
      <c r="J49" s="4" t="s">
        <v>158</v>
      </c>
      <c r="K49" s="4" t="s">
        <v>48</v>
      </c>
      <c r="L49" s="3">
        <v>45901</v>
      </c>
      <c r="M49" s="4" t="s">
        <v>58</v>
      </c>
      <c r="N49" s="4" t="s">
        <v>46</v>
      </c>
      <c r="O49" s="4" t="s">
        <v>50</v>
      </c>
      <c r="P49" s="4" t="s">
        <v>135</v>
      </c>
      <c r="Q49" s="2">
        <v>1</v>
      </c>
      <c r="R49" s="2">
        <v>17</v>
      </c>
      <c r="S49" s="4" t="s">
        <v>51</v>
      </c>
      <c r="T49" s="4" t="s">
        <v>46</v>
      </c>
      <c r="U49" s="4" t="s">
        <v>46</v>
      </c>
      <c r="V49" s="5">
        <v>22</v>
      </c>
      <c r="W49" s="5">
        <v>149.07</v>
      </c>
      <c r="X49" s="5">
        <v>100</v>
      </c>
      <c r="Y49" s="5">
        <v>32.799999999999997</v>
      </c>
      <c r="Z49" s="5">
        <v>0</v>
      </c>
      <c r="AA49" s="5">
        <v>0</v>
      </c>
      <c r="AB49" s="4" t="s">
        <v>175</v>
      </c>
      <c r="AC49" s="4" t="s">
        <v>46</v>
      </c>
      <c r="AD49" s="5">
        <v>0</v>
      </c>
      <c r="AE49" s="4" t="s">
        <v>176</v>
      </c>
      <c r="AF49" s="3">
        <v>45870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46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45903</v>
      </c>
      <c r="C50" s="4" t="s">
        <v>203</v>
      </c>
      <c r="D50" s="2">
        <v>1875462</v>
      </c>
      <c r="E50" s="4" t="s">
        <v>206</v>
      </c>
      <c r="F50" s="4" t="s">
        <v>207</v>
      </c>
      <c r="G50" s="4" t="s">
        <v>46</v>
      </c>
      <c r="H50" s="4" t="s">
        <v>46</v>
      </c>
      <c r="I50" s="4" t="s">
        <v>46</v>
      </c>
      <c r="J50" s="4" t="s">
        <v>158</v>
      </c>
      <c r="K50" s="4" t="s">
        <v>48</v>
      </c>
      <c r="L50" s="3">
        <v>45901</v>
      </c>
      <c r="M50" s="4" t="s">
        <v>58</v>
      </c>
      <c r="N50" s="4" t="s">
        <v>46</v>
      </c>
      <c r="O50" s="4" t="s">
        <v>50</v>
      </c>
      <c r="P50" s="4" t="s">
        <v>135</v>
      </c>
      <c r="Q50" s="2">
        <v>1</v>
      </c>
      <c r="R50" s="2">
        <v>17</v>
      </c>
      <c r="S50" s="4" t="s">
        <v>51</v>
      </c>
      <c r="T50" s="4" t="s">
        <v>46</v>
      </c>
      <c r="U50" s="4" t="s">
        <v>46</v>
      </c>
      <c r="V50" s="5">
        <v>22</v>
      </c>
      <c r="W50" s="5">
        <v>132.11000000000001</v>
      </c>
      <c r="X50" s="5">
        <v>100</v>
      </c>
      <c r="Y50" s="5">
        <v>29.06</v>
      </c>
      <c r="Z50" s="5">
        <v>0</v>
      </c>
      <c r="AA50" s="5">
        <v>0</v>
      </c>
      <c r="AB50" s="4" t="s">
        <v>175</v>
      </c>
      <c r="AC50" s="4" t="s">
        <v>46</v>
      </c>
      <c r="AD50" s="5">
        <v>0</v>
      </c>
      <c r="AE50" s="4" t="s">
        <v>176</v>
      </c>
      <c r="AF50" s="3">
        <v>45870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46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45903</v>
      </c>
      <c r="C51" s="4" t="s">
        <v>203</v>
      </c>
      <c r="D51" s="2">
        <v>1875462</v>
      </c>
      <c r="E51" s="4" t="s">
        <v>208</v>
      </c>
      <c r="F51" s="4" t="s">
        <v>209</v>
      </c>
      <c r="G51" s="4" t="s">
        <v>46</v>
      </c>
      <c r="H51" s="4" t="s">
        <v>46</v>
      </c>
      <c r="I51" s="4" t="s">
        <v>46</v>
      </c>
      <c r="J51" s="4" t="s">
        <v>158</v>
      </c>
      <c r="K51" s="4" t="s">
        <v>48</v>
      </c>
      <c r="L51" s="3">
        <v>45901</v>
      </c>
      <c r="M51" s="4" t="s">
        <v>58</v>
      </c>
      <c r="N51" s="4" t="s">
        <v>46</v>
      </c>
      <c r="O51" s="4" t="s">
        <v>50</v>
      </c>
      <c r="P51" s="4" t="s">
        <v>135</v>
      </c>
      <c r="Q51" s="2">
        <v>1</v>
      </c>
      <c r="R51" s="2">
        <v>17</v>
      </c>
      <c r="S51" s="4" t="s">
        <v>51</v>
      </c>
      <c r="T51" s="4" t="s">
        <v>46</v>
      </c>
      <c r="U51" s="4" t="s">
        <v>46</v>
      </c>
      <c r="V51" s="5">
        <v>26</v>
      </c>
      <c r="W51" s="5">
        <v>1166.28</v>
      </c>
      <c r="X51" s="5">
        <v>100</v>
      </c>
      <c r="Y51" s="5">
        <v>303.24</v>
      </c>
      <c r="Z51" s="5">
        <v>0</v>
      </c>
      <c r="AA51" s="5">
        <v>0</v>
      </c>
      <c r="AB51" s="4" t="s">
        <v>210</v>
      </c>
      <c r="AC51" s="4" t="s">
        <v>46</v>
      </c>
      <c r="AD51" s="5">
        <v>0</v>
      </c>
      <c r="AE51" s="4" t="s">
        <v>211</v>
      </c>
      <c r="AF51" s="3">
        <v>45901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46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45903</v>
      </c>
      <c r="C52" s="4" t="s">
        <v>203</v>
      </c>
      <c r="D52" s="2">
        <v>1875462</v>
      </c>
      <c r="E52" s="4" t="s">
        <v>212</v>
      </c>
      <c r="F52" s="4" t="s">
        <v>213</v>
      </c>
      <c r="G52" s="4" t="s">
        <v>46</v>
      </c>
      <c r="H52" s="4" t="s">
        <v>46</v>
      </c>
      <c r="I52" s="4" t="s">
        <v>46</v>
      </c>
      <c r="J52" s="4" t="s">
        <v>133</v>
      </c>
      <c r="K52" s="4" t="s">
        <v>134</v>
      </c>
      <c r="L52" s="3">
        <v>45901</v>
      </c>
      <c r="M52" s="4" t="s">
        <v>58</v>
      </c>
      <c r="N52" s="4" t="s">
        <v>46</v>
      </c>
      <c r="O52" s="4" t="s">
        <v>50</v>
      </c>
      <c r="P52" s="4" t="s">
        <v>135</v>
      </c>
      <c r="Q52" s="2">
        <v>2</v>
      </c>
      <c r="R52" s="2">
        <v>60</v>
      </c>
      <c r="S52" s="4" t="s">
        <v>140</v>
      </c>
      <c r="T52" s="4" t="s">
        <v>46</v>
      </c>
      <c r="U52" s="4" t="s">
        <v>46</v>
      </c>
      <c r="V52" s="5">
        <v>10</v>
      </c>
      <c r="W52" s="5">
        <v>23.99</v>
      </c>
      <c r="X52" s="5">
        <v>100</v>
      </c>
      <c r="Y52" s="5">
        <v>37.4</v>
      </c>
      <c r="Z52" s="4" t="s">
        <v>46</v>
      </c>
      <c r="AA52" s="5" t="s">
        <v>46</v>
      </c>
      <c r="AB52" s="4" t="s">
        <v>137</v>
      </c>
      <c r="AC52" s="4" t="s">
        <v>46</v>
      </c>
      <c r="AD52" s="5">
        <v>0</v>
      </c>
      <c r="AE52" s="4" t="s">
        <v>138</v>
      </c>
      <c r="AF52" s="3">
        <v>45902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46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45903</v>
      </c>
      <c r="C53" s="4" t="s">
        <v>203</v>
      </c>
      <c r="D53" s="2">
        <v>1875462</v>
      </c>
      <c r="E53" s="4" t="s">
        <v>212</v>
      </c>
      <c r="F53" s="4" t="s">
        <v>214</v>
      </c>
      <c r="G53" s="4" t="s">
        <v>46</v>
      </c>
      <c r="H53" s="4" t="s">
        <v>46</v>
      </c>
      <c r="I53" s="4" t="s">
        <v>46</v>
      </c>
      <c r="J53" s="4" t="s">
        <v>133</v>
      </c>
      <c r="K53" s="4" t="s">
        <v>134</v>
      </c>
      <c r="L53" s="3">
        <v>45901</v>
      </c>
      <c r="M53" s="4" t="s">
        <v>58</v>
      </c>
      <c r="N53" s="4" t="s">
        <v>46</v>
      </c>
      <c r="O53" s="4" t="s">
        <v>50</v>
      </c>
      <c r="P53" s="4" t="s">
        <v>135</v>
      </c>
      <c r="Q53" s="2">
        <v>3</v>
      </c>
      <c r="R53" s="2">
        <v>3</v>
      </c>
      <c r="S53" s="4" t="s">
        <v>136</v>
      </c>
      <c r="T53" s="4" t="s">
        <v>46</v>
      </c>
      <c r="U53" s="4" t="s">
        <v>46</v>
      </c>
      <c r="V53" s="5">
        <v>10</v>
      </c>
      <c r="W53" s="5">
        <v>108.97</v>
      </c>
      <c r="X53" s="5">
        <v>100</v>
      </c>
      <c r="Y53" s="5">
        <v>45.9</v>
      </c>
      <c r="Z53" s="4" t="s">
        <v>46</v>
      </c>
      <c r="AA53" s="5" t="s">
        <v>46</v>
      </c>
      <c r="AB53" s="4" t="s">
        <v>137</v>
      </c>
      <c r="AC53" s="4" t="s">
        <v>46</v>
      </c>
      <c r="AD53" s="5">
        <v>0</v>
      </c>
      <c r="AE53" s="4" t="s">
        <v>138</v>
      </c>
      <c r="AF53" s="3">
        <v>45902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46</v>
      </c>
      <c r="AO53" s="4" t="s">
        <v>46</v>
      </c>
      <c r="AP53" s="4" t="s">
        <v>46</v>
      </c>
    </row>
    <row r="54" spans="1:42" s="15" customFormat="1" x14ac:dyDescent="0.2">
      <c r="A54" s="12">
        <v>1891456</v>
      </c>
      <c r="B54" s="13">
        <v>45903</v>
      </c>
      <c r="C54" s="11" t="s">
        <v>215</v>
      </c>
      <c r="D54" s="12">
        <v>1982315</v>
      </c>
      <c r="E54" s="11" t="s">
        <v>216</v>
      </c>
      <c r="F54" s="11" t="s">
        <v>217</v>
      </c>
      <c r="G54" s="11" t="s">
        <v>46</v>
      </c>
      <c r="H54" s="11" t="s">
        <v>46</v>
      </c>
      <c r="I54" s="11" t="s">
        <v>46</v>
      </c>
      <c r="J54" s="11" t="s">
        <v>158</v>
      </c>
      <c r="K54" s="11" t="s">
        <v>48</v>
      </c>
      <c r="L54" s="13">
        <v>45901</v>
      </c>
      <c r="M54" s="11" t="s">
        <v>58</v>
      </c>
      <c r="N54" s="11" t="s">
        <v>46</v>
      </c>
      <c r="O54" s="11" t="s">
        <v>50</v>
      </c>
      <c r="P54" s="11" t="s">
        <v>135</v>
      </c>
      <c r="Q54" s="12">
        <v>1</v>
      </c>
      <c r="R54" s="12">
        <v>17</v>
      </c>
      <c r="S54" s="11" t="s">
        <v>51</v>
      </c>
      <c r="T54" s="11" t="s">
        <v>46</v>
      </c>
      <c r="U54" s="11" t="s">
        <v>46</v>
      </c>
      <c r="V54" s="14">
        <v>22</v>
      </c>
      <c r="W54" s="14">
        <v>132.11000000000001</v>
      </c>
      <c r="X54" s="14">
        <v>100</v>
      </c>
      <c r="Y54" s="14">
        <v>29.06</v>
      </c>
      <c r="Z54" s="14">
        <v>0</v>
      </c>
      <c r="AA54" s="14">
        <v>0</v>
      </c>
      <c r="AB54" s="11" t="s">
        <v>175</v>
      </c>
      <c r="AC54" s="11" t="s">
        <v>46</v>
      </c>
      <c r="AD54" s="14">
        <v>0</v>
      </c>
      <c r="AE54" s="11" t="s">
        <v>176</v>
      </c>
      <c r="AF54" s="13">
        <v>45870</v>
      </c>
      <c r="AG54" s="11" t="s">
        <v>46</v>
      </c>
      <c r="AH54" s="11" t="s">
        <v>46</v>
      </c>
      <c r="AI54" s="11" t="s">
        <v>46</v>
      </c>
      <c r="AJ54" s="11" t="s">
        <v>46</v>
      </c>
      <c r="AK54" s="11" t="s">
        <v>46</v>
      </c>
      <c r="AL54" s="11" t="s">
        <v>46</v>
      </c>
      <c r="AM54" s="11" t="s">
        <v>46</v>
      </c>
      <c r="AN54" s="11" t="s">
        <v>46</v>
      </c>
      <c r="AO54" s="11" t="s">
        <v>46</v>
      </c>
      <c r="AP54" s="11" t="s">
        <v>46</v>
      </c>
    </row>
    <row r="55" spans="1:42" x14ac:dyDescent="0.2">
      <c r="A55" s="2">
        <v>1891456</v>
      </c>
      <c r="B55" s="3">
        <v>45903</v>
      </c>
      <c r="C55" s="4" t="s">
        <v>215</v>
      </c>
      <c r="D55" s="2">
        <v>1982315</v>
      </c>
      <c r="E55" s="4" t="s">
        <v>218</v>
      </c>
      <c r="F55" s="4" t="s">
        <v>219</v>
      </c>
      <c r="G55" s="4" t="s">
        <v>46</v>
      </c>
      <c r="H55" s="4" t="s">
        <v>46</v>
      </c>
      <c r="I55" s="4" t="s">
        <v>46</v>
      </c>
      <c r="J55" s="4" t="s">
        <v>158</v>
      </c>
      <c r="K55" s="4" t="s">
        <v>48</v>
      </c>
      <c r="L55" s="3">
        <v>45901</v>
      </c>
      <c r="M55" s="4" t="s">
        <v>58</v>
      </c>
      <c r="N55" s="4" t="s">
        <v>46</v>
      </c>
      <c r="O55" s="4" t="s">
        <v>50</v>
      </c>
      <c r="P55" s="4" t="s">
        <v>135</v>
      </c>
      <c r="Q55" s="2">
        <v>1</v>
      </c>
      <c r="R55" s="2">
        <v>17</v>
      </c>
      <c r="S55" s="4" t="s">
        <v>51</v>
      </c>
      <c r="T55" s="4" t="s">
        <v>46</v>
      </c>
      <c r="U55" s="4" t="s">
        <v>46</v>
      </c>
      <c r="V55" s="5">
        <v>22</v>
      </c>
      <c r="W55" s="5">
        <v>132.11000000000001</v>
      </c>
      <c r="X55" s="5">
        <v>100</v>
      </c>
      <c r="Y55" s="5">
        <v>29.06</v>
      </c>
      <c r="Z55" s="5">
        <v>0</v>
      </c>
      <c r="AA55" s="5">
        <v>0</v>
      </c>
      <c r="AB55" s="4" t="s">
        <v>175</v>
      </c>
      <c r="AC55" s="4" t="s">
        <v>46</v>
      </c>
      <c r="AD55" s="5">
        <v>0</v>
      </c>
      <c r="AE55" s="4" t="s">
        <v>176</v>
      </c>
      <c r="AF55" s="3">
        <v>45870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46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45903</v>
      </c>
      <c r="C56" s="4" t="s">
        <v>215</v>
      </c>
      <c r="D56" s="2">
        <v>1982315</v>
      </c>
      <c r="E56" s="4" t="s">
        <v>220</v>
      </c>
      <c r="F56" s="4" t="s">
        <v>221</v>
      </c>
      <c r="G56" s="4" t="s">
        <v>46</v>
      </c>
      <c r="H56" s="4" t="s">
        <v>46</v>
      </c>
      <c r="I56" s="4" t="s">
        <v>46</v>
      </c>
      <c r="J56" s="4" t="s">
        <v>158</v>
      </c>
      <c r="K56" s="4" t="s">
        <v>48</v>
      </c>
      <c r="L56" s="3">
        <v>45901</v>
      </c>
      <c r="M56" s="4" t="s">
        <v>58</v>
      </c>
      <c r="N56" s="4" t="s">
        <v>46</v>
      </c>
      <c r="O56" s="4" t="s">
        <v>50</v>
      </c>
      <c r="P56" s="4" t="s">
        <v>135</v>
      </c>
      <c r="Q56" s="2">
        <v>1</v>
      </c>
      <c r="R56" s="2">
        <v>17</v>
      </c>
      <c r="S56" s="4" t="s">
        <v>51</v>
      </c>
      <c r="T56" s="4" t="s">
        <v>46</v>
      </c>
      <c r="U56" s="4" t="s">
        <v>46</v>
      </c>
      <c r="V56" s="5">
        <v>22</v>
      </c>
      <c r="W56" s="5">
        <v>112.62</v>
      </c>
      <c r="X56" s="5">
        <v>100</v>
      </c>
      <c r="Y56" s="5">
        <v>24.78</v>
      </c>
      <c r="Z56" s="5">
        <v>0</v>
      </c>
      <c r="AA56" s="5">
        <v>0</v>
      </c>
      <c r="AB56" s="4" t="s">
        <v>175</v>
      </c>
      <c r="AC56" s="4" t="s">
        <v>46</v>
      </c>
      <c r="AD56" s="5">
        <v>0</v>
      </c>
      <c r="AE56" s="4" t="s">
        <v>176</v>
      </c>
      <c r="AF56" s="3">
        <v>45870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46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45903</v>
      </c>
      <c r="C57" s="4" t="s">
        <v>215</v>
      </c>
      <c r="D57" s="2">
        <v>1982315</v>
      </c>
      <c r="E57" s="4" t="s">
        <v>222</v>
      </c>
      <c r="F57" s="4" t="s">
        <v>223</v>
      </c>
      <c r="G57" s="4" t="s">
        <v>46</v>
      </c>
      <c r="H57" s="4" t="s">
        <v>46</v>
      </c>
      <c r="I57" s="4" t="s">
        <v>46</v>
      </c>
      <c r="J57" s="4" t="s">
        <v>158</v>
      </c>
      <c r="K57" s="4" t="s">
        <v>48</v>
      </c>
      <c r="L57" s="3">
        <v>45901</v>
      </c>
      <c r="M57" s="4" t="s">
        <v>58</v>
      </c>
      <c r="N57" s="4" t="s">
        <v>46</v>
      </c>
      <c r="O57" s="4" t="s">
        <v>50</v>
      </c>
      <c r="P57" s="4" t="s">
        <v>135</v>
      </c>
      <c r="Q57" s="2">
        <v>1</v>
      </c>
      <c r="R57" s="2">
        <v>17</v>
      </c>
      <c r="S57" s="4" t="s">
        <v>51</v>
      </c>
      <c r="T57" s="4" t="s">
        <v>46</v>
      </c>
      <c r="U57" s="4" t="s">
        <v>46</v>
      </c>
      <c r="V57" s="5">
        <v>22</v>
      </c>
      <c r="W57" s="5">
        <v>2095.1999999999998</v>
      </c>
      <c r="X57" s="5">
        <v>100</v>
      </c>
      <c r="Y57" s="5">
        <v>460.92</v>
      </c>
      <c r="Z57" s="5">
        <v>0</v>
      </c>
      <c r="AA57" s="5">
        <v>0</v>
      </c>
      <c r="AB57" s="4" t="s">
        <v>210</v>
      </c>
      <c r="AC57" s="4" t="s">
        <v>46</v>
      </c>
      <c r="AD57" s="5">
        <v>0</v>
      </c>
      <c r="AE57" s="4" t="s">
        <v>211</v>
      </c>
      <c r="AF57" s="3">
        <v>45901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46</v>
      </c>
      <c r="AO57" s="4" t="s">
        <v>46</v>
      </c>
      <c r="AP57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7A04-AD16-4A6F-9D45-D36C710A0ED9}">
  <dimension ref="A1:BC57"/>
  <sheetViews>
    <sheetView topLeftCell="A21" workbookViewId="0">
      <selection activeCell="O2" sqref="O2:O52"/>
    </sheetView>
  </sheetViews>
  <sheetFormatPr defaultRowHeight="12.75" x14ac:dyDescent="0.2"/>
  <cols>
    <col min="1" max="1" width="24.7109375" bestFit="1" customWidth="1"/>
    <col min="2" max="2" width="13.7109375" customWidth="1"/>
    <col min="3" max="3" width="28.5703125" bestFit="1" customWidth="1"/>
    <col min="4" max="4" width="13.42578125" bestFit="1" customWidth="1"/>
    <col min="5" max="6" width="11.42578125" bestFit="1" customWidth="1"/>
    <col min="7" max="8" width="15.28515625" bestFit="1" customWidth="1"/>
    <col min="9" max="9" width="13.7109375" bestFit="1" customWidth="1"/>
    <col min="10" max="10" width="9.5703125" bestFit="1" customWidth="1"/>
    <col min="11" max="11" width="15.28515625" bestFit="1" customWidth="1"/>
    <col min="12" max="12" width="11.42578125" bestFit="1" customWidth="1"/>
    <col min="13" max="13" width="13.7109375" bestFit="1" customWidth="1"/>
    <col min="14" max="14" width="53.140625" bestFit="1" customWidth="1"/>
    <col min="15" max="15" width="21.5703125" bestFit="1" customWidth="1"/>
    <col min="18" max="18" width="13.42578125" bestFit="1" customWidth="1"/>
    <col min="19" max="19" width="17.28515625" customWidth="1"/>
    <col min="20" max="20" width="17.42578125" customWidth="1"/>
    <col min="21" max="21" width="14.140625" bestFit="1" customWidth="1"/>
    <col min="22" max="22" width="10.7109375" bestFit="1" customWidth="1"/>
  </cols>
  <sheetData>
    <row r="1" spans="1:22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22" x14ac:dyDescent="0.2">
      <c r="A2" s="4" t="s">
        <v>96</v>
      </c>
      <c r="B2" s="31" t="s">
        <v>326</v>
      </c>
      <c r="C2" s="4" t="s">
        <v>97</v>
      </c>
      <c r="D2" s="4" t="s">
        <v>98</v>
      </c>
      <c r="E2" s="3">
        <v>45931</v>
      </c>
      <c r="F2" s="4" t="s">
        <v>65</v>
      </c>
      <c r="G2" s="4" t="s">
        <v>51</v>
      </c>
      <c r="H2" s="4" t="s">
        <v>52</v>
      </c>
      <c r="I2" s="5">
        <v>0.25</v>
      </c>
      <c r="J2" s="5">
        <v>1</v>
      </c>
      <c r="K2" s="5">
        <v>88.25</v>
      </c>
      <c r="L2" s="4" t="s">
        <v>56</v>
      </c>
      <c r="M2" s="3">
        <v>45931</v>
      </c>
      <c r="N2" t="s">
        <v>235</v>
      </c>
      <c r="O2" s="30" t="s">
        <v>234</v>
      </c>
      <c r="Q2">
        <f>353/12*3</f>
        <v>88.25</v>
      </c>
      <c r="R2" s="4" t="s">
        <v>98</v>
      </c>
      <c r="S2" t="str">
        <f>CONCATENATE(R2,6)</f>
        <v>00023592407K6</v>
      </c>
      <c r="T2" s="4" t="s">
        <v>262</v>
      </c>
      <c r="U2" t="s">
        <v>263</v>
      </c>
      <c r="V2" t="str">
        <f t="shared" ref="V2:V30" si="0">CONCATENATE(U2, " ",T2)</f>
        <v>JOYCE MENDENHALL</v>
      </c>
    </row>
    <row r="3" spans="1:22" s="25" customFormat="1" x14ac:dyDescent="0.2">
      <c r="A3" s="21" t="s">
        <v>189</v>
      </c>
      <c r="B3" s="22">
        <v>18828278</v>
      </c>
      <c r="C3" s="21" t="s">
        <v>190</v>
      </c>
      <c r="D3" s="21" t="s">
        <v>191</v>
      </c>
      <c r="E3" s="23">
        <v>45901</v>
      </c>
      <c r="F3" s="21" t="s">
        <v>58</v>
      </c>
      <c r="G3" s="21" t="s">
        <v>51</v>
      </c>
      <c r="H3" s="21" t="s">
        <v>46</v>
      </c>
      <c r="I3" s="24">
        <v>22</v>
      </c>
      <c r="J3" s="24">
        <v>1876.56</v>
      </c>
      <c r="K3" s="24">
        <v>412.8</v>
      </c>
      <c r="L3" s="21" t="s">
        <v>164</v>
      </c>
      <c r="M3" s="23">
        <v>45901</v>
      </c>
      <c r="N3" s="25" t="s">
        <v>225</v>
      </c>
      <c r="R3" s="21" t="s">
        <v>191</v>
      </c>
      <c r="S3" s="25" t="str">
        <f t="shared" ref="S3:S21" si="1">CONCATENATE(R3,8)</f>
        <v>00001016680A8</v>
      </c>
      <c r="T3" s="21" t="s">
        <v>292</v>
      </c>
      <c r="U3" s="25" t="s">
        <v>247</v>
      </c>
      <c r="V3" s="25" t="str">
        <f t="shared" si="0"/>
        <v>KATHLEEN KING</v>
      </c>
    </row>
    <row r="4" spans="1:22" s="25" customFormat="1" x14ac:dyDescent="0.2">
      <c r="A4" s="21" t="s">
        <v>189</v>
      </c>
      <c r="B4" s="22">
        <v>18828278</v>
      </c>
      <c r="C4" s="21" t="s">
        <v>192</v>
      </c>
      <c r="D4" s="21" t="s">
        <v>193</v>
      </c>
      <c r="E4" s="23">
        <v>45901</v>
      </c>
      <c r="F4" s="21" t="s">
        <v>58</v>
      </c>
      <c r="G4" s="21" t="s">
        <v>51</v>
      </c>
      <c r="H4" s="21" t="s">
        <v>46</v>
      </c>
      <c r="I4" s="24">
        <v>22</v>
      </c>
      <c r="J4" s="24">
        <v>1863.24</v>
      </c>
      <c r="K4" s="24">
        <v>409.92</v>
      </c>
      <c r="L4" s="21" t="s">
        <v>164</v>
      </c>
      <c r="M4" s="23">
        <v>45901</v>
      </c>
      <c r="N4" s="25" t="s">
        <v>225</v>
      </c>
      <c r="R4" s="21" t="s">
        <v>193</v>
      </c>
      <c r="S4" s="25" t="str">
        <f t="shared" si="1"/>
        <v>00001024152A8</v>
      </c>
      <c r="T4" s="21" t="s">
        <v>293</v>
      </c>
      <c r="U4" s="25" t="s">
        <v>294</v>
      </c>
      <c r="V4" s="25" t="str">
        <f t="shared" si="0"/>
        <v>JOHN PETERSON</v>
      </c>
    </row>
    <row r="5" spans="1:22" s="25" customFormat="1" x14ac:dyDescent="0.2">
      <c r="A5" s="21" t="s">
        <v>189</v>
      </c>
      <c r="B5" s="22">
        <v>18828278</v>
      </c>
      <c r="C5" s="21" t="s">
        <v>194</v>
      </c>
      <c r="D5" s="21" t="s">
        <v>195</v>
      </c>
      <c r="E5" s="23">
        <v>45901</v>
      </c>
      <c r="F5" s="21" t="s">
        <v>58</v>
      </c>
      <c r="G5" s="21" t="s">
        <v>51</v>
      </c>
      <c r="H5" s="21" t="s">
        <v>46</v>
      </c>
      <c r="I5" s="24">
        <v>22</v>
      </c>
      <c r="J5" s="24">
        <v>227.48</v>
      </c>
      <c r="K5" s="24">
        <v>50.05</v>
      </c>
      <c r="L5" s="21" t="s">
        <v>56</v>
      </c>
      <c r="M5" s="23">
        <v>45870</v>
      </c>
      <c r="N5" s="25" t="s">
        <v>225</v>
      </c>
      <c r="R5" s="21" t="s">
        <v>195</v>
      </c>
      <c r="S5" s="25" t="str">
        <f t="shared" si="1"/>
        <v>00001028834A8</v>
      </c>
      <c r="T5" s="21" t="s">
        <v>295</v>
      </c>
      <c r="U5" s="25" t="s">
        <v>294</v>
      </c>
      <c r="V5" s="25" t="str">
        <f t="shared" si="0"/>
        <v>JOHN FISH</v>
      </c>
    </row>
    <row r="6" spans="1:22" s="25" customFormat="1" x14ac:dyDescent="0.2">
      <c r="A6" s="21" t="s">
        <v>96</v>
      </c>
      <c r="B6" s="29" t="s">
        <v>326</v>
      </c>
      <c r="C6" s="21" t="s">
        <v>173</v>
      </c>
      <c r="D6" s="21" t="s">
        <v>174</v>
      </c>
      <c r="E6" s="23">
        <v>45901</v>
      </c>
      <c r="F6" s="21" t="s">
        <v>58</v>
      </c>
      <c r="G6" s="21" t="s">
        <v>51</v>
      </c>
      <c r="H6" s="21" t="s">
        <v>46</v>
      </c>
      <c r="I6" s="24">
        <v>22</v>
      </c>
      <c r="J6" s="24">
        <v>138.55000000000001</v>
      </c>
      <c r="K6" s="24">
        <v>30.48</v>
      </c>
      <c r="L6" s="21" t="s">
        <v>175</v>
      </c>
      <c r="M6" s="23">
        <v>45870</v>
      </c>
      <c r="N6" s="25" t="s">
        <v>225</v>
      </c>
      <c r="R6" s="21" t="s">
        <v>174</v>
      </c>
      <c r="S6" s="25" t="str">
        <f t="shared" si="1"/>
        <v>00001023120A8</v>
      </c>
      <c r="T6" s="21" t="s">
        <v>286</v>
      </c>
      <c r="U6" s="25" t="s">
        <v>287</v>
      </c>
      <c r="V6" s="25" t="str">
        <f t="shared" si="0"/>
        <v>BRIAN KOTFIS</v>
      </c>
    </row>
    <row r="7" spans="1:22" s="25" customFormat="1" x14ac:dyDescent="0.2">
      <c r="A7" s="21" t="s">
        <v>203</v>
      </c>
      <c r="B7" s="22">
        <v>19278370</v>
      </c>
      <c r="C7" s="21" t="s">
        <v>204</v>
      </c>
      <c r="D7" s="21" t="s">
        <v>205</v>
      </c>
      <c r="E7" s="23">
        <v>45901</v>
      </c>
      <c r="F7" s="21" t="s">
        <v>58</v>
      </c>
      <c r="G7" s="21" t="s">
        <v>51</v>
      </c>
      <c r="H7" s="21" t="s">
        <v>46</v>
      </c>
      <c r="I7" s="24">
        <v>22</v>
      </c>
      <c r="J7" s="24">
        <v>149.07</v>
      </c>
      <c r="K7" s="24">
        <v>32.799999999999997</v>
      </c>
      <c r="L7" s="21" t="s">
        <v>175</v>
      </c>
      <c r="M7" s="23">
        <v>45870</v>
      </c>
      <c r="N7" s="25" t="s">
        <v>225</v>
      </c>
      <c r="R7" s="21" t="s">
        <v>205</v>
      </c>
      <c r="S7" s="25" t="str">
        <f t="shared" si="1"/>
        <v>00001022023A8</v>
      </c>
      <c r="T7" s="21" t="s">
        <v>296</v>
      </c>
      <c r="U7" s="25" t="s">
        <v>297</v>
      </c>
      <c r="V7" s="25" t="str">
        <f t="shared" si="0"/>
        <v>THOMAS DOYLE</v>
      </c>
    </row>
    <row r="8" spans="1:22" s="25" customFormat="1" x14ac:dyDescent="0.2">
      <c r="A8" s="21" t="s">
        <v>203</v>
      </c>
      <c r="B8" s="22">
        <v>19278370</v>
      </c>
      <c r="C8" s="21" t="s">
        <v>206</v>
      </c>
      <c r="D8" s="21" t="s">
        <v>207</v>
      </c>
      <c r="E8" s="23">
        <v>45901</v>
      </c>
      <c r="F8" s="21" t="s">
        <v>58</v>
      </c>
      <c r="G8" s="21" t="s">
        <v>51</v>
      </c>
      <c r="H8" s="21" t="s">
        <v>46</v>
      </c>
      <c r="I8" s="24">
        <v>22</v>
      </c>
      <c r="J8" s="24">
        <v>132.11000000000001</v>
      </c>
      <c r="K8" s="24">
        <v>29.06</v>
      </c>
      <c r="L8" s="21" t="s">
        <v>175</v>
      </c>
      <c r="M8" s="23">
        <v>45870</v>
      </c>
      <c r="N8" s="25" t="s">
        <v>225</v>
      </c>
      <c r="R8" s="21" t="s">
        <v>207</v>
      </c>
      <c r="S8" s="25" t="str">
        <f t="shared" si="1"/>
        <v>00001022473A8</v>
      </c>
      <c r="T8" s="21" t="s">
        <v>298</v>
      </c>
      <c r="U8" s="25" t="s">
        <v>299</v>
      </c>
      <c r="V8" s="25" t="str">
        <f t="shared" si="0"/>
        <v>PAMELA JARDINE</v>
      </c>
    </row>
    <row r="9" spans="1:22" s="25" customFormat="1" x14ac:dyDescent="0.2">
      <c r="A9" s="21" t="s">
        <v>184</v>
      </c>
      <c r="B9" s="22">
        <v>5442438</v>
      </c>
      <c r="C9" s="21" t="s">
        <v>185</v>
      </c>
      <c r="D9" s="21" t="s">
        <v>186</v>
      </c>
      <c r="E9" s="23">
        <v>45901</v>
      </c>
      <c r="F9" s="21" t="s">
        <v>58</v>
      </c>
      <c r="G9" s="21" t="s">
        <v>51</v>
      </c>
      <c r="H9" s="21" t="s">
        <v>46</v>
      </c>
      <c r="I9" s="24">
        <v>22</v>
      </c>
      <c r="J9" s="24">
        <v>2111.2800000000002</v>
      </c>
      <c r="K9" s="24">
        <v>464.52</v>
      </c>
      <c r="L9" s="21" t="s">
        <v>164</v>
      </c>
      <c r="M9" s="23">
        <v>45901</v>
      </c>
      <c r="N9" s="25" t="s">
        <v>225</v>
      </c>
      <c r="R9" s="21" t="s">
        <v>186</v>
      </c>
      <c r="S9" s="25" t="str">
        <f t="shared" si="1"/>
        <v>00001036424A8</v>
      </c>
      <c r="T9" s="21" t="s">
        <v>288</v>
      </c>
      <c r="U9" s="25" t="s">
        <v>289</v>
      </c>
      <c r="V9" s="25" t="str">
        <f t="shared" si="0"/>
        <v>ANTHONY ZAIKO</v>
      </c>
    </row>
    <row r="10" spans="1:22" s="25" customFormat="1" x14ac:dyDescent="0.2">
      <c r="A10" s="21" t="s">
        <v>184</v>
      </c>
      <c r="B10" s="22">
        <v>5442438</v>
      </c>
      <c r="C10" s="21" t="s">
        <v>187</v>
      </c>
      <c r="D10" s="21" t="s">
        <v>188</v>
      </c>
      <c r="E10" s="23">
        <v>45901</v>
      </c>
      <c r="F10" s="21" t="s">
        <v>58</v>
      </c>
      <c r="G10" s="21" t="s">
        <v>51</v>
      </c>
      <c r="H10" s="21" t="s">
        <v>46</v>
      </c>
      <c r="I10" s="24">
        <v>22</v>
      </c>
      <c r="J10" s="24">
        <v>1830.84</v>
      </c>
      <c r="K10" s="24">
        <v>402.84</v>
      </c>
      <c r="L10" s="21" t="s">
        <v>164</v>
      </c>
      <c r="M10" s="23">
        <v>45901</v>
      </c>
      <c r="N10" s="25" t="s">
        <v>225</v>
      </c>
      <c r="R10" s="21" t="s">
        <v>188</v>
      </c>
      <c r="S10" s="25" t="str">
        <f t="shared" si="1"/>
        <v>00001038222A8</v>
      </c>
      <c r="T10" s="21" t="s">
        <v>290</v>
      </c>
      <c r="U10" s="25" t="s">
        <v>291</v>
      </c>
      <c r="V10" s="25" t="str">
        <f t="shared" si="0"/>
        <v>JAMES DEJARNETTE</v>
      </c>
    </row>
    <row r="11" spans="1:22" s="25" customFormat="1" x14ac:dyDescent="0.2">
      <c r="A11" s="21" t="s">
        <v>161</v>
      </c>
      <c r="B11" s="22">
        <v>9079571</v>
      </c>
      <c r="C11" s="21" t="s">
        <v>162</v>
      </c>
      <c r="D11" s="21" t="s">
        <v>163</v>
      </c>
      <c r="E11" s="23">
        <v>45901</v>
      </c>
      <c r="F11" s="21" t="s">
        <v>58</v>
      </c>
      <c r="G11" s="21" t="s">
        <v>51</v>
      </c>
      <c r="H11" s="21" t="s">
        <v>46</v>
      </c>
      <c r="I11" s="24">
        <v>22</v>
      </c>
      <c r="J11" s="24">
        <v>1448.16</v>
      </c>
      <c r="K11" s="24">
        <v>318.60000000000002</v>
      </c>
      <c r="L11" s="21" t="s">
        <v>164</v>
      </c>
      <c r="M11" s="23">
        <v>45901</v>
      </c>
      <c r="N11" s="25" t="s">
        <v>225</v>
      </c>
      <c r="R11" s="21" t="s">
        <v>163</v>
      </c>
      <c r="S11" s="25" t="str">
        <f t="shared" si="1"/>
        <v>00001032969A8</v>
      </c>
      <c r="T11" s="21" t="s">
        <v>281</v>
      </c>
      <c r="U11" s="25" t="s">
        <v>282</v>
      </c>
      <c r="V11" s="25" t="str">
        <f t="shared" si="0"/>
        <v>CATHY HOFF</v>
      </c>
    </row>
    <row r="12" spans="1:22" s="25" customFormat="1" x14ac:dyDescent="0.2">
      <c r="A12" s="21" t="s">
        <v>161</v>
      </c>
      <c r="B12" s="22">
        <v>9079571</v>
      </c>
      <c r="C12" s="21" t="s">
        <v>166</v>
      </c>
      <c r="D12" s="21" t="s">
        <v>167</v>
      </c>
      <c r="E12" s="23">
        <v>45901</v>
      </c>
      <c r="F12" s="21" t="s">
        <v>58</v>
      </c>
      <c r="G12" s="21" t="s">
        <v>51</v>
      </c>
      <c r="H12" s="21" t="s">
        <v>46</v>
      </c>
      <c r="I12" s="24">
        <v>22</v>
      </c>
      <c r="J12" s="24">
        <v>2080.44</v>
      </c>
      <c r="K12" s="24">
        <v>457.68</v>
      </c>
      <c r="L12" s="21" t="s">
        <v>164</v>
      </c>
      <c r="M12" s="23">
        <v>45901</v>
      </c>
      <c r="N12" s="25" t="s">
        <v>225</v>
      </c>
      <c r="R12" s="21" t="s">
        <v>167</v>
      </c>
      <c r="S12" s="25" t="str">
        <f t="shared" si="1"/>
        <v>00001033765A8</v>
      </c>
      <c r="T12" s="21" t="s">
        <v>283</v>
      </c>
      <c r="U12" s="25" t="s">
        <v>284</v>
      </c>
      <c r="V12" s="25" t="str">
        <f t="shared" si="0"/>
        <v>CHARLES HOBBS</v>
      </c>
    </row>
    <row r="13" spans="1:22" s="25" customFormat="1" x14ac:dyDescent="0.2">
      <c r="A13" s="21" t="s">
        <v>161</v>
      </c>
      <c r="B13" s="22">
        <v>9079571</v>
      </c>
      <c r="C13" s="21" t="s">
        <v>168</v>
      </c>
      <c r="D13" s="21" t="s">
        <v>169</v>
      </c>
      <c r="E13" s="23">
        <v>45901</v>
      </c>
      <c r="F13" s="21" t="s">
        <v>58</v>
      </c>
      <c r="G13" s="21" t="s">
        <v>51</v>
      </c>
      <c r="H13" s="21" t="s">
        <v>46</v>
      </c>
      <c r="I13" s="24">
        <v>22</v>
      </c>
      <c r="J13" s="24">
        <v>1843.92</v>
      </c>
      <c r="K13" s="24">
        <v>405.72</v>
      </c>
      <c r="L13" s="21" t="s">
        <v>164</v>
      </c>
      <c r="M13" s="23">
        <v>45901</v>
      </c>
      <c r="N13" s="25" t="s">
        <v>225</v>
      </c>
      <c r="R13" s="21" t="s">
        <v>169</v>
      </c>
      <c r="S13" s="25" t="str">
        <f t="shared" si="1"/>
        <v>00001039348A8</v>
      </c>
      <c r="T13" s="21" t="s">
        <v>285</v>
      </c>
      <c r="U13" s="25" t="s">
        <v>263</v>
      </c>
      <c r="V13" s="25" t="str">
        <f t="shared" si="0"/>
        <v>JOYCE ELTRINGHAM</v>
      </c>
    </row>
    <row r="14" spans="1:22" s="25" customFormat="1" x14ac:dyDescent="0.2">
      <c r="A14" s="21" t="s">
        <v>215</v>
      </c>
      <c r="B14" s="22">
        <v>21618313</v>
      </c>
      <c r="C14" s="21" t="s">
        <v>216</v>
      </c>
      <c r="D14" s="21" t="s">
        <v>217</v>
      </c>
      <c r="E14" s="23">
        <v>45901</v>
      </c>
      <c r="F14" s="21" t="s">
        <v>58</v>
      </c>
      <c r="G14" s="21" t="s">
        <v>51</v>
      </c>
      <c r="H14" s="21" t="s">
        <v>46</v>
      </c>
      <c r="I14" s="24">
        <v>22</v>
      </c>
      <c r="J14" s="24">
        <v>132.11000000000001</v>
      </c>
      <c r="K14" s="24">
        <v>29.06</v>
      </c>
      <c r="L14" s="21" t="s">
        <v>175</v>
      </c>
      <c r="M14" s="23">
        <v>45870</v>
      </c>
      <c r="N14" s="25" t="s">
        <v>225</v>
      </c>
      <c r="R14" s="21" t="s">
        <v>217</v>
      </c>
      <c r="S14" s="25" t="str">
        <f t="shared" si="1"/>
        <v>00001023733A8</v>
      </c>
      <c r="T14" s="21" t="s">
        <v>300</v>
      </c>
      <c r="U14" s="25" t="s">
        <v>301</v>
      </c>
      <c r="V14" s="25" t="str">
        <f t="shared" si="0"/>
        <v>JOLENE BLONG</v>
      </c>
    </row>
    <row r="15" spans="1:22" s="25" customFormat="1" x14ac:dyDescent="0.2">
      <c r="A15" s="21" t="s">
        <v>215</v>
      </c>
      <c r="B15" s="22">
        <v>21618313</v>
      </c>
      <c r="C15" s="21" t="s">
        <v>218</v>
      </c>
      <c r="D15" s="21" t="s">
        <v>219</v>
      </c>
      <c r="E15" s="23">
        <v>45901</v>
      </c>
      <c r="F15" s="21" t="s">
        <v>58</v>
      </c>
      <c r="G15" s="21" t="s">
        <v>51</v>
      </c>
      <c r="H15" s="21" t="s">
        <v>46</v>
      </c>
      <c r="I15" s="24">
        <v>22</v>
      </c>
      <c r="J15" s="24">
        <v>132.11000000000001</v>
      </c>
      <c r="K15" s="24">
        <v>29.06</v>
      </c>
      <c r="L15" s="21" t="s">
        <v>175</v>
      </c>
      <c r="M15" s="23">
        <v>45870</v>
      </c>
      <c r="N15" s="25" t="s">
        <v>225</v>
      </c>
      <c r="R15" s="21" t="s">
        <v>219</v>
      </c>
      <c r="S15" s="25" t="str">
        <f t="shared" si="1"/>
        <v>00001024708A8</v>
      </c>
      <c r="T15" s="21" t="s">
        <v>302</v>
      </c>
      <c r="U15" s="25" t="s">
        <v>303</v>
      </c>
      <c r="V15" s="25" t="str">
        <f t="shared" si="0"/>
        <v>MARIA ZECCA</v>
      </c>
    </row>
    <row r="16" spans="1:22" s="25" customFormat="1" x14ac:dyDescent="0.2">
      <c r="A16" s="21" t="s">
        <v>215</v>
      </c>
      <c r="B16" s="22">
        <v>21618313</v>
      </c>
      <c r="C16" s="21" t="s">
        <v>220</v>
      </c>
      <c r="D16" s="21" t="s">
        <v>221</v>
      </c>
      <c r="E16" s="23">
        <v>45901</v>
      </c>
      <c r="F16" s="21" t="s">
        <v>58</v>
      </c>
      <c r="G16" s="21" t="s">
        <v>51</v>
      </c>
      <c r="H16" s="21" t="s">
        <v>46</v>
      </c>
      <c r="I16" s="24">
        <v>22</v>
      </c>
      <c r="J16" s="24">
        <v>112.62</v>
      </c>
      <c r="K16" s="24">
        <v>24.78</v>
      </c>
      <c r="L16" s="21" t="s">
        <v>175</v>
      </c>
      <c r="M16" s="23">
        <v>45870</v>
      </c>
      <c r="N16" s="25" t="s">
        <v>225</v>
      </c>
      <c r="R16" s="21" t="s">
        <v>221</v>
      </c>
      <c r="S16" s="25" t="str">
        <f t="shared" si="1"/>
        <v>00001028740A8</v>
      </c>
      <c r="T16" s="21" t="s">
        <v>304</v>
      </c>
      <c r="U16" s="25" t="s">
        <v>305</v>
      </c>
      <c r="V16" s="25" t="str">
        <f t="shared" si="0"/>
        <v>KAREN PAINTER</v>
      </c>
    </row>
    <row r="17" spans="1:55" s="25" customFormat="1" x14ac:dyDescent="0.2">
      <c r="A17" s="21" t="s">
        <v>215</v>
      </c>
      <c r="B17" s="22">
        <v>21618313</v>
      </c>
      <c r="C17" s="21" t="s">
        <v>222</v>
      </c>
      <c r="D17" s="21" t="s">
        <v>223</v>
      </c>
      <c r="E17" s="23">
        <v>45901</v>
      </c>
      <c r="F17" s="21" t="s">
        <v>58</v>
      </c>
      <c r="G17" s="21" t="s">
        <v>51</v>
      </c>
      <c r="H17" s="21" t="s">
        <v>46</v>
      </c>
      <c r="I17" s="24">
        <v>22</v>
      </c>
      <c r="J17" s="24">
        <v>2095.1999999999998</v>
      </c>
      <c r="K17" s="24">
        <v>460.92</v>
      </c>
      <c r="L17" s="21" t="s">
        <v>210</v>
      </c>
      <c r="M17" s="23">
        <v>45901</v>
      </c>
      <c r="N17" s="25" t="s">
        <v>225</v>
      </c>
      <c r="R17" s="21" t="s">
        <v>223</v>
      </c>
      <c r="S17" s="25" t="str">
        <f t="shared" si="1"/>
        <v>00001039786A8</v>
      </c>
      <c r="T17" s="21" t="s">
        <v>306</v>
      </c>
      <c r="U17" s="25" t="s">
        <v>307</v>
      </c>
      <c r="V17" s="25" t="str">
        <f t="shared" si="0"/>
        <v>LYNN DINTINO</v>
      </c>
    </row>
    <row r="18" spans="1:55" s="25" customFormat="1" x14ac:dyDescent="0.2">
      <c r="A18" s="21" t="s">
        <v>170</v>
      </c>
      <c r="B18" s="22">
        <v>16202925</v>
      </c>
      <c r="C18" s="21" t="s">
        <v>171</v>
      </c>
      <c r="D18" s="21" t="s">
        <v>172</v>
      </c>
      <c r="E18" s="23">
        <v>45901</v>
      </c>
      <c r="F18" s="21" t="s">
        <v>58</v>
      </c>
      <c r="G18" s="21" t="s">
        <v>51</v>
      </c>
      <c r="H18" s="21" t="s">
        <v>46</v>
      </c>
      <c r="I18" s="24">
        <v>3</v>
      </c>
      <c r="J18" s="24">
        <v>2435.4</v>
      </c>
      <c r="K18" s="24">
        <v>73.08</v>
      </c>
      <c r="L18" s="21" t="s">
        <v>164</v>
      </c>
      <c r="M18" s="23">
        <v>45901</v>
      </c>
      <c r="N18" s="25" t="s">
        <v>224</v>
      </c>
      <c r="R18" s="21" t="s">
        <v>172</v>
      </c>
      <c r="S18" s="25" t="str">
        <f t="shared" si="1"/>
        <v>00001038916A8</v>
      </c>
      <c r="T18" s="21" t="s">
        <v>279</v>
      </c>
      <c r="U18" s="25" t="s">
        <v>280</v>
      </c>
      <c r="V18" s="25" t="str">
        <f t="shared" si="0"/>
        <v>GLORIA POWELL</v>
      </c>
    </row>
    <row r="19" spans="1:55" s="25" customFormat="1" x14ac:dyDescent="0.2">
      <c r="A19" s="21" t="s">
        <v>101</v>
      </c>
      <c r="B19" s="22">
        <v>17774994</v>
      </c>
      <c r="C19" s="21" t="s">
        <v>179</v>
      </c>
      <c r="D19" s="21" t="s">
        <v>180</v>
      </c>
      <c r="E19" s="23">
        <v>45901</v>
      </c>
      <c r="F19" s="21" t="s">
        <v>58</v>
      </c>
      <c r="G19" s="21" t="s">
        <v>51</v>
      </c>
      <c r="H19" s="21" t="s">
        <v>46</v>
      </c>
      <c r="I19" s="24">
        <v>26</v>
      </c>
      <c r="J19" s="24">
        <v>113</v>
      </c>
      <c r="K19" s="24">
        <v>29.38</v>
      </c>
      <c r="L19" s="21" t="s">
        <v>159</v>
      </c>
      <c r="M19" s="23">
        <v>45352</v>
      </c>
      <c r="N19" s="25" t="s">
        <v>226</v>
      </c>
      <c r="R19" s="21" t="s">
        <v>180</v>
      </c>
      <c r="S19" s="25" t="str">
        <f t="shared" si="1"/>
        <v>00000817901A8</v>
      </c>
      <c r="T19" s="21" t="s">
        <v>310</v>
      </c>
      <c r="U19" s="25" t="s">
        <v>311</v>
      </c>
      <c r="V19" s="25" t="str">
        <f t="shared" si="0"/>
        <v>ESTEBAN CARBAJAL</v>
      </c>
    </row>
    <row r="20" spans="1:55" s="25" customFormat="1" x14ac:dyDescent="0.2">
      <c r="A20" s="21" t="s">
        <v>155</v>
      </c>
      <c r="B20" s="22">
        <v>15278437</v>
      </c>
      <c r="C20" s="21" t="s">
        <v>156</v>
      </c>
      <c r="D20" s="21" t="s">
        <v>157</v>
      </c>
      <c r="E20" s="23">
        <v>45901</v>
      </c>
      <c r="F20" s="21" t="s">
        <v>58</v>
      </c>
      <c r="G20" s="21" t="s">
        <v>51</v>
      </c>
      <c r="H20" s="21" t="s">
        <v>46</v>
      </c>
      <c r="I20" s="24">
        <v>26</v>
      </c>
      <c r="J20" s="24">
        <v>84.94</v>
      </c>
      <c r="K20" s="24">
        <v>22.08</v>
      </c>
      <c r="L20" s="21" t="s">
        <v>159</v>
      </c>
      <c r="M20" s="23">
        <v>45323</v>
      </c>
      <c r="N20" s="25" t="s">
        <v>226</v>
      </c>
      <c r="R20" s="21" t="s">
        <v>157</v>
      </c>
      <c r="S20" s="25" t="str">
        <f t="shared" si="1"/>
        <v>00000808018A8</v>
      </c>
      <c r="T20" s="21" t="s">
        <v>308</v>
      </c>
      <c r="U20" s="25" t="s">
        <v>309</v>
      </c>
      <c r="V20" s="25" t="str">
        <f t="shared" si="0"/>
        <v>NORMA KEPHART</v>
      </c>
    </row>
    <row r="21" spans="1:55" s="25" customFormat="1" x14ac:dyDescent="0.2">
      <c r="A21" s="21" t="s">
        <v>203</v>
      </c>
      <c r="B21" s="22">
        <v>19278370</v>
      </c>
      <c r="C21" s="21" t="s">
        <v>208</v>
      </c>
      <c r="D21" s="21" t="s">
        <v>209</v>
      </c>
      <c r="E21" s="23">
        <v>45901</v>
      </c>
      <c r="F21" s="21" t="s">
        <v>58</v>
      </c>
      <c r="G21" s="21" t="s">
        <v>51</v>
      </c>
      <c r="H21" s="21" t="s">
        <v>46</v>
      </c>
      <c r="I21" s="24">
        <v>26</v>
      </c>
      <c r="J21" s="24">
        <v>1166.28</v>
      </c>
      <c r="K21" s="24">
        <v>303.24</v>
      </c>
      <c r="L21" s="21" t="s">
        <v>210</v>
      </c>
      <c r="M21" s="23">
        <v>45901</v>
      </c>
      <c r="N21" s="25" t="s">
        <v>226</v>
      </c>
      <c r="R21" s="21" t="s">
        <v>209</v>
      </c>
      <c r="S21" s="25" t="str">
        <f t="shared" si="1"/>
        <v>00001039111A8</v>
      </c>
      <c r="T21" s="21" t="s">
        <v>312</v>
      </c>
      <c r="U21" s="25" t="s">
        <v>313</v>
      </c>
      <c r="V21" s="25" t="str">
        <f t="shared" si="0"/>
        <v>MARY PRAESENT</v>
      </c>
    </row>
    <row r="22" spans="1:55" s="15" customFormat="1" x14ac:dyDescent="0.2">
      <c r="A22" s="11" t="s">
        <v>69</v>
      </c>
      <c r="B22" s="12">
        <v>8244481</v>
      </c>
      <c r="C22" s="11" t="s">
        <v>131</v>
      </c>
      <c r="D22" s="26">
        <v>9029700250</v>
      </c>
      <c r="E22" s="13">
        <v>45931</v>
      </c>
      <c r="F22" s="11" t="s">
        <v>65</v>
      </c>
      <c r="G22" s="11" t="s">
        <v>136</v>
      </c>
      <c r="H22" s="11" t="s">
        <v>46</v>
      </c>
      <c r="I22" s="14">
        <v>10</v>
      </c>
      <c r="J22" s="14">
        <v>-52.78</v>
      </c>
      <c r="K22" s="14">
        <v>-5.28</v>
      </c>
      <c r="L22" s="11" t="s">
        <v>137</v>
      </c>
      <c r="M22" s="13">
        <v>45658</v>
      </c>
      <c r="N22" s="15" t="s">
        <v>227</v>
      </c>
      <c r="R22" s="26">
        <v>9029700250</v>
      </c>
      <c r="S22" s="15" t="str">
        <f t="shared" ref="S22:S30" si="2">CONCATENATE(R22,4)</f>
        <v>90297002504</v>
      </c>
      <c r="T22" s="11" t="s">
        <v>236</v>
      </c>
      <c r="U22" s="15" t="s">
        <v>237</v>
      </c>
      <c r="V22" s="15" t="str">
        <f t="shared" si="0"/>
        <v>Larry Taylor</v>
      </c>
    </row>
    <row r="23" spans="1:55" s="15" customFormat="1" x14ac:dyDescent="0.2">
      <c r="A23" s="11" t="s">
        <v>69</v>
      </c>
      <c r="B23" s="12">
        <v>8244481</v>
      </c>
      <c r="C23" s="11" t="s">
        <v>131</v>
      </c>
      <c r="D23" s="26">
        <v>9029700260</v>
      </c>
      <c r="E23" s="13">
        <v>45931</v>
      </c>
      <c r="F23" s="11" t="s">
        <v>65</v>
      </c>
      <c r="G23" s="11" t="s">
        <v>140</v>
      </c>
      <c r="H23" s="11" t="s">
        <v>46</v>
      </c>
      <c r="I23" s="14">
        <v>10</v>
      </c>
      <c r="J23" s="14">
        <v>-13.93</v>
      </c>
      <c r="K23" s="14">
        <v>-1.39</v>
      </c>
      <c r="L23" s="11" t="s">
        <v>137</v>
      </c>
      <c r="M23" s="13">
        <v>45658</v>
      </c>
      <c r="N23" s="15" t="s">
        <v>227</v>
      </c>
      <c r="R23" s="26">
        <v>9029700260</v>
      </c>
      <c r="S23" s="15" t="str">
        <f t="shared" si="2"/>
        <v>90297002604</v>
      </c>
      <c r="T23" s="11" t="s">
        <v>236</v>
      </c>
      <c r="U23" s="15" t="s">
        <v>237</v>
      </c>
      <c r="V23" s="15" t="str">
        <f t="shared" si="0"/>
        <v>Larry Taylor</v>
      </c>
    </row>
    <row r="24" spans="1:55" s="15" customFormat="1" x14ac:dyDescent="0.2">
      <c r="A24" s="11" t="s">
        <v>189</v>
      </c>
      <c r="B24" s="12">
        <v>18828278</v>
      </c>
      <c r="C24" s="11" t="s">
        <v>196</v>
      </c>
      <c r="D24" s="26">
        <v>9031050480</v>
      </c>
      <c r="E24" s="13">
        <v>45901</v>
      </c>
      <c r="F24" s="11" t="s">
        <v>58</v>
      </c>
      <c r="G24" s="11" t="s">
        <v>140</v>
      </c>
      <c r="H24" s="11" t="s">
        <v>46</v>
      </c>
      <c r="I24" s="14">
        <v>10</v>
      </c>
      <c r="J24" s="14">
        <v>364.9</v>
      </c>
      <c r="K24" s="14">
        <v>36.49</v>
      </c>
      <c r="L24" s="11" t="s">
        <v>137</v>
      </c>
      <c r="M24" s="13">
        <v>45908</v>
      </c>
      <c r="N24" s="15" t="s">
        <v>227</v>
      </c>
      <c r="R24" s="26">
        <v>9031050480</v>
      </c>
      <c r="S24" s="15" t="str">
        <f t="shared" si="2"/>
        <v>90310504804</v>
      </c>
      <c r="T24" s="11" t="s">
        <v>320</v>
      </c>
      <c r="U24" s="15" t="s">
        <v>321</v>
      </c>
      <c r="V24" s="15" t="str">
        <f t="shared" si="0"/>
        <v>Nichole Sleeper</v>
      </c>
    </row>
    <row r="25" spans="1:55" s="15" customFormat="1" x14ac:dyDescent="0.2">
      <c r="A25" s="11" t="s">
        <v>189</v>
      </c>
      <c r="B25" s="12">
        <v>18828278</v>
      </c>
      <c r="C25" s="11" t="s">
        <v>198</v>
      </c>
      <c r="D25" s="26">
        <v>9031076870</v>
      </c>
      <c r="E25" s="13">
        <v>45901</v>
      </c>
      <c r="F25" s="11" t="s">
        <v>58</v>
      </c>
      <c r="G25" s="11" t="s">
        <v>140</v>
      </c>
      <c r="H25" s="11" t="s">
        <v>46</v>
      </c>
      <c r="I25" s="14">
        <v>10</v>
      </c>
      <c r="J25" s="14">
        <v>376.9</v>
      </c>
      <c r="K25" s="14">
        <v>37.69</v>
      </c>
      <c r="L25" s="11" t="s">
        <v>137</v>
      </c>
      <c r="M25" s="13">
        <v>45901</v>
      </c>
      <c r="N25" s="15" t="s">
        <v>227</v>
      </c>
      <c r="R25" s="26">
        <v>9031076870</v>
      </c>
      <c r="S25" s="15" t="str">
        <f t="shared" si="2"/>
        <v>90310768704</v>
      </c>
      <c r="T25" s="11" t="s">
        <v>322</v>
      </c>
      <c r="U25" s="15" t="s">
        <v>323</v>
      </c>
      <c r="V25" s="15" t="str">
        <f t="shared" si="0"/>
        <v>James Trost</v>
      </c>
    </row>
    <row r="26" spans="1:55" s="15" customFormat="1" x14ac:dyDescent="0.2">
      <c r="A26" s="11" t="s">
        <v>189</v>
      </c>
      <c r="B26" s="12">
        <v>18828278</v>
      </c>
      <c r="C26" s="11" t="s">
        <v>200</v>
      </c>
      <c r="D26" s="26">
        <v>9031094580</v>
      </c>
      <c r="E26" s="13">
        <v>45962</v>
      </c>
      <c r="F26" s="11" t="s">
        <v>202</v>
      </c>
      <c r="G26" s="11" t="s">
        <v>140</v>
      </c>
      <c r="H26" s="11" t="s">
        <v>46</v>
      </c>
      <c r="I26" s="14">
        <v>10</v>
      </c>
      <c r="J26" s="14">
        <v>364.9</v>
      </c>
      <c r="K26" s="14">
        <v>36.49</v>
      </c>
      <c r="L26" s="11" t="s">
        <v>137</v>
      </c>
      <c r="M26" s="13">
        <v>45991</v>
      </c>
      <c r="N26" s="15" t="s">
        <v>227</v>
      </c>
      <c r="R26" s="26">
        <v>9031094580</v>
      </c>
      <c r="S26" s="15" t="str">
        <f t="shared" si="2"/>
        <v>90310945804</v>
      </c>
      <c r="T26" s="11" t="s">
        <v>324</v>
      </c>
      <c r="U26" s="15" t="s">
        <v>325</v>
      </c>
      <c r="V26" s="15" t="str">
        <f t="shared" si="0"/>
        <v>Michael Holtz</v>
      </c>
    </row>
    <row r="27" spans="1:55" s="15" customFormat="1" x14ac:dyDescent="0.2">
      <c r="A27" s="11" t="s">
        <v>96</v>
      </c>
      <c r="B27" s="28" t="s">
        <v>326</v>
      </c>
      <c r="C27" s="11" t="s">
        <v>177</v>
      </c>
      <c r="D27" s="26">
        <v>9031083750</v>
      </c>
      <c r="E27" s="13">
        <v>45901</v>
      </c>
      <c r="F27" s="11" t="s">
        <v>58</v>
      </c>
      <c r="G27" s="11" t="s">
        <v>140</v>
      </c>
      <c r="H27" s="11" t="s">
        <v>46</v>
      </c>
      <c r="I27" s="14">
        <v>10</v>
      </c>
      <c r="J27" s="14">
        <v>374</v>
      </c>
      <c r="K27" s="14">
        <v>37.4</v>
      </c>
      <c r="L27" s="11" t="s">
        <v>137</v>
      </c>
      <c r="M27" s="13">
        <v>45902</v>
      </c>
      <c r="N27" s="15" t="s">
        <v>227</v>
      </c>
      <c r="R27" s="26">
        <v>9031083750</v>
      </c>
      <c r="S27" s="15" t="str">
        <f t="shared" si="2"/>
        <v>90310837504</v>
      </c>
      <c r="T27" s="11" t="s">
        <v>316</v>
      </c>
      <c r="U27" s="15" t="s">
        <v>317</v>
      </c>
      <c r="V27" s="15" t="str">
        <f t="shared" si="0"/>
        <v>Judy Kirkpatrick</v>
      </c>
    </row>
    <row r="28" spans="1:55" s="15" customFormat="1" x14ac:dyDescent="0.2">
      <c r="A28" s="11" t="s">
        <v>203</v>
      </c>
      <c r="B28" s="12">
        <v>19278370</v>
      </c>
      <c r="C28" s="11" t="s">
        <v>212</v>
      </c>
      <c r="D28" s="26">
        <v>9031083620</v>
      </c>
      <c r="E28" s="13">
        <v>45901</v>
      </c>
      <c r="F28" s="11" t="s">
        <v>58</v>
      </c>
      <c r="G28" s="11" t="s">
        <v>136</v>
      </c>
      <c r="H28" s="11" t="s">
        <v>46</v>
      </c>
      <c r="I28" s="14">
        <v>10</v>
      </c>
      <c r="J28" s="14">
        <v>459</v>
      </c>
      <c r="K28" s="14">
        <v>45.9</v>
      </c>
      <c r="L28" s="11" t="s">
        <v>137</v>
      </c>
      <c r="M28" s="13">
        <v>45902</v>
      </c>
      <c r="N28" s="15" t="s">
        <v>227</v>
      </c>
      <c r="R28" s="26">
        <v>9031083620</v>
      </c>
      <c r="S28" s="15" t="str">
        <f t="shared" si="2"/>
        <v>90310836204</v>
      </c>
      <c r="T28" s="11" t="s">
        <v>244</v>
      </c>
      <c r="U28" s="15" t="s">
        <v>245</v>
      </c>
      <c r="V28" s="15" t="str">
        <f t="shared" si="0"/>
        <v>Devon Swasey</v>
      </c>
    </row>
    <row r="29" spans="1:55" s="15" customFormat="1" x14ac:dyDescent="0.2">
      <c r="A29" s="11" t="s">
        <v>203</v>
      </c>
      <c r="B29" s="12">
        <v>19278370</v>
      </c>
      <c r="C29" s="11" t="s">
        <v>212</v>
      </c>
      <c r="D29" s="26">
        <v>9031083070</v>
      </c>
      <c r="E29" s="13">
        <v>45901</v>
      </c>
      <c r="F29" s="11" t="s">
        <v>58</v>
      </c>
      <c r="G29" s="11" t="s">
        <v>140</v>
      </c>
      <c r="H29" s="11" t="s">
        <v>46</v>
      </c>
      <c r="I29" s="14">
        <v>10</v>
      </c>
      <c r="J29" s="14">
        <v>374</v>
      </c>
      <c r="K29" s="14">
        <v>37.4</v>
      </c>
      <c r="L29" s="11" t="s">
        <v>137</v>
      </c>
      <c r="M29" s="13">
        <v>45902</v>
      </c>
      <c r="N29" s="15" t="s">
        <v>227</v>
      </c>
      <c r="R29" s="26">
        <v>9031083070</v>
      </c>
      <c r="S29" s="15" t="str">
        <f t="shared" si="2"/>
        <v>90310830704</v>
      </c>
      <c r="T29" s="11" t="s">
        <v>244</v>
      </c>
      <c r="U29" s="15" t="s">
        <v>245</v>
      </c>
      <c r="V29" s="15" t="str">
        <f t="shared" si="0"/>
        <v>Devon Swasey</v>
      </c>
    </row>
    <row r="30" spans="1:55" s="15" customFormat="1" x14ac:dyDescent="0.2">
      <c r="A30" s="11" t="s">
        <v>181</v>
      </c>
      <c r="B30" s="28" t="s">
        <v>327</v>
      </c>
      <c r="C30" s="11" t="s">
        <v>182</v>
      </c>
      <c r="D30" s="26">
        <v>9031089540</v>
      </c>
      <c r="E30" s="13">
        <v>45901</v>
      </c>
      <c r="F30" s="11" t="s">
        <v>58</v>
      </c>
      <c r="G30" s="11" t="s">
        <v>140</v>
      </c>
      <c r="H30" s="11" t="s">
        <v>46</v>
      </c>
      <c r="I30" s="14">
        <v>10</v>
      </c>
      <c r="J30" s="14">
        <v>363</v>
      </c>
      <c r="K30" s="14">
        <v>36.299999999999997</v>
      </c>
      <c r="L30" s="11" t="s">
        <v>137</v>
      </c>
      <c r="M30" s="13">
        <v>45903</v>
      </c>
      <c r="N30" s="15" t="s">
        <v>227</v>
      </c>
      <c r="R30" s="26">
        <v>9031089540</v>
      </c>
      <c r="S30" s="15" t="str">
        <f t="shared" si="2"/>
        <v>90310895404</v>
      </c>
      <c r="T30" s="11" t="s">
        <v>318</v>
      </c>
      <c r="U30" s="15" t="s">
        <v>319</v>
      </c>
      <c r="V30" s="15" t="str">
        <f t="shared" si="0"/>
        <v>Hanna Yates</v>
      </c>
    </row>
    <row r="31" spans="1:55" s="25" customFormat="1" x14ac:dyDescent="0.2">
      <c r="A31" s="6" t="s">
        <v>150</v>
      </c>
      <c r="B31" s="7">
        <v>6634327</v>
      </c>
      <c r="C31" s="6" t="s">
        <v>151</v>
      </c>
      <c r="D31" s="27">
        <v>845819</v>
      </c>
      <c r="E31" s="8">
        <v>45901</v>
      </c>
      <c r="F31" s="6" t="s">
        <v>58</v>
      </c>
      <c r="G31" s="6" t="s">
        <v>140</v>
      </c>
      <c r="H31" s="6" t="s">
        <v>46</v>
      </c>
      <c r="I31" s="9">
        <v>10</v>
      </c>
      <c r="J31" s="9">
        <v>5.69</v>
      </c>
      <c r="K31" s="9">
        <v>0.56999999999999995</v>
      </c>
      <c r="L31" s="6" t="s">
        <v>153</v>
      </c>
      <c r="M31" s="8">
        <v>44287</v>
      </c>
      <c r="N31" s="10" t="s">
        <v>228</v>
      </c>
      <c r="O31" s="10"/>
      <c r="P31" s="10"/>
      <c r="Q31" s="10"/>
      <c r="R31" s="27">
        <v>845819</v>
      </c>
      <c r="S31" s="10" t="str">
        <f t="shared" ref="S31:S37" si="3">CONCATENATE(R31,7)</f>
        <v>8458197</v>
      </c>
      <c r="T31" s="6" t="s">
        <v>314</v>
      </c>
      <c r="U31" s="10" t="s">
        <v>315</v>
      </c>
      <c r="V31" s="6" t="s">
        <v>151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</row>
    <row r="32" spans="1:55" s="25" customFormat="1" x14ac:dyDescent="0.2">
      <c r="A32" s="6" t="s">
        <v>141</v>
      </c>
      <c r="B32" s="7">
        <v>14177521</v>
      </c>
      <c r="C32" s="6" t="s">
        <v>142</v>
      </c>
      <c r="D32" s="27">
        <v>416402</v>
      </c>
      <c r="E32" s="8">
        <v>45901</v>
      </c>
      <c r="F32" s="6" t="s">
        <v>58</v>
      </c>
      <c r="G32" s="6" t="s">
        <v>136</v>
      </c>
      <c r="H32" s="6" t="s">
        <v>46</v>
      </c>
      <c r="I32" s="9">
        <v>10</v>
      </c>
      <c r="J32" s="9">
        <v>191.1</v>
      </c>
      <c r="K32" s="9">
        <v>19.11</v>
      </c>
      <c r="L32" s="6" t="s">
        <v>56</v>
      </c>
      <c r="M32" s="8">
        <v>45658</v>
      </c>
      <c r="N32" s="10" t="s">
        <v>228</v>
      </c>
      <c r="O32" s="10"/>
      <c r="P32" s="10"/>
      <c r="Q32" s="10"/>
      <c r="R32" s="27">
        <v>416402</v>
      </c>
      <c r="S32" s="10" t="str">
        <f t="shared" si="3"/>
        <v>4164027</v>
      </c>
      <c r="T32" s="6" t="s">
        <v>238</v>
      </c>
      <c r="U32" s="10" t="s">
        <v>239</v>
      </c>
      <c r="V32" s="6" t="s">
        <v>142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</row>
    <row r="33" spans="1:55" s="25" customFormat="1" x14ac:dyDescent="0.2">
      <c r="A33" s="6" t="s">
        <v>141</v>
      </c>
      <c r="B33" s="7">
        <v>14177521</v>
      </c>
      <c r="C33" s="6" t="s">
        <v>146</v>
      </c>
      <c r="D33" s="27">
        <v>416583</v>
      </c>
      <c r="E33" s="8">
        <v>45901</v>
      </c>
      <c r="F33" s="6" t="s">
        <v>58</v>
      </c>
      <c r="G33" s="6" t="s">
        <v>136</v>
      </c>
      <c r="H33" s="6" t="s">
        <v>46</v>
      </c>
      <c r="I33" s="9">
        <v>10</v>
      </c>
      <c r="J33" s="9">
        <v>378.75</v>
      </c>
      <c r="K33" s="9">
        <v>37.880000000000003</v>
      </c>
      <c r="L33" s="6" t="s">
        <v>56</v>
      </c>
      <c r="M33" s="8">
        <v>45658</v>
      </c>
      <c r="N33" s="10" t="s">
        <v>228</v>
      </c>
      <c r="O33" s="10"/>
      <c r="P33" s="10"/>
      <c r="Q33" s="10"/>
      <c r="R33" s="27">
        <v>416583</v>
      </c>
      <c r="S33" s="10" t="str">
        <f t="shared" si="3"/>
        <v>4165837</v>
      </c>
      <c r="T33" s="6" t="s">
        <v>240</v>
      </c>
      <c r="U33" s="10" t="s">
        <v>241</v>
      </c>
      <c r="V33" s="6" t="s">
        <v>146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</row>
    <row r="34" spans="1:55" s="25" customFormat="1" x14ac:dyDescent="0.2">
      <c r="A34" s="6" t="s">
        <v>141</v>
      </c>
      <c r="B34" s="7">
        <v>14177521</v>
      </c>
      <c r="C34" s="6" t="s">
        <v>148</v>
      </c>
      <c r="D34" s="27">
        <v>416700</v>
      </c>
      <c r="E34" s="8">
        <v>45901</v>
      </c>
      <c r="F34" s="6" t="s">
        <v>58</v>
      </c>
      <c r="G34" s="6" t="s">
        <v>136</v>
      </c>
      <c r="H34" s="6" t="s">
        <v>46</v>
      </c>
      <c r="I34" s="9">
        <v>10</v>
      </c>
      <c r="J34" s="9">
        <v>24.14</v>
      </c>
      <c r="K34" s="9">
        <v>2.41</v>
      </c>
      <c r="L34" s="6" t="s">
        <v>56</v>
      </c>
      <c r="M34" s="8">
        <v>45658</v>
      </c>
      <c r="N34" s="10" t="s">
        <v>228</v>
      </c>
      <c r="O34" s="10"/>
      <c r="P34" s="10"/>
      <c r="Q34" s="10"/>
      <c r="R34" s="27">
        <v>416700</v>
      </c>
      <c r="S34" s="10" t="str">
        <f t="shared" si="3"/>
        <v>4167007</v>
      </c>
      <c r="T34" s="6" t="s">
        <v>242</v>
      </c>
      <c r="U34" s="10" t="s">
        <v>243</v>
      </c>
      <c r="V34" s="6" t="s">
        <v>148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</row>
    <row r="35" spans="1:55" s="25" customFormat="1" x14ac:dyDescent="0.2">
      <c r="A35" s="6" t="s">
        <v>141</v>
      </c>
      <c r="B35" s="7">
        <v>14177521</v>
      </c>
      <c r="C35" s="6" t="s">
        <v>142</v>
      </c>
      <c r="D35" s="27">
        <v>416402</v>
      </c>
      <c r="E35" s="8">
        <v>45901</v>
      </c>
      <c r="F35" s="6" t="s">
        <v>58</v>
      </c>
      <c r="G35" s="6" t="s">
        <v>140</v>
      </c>
      <c r="H35" s="6" t="s">
        <v>46</v>
      </c>
      <c r="I35" s="9">
        <v>10</v>
      </c>
      <c r="J35" s="9">
        <v>28.17</v>
      </c>
      <c r="K35" s="9">
        <v>2.82</v>
      </c>
      <c r="L35" s="6" t="s">
        <v>56</v>
      </c>
      <c r="M35" s="8">
        <v>45658</v>
      </c>
      <c r="N35" s="10" t="s">
        <v>228</v>
      </c>
      <c r="O35" s="10"/>
      <c r="P35" s="10"/>
      <c r="Q35" s="10"/>
      <c r="R35" s="27">
        <v>416402</v>
      </c>
      <c r="S35" s="10" t="str">
        <f t="shared" si="3"/>
        <v>4164027</v>
      </c>
      <c r="T35" s="6" t="s">
        <v>238</v>
      </c>
      <c r="U35" s="10" t="s">
        <v>239</v>
      </c>
      <c r="V35" s="6" t="s">
        <v>142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</row>
    <row r="36" spans="1:55" s="25" customFormat="1" x14ac:dyDescent="0.2">
      <c r="A36" s="6" t="s">
        <v>141</v>
      </c>
      <c r="B36" s="7">
        <v>14177521</v>
      </c>
      <c r="C36" s="6" t="s">
        <v>146</v>
      </c>
      <c r="D36" s="27">
        <v>416583</v>
      </c>
      <c r="E36" s="8">
        <v>45901</v>
      </c>
      <c r="F36" s="6" t="s">
        <v>58</v>
      </c>
      <c r="G36" s="6" t="s">
        <v>140</v>
      </c>
      <c r="H36" s="6" t="s">
        <v>46</v>
      </c>
      <c r="I36" s="9">
        <v>10</v>
      </c>
      <c r="J36" s="9">
        <v>77.77</v>
      </c>
      <c r="K36" s="9">
        <v>7.78</v>
      </c>
      <c r="L36" s="6" t="s">
        <v>56</v>
      </c>
      <c r="M36" s="8">
        <v>45658</v>
      </c>
      <c r="N36" s="10" t="s">
        <v>228</v>
      </c>
      <c r="O36" s="10"/>
      <c r="P36" s="10"/>
      <c r="Q36" s="10"/>
      <c r="R36" s="27">
        <v>416583</v>
      </c>
      <c r="S36" s="10" t="str">
        <f t="shared" si="3"/>
        <v>4165837</v>
      </c>
      <c r="T36" s="6" t="s">
        <v>240</v>
      </c>
      <c r="U36" s="10" t="s">
        <v>241</v>
      </c>
      <c r="V36" s="6" t="s">
        <v>146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</row>
    <row r="37" spans="1:55" s="25" customFormat="1" x14ac:dyDescent="0.2">
      <c r="A37" s="6" t="s">
        <v>141</v>
      </c>
      <c r="B37" s="7">
        <v>14177521</v>
      </c>
      <c r="C37" s="6" t="s">
        <v>148</v>
      </c>
      <c r="D37" s="27">
        <v>416700</v>
      </c>
      <c r="E37" s="8">
        <v>45901</v>
      </c>
      <c r="F37" s="6" t="s">
        <v>58</v>
      </c>
      <c r="G37" s="6" t="s">
        <v>140</v>
      </c>
      <c r="H37" s="6" t="s">
        <v>46</v>
      </c>
      <c r="I37" s="9">
        <v>10</v>
      </c>
      <c r="J37" s="9">
        <v>3.48</v>
      </c>
      <c r="K37" s="9">
        <v>0.35</v>
      </c>
      <c r="L37" s="6" t="s">
        <v>56</v>
      </c>
      <c r="M37" s="8">
        <v>45658</v>
      </c>
      <c r="N37" s="10" t="s">
        <v>228</v>
      </c>
      <c r="O37" s="10"/>
      <c r="P37" s="10"/>
      <c r="Q37" s="10"/>
      <c r="R37" s="27">
        <v>416700</v>
      </c>
      <c r="S37" s="10" t="str">
        <f t="shared" si="3"/>
        <v>4167007</v>
      </c>
      <c r="T37" s="6" t="s">
        <v>242</v>
      </c>
      <c r="U37" s="10" t="s">
        <v>243</v>
      </c>
      <c r="V37" s="6" t="s">
        <v>148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</row>
    <row r="38" spans="1:55" x14ac:dyDescent="0.2">
      <c r="A38" s="4" t="s">
        <v>110</v>
      </c>
      <c r="B38" s="2">
        <v>18598357</v>
      </c>
      <c r="C38" s="4" t="s">
        <v>111</v>
      </c>
      <c r="D38" s="4" t="s">
        <v>112</v>
      </c>
      <c r="E38" s="3">
        <v>45931</v>
      </c>
      <c r="F38" s="4" t="s">
        <v>65</v>
      </c>
      <c r="G38" s="4" t="s">
        <v>51</v>
      </c>
      <c r="H38" s="4" t="s">
        <v>52</v>
      </c>
      <c r="I38" s="5">
        <v>0.25</v>
      </c>
      <c r="J38" s="5">
        <v>1</v>
      </c>
      <c r="K38" s="5">
        <v>78.25</v>
      </c>
      <c r="L38" s="4" t="s">
        <v>56</v>
      </c>
      <c r="M38" s="3">
        <v>45931</v>
      </c>
      <c r="N38" t="s">
        <v>230</v>
      </c>
      <c r="O38" s="30" t="s">
        <v>233</v>
      </c>
      <c r="R38" s="4" t="s">
        <v>112</v>
      </c>
      <c r="S38" t="str">
        <f t="shared" ref="S38:S52" si="4">CONCATENATE(R38,6)</f>
        <v>00023596422K6</v>
      </c>
      <c r="T38" s="4" t="s">
        <v>260</v>
      </c>
      <c r="U38" t="s">
        <v>261</v>
      </c>
      <c r="V38" t="str">
        <f t="shared" ref="V38:V57" si="5">CONCATENATE(U38, " ",T38)</f>
        <v>KARYN KELLY</v>
      </c>
    </row>
    <row r="39" spans="1:55" x14ac:dyDescent="0.2">
      <c r="A39" s="4" t="s">
        <v>61</v>
      </c>
      <c r="B39" s="2">
        <v>7470776</v>
      </c>
      <c r="C39" s="4" t="s">
        <v>62</v>
      </c>
      <c r="D39" s="4" t="s">
        <v>63</v>
      </c>
      <c r="E39" s="3">
        <v>45931</v>
      </c>
      <c r="F39" s="4" t="s">
        <v>65</v>
      </c>
      <c r="G39" s="4" t="s">
        <v>51</v>
      </c>
      <c r="H39" s="4" t="s">
        <v>52</v>
      </c>
      <c r="I39" s="5">
        <v>0.25</v>
      </c>
      <c r="J39" s="5">
        <v>1</v>
      </c>
      <c r="K39" s="5">
        <v>78.25</v>
      </c>
      <c r="L39" s="4" t="s">
        <v>56</v>
      </c>
      <c r="M39" s="3">
        <v>45931</v>
      </c>
      <c r="N39" t="s">
        <v>230</v>
      </c>
      <c r="O39" s="30" t="s">
        <v>233</v>
      </c>
      <c r="Q39">
        <f>313/12*3</f>
        <v>78.25</v>
      </c>
      <c r="R39" s="4" t="s">
        <v>63</v>
      </c>
      <c r="S39" t="str">
        <f t="shared" si="4"/>
        <v>00023584777K6</v>
      </c>
      <c r="T39" s="4" t="s">
        <v>254</v>
      </c>
      <c r="U39" t="s">
        <v>255</v>
      </c>
      <c r="V39" t="str">
        <f t="shared" si="5"/>
        <v>RANDY VARJU</v>
      </c>
    </row>
    <row r="40" spans="1:55" x14ac:dyDescent="0.2">
      <c r="A40" s="4" t="s">
        <v>61</v>
      </c>
      <c r="B40" s="2">
        <v>7470776</v>
      </c>
      <c r="C40" s="4" t="s">
        <v>66</v>
      </c>
      <c r="D40" s="4" t="s">
        <v>67</v>
      </c>
      <c r="E40" s="3">
        <v>45931</v>
      </c>
      <c r="F40" s="4" t="s">
        <v>65</v>
      </c>
      <c r="G40" s="4" t="s">
        <v>51</v>
      </c>
      <c r="H40" s="4" t="s">
        <v>52</v>
      </c>
      <c r="I40" s="5">
        <v>0.25</v>
      </c>
      <c r="J40" s="5">
        <v>1</v>
      </c>
      <c r="K40" s="5">
        <v>78.25</v>
      </c>
      <c r="L40" s="4" t="s">
        <v>56</v>
      </c>
      <c r="M40" s="3">
        <v>45931</v>
      </c>
      <c r="N40" t="s">
        <v>230</v>
      </c>
      <c r="O40" s="30" t="s">
        <v>233</v>
      </c>
      <c r="R40" s="4" t="s">
        <v>67</v>
      </c>
      <c r="S40" t="str">
        <f t="shared" si="4"/>
        <v>00023589143K6</v>
      </c>
      <c r="T40" s="4" t="s">
        <v>256</v>
      </c>
      <c r="U40" t="s">
        <v>257</v>
      </c>
      <c r="V40" t="str">
        <f t="shared" si="5"/>
        <v>DAVIS SASAKI</v>
      </c>
    </row>
    <row r="41" spans="1:55" x14ac:dyDescent="0.2">
      <c r="A41" s="4" t="s">
        <v>69</v>
      </c>
      <c r="B41" s="2">
        <v>8244481</v>
      </c>
      <c r="C41" s="4" t="s">
        <v>70</v>
      </c>
      <c r="D41" s="4" t="s">
        <v>71</v>
      </c>
      <c r="E41" s="3">
        <v>45901</v>
      </c>
      <c r="F41" s="4" t="s">
        <v>58</v>
      </c>
      <c r="G41" s="4" t="s">
        <v>51</v>
      </c>
      <c r="H41" s="4" t="s">
        <v>52</v>
      </c>
      <c r="I41" s="5">
        <v>0.33</v>
      </c>
      <c r="J41" s="5">
        <v>1</v>
      </c>
      <c r="K41" s="5">
        <v>104.33</v>
      </c>
      <c r="L41" s="4" t="s">
        <v>56</v>
      </c>
      <c r="M41" s="3">
        <v>45901</v>
      </c>
      <c r="N41" t="s">
        <v>230</v>
      </c>
      <c r="O41" s="30" t="s">
        <v>232</v>
      </c>
      <c r="R41" s="4" t="s">
        <v>71</v>
      </c>
      <c r="S41" t="str">
        <f t="shared" si="4"/>
        <v>00023586114K6</v>
      </c>
      <c r="T41" s="4" t="s">
        <v>264</v>
      </c>
      <c r="U41" t="s">
        <v>265</v>
      </c>
      <c r="V41" t="str">
        <f t="shared" si="5"/>
        <v>KATHERINE BROWN</v>
      </c>
    </row>
    <row r="42" spans="1:55" x14ac:dyDescent="0.2">
      <c r="A42" s="4" t="s">
        <v>87</v>
      </c>
      <c r="B42" s="2">
        <v>17126004</v>
      </c>
      <c r="C42" s="4" t="s">
        <v>88</v>
      </c>
      <c r="D42" s="4" t="s">
        <v>89</v>
      </c>
      <c r="E42" s="3">
        <v>45658</v>
      </c>
      <c r="F42" s="4" t="s">
        <v>49</v>
      </c>
      <c r="G42" s="4" t="s">
        <v>51</v>
      </c>
      <c r="H42" s="4" t="s">
        <v>52</v>
      </c>
      <c r="I42" s="5">
        <v>-0.33</v>
      </c>
      <c r="J42" s="5">
        <v>-1</v>
      </c>
      <c r="K42" s="5">
        <v>-104.33</v>
      </c>
      <c r="L42" s="4" t="s">
        <v>56</v>
      </c>
      <c r="M42" s="3">
        <v>45658</v>
      </c>
      <c r="N42" t="s">
        <v>230</v>
      </c>
      <c r="O42" s="30" t="s">
        <v>232</v>
      </c>
      <c r="R42" s="4" t="s">
        <v>89</v>
      </c>
      <c r="S42" t="str">
        <f t="shared" si="4"/>
        <v>00022898753K6</v>
      </c>
      <c r="T42" s="4" t="s">
        <v>250</v>
      </c>
      <c r="U42" t="s">
        <v>251</v>
      </c>
      <c r="V42" t="str">
        <f t="shared" si="5"/>
        <v>PAULA HOWARD</v>
      </c>
    </row>
    <row r="43" spans="1:55" x14ac:dyDescent="0.2">
      <c r="A43" s="4" t="s">
        <v>101</v>
      </c>
      <c r="B43" s="2">
        <v>17774994</v>
      </c>
      <c r="C43" s="4" t="s">
        <v>102</v>
      </c>
      <c r="D43" s="4" t="s">
        <v>103</v>
      </c>
      <c r="E43" s="3">
        <v>45717</v>
      </c>
      <c r="F43" s="4" t="s">
        <v>105</v>
      </c>
      <c r="G43" s="4" t="s">
        <v>51</v>
      </c>
      <c r="H43" s="4" t="s">
        <v>52</v>
      </c>
      <c r="I43" s="5">
        <v>0</v>
      </c>
      <c r="J43" s="5">
        <v>-1</v>
      </c>
      <c r="K43" s="5">
        <v>-208.67</v>
      </c>
      <c r="L43" s="4" t="s">
        <v>53</v>
      </c>
      <c r="M43" s="3">
        <v>45717</v>
      </c>
      <c r="N43" t="s">
        <v>230</v>
      </c>
      <c r="O43" s="30" t="s">
        <v>231</v>
      </c>
      <c r="Q43">
        <f>313/12*8</f>
        <v>208.66666666666666</v>
      </c>
      <c r="R43" s="4" t="s">
        <v>103</v>
      </c>
      <c r="S43" t="str">
        <f t="shared" si="4"/>
        <v>00023115513K6</v>
      </c>
      <c r="T43" s="4" t="s">
        <v>246</v>
      </c>
      <c r="U43" t="s">
        <v>247</v>
      </c>
      <c r="V43" t="str">
        <f t="shared" si="5"/>
        <v>KATHLEEN CARLSON</v>
      </c>
    </row>
    <row r="44" spans="1:55" x14ac:dyDescent="0.2">
      <c r="A44" s="4" t="s">
        <v>101</v>
      </c>
      <c r="B44" s="2">
        <v>17774994</v>
      </c>
      <c r="C44" s="4" t="s">
        <v>102</v>
      </c>
      <c r="D44" s="4" t="s">
        <v>103</v>
      </c>
      <c r="E44" s="3">
        <v>45717</v>
      </c>
      <c r="F44" s="4" t="s">
        <v>105</v>
      </c>
      <c r="G44" s="4" t="s">
        <v>51</v>
      </c>
      <c r="H44" s="4" t="s">
        <v>52</v>
      </c>
      <c r="I44" s="5">
        <v>-0.33</v>
      </c>
      <c r="J44" s="5">
        <v>-1</v>
      </c>
      <c r="K44" s="5">
        <v>-104.33</v>
      </c>
      <c r="L44" s="4" t="s">
        <v>56</v>
      </c>
      <c r="M44" s="3">
        <v>45717</v>
      </c>
      <c r="N44" t="s">
        <v>230</v>
      </c>
      <c r="O44" s="30" t="s">
        <v>232</v>
      </c>
      <c r="R44" s="4" t="s">
        <v>103</v>
      </c>
      <c r="S44" t="str">
        <f t="shared" si="4"/>
        <v>00023115513K6</v>
      </c>
      <c r="T44" s="4" t="s">
        <v>246</v>
      </c>
      <c r="U44" t="s">
        <v>247</v>
      </c>
      <c r="V44" t="str">
        <f t="shared" si="5"/>
        <v>KATHLEEN CARLSON</v>
      </c>
    </row>
    <row r="45" spans="1:55" x14ac:dyDescent="0.2">
      <c r="A45" s="4" t="s">
        <v>73</v>
      </c>
      <c r="B45" s="2">
        <v>7146581</v>
      </c>
      <c r="C45" s="4" t="s">
        <v>74</v>
      </c>
      <c r="D45" s="4" t="s">
        <v>75</v>
      </c>
      <c r="E45" s="3">
        <v>45901</v>
      </c>
      <c r="F45" s="4" t="s">
        <v>58</v>
      </c>
      <c r="G45" s="4" t="s">
        <v>51</v>
      </c>
      <c r="H45" s="4" t="s">
        <v>52</v>
      </c>
      <c r="I45" s="5">
        <v>0.33</v>
      </c>
      <c r="J45" s="5">
        <v>1</v>
      </c>
      <c r="K45" s="5">
        <v>104.33</v>
      </c>
      <c r="L45" s="4" t="s">
        <v>56</v>
      </c>
      <c r="M45" s="3">
        <v>45901</v>
      </c>
      <c r="N45" t="s">
        <v>230</v>
      </c>
      <c r="O45" s="30" t="s">
        <v>232</v>
      </c>
      <c r="R45" s="4" t="s">
        <v>75</v>
      </c>
      <c r="S45" t="str">
        <f t="shared" si="4"/>
        <v>00023589322K6</v>
      </c>
      <c r="T45" s="4" t="s">
        <v>266</v>
      </c>
      <c r="U45" t="s">
        <v>267</v>
      </c>
      <c r="V45" t="str">
        <f t="shared" si="5"/>
        <v>SAUL MENDEZ</v>
      </c>
    </row>
    <row r="46" spans="1:55" x14ac:dyDescent="0.2">
      <c r="A46" s="4" t="s">
        <v>42</v>
      </c>
      <c r="B46" s="2">
        <v>8814784</v>
      </c>
      <c r="C46" s="4" t="s">
        <v>43</v>
      </c>
      <c r="D46" s="4" t="s">
        <v>44</v>
      </c>
      <c r="E46" s="3">
        <v>45658</v>
      </c>
      <c r="F46" s="4" t="s">
        <v>49</v>
      </c>
      <c r="G46" s="4" t="s">
        <v>51</v>
      </c>
      <c r="H46" s="4" t="s">
        <v>52</v>
      </c>
      <c r="I46" s="5">
        <v>0</v>
      </c>
      <c r="J46" s="5">
        <v>-1</v>
      </c>
      <c r="K46" s="5">
        <v>-104.34</v>
      </c>
      <c r="L46" s="4" t="s">
        <v>53</v>
      </c>
      <c r="M46" s="3">
        <v>45658</v>
      </c>
      <c r="N46" t="s">
        <v>230</v>
      </c>
      <c r="O46" s="30" t="s">
        <v>232</v>
      </c>
      <c r="Q46">
        <f>313/12*4</f>
        <v>104.33333333333333</v>
      </c>
      <c r="R46" s="4" t="s">
        <v>44</v>
      </c>
      <c r="S46" t="str">
        <f t="shared" si="4"/>
        <v>00018331316K6</v>
      </c>
      <c r="T46" s="4" t="s">
        <v>248</v>
      </c>
      <c r="U46" t="s">
        <v>249</v>
      </c>
      <c r="V46" t="str">
        <f t="shared" si="5"/>
        <v>BARBARA WOODS</v>
      </c>
    </row>
    <row r="47" spans="1:55" x14ac:dyDescent="0.2">
      <c r="A47" s="4" t="s">
        <v>42</v>
      </c>
      <c r="B47" s="2">
        <v>8814784</v>
      </c>
      <c r="C47" s="4" t="s">
        <v>43</v>
      </c>
      <c r="D47" s="4" t="s">
        <v>44</v>
      </c>
      <c r="E47" s="3">
        <v>45658</v>
      </c>
      <c r="F47" s="4" t="s">
        <v>49</v>
      </c>
      <c r="G47" s="4" t="s">
        <v>51</v>
      </c>
      <c r="H47" s="4" t="s">
        <v>52</v>
      </c>
      <c r="I47" s="5">
        <v>-0.33</v>
      </c>
      <c r="J47" s="5">
        <v>-1</v>
      </c>
      <c r="K47" s="5">
        <v>-104.33</v>
      </c>
      <c r="L47" s="4" t="s">
        <v>56</v>
      </c>
      <c r="M47" s="3">
        <v>45658</v>
      </c>
      <c r="N47" t="s">
        <v>230</v>
      </c>
      <c r="O47" s="30" t="s">
        <v>232</v>
      </c>
      <c r="R47" s="4" t="s">
        <v>44</v>
      </c>
      <c r="S47" t="str">
        <f t="shared" si="4"/>
        <v>00018331316K6</v>
      </c>
      <c r="T47" s="4" t="s">
        <v>248</v>
      </c>
      <c r="U47" t="s">
        <v>249</v>
      </c>
      <c r="V47" t="str">
        <f t="shared" si="5"/>
        <v>BARBARA WOODS</v>
      </c>
    </row>
    <row r="48" spans="1:55" x14ac:dyDescent="0.2">
      <c r="A48" s="4" t="s">
        <v>106</v>
      </c>
      <c r="B48" s="2">
        <v>9213293</v>
      </c>
      <c r="C48" s="4" t="s">
        <v>107</v>
      </c>
      <c r="D48" s="4" t="s">
        <v>108</v>
      </c>
      <c r="E48" s="3">
        <v>45901</v>
      </c>
      <c r="F48" s="4" t="s">
        <v>58</v>
      </c>
      <c r="G48" s="4" t="s">
        <v>51</v>
      </c>
      <c r="H48" s="4" t="s">
        <v>85</v>
      </c>
      <c r="I48" s="5">
        <v>0.33</v>
      </c>
      <c r="J48" s="5">
        <v>1</v>
      </c>
      <c r="K48" s="5">
        <v>104.33</v>
      </c>
      <c r="L48" s="4" t="s">
        <v>56</v>
      </c>
      <c r="M48" s="3">
        <v>45901</v>
      </c>
      <c r="N48" t="s">
        <v>230</v>
      </c>
      <c r="O48" s="30" t="s">
        <v>232</v>
      </c>
      <c r="R48" s="4" t="s">
        <v>108</v>
      </c>
      <c r="S48" t="str">
        <f t="shared" si="4"/>
        <v>00023585917K6</v>
      </c>
      <c r="T48" s="4" t="s">
        <v>270</v>
      </c>
      <c r="U48" t="s">
        <v>271</v>
      </c>
      <c r="V48" t="str">
        <f t="shared" si="5"/>
        <v>SCOTT TURF</v>
      </c>
    </row>
    <row r="49" spans="1:22" x14ac:dyDescent="0.2">
      <c r="A49" s="4" t="s">
        <v>81</v>
      </c>
      <c r="B49" s="2">
        <v>16228684</v>
      </c>
      <c r="C49" s="4" t="s">
        <v>82</v>
      </c>
      <c r="D49" s="4" t="s">
        <v>83</v>
      </c>
      <c r="E49" s="3">
        <v>45931</v>
      </c>
      <c r="F49" s="4" t="s">
        <v>65</v>
      </c>
      <c r="G49" s="4" t="s">
        <v>51</v>
      </c>
      <c r="H49" s="4" t="s">
        <v>85</v>
      </c>
      <c r="I49" s="5">
        <v>0.25</v>
      </c>
      <c r="J49" s="5">
        <v>1</v>
      </c>
      <c r="K49" s="5">
        <v>78.25</v>
      </c>
      <c r="L49" s="4" t="s">
        <v>56</v>
      </c>
      <c r="M49" s="3">
        <v>45931</v>
      </c>
      <c r="N49" t="s">
        <v>230</v>
      </c>
      <c r="O49" s="30" t="s">
        <v>233</v>
      </c>
      <c r="R49" s="4" t="s">
        <v>83</v>
      </c>
      <c r="S49" t="str">
        <f t="shared" si="4"/>
        <v>00023600065K6</v>
      </c>
      <c r="T49" s="4" t="s">
        <v>258</v>
      </c>
      <c r="U49" t="s">
        <v>259</v>
      </c>
      <c r="V49" t="str">
        <f t="shared" si="5"/>
        <v>JOSEPHINE BRADLEY</v>
      </c>
    </row>
    <row r="50" spans="1:22" x14ac:dyDescent="0.2">
      <c r="A50" s="4" t="s">
        <v>118</v>
      </c>
      <c r="B50" s="2">
        <v>7565575</v>
      </c>
      <c r="C50" s="4" t="s">
        <v>119</v>
      </c>
      <c r="D50" s="4" t="s">
        <v>120</v>
      </c>
      <c r="E50" s="3">
        <v>45870</v>
      </c>
      <c r="F50" s="4" t="s">
        <v>122</v>
      </c>
      <c r="G50" s="4" t="s">
        <v>51</v>
      </c>
      <c r="H50" s="4" t="s">
        <v>52</v>
      </c>
      <c r="I50" s="5">
        <v>0.33</v>
      </c>
      <c r="J50" s="5">
        <v>1</v>
      </c>
      <c r="K50" s="5">
        <v>104.34</v>
      </c>
      <c r="L50" s="4" t="s">
        <v>56</v>
      </c>
      <c r="M50" s="3">
        <v>45870</v>
      </c>
      <c r="N50" t="s">
        <v>230</v>
      </c>
      <c r="O50" s="30" t="s">
        <v>232</v>
      </c>
      <c r="R50" s="4" t="s">
        <v>120</v>
      </c>
      <c r="S50" t="str">
        <f t="shared" si="4"/>
        <v>00023509197K6</v>
      </c>
      <c r="T50" s="4" t="s">
        <v>274</v>
      </c>
      <c r="U50" t="s">
        <v>275</v>
      </c>
      <c r="V50" t="str">
        <f t="shared" si="5"/>
        <v>RICHARD GALASINSKI</v>
      </c>
    </row>
    <row r="51" spans="1:22" x14ac:dyDescent="0.2">
      <c r="A51" s="4" t="s">
        <v>114</v>
      </c>
      <c r="B51" s="2">
        <v>8405446</v>
      </c>
      <c r="C51" s="4" t="s">
        <v>115</v>
      </c>
      <c r="D51" s="4" t="s">
        <v>116</v>
      </c>
      <c r="E51" s="3">
        <v>45901</v>
      </c>
      <c r="F51" s="4" t="s">
        <v>58</v>
      </c>
      <c r="G51" s="4" t="s">
        <v>51</v>
      </c>
      <c r="H51" s="4" t="s">
        <v>85</v>
      </c>
      <c r="I51" s="5">
        <v>0.33</v>
      </c>
      <c r="J51" s="5">
        <v>1</v>
      </c>
      <c r="K51" s="5">
        <v>104.33</v>
      </c>
      <c r="L51" s="4" t="s">
        <v>56</v>
      </c>
      <c r="M51" s="3">
        <v>45901</v>
      </c>
      <c r="N51" t="s">
        <v>230</v>
      </c>
      <c r="O51" s="30" t="s">
        <v>232</v>
      </c>
      <c r="R51" s="4" t="s">
        <v>116</v>
      </c>
      <c r="S51" t="str">
        <f t="shared" si="4"/>
        <v>00023591468K6</v>
      </c>
      <c r="T51" s="4" t="s">
        <v>272</v>
      </c>
      <c r="U51" t="s">
        <v>273</v>
      </c>
      <c r="V51" t="str">
        <f t="shared" si="5"/>
        <v>SOMDETH KHOUSAKOUN</v>
      </c>
    </row>
    <row r="52" spans="1:22" x14ac:dyDescent="0.2">
      <c r="A52" s="4" t="s">
        <v>77</v>
      </c>
      <c r="B52" s="2">
        <v>8325282</v>
      </c>
      <c r="C52" s="4" t="s">
        <v>78</v>
      </c>
      <c r="D52" s="4" t="s">
        <v>79</v>
      </c>
      <c r="E52" s="3">
        <v>45901</v>
      </c>
      <c r="F52" s="4" t="s">
        <v>58</v>
      </c>
      <c r="G52" s="4" t="s">
        <v>51</v>
      </c>
      <c r="H52" s="4" t="s">
        <v>52</v>
      </c>
      <c r="I52" s="5">
        <v>0.33</v>
      </c>
      <c r="J52" s="5">
        <v>1</v>
      </c>
      <c r="K52" s="5">
        <v>104.33</v>
      </c>
      <c r="L52" s="4" t="s">
        <v>56</v>
      </c>
      <c r="M52" s="3">
        <v>45901</v>
      </c>
      <c r="N52" t="s">
        <v>230</v>
      </c>
      <c r="O52" s="30" t="s">
        <v>232</v>
      </c>
      <c r="R52" s="4" t="s">
        <v>79</v>
      </c>
      <c r="S52" t="str">
        <f t="shared" si="4"/>
        <v>00023596308K6</v>
      </c>
      <c r="T52" s="4" t="s">
        <v>268</v>
      </c>
      <c r="U52" t="s">
        <v>269</v>
      </c>
      <c r="V52" t="str">
        <f t="shared" si="5"/>
        <v>KEN SAUNDERS</v>
      </c>
    </row>
    <row r="53" spans="1:22" s="20" customFormat="1" x14ac:dyDescent="0.2">
      <c r="A53" s="16" t="s">
        <v>91</v>
      </c>
      <c r="B53" s="17">
        <v>17094718</v>
      </c>
      <c r="C53" s="16" t="s">
        <v>92</v>
      </c>
      <c r="D53" s="16" t="s">
        <v>93</v>
      </c>
      <c r="E53" s="18">
        <v>45778</v>
      </c>
      <c r="F53" s="16" t="s">
        <v>95</v>
      </c>
      <c r="G53" s="16" t="s">
        <v>51</v>
      </c>
      <c r="H53" s="16" t="s">
        <v>59</v>
      </c>
      <c r="I53" s="19">
        <v>-0.33</v>
      </c>
      <c r="J53" s="19">
        <v>-18.34</v>
      </c>
      <c r="K53" s="19">
        <v>-18.34</v>
      </c>
      <c r="L53" s="16" t="s">
        <v>56</v>
      </c>
      <c r="M53" s="18">
        <v>45778</v>
      </c>
      <c r="N53" s="20" t="s">
        <v>229</v>
      </c>
      <c r="R53" s="16" t="s">
        <v>93</v>
      </c>
      <c r="S53" s="20" t="str">
        <f>CONCATENATE(R53,9)</f>
        <v>00013199675K9</v>
      </c>
      <c r="T53" s="16" t="s">
        <v>252</v>
      </c>
      <c r="U53" s="20" t="s">
        <v>253</v>
      </c>
      <c r="V53" s="20" t="str">
        <f t="shared" si="5"/>
        <v>FRYDA CASTILLO</v>
      </c>
    </row>
    <row r="54" spans="1:22" s="20" customFormat="1" x14ac:dyDescent="0.2">
      <c r="A54" s="16" t="s">
        <v>91</v>
      </c>
      <c r="B54" s="17">
        <v>17094718</v>
      </c>
      <c r="C54" s="16" t="s">
        <v>92</v>
      </c>
      <c r="D54" s="16" t="s">
        <v>93</v>
      </c>
      <c r="E54" s="18">
        <v>45778</v>
      </c>
      <c r="F54" s="16" t="s">
        <v>95</v>
      </c>
      <c r="G54" s="16" t="s">
        <v>51</v>
      </c>
      <c r="H54" s="16" t="s">
        <v>59</v>
      </c>
      <c r="I54" s="19">
        <v>0</v>
      </c>
      <c r="J54" s="19">
        <v>-18</v>
      </c>
      <c r="K54" s="19">
        <v>-18</v>
      </c>
      <c r="L54" s="16" t="s">
        <v>53</v>
      </c>
      <c r="M54" s="18">
        <v>45778</v>
      </c>
      <c r="N54" s="20" t="s">
        <v>229</v>
      </c>
      <c r="R54" s="16" t="s">
        <v>93</v>
      </c>
      <c r="S54" s="20" t="str">
        <f>CONCATENATE(R54,9)</f>
        <v>00013199675K9</v>
      </c>
      <c r="T54" s="16" t="s">
        <v>252</v>
      </c>
      <c r="U54" s="20" t="s">
        <v>253</v>
      </c>
      <c r="V54" s="20" t="str">
        <f t="shared" si="5"/>
        <v>FRYDA CASTILLO</v>
      </c>
    </row>
    <row r="55" spans="1:22" s="20" customFormat="1" x14ac:dyDescent="0.2">
      <c r="A55" s="16" t="s">
        <v>42</v>
      </c>
      <c r="B55" s="17">
        <v>8814784</v>
      </c>
      <c r="C55" s="16" t="s">
        <v>43</v>
      </c>
      <c r="D55" s="16" t="s">
        <v>44</v>
      </c>
      <c r="E55" s="18">
        <v>45901</v>
      </c>
      <c r="F55" s="16" t="s">
        <v>58</v>
      </c>
      <c r="G55" s="16" t="s">
        <v>51</v>
      </c>
      <c r="H55" s="16" t="s">
        <v>59</v>
      </c>
      <c r="I55" s="19">
        <v>0.33</v>
      </c>
      <c r="J55" s="19">
        <v>18.329999999999998</v>
      </c>
      <c r="K55" s="19">
        <v>18.329999999999998</v>
      </c>
      <c r="L55" s="16" t="s">
        <v>56</v>
      </c>
      <c r="M55" s="18">
        <v>45901</v>
      </c>
      <c r="N55" s="20" t="s">
        <v>229</v>
      </c>
      <c r="R55" s="16" t="s">
        <v>44</v>
      </c>
      <c r="S55" s="20" t="str">
        <f>CONCATENATE(R55,9)</f>
        <v>00018331316K9</v>
      </c>
      <c r="T55" s="16" t="s">
        <v>248</v>
      </c>
      <c r="U55" s="20" t="s">
        <v>249</v>
      </c>
      <c r="V55" s="20" t="str">
        <f t="shared" si="5"/>
        <v>BARBARA WOODS</v>
      </c>
    </row>
    <row r="56" spans="1:22" s="20" customFormat="1" x14ac:dyDescent="0.2">
      <c r="A56" s="16" t="s">
        <v>127</v>
      </c>
      <c r="B56" s="17">
        <v>20724564</v>
      </c>
      <c r="C56" s="16" t="s">
        <v>128</v>
      </c>
      <c r="D56" s="16" t="s">
        <v>129</v>
      </c>
      <c r="E56" s="18">
        <v>45931</v>
      </c>
      <c r="F56" s="16" t="s">
        <v>65</v>
      </c>
      <c r="G56" s="16" t="s">
        <v>51</v>
      </c>
      <c r="H56" s="16" t="s">
        <v>59</v>
      </c>
      <c r="I56" s="19">
        <v>0.25</v>
      </c>
      <c r="J56" s="19">
        <v>13.75</v>
      </c>
      <c r="K56" s="19">
        <v>13.75</v>
      </c>
      <c r="L56" s="16" t="s">
        <v>56</v>
      </c>
      <c r="M56" s="18">
        <v>45931</v>
      </c>
      <c r="N56" s="20" t="s">
        <v>229</v>
      </c>
      <c r="R56" s="16" t="s">
        <v>129</v>
      </c>
      <c r="S56" s="20" t="str">
        <f>CONCATENATE(R56,9)</f>
        <v>00023592603K9</v>
      </c>
      <c r="T56" s="16" t="s">
        <v>278</v>
      </c>
      <c r="U56" s="20" t="s">
        <v>247</v>
      </c>
      <c r="V56" s="20" t="str">
        <f t="shared" si="5"/>
        <v>KATHLEEN RYSTED</v>
      </c>
    </row>
    <row r="57" spans="1:22" s="20" customFormat="1" x14ac:dyDescent="0.2">
      <c r="A57" s="16" t="s">
        <v>123</v>
      </c>
      <c r="B57" s="17">
        <v>21104854</v>
      </c>
      <c r="C57" s="16" t="s">
        <v>124</v>
      </c>
      <c r="D57" s="16" t="s">
        <v>125</v>
      </c>
      <c r="E57" s="18">
        <v>45901</v>
      </c>
      <c r="F57" s="16" t="s">
        <v>58</v>
      </c>
      <c r="G57" s="16" t="s">
        <v>51</v>
      </c>
      <c r="H57" s="16" t="s">
        <v>59</v>
      </c>
      <c r="I57" s="19">
        <v>0.33</v>
      </c>
      <c r="J57" s="19">
        <v>18.329999999999998</v>
      </c>
      <c r="K57" s="19">
        <v>18.329999999999998</v>
      </c>
      <c r="L57" s="16" t="s">
        <v>56</v>
      </c>
      <c r="M57" s="18">
        <v>45901</v>
      </c>
      <c r="N57" s="20" t="s">
        <v>229</v>
      </c>
      <c r="R57" s="16" t="s">
        <v>125</v>
      </c>
      <c r="S57" s="20" t="str">
        <f>CONCATENATE(R57,9)</f>
        <v>00023594897K9</v>
      </c>
      <c r="T57" s="16" t="s">
        <v>276</v>
      </c>
      <c r="U57" s="20" t="s">
        <v>277</v>
      </c>
      <c r="V57" s="20" t="str">
        <f t="shared" si="5"/>
        <v>HILL VOOGD</v>
      </c>
    </row>
  </sheetData>
  <sortState xmlns:xlrd2="http://schemas.microsoft.com/office/spreadsheetml/2017/richdata2" ref="A2:BC57">
    <sortCondition ref="N2:N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2025-09-04T20:32:07Z</dcterms:created>
  <dcterms:modified xsi:type="dcterms:W3CDTF">2026-03-06T18:25:41Z</dcterms:modified>
</cp:coreProperties>
</file>