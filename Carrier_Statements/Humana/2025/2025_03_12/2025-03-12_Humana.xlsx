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3-12-25\"/>
    </mc:Choice>
  </mc:AlternateContent>
  <xr:revisionPtr revIDLastSave="0" documentId="13_ncr:9_{53D6ACBB-1978-4021-A859-F636461484D6}" xr6:coauthVersionLast="47" xr6:coauthVersionMax="47" xr10:uidLastSave="{00000000-0000-0000-0000-000000000000}"/>
  <bookViews>
    <workbookView xWindow="28680" yWindow="-120" windowWidth="29040" windowHeight="16440" activeTab="1" xr2:uid="{40A19D6A-23A5-4D8B-9EFC-60475B032ECA}"/>
  </bookViews>
  <sheets>
    <sheet name="CommissionData_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C23" i="3" l="1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1" i="3"/>
  <c r="F29" i="2"/>
  <c r="F28" i="2"/>
  <c r="F16" i="2"/>
  <c r="F15" i="2"/>
  <c r="F40" i="2"/>
  <c r="F39" i="2"/>
  <c r="F38" i="2"/>
  <c r="F31" i="2"/>
  <c r="F2" i="2"/>
  <c r="F27" i="2"/>
  <c r="F22" i="2"/>
  <c r="F13" i="2"/>
  <c r="F12" i="2"/>
  <c r="F45" i="2"/>
  <c r="F37" i="2"/>
  <c r="F36" i="2"/>
  <c r="F21" i="2"/>
  <c r="F20" i="2"/>
  <c r="F19" i="2"/>
  <c r="F18" i="2"/>
  <c r="F17" i="2"/>
  <c r="F3" i="2"/>
  <c r="F35" i="2"/>
  <c r="F34" i="2"/>
  <c r="F6" i="2"/>
  <c r="F5" i="2"/>
  <c r="F4" i="2"/>
  <c r="F26" i="2"/>
  <c r="F30" i="2"/>
  <c r="F44" i="2"/>
  <c r="F25" i="2"/>
  <c r="F33" i="2"/>
  <c r="F43" i="2"/>
  <c r="F24" i="2"/>
  <c r="F32" i="2"/>
  <c r="F23" i="2"/>
  <c r="F11" i="2"/>
  <c r="F10" i="2"/>
  <c r="F9" i="2"/>
  <c r="F8" i="2"/>
  <c r="F14" i="2"/>
  <c r="F7" i="2"/>
  <c r="F42" i="2"/>
  <c r="F41" i="2"/>
</calcChain>
</file>

<file path=xl/sharedStrings.xml><?xml version="1.0" encoding="utf-8"?>
<sst xmlns="http://schemas.openxmlformats.org/spreadsheetml/2006/main" count="1867" uniqueCount="317">
  <si>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</si>
  <si>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</si>
  <si>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</si>
  <si>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</si>
  <si>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</si>
  <si>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</si>
  <si>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</si>
  <si>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</si>
  <si>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</si>
  <si>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</si>
  <si>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</si>
  <si>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</si>
  <si>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</si>
  <si>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</si>
  <si>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</si>
  <si>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</si>
  <si>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</si>
  <si>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</si>
  <si>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</si>
  <si>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</si>
  <si>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</si>
  <si>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</si>
  <si>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</si>
  <si>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</si>
  <si>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</si>
  <si>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</si>
  <si>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</si>
  <si>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</si>
  <si>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</si>
  <si>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</si>
  <si>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</si>
  <si>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</si>
  <si>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</si>
  <si>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</si>
  <si>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</si>
  <si>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</si>
  <si>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</si>
  <si>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</si>
  <si>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</si>
  <si>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</si>
  <si>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</si>
  <si>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</si>
  <si>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LISKOVEC FRANK E</t>
  </si>
  <si>
    <t>CERNY BRACHER LORI M</t>
  </si>
  <si>
    <t>00023174017K</t>
  </si>
  <si>
    <t>1J73E63AK14</t>
  </si>
  <si>
    <t/>
  </si>
  <si>
    <t>MA</t>
  </si>
  <si>
    <t>LV</t>
  </si>
  <si>
    <t>MAY</t>
  </si>
  <si>
    <t>F</t>
  </si>
  <si>
    <t>MEDICARE</t>
  </si>
  <si>
    <t>MEP</t>
  </si>
  <si>
    <t>FIRST YEAR COMMISSIONS</t>
  </si>
  <si>
    <t>ARCF</t>
  </si>
  <si>
    <t>H5216</t>
  </si>
  <si>
    <t>CHOI ANDREW J</t>
  </si>
  <si>
    <t>DYMOND RETHA H</t>
  </si>
  <si>
    <t>00023154874K</t>
  </si>
  <si>
    <t>1UW2W38YX04</t>
  </si>
  <si>
    <t>APR</t>
  </si>
  <si>
    <t>REMIAS THERESA J</t>
  </si>
  <si>
    <t>00023157542K</t>
  </si>
  <si>
    <t>9C76MC3GR59</t>
  </si>
  <si>
    <t>BOGARDUS III THOMAS L</t>
  </si>
  <si>
    <t>00023168907K</t>
  </si>
  <si>
    <t>1J71GG8EN36</t>
  </si>
  <si>
    <t>JUN</t>
  </si>
  <si>
    <t>PDP</t>
  </si>
  <si>
    <t>S5884</t>
  </si>
  <si>
    <t>TEIPEL GREGORY K</t>
  </si>
  <si>
    <t>HARTRY NATHAN D</t>
  </si>
  <si>
    <t>00021558272K</t>
  </si>
  <si>
    <t>3XD7Y23WV37</t>
  </si>
  <si>
    <t>NOLAND PATRICIA A</t>
  </si>
  <si>
    <t>00022106692K</t>
  </si>
  <si>
    <t>2GM3QR4QA60</t>
  </si>
  <si>
    <t>FEB</t>
  </si>
  <si>
    <t>R</t>
  </si>
  <si>
    <t>MER</t>
  </si>
  <si>
    <t>RENEWAL COMMISSIONS</t>
  </si>
  <si>
    <t>ARCM</t>
  </si>
  <si>
    <t>H5619</t>
  </si>
  <si>
    <t>ALOFF ARNOLD T</t>
  </si>
  <si>
    <t>HRONOPOULOS JOANNE A</t>
  </si>
  <si>
    <t>00023163634K</t>
  </si>
  <si>
    <t>3FG7FW1KT67</t>
  </si>
  <si>
    <t>MAR</t>
  </si>
  <si>
    <t>H1468</t>
  </si>
  <si>
    <t>HUNSBERGER ANTHONY J</t>
  </si>
  <si>
    <t>HUNSBERGER PATRICIA A</t>
  </si>
  <si>
    <t>00010220392K</t>
  </si>
  <si>
    <t>7TE6UR8WY51</t>
  </si>
  <si>
    <t>LIGGETT JAMES B</t>
  </si>
  <si>
    <t>00011177340K</t>
  </si>
  <si>
    <t>4MY3J33NM07</t>
  </si>
  <si>
    <t>JAN</t>
  </si>
  <si>
    <t>FRIEDMAN MILTON</t>
  </si>
  <si>
    <t>00022963642K</t>
  </si>
  <si>
    <t>2MR4TA6UV90</t>
  </si>
  <si>
    <t>BEXHETI KURTISH</t>
  </si>
  <si>
    <t>00023174321K</t>
  </si>
  <si>
    <t>3JR3QH8KV90</t>
  </si>
  <si>
    <t>COLOVOS LISA A</t>
  </si>
  <si>
    <t>00023177736K</t>
  </si>
  <si>
    <t>6HV7A95RN45</t>
  </si>
  <si>
    <t>WALENGA DALE J</t>
  </si>
  <si>
    <t>BEIGEL GERALDINE R</t>
  </si>
  <si>
    <t>00022601965K</t>
  </si>
  <si>
    <t>4GU9MV5NW41</t>
  </si>
  <si>
    <t>CLOW JAMES T</t>
  </si>
  <si>
    <t>00023163873K</t>
  </si>
  <si>
    <t>6QY5KM8CA60</t>
  </si>
  <si>
    <t>YALE RICHARD A A</t>
  </si>
  <si>
    <t>COHEN AIMEE C</t>
  </si>
  <si>
    <t>00023161838K</t>
  </si>
  <si>
    <t>4XP1VY7PQ31</t>
  </si>
  <si>
    <t>DRAPAC STEPHANIE E</t>
  </si>
  <si>
    <t>RICHARDSON RITA A</t>
  </si>
  <si>
    <t>00008794496K</t>
  </si>
  <si>
    <t>8VX8FA4KK45</t>
  </si>
  <si>
    <t>CHINDERLE BRIAN T</t>
  </si>
  <si>
    <t>00021970944K</t>
  </si>
  <si>
    <t>5Q91W58RV04</t>
  </si>
  <si>
    <t>INSKIPT DEBORAH L</t>
  </si>
  <si>
    <t>MISSENDA JAMES T</t>
  </si>
  <si>
    <t>00023132160K</t>
  </si>
  <si>
    <t>4ER5WN9MU97</t>
  </si>
  <si>
    <t>H5525</t>
  </si>
  <si>
    <t>PORTUGAL GARY</t>
  </si>
  <si>
    <t>FITZPATRICK RENEE M</t>
  </si>
  <si>
    <t>00023178815K</t>
  </si>
  <si>
    <t>4G66KU9XF59</t>
  </si>
  <si>
    <t>ABDUL SAADIA S</t>
  </si>
  <si>
    <t>KAJOHN CHARLES W</t>
  </si>
  <si>
    <t>00023171146K</t>
  </si>
  <si>
    <t>8P07GT2PQ41</t>
  </si>
  <si>
    <t>SANTOS RICARDO D</t>
  </si>
  <si>
    <t>SHARAPOVA MARINA A</t>
  </si>
  <si>
    <t>00023154864K</t>
  </si>
  <si>
    <t>6KG1R75XN94</t>
  </si>
  <si>
    <t>WERNER STEVEN D</t>
  </si>
  <si>
    <t>GLOVER EVELYN L</t>
  </si>
  <si>
    <t>00022063861K</t>
  </si>
  <si>
    <t>5TM1J84CK06</t>
  </si>
  <si>
    <t>WUENSCH RICHARD</t>
  </si>
  <si>
    <t>PENA ADOLFO</t>
  </si>
  <si>
    <t>00013714586K</t>
  </si>
  <si>
    <t>7CX3JT2QY96</t>
  </si>
  <si>
    <t>PENA GRACIELA</t>
  </si>
  <si>
    <t>00018658012K</t>
  </si>
  <si>
    <t>1XA6JA7GW65</t>
  </si>
  <si>
    <t>DUNAVANT MICHAEL</t>
  </si>
  <si>
    <t>BROCKMAN RICHARD D</t>
  </si>
  <si>
    <t>00000192144F</t>
  </si>
  <si>
    <t>1J10CC4KQ32</t>
  </si>
  <si>
    <t>BRAMMEIER SHARI</t>
  </si>
  <si>
    <t>00023171733K</t>
  </si>
  <si>
    <t>6HE1RE8PQ24</t>
  </si>
  <si>
    <t>PORTUGAL STACEY A</t>
  </si>
  <si>
    <t>ONEAL BONNIE R</t>
  </si>
  <si>
    <t>00013294955K</t>
  </si>
  <si>
    <t>4YE5KQ1PH50</t>
  </si>
  <si>
    <t>DEATON PAMELA S</t>
  </si>
  <si>
    <t>Philipsen Nancy</t>
  </si>
  <si>
    <t>9028212430</t>
  </si>
  <si>
    <t>IN</t>
  </si>
  <si>
    <t>CB</t>
  </si>
  <si>
    <t>VISION</t>
  </si>
  <si>
    <t>COMPBENEFITS RENEWAL COMMISSION</t>
  </si>
  <si>
    <t>CRCM</t>
  </si>
  <si>
    <t>Young Joanna</t>
  </si>
  <si>
    <t>9028406240</t>
  </si>
  <si>
    <t>Dornbierer Christie</t>
  </si>
  <si>
    <t>9029611520</t>
  </si>
  <si>
    <t>COMPBENEFITS FIRST YEAR COMMISSION</t>
  </si>
  <si>
    <t>CRCF</t>
  </si>
  <si>
    <t>Ward Christopher</t>
  </si>
  <si>
    <t>9029691910</t>
  </si>
  <si>
    <t>DENTAL</t>
  </si>
  <si>
    <t>9029691920</t>
  </si>
  <si>
    <t>TATRO MELISSA</t>
  </si>
  <si>
    <t>KOGUT  AND WILSON LLC</t>
  </si>
  <si>
    <t>000000416672</t>
  </si>
  <si>
    <t>GR</t>
  </si>
  <si>
    <t>EM</t>
  </si>
  <si>
    <t>LEE JOEL N</t>
  </si>
  <si>
    <t>WORLDWIDE SOURCING AND SO</t>
  </si>
  <si>
    <t>000000853911</t>
  </si>
  <si>
    <t>RICHTER ADAM J</t>
  </si>
  <si>
    <t>WINN KENNETH</t>
  </si>
  <si>
    <t>00000969824A</t>
  </si>
  <si>
    <t>MS</t>
  </si>
  <si>
    <t>MED SUPP ANNUALIZED STANDARD</t>
  </si>
  <si>
    <t>MSAS</t>
  </si>
  <si>
    <t>YALE JACOB D</t>
  </si>
  <si>
    <t>NC CAPITAL PARTERS LLC</t>
  </si>
  <si>
    <t>000000413180</t>
  </si>
  <si>
    <t>BASIC LIFE</t>
  </si>
  <si>
    <t>BASIC AD&amp;D</t>
  </si>
  <si>
    <t>Green Patti</t>
  </si>
  <si>
    <t>9029455080</t>
  </si>
  <si>
    <t>KOZACHECK ANNE MARIE</t>
  </si>
  <si>
    <t>Ferrari Massimo</t>
  </si>
  <si>
    <t>9030047190</t>
  </si>
  <si>
    <t>MARKET FLYER BONUS</t>
  </si>
  <si>
    <t>MKTB</t>
  </si>
  <si>
    <t>Humana Group 2025</t>
  </si>
  <si>
    <t>Humana Dental &amp; Vision</t>
  </si>
  <si>
    <t>Humana 65-80 AL, AZ, AR, GA, etc. All Except N OE &amp; UW</t>
  </si>
  <si>
    <t>Humana 2025 CT, PA, DC *</t>
  </si>
  <si>
    <t>Humana MAPD 2025*</t>
  </si>
  <si>
    <t>Humana PDP 2025!</t>
  </si>
  <si>
    <t>[%/$=313][prorate=8/12]</t>
  </si>
  <si>
    <t>[%/$=313][prorate=9/12]</t>
  </si>
  <si>
    <t>[%/$=313][prorate=1/12]</t>
  </si>
  <si>
    <t>[%/$=313][prorate=10/12]</t>
  </si>
  <si>
    <t>[%/$=313][prorate=7/12]</t>
  </si>
  <si>
    <t>17528908N</t>
  </si>
  <si>
    <t>KAJOHN</t>
  </si>
  <si>
    <t>CHARLES</t>
  </si>
  <si>
    <t>HRONOPOULOS</t>
  </si>
  <si>
    <t>JOANNE</t>
  </si>
  <si>
    <t>DYMOND</t>
  </si>
  <si>
    <t>RETHA</t>
  </si>
  <si>
    <t>REMIAS</t>
  </si>
  <si>
    <t>THERESA</t>
  </si>
  <si>
    <t>BOGARDUS</t>
  </si>
  <si>
    <t>THOMAS</t>
  </si>
  <si>
    <t>Ward</t>
  </si>
  <si>
    <t>Christopher</t>
  </si>
  <si>
    <t>Philipsen</t>
  </si>
  <si>
    <t>Nancy</t>
  </si>
  <si>
    <t>Young</t>
  </si>
  <si>
    <t>Joanna</t>
  </si>
  <si>
    <t>Dornbierer</t>
  </si>
  <si>
    <t>Christie</t>
  </si>
  <si>
    <t>RICHARDSON</t>
  </si>
  <si>
    <t>RITA</t>
  </si>
  <si>
    <t>CHINDERLE</t>
  </si>
  <si>
    <t>BRIAN</t>
  </si>
  <si>
    <t>Green</t>
  </si>
  <si>
    <t>Patti</t>
  </si>
  <si>
    <t>BROCKMAN</t>
  </si>
  <si>
    <t>RICHARD</t>
  </si>
  <si>
    <t>BRAMMEIER</t>
  </si>
  <si>
    <t>SHARI</t>
  </si>
  <si>
    <t>HUNSBERGER</t>
  </si>
  <si>
    <t>PATRICIA</t>
  </si>
  <si>
    <t>LIGGETT</t>
  </si>
  <si>
    <t>JAMES</t>
  </si>
  <si>
    <t>FRIEDMAN</t>
  </si>
  <si>
    <t>MILTON</t>
  </si>
  <si>
    <t>BEXHETI</t>
  </si>
  <si>
    <t>KURTISH</t>
  </si>
  <si>
    <t>COLOVOS</t>
  </si>
  <si>
    <t>LISA</t>
  </si>
  <si>
    <t>MISSENDA</t>
  </si>
  <si>
    <t>Ferrari</t>
  </si>
  <si>
    <t>Massimo</t>
  </si>
  <si>
    <t>CERNY</t>
  </si>
  <si>
    <t>LORI</t>
  </si>
  <si>
    <t>FITZPATRICK</t>
  </si>
  <si>
    <t>RENEE</t>
  </si>
  <si>
    <t>ONEAL</t>
  </si>
  <si>
    <t>BONNIE</t>
  </si>
  <si>
    <t>WINN</t>
  </si>
  <si>
    <t>KENNETH</t>
  </si>
  <si>
    <t>SHARAPOVA</t>
  </si>
  <si>
    <t>MARINA</t>
  </si>
  <si>
    <t>HARTRY</t>
  </si>
  <si>
    <t>NATHAN</t>
  </si>
  <si>
    <t>NOLAND</t>
  </si>
  <si>
    <t>BEIGEL</t>
  </si>
  <si>
    <t>GERALDINE</t>
  </si>
  <si>
    <t>CLOW</t>
  </si>
  <si>
    <t>GLOVER</t>
  </si>
  <si>
    <t>EVELYN</t>
  </si>
  <si>
    <t>PENA</t>
  </si>
  <si>
    <t>ADOLFO</t>
  </si>
  <si>
    <t>GRACIELA</t>
  </si>
  <si>
    <t>COHEN</t>
  </si>
  <si>
    <t>AIMEE</t>
  </si>
  <si>
    <t>CHARLES KAJOHN</t>
  </si>
  <si>
    <t>JOANNE HRONOPOULOS</t>
  </si>
  <si>
    <t>RETHA DYMOND</t>
  </si>
  <si>
    <t>THERESA REMIAS</t>
  </si>
  <si>
    <t>THOMAS BOGARDUS</t>
  </si>
  <si>
    <t>Christopher Ward</t>
  </si>
  <si>
    <t>Nancy Philipsen</t>
  </si>
  <si>
    <t>Joanna Young</t>
  </si>
  <si>
    <t>Christie Dornbierer</t>
  </si>
  <si>
    <t>RITA RICHARDSON</t>
  </si>
  <si>
    <t>BRIAN CHINDERLE</t>
  </si>
  <si>
    <t>Patti Green</t>
  </si>
  <si>
    <t>RICHARD BROCKMAN</t>
  </si>
  <si>
    <t>SHARI BRAMMEIER</t>
  </si>
  <si>
    <t>PATRICIA HUNSBERGER</t>
  </si>
  <si>
    <t>JAMES LIGGETT</t>
  </si>
  <si>
    <t>MILTON FRIEDMAN</t>
  </si>
  <si>
    <t>KURTISH BEXHETI</t>
  </si>
  <si>
    <t>LISA COLOVOS</t>
  </si>
  <si>
    <t>JAMES MISSENDA</t>
  </si>
  <si>
    <t>Massimo Ferrari</t>
  </si>
  <si>
    <t>LORI CERNY</t>
  </si>
  <si>
    <t>RENEE FITZPATRICK</t>
  </si>
  <si>
    <t>BONNIE ONEAL</t>
  </si>
  <si>
    <t>KENNETH WINN</t>
  </si>
  <si>
    <t>MARINA SHARAPOVA</t>
  </si>
  <si>
    <t>NATHAN HARTRY</t>
  </si>
  <si>
    <t>PATRICIA NOLAND</t>
  </si>
  <si>
    <t>GERALDINE BEIGEL</t>
  </si>
  <si>
    <t>JAMES CLOW</t>
  </si>
  <si>
    <t>EVELYN GLOVER</t>
  </si>
  <si>
    <t>ADOLFO PENA</t>
  </si>
  <si>
    <t>GRACIELA PENA</t>
  </si>
  <si>
    <t>AIMEE COHEN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</si>
</sst>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8" fillId="0" borderId="0" xfId="0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0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19" fillId="0" borderId="0" xfId="0" applyFont="1" applyFill="1"/>
    <xf numFmtId="1" fontId="19" fillId="0" borderId="0" xfId="0" applyNumberFormat="1" applyFont="1" applyFill="1" applyAlignment="1">
      <alignment horizontal="right"/>
    </xf>
    <xf numFmtId="0" fontId="0" fillId="0" borderId="0" xfId="0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AAED-E326-4444-8711-BC88D3E0396C}">
  <dimension ref="A1:AP46"/>
  <sheetViews>
    <sheetView topLeftCell="L1" workbookViewId="0">
      <selection activeCell="N39" sqref="N39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45728</v>
      </c>
      <c r="C2" s="4" t="s">
        <v>42</v>
      </c>
      <c r="D2" s="2">
        <v>1427681</v>
      </c>
      <c r="E2" s="4" t="s">
        <v>43</v>
      </c>
      <c r="F2" s="4" t="s">
        <v>44</v>
      </c>
      <c r="G2" s="2">
        <v>296925370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45778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0.67</v>
      </c>
      <c r="W2" s="5">
        <v>0</v>
      </c>
      <c r="X2" s="5">
        <v>100</v>
      </c>
      <c r="Y2" s="5">
        <v>208.67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45778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45728</v>
      </c>
      <c r="C3" s="4" t="s">
        <v>56</v>
      </c>
      <c r="D3" s="2">
        <v>1466196</v>
      </c>
      <c r="E3" s="4" t="s">
        <v>57</v>
      </c>
      <c r="F3" s="4" t="s">
        <v>58</v>
      </c>
      <c r="G3" s="2">
        <v>207836154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45748</v>
      </c>
      <c r="M3" s="4" t="s">
        <v>60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0.75</v>
      </c>
      <c r="W3" s="5">
        <v>0</v>
      </c>
      <c r="X3" s="5">
        <v>100</v>
      </c>
      <c r="Y3" s="5">
        <v>234.75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45748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45728</v>
      </c>
      <c r="C4" s="4" t="s">
        <v>56</v>
      </c>
      <c r="D4" s="2">
        <v>1466196</v>
      </c>
      <c r="E4" s="4" t="s">
        <v>61</v>
      </c>
      <c r="F4" s="4" t="s">
        <v>62</v>
      </c>
      <c r="G4" s="2">
        <v>580588373</v>
      </c>
      <c r="H4" s="4" t="s">
        <v>63</v>
      </c>
      <c r="I4" s="4" t="s">
        <v>46</v>
      </c>
      <c r="J4" s="4" t="s">
        <v>47</v>
      </c>
      <c r="K4" s="4" t="s">
        <v>48</v>
      </c>
      <c r="L4" s="3">
        <v>45748</v>
      </c>
      <c r="M4" s="4" t="s">
        <v>60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0.75</v>
      </c>
      <c r="W4" s="5">
        <v>0</v>
      </c>
      <c r="X4" s="5">
        <v>100</v>
      </c>
      <c r="Y4" s="5">
        <v>234.75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45748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45728</v>
      </c>
      <c r="C5" s="4" t="s">
        <v>56</v>
      </c>
      <c r="D5" s="2">
        <v>1466196</v>
      </c>
      <c r="E5" s="4" t="s">
        <v>64</v>
      </c>
      <c r="F5" s="4" t="s">
        <v>65</v>
      </c>
      <c r="G5" s="2">
        <v>402168334</v>
      </c>
      <c r="H5" s="4" t="s">
        <v>66</v>
      </c>
      <c r="I5" s="4" t="s">
        <v>46</v>
      </c>
      <c r="J5" s="4" t="s">
        <v>47</v>
      </c>
      <c r="K5" s="4" t="s">
        <v>48</v>
      </c>
      <c r="L5" s="3">
        <v>45809</v>
      </c>
      <c r="M5" s="4" t="s">
        <v>67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68</v>
      </c>
      <c r="U5" s="4" t="s">
        <v>46</v>
      </c>
      <c r="V5" s="5">
        <v>0.57999999999999996</v>
      </c>
      <c r="W5" s="5">
        <v>0</v>
      </c>
      <c r="X5" s="5">
        <v>100</v>
      </c>
      <c r="Y5" s="5">
        <v>32.08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45809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69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45728</v>
      </c>
      <c r="C6" s="4" t="s">
        <v>70</v>
      </c>
      <c r="D6" s="2">
        <v>1509770</v>
      </c>
      <c r="E6" s="4" t="s">
        <v>71</v>
      </c>
      <c r="F6" s="4" t="s">
        <v>72</v>
      </c>
      <c r="G6" s="2">
        <v>220015563</v>
      </c>
      <c r="H6" s="4" t="s">
        <v>73</v>
      </c>
      <c r="I6" s="4" t="s">
        <v>46</v>
      </c>
      <c r="J6" s="4" t="s">
        <v>47</v>
      </c>
      <c r="K6" s="4" t="s">
        <v>48</v>
      </c>
      <c r="L6" s="3">
        <v>45748</v>
      </c>
      <c r="M6" s="4" t="s">
        <v>60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0.75</v>
      </c>
      <c r="W6" s="5">
        <v>0</v>
      </c>
      <c r="X6" s="5">
        <v>100</v>
      </c>
      <c r="Y6" s="5">
        <v>234.75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45748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45728</v>
      </c>
      <c r="C7" s="4" t="s">
        <v>70</v>
      </c>
      <c r="D7" s="2">
        <v>1509770</v>
      </c>
      <c r="E7" s="4" t="s">
        <v>74</v>
      </c>
      <c r="F7" s="4" t="s">
        <v>75</v>
      </c>
      <c r="G7" s="2">
        <v>693780293</v>
      </c>
      <c r="H7" s="4" t="s">
        <v>76</v>
      </c>
      <c r="I7" s="4" t="s">
        <v>46</v>
      </c>
      <c r="J7" s="4" t="s">
        <v>47</v>
      </c>
      <c r="K7" s="4" t="s">
        <v>48</v>
      </c>
      <c r="L7" s="3">
        <v>45689</v>
      </c>
      <c r="M7" s="4" t="s">
        <v>77</v>
      </c>
      <c r="N7" s="4" t="s">
        <v>46</v>
      </c>
      <c r="O7" s="4" t="s">
        <v>78</v>
      </c>
      <c r="P7" s="4" t="s">
        <v>46</v>
      </c>
      <c r="Q7" s="2">
        <v>1</v>
      </c>
      <c r="R7" s="2">
        <v>17</v>
      </c>
      <c r="S7" s="4" t="s">
        <v>51</v>
      </c>
      <c r="T7" s="4" t="s">
        <v>79</v>
      </c>
      <c r="U7" s="4" t="s">
        <v>46</v>
      </c>
      <c r="V7" s="5">
        <v>-1</v>
      </c>
      <c r="W7" s="5">
        <v>0</v>
      </c>
      <c r="X7" s="5">
        <v>100</v>
      </c>
      <c r="Y7" s="5">
        <v>-26.08</v>
      </c>
      <c r="Z7" s="4" t="s">
        <v>46</v>
      </c>
      <c r="AA7" s="5" t="s">
        <v>46</v>
      </c>
      <c r="AB7" s="4" t="s">
        <v>80</v>
      </c>
      <c r="AC7" s="4" t="s">
        <v>46</v>
      </c>
      <c r="AD7" s="5">
        <v>0</v>
      </c>
      <c r="AE7" s="4" t="s">
        <v>81</v>
      </c>
      <c r="AF7" s="3">
        <v>45597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82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45728</v>
      </c>
      <c r="C8" s="4" t="s">
        <v>83</v>
      </c>
      <c r="D8" s="2">
        <v>1509866</v>
      </c>
      <c r="E8" s="4" t="s">
        <v>84</v>
      </c>
      <c r="F8" s="4" t="s">
        <v>85</v>
      </c>
      <c r="G8" s="2">
        <v>508358305</v>
      </c>
      <c r="H8" s="4" t="s">
        <v>86</v>
      </c>
      <c r="I8" s="4" t="s">
        <v>46</v>
      </c>
      <c r="J8" s="4" t="s">
        <v>47</v>
      </c>
      <c r="K8" s="4" t="s">
        <v>48</v>
      </c>
      <c r="L8" s="3">
        <v>45717</v>
      </c>
      <c r="M8" s="4" t="s">
        <v>87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79</v>
      </c>
      <c r="U8" s="4" t="s">
        <v>46</v>
      </c>
      <c r="V8" s="5">
        <v>0.83</v>
      </c>
      <c r="W8" s="5">
        <v>0</v>
      </c>
      <c r="X8" s="5">
        <v>100</v>
      </c>
      <c r="Y8" s="5">
        <v>260.83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45717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88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45728</v>
      </c>
      <c r="C9" s="4" t="s">
        <v>89</v>
      </c>
      <c r="D9" s="2">
        <v>1510420</v>
      </c>
      <c r="E9" s="4" t="s">
        <v>90</v>
      </c>
      <c r="F9" s="4" t="s">
        <v>91</v>
      </c>
      <c r="G9" s="2">
        <v>467275362</v>
      </c>
      <c r="H9" s="4" t="s">
        <v>92</v>
      </c>
      <c r="I9" s="4" t="s">
        <v>46</v>
      </c>
      <c r="J9" s="4" t="s">
        <v>47</v>
      </c>
      <c r="K9" s="4" t="s">
        <v>48</v>
      </c>
      <c r="L9" s="3">
        <v>45748</v>
      </c>
      <c r="M9" s="4" t="s">
        <v>60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0.75</v>
      </c>
      <c r="W9" s="5">
        <v>0</v>
      </c>
      <c r="X9" s="5">
        <v>100</v>
      </c>
      <c r="Y9" s="5">
        <v>234.75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45748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45728</v>
      </c>
      <c r="C10" s="4" t="s">
        <v>89</v>
      </c>
      <c r="D10" s="2">
        <v>1510420</v>
      </c>
      <c r="E10" s="4" t="s">
        <v>93</v>
      </c>
      <c r="F10" s="4" t="s">
        <v>94</v>
      </c>
      <c r="G10" s="2">
        <v>248799194</v>
      </c>
      <c r="H10" s="4" t="s">
        <v>95</v>
      </c>
      <c r="I10" s="4" t="s">
        <v>46</v>
      </c>
      <c r="J10" s="4" t="s">
        <v>47</v>
      </c>
      <c r="K10" s="4" t="s">
        <v>48</v>
      </c>
      <c r="L10" s="3">
        <v>45658</v>
      </c>
      <c r="M10" s="4" t="s">
        <v>96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-0.75</v>
      </c>
      <c r="W10" s="5">
        <v>0</v>
      </c>
      <c r="X10" s="5">
        <v>100</v>
      </c>
      <c r="Y10" s="5">
        <v>-234.75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45658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45728</v>
      </c>
      <c r="C11" s="4" t="s">
        <v>89</v>
      </c>
      <c r="D11" s="2">
        <v>1510420</v>
      </c>
      <c r="E11" s="4" t="s">
        <v>97</v>
      </c>
      <c r="F11" s="4" t="s">
        <v>98</v>
      </c>
      <c r="G11" s="2">
        <v>388986313</v>
      </c>
      <c r="H11" s="4" t="s">
        <v>99</v>
      </c>
      <c r="I11" s="4" t="s">
        <v>46</v>
      </c>
      <c r="J11" s="4" t="s">
        <v>47</v>
      </c>
      <c r="K11" s="4" t="s">
        <v>48</v>
      </c>
      <c r="L11" s="3">
        <v>45658</v>
      </c>
      <c r="M11" s="4" t="s">
        <v>96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68</v>
      </c>
      <c r="U11" s="4" t="s">
        <v>46</v>
      </c>
      <c r="V11" s="5">
        <v>-0.92</v>
      </c>
      <c r="W11" s="5">
        <v>0</v>
      </c>
      <c r="X11" s="5">
        <v>100</v>
      </c>
      <c r="Y11" s="5">
        <v>-50.42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45658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69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45728</v>
      </c>
      <c r="C12" s="4" t="s">
        <v>89</v>
      </c>
      <c r="D12" s="2">
        <v>1510420</v>
      </c>
      <c r="E12" s="4" t="s">
        <v>100</v>
      </c>
      <c r="F12" s="4" t="s">
        <v>101</v>
      </c>
      <c r="G12" s="2">
        <v>344806130</v>
      </c>
      <c r="H12" s="4" t="s">
        <v>102</v>
      </c>
      <c r="I12" s="4" t="s">
        <v>46</v>
      </c>
      <c r="J12" s="4" t="s">
        <v>47</v>
      </c>
      <c r="K12" s="4" t="s">
        <v>48</v>
      </c>
      <c r="L12" s="3">
        <v>45748</v>
      </c>
      <c r="M12" s="4" t="s">
        <v>60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0.75</v>
      </c>
      <c r="W12" s="5">
        <v>0</v>
      </c>
      <c r="X12" s="5">
        <v>100</v>
      </c>
      <c r="Y12" s="5">
        <v>234.75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45748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45728</v>
      </c>
      <c r="C13" s="4" t="s">
        <v>89</v>
      </c>
      <c r="D13" s="2">
        <v>1510420</v>
      </c>
      <c r="E13" s="4" t="s">
        <v>103</v>
      </c>
      <c r="F13" s="4" t="s">
        <v>104</v>
      </c>
      <c r="G13" s="2">
        <v>887588423</v>
      </c>
      <c r="H13" s="4" t="s">
        <v>105</v>
      </c>
      <c r="I13" s="4" t="s">
        <v>46</v>
      </c>
      <c r="J13" s="4" t="s">
        <v>47</v>
      </c>
      <c r="K13" s="4" t="s">
        <v>48</v>
      </c>
      <c r="L13" s="3">
        <v>45748</v>
      </c>
      <c r="M13" s="4" t="s">
        <v>60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0.75</v>
      </c>
      <c r="W13" s="5">
        <v>0</v>
      </c>
      <c r="X13" s="5">
        <v>100</v>
      </c>
      <c r="Y13" s="5">
        <v>234.75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45748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45728</v>
      </c>
      <c r="C14" s="4" t="s">
        <v>106</v>
      </c>
      <c r="D14" s="2">
        <v>1535078</v>
      </c>
      <c r="E14" s="4" t="s">
        <v>107</v>
      </c>
      <c r="F14" s="4" t="s">
        <v>108</v>
      </c>
      <c r="G14" s="2">
        <v>20061511</v>
      </c>
      <c r="H14" s="4" t="s">
        <v>109</v>
      </c>
      <c r="I14" s="4" t="s">
        <v>46</v>
      </c>
      <c r="J14" s="4" t="s">
        <v>47</v>
      </c>
      <c r="K14" s="4" t="s">
        <v>48</v>
      </c>
      <c r="L14" s="3">
        <v>45658</v>
      </c>
      <c r="M14" s="4" t="s">
        <v>96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-0.75</v>
      </c>
      <c r="W14" s="5">
        <v>0</v>
      </c>
      <c r="X14" s="5">
        <v>100</v>
      </c>
      <c r="Y14" s="5">
        <v>-234.75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45658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45728</v>
      </c>
      <c r="C15" s="4" t="s">
        <v>106</v>
      </c>
      <c r="D15" s="2">
        <v>1535078</v>
      </c>
      <c r="E15" s="4" t="s">
        <v>110</v>
      </c>
      <c r="F15" s="4" t="s">
        <v>111</v>
      </c>
      <c r="G15" s="2">
        <v>546589004</v>
      </c>
      <c r="H15" s="4" t="s">
        <v>112</v>
      </c>
      <c r="I15" s="4" t="s">
        <v>46</v>
      </c>
      <c r="J15" s="4" t="s">
        <v>47</v>
      </c>
      <c r="K15" s="4" t="s">
        <v>48</v>
      </c>
      <c r="L15" s="3">
        <v>45748</v>
      </c>
      <c r="M15" s="4" t="s">
        <v>60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0.75</v>
      </c>
      <c r="W15" s="5">
        <v>0</v>
      </c>
      <c r="X15" s="5">
        <v>100</v>
      </c>
      <c r="Y15" s="5">
        <v>234.75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45748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45728</v>
      </c>
      <c r="C16" s="4" t="s">
        <v>113</v>
      </c>
      <c r="D16" s="2">
        <v>1573279</v>
      </c>
      <c r="E16" s="4" t="s">
        <v>114</v>
      </c>
      <c r="F16" s="4" t="s">
        <v>115</v>
      </c>
      <c r="G16" s="2">
        <v>186582544</v>
      </c>
      <c r="H16" s="4" t="s">
        <v>116</v>
      </c>
      <c r="I16" s="4" t="s">
        <v>46</v>
      </c>
      <c r="J16" s="4" t="s">
        <v>47</v>
      </c>
      <c r="K16" s="4" t="s">
        <v>48</v>
      </c>
      <c r="L16" s="3">
        <v>45748</v>
      </c>
      <c r="M16" s="4" t="s">
        <v>60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0.75</v>
      </c>
      <c r="W16" s="5">
        <v>0</v>
      </c>
      <c r="X16" s="5">
        <v>100</v>
      </c>
      <c r="Y16" s="5">
        <v>234.75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45748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45728</v>
      </c>
      <c r="C17" s="4" t="s">
        <v>117</v>
      </c>
      <c r="D17" s="2">
        <v>1626475</v>
      </c>
      <c r="E17" s="4" t="s">
        <v>118</v>
      </c>
      <c r="F17" s="4" t="s">
        <v>119</v>
      </c>
      <c r="G17" s="2">
        <v>86848475</v>
      </c>
      <c r="H17" s="4" t="s">
        <v>120</v>
      </c>
      <c r="I17" s="4" t="s">
        <v>46</v>
      </c>
      <c r="J17" s="4" t="s">
        <v>47</v>
      </c>
      <c r="K17" s="4" t="s">
        <v>48</v>
      </c>
      <c r="L17" s="3">
        <v>45717</v>
      </c>
      <c r="M17" s="4" t="s">
        <v>87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0.83</v>
      </c>
      <c r="W17" s="5">
        <v>0</v>
      </c>
      <c r="X17" s="5">
        <v>100</v>
      </c>
      <c r="Y17" s="5">
        <v>260.83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45717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45728</v>
      </c>
      <c r="C18" s="4" t="s">
        <v>117</v>
      </c>
      <c r="D18" s="2">
        <v>1626475</v>
      </c>
      <c r="E18" s="4" t="s">
        <v>121</v>
      </c>
      <c r="F18" s="4" t="s">
        <v>122</v>
      </c>
      <c r="G18" s="2">
        <v>142126513</v>
      </c>
      <c r="H18" s="4" t="s">
        <v>123</v>
      </c>
      <c r="I18" s="4" t="s">
        <v>46</v>
      </c>
      <c r="J18" s="4" t="s">
        <v>47</v>
      </c>
      <c r="K18" s="4" t="s">
        <v>48</v>
      </c>
      <c r="L18" s="3">
        <v>45717</v>
      </c>
      <c r="M18" s="4" t="s">
        <v>87</v>
      </c>
      <c r="N18" s="4" t="s">
        <v>46</v>
      </c>
      <c r="O18" s="4" t="s">
        <v>78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1</v>
      </c>
      <c r="W18" s="5">
        <v>0</v>
      </c>
      <c r="X18" s="5">
        <v>100</v>
      </c>
      <c r="Y18" s="5">
        <v>26.08</v>
      </c>
      <c r="Z18" s="4" t="s">
        <v>46</v>
      </c>
      <c r="AA18" s="5" t="s">
        <v>46</v>
      </c>
      <c r="AB18" s="4" t="s">
        <v>80</v>
      </c>
      <c r="AC18" s="4" t="s">
        <v>46</v>
      </c>
      <c r="AD18" s="5">
        <v>0</v>
      </c>
      <c r="AE18" s="4" t="s">
        <v>81</v>
      </c>
      <c r="AF18" s="3">
        <v>45566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45728</v>
      </c>
      <c r="C19" s="4" t="s">
        <v>124</v>
      </c>
      <c r="D19" s="2">
        <v>1673763</v>
      </c>
      <c r="E19" s="4" t="s">
        <v>125</v>
      </c>
      <c r="F19" s="4" t="s">
        <v>126</v>
      </c>
      <c r="G19" s="2">
        <v>63572401</v>
      </c>
      <c r="H19" s="4" t="s">
        <v>127</v>
      </c>
      <c r="I19" s="4" t="s">
        <v>46</v>
      </c>
      <c r="J19" s="4" t="s">
        <v>47</v>
      </c>
      <c r="K19" s="4" t="s">
        <v>48</v>
      </c>
      <c r="L19" s="3">
        <v>45717</v>
      </c>
      <c r="M19" s="4" t="s">
        <v>87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-0.83</v>
      </c>
      <c r="W19" s="5">
        <v>0</v>
      </c>
      <c r="X19" s="5">
        <v>100</v>
      </c>
      <c r="Y19" s="5">
        <v>-294.17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45717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128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45728</v>
      </c>
      <c r="C20" s="4" t="s">
        <v>129</v>
      </c>
      <c r="D20" s="2">
        <v>1703942</v>
      </c>
      <c r="E20" s="4" t="s">
        <v>130</v>
      </c>
      <c r="F20" s="4" t="s">
        <v>131</v>
      </c>
      <c r="G20" s="2">
        <v>233833453</v>
      </c>
      <c r="H20" s="4" t="s">
        <v>132</v>
      </c>
      <c r="I20" s="4" t="s">
        <v>46</v>
      </c>
      <c r="J20" s="4" t="s">
        <v>47</v>
      </c>
      <c r="K20" s="4" t="s">
        <v>48</v>
      </c>
      <c r="L20" s="3">
        <v>45748</v>
      </c>
      <c r="M20" s="4" t="s">
        <v>60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0.75</v>
      </c>
      <c r="W20" s="5">
        <v>0</v>
      </c>
      <c r="X20" s="5">
        <v>100</v>
      </c>
      <c r="Y20" s="5">
        <v>234.75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45748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45728</v>
      </c>
      <c r="C21" s="4" t="s">
        <v>133</v>
      </c>
      <c r="D21" s="2">
        <v>1800759</v>
      </c>
      <c r="E21" s="4" t="s">
        <v>134</v>
      </c>
      <c r="F21" s="4" t="s">
        <v>135</v>
      </c>
      <c r="G21" s="2">
        <v>841931465</v>
      </c>
      <c r="H21" s="4" t="s">
        <v>136</v>
      </c>
      <c r="I21" s="4" t="s">
        <v>46</v>
      </c>
      <c r="J21" s="4" t="s">
        <v>47</v>
      </c>
      <c r="K21" s="4" t="s">
        <v>48</v>
      </c>
      <c r="L21" s="3">
        <v>45748</v>
      </c>
      <c r="M21" s="4" t="s">
        <v>60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0.75</v>
      </c>
      <c r="W21" s="5">
        <v>0</v>
      </c>
      <c r="X21" s="5">
        <v>100</v>
      </c>
      <c r="Y21" s="5">
        <v>234.75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45748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45728</v>
      </c>
      <c r="C22" s="4" t="s">
        <v>137</v>
      </c>
      <c r="D22" s="2">
        <v>1800776</v>
      </c>
      <c r="E22" s="4" t="s">
        <v>138</v>
      </c>
      <c r="F22" s="4" t="s">
        <v>139</v>
      </c>
      <c r="G22" s="2">
        <v>205973343</v>
      </c>
      <c r="H22" s="4" t="s">
        <v>140</v>
      </c>
      <c r="I22" s="4" t="s">
        <v>46</v>
      </c>
      <c r="J22" s="4" t="s">
        <v>47</v>
      </c>
      <c r="K22" s="4" t="s">
        <v>48</v>
      </c>
      <c r="L22" s="3">
        <v>45748</v>
      </c>
      <c r="M22" s="4" t="s">
        <v>60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0.75</v>
      </c>
      <c r="W22" s="5">
        <v>0</v>
      </c>
      <c r="X22" s="5">
        <v>100</v>
      </c>
      <c r="Y22" s="5">
        <v>234.75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45748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45728</v>
      </c>
      <c r="C23" s="4" t="s">
        <v>141</v>
      </c>
      <c r="D23" s="2">
        <v>1808524</v>
      </c>
      <c r="E23" s="4" t="s">
        <v>142</v>
      </c>
      <c r="F23" s="4" t="s">
        <v>143</v>
      </c>
      <c r="G23" s="2">
        <v>594376255</v>
      </c>
      <c r="H23" s="4" t="s">
        <v>144</v>
      </c>
      <c r="I23" s="4" t="s">
        <v>46</v>
      </c>
      <c r="J23" s="4" t="s">
        <v>47</v>
      </c>
      <c r="K23" s="4" t="s">
        <v>48</v>
      </c>
      <c r="L23" s="3">
        <v>45689</v>
      </c>
      <c r="M23" s="4" t="s">
        <v>77</v>
      </c>
      <c r="N23" s="4" t="s">
        <v>46</v>
      </c>
      <c r="O23" s="4" t="s">
        <v>78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79</v>
      </c>
      <c r="U23" s="4" t="s">
        <v>46</v>
      </c>
      <c r="V23" s="5">
        <v>-1</v>
      </c>
      <c r="W23" s="5">
        <v>0</v>
      </c>
      <c r="X23" s="5">
        <v>100</v>
      </c>
      <c r="Y23" s="5">
        <v>-26.08</v>
      </c>
      <c r="Z23" s="4" t="s">
        <v>46</v>
      </c>
      <c r="AA23" s="5" t="s">
        <v>46</v>
      </c>
      <c r="AB23" s="4" t="s">
        <v>80</v>
      </c>
      <c r="AC23" s="4" t="s">
        <v>46</v>
      </c>
      <c r="AD23" s="5">
        <v>0</v>
      </c>
      <c r="AE23" s="4" t="s">
        <v>81</v>
      </c>
      <c r="AF23" s="3">
        <v>45566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88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45728</v>
      </c>
      <c r="C24" s="4" t="s">
        <v>145</v>
      </c>
      <c r="D24" s="2">
        <v>1820648</v>
      </c>
      <c r="E24" s="4" t="s">
        <v>146</v>
      </c>
      <c r="F24" s="4" t="s">
        <v>147</v>
      </c>
      <c r="G24" s="2">
        <v>23113064</v>
      </c>
      <c r="H24" s="4" t="s">
        <v>148</v>
      </c>
      <c r="I24" s="4" t="s">
        <v>46</v>
      </c>
      <c r="J24" s="4" t="s">
        <v>47</v>
      </c>
      <c r="K24" s="4" t="s">
        <v>48</v>
      </c>
      <c r="L24" s="3">
        <v>45748</v>
      </c>
      <c r="M24" s="4" t="s">
        <v>60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79</v>
      </c>
      <c r="U24" s="4" t="s">
        <v>46</v>
      </c>
      <c r="V24" s="5">
        <v>0.75</v>
      </c>
      <c r="W24" s="5">
        <v>0</v>
      </c>
      <c r="X24" s="5">
        <v>100</v>
      </c>
      <c r="Y24" s="5">
        <v>234.75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45748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88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45728</v>
      </c>
      <c r="C25" s="4" t="s">
        <v>145</v>
      </c>
      <c r="D25" s="2">
        <v>1820648</v>
      </c>
      <c r="E25" s="4" t="s">
        <v>149</v>
      </c>
      <c r="F25" s="4" t="s">
        <v>150</v>
      </c>
      <c r="G25" s="2">
        <v>526824621</v>
      </c>
      <c r="H25" s="4" t="s">
        <v>151</v>
      </c>
      <c r="I25" s="4" t="s">
        <v>46</v>
      </c>
      <c r="J25" s="4" t="s">
        <v>47</v>
      </c>
      <c r="K25" s="4" t="s">
        <v>48</v>
      </c>
      <c r="L25" s="3">
        <v>45748</v>
      </c>
      <c r="M25" s="4" t="s">
        <v>60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79</v>
      </c>
      <c r="U25" s="4" t="s">
        <v>46</v>
      </c>
      <c r="V25" s="5">
        <v>0.75</v>
      </c>
      <c r="W25" s="5">
        <v>0</v>
      </c>
      <c r="X25" s="5">
        <v>100</v>
      </c>
      <c r="Y25" s="5">
        <v>234.75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45748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88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45728</v>
      </c>
      <c r="C26" s="4" t="s">
        <v>152</v>
      </c>
      <c r="D26" s="2">
        <v>1831491</v>
      </c>
      <c r="E26" s="4" t="s">
        <v>153</v>
      </c>
      <c r="F26" s="4" t="s">
        <v>154</v>
      </c>
      <c r="G26" s="2">
        <v>793452457</v>
      </c>
      <c r="H26" s="4" t="s">
        <v>155</v>
      </c>
      <c r="I26" s="4" t="s">
        <v>46</v>
      </c>
      <c r="J26" s="4" t="s">
        <v>47</v>
      </c>
      <c r="K26" s="4" t="s">
        <v>48</v>
      </c>
      <c r="L26" s="3">
        <v>45748</v>
      </c>
      <c r="M26" s="4" t="s">
        <v>60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0.75</v>
      </c>
      <c r="W26" s="5">
        <v>0</v>
      </c>
      <c r="X26" s="5">
        <v>100</v>
      </c>
      <c r="Y26" s="5">
        <v>234.75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45748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45728</v>
      </c>
      <c r="C27" s="4" t="s">
        <v>152</v>
      </c>
      <c r="D27" s="2">
        <v>1831491</v>
      </c>
      <c r="E27" s="4" t="s">
        <v>156</v>
      </c>
      <c r="F27" s="4" t="s">
        <v>157</v>
      </c>
      <c r="G27" s="2">
        <v>946000053</v>
      </c>
      <c r="H27" s="4" t="s">
        <v>158</v>
      </c>
      <c r="I27" s="4" t="s">
        <v>46</v>
      </c>
      <c r="J27" s="4" t="s">
        <v>47</v>
      </c>
      <c r="K27" s="4" t="s">
        <v>48</v>
      </c>
      <c r="L27" s="3">
        <v>45809</v>
      </c>
      <c r="M27" s="4" t="s">
        <v>67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0.57999999999999996</v>
      </c>
      <c r="W27" s="5">
        <v>0</v>
      </c>
      <c r="X27" s="5">
        <v>100</v>
      </c>
      <c r="Y27" s="5">
        <v>182.58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45809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45728</v>
      </c>
      <c r="C28" s="4" t="s">
        <v>159</v>
      </c>
      <c r="D28" s="2">
        <v>1855975</v>
      </c>
      <c r="E28" s="4" t="s">
        <v>160</v>
      </c>
      <c r="F28" s="4" t="s">
        <v>161</v>
      </c>
      <c r="G28" s="2">
        <v>738296381</v>
      </c>
      <c r="H28" s="4" t="s">
        <v>162</v>
      </c>
      <c r="I28" s="4" t="s">
        <v>46</v>
      </c>
      <c r="J28" s="4" t="s">
        <v>47</v>
      </c>
      <c r="K28" s="4" t="s">
        <v>48</v>
      </c>
      <c r="L28" s="3">
        <v>45748</v>
      </c>
      <c r="M28" s="4" t="s">
        <v>60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0.75</v>
      </c>
      <c r="W28" s="5">
        <v>0</v>
      </c>
      <c r="X28" s="5">
        <v>100</v>
      </c>
      <c r="Y28" s="5">
        <v>234.75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45748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45728</v>
      </c>
      <c r="C29" s="4" t="s">
        <v>159</v>
      </c>
      <c r="D29" s="2">
        <v>1855975</v>
      </c>
      <c r="E29" s="4" t="s">
        <v>160</v>
      </c>
      <c r="F29" s="4" t="s">
        <v>161</v>
      </c>
      <c r="G29" s="2">
        <v>738296381</v>
      </c>
      <c r="H29" s="4" t="s">
        <v>162</v>
      </c>
      <c r="I29" s="4" t="s">
        <v>46</v>
      </c>
      <c r="J29" s="4" t="s">
        <v>47</v>
      </c>
      <c r="K29" s="4" t="s">
        <v>48</v>
      </c>
      <c r="L29" s="3">
        <v>45658</v>
      </c>
      <c r="M29" s="4" t="s">
        <v>96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79</v>
      </c>
      <c r="U29" s="4" t="s">
        <v>46</v>
      </c>
      <c r="V29" s="5">
        <v>-0.75</v>
      </c>
      <c r="W29" s="5">
        <v>0</v>
      </c>
      <c r="X29" s="5">
        <v>100</v>
      </c>
      <c r="Y29" s="5">
        <v>-234.75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45658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88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45728</v>
      </c>
      <c r="C30" s="4" t="s">
        <v>163</v>
      </c>
      <c r="D30" s="2">
        <v>1509744</v>
      </c>
      <c r="E30" s="4" t="s">
        <v>164</v>
      </c>
      <c r="F30" s="4" t="s">
        <v>165</v>
      </c>
      <c r="G30" s="4" t="s">
        <v>46</v>
      </c>
      <c r="H30" s="4" t="s">
        <v>46</v>
      </c>
      <c r="I30" s="4" t="s">
        <v>46</v>
      </c>
      <c r="J30" s="4" t="s">
        <v>166</v>
      </c>
      <c r="K30" s="4" t="s">
        <v>167</v>
      </c>
      <c r="L30" s="3">
        <v>45748</v>
      </c>
      <c r="M30" s="4" t="s">
        <v>60</v>
      </c>
      <c r="N30" s="4" t="s">
        <v>46</v>
      </c>
      <c r="O30" s="4" t="s">
        <v>78</v>
      </c>
      <c r="P30" s="4" t="s">
        <v>78</v>
      </c>
      <c r="Q30" s="2">
        <v>1</v>
      </c>
      <c r="R30" s="2">
        <v>60</v>
      </c>
      <c r="S30" s="4" t="s">
        <v>168</v>
      </c>
      <c r="T30" s="4" t="s">
        <v>46</v>
      </c>
      <c r="U30" s="4" t="s">
        <v>46</v>
      </c>
      <c r="V30" s="5">
        <v>10</v>
      </c>
      <c r="W30" s="5">
        <v>-13.93</v>
      </c>
      <c r="X30" s="5">
        <v>100</v>
      </c>
      <c r="Y30" s="5">
        <v>-1.39</v>
      </c>
      <c r="Z30" s="4" t="s">
        <v>46</v>
      </c>
      <c r="AA30" s="5" t="s">
        <v>46</v>
      </c>
      <c r="AB30" s="4" t="s">
        <v>169</v>
      </c>
      <c r="AC30" s="4" t="s">
        <v>46</v>
      </c>
      <c r="AD30" s="5">
        <v>0</v>
      </c>
      <c r="AE30" s="4" t="s">
        <v>170</v>
      </c>
      <c r="AF30" s="3">
        <v>45277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45728</v>
      </c>
      <c r="C31" s="4" t="s">
        <v>163</v>
      </c>
      <c r="D31" s="2">
        <v>1509744</v>
      </c>
      <c r="E31" s="4" t="s">
        <v>171</v>
      </c>
      <c r="F31" s="4" t="s">
        <v>172</v>
      </c>
      <c r="G31" s="4" t="s">
        <v>46</v>
      </c>
      <c r="H31" s="4" t="s">
        <v>46</v>
      </c>
      <c r="I31" s="4" t="s">
        <v>46</v>
      </c>
      <c r="J31" s="4" t="s">
        <v>166</v>
      </c>
      <c r="K31" s="4" t="s">
        <v>167</v>
      </c>
      <c r="L31" s="3">
        <v>45748</v>
      </c>
      <c r="M31" s="4" t="s">
        <v>60</v>
      </c>
      <c r="N31" s="4" t="s">
        <v>46</v>
      </c>
      <c r="O31" s="4" t="s">
        <v>78</v>
      </c>
      <c r="P31" s="4" t="s">
        <v>78</v>
      </c>
      <c r="Q31" s="2">
        <v>2</v>
      </c>
      <c r="R31" s="2">
        <v>60</v>
      </c>
      <c r="S31" s="4" t="s">
        <v>168</v>
      </c>
      <c r="T31" s="4" t="s">
        <v>46</v>
      </c>
      <c r="U31" s="4" t="s">
        <v>46</v>
      </c>
      <c r="V31" s="5">
        <v>10</v>
      </c>
      <c r="W31" s="5">
        <v>26.88</v>
      </c>
      <c r="X31" s="5">
        <v>100</v>
      </c>
      <c r="Y31" s="5">
        <v>2.69</v>
      </c>
      <c r="Z31" s="4" t="s">
        <v>46</v>
      </c>
      <c r="AA31" s="5" t="s">
        <v>46</v>
      </c>
      <c r="AB31" s="4" t="s">
        <v>169</v>
      </c>
      <c r="AC31" s="4" t="s">
        <v>46</v>
      </c>
      <c r="AD31" s="5">
        <v>0</v>
      </c>
      <c r="AE31" s="4" t="s">
        <v>170</v>
      </c>
      <c r="AF31" s="3">
        <v>45323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45728</v>
      </c>
      <c r="C32" s="4" t="s">
        <v>163</v>
      </c>
      <c r="D32" s="2">
        <v>1509744</v>
      </c>
      <c r="E32" s="4" t="s">
        <v>173</v>
      </c>
      <c r="F32" s="4" t="s">
        <v>174</v>
      </c>
      <c r="G32" s="4" t="s">
        <v>46</v>
      </c>
      <c r="H32" s="4" t="s">
        <v>46</v>
      </c>
      <c r="I32" s="4" t="s">
        <v>46</v>
      </c>
      <c r="J32" s="4" t="s">
        <v>166</v>
      </c>
      <c r="K32" s="4" t="s">
        <v>167</v>
      </c>
      <c r="L32" s="3">
        <v>45748</v>
      </c>
      <c r="M32" s="4" t="s">
        <v>60</v>
      </c>
      <c r="N32" s="4" t="s">
        <v>46</v>
      </c>
      <c r="O32" s="4" t="s">
        <v>50</v>
      </c>
      <c r="P32" s="4" t="s">
        <v>78</v>
      </c>
      <c r="Q32" s="2">
        <v>1</v>
      </c>
      <c r="R32" s="2">
        <v>60</v>
      </c>
      <c r="S32" s="4" t="s">
        <v>168</v>
      </c>
      <c r="T32" s="4" t="s">
        <v>46</v>
      </c>
      <c r="U32" s="4" t="s">
        <v>46</v>
      </c>
      <c r="V32" s="5">
        <v>10</v>
      </c>
      <c r="W32" s="5">
        <v>13.93</v>
      </c>
      <c r="X32" s="5">
        <v>100</v>
      </c>
      <c r="Y32" s="5">
        <v>1.39</v>
      </c>
      <c r="Z32" s="4" t="s">
        <v>46</v>
      </c>
      <c r="AA32" s="5" t="s">
        <v>46</v>
      </c>
      <c r="AB32" s="4" t="s">
        <v>175</v>
      </c>
      <c r="AC32" s="4" t="s">
        <v>46</v>
      </c>
      <c r="AD32" s="5">
        <v>0</v>
      </c>
      <c r="AE32" s="4" t="s">
        <v>176</v>
      </c>
      <c r="AF32" s="3">
        <v>45622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45728</v>
      </c>
      <c r="C33" s="4" t="s">
        <v>163</v>
      </c>
      <c r="D33" s="2">
        <v>1509744</v>
      </c>
      <c r="E33" s="4" t="s">
        <v>177</v>
      </c>
      <c r="F33" s="4" t="s">
        <v>178</v>
      </c>
      <c r="G33" s="4" t="s">
        <v>46</v>
      </c>
      <c r="H33" s="4" t="s">
        <v>46</v>
      </c>
      <c r="I33" s="4" t="s">
        <v>46</v>
      </c>
      <c r="J33" s="4" t="s">
        <v>166</v>
      </c>
      <c r="K33" s="4" t="s">
        <v>167</v>
      </c>
      <c r="L33" s="3">
        <v>45748</v>
      </c>
      <c r="M33" s="4" t="s">
        <v>60</v>
      </c>
      <c r="N33" s="4" t="s">
        <v>46</v>
      </c>
      <c r="O33" s="4" t="s">
        <v>50</v>
      </c>
      <c r="P33" s="4" t="s">
        <v>78</v>
      </c>
      <c r="Q33" s="2">
        <v>2</v>
      </c>
      <c r="R33" s="2">
        <v>3</v>
      </c>
      <c r="S33" s="4" t="s">
        <v>179</v>
      </c>
      <c r="T33" s="4" t="s">
        <v>46</v>
      </c>
      <c r="U33" s="4" t="s">
        <v>46</v>
      </c>
      <c r="V33" s="5">
        <v>10</v>
      </c>
      <c r="W33" s="5">
        <v>97.6</v>
      </c>
      <c r="X33" s="5">
        <v>100</v>
      </c>
      <c r="Y33" s="5">
        <v>9.76</v>
      </c>
      <c r="Z33" s="4" t="s">
        <v>46</v>
      </c>
      <c r="AA33" s="5" t="s">
        <v>46</v>
      </c>
      <c r="AB33" s="4" t="s">
        <v>175</v>
      </c>
      <c r="AC33" s="4" t="s">
        <v>46</v>
      </c>
      <c r="AD33" s="5">
        <v>0</v>
      </c>
      <c r="AE33" s="4" t="s">
        <v>176</v>
      </c>
      <c r="AF33" s="3">
        <v>45644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45728</v>
      </c>
      <c r="C34" s="4" t="s">
        <v>163</v>
      </c>
      <c r="D34" s="2">
        <v>1509744</v>
      </c>
      <c r="E34" s="4" t="s">
        <v>177</v>
      </c>
      <c r="F34" s="4" t="s">
        <v>180</v>
      </c>
      <c r="G34" s="4" t="s">
        <v>46</v>
      </c>
      <c r="H34" s="4" t="s">
        <v>46</v>
      </c>
      <c r="I34" s="4" t="s">
        <v>46</v>
      </c>
      <c r="J34" s="4" t="s">
        <v>166</v>
      </c>
      <c r="K34" s="4" t="s">
        <v>167</v>
      </c>
      <c r="L34" s="3">
        <v>45748</v>
      </c>
      <c r="M34" s="4" t="s">
        <v>60</v>
      </c>
      <c r="N34" s="4" t="s">
        <v>46</v>
      </c>
      <c r="O34" s="4" t="s">
        <v>50</v>
      </c>
      <c r="P34" s="4" t="s">
        <v>78</v>
      </c>
      <c r="Q34" s="2">
        <v>2</v>
      </c>
      <c r="R34" s="2">
        <v>60</v>
      </c>
      <c r="S34" s="4" t="s">
        <v>168</v>
      </c>
      <c r="T34" s="4" t="s">
        <v>46</v>
      </c>
      <c r="U34" s="4" t="s">
        <v>46</v>
      </c>
      <c r="V34" s="5">
        <v>10</v>
      </c>
      <c r="W34" s="5">
        <v>26.88</v>
      </c>
      <c r="X34" s="5">
        <v>100</v>
      </c>
      <c r="Y34" s="5">
        <v>2.69</v>
      </c>
      <c r="Z34" s="4" t="s">
        <v>46</v>
      </c>
      <c r="AA34" s="5" t="s">
        <v>46</v>
      </c>
      <c r="AB34" s="4" t="s">
        <v>175</v>
      </c>
      <c r="AC34" s="4" t="s">
        <v>46</v>
      </c>
      <c r="AD34" s="5">
        <v>0</v>
      </c>
      <c r="AE34" s="4" t="s">
        <v>176</v>
      </c>
      <c r="AF34" s="3">
        <v>45644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45728</v>
      </c>
      <c r="C35" s="4" t="s">
        <v>181</v>
      </c>
      <c r="D35" s="2">
        <v>1509841</v>
      </c>
      <c r="E35" s="4" t="s">
        <v>182</v>
      </c>
      <c r="F35" s="4" t="s">
        <v>183</v>
      </c>
      <c r="G35" s="4" t="s">
        <v>46</v>
      </c>
      <c r="H35" s="4" t="s">
        <v>46</v>
      </c>
      <c r="I35" s="4" t="s">
        <v>46</v>
      </c>
      <c r="J35" s="4" t="s">
        <v>184</v>
      </c>
      <c r="K35" s="4" t="s">
        <v>185</v>
      </c>
      <c r="L35" s="3">
        <v>45717</v>
      </c>
      <c r="M35" s="4" t="s">
        <v>87</v>
      </c>
      <c r="N35" s="4" t="s">
        <v>46</v>
      </c>
      <c r="O35" s="4" t="s">
        <v>50</v>
      </c>
      <c r="P35" s="4" t="s">
        <v>78</v>
      </c>
      <c r="Q35" s="2">
        <v>6</v>
      </c>
      <c r="R35" s="2">
        <v>3</v>
      </c>
      <c r="S35" s="4" t="s">
        <v>179</v>
      </c>
      <c r="T35" s="4" t="s">
        <v>46</v>
      </c>
      <c r="U35" s="4" t="s">
        <v>46</v>
      </c>
      <c r="V35" s="5">
        <v>10</v>
      </c>
      <c r="W35" s="5">
        <v>414.6</v>
      </c>
      <c r="X35" s="5">
        <v>100</v>
      </c>
      <c r="Y35" s="5">
        <v>41.46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45658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45728</v>
      </c>
      <c r="C36" s="4" t="s">
        <v>181</v>
      </c>
      <c r="D36" s="2">
        <v>1509841</v>
      </c>
      <c r="E36" s="4" t="s">
        <v>182</v>
      </c>
      <c r="F36" s="4" t="s">
        <v>183</v>
      </c>
      <c r="G36" s="4" t="s">
        <v>46</v>
      </c>
      <c r="H36" s="4" t="s">
        <v>46</v>
      </c>
      <c r="I36" s="4" t="s">
        <v>46</v>
      </c>
      <c r="J36" s="4" t="s">
        <v>184</v>
      </c>
      <c r="K36" s="4" t="s">
        <v>185</v>
      </c>
      <c r="L36" s="3">
        <v>45717</v>
      </c>
      <c r="M36" s="4" t="s">
        <v>87</v>
      </c>
      <c r="N36" s="4" t="s">
        <v>46</v>
      </c>
      <c r="O36" s="4" t="s">
        <v>50</v>
      </c>
      <c r="P36" s="4" t="s">
        <v>78</v>
      </c>
      <c r="Q36" s="2">
        <v>5</v>
      </c>
      <c r="R36" s="2">
        <v>60</v>
      </c>
      <c r="S36" s="4" t="s">
        <v>168</v>
      </c>
      <c r="T36" s="4" t="s">
        <v>46</v>
      </c>
      <c r="U36" s="4" t="s">
        <v>46</v>
      </c>
      <c r="V36" s="5">
        <v>10</v>
      </c>
      <c r="W36" s="5">
        <v>49.38</v>
      </c>
      <c r="X36" s="5">
        <v>100</v>
      </c>
      <c r="Y36" s="5">
        <v>4.9400000000000004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45658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45728</v>
      </c>
      <c r="C37" s="4" t="s">
        <v>186</v>
      </c>
      <c r="D37" s="2">
        <v>1510085</v>
      </c>
      <c r="E37" s="4" t="s">
        <v>187</v>
      </c>
      <c r="F37" s="4" t="s">
        <v>188</v>
      </c>
      <c r="G37" s="4" t="s">
        <v>46</v>
      </c>
      <c r="H37" s="4" t="s">
        <v>46</v>
      </c>
      <c r="I37" s="4" t="s">
        <v>46</v>
      </c>
      <c r="J37" s="4" t="s">
        <v>184</v>
      </c>
      <c r="K37" s="4" t="s">
        <v>185</v>
      </c>
      <c r="L37" s="3">
        <v>45717</v>
      </c>
      <c r="M37" s="4" t="s">
        <v>87</v>
      </c>
      <c r="N37" s="4" t="s">
        <v>46</v>
      </c>
      <c r="O37" s="4" t="s">
        <v>78</v>
      </c>
      <c r="P37" s="4" t="s">
        <v>78</v>
      </c>
      <c r="Q37" s="2">
        <v>2</v>
      </c>
      <c r="R37" s="2">
        <v>3</v>
      </c>
      <c r="S37" s="4" t="s">
        <v>179</v>
      </c>
      <c r="T37" s="4" t="s">
        <v>46</v>
      </c>
      <c r="U37" s="4" t="s">
        <v>46</v>
      </c>
      <c r="V37" s="5">
        <v>10</v>
      </c>
      <c r="W37" s="5">
        <v>503.08</v>
      </c>
      <c r="X37" s="5">
        <v>100</v>
      </c>
      <c r="Y37" s="5">
        <v>50.31</v>
      </c>
      <c r="Z37" s="4" t="s">
        <v>46</v>
      </c>
      <c r="AA37" s="5" t="s">
        <v>46</v>
      </c>
      <c r="AB37" s="4" t="s">
        <v>80</v>
      </c>
      <c r="AC37" s="4" t="s">
        <v>46</v>
      </c>
      <c r="AD37" s="5">
        <v>0</v>
      </c>
      <c r="AE37" s="4" t="s">
        <v>81</v>
      </c>
      <c r="AF37" s="3">
        <v>44562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45728</v>
      </c>
      <c r="C38" s="4" t="s">
        <v>186</v>
      </c>
      <c r="D38" s="2">
        <v>1510085</v>
      </c>
      <c r="E38" s="4" t="s">
        <v>187</v>
      </c>
      <c r="F38" s="4" t="s">
        <v>188</v>
      </c>
      <c r="G38" s="4" t="s">
        <v>46</v>
      </c>
      <c r="H38" s="4" t="s">
        <v>46</v>
      </c>
      <c r="I38" s="4" t="s">
        <v>46</v>
      </c>
      <c r="J38" s="4" t="s">
        <v>184</v>
      </c>
      <c r="K38" s="4" t="s">
        <v>185</v>
      </c>
      <c r="L38" s="3">
        <v>45717</v>
      </c>
      <c r="M38" s="4" t="s">
        <v>87</v>
      </c>
      <c r="N38" s="4" t="s">
        <v>46</v>
      </c>
      <c r="O38" s="4" t="s">
        <v>78</v>
      </c>
      <c r="P38" s="4" t="s">
        <v>78</v>
      </c>
      <c r="Q38" s="2">
        <v>2</v>
      </c>
      <c r="R38" s="2">
        <v>60</v>
      </c>
      <c r="S38" s="4" t="s">
        <v>168</v>
      </c>
      <c r="T38" s="4" t="s">
        <v>46</v>
      </c>
      <c r="U38" s="4" t="s">
        <v>46</v>
      </c>
      <c r="V38" s="5">
        <v>10</v>
      </c>
      <c r="W38" s="5">
        <v>50.98</v>
      </c>
      <c r="X38" s="5">
        <v>100</v>
      </c>
      <c r="Y38" s="5">
        <v>5.0999999999999996</v>
      </c>
      <c r="Z38" s="4" t="s">
        <v>46</v>
      </c>
      <c r="AA38" s="5" t="s">
        <v>46</v>
      </c>
      <c r="AB38" s="4" t="s">
        <v>80</v>
      </c>
      <c r="AC38" s="4" t="s">
        <v>46</v>
      </c>
      <c r="AD38" s="5">
        <v>0</v>
      </c>
      <c r="AE38" s="4" t="s">
        <v>81</v>
      </c>
      <c r="AF38" s="3">
        <v>44562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45728</v>
      </c>
      <c r="C39" s="4" t="s">
        <v>189</v>
      </c>
      <c r="D39" s="2">
        <v>1545980</v>
      </c>
      <c r="E39" s="4" t="s">
        <v>190</v>
      </c>
      <c r="F39" s="4" t="s">
        <v>191</v>
      </c>
      <c r="G39" s="4" t="s">
        <v>46</v>
      </c>
      <c r="H39" s="4" t="s">
        <v>46</v>
      </c>
      <c r="I39" s="4" t="s">
        <v>46</v>
      </c>
      <c r="J39" s="4" t="s">
        <v>192</v>
      </c>
      <c r="K39" s="4" t="s">
        <v>48</v>
      </c>
      <c r="L39" s="3">
        <v>45717</v>
      </c>
      <c r="M39" s="4" t="s">
        <v>87</v>
      </c>
      <c r="N39" s="4" t="s">
        <v>46</v>
      </c>
      <c r="O39" s="4" t="s">
        <v>50</v>
      </c>
      <c r="P39" s="4" t="s">
        <v>78</v>
      </c>
      <c r="Q39" s="2">
        <v>1</v>
      </c>
      <c r="R39" s="2">
        <v>17</v>
      </c>
      <c r="S39" s="4" t="s">
        <v>51</v>
      </c>
      <c r="T39" s="4" t="s">
        <v>46</v>
      </c>
      <c r="U39" s="4" t="s">
        <v>46</v>
      </c>
      <c r="V39" s="5">
        <v>22</v>
      </c>
      <c r="W39" s="5">
        <v>1830.84</v>
      </c>
      <c r="X39" s="5">
        <v>100</v>
      </c>
      <c r="Y39" s="5">
        <v>402.84</v>
      </c>
      <c r="Z39" s="5">
        <v>0</v>
      </c>
      <c r="AA39" s="5">
        <v>0</v>
      </c>
      <c r="AB39" s="4" t="s">
        <v>193</v>
      </c>
      <c r="AC39" s="4" t="s">
        <v>46</v>
      </c>
      <c r="AD39" s="5">
        <v>0</v>
      </c>
      <c r="AE39" s="4" t="s">
        <v>194</v>
      </c>
      <c r="AF39" s="3">
        <v>45717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45728</v>
      </c>
      <c r="C40" s="4" t="s">
        <v>195</v>
      </c>
      <c r="D40" s="2">
        <v>1773696</v>
      </c>
      <c r="E40" s="4" t="s">
        <v>196</v>
      </c>
      <c r="F40" s="4" t="s">
        <v>197</v>
      </c>
      <c r="G40" s="4" t="s">
        <v>46</v>
      </c>
      <c r="H40" s="4" t="s">
        <v>46</v>
      </c>
      <c r="I40" s="4" t="s">
        <v>46</v>
      </c>
      <c r="J40" s="4" t="s">
        <v>184</v>
      </c>
      <c r="K40" s="4" t="s">
        <v>185</v>
      </c>
      <c r="L40" s="3">
        <v>45717</v>
      </c>
      <c r="M40" s="4" t="s">
        <v>87</v>
      </c>
      <c r="N40" s="4" t="s">
        <v>46</v>
      </c>
      <c r="O40" s="4" t="s">
        <v>50</v>
      </c>
      <c r="P40" s="4" t="s">
        <v>78</v>
      </c>
      <c r="Q40" s="2">
        <v>18</v>
      </c>
      <c r="R40" s="2">
        <v>3</v>
      </c>
      <c r="S40" s="4" t="s">
        <v>179</v>
      </c>
      <c r="T40" s="4" t="s">
        <v>46</v>
      </c>
      <c r="U40" s="4" t="s">
        <v>46</v>
      </c>
      <c r="V40" s="5">
        <v>10</v>
      </c>
      <c r="W40" s="5">
        <v>486.74</v>
      </c>
      <c r="X40" s="5">
        <v>100</v>
      </c>
      <c r="Y40" s="5">
        <v>48.67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45474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45728</v>
      </c>
      <c r="C41" s="4" t="s">
        <v>195</v>
      </c>
      <c r="D41" s="2">
        <v>1773696</v>
      </c>
      <c r="E41" s="4" t="s">
        <v>196</v>
      </c>
      <c r="F41" s="4" t="s">
        <v>197</v>
      </c>
      <c r="G41" s="4" t="s">
        <v>46</v>
      </c>
      <c r="H41" s="4" t="s">
        <v>46</v>
      </c>
      <c r="I41" s="4" t="s">
        <v>46</v>
      </c>
      <c r="J41" s="4" t="s">
        <v>184</v>
      </c>
      <c r="K41" s="4" t="s">
        <v>185</v>
      </c>
      <c r="L41" s="3">
        <v>45717</v>
      </c>
      <c r="M41" s="4" t="s">
        <v>87</v>
      </c>
      <c r="N41" s="4" t="s">
        <v>46</v>
      </c>
      <c r="O41" s="4" t="s">
        <v>50</v>
      </c>
      <c r="P41" s="4" t="s">
        <v>78</v>
      </c>
      <c r="Q41" s="2">
        <v>24</v>
      </c>
      <c r="R41" s="2">
        <v>5</v>
      </c>
      <c r="S41" s="4" t="s">
        <v>198</v>
      </c>
      <c r="T41" s="4" t="s">
        <v>46</v>
      </c>
      <c r="U41" s="4" t="s">
        <v>46</v>
      </c>
      <c r="V41" s="5">
        <v>10</v>
      </c>
      <c r="W41" s="5">
        <v>46.8</v>
      </c>
      <c r="X41" s="5">
        <v>100</v>
      </c>
      <c r="Y41" s="5">
        <v>4.68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45474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45728</v>
      </c>
      <c r="C42" s="4" t="s">
        <v>195</v>
      </c>
      <c r="D42" s="2">
        <v>1773696</v>
      </c>
      <c r="E42" s="4" t="s">
        <v>196</v>
      </c>
      <c r="F42" s="4" t="s">
        <v>197</v>
      </c>
      <c r="G42" s="4" t="s">
        <v>46</v>
      </c>
      <c r="H42" s="4" t="s">
        <v>46</v>
      </c>
      <c r="I42" s="4" t="s">
        <v>46</v>
      </c>
      <c r="J42" s="4" t="s">
        <v>184</v>
      </c>
      <c r="K42" s="4" t="s">
        <v>185</v>
      </c>
      <c r="L42" s="3">
        <v>45717</v>
      </c>
      <c r="M42" s="4" t="s">
        <v>87</v>
      </c>
      <c r="N42" s="4" t="s">
        <v>46</v>
      </c>
      <c r="O42" s="4" t="s">
        <v>50</v>
      </c>
      <c r="P42" s="4" t="s">
        <v>78</v>
      </c>
      <c r="Q42" s="2">
        <v>24</v>
      </c>
      <c r="R42" s="2">
        <v>10</v>
      </c>
      <c r="S42" s="4" t="s">
        <v>199</v>
      </c>
      <c r="T42" s="4" t="s">
        <v>46</v>
      </c>
      <c r="U42" s="4" t="s">
        <v>46</v>
      </c>
      <c r="V42" s="5">
        <v>10</v>
      </c>
      <c r="W42" s="5">
        <v>10.8</v>
      </c>
      <c r="X42" s="5">
        <v>100</v>
      </c>
      <c r="Y42" s="5">
        <v>1.08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45474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45728</v>
      </c>
      <c r="C43" s="4" t="s">
        <v>195</v>
      </c>
      <c r="D43" s="2">
        <v>1773696</v>
      </c>
      <c r="E43" s="4" t="s">
        <v>196</v>
      </c>
      <c r="F43" s="4" t="s">
        <v>197</v>
      </c>
      <c r="G43" s="4" t="s">
        <v>46</v>
      </c>
      <c r="H43" s="4" t="s">
        <v>46</v>
      </c>
      <c r="I43" s="4" t="s">
        <v>46</v>
      </c>
      <c r="J43" s="4" t="s">
        <v>184</v>
      </c>
      <c r="K43" s="4" t="s">
        <v>185</v>
      </c>
      <c r="L43" s="3">
        <v>45717</v>
      </c>
      <c r="M43" s="4" t="s">
        <v>87</v>
      </c>
      <c r="N43" s="4" t="s">
        <v>46</v>
      </c>
      <c r="O43" s="4" t="s">
        <v>50</v>
      </c>
      <c r="P43" s="4" t="s">
        <v>78</v>
      </c>
      <c r="Q43" s="2">
        <v>14</v>
      </c>
      <c r="R43" s="2">
        <v>60</v>
      </c>
      <c r="S43" s="4" t="s">
        <v>168</v>
      </c>
      <c r="T43" s="4" t="s">
        <v>46</v>
      </c>
      <c r="U43" s="4" t="s">
        <v>46</v>
      </c>
      <c r="V43" s="5">
        <v>10</v>
      </c>
      <c r="W43" s="5">
        <v>97.7</v>
      </c>
      <c r="X43" s="5">
        <v>100</v>
      </c>
      <c r="Y43" s="5">
        <v>9.77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45474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45728</v>
      </c>
      <c r="C44" s="4" t="s">
        <v>152</v>
      </c>
      <c r="D44" s="2">
        <v>1831491</v>
      </c>
      <c r="E44" s="4" t="s">
        <v>200</v>
      </c>
      <c r="F44" s="4" t="s">
        <v>201</v>
      </c>
      <c r="G44" s="4" t="s">
        <v>46</v>
      </c>
      <c r="H44" s="4" t="s">
        <v>46</v>
      </c>
      <c r="I44" s="4" t="s">
        <v>46</v>
      </c>
      <c r="J44" s="4" t="s">
        <v>166</v>
      </c>
      <c r="K44" s="4" t="s">
        <v>167</v>
      </c>
      <c r="L44" s="3">
        <v>45748</v>
      </c>
      <c r="M44" s="4" t="s">
        <v>60</v>
      </c>
      <c r="N44" s="4" t="s">
        <v>46</v>
      </c>
      <c r="O44" s="4" t="s">
        <v>50</v>
      </c>
      <c r="P44" s="4" t="s">
        <v>78</v>
      </c>
      <c r="Q44" s="2">
        <v>1</v>
      </c>
      <c r="R44" s="2">
        <v>3</v>
      </c>
      <c r="S44" s="4" t="s">
        <v>179</v>
      </c>
      <c r="T44" s="4" t="s">
        <v>46</v>
      </c>
      <c r="U44" s="4" t="s">
        <v>46</v>
      </c>
      <c r="V44" s="5">
        <v>10</v>
      </c>
      <c r="W44" s="5">
        <v>41.82</v>
      </c>
      <c r="X44" s="5">
        <v>100</v>
      </c>
      <c r="Y44" s="5">
        <v>4.18</v>
      </c>
      <c r="Z44" s="4" t="s">
        <v>46</v>
      </c>
      <c r="AA44" s="5" t="s">
        <v>46</v>
      </c>
      <c r="AB44" s="4" t="s">
        <v>175</v>
      </c>
      <c r="AC44" s="4" t="s">
        <v>46</v>
      </c>
      <c r="AD44" s="5">
        <v>0</v>
      </c>
      <c r="AE44" s="4" t="s">
        <v>176</v>
      </c>
      <c r="AF44" s="3">
        <v>45658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45728</v>
      </c>
      <c r="C45" s="4" t="s">
        <v>202</v>
      </c>
      <c r="D45" s="2">
        <v>1875462</v>
      </c>
      <c r="E45" s="4" t="s">
        <v>203</v>
      </c>
      <c r="F45" s="4" t="s">
        <v>204</v>
      </c>
      <c r="G45" s="4" t="s">
        <v>46</v>
      </c>
      <c r="H45" s="4" t="s">
        <v>46</v>
      </c>
      <c r="I45" s="4" t="s">
        <v>46</v>
      </c>
      <c r="J45" s="4" t="s">
        <v>166</v>
      </c>
      <c r="K45" s="4" t="s">
        <v>167</v>
      </c>
      <c r="L45" s="3">
        <v>45748</v>
      </c>
      <c r="M45" s="4" t="s">
        <v>60</v>
      </c>
      <c r="N45" s="4" t="s">
        <v>46</v>
      </c>
      <c r="O45" s="4" t="s">
        <v>50</v>
      </c>
      <c r="P45" s="4" t="s">
        <v>78</v>
      </c>
      <c r="Q45" s="2">
        <v>4</v>
      </c>
      <c r="R45" s="2">
        <v>60</v>
      </c>
      <c r="S45" s="4" t="s">
        <v>168</v>
      </c>
      <c r="T45" s="4" t="s">
        <v>46</v>
      </c>
      <c r="U45" s="4" t="s">
        <v>46</v>
      </c>
      <c r="V45" s="5">
        <v>10</v>
      </c>
      <c r="W45" s="5">
        <v>59.45</v>
      </c>
      <c r="X45" s="5">
        <v>100</v>
      </c>
      <c r="Y45" s="5">
        <v>5.95</v>
      </c>
      <c r="Z45" s="4" t="s">
        <v>46</v>
      </c>
      <c r="AA45" s="5" t="s">
        <v>46</v>
      </c>
      <c r="AB45" s="4" t="s">
        <v>175</v>
      </c>
      <c r="AC45" s="4" t="s">
        <v>46</v>
      </c>
      <c r="AD45" s="5">
        <v>0</v>
      </c>
      <c r="AE45" s="4" t="s">
        <v>176</v>
      </c>
      <c r="AF45" s="3">
        <v>45700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45728</v>
      </c>
      <c r="C46" s="4" t="s">
        <v>46</v>
      </c>
      <c r="D46" s="2" t="s">
        <v>46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  <c r="J46" s="4" t="s">
        <v>46</v>
      </c>
      <c r="K46" s="4" t="s">
        <v>46</v>
      </c>
      <c r="L46" s="4" t="s">
        <v>46</v>
      </c>
      <c r="M46" s="4" t="s">
        <v>87</v>
      </c>
      <c r="N46" s="4" t="s">
        <v>46</v>
      </c>
      <c r="O46" s="4" t="s">
        <v>46</v>
      </c>
      <c r="P46" s="4" t="s">
        <v>46</v>
      </c>
      <c r="Q46" s="4" t="s">
        <v>46</v>
      </c>
      <c r="R46" s="4" t="s">
        <v>46</v>
      </c>
      <c r="S46" s="4" t="s">
        <v>46</v>
      </c>
      <c r="T46" s="4" t="s">
        <v>46</v>
      </c>
      <c r="U46" s="4" t="s">
        <v>46</v>
      </c>
      <c r="V46" s="5" t="s">
        <v>46</v>
      </c>
      <c r="W46" s="4" t="s">
        <v>46</v>
      </c>
      <c r="X46" s="5" t="s">
        <v>46</v>
      </c>
      <c r="Y46" s="4" t="s">
        <v>46</v>
      </c>
      <c r="Z46" s="4" t="s">
        <v>46</v>
      </c>
      <c r="AA46" s="5" t="s">
        <v>46</v>
      </c>
      <c r="AB46" s="4" t="s">
        <v>46</v>
      </c>
      <c r="AC46" s="4" t="s">
        <v>205</v>
      </c>
      <c r="AD46" s="5">
        <v>0</v>
      </c>
      <c r="AE46" s="4" t="s">
        <v>206</v>
      </c>
      <c r="AF46" s="4" t="s">
        <v>46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266B-B482-47FB-8023-8E8432DC0ECF}">
  <dimension ref="A1:U45"/>
  <sheetViews>
    <sheetView tabSelected="1" topLeftCell="I1" workbookViewId="0">
      <selection activeCell="U2" sqref="U2:U45"/>
    </sheetView>
  </sheetViews>
  <sheetFormatPr defaultRowHeight="12.75" x14ac:dyDescent="0.2"/>
  <cols>
    <col min="1" max="1" width="24.7109375" style="7" bestFit="1" customWidth="1"/>
    <col min="2" max="2" width="14" style="7" customWidth="1"/>
    <col min="3" max="3" width="28.5703125" style="7" bestFit="1" customWidth="1"/>
    <col min="4" max="4" width="28.5703125" style="7" customWidth="1"/>
    <col min="5" max="5" width="13.28515625" style="7" bestFit="1" customWidth="1"/>
    <col min="6" max="6" width="13.28515625" style="7" customWidth="1"/>
    <col min="7" max="7" width="9.5703125" style="7" bestFit="1" customWidth="1"/>
    <col min="8" max="9" width="11.42578125" style="7" bestFit="1" customWidth="1"/>
    <col min="10" max="10" width="5.7109375" style="7" bestFit="1" customWidth="1"/>
    <col min="11" max="12" width="15.28515625" style="7" bestFit="1" customWidth="1"/>
    <col min="13" max="13" width="13.7109375" style="7" bestFit="1" customWidth="1"/>
    <col min="14" max="14" width="9.5703125" style="7" bestFit="1" customWidth="1"/>
    <col min="15" max="15" width="12.42578125" style="7" bestFit="1" customWidth="1"/>
    <col min="16" max="16" width="15.28515625" style="7" bestFit="1" customWidth="1"/>
    <col min="17" max="17" width="40.5703125" style="7" bestFit="1" customWidth="1"/>
    <col min="18" max="18" width="13.7109375" style="7" bestFit="1" customWidth="1"/>
    <col min="19" max="19" width="52.42578125" style="7" bestFit="1" customWidth="1"/>
    <col min="20" max="16384" width="9.140625" style="7"/>
  </cols>
  <sheetData>
    <row r="1" spans="1:21" x14ac:dyDescent="0.2">
      <c r="A1" s="6" t="s">
        <v>2</v>
      </c>
      <c r="B1" s="6" t="s">
        <v>3</v>
      </c>
      <c r="C1" s="6" t="s">
        <v>4</v>
      </c>
      <c r="D1" s="6"/>
      <c r="E1" s="6" t="s">
        <v>5</v>
      </c>
      <c r="F1" s="6"/>
      <c r="G1" s="6" t="s">
        <v>9</v>
      </c>
      <c r="H1" s="6" t="s">
        <v>11</v>
      </c>
      <c r="I1" s="6" t="s">
        <v>12</v>
      </c>
      <c r="J1" s="6" t="s">
        <v>16</v>
      </c>
      <c r="K1" s="6" t="s">
        <v>17</v>
      </c>
      <c r="L1" s="6" t="s">
        <v>18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27</v>
      </c>
      <c r="R1" s="6" t="s">
        <v>31</v>
      </c>
    </row>
    <row r="2" spans="1:21" x14ac:dyDescent="0.2">
      <c r="A2" s="8" t="s">
        <v>133</v>
      </c>
      <c r="B2" s="9">
        <v>19396223</v>
      </c>
      <c r="C2" s="8" t="s">
        <v>134</v>
      </c>
      <c r="D2" s="15" t="s">
        <v>283</v>
      </c>
      <c r="E2" s="8" t="s">
        <v>135</v>
      </c>
      <c r="F2" s="10" t="str">
        <f>CONCATENATE(E2,6)</f>
        <v>00023171146K6</v>
      </c>
      <c r="G2" s="8" t="s">
        <v>47</v>
      </c>
      <c r="H2" s="11">
        <v>45748</v>
      </c>
      <c r="I2" s="8" t="s">
        <v>60</v>
      </c>
      <c r="J2" s="9">
        <v>1</v>
      </c>
      <c r="K2" s="9">
        <v>17</v>
      </c>
      <c r="L2" s="8" t="s">
        <v>51</v>
      </c>
      <c r="M2" s="12">
        <v>0.75</v>
      </c>
      <c r="N2" s="12">
        <v>0</v>
      </c>
      <c r="O2" s="12">
        <v>100</v>
      </c>
      <c r="P2" s="12">
        <v>234.75</v>
      </c>
      <c r="Q2" s="8" t="s">
        <v>53</v>
      </c>
      <c r="R2" s="11">
        <v>45748</v>
      </c>
      <c r="S2" s="7" t="s">
        <v>211</v>
      </c>
      <c r="T2" s="7">
        <v>9</v>
      </c>
      <c r="U2" s="13" t="s">
        <v>214</v>
      </c>
    </row>
    <row r="3" spans="1:21" x14ac:dyDescent="0.2">
      <c r="A3" s="8" t="s">
        <v>83</v>
      </c>
      <c r="B3" s="9">
        <v>3475518</v>
      </c>
      <c r="C3" s="8" t="s">
        <v>84</v>
      </c>
      <c r="D3" s="15" t="s">
        <v>284</v>
      </c>
      <c r="E3" s="8" t="s">
        <v>85</v>
      </c>
      <c r="F3" s="10" t="str">
        <f>CONCATENATE(E3,6)</f>
        <v>00023163634K6</v>
      </c>
      <c r="G3" s="8" t="s">
        <v>47</v>
      </c>
      <c r="H3" s="11">
        <v>45717</v>
      </c>
      <c r="I3" s="8" t="s">
        <v>87</v>
      </c>
      <c r="J3" s="9">
        <v>1</v>
      </c>
      <c r="K3" s="9">
        <v>17</v>
      </c>
      <c r="L3" s="8" t="s">
        <v>51</v>
      </c>
      <c r="M3" s="12">
        <v>0.83</v>
      </c>
      <c r="N3" s="12">
        <v>0</v>
      </c>
      <c r="O3" s="12">
        <v>100</v>
      </c>
      <c r="P3" s="12">
        <v>260.83</v>
      </c>
      <c r="Q3" s="8" t="s">
        <v>53</v>
      </c>
      <c r="R3" s="11">
        <v>45717</v>
      </c>
      <c r="S3" s="7" t="s">
        <v>211</v>
      </c>
      <c r="T3" s="7">
        <v>10</v>
      </c>
      <c r="U3" s="13" t="s">
        <v>216</v>
      </c>
    </row>
    <row r="4" spans="1:21" x14ac:dyDescent="0.2">
      <c r="A4" s="8" t="s">
        <v>56</v>
      </c>
      <c r="B4" s="9">
        <v>7470776</v>
      </c>
      <c r="C4" s="8" t="s">
        <v>57</v>
      </c>
      <c r="D4" s="15" t="s">
        <v>285</v>
      </c>
      <c r="E4" s="8" t="s">
        <v>58</v>
      </c>
      <c r="F4" s="10" t="str">
        <f>CONCATENATE(E4,6)</f>
        <v>00023154874K6</v>
      </c>
      <c r="G4" s="8" t="s">
        <v>47</v>
      </c>
      <c r="H4" s="11">
        <v>45748</v>
      </c>
      <c r="I4" s="8" t="s">
        <v>60</v>
      </c>
      <c r="J4" s="9">
        <v>1</v>
      </c>
      <c r="K4" s="9">
        <v>17</v>
      </c>
      <c r="L4" s="8" t="s">
        <v>51</v>
      </c>
      <c r="M4" s="12">
        <v>0.75</v>
      </c>
      <c r="N4" s="12">
        <v>0</v>
      </c>
      <c r="O4" s="12">
        <v>100</v>
      </c>
      <c r="P4" s="12">
        <v>234.75</v>
      </c>
      <c r="Q4" s="8" t="s">
        <v>53</v>
      </c>
      <c r="R4" s="11">
        <v>45748</v>
      </c>
      <c r="S4" s="7" t="s">
        <v>211</v>
      </c>
      <c r="T4" s="7">
        <v>9</v>
      </c>
      <c r="U4" s="13" t="s">
        <v>214</v>
      </c>
    </row>
    <row r="5" spans="1:21" x14ac:dyDescent="0.2">
      <c r="A5" s="8" t="s">
        <v>56</v>
      </c>
      <c r="B5" s="9">
        <v>7470776</v>
      </c>
      <c r="C5" s="8" t="s">
        <v>61</v>
      </c>
      <c r="D5" s="15" t="s">
        <v>286</v>
      </c>
      <c r="E5" s="8" t="s">
        <v>62</v>
      </c>
      <c r="F5" s="10" t="str">
        <f>CONCATENATE(E5,6)</f>
        <v>00023157542K6</v>
      </c>
      <c r="G5" s="8" t="s">
        <v>47</v>
      </c>
      <c r="H5" s="11">
        <v>45748</v>
      </c>
      <c r="I5" s="8" t="s">
        <v>60</v>
      </c>
      <c r="J5" s="9">
        <v>1</v>
      </c>
      <c r="K5" s="9">
        <v>17</v>
      </c>
      <c r="L5" s="8" t="s">
        <v>51</v>
      </c>
      <c r="M5" s="12">
        <v>0.75</v>
      </c>
      <c r="N5" s="12">
        <v>0</v>
      </c>
      <c r="O5" s="12">
        <v>100</v>
      </c>
      <c r="P5" s="12">
        <v>234.75</v>
      </c>
      <c r="Q5" s="8" t="s">
        <v>53</v>
      </c>
      <c r="R5" s="11">
        <v>45748</v>
      </c>
      <c r="S5" s="7" t="s">
        <v>211</v>
      </c>
      <c r="T5" s="7">
        <v>9</v>
      </c>
      <c r="U5" s="13" t="s">
        <v>214</v>
      </c>
    </row>
    <row r="6" spans="1:21" x14ac:dyDescent="0.2">
      <c r="A6" s="8" t="s">
        <v>56</v>
      </c>
      <c r="B6" s="9">
        <v>7470776</v>
      </c>
      <c r="C6" s="8" t="s">
        <v>64</v>
      </c>
      <c r="D6" s="15" t="s">
        <v>287</v>
      </c>
      <c r="E6" s="8" t="s">
        <v>65</v>
      </c>
      <c r="F6" s="10" t="str">
        <f>CONCATENATE(E6,6)</f>
        <v>00023168907K6</v>
      </c>
      <c r="G6" s="8" t="s">
        <v>47</v>
      </c>
      <c r="H6" s="11">
        <v>45809</v>
      </c>
      <c r="I6" s="8" t="s">
        <v>67</v>
      </c>
      <c r="J6" s="9">
        <v>1</v>
      </c>
      <c r="K6" s="9">
        <v>17</v>
      </c>
      <c r="L6" s="8" t="s">
        <v>51</v>
      </c>
      <c r="M6" s="12">
        <v>0.57999999999999996</v>
      </c>
      <c r="N6" s="12">
        <v>0</v>
      </c>
      <c r="O6" s="12">
        <v>100</v>
      </c>
      <c r="P6" s="12">
        <v>32.08</v>
      </c>
      <c r="Q6" s="8" t="s">
        <v>53</v>
      </c>
      <c r="R6" s="11">
        <v>45809</v>
      </c>
      <c r="S6" s="7" t="s">
        <v>212</v>
      </c>
    </row>
    <row r="7" spans="1:21" x14ac:dyDescent="0.2">
      <c r="A7" s="8" t="s">
        <v>163</v>
      </c>
      <c r="B7" s="9">
        <v>8244481</v>
      </c>
      <c r="C7" s="8" t="s">
        <v>177</v>
      </c>
      <c r="D7" s="15" t="s">
        <v>288</v>
      </c>
      <c r="E7" s="10">
        <v>9029691910</v>
      </c>
      <c r="F7" s="10" t="str">
        <f>CONCATENATE(E7,4)</f>
        <v>90296919104</v>
      </c>
      <c r="G7" s="8" t="s">
        <v>166</v>
      </c>
      <c r="H7" s="11">
        <v>45748</v>
      </c>
      <c r="I7" s="8" t="s">
        <v>60</v>
      </c>
      <c r="J7" s="9">
        <v>2</v>
      </c>
      <c r="K7" s="9">
        <v>3</v>
      </c>
      <c r="L7" s="8" t="s">
        <v>179</v>
      </c>
      <c r="M7" s="12">
        <v>10</v>
      </c>
      <c r="N7" s="12">
        <v>97.6</v>
      </c>
      <c r="O7" s="12">
        <v>100</v>
      </c>
      <c r="P7" s="12">
        <v>9.76</v>
      </c>
      <c r="Q7" s="8" t="s">
        <v>175</v>
      </c>
      <c r="R7" s="11">
        <v>45644</v>
      </c>
      <c r="S7" s="7" t="s">
        <v>208</v>
      </c>
    </row>
    <row r="8" spans="1:21" x14ac:dyDescent="0.2">
      <c r="A8" s="8" t="s">
        <v>163</v>
      </c>
      <c r="B8" s="9">
        <v>8244481</v>
      </c>
      <c r="C8" s="8" t="s">
        <v>164</v>
      </c>
      <c r="D8" s="15" t="s">
        <v>289</v>
      </c>
      <c r="E8" s="10">
        <v>9028212430</v>
      </c>
      <c r="F8" s="10" t="str">
        <f>CONCATENATE(E8,4)</f>
        <v>90282124304</v>
      </c>
      <c r="G8" s="8" t="s">
        <v>166</v>
      </c>
      <c r="H8" s="11">
        <v>45748</v>
      </c>
      <c r="I8" s="8" t="s">
        <v>60</v>
      </c>
      <c r="J8" s="9">
        <v>1</v>
      </c>
      <c r="K8" s="9">
        <v>60</v>
      </c>
      <c r="L8" s="8" t="s">
        <v>168</v>
      </c>
      <c r="M8" s="12">
        <v>10</v>
      </c>
      <c r="N8" s="12">
        <v>-13.93</v>
      </c>
      <c r="O8" s="12">
        <v>100</v>
      </c>
      <c r="P8" s="12">
        <v>-1.39</v>
      </c>
      <c r="Q8" s="8" t="s">
        <v>169</v>
      </c>
      <c r="R8" s="11">
        <v>45277</v>
      </c>
      <c r="S8" s="7" t="s">
        <v>208</v>
      </c>
    </row>
    <row r="9" spans="1:21" x14ac:dyDescent="0.2">
      <c r="A9" s="8" t="s">
        <v>163</v>
      </c>
      <c r="B9" s="9">
        <v>8244481</v>
      </c>
      <c r="C9" s="8" t="s">
        <v>171</v>
      </c>
      <c r="D9" s="15" t="s">
        <v>290</v>
      </c>
      <c r="E9" s="10">
        <v>9028406240</v>
      </c>
      <c r="F9" s="10" t="str">
        <f>CONCATENATE(E9,4)</f>
        <v>90284062404</v>
      </c>
      <c r="G9" s="8" t="s">
        <v>166</v>
      </c>
      <c r="H9" s="11">
        <v>45748</v>
      </c>
      <c r="I9" s="8" t="s">
        <v>60</v>
      </c>
      <c r="J9" s="9">
        <v>2</v>
      </c>
      <c r="K9" s="9">
        <v>60</v>
      </c>
      <c r="L9" s="8" t="s">
        <v>168</v>
      </c>
      <c r="M9" s="12">
        <v>10</v>
      </c>
      <c r="N9" s="12">
        <v>26.88</v>
      </c>
      <c r="O9" s="12">
        <v>100</v>
      </c>
      <c r="P9" s="12">
        <v>2.69</v>
      </c>
      <c r="Q9" s="8" t="s">
        <v>169</v>
      </c>
      <c r="R9" s="11">
        <v>45323</v>
      </c>
      <c r="S9" s="7" t="s">
        <v>208</v>
      </c>
    </row>
    <row r="10" spans="1:21" x14ac:dyDescent="0.2">
      <c r="A10" s="8" t="s">
        <v>163</v>
      </c>
      <c r="B10" s="9">
        <v>8244481</v>
      </c>
      <c r="C10" s="8" t="s">
        <v>173</v>
      </c>
      <c r="D10" s="15" t="s">
        <v>291</v>
      </c>
      <c r="E10" s="10">
        <v>9029611520</v>
      </c>
      <c r="F10" s="10" t="str">
        <f>CONCATENATE(E10,4)</f>
        <v>90296115204</v>
      </c>
      <c r="G10" s="8" t="s">
        <v>166</v>
      </c>
      <c r="H10" s="11">
        <v>45748</v>
      </c>
      <c r="I10" s="8" t="s">
        <v>60</v>
      </c>
      <c r="J10" s="9">
        <v>1</v>
      </c>
      <c r="K10" s="9">
        <v>60</v>
      </c>
      <c r="L10" s="8" t="s">
        <v>168</v>
      </c>
      <c r="M10" s="12">
        <v>10</v>
      </c>
      <c r="N10" s="12">
        <v>13.93</v>
      </c>
      <c r="O10" s="12">
        <v>100</v>
      </c>
      <c r="P10" s="12">
        <v>1.39</v>
      </c>
      <c r="Q10" s="8" t="s">
        <v>175</v>
      </c>
      <c r="R10" s="11">
        <v>45622</v>
      </c>
      <c r="S10" s="7" t="s">
        <v>208</v>
      </c>
    </row>
    <row r="11" spans="1:21" x14ac:dyDescent="0.2">
      <c r="A11" s="8" t="s">
        <v>163</v>
      </c>
      <c r="B11" s="9">
        <v>8244481</v>
      </c>
      <c r="C11" s="8" t="s">
        <v>177</v>
      </c>
      <c r="D11" s="15" t="s">
        <v>288</v>
      </c>
      <c r="E11" s="10">
        <v>9029691920</v>
      </c>
      <c r="F11" s="10" t="str">
        <f>CONCATENATE(E11,4)</f>
        <v>90296919204</v>
      </c>
      <c r="G11" s="8" t="s">
        <v>166</v>
      </c>
      <c r="H11" s="11">
        <v>45748</v>
      </c>
      <c r="I11" s="8" t="s">
        <v>60</v>
      </c>
      <c r="J11" s="9">
        <v>2</v>
      </c>
      <c r="K11" s="9">
        <v>60</v>
      </c>
      <c r="L11" s="8" t="s">
        <v>168</v>
      </c>
      <c r="M11" s="12">
        <v>10</v>
      </c>
      <c r="N11" s="12">
        <v>26.88</v>
      </c>
      <c r="O11" s="12">
        <v>100</v>
      </c>
      <c r="P11" s="12">
        <v>2.69</v>
      </c>
      <c r="Q11" s="8" t="s">
        <v>175</v>
      </c>
      <c r="R11" s="11">
        <v>45644</v>
      </c>
      <c r="S11" s="7" t="s">
        <v>208</v>
      </c>
    </row>
    <row r="12" spans="1:21" x14ac:dyDescent="0.2">
      <c r="A12" s="8" t="s">
        <v>117</v>
      </c>
      <c r="B12" s="9">
        <v>17126004</v>
      </c>
      <c r="C12" s="8" t="s">
        <v>118</v>
      </c>
      <c r="D12" s="15" t="s">
        <v>292</v>
      </c>
      <c r="E12" s="8" t="s">
        <v>119</v>
      </c>
      <c r="F12" s="10" t="str">
        <f>CONCATENATE(E12,6)</f>
        <v>00008794496K6</v>
      </c>
      <c r="G12" s="8" t="s">
        <v>47</v>
      </c>
      <c r="H12" s="11">
        <v>45717</v>
      </c>
      <c r="I12" s="8" t="s">
        <v>87</v>
      </c>
      <c r="J12" s="9">
        <v>1</v>
      </c>
      <c r="K12" s="9">
        <v>17</v>
      </c>
      <c r="L12" s="8" t="s">
        <v>51</v>
      </c>
      <c r="M12" s="12">
        <v>0.83</v>
      </c>
      <c r="N12" s="12">
        <v>0</v>
      </c>
      <c r="O12" s="12">
        <v>100</v>
      </c>
      <c r="P12" s="12">
        <v>260.83</v>
      </c>
      <c r="Q12" s="8" t="s">
        <v>53</v>
      </c>
      <c r="R12" s="11">
        <v>45717</v>
      </c>
      <c r="S12" s="7" t="s">
        <v>211</v>
      </c>
      <c r="T12" s="7">
        <v>10</v>
      </c>
      <c r="U12" s="13" t="s">
        <v>216</v>
      </c>
    </row>
    <row r="13" spans="1:21" x14ac:dyDescent="0.2">
      <c r="A13" s="8" t="s">
        <v>117</v>
      </c>
      <c r="B13" s="9">
        <v>17126004</v>
      </c>
      <c r="C13" s="8" t="s">
        <v>121</v>
      </c>
      <c r="D13" s="15" t="s">
        <v>293</v>
      </c>
      <c r="E13" s="8" t="s">
        <v>122</v>
      </c>
      <c r="F13" s="10" t="str">
        <f>CONCATENATE(E13,6)</f>
        <v>00021970944K6</v>
      </c>
      <c r="G13" s="8" t="s">
        <v>47</v>
      </c>
      <c r="H13" s="11">
        <v>45717</v>
      </c>
      <c r="I13" s="8" t="s">
        <v>87</v>
      </c>
      <c r="J13" s="9">
        <v>1</v>
      </c>
      <c r="K13" s="9">
        <v>17</v>
      </c>
      <c r="L13" s="8" t="s">
        <v>51</v>
      </c>
      <c r="M13" s="12">
        <v>1</v>
      </c>
      <c r="N13" s="12">
        <v>0</v>
      </c>
      <c r="O13" s="12">
        <v>100</v>
      </c>
      <c r="P13" s="12">
        <v>26.08</v>
      </c>
      <c r="Q13" s="8" t="s">
        <v>80</v>
      </c>
      <c r="R13" s="11">
        <v>45566</v>
      </c>
      <c r="S13" s="7" t="s">
        <v>211</v>
      </c>
      <c r="T13" s="7">
        <v>1</v>
      </c>
      <c r="U13" s="13" t="s">
        <v>215</v>
      </c>
    </row>
    <row r="14" spans="1:21" x14ac:dyDescent="0.2">
      <c r="A14" s="8" t="s">
        <v>152</v>
      </c>
      <c r="B14" s="9">
        <v>18828278</v>
      </c>
      <c r="C14" s="8" t="s">
        <v>200</v>
      </c>
      <c r="D14" s="15" t="s">
        <v>294</v>
      </c>
      <c r="E14" s="10">
        <v>9029455080</v>
      </c>
      <c r="F14" s="10" t="str">
        <f>CONCATENATE(E14,4)</f>
        <v>90294550804</v>
      </c>
      <c r="G14" s="8" t="s">
        <v>166</v>
      </c>
      <c r="H14" s="11">
        <v>45748</v>
      </c>
      <c r="I14" s="8" t="s">
        <v>60</v>
      </c>
      <c r="J14" s="9">
        <v>1</v>
      </c>
      <c r="K14" s="9">
        <v>3</v>
      </c>
      <c r="L14" s="8" t="s">
        <v>179</v>
      </c>
      <c r="M14" s="12">
        <v>10</v>
      </c>
      <c r="N14" s="12">
        <v>41.82</v>
      </c>
      <c r="O14" s="12">
        <v>100</v>
      </c>
      <c r="P14" s="12">
        <v>4.18</v>
      </c>
      <c r="Q14" s="8" t="s">
        <v>175</v>
      </c>
      <c r="R14" s="11">
        <v>45658</v>
      </c>
      <c r="S14" s="7" t="s">
        <v>208</v>
      </c>
    </row>
    <row r="15" spans="1:21" x14ac:dyDescent="0.2">
      <c r="A15" s="8" t="s">
        <v>152</v>
      </c>
      <c r="B15" s="9">
        <v>18828278</v>
      </c>
      <c r="C15" s="8" t="s">
        <v>153</v>
      </c>
      <c r="D15" s="15" t="s">
        <v>295</v>
      </c>
      <c r="E15" s="8" t="s">
        <v>154</v>
      </c>
      <c r="F15" s="10" t="str">
        <f>CONCATENATE(E15,6)</f>
        <v>00000192144F6</v>
      </c>
      <c r="G15" s="8" t="s">
        <v>47</v>
      </c>
      <c r="H15" s="11">
        <v>45748</v>
      </c>
      <c r="I15" s="8" t="s">
        <v>60</v>
      </c>
      <c r="J15" s="9">
        <v>1</v>
      </c>
      <c r="K15" s="9">
        <v>17</v>
      </c>
      <c r="L15" s="8" t="s">
        <v>51</v>
      </c>
      <c r="M15" s="12">
        <v>0.75</v>
      </c>
      <c r="N15" s="12">
        <v>0</v>
      </c>
      <c r="O15" s="12">
        <v>100</v>
      </c>
      <c r="P15" s="12">
        <v>234.75</v>
      </c>
      <c r="Q15" s="8" t="s">
        <v>53</v>
      </c>
      <c r="R15" s="11">
        <v>45748</v>
      </c>
      <c r="S15" s="7" t="s">
        <v>211</v>
      </c>
      <c r="T15" s="7">
        <v>9</v>
      </c>
      <c r="U15" s="13" t="s">
        <v>214</v>
      </c>
    </row>
    <row r="16" spans="1:21" x14ac:dyDescent="0.2">
      <c r="A16" s="8" t="s">
        <v>152</v>
      </c>
      <c r="B16" s="9">
        <v>18828278</v>
      </c>
      <c r="C16" s="8" t="s">
        <v>156</v>
      </c>
      <c r="D16" s="15" t="s">
        <v>296</v>
      </c>
      <c r="E16" s="8" t="s">
        <v>157</v>
      </c>
      <c r="F16" s="10" t="str">
        <f>CONCATENATE(E16,6)</f>
        <v>00023171733K6</v>
      </c>
      <c r="G16" s="8" t="s">
        <v>47</v>
      </c>
      <c r="H16" s="11">
        <v>45809</v>
      </c>
      <c r="I16" s="8" t="s">
        <v>67</v>
      </c>
      <c r="J16" s="9">
        <v>1</v>
      </c>
      <c r="K16" s="9">
        <v>17</v>
      </c>
      <c r="L16" s="8" t="s">
        <v>51</v>
      </c>
      <c r="M16" s="12">
        <v>0.57999999999999996</v>
      </c>
      <c r="N16" s="12">
        <v>0</v>
      </c>
      <c r="O16" s="12">
        <v>100</v>
      </c>
      <c r="P16" s="12">
        <v>182.58</v>
      </c>
      <c r="Q16" s="8" t="s">
        <v>53</v>
      </c>
      <c r="R16" s="11">
        <v>45809</v>
      </c>
      <c r="S16" s="7" t="s">
        <v>211</v>
      </c>
      <c r="T16" s="7">
        <v>7</v>
      </c>
      <c r="U16" s="13" t="s">
        <v>217</v>
      </c>
    </row>
    <row r="17" spans="1:21" x14ac:dyDescent="0.2">
      <c r="A17" s="8" t="s">
        <v>89</v>
      </c>
      <c r="B17" s="9">
        <v>7146581</v>
      </c>
      <c r="C17" s="8" t="s">
        <v>90</v>
      </c>
      <c r="D17" s="15" t="s">
        <v>297</v>
      </c>
      <c r="E17" s="8" t="s">
        <v>91</v>
      </c>
      <c r="F17" s="10" t="str">
        <f>CONCATENATE(E17,6)</f>
        <v>00010220392K6</v>
      </c>
      <c r="G17" s="8" t="s">
        <v>47</v>
      </c>
      <c r="H17" s="11">
        <v>45748</v>
      </c>
      <c r="I17" s="8" t="s">
        <v>60</v>
      </c>
      <c r="J17" s="9">
        <v>1</v>
      </c>
      <c r="K17" s="9">
        <v>17</v>
      </c>
      <c r="L17" s="8" t="s">
        <v>51</v>
      </c>
      <c r="M17" s="12">
        <v>0.75</v>
      </c>
      <c r="N17" s="12">
        <v>0</v>
      </c>
      <c r="O17" s="12">
        <v>100</v>
      </c>
      <c r="P17" s="12">
        <v>234.75</v>
      </c>
      <c r="Q17" s="8" t="s">
        <v>53</v>
      </c>
      <c r="R17" s="11">
        <v>45748</v>
      </c>
      <c r="S17" s="7" t="s">
        <v>211</v>
      </c>
      <c r="T17" s="7">
        <v>9</v>
      </c>
      <c r="U17" s="13" t="s">
        <v>214</v>
      </c>
    </row>
    <row r="18" spans="1:21" x14ac:dyDescent="0.2">
      <c r="A18" s="8" t="s">
        <v>89</v>
      </c>
      <c r="B18" s="9">
        <v>7146581</v>
      </c>
      <c r="C18" s="8" t="s">
        <v>93</v>
      </c>
      <c r="D18" s="15" t="s">
        <v>298</v>
      </c>
      <c r="E18" s="8" t="s">
        <v>94</v>
      </c>
      <c r="F18" s="10" t="str">
        <f>CONCATENATE(E18,6)</f>
        <v>00011177340K6</v>
      </c>
      <c r="G18" s="8" t="s">
        <v>47</v>
      </c>
      <c r="H18" s="11">
        <v>45658</v>
      </c>
      <c r="I18" s="8" t="s">
        <v>96</v>
      </c>
      <c r="J18" s="9">
        <v>1</v>
      </c>
      <c r="K18" s="9">
        <v>17</v>
      </c>
      <c r="L18" s="8" t="s">
        <v>51</v>
      </c>
      <c r="M18" s="12">
        <v>-0.75</v>
      </c>
      <c r="N18" s="12">
        <v>0</v>
      </c>
      <c r="O18" s="12">
        <v>100</v>
      </c>
      <c r="P18" s="12">
        <v>-234.75</v>
      </c>
      <c r="Q18" s="8" t="s">
        <v>53</v>
      </c>
      <c r="R18" s="11">
        <v>45658</v>
      </c>
      <c r="S18" s="7" t="s">
        <v>211</v>
      </c>
      <c r="T18" s="7">
        <v>9</v>
      </c>
      <c r="U18" s="13" t="s">
        <v>214</v>
      </c>
    </row>
    <row r="19" spans="1:21" x14ac:dyDescent="0.2">
      <c r="A19" s="8" t="s">
        <v>89</v>
      </c>
      <c r="B19" s="9">
        <v>7146581</v>
      </c>
      <c r="C19" s="8" t="s">
        <v>97</v>
      </c>
      <c r="D19" s="15" t="s">
        <v>299</v>
      </c>
      <c r="E19" s="8" t="s">
        <v>98</v>
      </c>
      <c r="F19" s="10" t="str">
        <f>CONCATENATE(E19,6)</f>
        <v>00022963642K6</v>
      </c>
      <c r="G19" s="8" t="s">
        <v>47</v>
      </c>
      <c r="H19" s="11">
        <v>45658</v>
      </c>
      <c r="I19" s="8" t="s">
        <v>96</v>
      </c>
      <c r="J19" s="9">
        <v>1</v>
      </c>
      <c r="K19" s="9">
        <v>17</v>
      </c>
      <c r="L19" s="8" t="s">
        <v>51</v>
      </c>
      <c r="M19" s="12">
        <v>-0.92</v>
      </c>
      <c r="N19" s="12">
        <v>0</v>
      </c>
      <c r="O19" s="12">
        <v>100</v>
      </c>
      <c r="P19" s="12">
        <v>-50.42</v>
      </c>
      <c r="Q19" s="8" t="s">
        <v>53</v>
      </c>
      <c r="R19" s="11">
        <v>45658</v>
      </c>
      <c r="S19" s="7" t="s">
        <v>212</v>
      </c>
    </row>
    <row r="20" spans="1:21" x14ac:dyDescent="0.2">
      <c r="A20" s="8" t="s">
        <v>89</v>
      </c>
      <c r="B20" s="9">
        <v>7146581</v>
      </c>
      <c r="C20" s="8" t="s">
        <v>100</v>
      </c>
      <c r="D20" s="15" t="s">
        <v>300</v>
      </c>
      <c r="E20" s="8" t="s">
        <v>101</v>
      </c>
      <c r="F20" s="10" t="str">
        <f>CONCATENATE(E20,6)</f>
        <v>00023174321K6</v>
      </c>
      <c r="G20" s="8" t="s">
        <v>47</v>
      </c>
      <c r="H20" s="11">
        <v>45748</v>
      </c>
      <c r="I20" s="8" t="s">
        <v>60</v>
      </c>
      <c r="J20" s="9">
        <v>1</v>
      </c>
      <c r="K20" s="9">
        <v>17</v>
      </c>
      <c r="L20" s="8" t="s">
        <v>51</v>
      </c>
      <c r="M20" s="12">
        <v>0.75</v>
      </c>
      <c r="N20" s="12">
        <v>0</v>
      </c>
      <c r="O20" s="12">
        <v>100</v>
      </c>
      <c r="P20" s="12">
        <v>234.75</v>
      </c>
      <c r="Q20" s="8" t="s">
        <v>53</v>
      </c>
      <c r="R20" s="11">
        <v>45748</v>
      </c>
      <c r="S20" s="7" t="s">
        <v>211</v>
      </c>
      <c r="T20" s="7">
        <v>9</v>
      </c>
      <c r="U20" s="13" t="s">
        <v>214</v>
      </c>
    </row>
    <row r="21" spans="1:21" x14ac:dyDescent="0.2">
      <c r="A21" s="8" t="s">
        <v>89</v>
      </c>
      <c r="B21" s="9">
        <v>7146581</v>
      </c>
      <c r="C21" s="8" t="s">
        <v>103</v>
      </c>
      <c r="D21" s="15" t="s">
        <v>301</v>
      </c>
      <c r="E21" s="8" t="s">
        <v>104</v>
      </c>
      <c r="F21" s="10" t="str">
        <f>CONCATENATE(E21,6)</f>
        <v>00023177736K6</v>
      </c>
      <c r="G21" s="8" t="s">
        <v>47</v>
      </c>
      <c r="H21" s="11">
        <v>45748</v>
      </c>
      <c r="I21" s="8" t="s">
        <v>60</v>
      </c>
      <c r="J21" s="9">
        <v>1</v>
      </c>
      <c r="K21" s="9">
        <v>17</v>
      </c>
      <c r="L21" s="8" t="s">
        <v>51</v>
      </c>
      <c r="M21" s="12">
        <v>0.75</v>
      </c>
      <c r="N21" s="12">
        <v>0</v>
      </c>
      <c r="O21" s="12">
        <v>100</v>
      </c>
      <c r="P21" s="12">
        <v>234.75</v>
      </c>
      <c r="Q21" s="8" t="s">
        <v>53</v>
      </c>
      <c r="R21" s="11">
        <v>45748</v>
      </c>
      <c r="S21" s="7" t="s">
        <v>211</v>
      </c>
      <c r="T21" s="7">
        <v>9</v>
      </c>
      <c r="U21" s="13" t="s">
        <v>214</v>
      </c>
    </row>
    <row r="22" spans="1:21" x14ac:dyDescent="0.2">
      <c r="A22" s="8" t="s">
        <v>124</v>
      </c>
      <c r="B22" s="14" t="s">
        <v>218</v>
      </c>
      <c r="C22" s="8" t="s">
        <v>125</v>
      </c>
      <c r="D22" s="15" t="s">
        <v>302</v>
      </c>
      <c r="E22" s="8" t="s">
        <v>126</v>
      </c>
      <c r="F22" s="10" t="str">
        <f>CONCATENATE(E22,6)</f>
        <v>00023132160K6</v>
      </c>
      <c r="G22" s="8" t="s">
        <v>47</v>
      </c>
      <c r="H22" s="11">
        <v>45717</v>
      </c>
      <c r="I22" s="8" t="s">
        <v>87</v>
      </c>
      <c r="J22" s="9">
        <v>1</v>
      </c>
      <c r="K22" s="9">
        <v>17</v>
      </c>
      <c r="L22" s="8" t="s">
        <v>51</v>
      </c>
      <c r="M22" s="12">
        <v>-0.83</v>
      </c>
      <c r="N22" s="12">
        <v>0</v>
      </c>
      <c r="O22" s="12">
        <v>100</v>
      </c>
      <c r="P22" s="12">
        <v>-294.17</v>
      </c>
      <c r="Q22" s="8" t="s">
        <v>53</v>
      </c>
      <c r="R22" s="11">
        <v>45717</v>
      </c>
      <c r="S22" s="7" t="s">
        <v>210</v>
      </c>
      <c r="T22" s="7">
        <v>10</v>
      </c>
      <c r="U22" s="13" t="s">
        <v>216</v>
      </c>
    </row>
    <row r="23" spans="1:21" x14ac:dyDescent="0.2">
      <c r="A23" s="8" t="s">
        <v>202</v>
      </c>
      <c r="B23" s="9">
        <v>19278370</v>
      </c>
      <c r="C23" s="8" t="s">
        <v>203</v>
      </c>
      <c r="D23" s="15" t="s">
        <v>303</v>
      </c>
      <c r="E23" s="10">
        <v>9030047190</v>
      </c>
      <c r="F23" s="10" t="str">
        <f>CONCATENATE(E23,4)</f>
        <v>90300471904</v>
      </c>
      <c r="G23" s="8" t="s">
        <v>166</v>
      </c>
      <c r="H23" s="11">
        <v>45748</v>
      </c>
      <c r="I23" s="8" t="s">
        <v>60</v>
      </c>
      <c r="J23" s="9">
        <v>4</v>
      </c>
      <c r="K23" s="9">
        <v>60</v>
      </c>
      <c r="L23" s="8" t="s">
        <v>168</v>
      </c>
      <c r="M23" s="12">
        <v>10</v>
      </c>
      <c r="N23" s="12">
        <v>59.45</v>
      </c>
      <c r="O23" s="12">
        <v>100</v>
      </c>
      <c r="P23" s="12">
        <v>5.95</v>
      </c>
      <c r="Q23" s="8" t="s">
        <v>175</v>
      </c>
      <c r="R23" s="11">
        <v>45700</v>
      </c>
      <c r="S23" s="7" t="s">
        <v>208</v>
      </c>
    </row>
    <row r="24" spans="1:21" x14ac:dyDescent="0.2">
      <c r="A24" s="8" t="s">
        <v>186</v>
      </c>
      <c r="B24" s="9">
        <v>6634327</v>
      </c>
      <c r="C24" s="8" t="s">
        <v>187</v>
      </c>
      <c r="D24" s="8" t="s">
        <v>187</v>
      </c>
      <c r="E24" s="10">
        <v>853911</v>
      </c>
      <c r="F24" s="10" t="str">
        <f>CONCATENATE(E24,7)</f>
        <v>8539117</v>
      </c>
      <c r="G24" s="8" t="s">
        <v>184</v>
      </c>
      <c r="H24" s="11">
        <v>45717</v>
      </c>
      <c r="I24" s="8" t="s">
        <v>87</v>
      </c>
      <c r="J24" s="9">
        <v>2</v>
      </c>
      <c r="K24" s="9">
        <v>3</v>
      </c>
      <c r="L24" s="8" t="s">
        <v>179</v>
      </c>
      <c r="M24" s="12">
        <v>10</v>
      </c>
      <c r="N24" s="12">
        <v>503.08</v>
      </c>
      <c r="O24" s="12">
        <v>100</v>
      </c>
      <c r="P24" s="12">
        <v>50.31</v>
      </c>
      <c r="Q24" s="8" t="s">
        <v>80</v>
      </c>
      <c r="R24" s="11">
        <v>44562</v>
      </c>
      <c r="S24" s="7" t="s">
        <v>207</v>
      </c>
    </row>
    <row r="25" spans="1:21" x14ac:dyDescent="0.2">
      <c r="A25" s="8" t="s">
        <v>186</v>
      </c>
      <c r="B25" s="9">
        <v>6634327</v>
      </c>
      <c r="C25" s="8" t="s">
        <v>187</v>
      </c>
      <c r="D25" s="8" t="s">
        <v>187</v>
      </c>
      <c r="E25" s="10">
        <v>853911</v>
      </c>
      <c r="F25" s="10" t="str">
        <f>CONCATENATE(E25,7)</f>
        <v>8539117</v>
      </c>
      <c r="G25" s="8" t="s">
        <v>184</v>
      </c>
      <c r="H25" s="11">
        <v>45717</v>
      </c>
      <c r="I25" s="8" t="s">
        <v>87</v>
      </c>
      <c r="J25" s="9">
        <v>2</v>
      </c>
      <c r="K25" s="9">
        <v>60</v>
      </c>
      <c r="L25" s="8" t="s">
        <v>168</v>
      </c>
      <c r="M25" s="12">
        <v>10</v>
      </c>
      <c r="N25" s="12">
        <v>50.98</v>
      </c>
      <c r="O25" s="12">
        <v>100</v>
      </c>
      <c r="P25" s="12">
        <v>5.0999999999999996</v>
      </c>
      <c r="Q25" s="8" t="s">
        <v>80</v>
      </c>
      <c r="R25" s="11">
        <v>44562</v>
      </c>
      <c r="S25" s="7" t="s">
        <v>207</v>
      </c>
    </row>
    <row r="26" spans="1:21" x14ac:dyDescent="0.2">
      <c r="A26" s="8" t="s">
        <v>42</v>
      </c>
      <c r="B26" s="9">
        <v>8814784</v>
      </c>
      <c r="C26" s="8" t="s">
        <v>43</v>
      </c>
      <c r="D26" s="15" t="s">
        <v>304</v>
      </c>
      <c r="E26" s="8" t="s">
        <v>44</v>
      </c>
      <c r="F26" s="10" t="str">
        <f>CONCATENATE(E26,6)</f>
        <v>00023174017K6</v>
      </c>
      <c r="G26" s="8" t="s">
        <v>47</v>
      </c>
      <c r="H26" s="11">
        <v>45778</v>
      </c>
      <c r="I26" s="8" t="s">
        <v>49</v>
      </c>
      <c r="J26" s="9">
        <v>1</v>
      </c>
      <c r="K26" s="9">
        <v>17</v>
      </c>
      <c r="L26" s="8" t="s">
        <v>51</v>
      </c>
      <c r="M26" s="12">
        <v>0.67</v>
      </c>
      <c r="N26" s="12">
        <v>0</v>
      </c>
      <c r="O26" s="12">
        <v>100</v>
      </c>
      <c r="P26" s="12">
        <v>208.67</v>
      </c>
      <c r="Q26" s="8" t="s">
        <v>53</v>
      </c>
      <c r="R26" s="11">
        <v>45778</v>
      </c>
      <c r="S26" s="7" t="s">
        <v>211</v>
      </c>
      <c r="T26" s="7">
        <v>8</v>
      </c>
      <c r="U26" s="13" t="s">
        <v>213</v>
      </c>
    </row>
    <row r="27" spans="1:21" x14ac:dyDescent="0.2">
      <c r="A27" s="8" t="s">
        <v>129</v>
      </c>
      <c r="B27" s="9">
        <v>9213293</v>
      </c>
      <c r="C27" s="8" t="s">
        <v>130</v>
      </c>
      <c r="D27" s="15" t="s">
        <v>305</v>
      </c>
      <c r="E27" s="8" t="s">
        <v>131</v>
      </c>
      <c r="F27" s="10" t="str">
        <f>CONCATENATE(E27,6)</f>
        <v>00023178815K6</v>
      </c>
      <c r="G27" s="8" t="s">
        <v>47</v>
      </c>
      <c r="H27" s="11">
        <v>45748</v>
      </c>
      <c r="I27" s="8" t="s">
        <v>60</v>
      </c>
      <c r="J27" s="9">
        <v>1</v>
      </c>
      <c r="K27" s="9">
        <v>17</v>
      </c>
      <c r="L27" s="8" t="s">
        <v>51</v>
      </c>
      <c r="M27" s="12">
        <v>0.75</v>
      </c>
      <c r="N27" s="12">
        <v>0</v>
      </c>
      <c r="O27" s="12">
        <v>100</v>
      </c>
      <c r="P27" s="12">
        <v>234.75</v>
      </c>
      <c r="Q27" s="8" t="s">
        <v>53</v>
      </c>
      <c r="R27" s="11">
        <v>45748</v>
      </c>
      <c r="S27" s="7" t="s">
        <v>211</v>
      </c>
      <c r="T27" s="7">
        <v>9</v>
      </c>
      <c r="U27" s="13" t="s">
        <v>214</v>
      </c>
    </row>
    <row r="28" spans="1:21" x14ac:dyDescent="0.2">
      <c r="A28" s="8" t="s">
        <v>159</v>
      </c>
      <c r="B28" s="9">
        <v>19645587</v>
      </c>
      <c r="C28" s="8" t="s">
        <v>160</v>
      </c>
      <c r="D28" s="15" t="s">
        <v>306</v>
      </c>
      <c r="E28" s="8" t="s">
        <v>161</v>
      </c>
      <c r="F28" s="10" t="str">
        <f>CONCATENATE(E28,6)</f>
        <v>00013294955K6</v>
      </c>
      <c r="G28" s="8" t="s">
        <v>47</v>
      </c>
      <c r="H28" s="11">
        <v>45748</v>
      </c>
      <c r="I28" s="8" t="s">
        <v>60</v>
      </c>
      <c r="J28" s="9">
        <v>1</v>
      </c>
      <c r="K28" s="9">
        <v>17</v>
      </c>
      <c r="L28" s="8" t="s">
        <v>51</v>
      </c>
      <c r="M28" s="12">
        <v>0.75</v>
      </c>
      <c r="N28" s="12">
        <v>0</v>
      </c>
      <c r="O28" s="12">
        <v>100</v>
      </c>
      <c r="P28" s="12">
        <v>234.75</v>
      </c>
      <c r="Q28" s="8" t="s">
        <v>53</v>
      </c>
      <c r="R28" s="11">
        <v>45748</v>
      </c>
      <c r="S28" s="7" t="s">
        <v>211</v>
      </c>
      <c r="T28" s="7">
        <v>9</v>
      </c>
      <c r="U28" s="13" t="s">
        <v>214</v>
      </c>
    </row>
    <row r="29" spans="1:21" x14ac:dyDescent="0.2">
      <c r="A29" s="8" t="s">
        <v>159</v>
      </c>
      <c r="B29" s="9">
        <v>19645587</v>
      </c>
      <c r="C29" s="8" t="s">
        <v>160</v>
      </c>
      <c r="D29" s="15" t="s">
        <v>306</v>
      </c>
      <c r="E29" s="8" t="s">
        <v>161</v>
      </c>
      <c r="F29" s="10" t="str">
        <f>CONCATENATE(E29,6)</f>
        <v>00013294955K6</v>
      </c>
      <c r="G29" s="8" t="s">
        <v>47</v>
      </c>
      <c r="H29" s="11">
        <v>45658</v>
      </c>
      <c r="I29" s="8" t="s">
        <v>96</v>
      </c>
      <c r="J29" s="9">
        <v>1</v>
      </c>
      <c r="K29" s="9">
        <v>17</v>
      </c>
      <c r="L29" s="8" t="s">
        <v>51</v>
      </c>
      <c r="M29" s="12">
        <v>-0.75</v>
      </c>
      <c r="N29" s="12">
        <v>0</v>
      </c>
      <c r="O29" s="12">
        <v>100</v>
      </c>
      <c r="P29" s="12">
        <v>-234.75</v>
      </c>
      <c r="Q29" s="8" t="s">
        <v>53</v>
      </c>
      <c r="R29" s="11">
        <v>45658</v>
      </c>
      <c r="S29" s="7" t="s">
        <v>211</v>
      </c>
      <c r="T29" s="7">
        <v>9</v>
      </c>
      <c r="U29" s="13" t="s">
        <v>214</v>
      </c>
    </row>
    <row r="30" spans="1:21" x14ac:dyDescent="0.2">
      <c r="A30" s="8" t="s">
        <v>189</v>
      </c>
      <c r="B30" s="9">
        <v>9079571</v>
      </c>
      <c r="C30" s="8" t="s">
        <v>190</v>
      </c>
      <c r="D30" s="15" t="s">
        <v>307</v>
      </c>
      <c r="E30" s="8" t="s">
        <v>191</v>
      </c>
      <c r="F30" s="10" t="str">
        <f>CONCATENATE(E30,8)</f>
        <v>00000969824A8</v>
      </c>
      <c r="G30" s="8" t="s">
        <v>192</v>
      </c>
      <c r="H30" s="11">
        <v>45717</v>
      </c>
      <c r="I30" s="8" t="s">
        <v>87</v>
      </c>
      <c r="J30" s="9">
        <v>1</v>
      </c>
      <c r="K30" s="9">
        <v>17</v>
      </c>
      <c r="L30" s="8" t="s">
        <v>51</v>
      </c>
      <c r="M30" s="12">
        <v>22</v>
      </c>
      <c r="N30" s="12">
        <v>1830.84</v>
      </c>
      <c r="O30" s="12">
        <v>100</v>
      </c>
      <c r="P30" s="12">
        <v>402.84</v>
      </c>
      <c r="Q30" s="8" t="s">
        <v>193</v>
      </c>
      <c r="R30" s="11">
        <v>45717</v>
      </c>
      <c r="S30" s="7" t="s">
        <v>209</v>
      </c>
    </row>
    <row r="31" spans="1:21" x14ac:dyDescent="0.2">
      <c r="A31" s="8" t="s">
        <v>137</v>
      </c>
      <c r="B31" s="9">
        <v>19200754</v>
      </c>
      <c r="C31" s="8" t="s">
        <v>138</v>
      </c>
      <c r="D31" s="15" t="s">
        <v>308</v>
      </c>
      <c r="E31" s="8" t="s">
        <v>139</v>
      </c>
      <c r="F31" s="10" t="str">
        <f>CONCATENATE(E31,6)</f>
        <v>00023154864K6</v>
      </c>
      <c r="G31" s="8" t="s">
        <v>47</v>
      </c>
      <c r="H31" s="11">
        <v>45748</v>
      </c>
      <c r="I31" s="8" t="s">
        <v>60</v>
      </c>
      <c r="J31" s="9">
        <v>1</v>
      </c>
      <c r="K31" s="9">
        <v>17</v>
      </c>
      <c r="L31" s="8" t="s">
        <v>51</v>
      </c>
      <c r="M31" s="12">
        <v>0.75</v>
      </c>
      <c r="N31" s="12">
        <v>0</v>
      </c>
      <c r="O31" s="12">
        <v>100</v>
      </c>
      <c r="P31" s="12">
        <v>234.75</v>
      </c>
      <c r="Q31" s="8" t="s">
        <v>53</v>
      </c>
      <c r="R31" s="11">
        <v>45748</v>
      </c>
      <c r="S31" s="7" t="s">
        <v>211</v>
      </c>
      <c r="T31" s="7">
        <v>9</v>
      </c>
      <c r="U31" s="13" t="s">
        <v>214</v>
      </c>
    </row>
    <row r="32" spans="1:21" x14ac:dyDescent="0.2">
      <c r="A32" s="8" t="s">
        <v>181</v>
      </c>
      <c r="B32" s="9">
        <v>14177521</v>
      </c>
      <c r="C32" s="8" t="s">
        <v>182</v>
      </c>
      <c r="D32" s="8" t="s">
        <v>182</v>
      </c>
      <c r="E32" s="10">
        <v>416672</v>
      </c>
      <c r="F32" s="10" t="str">
        <f>CONCATENATE(E32,7)</f>
        <v>4166727</v>
      </c>
      <c r="G32" s="8" t="s">
        <v>184</v>
      </c>
      <c r="H32" s="11">
        <v>45717</v>
      </c>
      <c r="I32" s="8" t="s">
        <v>87</v>
      </c>
      <c r="J32" s="9">
        <v>6</v>
      </c>
      <c r="K32" s="9">
        <v>3</v>
      </c>
      <c r="L32" s="8" t="s">
        <v>179</v>
      </c>
      <c r="M32" s="12">
        <v>10</v>
      </c>
      <c r="N32" s="12">
        <v>414.6</v>
      </c>
      <c r="O32" s="12">
        <v>100</v>
      </c>
      <c r="P32" s="12">
        <v>41.46</v>
      </c>
      <c r="Q32" s="8" t="s">
        <v>53</v>
      </c>
      <c r="R32" s="11">
        <v>45658</v>
      </c>
      <c r="S32" s="7" t="s">
        <v>207</v>
      </c>
    </row>
    <row r="33" spans="1:21" x14ac:dyDescent="0.2">
      <c r="A33" s="8" t="s">
        <v>181</v>
      </c>
      <c r="B33" s="9">
        <v>14177521</v>
      </c>
      <c r="C33" s="8" t="s">
        <v>182</v>
      </c>
      <c r="D33" s="8" t="s">
        <v>182</v>
      </c>
      <c r="E33" s="10">
        <v>416672</v>
      </c>
      <c r="F33" s="10" t="str">
        <f>CONCATENATE(E33,7)</f>
        <v>4166727</v>
      </c>
      <c r="G33" s="8" t="s">
        <v>184</v>
      </c>
      <c r="H33" s="11">
        <v>45717</v>
      </c>
      <c r="I33" s="8" t="s">
        <v>87</v>
      </c>
      <c r="J33" s="9">
        <v>5</v>
      </c>
      <c r="K33" s="9">
        <v>60</v>
      </c>
      <c r="L33" s="8" t="s">
        <v>168</v>
      </c>
      <c r="M33" s="12">
        <v>10</v>
      </c>
      <c r="N33" s="12">
        <v>49.38</v>
      </c>
      <c r="O33" s="12">
        <v>100</v>
      </c>
      <c r="P33" s="12">
        <v>4.9400000000000004</v>
      </c>
      <c r="Q33" s="8" t="s">
        <v>53</v>
      </c>
      <c r="R33" s="11">
        <v>45658</v>
      </c>
      <c r="S33" s="13" t="s">
        <v>207</v>
      </c>
    </row>
    <row r="34" spans="1:21" x14ac:dyDescent="0.2">
      <c r="A34" s="8" t="s">
        <v>70</v>
      </c>
      <c r="B34" s="9">
        <v>8307933</v>
      </c>
      <c r="C34" s="8" t="s">
        <v>71</v>
      </c>
      <c r="D34" s="15" t="s">
        <v>309</v>
      </c>
      <c r="E34" s="8" t="s">
        <v>72</v>
      </c>
      <c r="F34" s="10" t="str">
        <f>CONCATENATE(E34,6)</f>
        <v>00021558272K6</v>
      </c>
      <c r="G34" s="8" t="s">
        <v>47</v>
      </c>
      <c r="H34" s="11">
        <v>45748</v>
      </c>
      <c r="I34" s="8" t="s">
        <v>60</v>
      </c>
      <c r="J34" s="9">
        <v>1</v>
      </c>
      <c r="K34" s="9">
        <v>17</v>
      </c>
      <c r="L34" s="8" t="s">
        <v>51</v>
      </c>
      <c r="M34" s="12">
        <v>0.75</v>
      </c>
      <c r="N34" s="12">
        <v>0</v>
      </c>
      <c r="O34" s="12">
        <v>100</v>
      </c>
      <c r="P34" s="12">
        <v>234.75</v>
      </c>
      <c r="Q34" s="8" t="s">
        <v>53</v>
      </c>
      <c r="R34" s="11">
        <v>45748</v>
      </c>
      <c r="S34" s="7" t="s">
        <v>211</v>
      </c>
      <c r="T34" s="7">
        <v>9</v>
      </c>
      <c r="U34" s="13" t="s">
        <v>214</v>
      </c>
    </row>
    <row r="35" spans="1:21" x14ac:dyDescent="0.2">
      <c r="A35" s="8" t="s">
        <v>70</v>
      </c>
      <c r="B35" s="9">
        <v>8307933</v>
      </c>
      <c r="C35" s="8" t="s">
        <v>74</v>
      </c>
      <c r="D35" s="15" t="s">
        <v>310</v>
      </c>
      <c r="E35" s="8" t="s">
        <v>75</v>
      </c>
      <c r="F35" s="10" t="str">
        <f>CONCATENATE(E35,6)</f>
        <v>00022106692K6</v>
      </c>
      <c r="G35" s="8" t="s">
        <v>47</v>
      </c>
      <c r="H35" s="11">
        <v>45689</v>
      </c>
      <c r="I35" s="8" t="s">
        <v>77</v>
      </c>
      <c r="J35" s="9">
        <v>1</v>
      </c>
      <c r="K35" s="9">
        <v>17</v>
      </c>
      <c r="L35" s="8" t="s">
        <v>51</v>
      </c>
      <c r="M35" s="12">
        <v>-1</v>
      </c>
      <c r="N35" s="12">
        <v>0</v>
      </c>
      <c r="O35" s="12">
        <v>100</v>
      </c>
      <c r="P35" s="12">
        <v>-26.08</v>
      </c>
      <c r="Q35" s="8" t="s">
        <v>80</v>
      </c>
      <c r="R35" s="11">
        <v>45597</v>
      </c>
      <c r="S35" s="7" t="s">
        <v>211</v>
      </c>
      <c r="T35" s="7">
        <v>1</v>
      </c>
      <c r="U35" s="13" t="s">
        <v>215</v>
      </c>
    </row>
    <row r="36" spans="1:21" x14ac:dyDescent="0.2">
      <c r="A36" s="8" t="s">
        <v>106</v>
      </c>
      <c r="B36" s="9">
        <v>8325282</v>
      </c>
      <c r="C36" s="8" t="s">
        <v>107</v>
      </c>
      <c r="D36" s="15" t="s">
        <v>311</v>
      </c>
      <c r="E36" s="8" t="s">
        <v>108</v>
      </c>
      <c r="F36" s="10" t="str">
        <f>CONCATENATE(E36,6)</f>
        <v>00022601965K6</v>
      </c>
      <c r="G36" s="8" t="s">
        <v>47</v>
      </c>
      <c r="H36" s="11">
        <v>45658</v>
      </c>
      <c r="I36" s="8" t="s">
        <v>96</v>
      </c>
      <c r="J36" s="9">
        <v>1</v>
      </c>
      <c r="K36" s="9">
        <v>17</v>
      </c>
      <c r="L36" s="8" t="s">
        <v>51</v>
      </c>
      <c r="M36" s="12">
        <v>-0.75</v>
      </c>
      <c r="N36" s="12">
        <v>0</v>
      </c>
      <c r="O36" s="12">
        <v>100</v>
      </c>
      <c r="P36" s="12">
        <v>-234.75</v>
      </c>
      <c r="Q36" s="8" t="s">
        <v>53</v>
      </c>
      <c r="R36" s="11">
        <v>45658</v>
      </c>
      <c r="S36" s="7" t="s">
        <v>211</v>
      </c>
      <c r="T36" s="7">
        <v>9</v>
      </c>
      <c r="U36" s="13" t="s">
        <v>214</v>
      </c>
    </row>
    <row r="37" spans="1:21" x14ac:dyDescent="0.2">
      <c r="A37" s="8" t="s">
        <v>106</v>
      </c>
      <c r="B37" s="9">
        <v>8325282</v>
      </c>
      <c r="C37" s="8" t="s">
        <v>110</v>
      </c>
      <c r="D37" s="15" t="s">
        <v>312</v>
      </c>
      <c r="E37" s="8" t="s">
        <v>111</v>
      </c>
      <c r="F37" s="10" t="str">
        <f>CONCATENATE(E37,6)</f>
        <v>00023163873K6</v>
      </c>
      <c r="G37" s="8" t="s">
        <v>47</v>
      </c>
      <c r="H37" s="11">
        <v>45748</v>
      </c>
      <c r="I37" s="8" t="s">
        <v>60</v>
      </c>
      <c r="J37" s="9">
        <v>1</v>
      </c>
      <c r="K37" s="9">
        <v>17</v>
      </c>
      <c r="L37" s="8" t="s">
        <v>51</v>
      </c>
      <c r="M37" s="12">
        <v>0.75</v>
      </c>
      <c r="N37" s="12">
        <v>0</v>
      </c>
      <c r="O37" s="12">
        <v>100</v>
      </c>
      <c r="P37" s="12">
        <v>234.75</v>
      </c>
      <c r="Q37" s="8" t="s">
        <v>53</v>
      </c>
      <c r="R37" s="11">
        <v>45748</v>
      </c>
      <c r="S37" s="7" t="s">
        <v>211</v>
      </c>
      <c r="T37" s="7">
        <v>9</v>
      </c>
      <c r="U37" s="13" t="s">
        <v>214</v>
      </c>
    </row>
    <row r="38" spans="1:21" x14ac:dyDescent="0.2">
      <c r="A38" s="8" t="s">
        <v>141</v>
      </c>
      <c r="B38" s="9">
        <v>19481808</v>
      </c>
      <c r="C38" s="8" t="s">
        <v>142</v>
      </c>
      <c r="D38" s="15" t="s">
        <v>313</v>
      </c>
      <c r="E38" s="8" t="s">
        <v>143</v>
      </c>
      <c r="F38" s="10" t="str">
        <f>CONCATENATE(E38,6)</f>
        <v>00022063861K6</v>
      </c>
      <c r="G38" s="8" t="s">
        <v>47</v>
      </c>
      <c r="H38" s="11">
        <v>45689</v>
      </c>
      <c r="I38" s="8" t="s">
        <v>77</v>
      </c>
      <c r="J38" s="9">
        <v>1</v>
      </c>
      <c r="K38" s="9">
        <v>17</v>
      </c>
      <c r="L38" s="8" t="s">
        <v>51</v>
      </c>
      <c r="M38" s="12">
        <v>-1</v>
      </c>
      <c r="N38" s="12">
        <v>0</v>
      </c>
      <c r="O38" s="12">
        <v>100</v>
      </c>
      <c r="P38" s="12">
        <v>-26.08</v>
      </c>
      <c r="Q38" s="8" t="s">
        <v>80</v>
      </c>
      <c r="R38" s="11">
        <v>45566</v>
      </c>
      <c r="S38" s="7" t="s">
        <v>211</v>
      </c>
      <c r="T38" s="7">
        <v>1</v>
      </c>
      <c r="U38" s="13" t="s">
        <v>215</v>
      </c>
    </row>
    <row r="39" spans="1:21" x14ac:dyDescent="0.2">
      <c r="A39" s="8" t="s">
        <v>145</v>
      </c>
      <c r="B39" s="9">
        <v>19615078</v>
      </c>
      <c r="C39" s="8" t="s">
        <v>146</v>
      </c>
      <c r="D39" s="15" t="s">
        <v>314</v>
      </c>
      <c r="E39" s="8" t="s">
        <v>147</v>
      </c>
      <c r="F39" s="10" t="str">
        <f>CONCATENATE(E39,6)</f>
        <v>00013714586K6</v>
      </c>
      <c r="G39" s="8" t="s">
        <v>47</v>
      </c>
      <c r="H39" s="11">
        <v>45748</v>
      </c>
      <c r="I39" s="8" t="s">
        <v>60</v>
      </c>
      <c r="J39" s="9">
        <v>1</v>
      </c>
      <c r="K39" s="9">
        <v>17</v>
      </c>
      <c r="L39" s="8" t="s">
        <v>51</v>
      </c>
      <c r="M39" s="12">
        <v>0.75</v>
      </c>
      <c r="N39" s="12">
        <v>0</v>
      </c>
      <c r="O39" s="12">
        <v>100</v>
      </c>
      <c r="P39" s="12">
        <v>234.75</v>
      </c>
      <c r="Q39" s="8" t="s">
        <v>53</v>
      </c>
      <c r="R39" s="11">
        <v>45748</v>
      </c>
      <c r="S39" s="7" t="s">
        <v>211</v>
      </c>
      <c r="T39" s="7">
        <v>9</v>
      </c>
      <c r="U39" s="13" t="s">
        <v>214</v>
      </c>
    </row>
    <row r="40" spans="1:21" x14ac:dyDescent="0.2">
      <c r="A40" s="8" t="s">
        <v>145</v>
      </c>
      <c r="B40" s="9">
        <v>19615078</v>
      </c>
      <c r="C40" s="8" t="s">
        <v>149</v>
      </c>
      <c r="D40" s="15" t="s">
        <v>315</v>
      </c>
      <c r="E40" s="8" t="s">
        <v>150</v>
      </c>
      <c r="F40" s="10" t="str">
        <f>CONCATENATE(E40,6)</f>
        <v>00018658012K6</v>
      </c>
      <c r="G40" s="8" t="s">
        <v>47</v>
      </c>
      <c r="H40" s="11">
        <v>45748</v>
      </c>
      <c r="I40" s="8" t="s">
        <v>60</v>
      </c>
      <c r="J40" s="9">
        <v>1</v>
      </c>
      <c r="K40" s="9">
        <v>17</v>
      </c>
      <c r="L40" s="8" t="s">
        <v>51</v>
      </c>
      <c r="M40" s="12">
        <v>0.75</v>
      </c>
      <c r="N40" s="12">
        <v>0</v>
      </c>
      <c r="O40" s="12">
        <v>100</v>
      </c>
      <c r="P40" s="12">
        <v>234.75</v>
      </c>
      <c r="Q40" s="8" t="s">
        <v>53</v>
      </c>
      <c r="R40" s="11">
        <v>45748</v>
      </c>
      <c r="S40" s="7" t="s">
        <v>211</v>
      </c>
      <c r="T40" s="7">
        <v>9</v>
      </c>
      <c r="U40" s="13" t="s">
        <v>214</v>
      </c>
    </row>
    <row r="41" spans="1:21" x14ac:dyDescent="0.2">
      <c r="A41" s="8" t="s">
        <v>195</v>
      </c>
      <c r="B41" s="9">
        <v>18754354</v>
      </c>
      <c r="C41" s="8" t="s">
        <v>196</v>
      </c>
      <c r="D41" s="8" t="s">
        <v>196</v>
      </c>
      <c r="E41" s="10">
        <v>413180</v>
      </c>
      <c r="F41" s="10" t="str">
        <f>CONCATENATE(E41,7)</f>
        <v>4131807</v>
      </c>
      <c r="G41" s="8" t="s">
        <v>184</v>
      </c>
      <c r="H41" s="11">
        <v>45717</v>
      </c>
      <c r="I41" s="8" t="s">
        <v>87</v>
      </c>
      <c r="J41" s="9">
        <v>24</v>
      </c>
      <c r="K41" s="9">
        <v>10</v>
      </c>
      <c r="L41" s="8" t="s">
        <v>199</v>
      </c>
      <c r="M41" s="12">
        <v>10</v>
      </c>
      <c r="N41" s="12">
        <v>10.8</v>
      </c>
      <c r="O41" s="12">
        <v>100</v>
      </c>
      <c r="P41" s="12">
        <v>1.08</v>
      </c>
      <c r="Q41" s="8" t="s">
        <v>53</v>
      </c>
      <c r="R41" s="11">
        <v>45474</v>
      </c>
      <c r="S41" s="7" t="s">
        <v>207</v>
      </c>
    </row>
    <row r="42" spans="1:21" x14ac:dyDescent="0.2">
      <c r="A42" s="8" t="s">
        <v>195</v>
      </c>
      <c r="B42" s="9">
        <v>18754354</v>
      </c>
      <c r="C42" s="8" t="s">
        <v>196</v>
      </c>
      <c r="D42" s="8" t="s">
        <v>196</v>
      </c>
      <c r="E42" s="10">
        <v>413180</v>
      </c>
      <c r="F42" s="10" t="str">
        <f>CONCATENATE(E42,7)</f>
        <v>4131807</v>
      </c>
      <c r="G42" s="8" t="s">
        <v>184</v>
      </c>
      <c r="H42" s="11">
        <v>45717</v>
      </c>
      <c r="I42" s="8" t="s">
        <v>87</v>
      </c>
      <c r="J42" s="9">
        <v>24</v>
      </c>
      <c r="K42" s="9">
        <v>5</v>
      </c>
      <c r="L42" s="8" t="s">
        <v>198</v>
      </c>
      <c r="M42" s="12">
        <v>10</v>
      </c>
      <c r="N42" s="12">
        <v>46.8</v>
      </c>
      <c r="O42" s="12">
        <v>100</v>
      </c>
      <c r="P42" s="12">
        <v>4.68</v>
      </c>
      <c r="Q42" s="8" t="s">
        <v>53</v>
      </c>
      <c r="R42" s="11">
        <v>45474</v>
      </c>
      <c r="S42" s="7" t="s">
        <v>207</v>
      </c>
    </row>
    <row r="43" spans="1:21" x14ac:dyDescent="0.2">
      <c r="A43" s="8" t="s">
        <v>195</v>
      </c>
      <c r="B43" s="9">
        <v>18754354</v>
      </c>
      <c r="C43" s="8" t="s">
        <v>196</v>
      </c>
      <c r="D43" s="8" t="s">
        <v>196</v>
      </c>
      <c r="E43" s="10">
        <v>413180</v>
      </c>
      <c r="F43" s="10" t="str">
        <f>CONCATENATE(E43,7)</f>
        <v>4131807</v>
      </c>
      <c r="G43" s="8" t="s">
        <v>184</v>
      </c>
      <c r="H43" s="11">
        <v>45717</v>
      </c>
      <c r="I43" s="8" t="s">
        <v>87</v>
      </c>
      <c r="J43" s="9">
        <v>18</v>
      </c>
      <c r="K43" s="9">
        <v>3</v>
      </c>
      <c r="L43" s="8" t="s">
        <v>179</v>
      </c>
      <c r="M43" s="12">
        <v>10</v>
      </c>
      <c r="N43" s="12">
        <v>486.74</v>
      </c>
      <c r="O43" s="12">
        <v>100</v>
      </c>
      <c r="P43" s="12">
        <v>48.67</v>
      </c>
      <c r="Q43" s="8" t="s">
        <v>53</v>
      </c>
      <c r="R43" s="11">
        <v>45474</v>
      </c>
      <c r="S43" s="7" t="s">
        <v>207</v>
      </c>
    </row>
    <row r="44" spans="1:21" x14ac:dyDescent="0.2">
      <c r="A44" s="8" t="s">
        <v>195</v>
      </c>
      <c r="B44" s="9">
        <v>18754354</v>
      </c>
      <c r="C44" s="8" t="s">
        <v>196</v>
      </c>
      <c r="D44" s="8" t="s">
        <v>196</v>
      </c>
      <c r="E44" s="10">
        <v>413180</v>
      </c>
      <c r="F44" s="10" t="str">
        <f>CONCATENATE(E44,7)</f>
        <v>4131807</v>
      </c>
      <c r="G44" s="8" t="s">
        <v>184</v>
      </c>
      <c r="H44" s="11">
        <v>45717</v>
      </c>
      <c r="I44" s="8" t="s">
        <v>87</v>
      </c>
      <c r="J44" s="9">
        <v>14</v>
      </c>
      <c r="K44" s="9">
        <v>60</v>
      </c>
      <c r="L44" s="8" t="s">
        <v>168</v>
      </c>
      <c r="M44" s="12">
        <v>10</v>
      </c>
      <c r="N44" s="12">
        <v>97.7</v>
      </c>
      <c r="O44" s="12">
        <v>100</v>
      </c>
      <c r="P44" s="12">
        <v>9.77</v>
      </c>
      <c r="Q44" s="8" t="s">
        <v>53</v>
      </c>
      <c r="R44" s="11">
        <v>45474</v>
      </c>
      <c r="S44" s="7" t="s">
        <v>207</v>
      </c>
    </row>
    <row r="45" spans="1:21" x14ac:dyDescent="0.2">
      <c r="A45" s="8" t="s">
        <v>113</v>
      </c>
      <c r="B45" s="9">
        <v>16633294</v>
      </c>
      <c r="C45" s="8" t="s">
        <v>114</v>
      </c>
      <c r="D45" s="15" t="s">
        <v>316</v>
      </c>
      <c r="E45" s="8" t="s">
        <v>115</v>
      </c>
      <c r="F45" s="10" t="str">
        <f>CONCATENATE(E45,6)</f>
        <v>00023161838K6</v>
      </c>
      <c r="G45" s="8" t="s">
        <v>47</v>
      </c>
      <c r="H45" s="11">
        <v>45748</v>
      </c>
      <c r="I45" s="8" t="s">
        <v>60</v>
      </c>
      <c r="J45" s="9">
        <v>1</v>
      </c>
      <c r="K45" s="9">
        <v>17</v>
      </c>
      <c r="L45" s="8" t="s">
        <v>51</v>
      </c>
      <c r="M45" s="12">
        <v>0.75</v>
      </c>
      <c r="N45" s="12">
        <v>0</v>
      </c>
      <c r="O45" s="12">
        <v>100</v>
      </c>
      <c r="P45" s="12">
        <v>234.75</v>
      </c>
      <c r="Q45" s="8" t="s">
        <v>53</v>
      </c>
      <c r="R45" s="11">
        <v>45748</v>
      </c>
      <c r="S45" s="7" t="s">
        <v>211</v>
      </c>
      <c r="T45" s="7">
        <v>9</v>
      </c>
      <c r="U45" s="13" t="s">
        <v>214</v>
      </c>
    </row>
  </sheetData>
  <sortState xmlns:xlrd2="http://schemas.microsoft.com/office/spreadsheetml/2017/richdata2" ref="A2:AR45">
    <sortCondition ref="A2:A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2368-0FBC-4767-908B-98404D4EB19C}">
  <dimension ref="A1:C44"/>
  <sheetViews>
    <sheetView workbookViewId="0">
      <selection activeCell="C1" sqref="C1:C44"/>
    </sheetView>
  </sheetViews>
  <sheetFormatPr defaultRowHeight="12.75" x14ac:dyDescent="0.2"/>
  <cols>
    <col min="1" max="1" width="31.42578125" bestFit="1" customWidth="1"/>
    <col min="2" max="2" width="11.5703125" bestFit="1" customWidth="1"/>
    <col min="3" max="3" width="18" bestFit="1" customWidth="1"/>
  </cols>
  <sheetData>
    <row r="1" spans="1:3" x14ac:dyDescent="0.2">
      <c r="A1" s="8" t="s">
        <v>219</v>
      </c>
      <c r="B1" t="s">
        <v>220</v>
      </c>
      <c r="C1" t="str">
        <f>CONCATENATE(B1, " ", A1)</f>
        <v>CHARLES KAJOHN</v>
      </c>
    </row>
    <row r="2" spans="1:3" x14ac:dyDescent="0.2">
      <c r="A2" s="8" t="s">
        <v>221</v>
      </c>
      <c r="B2" t="s">
        <v>222</v>
      </c>
      <c r="C2" t="str">
        <f t="shared" ref="C2:C44" si="0">CONCATENATE(B2, " ", A2)</f>
        <v>JOANNE HRONOPOULOS</v>
      </c>
    </row>
    <row r="3" spans="1:3" x14ac:dyDescent="0.2">
      <c r="A3" s="8" t="s">
        <v>223</v>
      </c>
      <c r="B3" t="s">
        <v>224</v>
      </c>
      <c r="C3" t="str">
        <f t="shared" si="0"/>
        <v>RETHA DYMOND</v>
      </c>
    </row>
    <row r="4" spans="1:3" x14ac:dyDescent="0.2">
      <c r="A4" s="8" t="s">
        <v>225</v>
      </c>
      <c r="B4" t="s">
        <v>226</v>
      </c>
      <c r="C4" t="str">
        <f t="shared" si="0"/>
        <v>THERESA REMIAS</v>
      </c>
    </row>
    <row r="5" spans="1:3" x14ac:dyDescent="0.2">
      <c r="A5" s="8" t="s">
        <v>227</v>
      </c>
      <c r="B5" t="s">
        <v>228</v>
      </c>
      <c r="C5" t="str">
        <f t="shared" si="0"/>
        <v>THOMAS BOGARDUS</v>
      </c>
    </row>
    <row r="6" spans="1:3" x14ac:dyDescent="0.2">
      <c r="A6" s="8" t="s">
        <v>229</v>
      </c>
      <c r="B6" t="s">
        <v>230</v>
      </c>
      <c r="C6" t="str">
        <f t="shared" si="0"/>
        <v>Christopher Ward</v>
      </c>
    </row>
    <row r="7" spans="1:3" x14ac:dyDescent="0.2">
      <c r="A7" s="8" t="s">
        <v>231</v>
      </c>
      <c r="B7" t="s">
        <v>232</v>
      </c>
      <c r="C7" t="str">
        <f t="shared" si="0"/>
        <v>Nancy Philipsen</v>
      </c>
    </row>
    <row r="8" spans="1:3" x14ac:dyDescent="0.2">
      <c r="A8" s="8" t="s">
        <v>233</v>
      </c>
      <c r="B8" t="s">
        <v>234</v>
      </c>
      <c r="C8" t="str">
        <f t="shared" si="0"/>
        <v>Joanna Young</v>
      </c>
    </row>
    <row r="9" spans="1:3" x14ac:dyDescent="0.2">
      <c r="A9" s="8" t="s">
        <v>235</v>
      </c>
      <c r="B9" t="s">
        <v>236</v>
      </c>
      <c r="C9" t="str">
        <f t="shared" si="0"/>
        <v>Christie Dornbierer</v>
      </c>
    </row>
    <row r="10" spans="1:3" x14ac:dyDescent="0.2">
      <c r="A10" s="8" t="s">
        <v>229</v>
      </c>
      <c r="B10" t="s">
        <v>230</v>
      </c>
      <c r="C10" t="str">
        <f t="shared" si="0"/>
        <v>Christopher Ward</v>
      </c>
    </row>
    <row r="11" spans="1:3" x14ac:dyDescent="0.2">
      <c r="A11" s="8" t="s">
        <v>237</v>
      </c>
      <c r="B11" t="s">
        <v>238</v>
      </c>
      <c r="C11" t="str">
        <f t="shared" si="0"/>
        <v>RITA RICHARDSON</v>
      </c>
    </row>
    <row r="12" spans="1:3" x14ac:dyDescent="0.2">
      <c r="A12" s="8" t="s">
        <v>239</v>
      </c>
      <c r="B12" t="s">
        <v>240</v>
      </c>
      <c r="C12" t="str">
        <f t="shared" si="0"/>
        <v>BRIAN CHINDERLE</v>
      </c>
    </row>
    <row r="13" spans="1:3" x14ac:dyDescent="0.2">
      <c r="A13" s="8" t="s">
        <v>241</v>
      </c>
      <c r="B13" t="s">
        <v>242</v>
      </c>
      <c r="C13" t="str">
        <f t="shared" si="0"/>
        <v>Patti Green</v>
      </c>
    </row>
    <row r="14" spans="1:3" x14ac:dyDescent="0.2">
      <c r="A14" s="8" t="s">
        <v>243</v>
      </c>
      <c r="B14" t="s">
        <v>244</v>
      </c>
      <c r="C14" t="str">
        <f t="shared" si="0"/>
        <v>RICHARD BROCKMAN</v>
      </c>
    </row>
    <row r="15" spans="1:3" x14ac:dyDescent="0.2">
      <c r="A15" s="8" t="s">
        <v>245</v>
      </c>
      <c r="B15" t="s">
        <v>246</v>
      </c>
      <c r="C15" t="str">
        <f t="shared" si="0"/>
        <v>SHARI BRAMMEIER</v>
      </c>
    </row>
    <row r="16" spans="1:3" x14ac:dyDescent="0.2">
      <c r="A16" s="8" t="s">
        <v>247</v>
      </c>
      <c r="B16" t="s">
        <v>248</v>
      </c>
      <c r="C16" t="str">
        <f t="shared" si="0"/>
        <v>PATRICIA HUNSBERGER</v>
      </c>
    </row>
    <row r="17" spans="1:3" x14ac:dyDescent="0.2">
      <c r="A17" s="8" t="s">
        <v>249</v>
      </c>
      <c r="B17" t="s">
        <v>250</v>
      </c>
      <c r="C17" t="str">
        <f t="shared" si="0"/>
        <v>JAMES LIGGETT</v>
      </c>
    </row>
    <row r="18" spans="1:3" x14ac:dyDescent="0.2">
      <c r="A18" s="8" t="s">
        <v>251</v>
      </c>
      <c r="B18" t="s">
        <v>252</v>
      </c>
      <c r="C18" t="str">
        <f t="shared" si="0"/>
        <v>MILTON FRIEDMAN</v>
      </c>
    </row>
    <row r="19" spans="1:3" x14ac:dyDescent="0.2">
      <c r="A19" s="8" t="s">
        <v>253</v>
      </c>
      <c r="B19" t="s">
        <v>254</v>
      </c>
      <c r="C19" t="str">
        <f t="shared" si="0"/>
        <v>KURTISH BEXHETI</v>
      </c>
    </row>
    <row r="20" spans="1:3" x14ac:dyDescent="0.2">
      <c r="A20" s="8" t="s">
        <v>255</v>
      </c>
      <c r="B20" t="s">
        <v>256</v>
      </c>
      <c r="C20" t="str">
        <f t="shared" si="0"/>
        <v>LISA COLOVOS</v>
      </c>
    </row>
    <row r="21" spans="1:3" x14ac:dyDescent="0.2">
      <c r="A21" s="8" t="s">
        <v>257</v>
      </c>
      <c r="B21" t="s">
        <v>250</v>
      </c>
      <c r="C21" t="str">
        <f t="shared" si="0"/>
        <v>JAMES MISSENDA</v>
      </c>
    </row>
    <row r="22" spans="1:3" x14ac:dyDescent="0.2">
      <c r="A22" s="8" t="s">
        <v>258</v>
      </c>
      <c r="B22" t="s">
        <v>259</v>
      </c>
      <c r="C22" t="str">
        <f t="shared" si="0"/>
        <v>Massimo Ferrari</v>
      </c>
    </row>
    <row r="23" spans="1:3" x14ac:dyDescent="0.2">
      <c r="A23" s="8"/>
      <c r="C23" t="str">
        <f>CONCATENATE(B23, " ", A23)</f>
        <v xml:space="preserve"> </v>
      </c>
    </row>
    <row r="24" spans="1:3" x14ac:dyDescent="0.2">
      <c r="A24" s="8"/>
      <c r="C24" t="str">
        <f t="shared" si="0"/>
        <v xml:space="preserve"> </v>
      </c>
    </row>
    <row r="25" spans="1:3" x14ac:dyDescent="0.2">
      <c r="A25" s="8" t="s">
        <v>260</v>
      </c>
      <c r="B25" t="s">
        <v>261</v>
      </c>
      <c r="C25" t="str">
        <f t="shared" si="0"/>
        <v>LORI CERNY</v>
      </c>
    </row>
    <row r="26" spans="1:3" x14ac:dyDescent="0.2">
      <c r="A26" s="8" t="s">
        <v>262</v>
      </c>
      <c r="B26" t="s">
        <v>263</v>
      </c>
      <c r="C26" t="str">
        <f t="shared" si="0"/>
        <v>RENEE FITZPATRICK</v>
      </c>
    </row>
    <row r="27" spans="1:3" x14ac:dyDescent="0.2">
      <c r="A27" s="8" t="s">
        <v>264</v>
      </c>
      <c r="B27" t="s">
        <v>265</v>
      </c>
      <c r="C27" t="str">
        <f t="shared" si="0"/>
        <v>BONNIE ONEAL</v>
      </c>
    </row>
    <row r="28" spans="1:3" x14ac:dyDescent="0.2">
      <c r="A28" s="8" t="s">
        <v>264</v>
      </c>
      <c r="B28" t="s">
        <v>265</v>
      </c>
      <c r="C28" t="str">
        <f t="shared" si="0"/>
        <v>BONNIE ONEAL</v>
      </c>
    </row>
    <row r="29" spans="1:3" x14ac:dyDescent="0.2">
      <c r="A29" s="8" t="s">
        <v>266</v>
      </c>
      <c r="B29" t="s">
        <v>267</v>
      </c>
      <c r="C29" t="str">
        <f t="shared" si="0"/>
        <v>KENNETH WINN</v>
      </c>
    </row>
    <row r="30" spans="1:3" x14ac:dyDescent="0.2">
      <c r="A30" s="8" t="s">
        <v>268</v>
      </c>
      <c r="B30" t="s">
        <v>269</v>
      </c>
      <c r="C30" t="str">
        <f t="shared" si="0"/>
        <v>MARINA SHARAPOVA</v>
      </c>
    </row>
    <row r="31" spans="1:3" x14ac:dyDescent="0.2">
      <c r="A31" s="8"/>
      <c r="C31" t="str">
        <f t="shared" si="0"/>
        <v xml:space="preserve"> </v>
      </c>
    </row>
    <row r="32" spans="1:3" x14ac:dyDescent="0.2">
      <c r="A32" s="8"/>
      <c r="C32" t="str">
        <f t="shared" si="0"/>
        <v xml:space="preserve"> </v>
      </c>
    </row>
    <row r="33" spans="1:3" x14ac:dyDescent="0.2">
      <c r="A33" s="8" t="s">
        <v>270</v>
      </c>
      <c r="B33" t="s">
        <v>271</v>
      </c>
      <c r="C33" t="str">
        <f t="shared" si="0"/>
        <v>NATHAN HARTRY</v>
      </c>
    </row>
    <row r="34" spans="1:3" x14ac:dyDescent="0.2">
      <c r="A34" s="8" t="s">
        <v>272</v>
      </c>
      <c r="B34" t="s">
        <v>248</v>
      </c>
      <c r="C34" t="str">
        <f t="shared" si="0"/>
        <v>PATRICIA NOLAND</v>
      </c>
    </row>
    <row r="35" spans="1:3" x14ac:dyDescent="0.2">
      <c r="A35" s="8" t="s">
        <v>273</v>
      </c>
      <c r="B35" t="s">
        <v>274</v>
      </c>
      <c r="C35" t="str">
        <f t="shared" si="0"/>
        <v>GERALDINE BEIGEL</v>
      </c>
    </row>
    <row r="36" spans="1:3" x14ac:dyDescent="0.2">
      <c r="A36" s="8" t="s">
        <v>275</v>
      </c>
      <c r="B36" t="s">
        <v>250</v>
      </c>
      <c r="C36" t="str">
        <f t="shared" si="0"/>
        <v>JAMES CLOW</v>
      </c>
    </row>
    <row r="37" spans="1:3" x14ac:dyDescent="0.2">
      <c r="A37" s="8" t="s">
        <v>276</v>
      </c>
      <c r="B37" t="s">
        <v>277</v>
      </c>
      <c r="C37" t="str">
        <f t="shared" si="0"/>
        <v>EVELYN GLOVER</v>
      </c>
    </row>
    <row r="38" spans="1:3" x14ac:dyDescent="0.2">
      <c r="A38" s="8" t="s">
        <v>278</v>
      </c>
      <c r="B38" t="s">
        <v>279</v>
      </c>
      <c r="C38" t="str">
        <f t="shared" si="0"/>
        <v>ADOLFO PENA</v>
      </c>
    </row>
    <row r="39" spans="1:3" x14ac:dyDescent="0.2">
      <c r="A39" s="8" t="s">
        <v>278</v>
      </c>
      <c r="B39" t="s">
        <v>280</v>
      </c>
      <c r="C39" t="str">
        <f t="shared" si="0"/>
        <v>GRACIELA PENA</v>
      </c>
    </row>
    <row r="40" spans="1:3" x14ac:dyDescent="0.2">
      <c r="A40" s="8"/>
      <c r="C40" t="str">
        <f t="shared" si="0"/>
        <v xml:space="preserve"> </v>
      </c>
    </row>
    <row r="41" spans="1:3" x14ac:dyDescent="0.2">
      <c r="A41" s="8"/>
      <c r="C41" t="str">
        <f t="shared" si="0"/>
        <v xml:space="preserve"> </v>
      </c>
    </row>
    <row r="42" spans="1:3" x14ac:dyDescent="0.2">
      <c r="A42" s="8"/>
      <c r="C42" t="str">
        <f t="shared" si="0"/>
        <v xml:space="preserve"> </v>
      </c>
    </row>
    <row r="43" spans="1:3" x14ac:dyDescent="0.2">
      <c r="A43" s="8"/>
      <c r="C43" t="str">
        <f t="shared" si="0"/>
        <v xml:space="preserve"> </v>
      </c>
    </row>
    <row r="44" spans="1:3" x14ac:dyDescent="0.2">
      <c r="A44" s="8" t="s">
        <v>281</v>
      </c>
      <c r="B44" t="s">
        <v>282</v>
      </c>
      <c r="C44" t="str">
        <f t="shared" si="0"/>
        <v>AIMEE COHEN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2025-03-13T12:25:46Z</dcterms:created>
  <dcterms:modified xsi:type="dcterms:W3CDTF">2025-03-13T14:01:01Z</dcterms:modified>
</cp:coreProperties>
</file>