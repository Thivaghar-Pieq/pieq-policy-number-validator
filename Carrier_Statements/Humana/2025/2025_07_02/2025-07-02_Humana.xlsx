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5\07-02-25\"/>
    </mc:Choice>
  </mc:AlternateContent>
  <xr:revisionPtr revIDLastSave="0" documentId="13_ncr:9_{7C2961FC-5BE3-4C90-85A4-081ABAC48E89}" xr6:coauthVersionLast="47" xr6:coauthVersionMax="47" xr10:uidLastSave="{00000000-0000-0000-0000-000000000000}"/>
  <bookViews>
    <workbookView xWindow="28680" yWindow="-120" windowWidth="29040" windowHeight="16440" activeTab="1" xr2:uid="{76E89C55-4CE0-4F10-B0F7-7B53748FB3DD}"/>
  </bookViews>
  <sheets>
    <sheet name="CommissionData_1" sheetId="1" r:id="rId1"/>
    <sheet name="Sheet2" sheetId="2" r:id="rId2"/>
  </sheets>
  <calcPr calcId="181029"/>
</workbook>
</file>

<file path=xl/calcChain.xml><?xml version="1.0" encoding="utf-8"?>
<calcChain xmlns="http://schemas.openxmlformats.org/spreadsheetml/2006/main">
  <c r="S18" i="2" l="1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42" i="2"/>
  <c r="E13" i="2"/>
  <c r="E12" i="2"/>
  <c r="E11" i="2"/>
  <c r="E10" i="2"/>
  <c r="E9" i="2"/>
  <c r="E8" i="2"/>
  <c r="E7" i="2"/>
  <c r="E6" i="2"/>
  <c r="E16" i="2"/>
  <c r="E4" i="2"/>
  <c r="E3" i="2"/>
  <c r="E5" i="2"/>
  <c r="E15" i="2"/>
  <c r="E14" i="2"/>
  <c r="E31" i="2"/>
  <c r="E21" i="2"/>
  <c r="E20" i="2"/>
  <c r="E33" i="2"/>
  <c r="E32" i="2"/>
  <c r="E17" i="2"/>
  <c r="E35" i="2"/>
  <c r="E2" i="2"/>
  <c r="E23" i="2"/>
  <c r="E30" i="2"/>
  <c r="E29" i="2"/>
  <c r="E28" i="2"/>
  <c r="E27" i="2"/>
  <c r="E26" i="2"/>
  <c r="E22" i="2"/>
  <c r="E34" i="2"/>
  <c r="E25" i="2"/>
  <c r="E24" i="2"/>
  <c r="E19" i="2"/>
  <c r="E18" i="2"/>
  <c r="B66" i="2"/>
  <c r="B65" i="2"/>
  <c r="B64" i="2"/>
  <c r="B75" i="2"/>
  <c r="B74" i="2"/>
  <c r="B73" i="2"/>
  <c r="B72" i="2"/>
  <c r="B71" i="2"/>
  <c r="B70" i="2"/>
  <c r="B69" i="2"/>
  <c r="B68" i="2"/>
  <c r="B67" i="2"/>
  <c r="B63" i="2"/>
  <c r="B62" i="2"/>
  <c r="B55" i="2"/>
  <c r="B61" i="2"/>
  <c r="B60" i="2"/>
  <c r="B59" i="2"/>
  <c r="B58" i="2"/>
  <c r="B57" i="2"/>
  <c r="B56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S2" i="2"/>
  <c r="S31" i="2"/>
  <c r="S30" i="2"/>
</calcChain>
</file>

<file path=xl/sharedStrings.xml><?xml version="1.0" encoding="utf-8"?>
<sst xmlns="http://schemas.openxmlformats.org/spreadsheetml/2006/main" count="1444" uniqueCount="292">
  <si>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</si>
  <si>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</si>
  <si>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</si>
  <si>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</si>
  <si>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</si>
  <si>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</si>
  <si>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</si>
  <si>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</si>
  <si>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</si>
  <si>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</si>
  <si>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</si>
  <si>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</si>
  <si>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</si>
  <si>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</si>
  <si>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</si>
  <si>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</si>
  <si>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</si>
  <si>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</si>
  <si>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</si>
  <si>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</si>
  <si>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</si>
  <si>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</si>
  <si>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</si>
  <si>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</si>
  <si>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</si>
  <si>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</si>
  <si>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</si>
  <si>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</si>
  <si>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</si>
  <si>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</si>
  <si>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</si>
  <si>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</si>
  <si>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</si>
  <si>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</si>
  <si>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</si>
  <si>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</si>
  <si>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</si>
  <si>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</si>
  <si>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</si>
  <si>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</si>
  <si>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</si>
  <si>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</si>
  <si>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ALOFF ARNOLD T</t>
  </si>
  <si>
    <t>FORTINO BARBARA E</t>
  </si>
  <si>
    <t>00008001943K</t>
  </si>
  <si>
    <t>4QU5PM8DM53</t>
  </si>
  <si>
    <t/>
  </si>
  <si>
    <t>MA</t>
  </si>
  <si>
    <t>LV</t>
  </si>
  <si>
    <t>JUL</t>
  </si>
  <si>
    <t>F</t>
  </si>
  <si>
    <t>MEDICARE</t>
  </si>
  <si>
    <t>MEP</t>
  </si>
  <si>
    <t>FIRST YEAR COMMISSIONS</t>
  </si>
  <si>
    <t>ARCF</t>
  </si>
  <si>
    <t>H5216</t>
  </si>
  <si>
    <t>GALASINSKI JUNE H</t>
  </si>
  <si>
    <t>00023455114K</t>
  </si>
  <si>
    <t>3U76XY9DP47</t>
  </si>
  <si>
    <t>HUNSBERGER ANTHONY J</t>
  </si>
  <si>
    <t>MICHAELS DAVID A</t>
  </si>
  <si>
    <t>00023451990K</t>
  </si>
  <si>
    <t>3C46JE7CR75</t>
  </si>
  <si>
    <t>MICHAELS JULI L</t>
  </si>
  <si>
    <t>00023453133K</t>
  </si>
  <si>
    <t>2TY7UU7JE31</t>
  </si>
  <si>
    <t>YALE RICHARD A A</t>
  </si>
  <si>
    <t>WILLIAMS TAMMY A</t>
  </si>
  <si>
    <t>00023449614K</t>
  </si>
  <si>
    <t>6F35VM1XG57</t>
  </si>
  <si>
    <t>MER</t>
  </si>
  <si>
    <t>H6622</t>
  </si>
  <si>
    <t>HANSFORD GREGORY</t>
  </si>
  <si>
    <t>WILLIAMS CONNIE E</t>
  </si>
  <si>
    <t>00008790290K</t>
  </si>
  <si>
    <t>7NG9NC2TT20</t>
  </si>
  <si>
    <t>MAR</t>
  </si>
  <si>
    <t>PORTUGAL GARY</t>
  </si>
  <si>
    <t>DOWNS VICKY S</t>
  </si>
  <si>
    <t>00012290150K</t>
  </si>
  <si>
    <t>2FP3FK3DQ11</t>
  </si>
  <si>
    <t>JAN</t>
  </si>
  <si>
    <t>DAVIS NANCY T</t>
  </si>
  <si>
    <t>00014552202K</t>
  </si>
  <si>
    <t>2N02GG2MY18</t>
  </si>
  <si>
    <t>WILLIAMS MAUREEN P</t>
  </si>
  <si>
    <t>00015884195K</t>
  </si>
  <si>
    <t>8FJ8GU1EQ20</t>
  </si>
  <si>
    <t>H1468</t>
  </si>
  <si>
    <t>ANIOL ZBIGNIEW</t>
  </si>
  <si>
    <t>00023442523K</t>
  </si>
  <si>
    <t>5T26D75RW48</t>
  </si>
  <si>
    <t>MAY THOMAS B</t>
  </si>
  <si>
    <t>00023446545K</t>
  </si>
  <si>
    <t>6G33DT4DQ13</t>
  </si>
  <si>
    <t>SEP</t>
  </si>
  <si>
    <t>HODGMAN TIMOTHY</t>
  </si>
  <si>
    <t>GRAVES GAIL J</t>
  </si>
  <si>
    <t>00023450701K</t>
  </si>
  <si>
    <t>4DH2D61WX12</t>
  </si>
  <si>
    <t>LONG PATRICIA M</t>
  </si>
  <si>
    <t>MILLER JOANNE P</t>
  </si>
  <si>
    <t>00021184685K</t>
  </si>
  <si>
    <t>6Y52EK6UQ86</t>
  </si>
  <si>
    <t>R</t>
  </si>
  <si>
    <t>MEF</t>
  </si>
  <si>
    <t>RENEWAL COMMISSIONS</t>
  </si>
  <si>
    <t>ARCM</t>
  </si>
  <si>
    <t>H8145</t>
  </si>
  <si>
    <t>MAX RONALD J</t>
  </si>
  <si>
    <t>METCALF KATHY L</t>
  </si>
  <si>
    <t>00023445793K</t>
  </si>
  <si>
    <t>6YA9XY8FJ46</t>
  </si>
  <si>
    <t>PDP</t>
  </si>
  <si>
    <t>S5884</t>
  </si>
  <si>
    <t>ABDUL SAADIA S</t>
  </si>
  <si>
    <t>RODRIGUEZ GAIL M</t>
  </si>
  <si>
    <t>00023449616K</t>
  </si>
  <si>
    <t>7EJ9W72QF29</t>
  </si>
  <si>
    <t>SANTOS RICARDO D</t>
  </si>
  <si>
    <t>DIJAMCO MARIAVICTORIA M</t>
  </si>
  <si>
    <t>00023419316K</t>
  </si>
  <si>
    <t>8NJ5M19TQ40</t>
  </si>
  <si>
    <t>MARTINEZ ROMINAVICTORIA O</t>
  </si>
  <si>
    <t>00023445656K</t>
  </si>
  <si>
    <t>6FQ8DF6EP32</t>
  </si>
  <si>
    <t>DUNAVANT MICHAEL</t>
  </si>
  <si>
    <t>RAU JIM C</t>
  </si>
  <si>
    <t>00023452353K</t>
  </si>
  <si>
    <t>5XU5NH5EM63</t>
  </si>
  <si>
    <t>RAU VICKIE K</t>
  </si>
  <si>
    <t>00023452444K</t>
  </si>
  <si>
    <t>3GK5XD2RX94</t>
  </si>
  <si>
    <t>PORTUGAL STACEY A</t>
  </si>
  <si>
    <t>BYERS MARC J</t>
  </si>
  <si>
    <t>00023452819K</t>
  </si>
  <si>
    <t>9EM2PT5CC19</t>
  </si>
  <si>
    <t>AUG</t>
  </si>
  <si>
    <t>Moss Allan</t>
  </si>
  <si>
    <t>3245007030</t>
  </si>
  <si>
    <t>IN</t>
  </si>
  <si>
    <t>CB</t>
  </si>
  <si>
    <t>DENTAL</t>
  </si>
  <si>
    <t>COMPBENEFITS RENEWAL COMMISSION</t>
  </si>
  <si>
    <t>CRCM</t>
  </si>
  <si>
    <t>Hanahan Barbara</t>
  </si>
  <si>
    <t>9025228750</t>
  </si>
  <si>
    <t>HOFFMANN JASON R</t>
  </si>
  <si>
    <t>KEPHART NORMA K</t>
  </si>
  <si>
    <t>00000808018A</t>
  </si>
  <si>
    <t>MS</t>
  </si>
  <si>
    <t>MED SUPP RENEWAL ACHIEVE</t>
  </si>
  <si>
    <t>MSRA</t>
  </si>
  <si>
    <t>INSKIPT DEBORAH L</t>
  </si>
  <si>
    <t>KELLY JOHN R</t>
  </si>
  <si>
    <t>00000801899A</t>
  </si>
  <si>
    <t>JUN</t>
  </si>
  <si>
    <t>MAY</t>
  </si>
  <si>
    <t>Ubrey Carol A</t>
  </si>
  <si>
    <t>9030755680</t>
  </si>
  <si>
    <t>VISION</t>
  </si>
  <si>
    <t>COMPBENEFITS FIRST YEAR COMMISSION</t>
  </si>
  <si>
    <t>CRCF</t>
  </si>
  <si>
    <t>Gambetti Brianna</t>
  </si>
  <si>
    <t>9030544330</t>
  </si>
  <si>
    <t>9030544350</t>
  </si>
  <si>
    <t>Taylor David</t>
  </si>
  <si>
    <t>9030558330</t>
  </si>
  <si>
    <t>Shaw Robert</t>
  </si>
  <si>
    <t>9030572460</t>
  </si>
  <si>
    <t>Sisco Eric</t>
  </si>
  <si>
    <t>9030577770</t>
  </si>
  <si>
    <t>Ferris Ron</t>
  </si>
  <si>
    <t>9030645140</t>
  </si>
  <si>
    <t>Shirkey Victoria</t>
  </si>
  <si>
    <t>9030645560</t>
  </si>
  <si>
    <t>Kasprzak Kenneth</t>
  </si>
  <si>
    <t>9030782820</t>
  </si>
  <si>
    <t>Humana PDP 2025!</t>
  </si>
  <si>
    <t>Humana MAPD 2025*</t>
  </si>
  <si>
    <t>Humana Dental &amp; Vision</t>
  </si>
  <si>
    <t>Humana AL, AZ, AR, GA, etc. Plan N OE &amp; UW</t>
  </si>
  <si>
    <t>Humana 65-80 AL, AZ, AR, GA, etc. All Except N OE &amp; UW</t>
  </si>
  <si>
    <t>[%/$=313][prorate=6/12]</t>
  </si>
  <si>
    <t>[%/$=313][prorate=4/12]</t>
  </si>
  <si>
    <t>[%/$=313][prorate=5/12]</t>
  </si>
  <si>
    <t>Humana 2025 CT, PA, DC *</t>
  </si>
  <si>
    <t>[%/$=353][prorate=1/12]</t>
  </si>
  <si>
    <t>FORTINO</t>
  </si>
  <si>
    <t>BARBARA</t>
  </si>
  <si>
    <t>E</t>
  </si>
  <si>
    <t>GALASINSKI</t>
  </si>
  <si>
    <t>JUNE</t>
  </si>
  <si>
    <t>H</t>
  </si>
  <si>
    <t>MICHAELS</t>
  </si>
  <si>
    <t>DAVID</t>
  </si>
  <si>
    <t>A</t>
  </si>
  <si>
    <t>JULI</t>
  </si>
  <si>
    <t>L</t>
  </si>
  <si>
    <t>WILLIAMS</t>
  </si>
  <si>
    <t>TAMMY</t>
  </si>
  <si>
    <t>CONNIE</t>
  </si>
  <si>
    <t>DOWNS</t>
  </si>
  <si>
    <t>VICKY</t>
  </si>
  <si>
    <t>S</t>
  </si>
  <si>
    <t>DAVIS</t>
  </si>
  <si>
    <t>NANCY</t>
  </si>
  <si>
    <t>T</t>
  </si>
  <si>
    <t>MAUREEN</t>
  </si>
  <si>
    <t>P</t>
  </si>
  <si>
    <t>ANIOL</t>
  </si>
  <si>
    <t>ZBIGNIEW</t>
  </si>
  <si>
    <t>THOMAS</t>
  </si>
  <si>
    <t>B</t>
  </si>
  <si>
    <t>GRAVES</t>
  </si>
  <si>
    <t>GAIL</t>
  </si>
  <si>
    <t>J</t>
  </si>
  <si>
    <t>MILLER</t>
  </si>
  <si>
    <t>JOANNE</t>
  </si>
  <si>
    <t>METCALF</t>
  </si>
  <si>
    <t>KATHY</t>
  </si>
  <si>
    <t>RODRIGUEZ</t>
  </si>
  <si>
    <t>M</t>
  </si>
  <si>
    <t>DIJAMCO</t>
  </si>
  <si>
    <t>MARIAVICTORIA</t>
  </si>
  <si>
    <t>MARTINEZ</t>
  </si>
  <si>
    <t>ROMINAVICTORIA</t>
  </si>
  <si>
    <t>O</t>
  </si>
  <si>
    <t>RAU</t>
  </si>
  <si>
    <t>JIM</t>
  </si>
  <si>
    <t>C</t>
  </si>
  <si>
    <t>VICKIE</t>
  </si>
  <si>
    <t>K</t>
  </si>
  <si>
    <t>BYERS</t>
  </si>
  <si>
    <t>MARC</t>
  </si>
  <si>
    <t>Moss</t>
  </si>
  <si>
    <t>Allan</t>
  </si>
  <si>
    <t>Hanahan</t>
  </si>
  <si>
    <t>Barbara</t>
  </si>
  <si>
    <t>KEPHART</t>
  </si>
  <si>
    <t>NORMA</t>
  </si>
  <si>
    <t>KELLY</t>
  </si>
  <si>
    <t>JOHN</t>
  </si>
  <si>
    <t>Ubrey</t>
  </si>
  <si>
    <t>Carol</t>
  </si>
  <si>
    <t>Gambetti</t>
  </si>
  <si>
    <t>Brianna</t>
  </si>
  <si>
    <t>Taylor</t>
  </si>
  <si>
    <t>David</t>
  </si>
  <si>
    <t>Shaw</t>
  </si>
  <si>
    <t>Robert</t>
  </si>
  <si>
    <t>Sisco</t>
  </si>
  <si>
    <t>Eric</t>
  </si>
  <si>
    <t>Ferris</t>
  </si>
  <si>
    <t>Ron</t>
  </si>
  <si>
    <t>Shirkey</t>
  </si>
  <si>
    <t>Victoria</t>
  </si>
  <si>
    <t>Kasprzak</t>
  </si>
  <si>
    <t>Kenneth</t>
  </si>
  <si>
    <t>BARBARA FORTINO</t>
  </si>
  <si>
    <t>JUNE GALASINSKI</t>
  </si>
  <si>
    <t>DAVID MICHAELS</t>
  </si>
  <si>
    <t>JULI MICHAELS</t>
  </si>
  <si>
    <t>TAMMY WILLIAMS</t>
  </si>
  <si>
    <t>CONNIE WILLIAMS</t>
  </si>
  <si>
    <t>VICKY DOWNS</t>
  </si>
  <si>
    <t>NANCY DAVIS</t>
  </si>
  <si>
    <t>MAUREEN WILLIAMS</t>
  </si>
  <si>
    <t>ZBIGNIEW ANIOL</t>
  </si>
  <si>
    <t>THOMAS MAY</t>
  </si>
  <si>
    <t>GAIL GRAVES</t>
  </si>
  <si>
    <t>JOANNE MILLER</t>
  </si>
  <si>
    <t>KATHY METCALF</t>
  </si>
  <si>
    <t>GAIL RODRIGUEZ</t>
  </si>
  <si>
    <t>MARIAVICTORIA DIJAMCO</t>
  </si>
  <si>
    <t>ROMINAVICTORIA MARTINEZ</t>
  </si>
  <si>
    <t>JIM RAU</t>
  </si>
  <si>
    <t>VICKIE RAU</t>
  </si>
  <si>
    <t>MARC BYERS</t>
  </si>
  <si>
    <t>Allan Moss</t>
  </si>
  <si>
    <t>Barbara Hanahan</t>
  </si>
  <si>
    <t>NORMA KEPHART</t>
  </si>
  <si>
    <t>JOHN KELLY</t>
  </si>
  <si>
    <t>Carol Ubrey</t>
  </si>
  <si>
    <t>Brianna Gambetti</t>
  </si>
  <si>
    <t>David Taylor</t>
  </si>
  <si>
    <t>Robert Shaw</t>
  </si>
  <si>
    <t>Eric Sisco</t>
  </si>
  <si>
    <t>Ron Ferris</t>
  </si>
  <si>
    <t>Victoria Shirkey</t>
  </si>
  <si>
    <t>Kenneth Kasprzak</t>
  </si>
  <si>
    <t>17528908N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</si>
</sst>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0" fontId="19" fillId="0" borderId="0" xfId="0" applyFont="1"/>
    <xf numFmtId="49" fontId="0" fillId="33" borderId="0" xfId="0" applyNumberFormat="1" applyFill="1" applyAlignment="1">
      <alignment horizontal="left" vertical="top"/>
    </xf>
    <xf numFmtId="1" fontId="0" fillId="33" borderId="0" xfId="0" applyNumberFormat="1" applyFill="1"/>
    <xf numFmtId="14" fontId="0" fillId="33" borderId="0" xfId="0" applyNumberFormat="1" applyFill="1"/>
    <xf numFmtId="2" fontId="0" fillId="33" borderId="0" xfId="0" applyNumberFormat="1" applyFill="1"/>
    <xf numFmtId="0" fontId="0" fillId="33" borderId="0" xfId="0" applyFill="1"/>
    <xf numFmtId="49" fontId="0" fillId="34" borderId="0" xfId="0" applyNumberFormat="1" applyFill="1" applyAlignment="1">
      <alignment horizontal="left" vertical="top"/>
    </xf>
    <xf numFmtId="14" fontId="0" fillId="34" borderId="0" xfId="0" applyNumberFormat="1" applyFill="1"/>
    <xf numFmtId="2" fontId="0" fillId="34" borderId="0" xfId="0" applyNumberFormat="1" applyFill="1"/>
    <xf numFmtId="0" fontId="0" fillId="34" borderId="0" xfId="0" applyFill="1"/>
    <xf numFmtId="49" fontId="0" fillId="35" borderId="0" xfId="0" applyNumberFormat="1" applyFill="1" applyAlignment="1">
      <alignment horizontal="left" vertical="top"/>
    </xf>
    <xf numFmtId="1" fontId="0" fillId="35" borderId="0" xfId="0" applyNumberFormat="1" applyFill="1"/>
    <xf numFmtId="14" fontId="0" fillId="35" borderId="0" xfId="0" applyNumberFormat="1" applyFill="1"/>
    <xf numFmtId="2" fontId="0" fillId="35" borderId="0" xfId="0" applyNumberFormat="1" applyFill="1"/>
    <xf numFmtId="0" fontId="0" fillId="35" borderId="0" xfId="0" applyFill="1"/>
    <xf numFmtId="49" fontId="19" fillId="35" borderId="0" xfId="0" applyNumberFormat="1" applyFont="1" applyFill="1" applyAlignment="1">
      <alignment horizontal="left" vertical="top"/>
    </xf>
    <xf numFmtId="0" fontId="0" fillId="34" borderId="0" xfId="0" applyNumberFormat="1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33" borderId="0" xfId="0" applyFill="1" applyAlignment="1">
      <alignment horizontal="left" vertical="top"/>
    </xf>
    <xf numFmtId="0" fontId="0" fillId="34" borderId="0" xfId="0" applyFill="1" applyAlignment="1">
      <alignment horizontal="left" vertical="top"/>
    </xf>
    <xf numFmtId="0" fontId="0" fillId="35" borderId="0" xfId="0" applyFill="1" applyAlignment="1">
      <alignment horizontal="left" vertical="top"/>
    </xf>
    <xf numFmtId="1" fontId="19" fillId="35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D6972-C8F5-4A65-94E8-392E809419F7}">
  <dimension ref="A1:AP35"/>
  <sheetViews>
    <sheetView workbookViewId="0">
      <selection sqref="A1:XFD1048576"/>
    </sheetView>
  </sheetViews>
  <sheetFormatPr defaultRowHeight="12.75" x14ac:dyDescent="0.2"/>
  <cols>
    <col min="1" max="1" width="8.5703125" bestFit="1" customWidth="1"/>
    <col min="2" max="2" width="12.42578125" bestFit="1" customWidth="1"/>
    <col min="3" max="3" width="24.7109375" bestFit="1" customWidth="1"/>
    <col min="4" max="4" width="8.5703125" bestFit="1" customWidth="1"/>
    <col min="5" max="5" width="28.5703125" bestFit="1" customWidth="1"/>
    <col min="6" max="6" width="13.28515625" bestFit="1" customWidth="1"/>
    <col min="7" max="7" width="12.42578125" bestFit="1" customWidth="1"/>
    <col min="8" max="8" width="10.42578125" bestFit="1" customWidth="1"/>
    <col min="9" max="10" width="9.5703125" bestFit="1" customWidth="1"/>
    <col min="11" max="11" width="10.42578125" bestFit="1" customWidth="1"/>
    <col min="12" max="14" width="11.42578125" bestFit="1" customWidth="1"/>
    <col min="15" max="16" width="10.42578125" bestFit="1" customWidth="1"/>
    <col min="17" max="17" width="5.7109375" bestFit="1" customWidth="1"/>
    <col min="18" max="20" width="15.28515625" bestFit="1" customWidth="1"/>
    <col min="21" max="21" width="11.42578125" bestFit="1" customWidth="1"/>
    <col min="22" max="22" width="13.7109375" bestFit="1" customWidth="1"/>
    <col min="23" max="23" width="9.5703125" bestFit="1" customWidth="1"/>
    <col min="24" max="24" width="12.42578125" bestFit="1" customWidth="1"/>
    <col min="25" max="25" width="15.28515625" bestFit="1" customWidth="1"/>
    <col min="26" max="26" width="13.7109375" bestFit="1" customWidth="1"/>
    <col min="27" max="27" width="30.42578125" bestFit="1" customWidth="1"/>
    <col min="28" max="28" width="11.42578125" bestFit="1" customWidth="1"/>
    <col min="29" max="29" width="12.5703125" bestFit="1" customWidth="1"/>
    <col min="30" max="30" width="10.7109375" bestFit="1" customWidth="1"/>
    <col min="31" max="31" width="9.7109375" bestFit="1" customWidth="1"/>
    <col min="32" max="32" width="13.7109375" bestFit="1" customWidth="1"/>
    <col min="33" max="33" width="13.28515625" bestFit="1" customWidth="1"/>
    <col min="34" max="34" width="28.5703125" bestFit="1" customWidth="1"/>
    <col min="35" max="35" width="13.28515625" bestFit="1" customWidth="1"/>
    <col min="36" max="36" width="16.140625" bestFit="1" customWidth="1"/>
    <col min="37" max="37" width="16" bestFit="1" customWidth="1"/>
    <col min="38" max="38" width="15.85546875" bestFit="1" customWidth="1"/>
    <col min="39" max="39" width="11.42578125" bestFit="1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s="2">
        <v>1891456</v>
      </c>
      <c r="B2" s="3">
        <v>45840</v>
      </c>
      <c r="C2" s="4" t="s">
        <v>42</v>
      </c>
      <c r="D2" s="2">
        <v>1509866</v>
      </c>
      <c r="E2" s="4" t="s">
        <v>43</v>
      </c>
      <c r="F2" s="4" t="s">
        <v>44</v>
      </c>
      <c r="G2" s="2">
        <v>961457004</v>
      </c>
      <c r="H2" s="4" t="s">
        <v>45</v>
      </c>
      <c r="I2" s="4" t="s">
        <v>46</v>
      </c>
      <c r="J2" s="4" t="s">
        <v>47</v>
      </c>
      <c r="K2" s="4" t="s">
        <v>48</v>
      </c>
      <c r="L2" s="3">
        <v>45839</v>
      </c>
      <c r="M2" s="4" t="s">
        <v>49</v>
      </c>
      <c r="N2" s="4" t="s">
        <v>46</v>
      </c>
      <c r="O2" s="4" t="s">
        <v>50</v>
      </c>
      <c r="P2" s="4" t="s">
        <v>46</v>
      </c>
      <c r="Q2" s="2">
        <v>1</v>
      </c>
      <c r="R2" s="2">
        <v>17</v>
      </c>
      <c r="S2" s="4" t="s">
        <v>51</v>
      </c>
      <c r="T2" s="4" t="s">
        <v>52</v>
      </c>
      <c r="U2" s="4" t="s">
        <v>46</v>
      </c>
      <c r="V2" s="5">
        <v>0.5</v>
      </c>
      <c r="W2" s="5">
        <v>0</v>
      </c>
      <c r="X2" s="5">
        <v>100</v>
      </c>
      <c r="Y2" s="5">
        <v>156.5</v>
      </c>
      <c r="Z2" s="4" t="s">
        <v>46</v>
      </c>
      <c r="AA2" s="5" t="s">
        <v>46</v>
      </c>
      <c r="AB2" s="4" t="s">
        <v>53</v>
      </c>
      <c r="AC2" s="4" t="s">
        <v>46</v>
      </c>
      <c r="AD2" s="5">
        <v>0</v>
      </c>
      <c r="AE2" s="4" t="s">
        <v>54</v>
      </c>
      <c r="AF2" s="3">
        <v>45839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55</v>
      </c>
      <c r="AO2" s="4" t="s">
        <v>46</v>
      </c>
      <c r="AP2" s="4" t="s">
        <v>46</v>
      </c>
    </row>
    <row r="3" spans="1:42" x14ac:dyDescent="0.2">
      <c r="A3" s="2">
        <v>1891456</v>
      </c>
      <c r="B3" s="3">
        <v>45840</v>
      </c>
      <c r="C3" s="4" t="s">
        <v>42</v>
      </c>
      <c r="D3" s="2">
        <v>1509866</v>
      </c>
      <c r="E3" s="4" t="s">
        <v>56</v>
      </c>
      <c r="F3" s="4" t="s">
        <v>57</v>
      </c>
      <c r="G3" s="2">
        <v>683275123</v>
      </c>
      <c r="H3" s="4" t="s">
        <v>58</v>
      </c>
      <c r="I3" s="4" t="s">
        <v>46</v>
      </c>
      <c r="J3" s="4" t="s">
        <v>47</v>
      </c>
      <c r="K3" s="4" t="s">
        <v>48</v>
      </c>
      <c r="L3" s="3">
        <v>45839</v>
      </c>
      <c r="M3" s="4" t="s">
        <v>49</v>
      </c>
      <c r="N3" s="4" t="s">
        <v>46</v>
      </c>
      <c r="O3" s="4" t="s">
        <v>50</v>
      </c>
      <c r="P3" s="4" t="s">
        <v>46</v>
      </c>
      <c r="Q3" s="2">
        <v>1</v>
      </c>
      <c r="R3" s="2">
        <v>17</v>
      </c>
      <c r="S3" s="4" t="s">
        <v>51</v>
      </c>
      <c r="T3" s="4" t="s">
        <v>52</v>
      </c>
      <c r="U3" s="4" t="s">
        <v>46</v>
      </c>
      <c r="V3" s="5">
        <v>0.5</v>
      </c>
      <c r="W3" s="5">
        <v>0</v>
      </c>
      <c r="X3" s="5">
        <v>100</v>
      </c>
      <c r="Y3" s="5">
        <v>156.5</v>
      </c>
      <c r="Z3" s="4" t="s">
        <v>46</v>
      </c>
      <c r="AA3" s="5" t="s">
        <v>46</v>
      </c>
      <c r="AB3" s="4" t="s">
        <v>53</v>
      </c>
      <c r="AC3" s="4" t="s">
        <v>46</v>
      </c>
      <c r="AD3" s="5">
        <v>0</v>
      </c>
      <c r="AE3" s="4" t="s">
        <v>54</v>
      </c>
      <c r="AF3" s="3">
        <v>45839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55</v>
      </c>
      <c r="AO3" s="4" t="s">
        <v>46</v>
      </c>
      <c r="AP3" s="4" t="s">
        <v>46</v>
      </c>
    </row>
    <row r="4" spans="1:42" x14ac:dyDescent="0.2">
      <c r="A4" s="2">
        <v>1891456</v>
      </c>
      <c r="B4" s="3">
        <v>45840</v>
      </c>
      <c r="C4" s="4" t="s">
        <v>59</v>
      </c>
      <c r="D4" s="2">
        <v>1510420</v>
      </c>
      <c r="E4" s="4" t="s">
        <v>60</v>
      </c>
      <c r="F4" s="4" t="s">
        <v>61</v>
      </c>
      <c r="G4" s="2">
        <v>678965323</v>
      </c>
      <c r="H4" s="4" t="s">
        <v>62</v>
      </c>
      <c r="I4" s="4" t="s">
        <v>46</v>
      </c>
      <c r="J4" s="4" t="s">
        <v>47</v>
      </c>
      <c r="K4" s="4" t="s">
        <v>48</v>
      </c>
      <c r="L4" s="3">
        <v>45839</v>
      </c>
      <c r="M4" s="4" t="s">
        <v>49</v>
      </c>
      <c r="N4" s="4" t="s">
        <v>46</v>
      </c>
      <c r="O4" s="4" t="s">
        <v>50</v>
      </c>
      <c r="P4" s="4" t="s">
        <v>46</v>
      </c>
      <c r="Q4" s="2">
        <v>1</v>
      </c>
      <c r="R4" s="2">
        <v>17</v>
      </c>
      <c r="S4" s="4" t="s">
        <v>51</v>
      </c>
      <c r="T4" s="4" t="s">
        <v>52</v>
      </c>
      <c r="U4" s="4" t="s">
        <v>46</v>
      </c>
      <c r="V4" s="5">
        <v>0.5</v>
      </c>
      <c r="W4" s="5">
        <v>0</v>
      </c>
      <c r="X4" s="5">
        <v>100</v>
      </c>
      <c r="Y4" s="5">
        <v>156.5</v>
      </c>
      <c r="Z4" s="4" t="s">
        <v>46</v>
      </c>
      <c r="AA4" s="5" t="s">
        <v>46</v>
      </c>
      <c r="AB4" s="4" t="s">
        <v>53</v>
      </c>
      <c r="AC4" s="4" t="s">
        <v>46</v>
      </c>
      <c r="AD4" s="5">
        <v>0</v>
      </c>
      <c r="AE4" s="4" t="s">
        <v>54</v>
      </c>
      <c r="AF4" s="3">
        <v>45839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46</v>
      </c>
      <c r="AN4" s="4" t="s">
        <v>55</v>
      </c>
      <c r="AO4" s="4" t="s">
        <v>46</v>
      </c>
      <c r="AP4" s="4" t="s">
        <v>46</v>
      </c>
    </row>
    <row r="5" spans="1:42" x14ac:dyDescent="0.2">
      <c r="A5" s="2">
        <v>1891456</v>
      </c>
      <c r="B5" s="3">
        <v>45840</v>
      </c>
      <c r="C5" s="4" t="s">
        <v>59</v>
      </c>
      <c r="D5" s="2">
        <v>1510420</v>
      </c>
      <c r="E5" s="4" t="s">
        <v>63</v>
      </c>
      <c r="F5" s="4" t="s">
        <v>64</v>
      </c>
      <c r="G5" s="2">
        <v>887745323</v>
      </c>
      <c r="H5" s="4" t="s">
        <v>65</v>
      </c>
      <c r="I5" s="4" t="s">
        <v>46</v>
      </c>
      <c r="J5" s="4" t="s">
        <v>47</v>
      </c>
      <c r="K5" s="4" t="s">
        <v>48</v>
      </c>
      <c r="L5" s="3">
        <v>45839</v>
      </c>
      <c r="M5" s="4" t="s">
        <v>49</v>
      </c>
      <c r="N5" s="4" t="s">
        <v>46</v>
      </c>
      <c r="O5" s="4" t="s">
        <v>50</v>
      </c>
      <c r="P5" s="4" t="s">
        <v>46</v>
      </c>
      <c r="Q5" s="2">
        <v>1</v>
      </c>
      <c r="R5" s="2">
        <v>17</v>
      </c>
      <c r="S5" s="4" t="s">
        <v>51</v>
      </c>
      <c r="T5" s="4" t="s">
        <v>52</v>
      </c>
      <c r="U5" s="4" t="s">
        <v>46</v>
      </c>
      <c r="V5" s="5">
        <v>0.5</v>
      </c>
      <c r="W5" s="5">
        <v>0</v>
      </c>
      <c r="X5" s="5">
        <v>100</v>
      </c>
      <c r="Y5" s="5">
        <v>156.5</v>
      </c>
      <c r="Z5" s="4" t="s">
        <v>46</v>
      </c>
      <c r="AA5" s="5" t="s">
        <v>46</v>
      </c>
      <c r="AB5" s="4" t="s">
        <v>53</v>
      </c>
      <c r="AC5" s="4" t="s">
        <v>46</v>
      </c>
      <c r="AD5" s="5">
        <v>0</v>
      </c>
      <c r="AE5" s="4" t="s">
        <v>54</v>
      </c>
      <c r="AF5" s="3">
        <v>45839</v>
      </c>
      <c r="AG5" s="4" t="s">
        <v>46</v>
      </c>
      <c r="AH5" s="4" t="s">
        <v>46</v>
      </c>
      <c r="AI5" s="4" t="s">
        <v>46</v>
      </c>
      <c r="AJ5" s="4" t="s">
        <v>46</v>
      </c>
      <c r="AK5" s="4" t="s">
        <v>46</v>
      </c>
      <c r="AL5" s="4" t="s">
        <v>46</v>
      </c>
      <c r="AM5" s="4" t="s">
        <v>46</v>
      </c>
      <c r="AN5" s="4" t="s">
        <v>55</v>
      </c>
      <c r="AO5" s="4" t="s">
        <v>46</v>
      </c>
      <c r="AP5" s="4" t="s">
        <v>46</v>
      </c>
    </row>
    <row r="6" spans="1:42" x14ac:dyDescent="0.2">
      <c r="A6" s="2">
        <v>1891456</v>
      </c>
      <c r="B6" s="3">
        <v>45840</v>
      </c>
      <c r="C6" s="4" t="s">
        <v>66</v>
      </c>
      <c r="D6" s="2">
        <v>1573279</v>
      </c>
      <c r="E6" s="4" t="s">
        <v>67</v>
      </c>
      <c r="F6" s="4" t="s">
        <v>68</v>
      </c>
      <c r="G6" s="2">
        <v>251603064</v>
      </c>
      <c r="H6" s="4" t="s">
        <v>69</v>
      </c>
      <c r="I6" s="4" t="s">
        <v>46</v>
      </c>
      <c r="J6" s="4" t="s">
        <v>47</v>
      </c>
      <c r="K6" s="4" t="s">
        <v>48</v>
      </c>
      <c r="L6" s="3">
        <v>45839</v>
      </c>
      <c r="M6" s="4" t="s">
        <v>49</v>
      </c>
      <c r="N6" s="4" t="s">
        <v>46</v>
      </c>
      <c r="O6" s="4" t="s">
        <v>50</v>
      </c>
      <c r="P6" s="4" t="s">
        <v>46</v>
      </c>
      <c r="Q6" s="2">
        <v>1</v>
      </c>
      <c r="R6" s="2">
        <v>17</v>
      </c>
      <c r="S6" s="4" t="s">
        <v>51</v>
      </c>
      <c r="T6" s="4" t="s">
        <v>70</v>
      </c>
      <c r="U6" s="4" t="s">
        <v>46</v>
      </c>
      <c r="V6" s="5">
        <v>0.5</v>
      </c>
      <c r="W6" s="5">
        <v>0</v>
      </c>
      <c r="X6" s="5">
        <v>100</v>
      </c>
      <c r="Y6" s="5">
        <v>156.5</v>
      </c>
      <c r="Z6" s="4" t="s">
        <v>46</v>
      </c>
      <c r="AA6" s="5" t="s">
        <v>46</v>
      </c>
      <c r="AB6" s="4" t="s">
        <v>53</v>
      </c>
      <c r="AC6" s="4" t="s">
        <v>46</v>
      </c>
      <c r="AD6" s="5">
        <v>0</v>
      </c>
      <c r="AE6" s="4" t="s">
        <v>54</v>
      </c>
      <c r="AF6" s="3">
        <v>45839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71</v>
      </c>
      <c r="AO6" s="4" t="s">
        <v>46</v>
      </c>
      <c r="AP6" s="4" t="s">
        <v>46</v>
      </c>
    </row>
    <row r="7" spans="1:42" x14ac:dyDescent="0.2">
      <c r="A7" s="2">
        <v>1891456</v>
      </c>
      <c r="B7" s="3">
        <v>45840</v>
      </c>
      <c r="C7" s="4" t="s">
        <v>72</v>
      </c>
      <c r="D7" s="2">
        <v>1639670</v>
      </c>
      <c r="E7" s="4" t="s">
        <v>73</v>
      </c>
      <c r="F7" s="4" t="s">
        <v>74</v>
      </c>
      <c r="G7" s="2">
        <v>279244095</v>
      </c>
      <c r="H7" s="4" t="s">
        <v>75</v>
      </c>
      <c r="I7" s="4" t="s">
        <v>46</v>
      </c>
      <c r="J7" s="4" t="s">
        <v>47</v>
      </c>
      <c r="K7" s="4" t="s">
        <v>48</v>
      </c>
      <c r="L7" s="3">
        <v>45717</v>
      </c>
      <c r="M7" s="4" t="s">
        <v>76</v>
      </c>
      <c r="N7" s="4" t="s">
        <v>46</v>
      </c>
      <c r="O7" s="4" t="s">
        <v>50</v>
      </c>
      <c r="P7" s="4" t="s">
        <v>46</v>
      </c>
      <c r="Q7" s="2">
        <v>1</v>
      </c>
      <c r="R7" s="2">
        <v>17</v>
      </c>
      <c r="S7" s="4" t="s">
        <v>51</v>
      </c>
      <c r="T7" s="4" t="s">
        <v>52</v>
      </c>
      <c r="U7" s="4" t="s">
        <v>46</v>
      </c>
      <c r="V7" s="5">
        <v>-0.5</v>
      </c>
      <c r="W7" s="5">
        <v>0</v>
      </c>
      <c r="X7" s="5">
        <v>100</v>
      </c>
      <c r="Y7" s="5">
        <v>-156.5</v>
      </c>
      <c r="Z7" s="4" t="s">
        <v>46</v>
      </c>
      <c r="AA7" s="5" t="s">
        <v>46</v>
      </c>
      <c r="AB7" s="4" t="s">
        <v>53</v>
      </c>
      <c r="AC7" s="4" t="s">
        <v>46</v>
      </c>
      <c r="AD7" s="5">
        <v>0</v>
      </c>
      <c r="AE7" s="4" t="s">
        <v>54</v>
      </c>
      <c r="AF7" s="3">
        <v>45717</v>
      </c>
      <c r="AG7" s="4" t="s">
        <v>46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 t="s">
        <v>55</v>
      </c>
      <c r="AO7" s="4" t="s">
        <v>46</v>
      </c>
      <c r="AP7" s="4" t="s">
        <v>46</v>
      </c>
    </row>
    <row r="8" spans="1:42" x14ac:dyDescent="0.2">
      <c r="A8" s="2">
        <v>1891456</v>
      </c>
      <c r="B8" s="3">
        <v>45840</v>
      </c>
      <c r="C8" s="4" t="s">
        <v>77</v>
      </c>
      <c r="D8" s="2">
        <v>1703942</v>
      </c>
      <c r="E8" s="4" t="s">
        <v>78</v>
      </c>
      <c r="F8" s="4" t="s">
        <v>79</v>
      </c>
      <c r="G8" s="2">
        <v>287917444</v>
      </c>
      <c r="H8" s="4" t="s">
        <v>80</v>
      </c>
      <c r="I8" s="4" t="s">
        <v>46</v>
      </c>
      <c r="J8" s="4" t="s">
        <v>47</v>
      </c>
      <c r="K8" s="4" t="s">
        <v>48</v>
      </c>
      <c r="L8" s="3">
        <v>45658</v>
      </c>
      <c r="M8" s="4" t="s">
        <v>81</v>
      </c>
      <c r="N8" s="4" t="s">
        <v>46</v>
      </c>
      <c r="O8" s="4" t="s">
        <v>50</v>
      </c>
      <c r="P8" s="4" t="s">
        <v>46</v>
      </c>
      <c r="Q8" s="2">
        <v>1</v>
      </c>
      <c r="R8" s="2">
        <v>17</v>
      </c>
      <c r="S8" s="4" t="s">
        <v>51</v>
      </c>
      <c r="T8" s="4" t="s">
        <v>52</v>
      </c>
      <c r="U8" s="4" t="s">
        <v>46</v>
      </c>
      <c r="V8" s="5">
        <v>0.5</v>
      </c>
      <c r="W8" s="5">
        <v>0</v>
      </c>
      <c r="X8" s="5">
        <v>100</v>
      </c>
      <c r="Y8" s="5">
        <v>156.5</v>
      </c>
      <c r="Z8" s="4" t="s">
        <v>46</v>
      </c>
      <c r="AA8" s="5" t="s">
        <v>46</v>
      </c>
      <c r="AB8" s="4" t="s">
        <v>53</v>
      </c>
      <c r="AC8" s="4" t="s">
        <v>46</v>
      </c>
      <c r="AD8" s="5">
        <v>0</v>
      </c>
      <c r="AE8" s="4" t="s">
        <v>54</v>
      </c>
      <c r="AF8" s="3">
        <v>45658</v>
      </c>
      <c r="AG8" s="4" t="s">
        <v>46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 t="s">
        <v>55</v>
      </c>
      <c r="AO8" s="4" t="s">
        <v>46</v>
      </c>
      <c r="AP8" s="4" t="s">
        <v>46</v>
      </c>
    </row>
    <row r="9" spans="1:42" x14ac:dyDescent="0.2">
      <c r="A9" s="2">
        <v>1891456</v>
      </c>
      <c r="B9" s="3">
        <v>45840</v>
      </c>
      <c r="C9" s="4" t="s">
        <v>77</v>
      </c>
      <c r="D9" s="2">
        <v>1703942</v>
      </c>
      <c r="E9" s="4" t="s">
        <v>82</v>
      </c>
      <c r="F9" s="4" t="s">
        <v>83</v>
      </c>
      <c r="G9" s="2">
        <v>701481235</v>
      </c>
      <c r="H9" s="4" t="s">
        <v>84</v>
      </c>
      <c r="I9" s="4" t="s">
        <v>46</v>
      </c>
      <c r="J9" s="4" t="s">
        <v>47</v>
      </c>
      <c r="K9" s="4" t="s">
        <v>48</v>
      </c>
      <c r="L9" s="3">
        <v>45839</v>
      </c>
      <c r="M9" s="4" t="s">
        <v>49</v>
      </c>
      <c r="N9" s="4" t="s">
        <v>46</v>
      </c>
      <c r="O9" s="4" t="s">
        <v>50</v>
      </c>
      <c r="P9" s="4" t="s">
        <v>46</v>
      </c>
      <c r="Q9" s="2">
        <v>1</v>
      </c>
      <c r="R9" s="2">
        <v>17</v>
      </c>
      <c r="S9" s="4" t="s">
        <v>51</v>
      </c>
      <c r="T9" s="4" t="s">
        <v>52</v>
      </c>
      <c r="U9" s="4" t="s">
        <v>46</v>
      </c>
      <c r="V9" s="5">
        <v>0.5</v>
      </c>
      <c r="W9" s="5">
        <v>0</v>
      </c>
      <c r="X9" s="5">
        <v>100</v>
      </c>
      <c r="Y9" s="5">
        <v>156.5</v>
      </c>
      <c r="Z9" s="4" t="s">
        <v>46</v>
      </c>
      <c r="AA9" s="5" t="s">
        <v>46</v>
      </c>
      <c r="AB9" s="4" t="s">
        <v>53</v>
      </c>
      <c r="AC9" s="4" t="s">
        <v>46</v>
      </c>
      <c r="AD9" s="5">
        <v>0</v>
      </c>
      <c r="AE9" s="4" t="s">
        <v>54</v>
      </c>
      <c r="AF9" s="3">
        <v>45839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55</v>
      </c>
      <c r="AO9" s="4" t="s">
        <v>46</v>
      </c>
      <c r="AP9" s="4" t="s">
        <v>46</v>
      </c>
    </row>
    <row r="10" spans="1:42" x14ac:dyDescent="0.2">
      <c r="A10" s="2">
        <v>1891456</v>
      </c>
      <c r="B10" s="3">
        <v>45840</v>
      </c>
      <c r="C10" s="4" t="s">
        <v>77</v>
      </c>
      <c r="D10" s="2">
        <v>1703942</v>
      </c>
      <c r="E10" s="4" t="s">
        <v>85</v>
      </c>
      <c r="F10" s="4" t="s">
        <v>86</v>
      </c>
      <c r="G10" s="2">
        <v>625530292</v>
      </c>
      <c r="H10" s="4" t="s">
        <v>87</v>
      </c>
      <c r="I10" s="4" t="s">
        <v>46</v>
      </c>
      <c r="J10" s="4" t="s">
        <v>47</v>
      </c>
      <c r="K10" s="4" t="s">
        <v>48</v>
      </c>
      <c r="L10" s="3">
        <v>45839</v>
      </c>
      <c r="M10" s="4" t="s">
        <v>49</v>
      </c>
      <c r="N10" s="4" t="s">
        <v>46</v>
      </c>
      <c r="O10" s="4" t="s">
        <v>50</v>
      </c>
      <c r="P10" s="4" t="s">
        <v>46</v>
      </c>
      <c r="Q10" s="2">
        <v>1</v>
      </c>
      <c r="R10" s="2">
        <v>17</v>
      </c>
      <c r="S10" s="4" t="s">
        <v>51</v>
      </c>
      <c r="T10" s="4" t="s">
        <v>70</v>
      </c>
      <c r="U10" s="4" t="s">
        <v>46</v>
      </c>
      <c r="V10" s="5">
        <v>0.5</v>
      </c>
      <c r="W10" s="5">
        <v>0</v>
      </c>
      <c r="X10" s="5">
        <v>100</v>
      </c>
      <c r="Y10" s="5">
        <v>156.5</v>
      </c>
      <c r="Z10" s="4" t="s">
        <v>46</v>
      </c>
      <c r="AA10" s="5" t="s">
        <v>46</v>
      </c>
      <c r="AB10" s="4" t="s">
        <v>53</v>
      </c>
      <c r="AC10" s="4" t="s">
        <v>46</v>
      </c>
      <c r="AD10" s="5">
        <v>0</v>
      </c>
      <c r="AE10" s="4" t="s">
        <v>54</v>
      </c>
      <c r="AF10" s="3">
        <v>45839</v>
      </c>
      <c r="AG10" s="4" t="s">
        <v>46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46</v>
      </c>
      <c r="AN10" s="4" t="s">
        <v>88</v>
      </c>
      <c r="AO10" s="4" t="s">
        <v>46</v>
      </c>
      <c r="AP10" s="4" t="s">
        <v>46</v>
      </c>
    </row>
    <row r="11" spans="1:42" x14ac:dyDescent="0.2">
      <c r="A11" s="2">
        <v>1891456</v>
      </c>
      <c r="B11" s="3">
        <v>45840</v>
      </c>
      <c r="C11" s="4" t="s">
        <v>77</v>
      </c>
      <c r="D11" s="2">
        <v>1703942</v>
      </c>
      <c r="E11" s="4" t="s">
        <v>89</v>
      </c>
      <c r="F11" s="4" t="s">
        <v>90</v>
      </c>
      <c r="G11" s="2">
        <v>225861303</v>
      </c>
      <c r="H11" s="4" t="s">
        <v>91</v>
      </c>
      <c r="I11" s="4" t="s">
        <v>46</v>
      </c>
      <c r="J11" s="4" t="s">
        <v>47</v>
      </c>
      <c r="K11" s="4" t="s">
        <v>48</v>
      </c>
      <c r="L11" s="3">
        <v>45839</v>
      </c>
      <c r="M11" s="4" t="s">
        <v>49</v>
      </c>
      <c r="N11" s="4" t="s">
        <v>46</v>
      </c>
      <c r="O11" s="4" t="s">
        <v>50</v>
      </c>
      <c r="P11" s="4" t="s">
        <v>46</v>
      </c>
      <c r="Q11" s="2">
        <v>1</v>
      </c>
      <c r="R11" s="2">
        <v>17</v>
      </c>
      <c r="S11" s="4" t="s">
        <v>51</v>
      </c>
      <c r="T11" s="4" t="s">
        <v>52</v>
      </c>
      <c r="U11" s="4" t="s">
        <v>46</v>
      </c>
      <c r="V11" s="5">
        <v>0.5</v>
      </c>
      <c r="W11" s="5">
        <v>0</v>
      </c>
      <c r="X11" s="5">
        <v>100</v>
      </c>
      <c r="Y11" s="5">
        <v>156.5</v>
      </c>
      <c r="Z11" s="4" t="s">
        <v>46</v>
      </c>
      <c r="AA11" s="5" t="s">
        <v>46</v>
      </c>
      <c r="AB11" s="4" t="s">
        <v>53</v>
      </c>
      <c r="AC11" s="4" t="s">
        <v>46</v>
      </c>
      <c r="AD11" s="5">
        <v>0</v>
      </c>
      <c r="AE11" s="4" t="s">
        <v>54</v>
      </c>
      <c r="AF11" s="3">
        <v>45839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55</v>
      </c>
      <c r="AO11" s="4" t="s">
        <v>46</v>
      </c>
      <c r="AP11" s="4" t="s">
        <v>46</v>
      </c>
    </row>
    <row r="12" spans="1:42" x14ac:dyDescent="0.2">
      <c r="A12" s="2">
        <v>1891456</v>
      </c>
      <c r="B12" s="3">
        <v>45840</v>
      </c>
      <c r="C12" s="4" t="s">
        <v>77</v>
      </c>
      <c r="D12" s="2">
        <v>1703942</v>
      </c>
      <c r="E12" s="4" t="s">
        <v>92</v>
      </c>
      <c r="F12" s="4" t="s">
        <v>93</v>
      </c>
      <c r="G12" s="2">
        <v>766880235</v>
      </c>
      <c r="H12" s="4" t="s">
        <v>94</v>
      </c>
      <c r="I12" s="4" t="s">
        <v>46</v>
      </c>
      <c r="J12" s="4" t="s">
        <v>47</v>
      </c>
      <c r="K12" s="4" t="s">
        <v>48</v>
      </c>
      <c r="L12" s="3">
        <v>45901</v>
      </c>
      <c r="M12" s="4" t="s">
        <v>95</v>
      </c>
      <c r="N12" s="4" t="s">
        <v>46</v>
      </c>
      <c r="O12" s="4" t="s">
        <v>50</v>
      </c>
      <c r="P12" s="4" t="s">
        <v>46</v>
      </c>
      <c r="Q12" s="2">
        <v>1</v>
      </c>
      <c r="R12" s="2">
        <v>17</v>
      </c>
      <c r="S12" s="4" t="s">
        <v>51</v>
      </c>
      <c r="T12" s="4" t="s">
        <v>52</v>
      </c>
      <c r="U12" s="4" t="s">
        <v>46</v>
      </c>
      <c r="V12" s="5">
        <v>0.33</v>
      </c>
      <c r="W12" s="5">
        <v>0</v>
      </c>
      <c r="X12" s="5">
        <v>100</v>
      </c>
      <c r="Y12" s="5">
        <v>104.33</v>
      </c>
      <c r="Z12" s="4" t="s">
        <v>46</v>
      </c>
      <c r="AA12" s="5" t="s">
        <v>46</v>
      </c>
      <c r="AB12" s="4" t="s">
        <v>53</v>
      </c>
      <c r="AC12" s="4" t="s">
        <v>46</v>
      </c>
      <c r="AD12" s="5">
        <v>0</v>
      </c>
      <c r="AE12" s="4" t="s">
        <v>54</v>
      </c>
      <c r="AF12" s="3">
        <v>45901</v>
      </c>
      <c r="AG12" s="4" t="s">
        <v>46</v>
      </c>
      <c r="AH12" s="4" t="s">
        <v>46</v>
      </c>
      <c r="AI12" s="4" t="s">
        <v>46</v>
      </c>
      <c r="AJ12" s="4" t="s">
        <v>46</v>
      </c>
      <c r="AK12" s="4" t="s">
        <v>46</v>
      </c>
      <c r="AL12" s="4" t="s">
        <v>46</v>
      </c>
      <c r="AM12" s="4" t="s">
        <v>46</v>
      </c>
      <c r="AN12" s="4" t="s">
        <v>55</v>
      </c>
      <c r="AO12" s="4" t="s">
        <v>46</v>
      </c>
      <c r="AP12" s="4" t="s">
        <v>46</v>
      </c>
    </row>
    <row r="13" spans="1:42" x14ac:dyDescent="0.2">
      <c r="A13" s="2">
        <v>1891456</v>
      </c>
      <c r="B13" s="3">
        <v>45840</v>
      </c>
      <c r="C13" s="4" t="s">
        <v>96</v>
      </c>
      <c r="D13" s="2">
        <v>1753522</v>
      </c>
      <c r="E13" s="4" t="s">
        <v>97</v>
      </c>
      <c r="F13" s="4" t="s">
        <v>98</v>
      </c>
      <c r="G13" s="2">
        <v>451993223</v>
      </c>
      <c r="H13" s="4" t="s">
        <v>99</v>
      </c>
      <c r="I13" s="4" t="s">
        <v>46</v>
      </c>
      <c r="J13" s="4" t="s">
        <v>47</v>
      </c>
      <c r="K13" s="4" t="s">
        <v>48</v>
      </c>
      <c r="L13" s="3">
        <v>45839</v>
      </c>
      <c r="M13" s="4" t="s">
        <v>49</v>
      </c>
      <c r="N13" s="4" t="s">
        <v>46</v>
      </c>
      <c r="O13" s="4" t="s">
        <v>50</v>
      </c>
      <c r="P13" s="4" t="s">
        <v>46</v>
      </c>
      <c r="Q13" s="2">
        <v>1</v>
      </c>
      <c r="R13" s="2">
        <v>17</v>
      </c>
      <c r="S13" s="4" t="s">
        <v>51</v>
      </c>
      <c r="T13" s="4" t="s">
        <v>70</v>
      </c>
      <c r="U13" s="4" t="s">
        <v>46</v>
      </c>
      <c r="V13" s="5">
        <v>0.5</v>
      </c>
      <c r="W13" s="5">
        <v>0</v>
      </c>
      <c r="X13" s="5">
        <v>100</v>
      </c>
      <c r="Y13" s="5">
        <v>156.5</v>
      </c>
      <c r="Z13" s="4" t="s">
        <v>46</v>
      </c>
      <c r="AA13" s="5" t="s">
        <v>46</v>
      </c>
      <c r="AB13" s="4" t="s">
        <v>53</v>
      </c>
      <c r="AC13" s="4" t="s">
        <v>46</v>
      </c>
      <c r="AD13" s="5">
        <v>0</v>
      </c>
      <c r="AE13" s="4" t="s">
        <v>54</v>
      </c>
      <c r="AF13" s="3">
        <v>45839</v>
      </c>
      <c r="AG13" s="4" t="s">
        <v>46</v>
      </c>
      <c r="AH13" s="4" t="s">
        <v>46</v>
      </c>
      <c r="AI13" s="4" t="s">
        <v>46</v>
      </c>
      <c r="AJ13" s="4" t="s">
        <v>46</v>
      </c>
      <c r="AK13" s="4" t="s">
        <v>46</v>
      </c>
      <c r="AL13" s="4" t="s">
        <v>46</v>
      </c>
      <c r="AM13" s="4" t="s">
        <v>46</v>
      </c>
      <c r="AN13" s="4" t="s">
        <v>71</v>
      </c>
      <c r="AO13" s="4" t="s">
        <v>46</v>
      </c>
      <c r="AP13" s="4" t="s">
        <v>46</v>
      </c>
    </row>
    <row r="14" spans="1:42" x14ac:dyDescent="0.2">
      <c r="A14" s="2">
        <v>1891456</v>
      </c>
      <c r="B14" s="3">
        <v>45840</v>
      </c>
      <c r="C14" s="4" t="s">
        <v>100</v>
      </c>
      <c r="D14" s="2">
        <v>1758433</v>
      </c>
      <c r="E14" s="4" t="s">
        <v>101</v>
      </c>
      <c r="F14" s="4" t="s">
        <v>102</v>
      </c>
      <c r="G14" s="2">
        <v>332325504</v>
      </c>
      <c r="H14" s="4" t="s">
        <v>103</v>
      </c>
      <c r="I14" s="4" t="s">
        <v>46</v>
      </c>
      <c r="J14" s="4" t="s">
        <v>47</v>
      </c>
      <c r="K14" s="4" t="s">
        <v>48</v>
      </c>
      <c r="L14" s="3">
        <v>45839</v>
      </c>
      <c r="M14" s="4" t="s">
        <v>49</v>
      </c>
      <c r="N14" s="4" t="s">
        <v>46</v>
      </c>
      <c r="O14" s="4" t="s">
        <v>104</v>
      </c>
      <c r="P14" s="4" t="s">
        <v>46</v>
      </c>
      <c r="Q14" s="2">
        <v>1</v>
      </c>
      <c r="R14" s="2">
        <v>17</v>
      </c>
      <c r="S14" s="4" t="s">
        <v>51</v>
      </c>
      <c r="T14" s="4" t="s">
        <v>105</v>
      </c>
      <c r="U14" s="4" t="s">
        <v>46</v>
      </c>
      <c r="V14" s="5">
        <v>1</v>
      </c>
      <c r="W14" s="5">
        <v>0</v>
      </c>
      <c r="X14" s="5">
        <v>100</v>
      </c>
      <c r="Y14" s="5">
        <v>29.41</v>
      </c>
      <c r="Z14" s="4" t="s">
        <v>46</v>
      </c>
      <c r="AA14" s="5" t="s">
        <v>46</v>
      </c>
      <c r="AB14" s="4" t="s">
        <v>106</v>
      </c>
      <c r="AC14" s="4" t="s">
        <v>46</v>
      </c>
      <c r="AD14" s="5">
        <v>0</v>
      </c>
      <c r="AE14" s="4" t="s">
        <v>107</v>
      </c>
      <c r="AF14" s="3">
        <v>45292</v>
      </c>
      <c r="AG14" s="4" t="s">
        <v>46</v>
      </c>
      <c r="AH14" s="4" t="s">
        <v>46</v>
      </c>
      <c r="AI14" s="4" t="s">
        <v>46</v>
      </c>
      <c r="AJ14" s="4" t="s">
        <v>46</v>
      </c>
      <c r="AK14" s="4" t="s">
        <v>46</v>
      </c>
      <c r="AL14" s="4" t="s">
        <v>46</v>
      </c>
      <c r="AM14" s="4" t="s">
        <v>46</v>
      </c>
      <c r="AN14" s="4" t="s">
        <v>108</v>
      </c>
      <c r="AO14" s="4" t="s">
        <v>46</v>
      </c>
      <c r="AP14" s="4" t="s">
        <v>46</v>
      </c>
    </row>
    <row r="15" spans="1:42" x14ac:dyDescent="0.2">
      <c r="A15" s="2">
        <v>1891456</v>
      </c>
      <c r="B15" s="3">
        <v>45840</v>
      </c>
      <c r="C15" s="4" t="s">
        <v>109</v>
      </c>
      <c r="D15" s="2">
        <v>1775329</v>
      </c>
      <c r="E15" s="4" t="s">
        <v>110</v>
      </c>
      <c r="F15" s="4" t="s">
        <v>111</v>
      </c>
      <c r="G15" s="2">
        <v>670108195</v>
      </c>
      <c r="H15" s="4" t="s">
        <v>112</v>
      </c>
      <c r="I15" s="4" t="s">
        <v>46</v>
      </c>
      <c r="J15" s="4" t="s">
        <v>47</v>
      </c>
      <c r="K15" s="4" t="s">
        <v>48</v>
      </c>
      <c r="L15" s="3">
        <v>45839</v>
      </c>
      <c r="M15" s="4" t="s">
        <v>49</v>
      </c>
      <c r="N15" s="4" t="s">
        <v>46</v>
      </c>
      <c r="O15" s="4" t="s">
        <v>50</v>
      </c>
      <c r="P15" s="4" t="s">
        <v>46</v>
      </c>
      <c r="Q15" s="2">
        <v>1</v>
      </c>
      <c r="R15" s="2">
        <v>17</v>
      </c>
      <c r="S15" s="4" t="s">
        <v>51</v>
      </c>
      <c r="T15" s="4" t="s">
        <v>113</v>
      </c>
      <c r="U15" s="4" t="s">
        <v>46</v>
      </c>
      <c r="V15" s="5">
        <v>0.5</v>
      </c>
      <c r="W15" s="5">
        <v>0</v>
      </c>
      <c r="X15" s="5">
        <v>100</v>
      </c>
      <c r="Y15" s="5">
        <v>27.5</v>
      </c>
      <c r="Z15" s="4" t="s">
        <v>46</v>
      </c>
      <c r="AA15" s="5" t="s">
        <v>46</v>
      </c>
      <c r="AB15" s="4" t="s">
        <v>53</v>
      </c>
      <c r="AC15" s="4" t="s">
        <v>46</v>
      </c>
      <c r="AD15" s="5">
        <v>0</v>
      </c>
      <c r="AE15" s="4" t="s">
        <v>54</v>
      </c>
      <c r="AF15" s="3">
        <v>45839</v>
      </c>
      <c r="AG15" s="4" t="s">
        <v>46</v>
      </c>
      <c r="AH15" s="4" t="s">
        <v>46</v>
      </c>
      <c r="AI15" s="4" t="s">
        <v>46</v>
      </c>
      <c r="AJ15" s="4" t="s">
        <v>46</v>
      </c>
      <c r="AK15" s="4" t="s">
        <v>46</v>
      </c>
      <c r="AL15" s="4" t="s">
        <v>46</v>
      </c>
      <c r="AM15" s="4" t="s">
        <v>46</v>
      </c>
      <c r="AN15" s="4" t="s">
        <v>114</v>
      </c>
      <c r="AO15" s="4" t="s">
        <v>46</v>
      </c>
      <c r="AP15" s="4" t="s">
        <v>46</v>
      </c>
    </row>
    <row r="16" spans="1:42" x14ac:dyDescent="0.2">
      <c r="A16" s="2">
        <v>1891456</v>
      </c>
      <c r="B16" s="3">
        <v>45840</v>
      </c>
      <c r="C16" s="4" t="s">
        <v>115</v>
      </c>
      <c r="D16" s="2">
        <v>1800759</v>
      </c>
      <c r="E16" s="4" t="s">
        <v>116</v>
      </c>
      <c r="F16" s="4" t="s">
        <v>117</v>
      </c>
      <c r="G16" s="2">
        <v>251762333</v>
      </c>
      <c r="H16" s="4" t="s">
        <v>118</v>
      </c>
      <c r="I16" s="4" t="s">
        <v>46</v>
      </c>
      <c r="J16" s="4" t="s">
        <v>47</v>
      </c>
      <c r="K16" s="4" t="s">
        <v>48</v>
      </c>
      <c r="L16" s="3">
        <v>45839</v>
      </c>
      <c r="M16" s="4" t="s">
        <v>49</v>
      </c>
      <c r="N16" s="4" t="s">
        <v>46</v>
      </c>
      <c r="O16" s="4" t="s">
        <v>50</v>
      </c>
      <c r="P16" s="4" t="s">
        <v>46</v>
      </c>
      <c r="Q16" s="2">
        <v>1</v>
      </c>
      <c r="R16" s="2">
        <v>17</v>
      </c>
      <c r="S16" s="4" t="s">
        <v>51</v>
      </c>
      <c r="T16" s="4" t="s">
        <v>52</v>
      </c>
      <c r="U16" s="4" t="s">
        <v>46</v>
      </c>
      <c r="V16" s="5">
        <v>0.5</v>
      </c>
      <c r="W16" s="5">
        <v>0</v>
      </c>
      <c r="X16" s="5">
        <v>100</v>
      </c>
      <c r="Y16" s="5">
        <v>156.5</v>
      </c>
      <c r="Z16" s="4" t="s">
        <v>46</v>
      </c>
      <c r="AA16" s="5" t="s">
        <v>46</v>
      </c>
      <c r="AB16" s="4" t="s">
        <v>53</v>
      </c>
      <c r="AC16" s="4" t="s">
        <v>46</v>
      </c>
      <c r="AD16" s="5">
        <v>0</v>
      </c>
      <c r="AE16" s="4" t="s">
        <v>54</v>
      </c>
      <c r="AF16" s="3">
        <v>45839</v>
      </c>
      <c r="AG16" s="4" t="s">
        <v>46</v>
      </c>
      <c r="AH16" s="4" t="s">
        <v>46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46</v>
      </c>
      <c r="AN16" s="4" t="s">
        <v>55</v>
      </c>
      <c r="AO16" s="4" t="s">
        <v>46</v>
      </c>
      <c r="AP16" s="4" t="s">
        <v>46</v>
      </c>
    </row>
    <row r="17" spans="1:42" x14ac:dyDescent="0.2">
      <c r="A17" s="2">
        <v>1891456</v>
      </c>
      <c r="B17" s="3">
        <v>45840</v>
      </c>
      <c r="C17" s="4" t="s">
        <v>119</v>
      </c>
      <c r="D17" s="2">
        <v>1800776</v>
      </c>
      <c r="E17" s="4" t="s">
        <v>120</v>
      </c>
      <c r="F17" s="4" t="s">
        <v>121</v>
      </c>
      <c r="G17" s="2">
        <v>813345544</v>
      </c>
      <c r="H17" s="4" t="s">
        <v>122</v>
      </c>
      <c r="I17" s="4" t="s">
        <v>46</v>
      </c>
      <c r="J17" s="4" t="s">
        <v>47</v>
      </c>
      <c r="K17" s="4" t="s">
        <v>48</v>
      </c>
      <c r="L17" s="3">
        <v>45839</v>
      </c>
      <c r="M17" s="4" t="s">
        <v>49</v>
      </c>
      <c r="N17" s="4" t="s">
        <v>46</v>
      </c>
      <c r="O17" s="4" t="s">
        <v>50</v>
      </c>
      <c r="P17" s="4" t="s">
        <v>46</v>
      </c>
      <c r="Q17" s="2">
        <v>1</v>
      </c>
      <c r="R17" s="2">
        <v>17</v>
      </c>
      <c r="S17" s="4" t="s">
        <v>51</v>
      </c>
      <c r="T17" s="4" t="s">
        <v>70</v>
      </c>
      <c r="U17" s="4" t="s">
        <v>46</v>
      </c>
      <c r="V17" s="5">
        <v>0.5</v>
      </c>
      <c r="W17" s="5">
        <v>0</v>
      </c>
      <c r="X17" s="5">
        <v>100</v>
      </c>
      <c r="Y17" s="5">
        <v>156.5</v>
      </c>
      <c r="Z17" s="4" t="s">
        <v>46</v>
      </c>
      <c r="AA17" s="5" t="s">
        <v>46</v>
      </c>
      <c r="AB17" s="4" t="s">
        <v>53</v>
      </c>
      <c r="AC17" s="4" t="s">
        <v>46</v>
      </c>
      <c r="AD17" s="5">
        <v>0</v>
      </c>
      <c r="AE17" s="4" t="s">
        <v>54</v>
      </c>
      <c r="AF17" s="3">
        <v>45839</v>
      </c>
      <c r="AG17" s="4" t="s">
        <v>46</v>
      </c>
      <c r="AH17" s="4" t="s">
        <v>46</v>
      </c>
      <c r="AI17" s="4" t="s">
        <v>46</v>
      </c>
      <c r="AJ17" s="4" t="s">
        <v>46</v>
      </c>
      <c r="AK17" s="4" t="s">
        <v>46</v>
      </c>
      <c r="AL17" s="4" t="s">
        <v>46</v>
      </c>
      <c r="AM17" s="4" t="s">
        <v>46</v>
      </c>
      <c r="AN17" s="4" t="s">
        <v>88</v>
      </c>
      <c r="AO17" s="4" t="s">
        <v>46</v>
      </c>
      <c r="AP17" s="4" t="s">
        <v>46</v>
      </c>
    </row>
    <row r="18" spans="1:42" x14ac:dyDescent="0.2">
      <c r="A18" s="2">
        <v>1891456</v>
      </c>
      <c r="B18" s="3">
        <v>45840</v>
      </c>
      <c r="C18" s="4" t="s">
        <v>119</v>
      </c>
      <c r="D18" s="2">
        <v>1800776</v>
      </c>
      <c r="E18" s="4" t="s">
        <v>123</v>
      </c>
      <c r="F18" s="4" t="s">
        <v>124</v>
      </c>
      <c r="G18" s="2">
        <v>650466500</v>
      </c>
      <c r="H18" s="4" t="s">
        <v>125</v>
      </c>
      <c r="I18" s="4" t="s">
        <v>46</v>
      </c>
      <c r="J18" s="4" t="s">
        <v>47</v>
      </c>
      <c r="K18" s="4" t="s">
        <v>48</v>
      </c>
      <c r="L18" s="3">
        <v>45839</v>
      </c>
      <c r="M18" s="4" t="s">
        <v>49</v>
      </c>
      <c r="N18" s="4" t="s">
        <v>46</v>
      </c>
      <c r="O18" s="4" t="s">
        <v>50</v>
      </c>
      <c r="P18" s="4" t="s">
        <v>46</v>
      </c>
      <c r="Q18" s="2">
        <v>1</v>
      </c>
      <c r="R18" s="2">
        <v>17</v>
      </c>
      <c r="S18" s="4" t="s">
        <v>51</v>
      </c>
      <c r="T18" s="4" t="s">
        <v>70</v>
      </c>
      <c r="U18" s="4" t="s">
        <v>46</v>
      </c>
      <c r="V18" s="5">
        <v>0.5</v>
      </c>
      <c r="W18" s="5">
        <v>0</v>
      </c>
      <c r="X18" s="5">
        <v>100</v>
      </c>
      <c r="Y18" s="5">
        <v>156.5</v>
      </c>
      <c r="Z18" s="4" t="s">
        <v>46</v>
      </c>
      <c r="AA18" s="5" t="s">
        <v>46</v>
      </c>
      <c r="AB18" s="4" t="s">
        <v>53</v>
      </c>
      <c r="AC18" s="4" t="s">
        <v>46</v>
      </c>
      <c r="AD18" s="5">
        <v>0</v>
      </c>
      <c r="AE18" s="4" t="s">
        <v>54</v>
      </c>
      <c r="AF18" s="3">
        <v>45839</v>
      </c>
      <c r="AG18" s="4" t="s">
        <v>46</v>
      </c>
      <c r="AH18" s="4" t="s">
        <v>46</v>
      </c>
      <c r="AI18" s="4" t="s">
        <v>46</v>
      </c>
      <c r="AJ18" s="4" t="s">
        <v>46</v>
      </c>
      <c r="AK18" s="4" t="s">
        <v>46</v>
      </c>
      <c r="AL18" s="4" t="s">
        <v>46</v>
      </c>
      <c r="AM18" s="4" t="s">
        <v>46</v>
      </c>
      <c r="AN18" s="4" t="s">
        <v>88</v>
      </c>
      <c r="AO18" s="4" t="s">
        <v>46</v>
      </c>
      <c r="AP18" s="4" t="s">
        <v>46</v>
      </c>
    </row>
    <row r="19" spans="1:42" x14ac:dyDescent="0.2">
      <c r="A19" s="2">
        <v>1891456</v>
      </c>
      <c r="B19" s="3">
        <v>45840</v>
      </c>
      <c r="C19" s="4" t="s">
        <v>126</v>
      </c>
      <c r="D19" s="2">
        <v>1831491</v>
      </c>
      <c r="E19" s="4" t="s">
        <v>127</v>
      </c>
      <c r="F19" s="4" t="s">
        <v>128</v>
      </c>
      <c r="G19" s="2">
        <v>748890593</v>
      </c>
      <c r="H19" s="4" t="s">
        <v>129</v>
      </c>
      <c r="I19" s="4" t="s">
        <v>46</v>
      </c>
      <c r="J19" s="4" t="s">
        <v>47</v>
      </c>
      <c r="K19" s="4" t="s">
        <v>48</v>
      </c>
      <c r="L19" s="3">
        <v>45839</v>
      </c>
      <c r="M19" s="4" t="s">
        <v>49</v>
      </c>
      <c r="N19" s="4" t="s">
        <v>46</v>
      </c>
      <c r="O19" s="4" t="s">
        <v>50</v>
      </c>
      <c r="P19" s="4" t="s">
        <v>46</v>
      </c>
      <c r="Q19" s="2">
        <v>1</v>
      </c>
      <c r="R19" s="2">
        <v>17</v>
      </c>
      <c r="S19" s="4" t="s">
        <v>51</v>
      </c>
      <c r="T19" s="4" t="s">
        <v>52</v>
      </c>
      <c r="U19" s="4" t="s">
        <v>46</v>
      </c>
      <c r="V19" s="5">
        <v>0.5</v>
      </c>
      <c r="W19" s="5">
        <v>0</v>
      </c>
      <c r="X19" s="5">
        <v>100</v>
      </c>
      <c r="Y19" s="5">
        <v>156.5</v>
      </c>
      <c r="Z19" s="4" t="s">
        <v>46</v>
      </c>
      <c r="AA19" s="5" t="s">
        <v>46</v>
      </c>
      <c r="AB19" s="4" t="s">
        <v>53</v>
      </c>
      <c r="AC19" s="4" t="s">
        <v>46</v>
      </c>
      <c r="AD19" s="5">
        <v>0</v>
      </c>
      <c r="AE19" s="4" t="s">
        <v>54</v>
      </c>
      <c r="AF19" s="3">
        <v>45839</v>
      </c>
      <c r="AG19" s="4" t="s">
        <v>46</v>
      </c>
      <c r="AH19" s="4" t="s">
        <v>46</v>
      </c>
      <c r="AI19" s="4" t="s">
        <v>46</v>
      </c>
      <c r="AJ19" s="4" t="s">
        <v>46</v>
      </c>
      <c r="AK19" s="4" t="s">
        <v>46</v>
      </c>
      <c r="AL19" s="4" t="s">
        <v>46</v>
      </c>
      <c r="AM19" s="4" t="s">
        <v>46</v>
      </c>
      <c r="AN19" s="4" t="s">
        <v>55</v>
      </c>
      <c r="AO19" s="4" t="s">
        <v>46</v>
      </c>
      <c r="AP19" s="4" t="s">
        <v>46</v>
      </c>
    </row>
    <row r="20" spans="1:42" x14ac:dyDescent="0.2">
      <c r="A20" s="2">
        <v>1891456</v>
      </c>
      <c r="B20" s="3">
        <v>45840</v>
      </c>
      <c r="C20" s="4" t="s">
        <v>126</v>
      </c>
      <c r="D20" s="2">
        <v>1831491</v>
      </c>
      <c r="E20" s="4" t="s">
        <v>130</v>
      </c>
      <c r="F20" s="4" t="s">
        <v>131</v>
      </c>
      <c r="G20" s="2">
        <v>763977593</v>
      </c>
      <c r="H20" s="4" t="s">
        <v>132</v>
      </c>
      <c r="I20" s="4" t="s">
        <v>46</v>
      </c>
      <c r="J20" s="4" t="s">
        <v>47</v>
      </c>
      <c r="K20" s="4" t="s">
        <v>48</v>
      </c>
      <c r="L20" s="3">
        <v>45839</v>
      </c>
      <c r="M20" s="4" t="s">
        <v>49</v>
      </c>
      <c r="N20" s="4" t="s">
        <v>46</v>
      </c>
      <c r="O20" s="4" t="s">
        <v>50</v>
      </c>
      <c r="P20" s="4" t="s">
        <v>46</v>
      </c>
      <c r="Q20" s="2">
        <v>1</v>
      </c>
      <c r="R20" s="2">
        <v>17</v>
      </c>
      <c r="S20" s="4" t="s">
        <v>51</v>
      </c>
      <c r="T20" s="4" t="s">
        <v>52</v>
      </c>
      <c r="U20" s="4" t="s">
        <v>46</v>
      </c>
      <c r="V20" s="5">
        <v>0.5</v>
      </c>
      <c r="W20" s="5">
        <v>0</v>
      </c>
      <c r="X20" s="5">
        <v>100</v>
      </c>
      <c r="Y20" s="5">
        <v>156.5</v>
      </c>
      <c r="Z20" s="4" t="s">
        <v>46</v>
      </c>
      <c r="AA20" s="5" t="s">
        <v>46</v>
      </c>
      <c r="AB20" s="4" t="s">
        <v>53</v>
      </c>
      <c r="AC20" s="4" t="s">
        <v>46</v>
      </c>
      <c r="AD20" s="5">
        <v>0</v>
      </c>
      <c r="AE20" s="4" t="s">
        <v>54</v>
      </c>
      <c r="AF20" s="3">
        <v>45839</v>
      </c>
      <c r="AG20" s="4" t="s">
        <v>46</v>
      </c>
      <c r="AH20" s="4" t="s">
        <v>46</v>
      </c>
      <c r="AI20" s="4" t="s">
        <v>46</v>
      </c>
      <c r="AJ20" s="4" t="s">
        <v>46</v>
      </c>
      <c r="AK20" s="4" t="s">
        <v>46</v>
      </c>
      <c r="AL20" s="4" t="s">
        <v>46</v>
      </c>
      <c r="AM20" s="4" t="s">
        <v>46</v>
      </c>
      <c r="AN20" s="4" t="s">
        <v>55</v>
      </c>
      <c r="AO20" s="4" t="s">
        <v>46</v>
      </c>
      <c r="AP20" s="4" t="s">
        <v>46</v>
      </c>
    </row>
    <row r="21" spans="1:42" x14ac:dyDescent="0.2">
      <c r="A21" s="2">
        <v>1891456</v>
      </c>
      <c r="B21" s="3">
        <v>45840</v>
      </c>
      <c r="C21" s="4" t="s">
        <v>133</v>
      </c>
      <c r="D21" s="2">
        <v>1855975</v>
      </c>
      <c r="E21" s="4" t="s">
        <v>134</v>
      </c>
      <c r="F21" s="4" t="s">
        <v>135</v>
      </c>
      <c r="G21" s="2">
        <v>827458184</v>
      </c>
      <c r="H21" s="4" t="s">
        <v>136</v>
      </c>
      <c r="I21" s="4" t="s">
        <v>46</v>
      </c>
      <c r="J21" s="4" t="s">
        <v>47</v>
      </c>
      <c r="K21" s="4" t="s">
        <v>48</v>
      </c>
      <c r="L21" s="3">
        <v>45870</v>
      </c>
      <c r="M21" s="4" t="s">
        <v>137</v>
      </c>
      <c r="N21" s="4" t="s">
        <v>46</v>
      </c>
      <c r="O21" s="4" t="s">
        <v>50</v>
      </c>
      <c r="P21" s="4" t="s">
        <v>46</v>
      </c>
      <c r="Q21" s="2">
        <v>1</v>
      </c>
      <c r="R21" s="2">
        <v>17</v>
      </c>
      <c r="S21" s="4" t="s">
        <v>51</v>
      </c>
      <c r="T21" s="4" t="s">
        <v>52</v>
      </c>
      <c r="U21" s="4" t="s">
        <v>46</v>
      </c>
      <c r="V21" s="5">
        <v>0.42</v>
      </c>
      <c r="W21" s="5">
        <v>0</v>
      </c>
      <c r="X21" s="5">
        <v>100</v>
      </c>
      <c r="Y21" s="5">
        <v>130.41999999999999</v>
      </c>
      <c r="Z21" s="4" t="s">
        <v>46</v>
      </c>
      <c r="AA21" s="5" t="s">
        <v>46</v>
      </c>
      <c r="AB21" s="4" t="s">
        <v>53</v>
      </c>
      <c r="AC21" s="4" t="s">
        <v>46</v>
      </c>
      <c r="AD21" s="5">
        <v>0</v>
      </c>
      <c r="AE21" s="4" t="s">
        <v>54</v>
      </c>
      <c r="AF21" s="3">
        <v>45870</v>
      </c>
      <c r="AG21" s="4" t="s">
        <v>46</v>
      </c>
      <c r="AH21" s="4" t="s">
        <v>46</v>
      </c>
      <c r="AI21" s="4" t="s">
        <v>46</v>
      </c>
      <c r="AJ21" s="4" t="s">
        <v>46</v>
      </c>
      <c r="AK21" s="4" t="s">
        <v>46</v>
      </c>
      <c r="AL21" s="4" t="s">
        <v>46</v>
      </c>
      <c r="AM21" s="4" t="s">
        <v>46</v>
      </c>
      <c r="AN21" s="4" t="s">
        <v>55</v>
      </c>
      <c r="AO21" s="4" t="s">
        <v>46</v>
      </c>
      <c r="AP21" s="4" t="s">
        <v>46</v>
      </c>
    </row>
    <row r="22" spans="1:42" x14ac:dyDescent="0.2">
      <c r="A22" s="2">
        <v>1891456</v>
      </c>
      <c r="B22" s="3">
        <v>45840</v>
      </c>
      <c r="C22" s="4" t="s">
        <v>59</v>
      </c>
      <c r="D22" s="2">
        <v>1510420</v>
      </c>
      <c r="E22" s="4" t="s">
        <v>138</v>
      </c>
      <c r="F22" s="4" t="s">
        <v>139</v>
      </c>
      <c r="G22" s="4" t="s">
        <v>46</v>
      </c>
      <c r="H22" s="4" t="s">
        <v>46</v>
      </c>
      <c r="I22" s="4" t="s">
        <v>46</v>
      </c>
      <c r="J22" s="4" t="s">
        <v>140</v>
      </c>
      <c r="K22" s="4" t="s">
        <v>141</v>
      </c>
      <c r="L22" s="3">
        <v>45839</v>
      </c>
      <c r="M22" s="4" t="s">
        <v>49</v>
      </c>
      <c r="N22" s="4" t="s">
        <v>46</v>
      </c>
      <c r="O22" s="4" t="s">
        <v>104</v>
      </c>
      <c r="P22" s="4" t="s">
        <v>104</v>
      </c>
      <c r="Q22" s="2">
        <v>1</v>
      </c>
      <c r="R22" s="2">
        <v>3</v>
      </c>
      <c r="S22" s="4" t="s">
        <v>142</v>
      </c>
      <c r="T22" s="4" t="s">
        <v>46</v>
      </c>
      <c r="U22" s="4" t="s">
        <v>46</v>
      </c>
      <c r="V22" s="5">
        <v>10</v>
      </c>
      <c r="W22" s="5">
        <v>13.93</v>
      </c>
      <c r="X22" s="5">
        <v>100</v>
      </c>
      <c r="Y22" s="5">
        <v>1.39</v>
      </c>
      <c r="Z22" s="4" t="s">
        <v>46</v>
      </c>
      <c r="AA22" s="5" t="s">
        <v>46</v>
      </c>
      <c r="AB22" s="4" t="s">
        <v>143</v>
      </c>
      <c r="AC22" s="4" t="s">
        <v>46</v>
      </c>
      <c r="AD22" s="5">
        <v>0</v>
      </c>
      <c r="AE22" s="4" t="s">
        <v>144</v>
      </c>
      <c r="AF22" s="3">
        <v>43709</v>
      </c>
      <c r="AG22" s="4" t="s">
        <v>46</v>
      </c>
      <c r="AH22" s="4" t="s">
        <v>46</v>
      </c>
      <c r="AI22" s="4" t="s">
        <v>46</v>
      </c>
      <c r="AJ22" s="4" t="s">
        <v>46</v>
      </c>
      <c r="AK22" s="4" t="s">
        <v>46</v>
      </c>
      <c r="AL22" s="4" t="s">
        <v>46</v>
      </c>
      <c r="AM22" s="4" t="s">
        <v>46</v>
      </c>
      <c r="AN22" s="4" t="s">
        <v>46</v>
      </c>
      <c r="AO22" s="4" t="s">
        <v>46</v>
      </c>
      <c r="AP22" s="4" t="s">
        <v>46</v>
      </c>
    </row>
    <row r="23" spans="1:42" x14ac:dyDescent="0.2">
      <c r="A23" s="2">
        <v>1891456</v>
      </c>
      <c r="B23" s="3">
        <v>45840</v>
      </c>
      <c r="C23" s="4" t="s">
        <v>59</v>
      </c>
      <c r="D23" s="2">
        <v>1510420</v>
      </c>
      <c r="E23" s="4" t="s">
        <v>145</v>
      </c>
      <c r="F23" s="4" t="s">
        <v>146</v>
      </c>
      <c r="G23" s="4" t="s">
        <v>46</v>
      </c>
      <c r="H23" s="4" t="s">
        <v>46</v>
      </c>
      <c r="I23" s="4" t="s">
        <v>46</v>
      </c>
      <c r="J23" s="4" t="s">
        <v>140</v>
      </c>
      <c r="K23" s="4" t="s">
        <v>141</v>
      </c>
      <c r="L23" s="3">
        <v>45839</v>
      </c>
      <c r="M23" s="4" t="s">
        <v>49</v>
      </c>
      <c r="N23" s="4" t="s">
        <v>46</v>
      </c>
      <c r="O23" s="4" t="s">
        <v>104</v>
      </c>
      <c r="P23" s="4" t="s">
        <v>104</v>
      </c>
      <c r="Q23" s="2">
        <v>1</v>
      </c>
      <c r="R23" s="2">
        <v>3</v>
      </c>
      <c r="S23" s="4" t="s">
        <v>142</v>
      </c>
      <c r="T23" s="4" t="s">
        <v>46</v>
      </c>
      <c r="U23" s="4" t="s">
        <v>46</v>
      </c>
      <c r="V23" s="5">
        <v>10</v>
      </c>
      <c r="W23" s="5">
        <v>52.78</v>
      </c>
      <c r="X23" s="5">
        <v>100</v>
      </c>
      <c r="Y23" s="5">
        <v>5.28</v>
      </c>
      <c r="Z23" s="4" t="s">
        <v>46</v>
      </c>
      <c r="AA23" s="5" t="s">
        <v>46</v>
      </c>
      <c r="AB23" s="4" t="s">
        <v>143</v>
      </c>
      <c r="AC23" s="4" t="s">
        <v>46</v>
      </c>
      <c r="AD23" s="5">
        <v>0</v>
      </c>
      <c r="AE23" s="4" t="s">
        <v>144</v>
      </c>
      <c r="AF23" s="3">
        <v>44586</v>
      </c>
      <c r="AG23" s="4" t="s">
        <v>46</v>
      </c>
      <c r="AH23" s="4" t="s">
        <v>46</v>
      </c>
      <c r="AI23" s="4" t="s">
        <v>46</v>
      </c>
      <c r="AJ23" s="4" t="s">
        <v>46</v>
      </c>
      <c r="AK23" s="4" t="s">
        <v>46</v>
      </c>
      <c r="AL23" s="4" t="s">
        <v>46</v>
      </c>
      <c r="AM23" s="4" t="s">
        <v>46</v>
      </c>
      <c r="AN23" s="4" t="s">
        <v>46</v>
      </c>
      <c r="AO23" s="4" t="s">
        <v>46</v>
      </c>
      <c r="AP23" s="4" t="s">
        <v>46</v>
      </c>
    </row>
    <row r="24" spans="1:42" x14ac:dyDescent="0.2">
      <c r="A24" s="2">
        <v>1891456</v>
      </c>
      <c r="B24" s="3">
        <v>45840</v>
      </c>
      <c r="C24" s="4" t="s">
        <v>147</v>
      </c>
      <c r="D24" s="2">
        <v>1524629</v>
      </c>
      <c r="E24" s="4" t="s">
        <v>148</v>
      </c>
      <c r="F24" s="4" t="s">
        <v>149</v>
      </c>
      <c r="G24" s="4" t="s">
        <v>46</v>
      </c>
      <c r="H24" s="4" t="s">
        <v>46</v>
      </c>
      <c r="I24" s="4" t="s">
        <v>46</v>
      </c>
      <c r="J24" s="4" t="s">
        <v>150</v>
      </c>
      <c r="K24" s="4" t="s">
        <v>48</v>
      </c>
      <c r="L24" s="3">
        <v>45839</v>
      </c>
      <c r="M24" s="4" t="s">
        <v>49</v>
      </c>
      <c r="N24" s="4" t="s">
        <v>46</v>
      </c>
      <c r="O24" s="4" t="s">
        <v>104</v>
      </c>
      <c r="P24" s="4" t="s">
        <v>104</v>
      </c>
      <c r="Q24" s="2">
        <v>1</v>
      </c>
      <c r="R24" s="2">
        <v>17</v>
      </c>
      <c r="S24" s="4" t="s">
        <v>51</v>
      </c>
      <c r="T24" s="4" t="s">
        <v>46</v>
      </c>
      <c r="U24" s="4" t="s">
        <v>46</v>
      </c>
      <c r="V24" s="5">
        <v>26</v>
      </c>
      <c r="W24" s="5">
        <v>84.94</v>
      </c>
      <c r="X24" s="5">
        <v>100</v>
      </c>
      <c r="Y24" s="5">
        <v>22.08</v>
      </c>
      <c r="Z24" s="5">
        <v>0</v>
      </c>
      <c r="AA24" s="5">
        <v>0</v>
      </c>
      <c r="AB24" s="4" t="s">
        <v>151</v>
      </c>
      <c r="AC24" s="4" t="s">
        <v>46</v>
      </c>
      <c r="AD24" s="5">
        <v>0</v>
      </c>
      <c r="AE24" s="4" t="s">
        <v>152</v>
      </c>
      <c r="AF24" s="3">
        <v>45323</v>
      </c>
      <c r="AG24" s="4" t="s">
        <v>46</v>
      </c>
      <c r="AH24" s="4" t="s">
        <v>46</v>
      </c>
      <c r="AI24" s="4" t="s">
        <v>46</v>
      </c>
      <c r="AJ24" s="4" t="s">
        <v>46</v>
      </c>
      <c r="AK24" s="4" t="s">
        <v>46</v>
      </c>
      <c r="AL24" s="4" t="s">
        <v>46</v>
      </c>
      <c r="AM24" s="4" t="s">
        <v>46</v>
      </c>
      <c r="AN24" s="4" t="s">
        <v>46</v>
      </c>
      <c r="AO24" s="4" t="s">
        <v>46</v>
      </c>
      <c r="AP24" s="4" t="s">
        <v>46</v>
      </c>
    </row>
    <row r="25" spans="1:42" x14ac:dyDescent="0.2">
      <c r="A25" s="2">
        <v>1891456</v>
      </c>
      <c r="B25" s="3">
        <v>45840</v>
      </c>
      <c r="C25" s="4" t="s">
        <v>153</v>
      </c>
      <c r="D25" s="2">
        <v>1673763</v>
      </c>
      <c r="E25" s="4" t="s">
        <v>154</v>
      </c>
      <c r="F25" s="4" t="s">
        <v>155</v>
      </c>
      <c r="G25" s="4" t="s">
        <v>46</v>
      </c>
      <c r="H25" s="4" t="s">
        <v>46</v>
      </c>
      <c r="I25" s="4" t="s">
        <v>46</v>
      </c>
      <c r="J25" s="4" t="s">
        <v>150</v>
      </c>
      <c r="K25" s="4" t="s">
        <v>48</v>
      </c>
      <c r="L25" s="3">
        <v>45809</v>
      </c>
      <c r="M25" s="4" t="s">
        <v>156</v>
      </c>
      <c r="N25" s="4" t="s">
        <v>46</v>
      </c>
      <c r="O25" s="4" t="s">
        <v>104</v>
      </c>
      <c r="P25" s="4" t="s">
        <v>104</v>
      </c>
      <c r="Q25" s="2">
        <v>1</v>
      </c>
      <c r="R25" s="2">
        <v>17</v>
      </c>
      <c r="S25" s="4" t="s">
        <v>51</v>
      </c>
      <c r="T25" s="4" t="s">
        <v>46</v>
      </c>
      <c r="U25" s="4" t="s">
        <v>46</v>
      </c>
      <c r="V25" s="5">
        <v>0</v>
      </c>
      <c r="W25" s="5">
        <v>-146.72999999999999</v>
      </c>
      <c r="X25" s="5">
        <v>100</v>
      </c>
      <c r="Y25" s="5">
        <v>-4.17</v>
      </c>
      <c r="Z25" s="5">
        <v>0</v>
      </c>
      <c r="AA25" s="5">
        <v>0</v>
      </c>
      <c r="AB25" s="4" t="s">
        <v>151</v>
      </c>
      <c r="AC25" s="4" t="s">
        <v>46</v>
      </c>
      <c r="AD25" s="5">
        <v>0</v>
      </c>
      <c r="AE25" s="4" t="s">
        <v>152</v>
      </c>
      <c r="AF25" s="3">
        <v>45261</v>
      </c>
      <c r="AG25" s="4" t="s">
        <v>46</v>
      </c>
      <c r="AH25" s="4" t="s">
        <v>46</v>
      </c>
      <c r="AI25" s="4" t="s">
        <v>46</v>
      </c>
      <c r="AJ25" s="4" t="s">
        <v>46</v>
      </c>
      <c r="AK25" s="4" t="s">
        <v>46</v>
      </c>
      <c r="AL25" s="4" t="s">
        <v>46</v>
      </c>
      <c r="AM25" s="4" t="s">
        <v>46</v>
      </c>
      <c r="AN25" s="4" t="s">
        <v>46</v>
      </c>
      <c r="AO25" s="4" t="s">
        <v>46</v>
      </c>
      <c r="AP25" s="4" t="s">
        <v>46</v>
      </c>
    </row>
    <row r="26" spans="1:42" x14ac:dyDescent="0.2">
      <c r="A26" s="2">
        <v>1891456</v>
      </c>
      <c r="B26" s="3">
        <v>45840</v>
      </c>
      <c r="C26" s="4" t="s">
        <v>153</v>
      </c>
      <c r="D26" s="2">
        <v>1673763</v>
      </c>
      <c r="E26" s="4" t="s">
        <v>154</v>
      </c>
      <c r="F26" s="4" t="s">
        <v>155</v>
      </c>
      <c r="G26" s="4" t="s">
        <v>46</v>
      </c>
      <c r="H26" s="4" t="s">
        <v>46</v>
      </c>
      <c r="I26" s="4" t="s">
        <v>46</v>
      </c>
      <c r="J26" s="4" t="s">
        <v>150</v>
      </c>
      <c r="K26" s="4" t="s">
        <v>48</v>
      </c>
      <c r="L26" s="3">
        <v>45778</v>
      </c>
      <c r="M26" s="4" t="s">
        <v>157</v>
      </c>
      <c r="N26" s="4" t="s">
        <v>46</v>
      </c>
      <c r="O26" s="4" t="s">
        <v>104</v>
      </c>
      <c r="P26" s="4" t="s">
        <v>104</v>
      </c>
      <c r="Q26" s="2">
        <v>1</v>
      </c>
      <c r="R26" s="2">
        <v>17</v>
      </c>
      <c r="S26" s="4" t="s">
        <v>51</v>
      </c>
      <c r="T26" s="4" t="s">
        <v>46</v>
      </c>
      <c r="U26" s="4" t="s">
        <v>46</v>
      </c>
      <c r="V26" s="5">
        <v>0</v>
      </c>
      <c r="W26" s="5">
        <v>-146.72999999999999</v>
      </c>
      <c r="X26" s="5">
        <v>100</v>
      </c>
      <c r="Y26" s="5">
        <v>-4.17</v>
      </c>
      <c r="Z26" s="5">
        <v>0</v>
      </c>
      <c r="AA26" s="5">
        <v>0</v>
      </c>
      <c r="AB26" s="4" t="s">
        <v>151</v>
      </c>
      <c r="AC26" s="4" t="s">
        <v>46</v>
      </c>
      <c r="AD26" s="5">
        <v>0</v>
      </c>
      <c r="AE26" s="4" t="s">
        <v>152</v>
      </c>
      <c r="AF26" s="3">
        <v>45261</v>
      </c>
      <c r="AG26" s="4" t="s">
        <v>46</v>
      </c>
      <c r="AH26" s="4" t="s">
        <v>46</v>
      </c>
      <c r="AI26" s="4" t="s">
        <v>46</v>
      </c>
      <c r="AJ26" s="4" t="s">
        <v>46</v>
      </c>
      <c r="AK26" s="4" t="s">
        <v>46</v>
      </c>
      <c r="AL26" s="4" t="s">
        <v>46</v>
      </c>
      <c r="AM26" s="4" t="s">
        <v>46</v>
      </c>
      <c r="AN26" s="4" t="s">
        <v>46</v>
      </c>
      <c r="AO26" s="4" t="s">
        <v>46</v>
      </c>
      <c r="AP26" s="4" t="s">
        <v>46</v>
      </c>
    </row>
    <row r="27" spans="1:42" x14ac:dyDescent="0.2">
      <c r="A27" s="2">
        <v>1891456</v>
      </c>
      <c r="B27" s="3">
        <v>45840</v>
      </c>
      <c r="C27" s="4" t="s">
        <v>153</v>
      </c>
      <c r="D27" s="2">
        <v>1673763</v>
      </c>
      <c r="E27" s="4" t="s">
        <v>158</v>
      </c>
      <c r="F27" s="4" t="s">
        <v>159</v>
      </c>
      <c r="G27" s="4" t="s">
        <v>46</v>
      </c>
      <c r="H27" s="4" t="s">
        <v>46</v>
      </c>
      <c r="I27" s="4" t="s">
        <v>46</v>
      </c>
      <c r="J27" s="4" t="s">
        <v>140</v>
      </c>
      <c r="K27" s="4" t="s">
        <v>141</v>
      </c>
      <c r="L27" s="3">
        <v>45839</v>
      </c>
      <c r="M27" s="4" t="s">
        <v>49</v>
      </c>
      <c r="N27" s="4" t="s">
        <v>46</v>
      </c>
      <c r="O27" s="4" t="s">
        <v>50</v>
      </c>
      <c r="P27" s="4" t="s">
        <v>104</v>
      </c>
      <c r="Q27" s="2">
        <v>1</v>
      </c>
      <c r="R27" s="2">
        <v>60</v>
      </c>
      <c r="S27" s="4" t="s">
        <v>160</v>
      </c>
      <c r="T27" s="4" t="s">
        <v>46</v>
      </c>
      <c r="U27" s="4" t="s">
        <v>46</v>
      </c>
      <c r="V27" s="5">
        <v>10</v>
      </c>
      <c r="W27" s="5">
        <v>12.99</v>
      </c>
      <c r="X27" s="5">
        <v>100</v>
      </c>
      <c r="Y27" s="5">
        <v>36.299999999999997</v>
      </c>
      <c r="Z27" s="4" t="s">
        <v>46</v>
      </c>
      <c r="AA27" s="5" t="s">
        <v>46</v>
      </c>
      <c r="AB27" s="4" t="s">
        <v>161</v>
      </c>
      <c r="AC27" s="4" t="s">
        <v>46</v>
      </c>
      <c r="AD27" s="5">
        <v>0</v>
      </c>
      <c r="AE27" s="4" t="s">
        <v>162</v>
      </c>
      <c r="AF27" s="3">
        <v>45839</v>
      </c>
      <c r="AG27" s="4" t="s">
        <v>46</v>
      </c>
      <c r="AH27" s="4" t="s">
        <v>46</v>
      </c>
      <c r="AI27" s="4" t="s">
        <v>46</v>
      </c>
      <c r="AJ27" s="4" t="s">
        <v>46</v>
      </c>
      <c r="AK27" s="4" t="s">
        <v>46</v>
      </c>
      <c r="AL27" s="4" t="s">
        <v>46</v>
      </c>
      <c r="AM27" s="4" t="s">
        <v>46</v>
      </c>
      <c r="AN27" s="4" t="s">
        <v>46</v>
      </c>
      <c r="AO27" s="4" t="s">
        <v>46</v>
      </c>
      <c r="AP27" s="4" t="s">
        <v>46</v>
      </c>
    </row>
    <row r="28" spans="1:42" x14ac:dyDescent="0.2">
      <c r="A28" s="2">
        <v>1891456</v>
      </c>
      <c r="B28" s="3">
        <v>45840</v>
      </c>
      <c r="C28" s="4" t="s">
        <v>126</v>
      </c>
      <c r="D28" s="2">
        <v>1831491</v>
      </c>
      <c r="E28" s="4" t="s">
        <v>163</v>
      </c>
      <c r="F28" s="4" t="s">
        <v>164</v>
      </c>
      <c r="G28" s="4" t="s">
        <v>46</v>
      </c>
      <c r="H28" s="4" t="s">
        <v>46</v>
      </c>
      <c r="I28" s="4" t="s">
        <v>46</v>
      </c>
      <c r="J28" s="4" t="s">
        <v>140</v>
      </c>
      <c r="K28" s="4" t="s">
        <v>141</v>
      </c>
      <c r="L28" s="3">
        <v>45839</v>
      </c>
      <c r="M28" s="4" t="s">
        <v>49</v>
      </c>
      <c r="N28" s="4" t="s">
        <v>46</v>
      </c>
      <c r="O28" s="4" t="s">
        <v>50</v>
      </c>
      <c r="P28" s="4" t="s">
        <v>104</v>
      </c>
      <c r="Q28" s="2">
        <v>2</v>
      </c>
      <c r="R28" s="2">
        <v>60</v>
      </c>
      <c r="S28" s="4" t="s">
        <v>160</v>
      </c>
      <c r="T28" s="4" t="s">
        <v>46</v>
      </c>
      <c r="U28" s="4" t="s">
        <v>46</v>
      </c>
      <c r="V28" s="5">
        <v>10</v>
      </c>
      <c r="W28" s="5">
        <v>26.88</v>
      </c>
      <c r="X28" s="5">
        <v>100</v>
      </c>
      <c r="Y28" s="5">
        <v>2.69</v>
      </c>
      <c r="Z28" s="4" t="s">
        <v>46</v>
      </c>
      <c r="AA28" s="5" t="s">
        <v>46</v>
      </c>
      <c r="AB28" s="4" t="s">
        <v>161</v>
      </c>
      <c r="AC28" s="4" t="s">
        <v>46</v>
      </c>
      <c r="AD28" s="5">
        <v>0</v>
      </c>
      <c r="AE28" s="4" t="s">
        <v>162</v>
      </c>
      <c r="AF28" s="3">
        <v>45808</v>
      </c>
      <c r="AG28" s="4" t="s">
        <v>46</v>
      </c>
      <c r="AH28" s="4" t="s">
        <v>46</v>
      </c>
      <c r="AI28" s="4" t="s">
        <v>46</v>
      </c>
      <c r="AJ28" s="4" t="s">
        <v>46</v>
      </c>
      <c r="AK28" s="4" t="s">
        <v>46</v>
      </c>
      <c r="AL28" s="4" t="s">
        <v>46</v>
      </c>
      <c r="AM28" s="4" t="s">
        <v>46</v>
      </c>
      <c r="AN28" s="4" t="s">
        <v>46</v>
      </c>
      <c r="AO28" s="4" t="s">
        <v>46</v>
      </c>
      <c r="AP28" s="4" t="s">
        <v>46</v>
      </c>
    </row>
    <row r="29" spans="1:42" x14ac:dyDescent="0.2">
      <c r="A29" s="2">
        <v>1891456</v>
      </c>
      <c r="B29" s="3">
        <v>45840</v>
      </c>
      <c r="C29" s="4" t="s">
        <v>126</v>
      </c>
      <c r="D29" s="2">
        <v>1831491</v>
      </c>
      <c r="E29" s="4" t="s">
        <v>163</v>
      </c>
      <c r="F29" s="4" t="s">
        <v>165</v>
      </c>
      <c r="G29" s="4" t="s">
        <v>46</v>
      </c>
      <c r="H29" s="4" t="s">
        <v>46</v>
      </c>
      <c r="I29" s="4" t="s">
        <v>46</v>
      </c>
      <c r="J29" s="4" t="s">
        <v>140</v>
      </c>
      <c r="K29" s="4" t="s">
        <v>141</v>
      </c>
      <c r="L29" s="3">
        <v>45839</v>
      </c>
      <c r="M29" s="4" t="s">
        <v>49</v>
      </c>
      <c r="N29" s="4" t="s">
        <v>46</v>
      </c>
      <c r="O29" s="4" t="s">
        <v>50</v>
      </c>
      <c r="P29" s="4" t="s">
        <v>104</v>
      </c>
      <c r="Q29" s="2">
        <v>2</v>
      </c>
      <c r="R29" s="2">
        <v>60</v>
      </c>
      <c r="S29" s="4" t="s">
        <v>160</v>
      </c>
      <c r="T29" s="4" t="s">
        <v>46</v>
      </c>
      <c r="U29" s="4" t="s">
        <v>46</v>
      </c>
      <c r="V29" s="5">
        <v>10</v>
      </c>
      <c r="W29" s="5">
        <v>26.88</v>
      </c>
      <c r="X29" s="5">
        <v>100</v>
      </c>
      <c r="Y29" s="5">
        <v>2.69</v>
      </c>
      <c r="Z29" s="4" t="s">
        <v>46</v>
      </c>
      <c r="AA29" s="5" t="s">
        <v>46</v>
      </c>
      <c r="AB29" s="4" t="s">
        <v>161</v>
      </c>
      <c r="AC29" s="4" t="s">
        <v>46</v>
      </c>
      <c r="AD29" s="5">
        <v>0</v>
      </c>
      <c r="AE29" s="4" t="s">
        <v>162</v>
      </c>
      <c r="AF29" s="3">
        <v>45808</v>
      </c>
      <c r="AG29" s="4" t="s">
        <v>46</v>
      </c>
      <c r="AH29" s="4" t="s">
        <v>46</v>
      </c>
      <c r="AI29" s="4" t="s">
        <v>46</v>
      </c>
      <c r="AJ29" s="4" t="s">
        <v>46</v>
      </c>
      <c r="AK29" s="4" t="s">
        <v>46</v>
      </c>
      <c r="AL29" s="4" t="s">
        <v>46</v>
      </c>
      <c r="AM29" s="4" t="s">
        <v>46</v>
      </c>
      <c r="AN29" s="4" t="s">
        <v>46</v>
      </c>
      <c r="AO29" s="4" t="s">
        <v>46</v>
      </c>
      <c r="AP29" s="4" t="s">
        <v>46</v>
      </c>
    </row>
    <row r="30" spans="1:42" x14ac:dyDescent="0.2">
      <c r="A30" s="2">
        <v>1891456</v>
      </c>
      <c r="B30" s="3">
        <v>45840</v>
      </c>
      <c r="C30" s="4" t="s">
        <v>126</v>
      </c>
      <c r="D30" s="2">
        <v>1831491</v>
      </c>
      <c r="E30" s="4" t="s">
        <v>166</v>
      </c>
      <c r="F30" s="4" t="s">
        <v>167</v>
      </c>
      <c r="G30" s="4" t="s">
        <v>46</v>
      </c>
      <c r="H30" s="4" t="s">
        <v>46</v>
      </c>
      <c r="I30" s="4" t="s">
        <v>46</v>
      </c>
      <c r="J30" s="4" t="s">
        <v>140</v>
      </c>
      <c r="K30" s="4" t="s">
        <v>141</v>
      </c>
      <c r="L30" s="3">
        <v>45839</v>
      </c>
      <c r="M30" s="4" t="s">
        <v>49</v>
      </c>
      <c r="N30" s="4" t="s">
        <v>46</v>
      </c>
      <c r="O30" s="4" t="s">
        <v>50</v>
      </c>
      <c r="P30" s="4" t="s">
        <v>104</v>
      </c>
      <c r="Q30" s="2">
        <v>2</v>
      </c>
      <c r="R30" s="2">
        <v>60</v>
      </c>
      <c r="S30" s="4" t="s">
        <v>160</v>
      </c>
      <c r="T30" s="4" t="s">
        <v>46</v>
      </c>
      <c r="U30" s="4" t="s">
        <v>46</v>
      </c>
      <c r="V30" s="5">
        <v>10</v>
      </c>
      <c r="W30" s="5">
        <v>26.88</v>
      </c>
      <c r="X30" s="5">
        <v>100</v>
      </c>
      <c r="Y30" s="5">
        <v>2.69</v>
      </c>
      <c r="Z30" s="4" t="s">
        <v>46</v>
      </c>
      <c r="AA30" s="5" t="s">
        <v>46</v>
      </c>
      <c r="AB30" s="4" t="s">
        <v>161</v>
      </c>
      <c r="AC30" s="4" t="s">
        <v>46</v>
      </c>
      <c r="AD30" s="5">
        <v>0</v>
      </c>
      <c r="AE30" s="4" t="s">
        <v>162</v>
      </c>
      <c r="AF30" s="3">
        <v>45808</v>
      </c>
      <c r="AG30" s="4" t="s">
        <v>46</v>
      </c>
      <c r="AH30" s="4" t="s">
        <v>46</v>
      </c>
      <c r="AI30" s="4" t="s">
        <v>46</v>
      </c>
      <c r="AJ30" s="4" t="s">
        <v>46</v>
      </c>
      <c r="AK30" s="4" t="s">
        <v>46</v>
      </c>
      <c r="AL30" s="4" t="s">
        <v>46</v>
      </c>
      <c r="AM30" s="4" t="s">
        <v>46</v>
      </c>
      <c r="AN30" s="4" t="s">
        <v>46</v>
      </c>
      <c r="AO30" s="4" t="s">
        <v>46</v>
      </c>
      <c r="AP30" s="4" t="s">
        <v>46</v>
      </c>
    </row>
    <row r="31" spans="1:42" x14ac:dyDescent="0.2">
      <c r="A31" s="2">
        <v>1891456</v>
      </c>
      <c r="B31" s="3">
        <v>45840</v>
      </c>
      <c r="C31" s="4" t="s">
        <v>126</v>
      </c>
      <c r="D31" s="2">
        <v>1831491</v>
      </c>
      <c r="E31" s="4" t="s">
        <v>168</v>
      </c>
      <c r="F31" s="4" t="s">
        <v>169</v>
      </c>
      <c r="G31" s="4" t="s">
        <v>46</v>
      </c>
      <c r="H31" s="4" t="s">
        <v>46</v>
      </c>
      <c r="I31" s="4" t="s">
        <v>46</v>
      </c>
      <c r="J31" s="4" t="s">
        <v>140</v>
      </c>
      <c r="K31" s="4" t="s">
        <v>141</v>
      </c>
      <c r="L31" s="3">
        <v>45839</v>
      </c>
      <c r="M31" s="4" t="s">
        <v>49</v>
      </c>
      <c r="N31" s="4" t="s">
        <v>46</v>
      </c>
      <c r="O31" s="4" t="s">
        <v>50</v>
      </c>
      <c r="P31" s="4" t="s">
        <v>104</v>
      </c>
      <c r="Q31" s="2">
        <v>1</v>
      </c>
      <c r="R31" s="2">
        <v>60</v>
      </c>
      <c r="S31" s="4" t="s">
        <v>160</v>
      </c>
      <c r="T31" s="4" t="s">
        <v>46</v>
      </c>
      <c r="U31" s="4" t="s">
        <v>46</v>
      </c>
      <c r="V31" s="5">
        <v>10</v>
      </c>
      <c r="W31" s="5">
        <v>13.93</v>
      </c>
      <c r="X31" s="5">
        <v>100</v>
      </c>
      <c r="Y31" s="5">
        <v>1.39</v>
      </c>
      <c r="Z31" s="4" t="s">
        <v>46</v>
      </c>
      <c r="AA31" s="5" t="s">
        <v>46</v>
      </c>
      <c r="AB31" s="4" t="s">
        <v>161</v>
      </c>
      <c r="AC31" s="4" t="s">
        <v>46</v>
      </c>
      <c r="AD31" s="5">
        <v>0</v>
      </c>
      <c r="AE31" s="4" t="s">
        <v>162</v>
      </c>
      <c r="AF31" s="3">
        <v>45809</v>
      </c>
      <c r="AG31" s="4" t="s">
        <v>46</v>
      </c>
      <c r="AH31" s="4" t="s">
        <v>46</v>
      </c>
      <c r="AI31" s="4" t="s">
        <v>46</v>
      </c>
      <c r="AJ31" s="4" t="s">
        <v>46</v>
      </c>
      <c r="AK31" s="4" t="s">
        <v>46</v>
      </c>
      <c r="AL31" s="4" t="s">
        <v>46</v>
      </c>
      <c r="AM31" s="4" t="s">
        <v>46</v>
      </c>
      <c r="AN31" s="4" t="s">
        <v>46</v>
      </c>
      <c r="AO31" s="4" t="s">
        <v>46</v>
      </c>
      <c r="AP31" s="4" t="s">
        <v>46</v>
      </c>
    </row>
    <row r="32" spans="1:42" x14ac:dyDescent="0.2">
      <c r="A32" s="2">
        <v>1891456</v>
      </c>
      <c r="B32" s="3">
        <v>45840</v>
      </c>
      <c r="C32" s="4" t="s">
        <v>126</v>
      </c>
      <c r="D32" s="2">
        <v>1831491</v>
      </c>
      <c r="E32" s="4" t="s">
        <v>170</v>
      </c>
      <c r="F32" s="4" t="s">
        <v>171</v>
      </c>
      <c r="G32" s="4" t="s">
        <v>46</v>
      </c>
      <c r="H32" s="4" t="s">
        <v>46</v>
      </c>
      <c r="I32" s="4" t="s">
        <v>46</v>
      </c>
      <c r="J32" s="4" t="s">
        <v>140</v>
      </c>
      <c r="K32" s="4" t="s">
        <v>141</v>
      </c>
      <c r="L32" s="3">
        <v>45839</v>
      </c>
      <c r="M32" s="4" t="s">
        <v>49</v>
      </c>
      <c r="N32" s="4" t="s">
        <v>46</v>
      </c>
      <c r="O32" s="4" t="s">
        <v>50</v>
      </c>
      <c r="P32" s="4" t="s">
        <v>104</v>
      </c>
      <c r="Q32" s="2">
        <v>6</v>
      </c>
      <c r="R32" s="2">
        <v>60</v>
      </c>
      <c r="S32" s="4" t="s">
        <v>160</v>
      </c>
      <c r="T32" s="4" t="s">
        <v>46</v>
      </c>
      <c r="U32" s="4" t="s">
        <v>46</v>
      </c>
      <c r="V32" s="5">
        <v>10</v>
      </c>
      <c r="W32" s="5">
        <v>46.8</v>
      </c>
      <c r="X32" s="5">
        <v>100</v>
      </c>
      <c r="Y32" s="5">
        <v>4.68</v>
      </c>
      <c r="Z32" s="4" t="s">
        <v>46</v>
      </c>
      <c r="AA32" s="5" t="s">
        <v>46</v>
      </c>
      <c r="AB32" s="4" t="s">
        <v>161</v>
      </c>
      <c r="AC32" s="4" t="s">
        <v>46</v>
      </c>
      <c r="AD32" s="5">
        <v>0</v>
      </c>
      <c r="AE32" s="4" t="s">
        <v>162</v>
      </c>
      <c r="AF32" s="3">
        <v>45809</v>
      </c>
      <c r="AG32" s="4" t="s">
        <v>46</v>
      </c>
      <c r="AH32" s="4" t="s">
        <v>46</v>
      </c>
      <c r="AI32" s="4" t="s">
        <v>46</v>
      </c>
      <c r="AJ32" s="4" t="s">
        <v>46</v>
      </c>
      <c r="AK32" s="4" t="s">
        <v>46</v>
      </c>
      <c r="AL32" s="4" t="s">
        <v>46</v>
      </c>
      <c r="AM32" s="4" t="s">
        <v>46</v>
      </c>
      <c r="AN32" s="4" t="s">
        <v>46</v>
      </c>
      <c r="AO32" s="4" t="s">
        <v>46</v>
      </c>
      <c r="AP32" s="4" t="s">
        <v>46</v>
      </c>
    </row>
    <row r="33" spans="1:42" x14ac:dyDescent="0.2">
      <c r="A33" s="2">
        <v>1891456</v>
      </c>
      <c r="B33" s="3">
        <v>45840</v>
      </c>
      <c r="C33" s="4" t="s">
        <v>126</v>
      </c>
      <c r="D33" s="2">
        <v>1831491</v>
      </c>
      <c r="E33" s="4" t="s">
        <v>172</v>
      </c>
      <c r="F33" s="4" t="s">
        <v>173</v>
      </c>
      <c r="G33" s="4" t="s">
        <v>46</v>
      </c>
      <c r="H33" s="4" t="s">
        <v>46</v>
      </c>
      <c r="I33" s="4" t="s">
        <v>46</v>
      </c>
      <c r="J33" s="4" t="s">
        <v>140</v>
      </c>
      <c r="K33" s="4" t="s">
        <v>141</v>
      </c>
      <c r="L33" s="3">
        <v>45839</v>
      </c>
      <c r="M33" s="4" t="s">
        <v>49</v>
      </c>
      <c r="N33" s="4" t="s">
        <v>46</v>
      </c>
      <c r="O33" s="4" t="s">
        <v>50</v>
      </c>
      <c r="P33" s="4" t="s">
        <v>104</v>
      </c>
      <c r="Q33" s="2">
        <v>2</v>
      </c>
      <c r="R33" s="2">
        <v>60</v>
      </c>
      <c r="S33" s="4" t="s">
        <v>160</v>
      </c>
      <c r="T33" s="4" t="s">
        <v>46</v>
      </c>
      <c r="U33" s="4" t="s">
        <v>46</v>
      </c>
      <c r="V33" s="5">
        <v>10</v>
      </c>
      <c r="W33" s="5">
        <v>20.62</v>
      </c>
      <c r="X33" s="5">
        <v>100</v>
      </c>
      <c r="Y33" s="5">
        <v>2.06</v>
      </c>
      <c r="Z33" s="4" t="s">
        <v>46</v>
      </c>
      <c r="AA33" s="5" t="s">
        <v>46</v>
      </c>
      <c r="AB33" s="4" t="s">
        <v>161</v>
      </c>
      <c r="AC33" s="4" t="s">
        <v>46</v>
      </c>
      <c r="AD33" s="5">
        <v>0</v>
      </c>
      <c r="AE33" s="4" t="s">
        <v>162</v>
      </c>
      <c r="AF33" s="3">
        <v>45816</v>
      </c>
      <c r="AG33" s="4" t="s">
        <v>46</v>
      </c>
      <c r="AH33" s="4" t="s">
        <v>46</v>
      </c>
      <c r="AI33" s="4" t="s">
        <v>46</v>
      </c>
      <c r="AJ33" s="4" t="s">
        <v>46</v>
      </c>
      <c r="AK33" s="4" t="s">
        <v>46</v>
      </c>
      <c r="AL33" s="4" t="s">
        <v>46</v>
      </c>
      <c r="AM33" s="4" t="s">
        <v>46</v>
      </c>
      <c r="AN33" s="4" t="s">
        <v>46</v>
      </c>
      <c r="AO33" s="4" t="s">
        <v>46</v>
      </c>
      <c r="AP33" s="4" t="s">
        <v>46</v>
      </c>
    </row>
    <row r="34" spans="1:42" x14ac:dyDescent="0.2">
      <c r="A34" s="2">
        <v>1891456</v>
      </c>
      <c r="B34" s="3">
        <v>45840</v>
      </c>
      <c r="C34" s="4" t="s">
        <v>126</v>
      </c>
      <c r="D34" s="2">
        <v>1831491</v>
      </c>
      <c r="E34" s="4" t="s">
        <v>174</v>
      </c>
      <c r="F34" s="4" t="s">
        <v>175</v>
      </c>
      <c r="G34" s="4" t="s">
        <v>46</v>
      </c>
      <c r="H34" s="4" t="s">
        <v>46</v>
      </c>
      <c r="I34" s="4" t="s">
        <v>46</v>
      </c>
      <c r="J34" s="4" t="s">
        <v>140</v>
      </c>
      <c r="K34" s="4" t="s">
        <v>141</v>
      </c>
      <c r="L34" s="3">
        <v>45839</v>
      </c>
      <c r="M34" s="4" t="s">
        <v>49</v>
      </c>
      <c r="N34" s="4" t="s">
        <v>46</v>
      </c>
      <c r="O34" s="4" t="s">
        <v>50</v>
      </c>
      <c r="P34" s="4" t="s">
        <v>104</v>
      </c>
      <c r="Q34" s="2">
        <v>1</v>
      </c>
      <c r="R34" s="2">
        <v>60</v>
      </c>
      <c r="S34" s="4" t="s">
        <v>160</v>
      </c>
      <c r="T34" s="4" t="s">
        <v>46</v>
      </c>
      <c r="U34" s="4" t="s">
        <v>46</v>
      </c>
      <c r="V34" s="5">
        <v>10</v>
      </c>
      <c r="W34" s="5">
        <v>10.69</v>
      </c>
      <c r="X34" s="5">
        <v>100</v>
      </c>
      <c r="Y34" s="5">
        <v>1.07</v>
      </c>
      <c r="Z34" s="4" t="s">
        <v>46</v>
      </c>
      <c r="AA34" s="5" t="s">
        <v>46</v>
      </c>
      <c r="AB34" s="4" t="s">
        <v>161</v>
      </c>
      <c r="AC34" s="4" t="s">
        <v>46</v>
      </c>
      <c r="AD34" s="5">
        <v>0</v>
      </c>
      <c r="AE34" s="4" t="s">
        <v>162</v>
      </c>
      <c r="AF34" s="3">
        <v>45816</v>
      </c>
      <c r="AG34" s="4" t="s">
        <v>46</v>
      </c>
      <c r="AH34" s="4" t="s">
        <v>46</v>
      </c>
      <c r="AI34" s="4" t="s">
        <v>46</v>
      </c>
      <c r="AJ34" s="4" t="s">
        <v>46</v>
      </c>
      <c r="AK34" s="4" t="s">
        <v>46</v>
      </c>
      <c r="AL34" s="4" t="s">
        <v>46</v>
      </c>
      <c r="AM34" s="4" t="s">
        <v>46</v>
      </c>
      <c r="AN34" s="4" t="s">
        <v>46</v>
      </c>
      <c r="AO34" s="4" t="s">
        <v>46</v>
      </c>
      <c r="AP34" s="4" t="s">
        <v>46</v>
      </c>
    </row>
    <row r="35" spans="1:42" x14ac:dyDescent="0.2">
      <c r="A35" s="2">
        <v>1891456</v>
      </c>
      <c r="B35" s="3">
        <v>45840</v>
      </c>
      <c r="C35" s="4" t="s">
        <v>126</v>
      </c>
      <c r="D35" s="2">
        <v>1831491</v>
      </c>
      <c r="E35" s="4" t="s">
        <v>176</v>
      </c>
      <c r="F35" s="4" t="s">
        <v>177</v>
      </c>
      <c r="G35" s="4" t="s">
        <v>46</v>
      </c>
      <c r="H35" s="4" t="s">
        <v>46</v>
      </c>
      <c r="I35" s="4" t="s">
        <v>46</v>
      </c>
      <c r="J35" s="4" t="s">
        <v>140</v>
      </c>
      <c r="K35" s="4" t="s">
        <v>141</v>
      </c>
      <c r="L35" s="3">
        <v>45870</v>
      </c>
      <c r="M35" s="4" t="s">
        <v>137</v>
      </c>
      <c r="N35" s="4" t="s">
        <v>46</v>
      </c>
      <c r="O35" s="4" t="s">
        <v>50</v>
      </c>
      <c r="P35" s="4" t="s">
        <v>104</v>
      </c>
      <c r="Q35" s="2">
        <v>1</v>
      </c>
      <c r="R35" s="2">
        <v>60</v>
      </c>
      <c r="S35" s="4" t="s">
        <v>160</v>
      </c>
      <c r="T35" s="4" t="s">
        <v>46</v>
      </c>
      <c r="U35" s="4" t="s">
        <v>46</v>
      </c>
      <c r="V35" s="5">
        <v>10</v>
      </c>
      <c r="W35" s="5">
        <v>14.93</v>
      </c>
      <c r="X35" s="5">
        <v>100</v>
      </c>
      <c r="Y35" s="5">
        <v>36.49</v>
      </c>
      <c r="Z35" s="4" t="s">
        <v>46</v>
      </c>
      <c r="AA35" s="5" t="s">
        <v>46</v>
      </c>
      <c r="AB35" s="4" t="s">
        <v>161</v>
      </c>
      <c r="AC35" s="4" t="s">
        <v>46</v>
      </c>
      <c r="AD35" s="5">
        <v>0</v>
      </c>
      <c r="AE35" s="4" t="s">
        <v>162</v>
      </c>
      <c r="AF35" s="3">
        <v>45870</v>
      </c>
      <c r="AG35" s="4" t="s">
        <v>46</v>
      </c>
      <c r="AH35" s="4" t="s">
        <v>46</v>
      </c>
      <c r="AI35" s="4" t="s">
        <v>46</v>
      </c>
      <c r="AJ35" s="4" t="s">
        <v>46</v>
      </c>
      <c r="AK35" s="4" t="s">
        <v>46</v>
      </c>
      <c r="AL35" s="4" t="s">
        <v>46</v>
      </c>
      <c r="AM35" s="4" t="s">
        <v>46</v>
      </c>
      <c r="AN35" s="4" t="s">
        <v>46</v>
      </c>
      <c r="AO35" s="4" t="s">
        <v>46</v>
      </c>
      <c r="AP35" s="4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69EDF-0AA5-4C9E-91A2-D1F33F57C58A}">
  <dimension ref="A1:AQ75"/>
  <sheetViews>
    <sheetView tabSelected="1" topLeftCell="F1" workbookViewId="0">
      <selection activeCell="P2" sqref="P2:P35"/>
    </sheetView>
  </sheetViews>
  <sheetFormatPr defaultRowHeight="12.75" x14ac:dyDescent="0.2"/>
  <cols>
    <col min="1" max="1" width="24.7109375" bestFit="1" customWidth="1"/>
    <col min="2" max="2" width="12.85546875" customWidth="1"/>
    <col min="3" max="3" width="28.5703125" bestFit="1" customWidth="1"/>
    <col min="4" max="4" width="13.28515625" bestFit="1" customWidth="1"/>
    <col min="5" max="5" width="14.42578125" bestFit="1" customWidth="1"/>
    <col min="6" max="7" width="11.42578125" bestFit="1" customWidth="1"/>
    <col min="8" max="9" width="15.28515625" bestFit="1" customWidth="1"/>
    <col min="10" max="10" width="13.7109375" bestFit="1" customWidth="1"/>
    <col min="11" max="11" width="9.5703125" bestFit="1" customWidth="1"/>
    <col min="12" max="12" width="15.28515625" bestFit="1" customWidth="1"/>
    <col min="13" max="13" width="30.28515625" customWidth="1"/>
    <col min="14" max="14" width="13.7109375" bestFit="1" customWidth="1"/>
    <col min="15" max="15" width="52.42578125" bestFit="1" customWidth="1"/>
  </cols>
  <sheetData>
    <row r="1" spans="1:43" x14ac:dyDescent="0.2">
      <c r="A1" s="1" t="s">
        <v>2</v>
      </c>
      <c r="B1" s="1" t="s">
        <v>3</v>
      </c>
      <c r="C1" s="1" t="s">
        <v>4</v>
      </c>
      <c r="D1" s="1" t="s">
        <v>5</v>
      </c>
      <c r="E1" s="1"/>
      <c r="F1" s="1" t="s">
        <v>11</v>
      </c>
      <c r="G1" s="1" t="s">
        <v>12</v>
      </c>
      <c r="H1" s="1" t="s">
        <v>18</v>
      </c>
      <c r="I1" s="1" t="s">
        <v>19</v>
      </c>
      <c r="J1" s="1" t="s">
        <v>21</v>
      </c>
      <c r="K1" s="1" t="s">
        <v>22</v>
      </c>
      <c r="L1" s="1" t="s">
        <v>24</v>
      </c>
      <c r="M1" s="1" t="s">
        <v>27</v>
      </c>
      <c r="N1" s="1" t="s">
        <v>31</v>
      </c>
    </row>
    <row r="2" spans="1:43" x14ac:dyDescent="0.2">
      <c r="A2" s="4" t="s">
        <v>100</v>
      </c>
      <c r="B2" s="2">
        <v>18794740</v>
      </c>
      <c r="C2" s="23" t="s">
        <v>271</v>
      </c>
      <c r="D2" s="4" t="s">
        <v>102</v>
      </c>
      <c r="E2" t="str">
        <f>CONCATENATE(D2,6)</f>
        <v>00021184685K6</v>
      </c>
      <c r="F2" s="3">
        <v>45839</v>
      </c>
      <c r="G2" s="4" t="s">
        <v>49</v>
      </c>
      <c r="H2" s="4" t="s">
        <v>51</v>
      </c>
      <c r="I2" s="4" t="s">
        <v>105</v>
      </c>
      <c r="J2" s="5">
        <v>1</v>
      </c>
      <c r="K2" s="5">
        <v>1</v>
      </c>
      <c r="L2" s="5">
        <v>29.41</v>
      </c>
      <c r="M2" s="4" t="s">
        <v>106</v>
      </c>
      <c r="N2" s="3">
        <v>45292</v>
      </c>
      <c r="O2" t="s">
        <v>186</v>
      </c>
      <c r="P2" s="6" t="s">
        <v>187</v>
      </c>
      <c r="S2">
        <f>353/12</f>
        <v>29.416666666666668</v>
      </c>
    </row>
    <row r="3" spans="1:43" x14ac:dyDescent="0.2">
      <c r="A3" s="16" t="s">
        <v>153</v>
      </c>
      <c r="B3" s="27">
        <v>17528908</v>
      </c>
      <c r="C3" s="26" t="s">
        <v>282</v>
      </c>
      <c r="D3" s="21" t="s">
        <v>155</v>
      </c>
      <c r="E3" t="str">
        <f>CONCATENATE(D3,8)</f>
        <v>00000801899A8</v>
      </c>
      <c r="F3" s="18">
        <v>45809</v>
      </c>
      <c r="G3" s="16" t="s">
        <v>156</v>
      </c>
      <c r="H3" s="16" t="s">
        <v>51</v>
      </c>
      <c r="I3" s="16" t="s">
        <v>46</v>
      </c>
      <c r="J3" s="19">
        <v>0</v>
      </c>
      <c r="K3" s="19">
        <v>-146.72999999999999</v>
      </c>
      <c r="L3" s="19">
        <v>-4.17</v>
      </c>
      <c r="M3" s="16" t="s">
        <v>151</v>
      </c>
      <c r="N3" s="18">
        <v>45261</v>
      </c>
      <c r="O3" s="20" t="s">
        <v>182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</row>
    <row r="4" spans="1:43" x14ac:dyDescent="0.2">
      <c r="A4" s="16" t="s">
        <v>153</v>
      </c>
      <c r="B4" s="27">
        <v>17528908</v>
      </c>
      <c r="C4" s="26" t="s">
        <v>282</v>
      </c>
      <c r="D4" s="16" t="s">
        <v>155</v>
      </c>
      <c r="E4" t="str">
        <f>CONCATENATE(D4,8)</f>
        <v>00000801899A8</v>
      </c>
      <c r="F4" s="18">
        <v>45778</v>
      </c>
      <c r="G4" s="16" t="s">
        <v>157</v>
      </c>
      <c r="H4" s="16" t="s">
        <v>51</v>
      </c>
      <c r="I4" s="16" t="s">
        <v>46</v>
      </c>
      <c r="J4" s="19">
        <v>0</v>
      </c>
      <c r="K4" s="19">
        <v>-146.72999999999999</v>
      </c>
      <c r="L4" s="19">
        <v>-4.17</v>
      </c>
      <c r="M4" s="16" t="s">
        <v>151</v>
      </c>
      <c r="N4" s="18">
        <v>45261</v>
      </c>
      <c r="O4" s="20" t="s">
        <v>182</v>
      </c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</row>
    <row r="5" spans="1:43" x14ac:dyDescent="0.2">
      <c r="A5" s="16" t="s">
        <v>147</v>
      </c>
      <c r="B5" s="17">
        <v>15278437</v>
      </c>
      <c r="C5" s="26" t="s">
        <v>281</v>
      </c>
      <c r="D5" s="16" t="s">
        <v>149</v>
      </c>
      <c r="E5" t="str">
        <f>CONCATENATE(D5,8)</f>
        <v>00000808018A8</v>
      </c>
      <c r="F5" s="18">
        <v>45839</v>
      </c>
      <c r="G5" s="16" t="s">
        <v>49</v>
      </c>
      <c r="H5" s="16" t="s">
        <v>51</v>
      </c>
      <c r="I5" s="16" t="s">
        <v>46</v>
      </c>
      <c r="J5" s="19">
        <v>26</v>
      </c>
      <c r="K5" s="19">
        <v>84.94</v>
      </c>
      <c r="L5" s="19">
        <v>22.08</v>
      </c>
      <c r="M5" s="16" t="s">
        <v>151</v>
      </c>
      <c r="N5" s="18">
        <v>45323</v>
      </c>
      <c r="O5" s="20" t="s">
        <v>181</v>
      </c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</row>
    <row r="6" spans="1:43" x14ac:dyDescent="0.2">
      <c r="A6" s="12" t="s">
        <v>126</v>
      </c>
      <c r="B6" s="2">
        <v>18828278</v>
      </c>
      <c r="C6" s="25" t="s">
        <v>284</v>
      </c>
      <c r="D6" s="22">
        <v>9030544330</v>
      </c>
      <c r="E6" t="str">
        <f>CONCATENATE(D6,4)</f>
        <v>90305443304</v>
      </c>
      <c r="F6" s="13">
        <v>45839</v>
      </c>
      <c r="G6" s="12" t="s">
        <v>49</v>
      </c>
      <c r="H6" s="12" t="s">
        <v>160</v>
      </c>
      <c r="I6" s="12" t="s">
        <v>46</v>
      </c>
      <c r="J6" s="14">
        <v>10</v>
      </c>
      <c r="K6" s="14">
        <v>26.88</v>
      </c>
      <c r="L6" s="14">
        <v>2.69</v>
      </c>
      <c r="M6" s="12" t="s">
        <v>161</v>
      </c>
      <c r="N6" s="13">
        <v>45808</v>
      </c>
      <c r="O6" s="15" t="s">
        <v>180</v>
      </c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</row>
    <row r="7" spans="1:43" x14ac:dyDescent="0.2">
      <c r="A7" s="12" t="s">
        <v>126</v>
      </c>
      <c r="B7" s="2">
        <v>18828278</v>
      </c>
      <c r="C7" s="25" t="s">
        <v>284</v>
      </c>
      <c r="D7" s="22">
        <v>9030544350</v>
      </c>
      <c r="E7" t="str">
        <f>CONCATENATE(D7,4)</f>
        <v>90305443504</v>
      </c>
      <c r="F7" s="13">
        <v>45839</v>
      </c>
      <c r="G7" s="12" t="s">
        <v>49</v>
      </c>
      <c r="H7" s="12" t="s">
        <v>160</v>
      </c>
      <c r="I7" s="12" t="s">
        <v>46</v>
      </c>
      <c r="J7" s="14">
        <v>10</v>
      </c>
      <c r="K7" s="14">
        <v>26.88</v>
      </c>
      <c r="L7" s="14">
        <v>2.69</v>
      </c>
      <c r="M7" s="12" t="s">
        <v>161</v>
      </c>
      <c r="N7" s="13">
        <v>45808</v>
      </c>
      <c r="O7" s="15" t="s">
        <v>180</v>
      </c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</row>
    <row r="8" spans="1:43" x14ac:dyDescent="0.2">
      <c r="A8" s="12" t="s">
        <v>126</v>
      </c>
      <c r="B8" s="2">
        <v>18828278</v>
      </c>
      <c r="C8" s="25" t="s">
        <v>285</v>
      </c>
      <c r="D8" s="22">
        <v>9030558330</v>
      </c>
      <c r="E8" t="str">
        <f>CONCATENATE(D8,4)</f>
        <v>90305583304</v>
      </c>
      <c r="F8" s="13">
        <v>45839</v>
      </c>
      <c r="G8" s="12" t="s">
        <v>49</v>
      </c>
      <c r="H8" s="12" t="s">
        <v>160</v>
      </c>
      <c r="I8" s="12" t="s">
        <v>46</v>
      </c>
      <c r="J8" s="14">
        <v>10</v>
      </c>
      <c r="K8" s="14">
        <v>26.88</v>
      </c>
      <c r="L8" s="14">
        <v>2.69</v>
      </c>
      <c r="M8" s="12" t="s">
        <v>161</v>
      </c>
      <c r="N8" s="13">
        <v>45808</v>
      </c>
      <c r="O8" s="15" t="s">
        <v>180</v>
      </c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</row>
    <row r="9" spans="1:43" x14ac:dyDescent="0.2">
      <c r="A9" s="12" t="s">
        <v>126</v>
      </c>
      <c r="B9" s="2">
        <v>18828278</v>
      </c>
      <c r="C9" s="25" t="s">
        <v>286</v>
      </c>
      <c r="D9" s="22">
        <v>9030572460</v>
      </c>
      <c r="E9" t="str">
        <f>CONCATENATE(D9,4)</f>
        <v>90305724604</v>
      </c>
      <c r="F9" s="13">
        <v>45839</v>
      </c>
      <c r="G9" s="12" t="s">
        <v>49</v>
      </c>
      <c r="H9" s="12" t="s">
        <v>160</v>
      </c>
      <c r="I9" s="12" t="s">
        <v>46</v>
      </c>
      <c r="J9" s="14">
        <v>10</v>
      </c>
      <c r="K9" s="14">
        <v>13.93</v>
      </c>
      <c r="L9" s="14">
        <v>1.39</v>
      </c>
      <c r="M9" s="12" t="s">
        <v>161</v>
      </c>
      <c r="N9" s="13">
        <v>45809</v>
      </c>
      <c r="O9" s="15" t="s">
        <v>180</v>
      </c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</row>
    <row r="10" spans="1:43" x14ac:dyDescent="0.2">
      <c r="A10" s="12" t="s">
        <v>126</v>
      </c>
      <c r="B10" s="2">
        <v>18828278</v>
      </c>
      <c r="C10" s="25" t="s">
        <v>287</v>
      </c>
      <c r="D10" s="22">
        <v>9030577770</v>
      </c>
      <c r="E10" t="str">
        <f>CONCATENATE(D10,4)</f>
        <v>90305777704</v>
      </c>
      <c r="F10" s="13">
        <v>45839</v>
      </c>
      <c r="G10" s="12" t="s">
        <v>49</v>
      </c>
      <c r="H10" s="12" t="s">
        <v>160</v>
      </c>
      <c r="I10" s="12" t="s">
        <v>46</v>
      </c>
      <c r="J10" s="14">
        <v>10</v>
      </c>
      <c r="K10" s="14">
        <v>46.8</v>
      </c>
      <c r="L10" s="14">
        <v>4.68</v>
      </c>
      <c r="M10" s="12" t="s">
        <v>161</v>
      </c>
      <c r="N10" s="13">
        <v>45809</v>
      </c>
      <c r="O10" s="15" t="s">
        <v>180</v>
      </c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</row>
    <row r="11" spans="1:43" x14ac:dyDescent="0.2">
      <c r="A11" s="12" t="s">
        <v>126</v>
      </c>
      <c r="B11" s="2">
        <v>18828278</v>
      </c>
      <c r="C11" s="25" t="s">
        <v>288</v>
      </c>
      <c r="D11" s="22">
        <v>9030645140</v>
      </c>
      <c r="E11" t="str">
        <f>CONCATENATE(D11,4)</f>
        <v>90306451404</v>
      </c>
      <c r="F11" s="13">
        <v>45839</v>
      </c>
      <c r="G11" s="12" t="s">
        <v>49</v>
      </c>
      <c r="H11" s="12" t="s">
        <v>160</v>
      </c>
      <c r="I11" s="12" t="s">
        <v>46</v>
      </c>
      <c r="J11" s="14">
        <v>10</v>
      </c>
      <c r="K11" s="14">
        <v>20.62</v>
      </c>
      <c r="L11" s="14">
        <v>2.06</v>
      </c>
      <c r="M11" s="12" t="s">
        <v>161</v>
      </c>
      <c r="N11" s="13">
        <v>45816</v>
      </c>
      <c r="O11" s="15" t="s">
        <v>180</v>
      </c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</row>
    <row r="12" spans="1:43" x14ac:dyDescent="0.2">
      <c r="A12" s="12" t="s">
        <v>126</v>
      </c>
      <c r="B12" s="2">
        <v>18828278</v>
      </c>
      <c r="C12" s="25" t="s">
        <v>289</v>
      </c>
      <c r="D12" s="22">
        <v>9030645560</v>
      </c>
      <c r="E12" t="str">
        <f>CONCATENATE(D12,4)</f>
        <v>90306455604</v>
      </c>
      <c r="F12" s="13">
        <v>45839</v>
      </c>
      <c r="G12" s="12" t="s">
        <v>49</v>
      </c>
      <c r="H12" s="12" t="s">
        <v>160</v>
      </c>
      <c r="I12" s="12" t="s">
        <v>46</v>
      </c>
      <c r="J12" s="14">
        <v>10</v>
      </c>
      <c r="K12" s="14">
        <v>10.69</v>
      </c>
      <c r="L12" s="14">
        <v>1.07</v>
      </c>
      <c r="M12" s="12" t="s">
        <v>161</v>
      </c>
      <c r="N12" s="13">
        <v>45816</v>
      </c>
      <c r="O12" s="15" t="s">
        <v>180</v>
      </c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</row>
    <row r="13" spans="1:43" x14ac:dyDescent="0.2">
      <c r="A13" s="12" t="s">
        <v>126</v>
      </c>
      <c r="B13" s="2">
        <v>18828278</v>
      </c>
      <c r="C13" s="25" t="s">
        <v>290</v>
      </c>
      <c r="D13" s="22">
        <v>9030782820</v>
      </c>
      <c r="E13" t="str">
        <f>CONCATENATE(D13,4)</f>
        <v>90307828204</v>
      </c>
      <c r="F13" s="13">
        <v>45870</v>
      </c>
      <c r="G13" s="12" t="s">
        <v>137</v>
      </c>
      <c r="H13" s="12" t="s">
        <v>160</v>
      </c>
      <c r="I13" s="12" t="s">
        <v>46</v>
      </c>
      <c r="J13" s="14">
        <v>10</v>
      </c>
      <c r="K13" s="14">
        <v>364.9</v>
      </c>
      <c r="L13" s="14">
        <v>36.49</v>
      </c>
      <c r="M13" s="12" t="s">
        <v>161</v>
      </c>
      <c r="N13" s="13">
        <v>45870</v>
      </c>
      <c r="O13" s="15" t="s">
        <v>180</v>
      </c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</row>
    <row r="14" spans="1:43" x14ac:dyDescent="0.2">
      <c r="A14" s="12" t="s">
        <v>59</v>
      </c>
      <c r="B14" s="2">
        <v>7146581</v>
      </c>
      <c r="C14" s="25" t="s">
        <v>279</v>
      </c>
      <c r="D14" s="22">
        <v>3245007030</v>
      </c>
      <c r="E14" t="str">
        <f>CONCATENATE(D14,4)</f>
        <v>32450070304</v>
      </c>
      <c r="F14" s="13">
        <v>45839</v>
      </c>
      <c r="G14" s="12" t="s">
        <v>49</v>
      </c>
      <c r="H14" s="12" t="s">
        <v>142</v>
      </c>
      <c r="I14" s="12" t="s">
        <v>46</v>
      </c>
      <c r="J14" s="14">
        <v>10</v>
      </c>
      <c r="K14" s="14">
        <v>13.93</v>
      </c>
      <c r="L14" s="14">
        <v>1.39</v>
      </c>
      <c r="M14" s="12" t="s">
        <v>143</v>
      </c>
      <c r="N14" s="13">
        <v>43709</v>
      </c>
      <c r="O14" s="15" t="s">
        <v>180</v>
      </c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</row>
    <row r="15" spans="1:43" s="11" customFormat="1" x14ac:dyDescent="0.2">
      <c r="A15" s="12" t="s">
        <v>59</v>
      </c>
      <c r="B15" s="2">
        <v>7146581</v>
      </c>
      <c r="C15" s="25" t="s">
        <v>280</v>
      </c>
      <c r="D15" s="22">
        <v>9025228750</v>
      </c>
      <c r="E15" t="str">
        <f>CONCATENATE(D15,4)</f>
        <v>90252287504</v>
      </c>
      <c r="F15" s="13">
        <v>45839</v>
      </c>
      <c r="G15" s="12" t="s">
        <v>49</v>
      </c>
      <c r="H15" s="12" t="s">
        <v>142</v>
      </c>
      <c r="I15" s="12" t="s">
        <v>46</v>
      </c>
      <c r="J15" s="14">
        <v>10</v>
      </c>
      <c r="K15" s="14">
        <v>52.78</v>
      </c>
      <c r="L15" s="14">
        <v>5.28</v>
      </c>
      <c r="M15" s="12" t="s">
        <v>143</v>
      </c>
      <c r="N15" s="13">
        <v>44586</v>
      </c>
      <c r="O15" s="15" t="s">
        <v>180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</row>
    <row r="16" spans="1:43" x14ac:dyDescent="0.2">
      <c r="A16" s="12" t="s">
        <v>153</v>
      </c>
      <c r="B16" s="27" t="s">
        <v>291</v>
      </c>
      <c r="C16" s="25" t="s">
        <v>283</v>
      </c>
      <c r="D16" s="22">
        <v>9030755680</v>
      </c>
      <c r="E16" t="str">
        <f>CONCATENATE(D16,4)</f>
        <v>90307556804</v>
      </c>
      <c r="F16" s="13">
        <v>45839</v>
      </c>
      <c r="G16" s="12" t="s">
        <v>49</v>
      </c>
      <c r="H16" s="12" t="s">
        <v>160</v>
      </c>
      <c r="I16" s="12" t="s">
        <v>46</v>
      </c>
      <c r="J16" s="14">
        <v>10</v>
      </c>
      <c r="K16" s="14">
        <v>363</v>
      </c>
      <c r="L16" s="14">
        <v>36.299999999999997</v>
      </c>
      <c r="M16" s="12" t="s">
        <v>161</v>
      </c>
      <c r="N16" s="13">
        <v>45839</v>
      </c>
      <c r="O16" s="15" t="s">
        <v>180</v>
      </c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</row>
    <row r="17" spans="1:43" x14ac:dyDescent="0.2">
      <c r="A17" s="4" t="s">
        <v>115</v>
      </c>
      <c r="B17" s="2">
        <v>19396223</v>
      </c>
      <c r="C17" s="23" t="s">
        <v>273</v>
      </c>
      <c r="D17" s="4" t="s">
        <v>117</v>
      </c>
      <c r="E17" t="str">
        <f>CONCATENATE(D17,6)</f>
        <v>00023449616K6</v>
      </c>
      <c r="F17" s="3">
        <v>45839</v>
      </c>
      <c r="G17" s="4" t="s">
        <v>49</v>
      </c>
      <c r="H17" s="4" t="s">
        <v>51</v>
      </c>
      <c r="I17" s="4" t="s">
        <v>52</v>
      </c>
      <c r="J17" s="5">
        <v>0.5</v>
      </c>
      <c r="K17" s="5">
        <v>1</v>
      </c>
      <c r="L17" s="5">
        <v>156.5</v>
      </c>
      <c r="M17" s="4" t="s">
        <v>53</v>
      </c>
      <c r="N17" s="3">
        <v>45839</v>
      </c>
      <c r="O17" t="s">
        <v>179</v>
      </c>
      <c r="P17" t="s">
        <v>183</v>
      </c>
    </row>
    <row r="18" spans="1:43" x14ac:dyDescent="0.2">
      <c r="A18" s="4" t="s">
        <v>42</v>
      </c>
      <c r="B18" s="2">
        <v>3475518</v>
      </c>
      <c r="C18" s="23" t="s">
        <v>259</v>
      </c>
      <c r="D18" s="4" t="s">
        <v>44</v>
      </c>
      <c r="E18" t="str">
        <f>CONCATENATE(D18,6)</f>
        <v>00008001943K6</v>
      </c>
      <c r="F18" s="3">
        <v>45839</v>
      </c>
      <c r="G18" s="4" t="s">
        <v>49</v>
      </c>
      <c r="H18" s="4" t="s">
        <v>51</v>
      </c>
      <c r="I18" s="4" t="s">
        <v>52</v>
      </c>
      <c r="J18" s="5">
        <v>0.5</v>
      </c>
      <c r="K18" s="5">
        <v>1</v>
      </c>
      <c r="L18" s="5">
        <v>156.5</v>
      </c>
      <c r="M18" s="4" t="s">
        <v>53</v>
      </c>
      <c r="N18" s="3">
        <v>45839</v>
      </c>
      <c r="O18" t="s">
        <v>179</v>
      </c>
      <c r="P18" t="s">
        <v>183</v>
      </c>
      <c r="S18">
        <f>313/12*6</f>
        <v>156.5</v>
      </c>
    </row>
    <row r="19" spans="1:43" x14ac:dyDescent="0.2">
      <c r="A19" s="4" t="s">
        <v>42</v>
      </c>
      <c r="B19" s="2">
        <v>3475518</v>
      </c>
      <c r="C19" s="23" t="s">
        <v>260</v>
      </c>
      <c r="D19" s="4" t="s">
        <v>57</v>
      </c>
      <c r="E19" t="str">
        <f>CONCATENATE(D19,6)</f>
        <v>00023455114K6</v>
      </c>
      <c r="F19" s="3">
        <v>45839</v>
      </c>
      <c r="G19" s="4" t="s">
        <v>49</v>
      </c>
      <c r="H19" s="4" t="s">
        <v>51</v>
      </c>
      <c r="I19" s="4" t="s">
        <v>52</v>
      </c>
      <c r="J19" s="5">
        <v>0.5</v>
      </c>
      <c r="K19" s="5">
        <v>1</v>
      </c>
      <c r="L19" s="5">
        <v>156.5</v>
      </c>
      <c r="M19" s="4" t="s">
        <v>53</v>
      </c>
      <c r="N19" s="3">
        <v>45839</v>
      </c>
      <c r="O19" t="s">
        <v>179</v>
      </c>
      <c r="P19" t="s">
        <v>183</v>
      </c>
    </row>
    <row r="20" spans="1:43" x14ac:dyDescent="0.2">
      <c r="A20" s="4" t="s">
        <v>126</v>
      </c>
      <c r="B20" s="2">
        <v>18828278</v>
      </c>
      <c r="C20" s="23" t="s">
        <v>276</v>
      </c>
      <c r="D20" s="4" t="s">
        <v>128</v>
      </c>
      <c r="E20" t="str">
        <f>CONCATENATE(D20,6)</f>
        <v>00023452353K6</v>
      </c>
      <c r="F20" s="3">
        <v>45839</v>
      </c>
      <c r="G20" s="4" t="s">
        <v>49</v>
      </c>
      <c r="H20" s="4" t="s">
        <v>51</v>
      </c>
      <c r="I20" s="4" t="s">
        <v>52</v>
      </c>
      <c r="J20" s="5">
        <v>0.5</v>
      </c>
      <c r="K20" s="5">
        <v>1</v>
      </c>
      <c r="L20" s="5">
        <v>156.5</v>
      </c>
      <c r="M20" s="4" t="s">
        <v>53</v>
      </c>
      <c r="N20" s="3">
        <v>45839</v>
      </c>
      <c r="O20" t="s">
        <v>179</v>
      </c>
      <c r="P20" t="s">
        <v>183</v>
      </c>
    </row>
    <row r="21" spans="1:43" x14ac:dyDescent="0.2">
      <c r="A21" s="4" t="s">
        <v>126</v>
      </c>
      <c r="B21" s="2">
        <v>18828278</v>
      </c>
      <c r="C21" s="23" t="s">
        <v>277</v>
      </c>
      <c r="D21" s="4" t="s">
        <v>131</v>
      </c>
      <c r="E21" t="str">
        <f>CONCATENATE(D21,6)</f>
        <v>00023452444K6</v>
      </c>
      <c r="F21" s="3">
        <v>45839</v>
      </c>
      <c r="G21" s="4" t="s">
        <v>49</v>
      </c>
      <c r="H21" s="4" t="s">
        <v>51</v>
      </c>
      <c r="I21" s="4" t="s">
        <v>52</v>
      </c>
      <c r="J21" s="5">
        <v>0.5</v>
      </c>
      <c r="K21" s="5">
        <v>1</v>
      </c>
      <c r="L21" s="5">
        <v>156.5</v>
      </c>
      <c r="M21" s="4" t="s">
        <v>53</v>
      </c>
      <c r="N21" s="3">
        <v>45839</v>
      </c>
      <c r="O21" t="s">
        <v>179</v>
      </c>
      <c r="P21" t="s">
        <v>183</v>
      </c>
    </row>
    <row r="22" spans="1:43" s="15" customFormat="1" x14ac:dyDescent="0.2">
      <c r="A22" s="4" t="s">
        <v>72</v>
      </c>
      <c r="B22" s="2">
        <v>17094718</v>
      </c>
      <c r="C22" s="23" t="s">
        <v>264</v>
      </c>
      <c r="D22" s="4" t="s">
        <v>74</v>
      </c>
      <c r="E22" t="str">
        <f>CONCATENATE(D22,6)</f>
        <v>00008790290K6</v>
      </c>
      <c r="F22" s="3">
        <v>45717</v>
      </c>
      <c r="G22" s="4" t="s">
        <v>76</v>
      </c>
      <c r="H22" s="4" t="s">
        <v>51</v>
      </c>
      <c r="I22" s="4" t="s">
        <v>52</v>
      </c>
      <c r="J22" s="5">
        <v>-0.5</v>
      </c>
      <c r="K22" s="5">
        <v>-1</v>
      </c>
      <c r="L22" s="5">
        <v>-156.5</v>
      </c>
      <c r="M22" s="4" t="s">
        <v>53</v>
      </c>
      <c r="N22" s="3">
        <v>45717</v>
      </c>
      <c r="O22" t="s">
        <v>179</v>
      </c>
      <c r="P22" t="s">
        <v>183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15" customFormat="1" x14ac:dyDescent="0.2">
      <c r="A23" s="4" t="s">
        <v>96</v>
      </c>
      <c r="B23" s="2">
        <v>18581063</v>
      </c>
      <c r="C23" s="23" t="s">
        <v>270</v>
      </c>
      <c r="D23" s="4" t="s">
        <v>98</v>
      </c>
      <c r="E23" t="str">
        <f>CONCATENATE(D23,6)</f>
        <v>00023450701K6</v>
      </c>
      <c r="F23" s="3">
        <v>45839</v>
      </c>
      <c r="G23" s="4" t="s">
        <v>49</v>
      </c>
      <c r="H23" s="4" t="s">
        <v>51</v>
      </c>
      <c r="I23" s="4" t="s">
        <v>70</v>
      </c>
      <c r="J23" s="5">
        <v>0.5</v>
      </c>
      <c r="K23" s="5">
        <v>1</v>
      </c>
      <c r="L23" s="5">
        <v>156.5</v>
      </c>
      <c r="M23" s="4" t="s">
        <v>53</v>
      </c>
      <c r="N23" s="3">
        <v>45839</v>
      </c>
      <c r="O23" t="s">
        <v>179</v>
      </c>
      <c r="P23" t="s">
        <v>183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0" customFormat="1" x14ac:dyDescent="0.2">
      <c r="A24" s="4" t="s">
        <v>59</v>
      </c>
      <c r="B24" s="2">
        <v>7146581</v>
      </c>
      <c r="C24" s="23" t="s">
        <v>261</v>
      </c>
      <c r="D24" s="4" t="s">
        <v>61</v>
      </c>
      <c r="E24" t="str">
        <f>CONCATENATE(D24,6)</f>
        <v>00023451990K6</v>
      </c>
      <c r="F24" s="3">
        <v>45839</v>
      </c>
      <c r="G24" s="4" t="s">
        <v>49</v>
      </c>
      <c r="H24" s="4" t="s">
        <v>51</v>
      </c>
      <c r="I24" s="4" t="s">
        <v>52</v>
      </c>
      <c r="J24" s="5">
        <v>0.5</v>
      </c>
      <c r="K24" s="5">
        <v>1</v>
      </c>
      <c r="L24" s="5">
        <v>156.5</v>
      </c>
      <c r="M24" s="4" t="s">
        <v>53</v>
      </c>
      <c r="N24" s="3">
        <v>45839</v>
      </c>
      <c r="O24" t="s">
        <v>179</v>
      </c>
      <c r="P24" t="s">
        <v>183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0" customFormat="1" x14ac:dyDescent="0.2">
      <c r="A25" s="4" t="s">
        <v>59</v>
      </c>
      <c r="B25" s="2">
        <v>7146581</v>
      </c>
      <c r="C25" s="23" t="s">
        <v>262</v>
      </c>
      <c r="D25" s="4" t="s">
        <v>64</v>
      </c>
      <c r="E25" t="str">
        <f>CONCATENATE(D25,6)</f>
        <v>00023453133K6</v>
      </c>
      <c r="F25" s="3">
        <v>45839</v>
      </c>
      <c r="G25" s="4" t="s">
        <v>49</v>
      </c>
      <c r="H25" s="4" t="s">
        <v>51</v>
      </c>
      <c r="I25" s="4" t="s">
        <v>52</v>
      </c>
      <c r="J25" s="5">
        <v>0.5</v>
      </c>
      <c r="K25" s="5">
        <v>1</v>
      </c>
      <c r="L25" s="5">
        <v>156.5</v>
      </c>
      <c r="M25" s="4" t="s">
        <v>53</v>
      </c>
      <c r="N25" s="3">
        <v>45839</v>
      </c>
      <c r="O25" t="s">
        <v>179</v>
      </c>
      <c r="P25" t="s">
        <v>183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0" customFormat="1" x14ac:dyDescent="0.2">
      <c r="A26" s="4" t="s">
        <v>77</v>
      </c>
      <c r="B26" s="2">
        <v>9213293</v>
      </c>
      <c r="C26" s="23" t="s">
        <v>265</v>
      </c>
      <c r="D26" s="4" t="s">
        <v>79</v>
      </c>
      <c r="E26" t="str">
        <f>CONCATENATE(D26,6)</f>
        <v>00012290150K6</v>
      </c>
      <c r="F26" s="3">
        <v>45658</v>
      </c>
      <c r="G26" s="4" t="s">
        <v>81</v>
      </c>
      <c r="H26" s="4" t="s">
        <v>51</v>
      </c>
      <c r="I26" s="4" t="s">
        <v>52</v>
      </c>
      <c r="J26" s="5">
        <v>0.5</v>
      </c>
      <c r="K26" s="5">
        <v>1</v>
      </c>
      <c r="L26" s="5">
        <v>156.5</v>
      </c>
      <c r="M26" s="4" t="s">
        <v>53</v>
      </c>
      <c r="N26" s="3">
        <v>45658</v>
      </c>
      <c r="O26" t="s">
        <v>179</v>
      </c>
      <c r="P26" t="s">
        <v>183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15" customFormat="1" x14ac:dyDescent="0.2">
      <c r="A27" s="4" t="s">
        <v>77</v>
      </c>
      <c r="B27" s="2">
        <v>9213293</v>
      </c>
      <c r="C27" s="23" t="s">
        <v>266</v>
      </c>
      <c r="D27" s="4" t="s">
        <v>83</v>
      </c>
      <c r="E27" t="str">
        <f>CONCATENATE(D27,6)</f>
        <v>00014552202K6</v>
      </c>
      <c r="F27" s="3">
        <v>45839</v>
      </c>
      <c r="G27" s="4" t="s">
        <v>49</v>
      </c>
      <c r="H27" s="4" t="s">
        <v>51</v>
      </c>
      <c r="I27" s="4" t="s">
        <v>52</v>
      </c>
      <c r="J27" s="5">
        <v>0.5</v>
      </c>
      <c r="K27" s="5">
        <v>1</v>
      </c>
      <c r="L27" s="5">
        <v>156.5</v>
      </c>
      <c r="M27" s="4" t="s">
        <v>53</v>
      </c>
      <c r="N27" s="3">
        <v>45839</v>
      </c>
      <c r="O27" t="s">
        <v>179</v>
      </c>
      <c r="P27" t="s">
        <v>183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15" customFormat="1" x14ac:dyDescent="0.2">
      <c r="A28" s="4" t="s">
        <v>77</v>
      </c>
      <c r="B28" s="2">
        <v>9213293</v>
      </c>
      <c r="C28" s="23" t="s">
        <v>267</v>
      </c>
      <c r="D28" s="4" t="s">
        <v>86</v>
      </c>
      <c r="E28" t="str">
        <f>CONCATENATE(D28,6)</f>
        <v>00015884195K6</v>
      </c>
      <c r="F28" s="3">
        <v>45839</v>
      </c>
      <c r="G28" s="4" t="s">
        <v>49</v>
      </c>
      <c r="H28" s="4" t="s">
        <v>51</v>
      </c>
      <c r="I28" s="4" t="s">
        <v>70</v>
      </c>
      <c r="J28" s="5">
        <v>0.5</v>
      </c>
      <c r="K28" s="5">
        <v>1</v>
      </c>
      <c r="L28" s="5">
        <v>156.5</v>
      </c>
      <c r="M28" s="4" t="s">
        <v>53</v>
      </c>
      <c r="N28" s="3">
        <v>45839</v>
      </c>
      <c r="O28" t="s">
        <v>179</v>
      </c>
      <c r="P28" t="s">
        <v>183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15" customFormat="1" x14ac:dyDescent="0.2">
      <c r="A29" s="4" t="s">
        <v>77</v>
      </c>
      <c r="B29" s="2">
        <v>9213293</v>
      </c>
      <c r="C29" s="23" t="s">
        <v>268</v>
      </c>
      <c r="D29" s="4" t="s">
        <v>90</v>
      </c>
      <c r="E29" t="str">
        <f>CONCATENATE(D29,6)</f>
        <v>00023442523K6</v>
      </c>
      <c r="F29" s="3">
        <v>45839</v>
      </c>
      <c r="G29" s="4" t="s">
        <v>49</v>
      </c>
      <c r="H29" s="4" t="s">
        <v>51</v>
      </c>
      <c r="I29" s="4" t="s">
        <v>52</v>
      </c>
      <c r="J29" s="5">
        <v>0.5</v>
      </c>
      <c r="K29" s="5">
        <v>1</v>
      </c>
      <c r="L29" s="5">
        <v>156.5</v>
      </c>
      <c r="M29" s="4" t="s">
        <v>53</v>
      </c>
      <c r="N29" s="3">
        <v>45839</v>
      </c>
      <c r="O29" t="s">
        <v>179</v>
      </c>
      <c r="P29" t="s">
        <v>183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15" customFormat="1" x14ac:dyDescent="0.2">
      <c r="A30" s="4" t="s">
        <v>77</v>
      </c>
      <c r="B30" s="2">
        <v>9213293</v>
      </c>
      <c r="C30" s="23" t="s">
        <v>269</v>
      </c>
      <c r="D30" s="4" t="s">
        <v>93</v>
      </c>
      <c r="E30" t="str">
        <f>CONCATENATE(D30,6)</f>
        <v>00023446545K6</v>
      </c>
      <c r="F30" s="3">
        <v>45901</v>
      </c>
      <c r="G30" s="4" t="s">
        <v>95</v>
      </c>
      <c r="H30" s="4" t="s">
        <v>51</v>
      </c>
      <c r="I30" s="4" t="s">
        <v>52</v>
      </c>
      <c r="J30" s="5">
        <v>0.33</v>
      </c>
      <c r="K30" s="5">
        <v>1</v>
      </c>
      <c r="L30" s="5">
        <v>104.33</v>
      </c>
      <c r="M30" s="4" t="s">
        <v>53</v>
      </c>
      <c r="N30" s="3">
        <v>45901</v>
      </c>
      <c r="O30" t="s">
        <v>179</v>
      </c>
      <c r="P30" s="6" t="s">
        <v>184</v>
      </c>
      <c r="Q30"/>
      <c r="R30"/>
      <c r="S30">
        <f>313/12*4</f>
        <v>104.33333333333333</v>
      </c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15" customFormat="1" x14ac:dyDescent="0.2">
      <c r="A31" s="4" t="s">
        <v>133</v>
      </c>
      <c r="B31" s="2">
        <v>19645587</v>
      </c>
      <c r="C31" s="23" t="s">
        <v>278</v>
      </c>
      <c r="D31" s="4" t="s">
        <v>135</v>
      </c>
      <c r="E31" t="str">
        <f>CONCATENATE(D31,6)</f>
        <v>00023452819K6</v>
      </c>
      <c r="F31" s="3">
        <v>45870</v>
      </c>
      <c r="G31" s="4" t="s">
        <v>137</v>
      </c>
      <c r="H31" s="4" t="s">
        <v>51</v>
      </c>
      <c r="I31" s="4" t="s">
        <v>52</v>
      </c>
      <c r="J31" s="5">
        <v>0.42</v>
      </c>
      <c r="K31" s="5">
        <v>1</v>
      </c>
      <c r="L31" s="5">
        <v>130.41999999999999</v>
      </c>
      <c r="M31" s="4" t="s">
        <v>53</v>
      </c>
      <c r="N31" s="3">
        <v>45870</v>
      </c>
      <c r="O31" t="s">
        <v>179</v>
      </c>
      <c r="P31" s="6" t="s">
        <v>185</v>
      </c>
      <c r="Q31"/>
      <c r="R31"/>
      <c r="S31">
        <f>313/12*5</f>
        <v>130.41666666666666</v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15" customFormat="1" x14ac:dyDescent="0.2">
      <c r="A32" s="4" t="s">
        <v>119</v>
      </c>
      <c r="B32" s="2">
        <v>19200754</v>
      </c>
      <c r="C32" s="23" t="s">
        <v>274</v>
      </c>
      <c r="D32" s="4" t="s">
        <v>121</v>
      </c>
      <c r="E32" t="str">
        <f>CONCATENATE(D32,6)</f>
        <v>00023419316K6</v>
      </c>
      <c r="F32" s="3">
        <v>45839</v>
      </c>
      <c r="G32" s="4" t="s">
        <v>49</v>
      </c>
      <c r="H32" s="4" t="s">
        <v>51</v>
      </c>
      <c r="I32" s="4" t="s">
        <v>70</v>
      </c>
      <c r="J32" s="5">
        <v>0.5</v>
      </c>
      <c r="K32" s="5">
        <v>1</v>
      </c>
      <c r="L32" s="5">
        <v>156.5</v>
      </c>
      <c r="M32" s="4" t="s">
        <v>53</v>
      </c>
      <c r="N32" s="3">
        <v>45839</v>
      </c>
      <c r="O32" t="s">
        <v>179</v>
      </c>
      <c r="P32" t="s">
        <v>183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15" customFormat="1" x14ac:dyDescent="0.2">
      <c r="A33" s="4" t="s">
        <v>119</v>
      </c>
      <c r="B33" s="2">
        <v>19200754</v>
      </c>
      <c r="C33" s="23" t="s">
        <v>275</v>
      </c>
      <c r="D33" s="4" t="s">
        <v>124</v>
      </c>
      <c r="E33" t="str">
        <f>CONCATENATE(D33,6)</f>
        <v>00023445656K6</v>
      </c>
      <c r="F33" s="3">
        <v>45839</v>
      </c>
      <c r="G33" s="4" t="s">
        <v>49</v>
      </c>
      <c r="H33" s="4" t="s">
        <v>51</v>
      </c>
      <c r="I33" s="4" t="s">
        <v>70</v>
      </c>
      <c r="J33" s="5">
        <v>0.5</v>
      </c>
      <c r="K33" s="5">
        <v>1</v>
      </c>
      <c r="L33" s="5">
        <v>156.5</v>
      </c>
      <c r="M33" s="4" t="s">
        <v>53</v>
      </c>
      <c r="N33" s="3">
        <v>45839</v>
      </c>
      <c r="O33" t="s">
        <v>179</v>
      </c>
      <c r="P33" t="s">
        <v>183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15" customFormat="1" x14ac:dyDescent="0.2">
      <c r="A34" s="4" t="s">
        <v>66</v>
      </c>
      <c r="B34" s="2">
        <v>16633294</v>
      </c>
      <c r="C34" s="23" t="s">
        <v>263</v>
      </c>
      <c r="D34" s="4" t="s">
        <v>68</v>
      </c>
      <c r="E34" t="str">
        <f>CONCATENATE(D34,6)</f>
        <v>00023449614K6</v>
      </c>
      <c r="F34" s="3">
        <v>45839</v>
      </c>
      <c r="G34" s="4" t="s">
        <v>49</v>
      </c>
      <c r="H34" s="4" t="s">
        <v>51</v>
      </c>
      <c r="I34" s="4" t="s">
        <v>70</v>
      </c>
      <c r="J34" s="5">
        <v>0.5</v>
      </c>
      <c r="K34" s="5">
        <v>1</v>
      </c>
      <c r="L34" s="5">
        <v>156.5</v>
      </c>
      <c r="M34" s="4" t="s">
        <v>53</v>
      </c>
      <c r="N34" s="3">
        <v>45839</v>
      </c>
      <c r="O34" t="s">
        <v>179</v>
      </c>
      <c r="P34" t="s">
        <v>183</v>
      </c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15" customFormat="1" x14ac:dyDescent="0.2">
      <c r="A35" s="7" t="s">
        <v>109</v>
      </c>
      <c r="B35" s="8">
        <v>5442438</v>
      </c>
      <c r="C35" s="24" t="s">
        <v>272</v>
      </c>
      <c r="D35" s="7" t="s">
        <v>111</v>
      </c>
      <c r="E35" t="str">
        <f>CONCATENATE(D35,9)</f>
        <v>00023445793K9</v>
      </c>
      <c r="F35" s="9">
        <v>45839</v>
      </c>
      <c r="G35" s="7" t="s">
        <v>49</v>
      </c>
      <c r="H35" s="7" t="s">
        <v>51</v>
      </c>
      <c r="I35" s="7" t="s">
        <v>113</v>
      </c>
      <c r="J35" s="10">
        <v>0.5</v>
      </c>
      <c r="K35" s="10">
        <v>27.5</v>
      </c>
      <c r="L35" s="10">
        <v>27.5</v>
      </c>
      <c r="M35" s="7" t="s">
        <v>53</v>
      </c>
      <c r="N35" s="9">
        <v>45839</v>
      </c>
      <c r="O35" s="11" t="s">
        <v>178</v>
      </c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</row>
    <row r="42" spans="1:43" x14ac:dyDescent="0.2">
      <c r="A42" s="4" t="s">
        <v>44</v>
      </c>
      <c r="B42" t="str">
        <f>CONCATENATE(A42,6)</f>
        <v>00008001943K6</v>
      </c>
      <c r="C42" s="4" t="s">
        <v>188</v>
      </c>
      <c r="D42" t="s">
        <v>189</v>
      </c>
      <c r="E42" t="s">
        <v>190</v>
      </c>
      <c r="F42" t="str">
        <f>CONCATENATE(D42, " ",C42)</f>
        <v>BARBARA FORTINO</v>
      </c>
    </row>
    <row r="43" spans="1:43" x14ac:dyDescent="0.2">
      <c r="A43" s="4" t="s">
        <v>57</v>
      </c>
      <c r="B43" t="str">
        <f t="shared" ref="B43:B54" si="0">CONCATENATE(A43,6)</f>
        <v>00023455114K6</v>
      </c>
      <c r="C43" s="4" t="s">
        <v>191</v>
      </c>
      <c r="D43" t="s">
        <v>192</v>
      </c>
      <c r="E43" t="s">
        <v>193</v>
      </c>
      <c r="F43" t="str">
        <f t="shared" ref="F43:F75" si="1">CONCATENATE(D43, " ",C43)</f>
        <v>JUNE GALASINSKI</v>
      </c>
    </row>
    <row r="44" spans="1:43" x14ac:dyDescent="0.2">
      <c r="A44" s="4" t="s">
        <v>61</v>
      </c>
      <c r="B44" t="str">
        <f t="shared" si="0"/>
        <v>00023451990K6</v>
      </c>
      <c r="C44" s="4" t="s">
        <v>194</v>
      </c>
      <c r="D44" t="s">
        <v>195</v>
      </c>
      <c r="E44" t="s">
        <v>196</v>
      </c>
      <c r="F44" t="str">
        <f t="shared" si="1"/>
        <v>DAVID MICHAELS</v>
      </c>
    </row>
    <row r="45" spans="1:43" x14ac:dyDescent="0.2">
      <c r="A45" s="4" t="s">
        <v>64</v>
      </c>
      <c r="B45" t="str">
        <f t="shared" si="0"/>
        <v>00023453133K6</v>
      </c>
      <c r="C45" s="4" t="s">
        <v>194</v>
      </c>
      <c r="D45" t="s">
        <v>197</v>
      </c>
      <c r="E45" t="s">
        <v>198</v>
      </c>
      <c r="F45" t="str">
        <f t="shared" si="1"/>
        <v>JULI MICHAELS</v>
      </c>
    </row>
    <row r="46" spans="1:43" x14ac:dyDescent="0.2">
      <c r="A46" s="4" t="s">
        <v>68</v>
      </c>
      <c r="B46" t="str">
        <f t="shared" si="0"/>
        <v>00023449614K6</v>
      </c>
      <c r="C46" s="4" t="s">
        <v>199</v>
      </c>
      <c r="D46" t="s">
        <v>200</v>
      </c>
      <c r="E46" t="s">
        <v>196</v>
      </c>
      <c r="F46" t="str">
        <f t="shared" si="1"/>
        <v>TAMMY WILLIAMS</v>
      </c>
    </row>
    <row r="47" spans="1:43" x14ac:dyDescent="0.2">
      <c r="A47" s="4" t="s">
        <v>74</v>
      </c>
      <c r="B47" t="str">
        <f t="shared" si="0"/>
        <v>00008790290K6</v>
      </c>
      <c r="C47" s="4" t="s">
        <v>199</v>
      </c>
      <c r="D47" t="s">
        <v>201</v>
      </c>
      <c r="E47" t="s">
        <v>190</v>
      </c>
      <c r="F47" t="str">
        <f t="shared" si="1"/>
        <v>CONNIE WILLIAMS</v>
      </c>
    </row>
    <row r="48" spans="1:43" x14ac:dyDescent="0.2">
      <c r="A48" s="4" t="s">
        <v>79</v>
      </c>
      <c r="B48" t="str">
        <f t="shared" si="0"/>
        <v>00012290150K6</v>
      </c>
      <c r="C48" s="4" t="s">
        <v>202</v>
      </c>
      <c r="D48" t="s">
        <v>203</v>
      </c>
      <c r="E48" t="s">
        <v>204</v>
      </c>
      <c r="F48" t="str">
        <f t="shared" si="1"/>
        <v>VICKY DOWNS</v>
      </c>
    </row>
    <row r="49" spans="1:6" x14ac:dyDescent="0.2">
      <c r="A49" s="4" t="s">
        <v>83</v>
      </c>
      <c r="B49" t="str">
        <f t="shared" si="0"/>
        <v>00014552202K6</v>
      </c>
      <c r="C49" s="4" t="s">
        <v>205</v>
      </c>
      <c r="D49" t="s">
        <v>206</v>
      </c>
      <c r="E49" t="s">
        <v>207</v>
      </c>
      <c r="F49" t="str">
        <f t="shared" si="1"/>
        <v>NANCY DAVIS</v>
      </c>
    </row>
    <row r="50" spans="1:6" x14ac:dyDescent="0.2">
      <c r="A50" s="4" t="s">
        <v>86</v>
      </c>
      <c r="B50" t="str">
        <f t="shared" si="0"/>
        <v>00015884195K6</v>
      </c>
      <c r="C50" s="4" t="s">
        <v>199</v>
      </c>
      <c r="D50" t="s">
        <v>208</v>
      </c>
      <c r="E50" t="s">
        <v>209</v>
      </c>
      <c r="F50" t="str">
        <f t="shared" si="1"/>
        <v>MAUREEN WILLIAMS</v>
      </c>
    </row>
    <row r="51" spans="1:6" x14ac:dyDescent="0.2">
      <c r="A51" s="4" t="s">
        <v>90</v>
      </c>
      <c r="B51" t="str">
        <f t="shared" si="0"/>
        <v>00023442523K6</v>
      </c>
      <c r="C51" s="4" t="s">
        <v>210</v>
      </c>
      <c r="D51" t="s">
        <v>211</v>
      </c>
      <c r="F51" t="str">
        <f t="shared" si="1"/>
        <v>ZBIGNIEW ANIOL</v>
      </c>
    </row>
    <row r="52" spans="1:6" x14ac:dyDescent="0.2">
      <c r="A52" s="4" t="s">
        <v>93</v>
      </c>
      <c r="B52" t="str">
        <f t="shared" si="0"/>
        <v>00023446545K6</v>
      </c>
      <c r="C52" s="4" t="s">
        <v>157</v>
      </c>
      <c r="D52" t="s">
        <v>212</v>
      </c>
      <c r="E52" t="s">
        <v>213</v>
      </c>
      <c r="F52" t="str">
        <f t="shared" si="1"/>
        <v>THOMAS MAY</v>
      </c>
    </row>
    <row r="53" spans="1:6" x14ac:dyDescent="0.2">
      <c r="A53" s="4" t="s">
        <v>98</v>
      </c>
      <c r="B53" t="str">
        <f t="shared" si="0"/>
        <v>00023450701K6</v>
      </c>
      <c r="C53" s="4" t="s">
        <v>214</v>
      </c>
      <c r="D53" t="s">
        <v>215</v>
      </c>
      <c r="E53" t="s">
        <v>216</v>
      </c>
      <c r="F53" t="str">
        <f t="shared" si="1"/>
        <v>GAIL GRAVES</v>
      </c>
    </row>
    <row r="54" spans="1:6" x14ac:dyDescent="0.2">
      <c r="A54" s="4" t="s">
        <v>102</v>
      </c>
      <c r="B54" t="str">
        <f t="shared" si="0"/>
        <v>00021184685K6</v>
      </c>
      <c r="C54" s="4" t="s">
        <v>217</v>
      </c>
      <c r="D54" t="s">
        <v>218</v>
      </c>
      <c r="E54" t="s">
        <v>209</v>
      </c>
      <c r="F54" t="str">
        <f t="shared" si="1"/>
        <v>JOANNE MILLER</v>
      </c>
    </row>
    <row r="55" spans="1:6" x14ac:dyDescent="0.2">
      <c r="A55" s="7" t="s">
        <v>111</v>
      </c>
      <c r="B55" t="str">
        <f>CONCATENATE(A55,9)</f>
        <v>00023445793K9</v>
      </c>
      <c r="C55" s="7" t="s">
        <v>219</v>
      </c>
      <c r="D55" t="s">
        <v>220</v>
      </c>
      <c r="E55" t="s">
        <v>198</v>
      </c>
      <c r="F55" t="str">
        <f t="shared" si="1"/>
        <v>KATHY METCALF</v>
      </c>
    </row>
    <row r="56" spans="1:6" x14ac:dyDescent="0.2">
      <c r="A56" s="4" t="s">
        <v>117</v>
      </c>
      <c r="B56" t="str">
        <f t="shared" ref="B56:B61" si="2">CONCATENATE(A56,6)</f>
        <v>00023449616K6</v>
      </c>
      <c r="C56" s="4" t="s">
        <v>221</v>
      </c>
      <c r="D56" t="s">
        <v>215</v>
      </c>
      <c r="E56" t="s">
        <v>222</v>
      </c>
      <c r="F56" t="str">
        <f t="shared" si="1"/>
        <v>GAIL RODRIGUEZ</v>
      </c>
    </row>
    <row r="57" spans="1:6" x14ac:dyDescent="0.2">
      <c r="A57" s="4" t="s">
        <v>121</v>
      </c>
      <c r="B57" t="str">
        <f t="shared" si="2"/>
        <v>00023419316K6</v>
      </c>
      <c r="C57" s="4" t="s">
        <v>223</v>
      </c>
      <c r="D57" t="s">
        <v>224</v>
      </c>
      <c r="E57" t="s">
        <v>222</v>
      </c>
      <c r="F57" t="str">
        <f t="shared" si="1"/>
        <v>MARIAVICTORIA DIJAMCO</v>
      </c>
    </row>
    <row r="58" spans="1:6" x14ac:dyDescent="0.2">
      <c r="A58" s="4" t="s">
        <v>124</v>
      </c>
      <c r="B58" t="str">
        <f t="shared" si="2"/>
        <v>00023445656K6</v>
      </c>
      <c r="C58" s="4" t="s">
        <v>225</v>
      </c>
      <c r="D58" t="s">
        <v>226</v>
      </c>
      <c r="E58" t="s">
        <v>227</v>
      </c>
      <c r="F58" t="str">
        <f t="shared" si="1"/>
        <v>ROMINAVICTORIA MARTINEZ</v>
      </c>
    </row>
    <row r="59" spans="1:6" x14ac:dyDescent="0.2">
      <c r="A59" s="4" t="s">
        <v>128</v>
      </c>
      <c r="B59" t="str">
        <f t="shared" si="2"/>
        <v>00023452353K6</v>
      </c>
      <c r="C59" s="4" t="s">
        <v>228</v>
      </c>
      <c r="D59" t="s">
        <v>229</v>
      </c>
      <c r="E59" t="s">
        <v>230</v>
      </c>
      <c r="F59" t="str">
        <f t="shared" si="1"/>
        <v>JIM RAU</v>
      </c>
    </row>
    <row r="60" spans="1:6" x14ac:dyDescent="0.2">
      <c r="A60" s="4" t="s">
        <v>131</v>
      </c>
      <c r="B60" t="str">
        <f t="shared" si="2"/>
        <v>00023452444K6</v>
      </c>
      <c r="C60" s="4" t="s">
        <v>228</v>
      </c>
      <c r="D60" t="s">
        <v>231</v>
      </c>
      <c r="E60" t="s">
        <v>232</v>
      </c>
      <c r="F60" t="str">
        <f t="shared" si="1"/>
        <v>VICKIE RAU</v>
      </c>
    </row>
    <row r="61" spans="1:6" x14ac:dyDescent="0.2">
      <c r="A61" s="4" t="s">
        <v>135</v>
      </c>
      <c r="B61" t="str">
        <f t="shared" si="2"/>
        <v>00023452819K6</v>
      </c>
      <c r="C61" s="4" t="s">
        <v>233</v>
      </c>
      <c r="D61" t="s">
        <v>234</v>
      </c>
      <c r="E61" t="s">
        <v>216</v>
      </c>
      <c r="F61" t="str">
        <f t="shared" si="1"/>
        <v>MARC BYERS</v>
      </c>
    </row>
    <row r="62" spans="1:6" x14ac:dyDescent="0.2">
      <c r="A62" s="22">
        <v>3245007030</v>
      </c>
      <c r="B62" t="str">
        <f>CONCATENATE(A62,4)</f>
        <v>32450070304</v>
      </c>
      <c r="C62" s="12" t="s">
        <v>235</v>
      </c>
      <c r="D62" t="s">
        <v>236</v>
      </c>
      <c r="F62" t="str">
        <f t="shared" si="1"/>
        <v>Allan Moss</v>
      </c>
    </row>
    <row r="63" spans="1:6" x14ac:dyDescent="0.2">
      <c r="A63" s="22">
        <v>9025228750</v>
      </c>
      <c r="B63" t="str">
        <f>CONCATENATE(A63,4)</f>
        <v>90252287504</v>
      </c>
      <c r="C63" s="12" t="s">
        <v>237</v>
      </c>
      <c r="D63" t="s">
        <v>238</v>
      </c>
      <c r="F63" t="str">
        <f t="shared" si="1"/>
        <v>Barbara Hanahan</v>
      </c>
    </row>
    <row r="64" spans="1:6" x14ac:dyDescent="0.2">
      <c r="A64" s="16" t="s">
        <v>149</v>
      </c>
      <c r="B64" t="str">
        <f>CONCATENATE(A64,8)</f>
        <v>00000808018A8</v>
      </c>
      <c r="C64" s="16" t="s">
        <v>239</v>
      </c>
      <c r="D64" t="s">
        <v>240</v>
      </c>
      <c r="E64" t="s">
        <v>232</v>
      </c>
      <c r="F64" t="str">
        <f t="shared" si="1"/>
        <v>NORMA KEPHART</v>
      </c>
    </row>
    <row r="65" spans="1:6" x14ac:dyDescent="0.2">
      <c r="A65" s="21" t="s">
        <v>155</v>
      </c>
      <c r="B65" t="str">
        <f t="shared" ref="B65:B66" si="3">CONCATENATE(A65,8)</f>
        <v>00000801899A8</v>
      </c>
      <c r="C65" s="16" t="s">
        <v>241</v>
      </c>
      <c r="D65" t="s">
        <v>242</v>
      </c>
      <c r="E65" t="s">
        <v>104</v>
      </c>
      <c r="F65" t="str">
        <f t="shared" si="1"/>
        <v>JOHN KELLY</v>
      </c>
    </row>
    <row r="66" spans="1:6" x14ac:dyDescent="0.2">
      <c r="A66" s="16" t="s">
        <v>155</v>
      </c>
      <c r="B66" t="str">
        <f t="shared" si="3"/>
        <v>00000801899A8</v>
      </c>
      <c r="C66" s="16" t="s">
        <v>241</v>
      </c>
      <c r="D66" t="s">
        <v>242</v>
      </c>
      <c r="E66" t="s">
        <v>104</v>
      </c>
      <c r="F66" t="str">
        <f t="shared" si="1"/>
        <v>JOHN KELLY</v>
      </c>
    </row>
    <row r="67" spans="1:6" x14ac:dyDescent="0.2">
      <c r="A67" s="22">
        <v>9030755680</v>
      </c>
      <c r="B67" t="str">
        <f t="shared" ref="B67:B75" si="4">CONCATENATE(A67,4)</f>
        <v>90307556804</v>
      </c>
      <c r="C67" s="12" t="s">
        <v>243</v>
      </c>
      <c r="D67" t="s">
        <v>244</v>
      </c>
      <c r="E67" t="s">
        <v>196</v>
      </c>
      <c r="F67" t="str">
        <f t="shared" si="1"/>
        <v>Carol Ubrey</v>
      </c>
    </row>
    <row r="68" spans="1:6" x14ac:dyDescent="0.2">
      <c r="A68" s="22">
        <v>9030544330</v>
      </c>
      <c r="B68" t="str">
        <f t="shared" si="4"/>
        <v>90305443304</v>
      </c>
      <c r="C68" s="12" t="s">
        <v>245</v>
      </c>
      <c r="D68" t="s">
        <v>246</v>
      </c>
      <c r="F68" t="str">
        <f t="shared" si="1"/>
        <v>Brianna Gambetti</v>
      </c>
    </row>
    <row r="69" spans="1:6" x14ac:dyDescent="0.2">
      <c r="A69" s="22">
        <v>9030544350</v>
      </c>
      <c r="B69" t="str">
        <f t="shared" si="4"/>
        <v>90305443504</v>
      </c>
      <c r="C69" s="12" t="s">
        <v>245</v>
      </c>
      <c r="D69" t="s">
        <v>246</v>
      </c>
      <c r="F69" t="str">
        <f t="shared" si="1"/>
        <v>Brianna Gambetti</v>
      </c>
    </row>
    <row r="70" spans="1:6" x14ac:dyDescent="0.2">
      <c r="A70" s="22">
        <v>9030558330</v>
      </c>
      <c r="B70" t="str">
        <f t="shared" si="4"/>
        <v>90305583304</v>
      </c>
      <c r="C70" s="12" t="s">
        <v>247</v>
      </c>
      <c r="D70" t="s">
        <v>248</v>
      </c>
      <c r="F70" t="str">
        <f t="shared" si="1"/>
        <v>David Taylor</v>
      </c>
    </row>
    <row r="71" spans="1:6" x14ac:dyDescent="0.2">
      <c r="A71" s="22">
        <v>9030572460</v>
      </c>
      <c r="B71" t="str">
        <f t="shared" si="4"/>
        <v>90305724604</v>
      </c>
      <c r="C71" s="12" t="s">
        <v>249</v>
      </c>
      <c r="D71" t="s">
        <v>250</v>
      </c>
      <c r="F71" t="str">
        <f t="shared" si="1"/>
        <v>Robert Shaw</v>
      </c>
    </row>
    <row r="72" spans="1:6" x14ac:dyDescent="0.2">
      <c r="A72" s="22">
        <v>9030577770</v>
      </c>
      <c r="B72" t="str">
        <f t="shared" si="4"/>
        <v>90305777704</v>
      </c>
      <c r="C72" s="12" t="s">
        <v>251</v>
      </c>
      <c r="D72" t="s">
        <v>252</v>
      </c>
      <c r="F72" t="str">
        <f t="shared" si="1"/>
        <v>Eric Sisco</v>
      </c>
    </row>
    <row r="73" spans="1:6" x14ac:dyDescent="0.2">
      <c r="A73" s="22">
        <v>9030645140</v>
      </c>
      <c r="B73" t="str">
        <f t="shared" si="4"/>
        <v>90306451404</v>
      </c>
      <c r="C73" s="12" t="s">
        <v>253</v>
      </c>
      <c r="D73" t="s">
        <v>254</v>
      </c>
      <c r="F73" t="str">
        <f t="shared" si="1"/>
        <v>Ron Ferris</v>
      </c>
    </row>
    <row r="74" spans="1:6" x14ac:dyDescent="0.2">
      <c r="A74" s="22">
        <v>9030645560</v>
      </c>
      <c r="B74" t="str">
        <f t="shared" si="4"/>
        <v>90306455604</v>
      </c>
      <c r="C74" s="12" t="s">
        <v>255</v>
      </c>
      <c r="D74" t="s">
        <v>256</v>
      </c>
      <c r="F74" t="str">
        <f t="shared" si="1"/>
        <v>Victoria Shirkey</v>
      </c>
    </row>
    <row r="75" spans="1:6" x14ac:dyDescent="0.2">
      <c r="A75" s="22">
        <v>9030782820</v>
      </c>
      <c r="B75" t="str">
        <f t="shared" si="4"/>
        <v>90307828204</v>
      </c>
      <c r="C75" s="12" t="s">
        <v>257</v>
      </c>
      <c r="D75" t="s">
        <v>258</v>
      </c>
      <c r="F75" t="str">
        <f t="shared" si="1"/>
        <v>Kenneth Kasprzak</v>
      </c>
    </row>
  </sheetData>
  <sortState xmlns:xlrd2="http://schemas.microsoft.com/office/spreadsheetml/2017/richdata2" ref="A2:AQ35">
    <sortCondition ref="O2:O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CommissionData_1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2025-07-03T12:45:21Z</dcterms:created>
  <dcterms:modified xsi:type="dcterms:W3CDTF">2025-07-03T17:24:03Z</dcterms:modified>
</cp:coreProperties>
</file>