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1-8-25\"/>
    </mc:Choice>
  </mc:AlternateContent>
  <xr:revisionPtr revIDLastSave="0" documentId="13_ncr:1_{A0DE53CA-5514-4A9A-BDFC-38FE7E0128C5}" xr6:coauthVersionLast="47" xr6:coauthVersionMax="47" xr10:uidLastSave="{00000000-0000-0000-0000-000000000000}"/>
  <bookViews>
    <workbookView xWindow="-57720" yWindow="-45" windowWidth="29040" windowHeight="15720" xr2:uid="{2C7F5D34-63CB-4BB9-AC41-8EA5A4FC68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D12" i="1"/>
  <c r="D17" i="1"/>
  <c r="D18" i="1"/>
  <c r="D5" i="1"/>
  <c r="D2" i="1"/>
  <c r="D20" i="1"/>
  <c r="D4" i="1"/>
  <c r="D21" i="1"/>
  <c r="D22" i="1"/>
  <c r="D24" i="1"/>
  <c r="D15" i="1"/>
  <c r="D13" i="1"/>
  <c r="D10" i="1"/>
  <c r="D6" i="1"/>
  <c r="D23" i="1"/>
  <c r="D9" i="1"/>
  <c r="D16" i="1"/>
  <c r="D11" i="1"/>
  <c r="D19" i="1"/>
  <c r="D25" i="1"/>
  <c r="D7" i="1"/>
  <c r="D8" i="1"/>
  <c r="D3" i="1"/>
  <c r="O13" i="1"/>
  <c r="O23" i="1"/>
  <c r="O19" i="1"/>
  <c r="O4" i="1"/>
  <c r="O2" i="1"/>
  <c r="O9" i="1"/>
  <c r="O12" i="1"/>
  <c r="O3" i="1"/>
  <c r="O16" i="1"/>
  <c r="O15" i="1"/>
  <c r="O8" i="1"/>
  <c r="O18" i="1"/>
  <c r="O22" i="1"/>
  <c r="O17" i="1"/>
  <c r="O6" i="1"/>
  <c r="O5" i="1"/>
  <c r="O10" i="1"/>
  <c r="O25" i="1"/>
  <c r="O20" i="1"/>
  <c r="O11" i="1"/>
  <c r="O14" i="1"/>
  <c r="O24" i="1"/>
  <c r="O7" i="1"/>
  <c r="O21" i="1"/>
</calcChain>
</file>

<file path=xl/sharedStrings.xml><?xml version="1.0" encoding="utf-8"?>
<sst xmlns="http://schemas.openxmlformats.org/spreadsheetml/2006/main" count="233" uniqueCount="91">
  <si>
    <t>SPROUSE</t>
  </si>
  <si>
    <t>DONALD</t>
  </si>
  <si>
    <t>Humana 65-80 AL, AZ, AR, GA, etc. All Except N OE &amp; UW</t>
  </si>
  <si>
    <t>Monthly</t>
  </si>
  <si>
    <t>Active</t>
  </si>
  <si>
    <t>17528908SL</t>
  </si>
  <si>
    <t>DEBORAH  INSKIPT</t>
  </si>
  <si>
    <t>ADMIN-IT5474</t>
  </si>
  <si>
    <t>KELLY</t>
  </si>
  <si>
    <t>JOHN</t>
  </si>
  <si>
    <t>TOMA</t>
  </si>
  <si>
    <t>LINDA</t>
  </si>
  <si>
    <t>SGOURAKIS</t>
  </si>
  <si>
    <t>MICHAEL</t>
  </si>
  <si>
    <t>Humana PA STD Core &amp; Value OE and UW U65</t>
  </si>
  <si>
    <t>CRAIG</t>
  </si>
  <si>
    <t>BARNER</t>
  </si>
  <si>
    <t>DENISE</t>
  </si>
  <si>
    <t>HARPER</t>
  </si>
  <si>
    <t>LYNNE</t>
  </si>
  <si>
    <t>DARCY</t>
  </si>
  <si>
    <t>BARBARA</t>
  </si>
  <si>
    <t>REBMANN</t>
  </si>
  <si>
    <t>MAUREEN</t>
  </si>
  <si>
    <t>Humana AL, AZ, AR, GA, etc. Plan N OE &amp; UW</t>
  </si>
  <si>
    <t>EDWARD</t>
  </si>
  <si>
    <t>GILDEN</t>
  </si>
  <si>
    <t>ROBIN</t>
  </si>
  <si>
    <t>SCISCIANI</t>
  </si>
  <si>
    <t>DAVID</t>
  </si>
  <si>
    <t>Humana PDP 2025!</t>
  </si>
  <si>
    <t>SCHUBERT</t>
  </si>
  <si>
    <t>DONALDSON</t>
  </si>
  <si>
    <t>Humana 2025 CT, PA, DC *</t>
  </si>
  <si>
    <t>ACTIVE</t>
  </si>
  <si>
    <t>ADMIN-APL20</t>
  </si>
  <si>
    <t>CULLY</t>
  </si>
  <si>
    <t>DEBRA</t>
  </si>
  <si>
    <t>HINES</t>
  </si>
  <si>
    <t>KATHLEEN</t>
  </si>
  <si>
    <t>Humana MedSupp U65</t>
  </si>
  <si>
    <t>VEZZI</t>
  </si>
  <si>
    <t>MICHELE</t>
  </si>
  <si>
    <t>SLOVICK</t>
  </si>
  <si>
    <t>DENNIS</t>
  </si>
  <si>
    <t>JORDAN</t>
  </si>
  <si>
    <t>PALMER</t>
  </si>
  <si>
    <t>BRIAN</t>
  </si>
  <si>
    <t>ENNIS</t>
  </si>
  <si>
    <t>RICK</t>
  </si>
  <si>
    <t>Policy No</t>
  </si>
  <si>
    <t>Last Name</t>
  </si>
  <si>
    <t>First Name</t>
  </si>
  <si>
    <t>State</t>
  </si>
  <si>
    <t>New Business</t>
  </si>
  <si>
    <t>Last Earned</t>
  </si>
  <si>
    <t>Issue Date</t>
  </si>
  <si>
    <t>Product</t>
  </si>
  <si>
    <t>Pay Mode</t>
  </si>
  <si>
    <t>Status</t>
  </si>
  <si>
    <t>Agent ID</t>
  </si>
  <si>
    <t>Agent Name</t>
  </si>
  <si>
    <t>Premium</t>
  </si>
  <si>
    <t>Options</t>
  </si>
  <si>
    <t>Updated By</t>
  </si>
  <si>
    <t>Time</t>
  </si>
  <si>
    <t>00000754585A</t>
  </si>
  <si>
    <t>00000801899A</t>
  </si>
  <si>
    <t>00000940044A</t>
  </si>
  <si>
    <t>00000761751A</t>
  </si>
  <si>
    <t>00000770425A</t>
  </si>
  <si>
    <t>00000770807A</t>
  </si>
  <si>
    <t>00000776436A</t>
  </si>
  <si>
    <t>00000775340A</t>
  </si>
  <si>
    <t>00000770562A</t>
  </si>
  <si>
    <t>00000784750A</t>
  </si>
  <si>
    <t>00000786056A</t>
  </si>
  <si>
    <t>00000777658A</t>
  </si>
  <si>
    <t>00000790321A</t>
  </si>
  <si>
    <t>00020688709K</t>
  </si>
  <si>
    <t>00000789641A</t>
  </si>
  <si>
    <t>00022519552K</t>
  </si>
  <si>
    <t>00000880717A</t>
  </si>
  <si>
    <t>00000910355A</t>
  </si>
  <si>
    <t>00000903396A</t>
  </si>
  <si>
    <t>00000891422A</t>
  </si>
  <si>
    <t>00000933086A</t>
  </si>
  <si>
    <t>00000880727A</t>
  </si>
  <si>
    <t>00000904366A</t>
  </si>
  <si>
    <t>00000880659A</t>
  </si>
  <si>
    <t>naeme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</si>
</sst>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/>
    <xf numFmtId="14" fontId="0" fillId="0" borderId="0" xfId="0" applyNumberFormat="1" applyFill="1"/>
    <xf numFmtId="8" fontId="0" fillId="0" borderId="0" xfId="0" applyNumberFormat="1" applyFill="1"/>
    <xf numFmtId="22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B495F-E6BD-42A4-B6F4-9896004C231D}">
  <dimension ref="A1:Q25"/>
  <sheetViews>
    <sheetView tabSelected="1" workbookViewId="0">
      <selection activeCell="I13" sqref="I13"/>
    </sheetView>
  </sheetViews>
  <sheetFormatPr defaultRowHeight="15" x14ac:dyDescent="0.25"/>
  <cols>
    <col min="1" max="1" width="14.28515625" style="1" bestFit="1" customWidth="1"/>
    <col min="2" max="2" width="12.28515625" style="1" bestFit="1" customWidth="1"/>
    <col min="3" max="3" width="10.5703125" style="1" bestFit="1" customWidth="1"/>
    <col min="4" max="4" width="19.28515625" style="1" bestFit="1" customWidth="1"/>
    <col min="5" max="5" width="5.28515625" style="1" bestFit="1" customWidth="1"/>
    <col min="6" max="6" width="13.42578125" style="1" bestFit="1" customWidth="1"/>
    <col min="7" max="7" width="11.140625" style="1" bestFit="1" customWidth="1"/>
    <col min="8" max="8" width="10.140625" style="1" bestFit="1" customWidth="1"/>
    <col min="9" max="9" width="50" style="1" bestFit="1" customWidth="1"/>
    <col min="10" max="10" width="9.42578125" style="1" bestFit="1" customWidth="1"/>
    <col min="11" max="11" width="7" style="1" bestFit="1" customWidth="1"/>
    <col min="12" max="12" width="10.85546875" style="1" bestFit="1" customWidth="1"/>
    <col min="13" max="13" width="17.42578125" style="1" bestFit="1" customWidth="1"/>
    <col min="14" max="14" width="9.85546875" style="1" bestFit="1" customWidth="1"/>
    <col min="15" max="15" width="8.28515625" style="1" bestFit="1" customWidth="1"/>
    <col min="16" max="16" width="13.42578125" style="1" bestFit="1" customWidth="1"/>
    <col min="17" max="17" width="14.5703125" style="1" bestFit="1" customWidth="1"/>
    <col min="18" max="16384" width="9.140625" style="1"/>
  </cols>
  <sheetData>
    <row r="1" spans="1:17" x14ac:dyDescent="0.25">
      <c r="A1" s="1" t="s">
        <v>50</v>
      </c>
      <c r="B1" s="1" t="s">
        <v>51</v>
      </c>
      <c r="C1" s="1" t="s">
        <v>52</v>
      </c>
      <c r="D1" s="1" t="s">
        <v>90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</row>
    <row r="2" spans="1:17" x14ac:dyDescent="0.25">
      <c r="A2" s="1" t="s">
        <v>71</v>
      </c>
      <c r="B2" s="1" t="s">
        <v>16</v>
      </c>
      <c r="C2" s="1" t="s">
        <v>17</v>
      </c>
      <c r="D2" s="1" t="str">
        <f>CONCATENATE(B2, " ",C2)</f>
        <v>BARNER DENISE</v>
      </c>
      <c r="F2" s="2">
        <v>45672</v>
      </c>
      <c r="G2" s="2">
        <v>45672</v>
      </c>
      <c r="H2" s="2">
        <v>45292</v>
      </c>
      <c r="I2" s="1" t="s">
        <v>2</v>
      </c>
      <c r="J2" s="1" t="s">
        <v>3</v>
      </c>
      <c r="K2" s="1" t="s">
        <v>4</v>
      </c>
      <c r="L2" s="1" t="s">
        <v>5</v>
      </c>
      <c r="M2" s="1" t="s">
        <v>6</v>
      </c>
      <c r="N2" s="3">
        <v>130.08000000000001</v>
      </c>
      <c r="O2" s="1" t="str">
        <f>CONCATENATE(-N2)</f>
        <v>-130.08</v>
      </c>
      <c r="P2" s="1" t="s">
        <v>7</v>
      </c>
      <c r="Q2" s="4">
        <v>45673.418113425927</v>
      </c>
    </row>
    <row r="3" spans="1:17" x14ac:dyDescent="0.25">
      <c r="A3" s="1" t="s">
        <v>74</v>
      </c>
      <c r="B3" s="1" t="s">
        <v>15</v>
      </c>
      <c r="C3" s="1" t="s">
        <v>21</v>
      </c>
      <c r="D3" s="1" t="str">
        <f>CONCATENATE(B3, " ",C3)</f>
        <v>CRAIG BARBARA</v>
      </c>
      <c r="F3" s="2">
        <v>45672</v>
      </c>
      <c r="G3" s="2">
        <v>45672</v>
      </c>
      <c r="H3" s="2">
        <v>45292</v>
      </c>
      <c r="I3" s="1" t="s">
        <v>2</v>
      </c>
      <c r="J3" s="1" t="s">
        <v>3</v>
      </c>
      <c r="K3" s="1" t="s">
        <v>4</v>
      </c>
      <c r="L3" s="1" t="s">
        <v>5</v>
      </c>
      <c r="M3" s="1" t="s">
        <v>6</v>
      </c>
      <c r="N3" s="3">
        <v>131.96</v>
      </c>
      <c r="O3" s="1" t="str">
        <f>CONCATENATE(-N3)</f>
        <v>-131.96</v>
      </c>
      <c r="P3" s="1" t="s">
        <v>7</v>
      </c>
      <c r="Q3" s="4">
        <v>45673.418113425927</v>
      </c>
    </row>
    <row r="4" spans="1:17" x14ac:dyDescent="0.25">
      <c r="A4" s="1" t="s">
        <v>70</v>
      </c>
      <c r="B4" s="1" t="s">
        <v>15</v>
      </c>
      <c r="C4" s="1" t="s">
        <v>1</v>
      </c>
      <c r="D4" s="1" t="str">
        <f>CONCATENATE(B4, " ",C4)</f>
        <v>CRAIG DONALD</v>
      </c>
      <c r="F4" s="2">
        <v>45672</v>
      </c>
      <c r="G4" s="2">
        <v>45672</v>
      </c>
      <c r="H4" s="2">
        <v>45292</v>
      </c>
      <c r="I4" s="1" t="s">
        <v>2</v>
      </c>
      <c r="J4" s="1" t="s">
        <v>3</v>
      </c>
      <c r="K4" s="1" t="s">
        <v>4</v>
      </c>
      <c r="L4" s="1" t="s">
        <v>5</v>
      </c>
      <c r="M4" s="1" t="s">
        <v>6</v>
      </c>
      <c r="N4" s="3">
        <v>115.3</v>
      </c>
      <c r="O4" s="1" t="str">
        <f>CONCATENATE(-N4)</f>
        <v>-115.3</v>
      </c>
      <c r="P4" s="1" t="s">
        <v>7</v>
      </c>
      <c r="Q4" s="4">
        <v>45673.418113425927</v>
      </c>
    </row>
    <row r="5" spans="1:17" x14ac:dyDescent="0.25">
      <c r="A5" s="1" t="s">
        <v>82</v>
      </c>
      <c r="B5" s="1" t="s">
        <v>36</v>
      </c>
      <c r="C5" s="1" t="s">
        <v>37</v>
      </c>
      <c r="D5" s="1" t="str">
        <f>CONCATENATE(B5, " ",C5)</f>
        <v>CULLY DEBRA</v>
      </c>
      <c r="F5" s="2">
        <v>45672</v>
      </c>
      <c r="G5" s="2">
        <v>45672</v>
      </c>
      <c r="H5" s="2">
        <v>45658</v>
      </c>
      <c r="I5" s="1" t="s">
        <v>2</v>
      </c>
      <c r="J5" s="1" t="s">
        <v>3</v>
      </c>
      <c r="K5" s="1" t="s">
        <v>4</v>
      </c>
      <c r="L5" s="1" t="s">
        <v>5</v>
      </c>
      <c r="M5" s="1" t="s">
        <v>6</v>
      </c>
      <c r="N5" s="3">
        <v>1608.84</v>
      </c>
      <c r="O5" s="1" t="str">
        <f>CONCATENATE(-N5)</f>
        <v>-1608.84</v>
      </c>
      <c r="P5" s="1" t="s">
        <v>7</v>
      </c>
      <c r="Q5" s="4">
        <v>45673.418113425927</v>
      </c>
    </row>
    <row r="6" spans="1:17" x14ac:dyDescent="0.25">
      <c r="A6" s="1" t="s">
        <v>81</v>
      </c>
      <c r="B6" s="1" t="s">
        <v>32</v>
      </c>
      <c r="C6" s="1" t="s">
        <v>11</v>
      </c>
      <c r="D6" s="1" t="str">
        <f>CONCATENATE(B6, " ",C6)</f>
        <v>DONALDSON LINDA</v>
      </c>
      <c r="F6" s="2">
        <v>45672</v>
      </c>
      <c r="G6" s="2">
        <v>45679</v>
      </c>
      <c r="H6" s="2">
        <v>45658</v>
      </c>
      <c r="I6" s="1" t="s">
        <v>33</v>
      </c>
      <c r="J6" s="1" t="s">
        <v>3</v>
      </c>
      <c r="K6" s="1" t="s">
        <v>34</v>
      </c>
      <c r="L6" s="1" t="s">
        <v>5</v>
      </c>
      <c r="M6" s="1" t="s">
        <v>6</v>
      </c>
      <c r="N6" s="3">
        <v>1</v>
      </c>
      <c r="O6" s="1" t="str">
        <f>CONCATENATE(-N6)</f>
        <v>-1</v>
      </c>
      <c r="P6" s="1" t="s">
        <v>35</v>
      </c>
      <c r="Q6" s="4">
        <v>45674.584675925929</v>
      </c>
    </row>
    <row r="7" spans="1:17" x14ac:dyDescent="0.25">
      <c r="A7" s="1" t="s">
        <v>89</v>
      </c>
      <c r="B7" s="1" t="s">
        <v>48</v>
      </c>
      <c r="C7" s="1" t="s">
        <v>49</v>
      </c>
      <c r="D7" s="1" t="str">
        <f>CONCATENATE(B7, " ",C7)</f>
        <v>ENNIS RICK</v>
      </c>
      <c r="F7" s="2">
        <v>45672</v>
      </c>
      <c r="G7" s="2">
        <v>45672</v>
      </c>
      <c r="H7" s="2">
        <v>45658</v>
      </c>
      <c r="I7" s="1" t="s">
        <v>2</v>
      </c>
      <c r="J7" s="1" t="s">
        <v>3</v>
      </c>
      <c r="K7" s="1" t="s">
        <v>4</v>
      </c>
      <c r="L7" s="1" t="s">
        <v>5</v>
      </c>
      <c r="M7" s="1" t="s">
        <v>6</v>
      </c>
      <c r="N7" s="3">
        <v>2197.44</v>
      </c>
      <c r="O7" s="1" t="str">
        <f>CONCATENATE(-N7)</f>
        <v>-2197.44</v>
      </c>
      <c r="P7" s="1" t="s">
        <v>7</v>
      </c>
      <c r="Q7" s="4">
        <v>45673.418124999997</v>
      </c>
    </row>
    <row r="8" spans="1:17" x14ac:dyDescent="0.25">
      <c r="A8" s="1" t="s">
        <v>77</v>
      </c>
      <c r="B8" s="1" t="s">
        <v>26</v>
      </c>
      <c r="C8" s="1" t="s">
        <v>27</v>
      </c>
      <c r="D8" s="1" t="str">
        <f>CONCATENATE(B8, " ",C8)</f>
        <v>GILDEN ROBIN</v>
      </c>
      <c r="F8" s="2">
        <v>45672</v>
      </c>
      <c r="G8" s="2">
        <v>45672</v>
      </c>
      <c r="H8" s="2">
        <v>45292</v>
      </c>
      <c r="I8" s="1" t="s">
        <v>2</v>
      </c>
      <c r="J8" s="1" t="s">
        <v>3</v>
      </c>
      <c r="K8" s="1" t="s">
        <v>4</v>
      </c>
      <c r="L8" s="1" t="s">
        <v>5</v>
      </c>
      <c r="M8" s="1" t="s">
        <v>6</v>
      </c>
      <c r="N8" s="3">
        <v>154.43</v>
      </c>
      <c r="O8" s="1" t="str">
        <f>CONCATENATE(-N8)</f>
        <v>-154.43</v>
      </c>
      <c r="P8" s="1" t="s">
        <v>7</v>
      </c>
      <c r="Q8" s="4">
        <v>45673.418113425927</v>
      </c>
    </row>
    <row r="9" spans="1:17" x14ac:dyDescent="0.25">
      <c r="A9" s="1" t="s">
        <v>72</v>
      </c>
      <c r="B9" s="1" t="s">
        <v>18</v>
      </c>
      <c r="C9" s="1" t="s">
        <v>19</v>
      </c>
      <c r="D9" s="1" t="str">
        <f>CONCATENATE(B9, " ",C9)</f>
        <v>HARPER LYNNE</v>
      </c>
      <c r="F9" s="2">
        <v>45672</v>
      </c>
      <c r="G9" s="2">
        <v>45672</v>
      </c>
      <c r="H9" s="2">
        <v>45261</v>
      </c>
      <c r="I9" s="1" t="s">
        <v>2</v>
      </c>
      <c r="J9" s="1" t="s">
        <v>3</v>
      </c>
      <c r="K9" s="1" t="s">
        <v>4</v>
      </c>
      <c r="L9" s="1" t="s">
        <v>5</v>
      </c>
      <c r="M9" s="1" t="s">
        <v>6</v>
      </c>
      <c r="N9" s="3">
        <v>130.08000000000001</v>
      </c>
      <c r="O9" s="1" t="str">
        <f>CONCATENATE(-N9)</f>
        <v>-130.08</v>
      </c>
      <c r="P9" s="1" t="s">
        <v>7</v>
      </c>
      <c r="Q9" s="4">
        <v>45673.418113425927</v>
      </c>
    </row>
    <row r="10" spans="1:17" x14ac:dyDescent="0.25">
      <c r="A10" s="1" t="s">
        <v>83</v>
      </c>
      <c r="B10" s="1" t="s">
        <v>38</v>
      </c>
      <c r="C10" s="1" t="s">
        <v>39</v>
      </c>
      <c r="D10" s="1" t="str">
        <f>CONCATENATE(B10, " ",C10)</f>
        <v>HINES KATHLEEN</v>
      </c>
      <c r="F10" s="2">
        <v>45672</v>
      </c>
      <c r="G10" s="2">
        <v>45672</v>
      </c>
      <c r="H10" s="2">
        <v>45658</v>
      </c>
      <c r="I10" s="1" t="s">
        <v>40</v>
      </c>
      <c r="J10" s="1" t="s">
        <v>3</v>
      </c>
      <c r="K10" s="1" t="s">
        <v>4</v>
      </c>
      <c r="L10" s="1" t="s">
        <v>5</v>
      </c>
      <c r="M10" s="1" t="s">
        <v>6</v>
      </c>
      <c r="N10" s="3">
        <v>1674.6</v>
      </c>
      <c r="O10" s="1" t="str">
        <f>CONCATENATE(-N10)</f>
        <v>-1674.6</v>
      </c>
      <c r="P10" s="1" t="s">
        <v>7</v>
      </c>
      <c r="Q10" s="4">
        <v>45673.418124999997</v>
      </c>
    </row>
    <row r="11" spans="1:17" x14ac:dyDescent="0.25">
      <c r="A11" s="1" t="s">
        <v>86</v>
      </c>
      <c r="B11" s="1" t="s">
        <v>45</v>
      </c>
      <c r="C11" s="1" t="s">
        <v>13</v>
      </c>
      <c r="D11" s="1" t="str">
        <f>CONCATENATE(B11, " ",C11)</f>
        <v>JORDAN MICHAEL</v>
      </c>
      <c r="F11" s="2">
        <v>45672</v>
      </c>
      <c r="G11" s="2">
        <v>45672</v>
      </c>
      <c r="H11" s="2">
        <v>45658</v>
      </c>
      <c r="I11" s="1" t="s">
        <v>2</v>
      </c>
      <c r="J11" s="1" t="s">
        <v>3</v>
      </c>
      <c r="K11" s="1" t="s">
        <v>4</v>
      </c>
      <c r="L11" s="1" t="s">
        <v>5</v>
      </c>
      <c r="M11" s="1" t="s">
        <v>6</v>
      </c>
      <c r="N11" s="3">
        <v>1889.28</v>
      </c>
      <c r="O11" s="1" t="str">
        <f>CONCATENATE(-N11)</f>
        <v>-1889.28</v>
      </c>
      <c r="P11" s="1" t="s">
        <v>7</v>
      </c>
      <c r="Q11" s="4">
        <v>45673.418113425927</v>
      </c>
    </row>
    <row r="12" spans="1:17" x14ac:dyDescent="0.25">
      <c r="A12" s="1" t="s">
        <v>73</v>
      </c>
      <c r="B12" s="1" t="s">
        <v>8</v>
      </c>
      <c r="C12" s="1" t="s">
        <v>20</v>
      </c>
      <c r="D12" s="1" t="str">
        <f>CONCATENATE(B12, " ",C12)</f>
        <v>KELLY DARCY</v>
      </c>
      <c r="F12" s="2">
        <v>45672</v>
      </c>
      <c r="G12" s="2">
        <v>45672</v>
      </c>
      <c r="H12" s="2">
        <v>45261</v>
      </c>
      <c r="I12" s="1" t="s">
        <v>2</v>
      </c>
      <c r="J12" s="1" t="s">
        <v>3</v>
      </c>
      <c r="K12" s="1" t="s">
        <v>4</v>
      </c>
      <c r="L12" s="1" t="s">
        <v>5</v>
      </c>
      <c r="M12" s="1" t="s">
        <v>6</v>
      </c>
      <c r="N12" s="3">
        <v>130.08000000000001</v>
      </c>
      <c r="O12" s="1" t="str">
        <f>CONCATENATE(-N12)</f>
        <v>-130.08</v>
      </c>
      <c r="P12" s="1" t="s">
        <v>7</v>
      </c>
      <c r="Q12" s="4">
        <v>45673.418113425927</v>
      </c>
    </row>
    <row r="13" spans="1:17" x14ac:dyDescent="0.25">
      <c r="A13" s="1" t="s">
        <v>67</v>
      </c>
      <c r="B13" s="1" t="s">
        <v>8</v>
      </c>
      <c r="C13" s="1" t="s">
        <v>9</v>
      </c>
      <c r="D13" s="1" t="str">
        <f>CONCATENATE(B13, " ",C13)</f>
        <v>KELLY JOHN</v>
      </c>
      <c r="F13" s="2">
        <v>45672</v>
      </c>
      <c r="G13" s="2">
        <v>45672</v>
      </c>
      <c r="H13" s="2">
        <v>45261</v>
      </c>
      <c r="I13" s="1" t="s">
        <v>2</v>
      </c>
      <c r="J13" s="1" t="s">
        <v>3</v>
      </c>
      <c r="K13" s="1" t="s">
        <v>4</v>
      </c>
      <c r="L13" s="1" t="s">
        <v>5</v>
      </c>
      <c r="M13" s="1" t="s">
        <v>6</v>
      </c>
      <c r="N13" s="3">
        <v>146.72999999999999</v>
      </c>
      <c r="O13" s="1" t="str">
        <f>CONCATENATE(-N13)</f>
        <v>-146.73</v>
      </c>
      <c r="P13" s="1" t="s">
        <v>7</v>
      </c>
      <c r="Q13" s="4">
        <v>45673.418113425927</v>
      </c>
    </row>
    <row r="14" spans="1:17" x14ac:dyDescent="0.25">
      <c r="A14" s="1" t="s">
        <v>87</v>
      </c>
      <c r="B14" s="1" t="s">
        <v>46</v>
      </c>
      <c r="C14" s="1" t="s">
        <v>47</v>
      </c>
      <c r="D14" s="1" t="str">
        <f>CONCATENATE(B14, " ",C14)</f>
        <v>PALMER BRIAN</v>
      </c>
      <c r="F14" s="2">
        <v>45672</v>
      </c>
      <c r="G14" s="2">
        <v>45672</v>
      </c>
      <c r="H14" s="2">
        <v>45658</v>
      </c>
      <c r="I14" s="1" t="s">
        <v>2</v>
      </c>
      <c r="J14" s="1" t="s">
        <v>3</v>
      </c>
      <c r="K14" s="1" t="s">
        <v>4</v>
      </c>
      <c r="L14" s="1" t="s">
        <v>5</v>
      </c>
      <c r="M14" s="1" t="s">
        <v>6</v>
      </c>
      <c r="N14" s="3">
        <v>1889.28</v>
      </c>
      <c r="O14" s="1" t="str">
        <f>CONCATENATE(-N14)</f>
        <v>-1889.28</v>
      </c>
      <c r="P14" s="1" t="s">
        <v>7</v>
      </c>
      <c r="Q14" s="4">
        <v>45673.418124999997</v>
      </c>
    </row>
    <row r="15" spans="1:17" x14ac:dyDescent="0.25">
      <c r="A15" s="1" t="s">
        <v>76</v>
      </c>
      <c r="B15" s="1" t="s">
        <v>22</v>
      </c>
      <c r="C15" s="1" t="s">
        <v>25</v>
      </c>
      <c r="D15" s="1" t="str">
        <f>CONCATENATE(B15, " ",C15)</f>
        <v>REBMANN EDWARD</v>
      </c>
      <c r="F15" s="2">
        <v>45672</v>
      </c>
      <c r="G15" s="2">
        <v>45672</v>
      </c>
      <c r="H15" s="2">
        <v>45292</v>
      </c>
      <c r="I15" s="1" t="s">
        <v>2</v>
      </c>
      <c r="J15" s="1" t="s">
        <v>3</v>
      </c>
      <c r="K15" s="1" t="s">
        <v>4</v>
      </c>
      <c r="L15" s="1" t="s">
        <v>5</v>
      </c>
      <c r="M15" s="1" t="s">
        <v>6</v>
      </c>
      <c r="N15" s="3">
        <v>148.9</v>
      </c>
      <c r="O15" s="1" t="str">
        <f>CONCATENATE(-N15)</f>
        <v>-148.9</v>
      </c>
      <c r="P15" s="1" t="s">
        <v>7</v>
      </c>
      <c r="Q15" s="4">
        <v>45673.418113425927</v>
      </c>
    </row>
    <row r="16" spans="1:17" x14ac:dyDescent="0.25">
      <c r="A16" s="1" t="s">
        <v>75</v>
      </c>
      <c r="B16" s="1" t="s">
        <v>22</v>
      </c>
      <c r="C16" s="1" t="s">
        <v>23</v>
      </c>
      <c r="D16" s="1" t="str">
        <f>CONCATENATE(B16, " ",C16)</f>
        <v>REBMANN MAUREEN</v>
      </c>
      <c r="F16" s="2">
        <v>45672</v>
      </c>
      <c r="G16" s="2">
        <v>45672</v>
      </c>
      <c r="H16" s="2">
        <v>45292</v>
      </c>
      <c r="I16" s="1" t="s">
        <v>24</v>
      </c>
      <c r="J16" s="1" t="s">
        <v>3</v>
      </c>
      <c r="K16" s="1" t="s">
        <v>4</v>
      </c>
      <c r="L16" s="1" t="s">
        <v>5</v>
      </c>
      <c r="M16" s="1" t="s">
        <v>6</v>
      </c>
      <c r="N16" s="3">
        <v>134.6</v>
      </c>
      <c r="O16" s="1" t="str">
        <f>CONCATENATE(-N16)</f>
        <v>-134.6</v>
      </c>
      <c r="P16" s="1" t="s">
        <v>7</v>
      </c>
      <c r="Q16" s="4">
        <v>45673.418124999997</v>
      </c>
    </row>
    <row r="17" spans="1:17" x14ac:dyDescent="0.25">
      <c r="A17" s="1" t="s">
        <v>80</v>
      </c>
      <c r="B17" s="1" t="s">
        <v>31</v>
      </c>
      <c r="C17" s="1" t="s">
        <v>29</v>
      </c>
      <c r="D17" s="1" t="str">
        <f>CONCATENATE(B17, " ",C17)</f>
        <v>SCHUBERT DAVID</v>
      </c>
      <c r="F17" s="2">
        <v>45672</v>
      </c>
      <c r="G17" s="2">
        <v>45672</v>
      </c>
      <c r="H17" s="2">
        <v>45292</v>
      </c>
      <c r="I17" s="1" t="s">
        <v>2</v>
      </c>
      <c r="J17" s="1" t="s">
        <v>3</v>
      </c>
      <c r="K17" s="1" t="s">
        <v>4</v>
      </c>
      <c r="L17" s="1" t="s">
        <v>5</v>
      </c>
      <c r="M17" s="1" t="s">
        <v>6</v>
      </c>
      <c r="N17" s="3">
        <v>307</v>
      </c>
      <c r="O17" s="1" t="str">
        <f>CONCATENATE(-N17)</f>
        <v>-307</v>
      </c>
      <c r="P17" s="1" t="s">
        <v>7</v>
      </c>
      <c r="Q17" s="4">
        <v>45673.418113425927</v>
      </c>
    </row>
    <row r="18" spans="1:17" x14ac:dyDescent="0.25">
      <c r="A18" s="1" t="s">
        <v>78</v>
      </c>
      <c r="B18" s="1" t="s">
        <v>28</v>
      </c>
      <c r="C18" s="1" t="s">
        <v>29</v>
      </c>
      <c r="D18" s="1" t="str">
        <f>CONCATENATE(B18, " ",C18)</f>
        <v>SCISCIANI DAVID</v>
      </c>
      <c r="F18" s="2">
        <v>45672</v>
      </c>
      <c r="G18" s="2">
        <v>45672</v>
      </c>
      <c r="H18" s="2">
        <v>45292</v>
      </c>
      <c r="I18" s="1" t="s">
        <v>24</v>
      </c>
      <c r="J18" s="1" t="s">
        <v>3</v>
      </c>
      <c r="K18" s="1" t="s">
        <v>4</v>
      </c>
      <c r="L18" s="1" t="s">
        <v>5</v>
      </c>
      <c r="M18" s="1" t="s">
        <v>6</v>
      </c>
      <c r="N18" s="3">
        <v>155.12</v>
      </c>
      <c r="O18" s="1" t="str">
        <f>CONCATENATE(-N18)</f>
        <v>-155.12</v>
      </c>
      <c r="P18" s="1" t="s">
        <v>7</v>
      </c>
      <c r="Q18" s="4">
        <v>45673.418124999997</v>
      </c>
    </row>
    <row r="19" spans="1:17" x14ac:dyDescent="0.25">
      <c r="A19" s="1" t="s">
        <v>69</v>
      </c>
      <c r="B19" s="1" t="s">
        <v>12</v>
      </c>
      <c r="C19" s="1" t="s">
        <v>13</v>
      </c>
      <c r="D19" s="1" t="str">
        <f>CONCATENATE(B19, " ",C19)</f>
        <v>SGOURAKIS MICHAEL</v>
      </c>
      <c r="F19" s="2">
        <v>45672</v>
      </c>
      <c r="G19" s="2">
        <v>45672</v>
      </c>
      <c r="H19" s="2">
        <v>45231</v>
      </c>
      <c r="I19" s="1" t="s">
        <v>14</v>
      </c>
      <c r="J19" s="1" t="s">
        <v>3</v>
      </c>
      <c r="K19" s="1" t="s">
        <v>4</v>
      </c>
      <c r="L19" s="1" t="s">
        <v>5</v>
      </c>
      <c r="M19" s="1" t="s">
        <v>6</v>
      </c>
      <c r="N19" s="3">
        <v>168.22</v>
      </c>
      <c r="O19" s="1" t="str">
        <f>CONCATENATE(-N19)</f>
        <v>-168.22</v>
      </c>
      <c r="P19" s="1" t="s">
        <v>7</v>
      </c>
      <c r="Q19" s="4">
        <v>45673.418124999997</v>
      </c>
    </row>
    <row r="20" spans="1:17" x14ac:dyDescent="0.25">
      <c r="A20" s="1" t="s">
        <v>85</v>
      </c>
      <c r="B20" s="1" t="s">
        <v>43</v>
      </c>
      <c r="C20" s="1" t="s">
        <v>44</v>
      </c>
      <c r="D20" s="1" t="str">
        <f>CONCATENATE(B20, " ",C20)</f>
        <v>SLOVICK DENNIS</v>
      </c>
      <c r="F20" s="2">
        <v>45672</v>
      </c>
      <c r="G20" s="2">
        <v>45672</v>
      </c>
      <c r="H20" s="2">
        <v>45658</v>
      </c>
      <c r="I20" s="1" t="s">
        <v>2</v>
      </c>
      <c r="J20" s="1" t="s">
        <v>3</v>
      </c>
      <c r="K20" s="1" t="s">
        <v>4</v>
      </c>
      <c r="L20" s="1" t="s">
        <v>5</v>
      </c>
      <c r="M20" s="1" t="s">
        <v>6</v>
      </c>
      <c r="N20" s="3">
        <v>1815.12</v>
      </c>
      <c r="O20" s="1" t="str">
        <f>CONCATENATE(-N20)</f>
        <v>-1815.12</v>
      </c>
      <c r="P20" s="1" t="s">
        <v>7</v>
      </c>
      <c r="Q20" s="4">
        <v>45673.418113425927</v>
      </c>
    </row>
    <row r="21" spans="1:17" x14ac:dyDescent="0.25">
      <c r="A21" s="1" t="s">
        <v>66</v>
      </c>
      <c r="B21" s="1" t="s">
        <v>0</v>
      </c>
      <c r="C21" s="1" t="s">
        <v>1</v>
      </c>
      <c r="D21" s="1" t="str">
        <f>CONCATENATE(B21, " ",C21)</f>
        <v>SPROUSE DONALD</v>
      </c>
      <c r="F21" s="2">
        <v>45672</v>
      </c>
      <c r="G21" s="2">
        <v>45672</v>
      </c>
      <c r="H21" s="2">
        <v>45170</v>
      </c>
      <c r="I21" s="1" t="s">
        <v>2</v>
      </c>
      <c r="J21" s="1" t="s">
        <v>3</v>
      </c>
      <c r="K21" s="1" t="s">
        <v>4</v>
      </c>
      <c r="L21" s="1" t="s">
        <v>5</v>
      </c>
      <c r="M21" s="1" t="s">
        <v>6</v>
      </c>
      <c r="N21" s="3">
        <v>159.94999999999999</v>
      </c>
      <c r="O21" s="1" t="str">
        <f>CONCATENATE(-N21)</f>
        <v>-159.95</v>
      </c>
      <c r="P21" s="1" t="s">
        <v>7</v>
      </c>
      <c r="Q21" s="4">
        <v>45673.418113425927</v>
      </c>
    </row>
    <row r="22" spans="1:17" x14ac:dyDescent="0.25">
      <c r="A22" s="1" t="s">
        <v>79</v>
      </c>
      <c r="B22" s="1" t="s">
        <v>0</v>
      </c>
      <c r="C22" s="1" t="s">
        <v>1</v>
      </c>
      <c r="D22" s="1" t="str">
        <f>CONCATENATE(B22, " ",C22)</f>
        <v>SPROUSE DONALD</v>
      </c>
      <c r="F22" s="2">
        <v>45672</v>
      </c>
      <c r="G22" s="2">
        <v>45672</v>
      </c>
      <c r="H22" s="2">
        <v>45170</v>
      </c>
      <c r="I22" s="1" t="s">
        <v>30</v>
      </c>
      <c r="J22" s="1" t="s">
        <v>3</v>
      </c>
      <c r="K22" s="1" t="s">
        <v>4</v>
      </c>
      <c r="L22" s="1" t="s">
        <v>5</v>
      </c>
      <c r="M22" s="1" t="s">
        <v>6</v>
      </c>
      <c r="N22" s="3">
        <v>55</v>
      </c>
      <c r="O22" s="1" t="str">
        <f>CONCATENATE(-N22)</f>
        <v>-55</v>
      </c>
      <c r="P22" s="1" t="s">
        <v>7</v>
      </c>
      <c r="Q22" s="4">
        <v>45673.418136574073</v>
      </c>
    </row>
    <row r="23" spans="1:17" x14ac:dyDescent="0.25">
      <c r="A23" s="1" t="s">
        <v>68</v>
      </c>
      <c r="B23" s="1" t="s">
        <v>10</v>
      </c>
      <c r="C23" s="1" t="s">
        <v>11</v>
      </c>
      <c r="D23" s="1" t="str">
        <f>CONCATENATE(B23, " ",C23)</f>
        <v>TOMA LINDA</v>
      </c>
      <c r="F23" s="2">
        <v>45672</v>
      </c>
      <c r="G23" s="2">
        <v>45672</v>
      </c>
      <c r="H23" s="2">
        <v>45658</v>
      </c>
      <c r="I23" s="1" t="s">
        <v>2</v>
      </c>
      <c r="J23" s="1" t="s">
        <v>3</v>
      </c>
      <c r="K23" s="1" t="s">
        <v>4</v>
      </c>
      <c r="L23" s="1" t="s">
        <v>5</v>
      </c>
      <c r="M23" s="1" t="s">
        <v>6</v>
      </c>
      <c r="N23" s="3">
        <v>1674.6</v>
      </c>
      <c r="O23" s="1" t="str">
        <f>CONCATENATE(-N23)</f>
        <v>-1674.6</v>
      </c>
      <c r="P23" s="1" t="s">
        <v>7</v>
      </c>
      <c r="Q23" s="4">
        <v>45673.418113425927</v>
      </c>
    </row>
    <row r="24" spans="1:17" x14ac:dyDescent="0.25">
      <c r="A24" s="1" t="s">
        <v>88</v>
      </c>
      <c r="B24" s="1" t="s">
        <v>41</v>
      </c>
      <c r="C24" s="1" t="s">
        <v>1</v>
      </c>
      <c r="D24" s="1" t="str">
        <f>CONCATENATE(B24, " ",C24)</f>
        <v>VEZZI DONALD</v>
      </c>
      <c r="F24" s="2">
        <v>45672</v>
      </c>
      <c r="G24" s="2">
        <v>45672</v>
      </c>
      <c r="H24" s="2">
        <v>45658</v>
      </c>
      <c r="I24" s="1" t="s">
        <v>40</v>
      </c>
      <c r="J24" s="1" t="s">
        <v>3</v>
      </c>
      <c r="K24" s="1" t="s">
        <v>4</v>
      </c>
      <c r="L24" s="1" t="s">
        <v>5</v>
      </c>
      <c r="M24" s="1" t="s">
        <v>6</v>
      </c>
      <c r="N24" s="3">
        <v>1786.32</v>
      </c>
      <c r="O24" s="1" t="str">
        <f>CONCATENATE(-N24)</f>
        <v>-1786.32</v>
      </c>
      <c r="P24" s="1" t="s">
        <v>7</v>
      </c>
      <c r="Q24" s="4">
        <v>45673.418124999997</v>
      </c>
    </row>
    <row r="25" spans="1:17" x14ac:dyDescent="0.25">
      <c r="A25" s="1" t="s">
        <v>84</v>
      </c>
      <c r="B25" s="1" t="s">
        <v>41</v>
      </c>
      <c r="C25" s="1" t="s">
        <v>42</v>
      </c>
      <c r="D25" s="1" t="str">
        <f>CONCATENATE(B25, " ",C25)</f>
        <v>VEZZI MICHELE</v>
      </c>
      <c r="F25" s="2">
        <v>45672</v>
      </c>
      <c r="G25" s="2">
        <v>45672</v>
      </c>
      <c r="H25" s="2">
        <v>45658</v>
      </c>
      <c r="I25" s="1" t="s">
        <v>2</v>
      </c>
      <c r="J25" s="1" t="s">
        <v>3</v>
      </c>
      <c r="K25" s="1" t="s">
        <v>4</v>
      </c>
      <c r="L25" s="1" t="s">
        <v>5</v>
      </c>
      <c r="M25" s="1" t="s">
        <v>6</v>
      </c>
      <c r="N25" s="3">
        <v>1508.28</v>
      </c>
      <c r="O25" s="1" t="str">
        <f>CONCATENATE(-N25)</f>
        <v>-1508.28</v>
      </c>
      <c r="P25" s="1" t="s">
        <v>7</v>
      </c>
      <c r="Q25" s="4">
        <v>45673.418113425927</v>
      </c>
    </row>
  </sheetData>
  <sortState xmlns:xlrd2="http://schemas.microsoft.com/office/spreadsheetml/2017/richdata2" ref="A2:Q26">
    <sortCondition ref="D2:D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2025-01-17T20:24:49Z</dcterms:created>
  <dcterms:modified xsi:type="dcterms:W3CDTF">2025-01-20T16:04:58Z</dcterms:modified>
</cp:coreProperties>
</file>