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7-30-25\"/>
    </mc:Choice>
  </mc:AlternateContent>
  <xr:revisionPtr revIDLastSave="0" documentId="13_ncr:9_{F278BC0D-DBCC-4A04-B21D-BA370E1412F2}" xr6:coauthVersionLast="47" xr6:coauthVersionMax="47" xr10:uidLastSave="{00000000-0000-0000-0000-000000000000}"/>
  <bookViews>
    <workbookView xWindow="28680" yWindow="-120" windowWidth="29040" windowHeight="16440" activeTab="1" xr2:uid="{A1BD9349-AB1B-4D6D-8CAF-9153E560295A}"/>
  </bookViews>
  <sheets>
    <sheet name="CommissionData_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T33" i="2" l="1"/>
  <c r="T42" i="2"/>
  <c r="T34" i="2"/>
  <c r="T43" i="2"/>
  <c r="T44" i="2"/>
  <c r="T39" i="2"/>
  <c r="T35" i="2"/>
  <c r="T30" i="2"/>
  <c r="T31" i="2"/>
  <c r="T32" i="2"/>
  <c r="T45" i="2"/>
  <c r="T38" i="2"/>
  <c r="T40" i="2"/>
  <c r="T46" i="2"/>
  <c r="T47" i="2"/>
  <c r="T36" i="2"/>
  <c r="T29" i="2"/>
  <c r="T28" i="2"/>
  <c r="T37" i="2"/>
  <c r="T48" i="2"/>
  <c r="T50" i="2"/>
  <c r="T51" i="2"/>
  <c r="T49" i="2"/>
  <c r="T22" i="2"/>
  <c r="T2" i="2"/>
  <c r="T23" i="2"/>
  <c r="T27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4" i="2"/>
  <c r="T25" i="2"/>
  <c r="T26" i="2"/>
  <c r="T41" i="2"/>
  <c r="Q2" i="2"/>
  <c r="Q26" i="2"/>
  <c r="Q25" i="2"/>
  <c r="Q24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7" i="2"/>
  <c r="Q23" i="2"/>
  <c r="Q22" i="2"/>
  <c r="Q49" i="2"/>
  <c r="Q51" i="2"/>
  <c r="Q50" i="2"/>
  <c r="Q48" i="2"/>
  <c r="Q37" i="2"/>
  <c r="Q28" i="2"/>
  <c r="Q29" i="2"/>
  <c r="Q36" i="2"/>
  <c r="Q47" i="2"/>
  <c r="Q46" i="2"/>
  <c r="Q40" i="2"/>
  <c r="Q38" i="2"/>
  <c r="Q45" i="2"/>
  <c r="Q32" i="2"/>
  <c r="Q31" i="2"/>
  <c r="Q30" i="2"/>
  <c r="Q35" i="2"/>
  <c r="Q39" i="2"/>
  <c r="Q44" i="2"/>
  <c r="Q43" i="2"/>
  <c r="Q34" i="2"/>
  <c r="Q42" i="2"/>
  <c r="Q33" i="2"/>
  <c r="Q41" i="2"/>
</calcChain>
</file>

<file path=xl/sharedStrings.xml><?xml version="1.0" encoding="utf-8"?>
<sst xmlns="http://schemas.openxmlformats.org/spreadsheetml/2006/main" count="2089" uniqueCount="359">
  <si>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</si>
  <si>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</si>
  <si>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</si>
  <si>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</si>
  <si>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</si>
  <si>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</si>
  <si>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</si>
  <si>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</si>
  <si>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</si>
  <si>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</si>
  <si>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</si>
  <si>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</si>
  <si>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</si>
  <si>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</si>
  <si>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</si>
  <si>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</si>
  <si>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</si>
  <si>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</si>
  <si>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</si>
  <si>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</si>
  <si>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</si>
  <si>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</si>
  <si>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</si>
  <si>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</si>
  <si>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</si>
  <si>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</si>
  <si>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</si>
  <si>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</si>
  <si>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</si>
  <si>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</si>
  <si>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</si>
  <si>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</si>
  <si>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</si>
  <si>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</si>
  <si>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</si>
  <si>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</si>
  <si>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</si>
  <si>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</si>
  <si>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</si>
  <si>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</si>
  <si>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</si>
  <si>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</si>
  <si>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LISKOVEC FRANK E</t>
  </si>
  <si>
    <t>PATEL MIHIR B</t>
  </si>
  <si>
    <t>00023513017K</t>
  </si>
  <si>
    <t>4Q36YF8NV60</t>
  </si>
  <si>
    <t/>
  </si>
  <si>
    <t>MA</t>
  </si>
  <si>
    <t>LV</t>
  </si>
  <si>
    <t>AUG</t>
  </si>
  <si>
    <t>F</t>
  </si>
  <si>
    <t>MEDICARE</t>
  </si>
  <si>
    <t>MEP</t>
  </si>
  <si>
    <t>FIRST YEAR COMMISSIONS</t>
  </si>
  <si>
    <t>ARCF</t>
  </si>
  <si>
    <t>H5216</t>
  </si>
  <si>
    <t>CHOI ANDREW J</t>
  </si>
  <si>
    <t>KUDRNA RHONDA M</t>
  </si>
  <si>
    <t>00023509347K</t>
  </si>
  <si>
    <t>9RT2GW7PA13</t>
  </si>
  <si>
    <t>PDP</t>
  </si>
  <si>
    <t>S5884</t>
  </si>
  <si>
    <t>KRAMER SANDRA G</t>
  </si>
  <si>
    <t>00023509465K</t>
  </si>
  <si>
    <t>5F02YV2JX27</t>
  </si>
  <si>
    <t>TEIPEL GREGORY K</t>
  </si>
  <si>
    <t>FOLTZ KATHERINE M</t>
  </si>
  <si>
    <t>00022397306K</t>
  </si>
  <si>
    <t>6WG0NV5YF18</t>
  </si>
  <si>
    <t>JUN</t>
  </si>
  <si>
    <t>MER</t>
  </si>
  <si>
    <t>MEDICARE 2ND HALF FIRST YEAR COMM</t>
  </si>
  <si>
    <t>MED2</t>
  </si>
  <si>
    <t>H0028</t>
  </si>
  <si>
    <t>FOLTZ JIM</t>
  </si>
  <si>
    <t>00022402277K</t>
  </si>
  <si>
    <t>7X76D87NU61</t>
  </si>
  <si>
    <t>KEZDI HAMZELOO LAURA J</t>
  </si>
  <si>
    <t>00023509374K</t>
  </si>
  <si>
    <t>7WJ4VQ9FD50</t>
  </si>
  <si>
    <t>SEP</t>
  </si>
  <si>
    <t>RICHARDS TAMARA L</t>
  </si>
  <si>
    <t>00023510938K</t>
  </si>
  <si>
    <t>3EC0VW8MJ07</t>
  </si>
  <si>
    <t>HUNSBERGER ANTHONY J</t>
  </si>
  <si>
    <t>BILLER FRANK J</t>
  </si>
  <si>
    <t>00012982278K</t>
  </si>
  <si>
    <t>7WU2V69DX11</t>
  </si>
  <si>
    <t>HEDERMAN DAWN M</t>
  </si>
  <si>
    <t>00023503807K</t>
  </si>
  <si>
    <t>2AM9XG8NH44</t>
  </si>
  <si>
    <t>YALE RICHARD A A</t>
  </si>
  <si>
    <t>BROWN SHIRLEY A</t>
  </si>
  <si>
    <t>00023504093K</t>
  </si>
  <si>
    <t>1GE8UP9RD44</t>
  </si>
  <si>
    <t>H1468</t>
  </si>
  <si>
    <t>HANLEY KENNETH</t>
  </si>
  <si>
    <t>00023507629K</t>
  </si>
  <si>
    <t>2JN6HG7QX76</t>
  </si>
  <si>
    <t>PAVLATOS MARINELLA E</t>
  </si>
  <si>
    <t>00023513462K</t>
  </si>
  <si>
    <t>6FF7T56KU67</t>
  </si>
  <si>
    <t>KUCAN THOMAS</t>
  </si>
  <si>
    <t>BOOZE FRANCES V</t>
  </si>
  <si>
    <t>00017933721K</t>
  </si>
  <si>
    <t>3HU1HA5NF90</t>
  </si>
  <si>
    <t>MAY</t>
  </si>
  <si>
    <t>H6622</t>
  </si>
  <si>
    <t>PORTUGAL GARY</t>
  </si>
  <si>
    <t>TORRES ORTIZ EDWIN</t>
  </si>
  <si>
    <t>00022971348K</t>
  </si>
  <si>
    <t>8AK1TK3YP80</t>
  </si>
  <si>
    <t>FEB</t>
  </si>
  <si>
    <t>H1036</t>
  </si>
  <si>
    <t>BRANDT STEVEN K</t>
  </si>
  <si>
    <t>COOKE VICKI K</t>
  </si>
  <si>
    <t>00022064220K</t>
  </si>
  <si>
    <t>1GY9AK0FV54</t>
  </si>
  <si>
    <t>MRO</t>
  </si>
  <si>
    <t>PORTUGAL STACEY A</t>
  </si>
  <si>
    <t>DIGBY DWAYNE E</t>
  </si>
  <si>
    <t>00023507776K</t>
  </si>
  <si>
    <t>9H59TD8GF57</t>
  </si>
  <si>
    <t>SHAPIRO ROBERT A</t>
  </si>
  <si>
    <t>DENOFRIO MARK A</t>
  </si>
  <si>
    <t>00023505772K</t>
  </si>
  <si>
    <t>8P89C94FJ14</t>
  </si>
  <si>
    <t>GALASINSKI RICHARD B</t>
  </si>
  <si>
    <t>00023509197K</t>
  </si>
  <si>
    <t>1TK2D72AK05</t>
  </si>
  <si>
    <t>BRENNER BARRY G</t>
  </si>
  <si>
    <t>XEROGIANES CYNTHIA R</t>
  </si>
  <si>
    <t>00023515836K</t>
  </si>
  <si>
    <t>5GQ0UT3PX20</t>
  </si>
  <si>
    <t>SANDEROCK MARSHA</t>
  </si>
  <si>
    <t>SEARS LISA D</t>
  </si>
  <si>
    <t>00023506048K</t>
  </si>
  <si>
    <t>7UK5UQ8AY86</t>
  </si>
  <si>
    <t>KROEHLER JONATHAN E</t>
  </si>
  <si>
    <t>00023511525K</t>
  </si>
  <si>
    <t>2HW7RG0ND40</t>
  </si>
  <si>
    <t>ROCCIA MARK</t>
  </si>
  <si>
    <t>ZITIN MARC A</t>
  </si>
  <si>
    <t>00023509231K</t>
  </si>
  <si>
    <t>6PT5YQ9MV79</t>
  </si>
  <si>
    <t>Hanahan Barbara</t>
  </si>
  <si>
    <t>9025228750</t>
  </si>
  <si>
    <t>IN</t>
  </si>
  <si>
    <t>CB</t>
  </si>
  <si>
    <t>R</t>
  </si>
  <si>
    <t>DENTAL</t>
  </si>
  <si>
    <t>COMPBENEFITS RENEWAL COMMISSION</t>
  </si>
  <si>
    <t>CRCM</t>
  </si>
  <si>
    <t>INSKIPT DEBORAH L</t>
  </si>
  <si>
    <t>SZOST PHILIP</t>
  </si>
  <si>
    <t>00000840020A</t>
  </si>
  <si>
    <t>MS</t>
  </si>
  <si>
    <t>MED SUPP RENEWAL ACHIEVE</t>
  </si>
  <si>
    <t>MSRA</t>
  </si>
  <si>
    <t>Ubrey Carol A</t>
  </si>
  <si>
    <t>9030755680</t>
  </si>
  <si>
    <t>VISION</t>
  </si>
  <si>
    <t>COMPBENEFITS FIRST YEAR COMMISSION</t>
  </si>
  <si>
    <t>CRCF</t>
  </si>
  <si>
    <t>MCCORKLE MICHELLE</t>
  </si>
  <si>
    <t>Danley Ryan</t>
  </si>
  <si>
    <t>9030925080</t>
  </si>
  <si>
    <t>DUNAVANT MICHAEL</t>
  </si>
  <si>
    <t>Urish Gerald</t>
  </si>
  <si>
    <t>9030509330</t>
  </si>
  <si>
    <t>Gambetti Brianna</t>
  </si>
  <si>
    <t>9030544330</t>
  </si>
  <si>
    <t>9030544350</t>
  </si>
  <si>
    <t>Taylor David</t>
  </si>
  <si>
    <t>9030558330</t>
  </si>
  <si>
    <t>Shaw Robert</t>
  </si>
  <si>
    <t>9030572460</t>
  </si>
  <si>
    <t>Sisco Eric</t>
  </si>
  <si>
    <t>9030577770</t>
  </si>
  <si>
    <t>Round Laurie</t>
  </si>
  <si>
    <t>9030582430</t>
  </si>
  <si>
    <t>Magana Gutierrez Israel</t>
  </si>
  <si>
    <t>9030638300</t>
  </si>
  <si>
    <t>Ferris Ron</t>
  </si>
  <si>
    <t>9030645140</t>
  </si>
  <si>
    <t>Johnson Eric</t>
  </si>
  <si>
    <t>9030645550</t>
  </si>
  <si>
    <t>Shirkey Victoria</t>
  </si>
  <si>
    <t>9030645560</t>
  </si>
  <si>
    <t>Thompson Thomas</t>
  </si>
  <si>
    <t>9030651770</t>
  </si>
  <si>
    <t>Dauer Nancy</t>
  </si>
  <si>
    <t>9030652040</t>
  </si>
  <si>
    <t>Simmons-Hutson Cheryl</t>
  </si>
  <si>
    <t>9030675550</t>
  </si>
  <si>
    <t>Bond Edward</t>
  </si>
  <si>
    <t>9030683010</t>
  </si>
  <si>
    <t>Sharad Arappat Shaji Fnu</t>
  </si>
  <si>
    <t>9030703310</t>
  </si>
  <si>
    <t>Boma Mary</t>
  </si>
  <si>
    <t>9030719950</t>
  </si>
  <si>
    <t>Stokes Thomas</t>
  </si>
  <si>
    <t>9030895100</t>
  </si>
  <si>
    <t>Fewell Robin</t>
  </si>
  <si>
    <t>9030924610</t>
  </si>
  <si>
    <t>KOZACHECK ANNE MARIE</t>
  </si>
  <si>
    <t>Rudden Jon</t>
  </si>
  <si>
    <t>9030115330</t>
  </si>
  <si>
    <t>Johnson Eric S</t>
  </si>
  <si>
    <t>9030791020</t>
  </si>
  <si>
    <t>Levy Suzanne</t>
  </si>
  <si>
    <t>9030902230</t>
  </si>
  <si>
    <t>JUL</t>
  </si>
  <si>
    <t>MED SUPP BONUS</t>
  </si>
  <si>
    <t>MSBN</t>
  </si>
  <si>
    <t>Humana Dental &amp; Vision</t>
  </si>
  <si>
    <t>Humana 65-80 AL, AZ, AR, GA, etc. All Except N OE &amp; UW</t>
  </si>
  <si>
    <t>Humana PDP 2025!</t>
  </si>
  <si>
    <t>Humana MAPD 2025*</t>
  </si>
  <si>
    <t>[%/$=313][prorate=10/12]</t>
  </si>
  <si>
    <t>[%/$=313][prorate=5/12]</t>
  </si>
  <si>
    <t>[%/$=313][prorate=4/12]</t>
  </si>
  <si>
    <t>[%/$=313][prorate=7/12]</t>
  </si>
  <si>
    <t>FOLTZ</t>
  </si>
  <si>
    <t>KATHERINE</t>
  </si>
  <si>
    <t>BOOZE</t>
  </si>
  <si>
    <t>FRANCES</t>
  </si>
  <si>
    <t>JIM</t>
  </si>
  <si>
    <t>KEZDI</t>
  </si>
  <si>
    <t>LAURA</t>
  </si>
  <si>
    <t>RICHARDS</t>
  </si>
  <si>
    <t>TAMARA</t>
  </si>
  <si>
    <t>GALASINSKI</t>
  </si>
  <si>
    <t>RICHARD</t>
  </si>
  <si>
    <t>PATEL</t>
  </si>
  <si>
    <t>MIHIR</t>
  </si>
  <si>
    <t>KRAMER</t>
  </si>
  <si>
    <t>SANDRA</t>
  </si>
  <si>
    <t>BILLER</t>
  </si>
  <si>
    <t>FRANK</t>
  </si>
  <si>
    <t>HEDERMAN</t>
  </si>
  <si>
    <t>DAWN</t>
  </si>
  <si>
    <t>PAVLATOS</t>
  </si>
  <si>
    <t>MARINELLA</t>
  </si>
  <si>
    <t>DIGBY</t>
  </si>
  <si>
    <t>DWAYNE</t>
  </si>
  <si>
    <t>DENOFRIO</t>
  </si>
  <si>
    <t>MARK</t>
  </si>
  <si>
    <t>BROWN</t>
  </si>
  <si>
    <t>SHIRLEY</t>
  </si>
  <si>
    <t>HANLEY</t>
  </si>
  <si>
    <t>KENNETH</t>
  </si>
  <si>
    <t>TORRES</t>
  </si>
  <si>
    <t>EDWIN</t>
  </si>
  <si>
    <t>XEROGIANES</t>
  </si>
  <si>
    <t>CYNTHIA</t>
  </si>
  <si>
    <t>COOKE</t>
  </si>
  <si>
    <t>VICKI</t>
  </si>
  <si>
    <t>KUDRNA</t>
  </si>
  <si>
    <t>RHONDA</t>
  </si>
  <si>
    <t>SEARS</t>
  </si>
  <si>
    <t>LISA</t>
  </si>
  <si>
    <t>KROEHLER</t>
  </si>
  <si>
    <t>JONATHAN</t>
  </si>
  <si>
    <t>ZITIN</t>
  </si>
  <si>
    <t>MARC</t>
  </si>
  <si>
    <t>Hanahan</t>
  </si>
  <si>
    <t>Barbara</t>
  </si>
  <si>
    <t>SZOST</t>
  </si>
  <si>
    <t>PHILIP</t>
  </si>
  <si>
    <t>Ubrey</t>
  </si>
  <si>
    <t>Carol</t>
  </si>
  <si>
    <t>Danley</t>
  </si>
  <si>
    <t>Ryan</t>
  </si>
  <si>
    <t>Urish</t>
  </si>
  <si>
    <t>Gerald</t>
  </si>
  <si>
    <t>Gambetti</t>
  </si>
  <si>
    <t>Brianna</t>
  </si>
  <si>
    <t>Taylor</t>
  </si>
  <si>
    <t>David</t>
  </si>
  <si>
    <t>Shaw</t>
  </si>
  <si>
    <t>Robert</t>
  </si>
  <si>
    <t>Sisco</t>
  </si>
  <si>
    <t>Eric</t>
  </si>
  <si>
    <t>Round</t>
  </si>
  <si>
    <t>Laurie</t>
  </si>
  <si>
    <t>Magana</t>
  </si>
  <si>
    <t>Israel</t>
  </si>
  <si>
    <t>Ferris</t>
  </si>
  <si>
    <t>Ron</t>
  </si>
  <si>
    <t>Johnson</t>
  </si>
  <si>
    <t>Shirkey</t>
  </si>
  <si>
    <t>Victoria</t>
  </si>
  <si>
    <t>Thompson</t>
  </si>
  <si>
    <t>Thomas</t>
  </si>
  <si>
    <t>Dauer</t>
  </si>
  <si>
    <t>Nancy</t>
  </si>
  <si>
    <t>Simmons-Hutson</t>
  </si>
  <si>
    <t>Cheryl</t>
  </si>
  <si>
    <t>Bond</t>
  </si>
  <si>
    <t>Edward</t>
  </si>
  <si>
    <t>Sharad</t>
  </si>
  <si>
    <t>Shaji</t>
  </si>
  <si>
    <t>Boma</t>
  </si>
  <si>
    <t>Mary</t>
  </si>
  <si>
    <t>Stokes</t>
  </si>
  <si>
    <t>Fewell</t>
  </si>
  <si>
    <t>Robin</t>
  </si>
  <si>
    <t>Rudden</t>
  </si>
  <si>
    <t>Jon</t>
  </si>
  <si>
    <t>Levy</t>
  </si>
  <si>
    <t>Suzanne</t>
  </si>
  <si>
    <t>KATHERINE FOLTZ</t>
  </si>
  <si>
    <t>FRANCES BOOZE</t>
  </si>
  <si>
    <t>JIM FOLTZ</t>
  </si>
  <si>
    <t>LAURA KEZDI</t>
  </si>
  <si>
    <t>TAMARA RICHARDS</t>
  </si>
  <si>
    <t>RICHARD GALASINSKI</t>
  </si>
  <si>
    <t>MIHIR PATEL</t>
  </si>
  <si>
    <t>SANDRA KRAMER</t>
  </si>
  <si>
    <t>FRANK BILLER</t>
  </si>
  <si>
    <t>DAWN HEDERMAN</t>
  </si>
  <si>
    <t>MARINELLA PAVLATOS</t>
  </si>
  <si>
    <t>DWAYNE DIGBY</t>
  </si>
  <si>
    <t>MARK DENOFRIO</t>
  </si>
  <si>
    <t>SHIRLEY BROWN</t>
  </si>
  <si>
    <t>KENNETH HANLEY</t>
  </si>
  <si>
    <t>EDWIN TORRES</t>
  </si>
  <si>
    <t>CYNTHIA XEROGIANES</t>
  </si>
  <si>
    <t>VICKI COOKE</t>
  </si>
  <si>
    <t>RHONDA KUDRNA</t>
  </si>
  <si>
    <t>LISA SEARS</t>
  </si>
  <si>
    <t>JONATHAN KROEHLER</t>
  </si>
  <si>
    <t>MARC ZITIN</t>
  </si>
  <si>
    <t>Barbara Hanahan</t>
  </si>
  <si>
    <t>PHILIP SZOST</t>
  </si>
  <si>
    <t>Carol Ubrey</t>
  </si>
  <si>
    <t>Ryan Danley</t>
  </si>
  <si>
    <t>Gerald Urish</t>
  </si>
  <si>
    <t>Brianna Gambetti</t>
  </si>
  <si>
    <t>David Taylor</t>
  </si>
  <si>
    <t>Robert Shaw</t>
  </si>
  <si>
    <t>Eric Sisco</t>
  </si>
  <si>
    <t>Laurie Round</t>
  </si>
  <si>
    <t>Israel Magana</t>
  </si>
  <si>
    <t>Ron Ferris</t>
  </si>
  <si>
    <t>Eric Johnson</t>
  </si>
  <si>
    <t>Victoria Shirkey</t>
  </si>
  <si>
    <t>Thomas Thompson</t>
  </si>
  <si>
    <t>Nancy Dauer</t>
  </si>
  <si>
    <t>Cheryl Simmons-Hutson</t>
  </si>
  <si>
    <t>Edward Bond</t>
  </si>
  <si>
    <t>Shaji Sharad</t>
  </si>
  <si>
    <t>Mary Boma</t>
  </si>
  <si>
    <t>Thomas Stokes</t>
  </si>
  <si>
    <t>Robin Fewell</t>
  </si>
  <si>
    <t>Jon Rudden</t>
  </si>
  <si>
    <t>Suzanne Levy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</si>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</sst>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9" fillId="0" borderId="0" xfId="0" applyFont="1"/>
    <xf numFmtId="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1309-7658-44DD-89DE-5405436C2865}">
  <dimension ref="A1:AP52"/>
  <sheetViews>
    <sheetView topLeftCell="A28" workbookViewId="0">
      <selection activeCell="K52" sqref="A52:XFD52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45868</v>
      </c>
      <c r="C2" s="4" t="s">
        <v>42</v>
      </c>
      <c r="D2" s="2">
        <v>1427681</v>
      </c>
      <c r="E2" s="4" t="s">
        <v>43</v>
      </c>
      <c r="F2" s="4" t="s">
        <v>44</v>
      </c>
      <c r="G2" s="2">
        <v>591031413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45870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0.42</v>
      </c>
      <c r="W2" s="5">
        <v>0</v>
      </c>
      <c r="X2" s="5">
        <v>100</v>
      </c>
      <c r="Y2" s="5">
        <v>130.41999999999999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45870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45868</v>
      </c>
      <c r="C3" s="4" t="s">
        <v>56</v>
      </c>
      <c r="D3" s="2">
        <v>1466196</v>
      </c>
      <c r="E3" s="4" t="s">
        <v>57</v>
      </c>
      <c r="F3" s="4" t="s">
        <v>58</v>
      </c>
      <c r="G3" s="2">
        <v>103374043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45870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60</v>
      </c>
      <c r="U3" s="4" t="s">
        <v>46</v>
      </c>
      <c r="V3" s="5">
        <v>0.42</v>
      </c>
      <c r="W3" s="5">
        <v>0</v>
      </c>
      <c r="X3" s="5">
        <v>100</v>
      </c>
      <c r="Y3" s="5">
        <v>22.92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45870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61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45868</v>
      </c>
      <c r="C4" s="4" t="s">
        <v>56</v>
      </c>
      <c r="D4" s="2">
        <v>1466196</v>
      </c>
      <c r="E4" s="4" t="s">
        <v>62</v>
      </c>
      <c r="F4" s="4" t="s">
        <v>63</v>
      </c>
      <c r="G4" s="2">
        <v>144395013</v>
      </c>
      <c r="H4" s="4" t="s">
        <v>64</v>
      </c>
      <c r="I4" s="4" t="s">
        <v>46</v>
      </c>
      <c r="J4" s="4" t="s">
        <v>47</v>
      </c>
      <c r="K4" s="4" t="s">
        <v>48</v>
      </c>
      <c r="L4" s="3">
        <v>45870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0.42</v>
      </c>
      <c r="W4" s="5">
        <v>0</v>
      </c>
      <c r="X4" s="5">
        <v>100</v>
      </c>
      <c r="Y4" s="5">
        <v>130.41999999999999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45870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45868</v>
      </c>
      <c r="C5" s="4" t="s">
        <v>65</v>
      </c>
      <c r="D5" s="2">
        <v>1509770</v>
      </c>
      <c r="E5" s="4" t="s">
        <v>66</v>
      </c>
      <c r="F5" s="4" t="s">
        <v>67</v>
      </c>
      <c r="G5" s="2">
        <v>617585383</v>
      </c>
      <c r="H5" s="4" t="s">
        <v>68</v>
      </c>
      <c r="I5" s="4" t="s">
        <v>46</v>
      </c>
      <c r="J5" s="4" t="s">
        <v>47</v>
      </c>
      <c r="K5" s="4" t="s">
        <v>48</v>
      </c>
      <c r="L5" s="3">
        <v>45809</v>
      </c>
      <c r="M5" s="4" t="s">
        <v>69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70</v>
      </c>
      <c r="U5" s="4" t="s">
        <v>46</v>
      </c>
      <c r="V5" s="5">
        <v>0</v>
      </c>
      <c r="W5" s="5">
        <v>0</v>
      </c>
      <c r="X5" s="5">
        <v>100</v>
      </c>
      <c r="Y5" s="5">
        <v>-260.83</v>
      </c>
      <c r="Z5" s="4" t="s">
        <v>46</v>
      </c>
      <c r="AA5" s="5" t="s">
        <v>46</v>
      </c>
      <c r="AB5" s="4" t="s">
        <v>71</v>
      </c>
      <c r="AC5" s="4" t="s">
        <v>46</v>
      </c>
      <c r="AD5" s="5">
        <v>0</v>
      </c>
      <c r="AE5" s="4" t="s">
        <v>72</v>
      </c>
      <c r="AF5" s="3">
        <v>45809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73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45868</v>
      </c>
      <c r="C6" s="4" t="s">
        <v>65</v>
      </c>
      <c r="D6" s="2">
        <v>1509770</v>
      </c>
      <c r="E6" s="4" t="s">
        <v>74</v>
      </c>
      <c r="F6" s="4" t="s">
        <v>75</v>
      </c>
      <c r="G6" s="2">
        <v>994130383</v>
      </c>
      <c r="H6" s="4" t="s">
        <v>76</v>
      </c>
      <c r="I6" s="4" t="s">
        <v>46</v>
      </c>
      <c r="J6" s="4" t="s">
        <v>47</v>
      </c>
      <c r="K6" s="4" t="s">
        <v>48</v>
      </c>
      <c r="L6" s="3">
        <v>45809</v>
      </c>
      <c r="M6" s="4" t="s">
        <v>69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70</v>
      </c>
      <c r="U6" s="4" t="s">
        <v>46</v>
      </c>
      <c r="V6" s="5">
        <v>-0.42</v>
      </c>
      <c r="W6" s="5">
        <v>0</v>
      </c>
      <c r="X6" s="5">
        <v>100</v>
      </c>
      <c r="Y6" s="5">
        <v>-130.41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45809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73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45868</v>
      </c>
      <c r="C7" s="4" t="s">
        <v>65</v>
      </c>
      <c r="D7" s="2">
        <v>1509770</v>
      </c>
      <c r="E7" s="4" t="s">
        <v>77</v>
      </c>
      <c r="F7" s="4" t="s">
        <v>78</v>
      </c>
      <c r="G7" s="2">
        <v>111160202</v>
      </c>
      <c r="H7" s="4" t="s">
        <v>79</v>
      </c>
      <c r="I7" s="4" t="s">
        <v>46</v>
      </c>
      <c r="J7" s="4" t="s">
        <v>47</v>
      </c>
      <c r="K7" s="4" t="s">
        <v>48</v>
      </c>
      <c r="L7" s="3">
        <v>45901</v>
      </c>
      <c r="M7" s="4" t="s">
        <v>80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0.33</v>
      </c>
      <c r="W7" s="5">
        <v>0</v>
      </c>
      <c r="X7" s="5">
        <v>100</v>
      </c>
      <c r="Y7" s="5">
        <v>104.33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45901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45868</v>
      </c>
      <c r="C8" s="4" t="s">
        <v>65</v>
      </c>
      <c r="D8" s="2">
        <v>1509770</v>
      </c>
      <c r="E8" s="4" t="s">
        <v>81</v>
      </c>
      <c r="F8" s="4" t="s">
        <v>82</v>
      </c>
      <c r="G8" s="2">
        <v>670507413</v>
      </c>
      <c r="H8" s="4" t="s">
        <v>83</v>
      </c>
      <c r="I8" s="4" t="s">
        <v>46</v>
      </c>
      <c r="J8" s="4" t="s">
        <v>47</v>
      </c>
      <c r="K8" s="4" t="s">
        <v>48</v>
      </c>
      <c r="L8" s="3">
        <v>45901</v>
      </c>
      <c r="M8" s="4" t="s">
        <v>80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0.33</v>
      </c>
      <c r="W8" s="5">
        <v>0</v>
      </c>
      <c r="X8" s="5">
        <v>100</v>
      </c>
      <c r="Y8" s="5">
        <v>104.33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45901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45868</v>
      </c>
      <c r="C9" s="4" t="s">
        <v>84</v>
      </c>
      <c r="D9" s="2">
        <v>1510420</v>
      </c>
      <c r="E9" s="4" t="s">
        <v>85</v>
      </c>
      <c r="F9" s="4" t="s">
        <v>86</v>
      </c>
      <c r="G9" s="2">
        <v>457927185</v>
      </c>
      <c r="H9" s="4" t="s">
        <v>87</v>
      </c>
      <c r="I9" s="4" t="s">
        <v>46</v>
      </c>
      <c r="J9" s="4" t="s">
        <v>47</v>
      </c>
      <c r="K9" s="4" t="s">
        <v>48</v>
      </c>
      <c r="L9" s="3">
        <v>45870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0.42</v>
      </c>
      <c r="W9" s="5">
        <v>0</v>
      </c>
      <c r="X9" s="5">
        <v>100</v>
      </c>
      <c r="Y9" s="5">
        <v>130.41999999999999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45870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45868</v>
      </c>
      <c r="C10" s="4" t="s">
        <v>84</v>
      </c>
      <c r="D10" s="2">
        <v>1510420</v>
      </c>
      <c r="E10" s="4" t="s">
        <v>88</v>
      </c>
      <c r="F10" s="4" t="s">
        <v>89</v>
      </c>
      <c r="G10" s="2">
        <v>244180432</v>
      </c>
      <c r="H10" s="4" t="s">
        <v>90</v>
      </c>
      <c r="I10" s="4" t="s">
        <v>46</v>
      </c>
      <c r="J10" s="4" t="s">
        <v>47</v>
      </c>
      <c r="K10" s="4" t="s">
        <v>48</v>
      </c>
      <c r="L10" s="3">
        <v>45870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0.42</v>
      </c>
      <c r="W10" s="5">
        <v>0</v>
      </c>
      <c r="X10" s="5">
        <v>100</v>
      </c>
      <c r="Y10" s="5">
        <v>130.41999999999999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45870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45868</v>
      </c>
      <c r="C11" s="4" t="s">
        <v>91</v>
      </c>
      <c r="D11" s="2">
        <v>1573279</v>
      </c>
      <c r="E11" s="4" t="s">
        <v>92</v>
      </c>
      <c r="F11" s="4" t="s">
        <v>93</v>
      </c>
      <c r="G11" s="2">
        <v>344466354</v>
      </c>
      <c r="H11" s="4" t="s">
        <v>94</v>
      </c>
      <c r="I11" s="4" t="s">
        <v>46</v>
      </c>
      <c r="J11" s="4" t="s">
        <v>47</v>
      </c>
      <c r="K11" s="4" t="s">
        <v>48</v>
      </c>
      <c r="L11" s="3">
        <v>45870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70</v>
      </c>
      <c r="U11" s="4" t="s">
        <v>46</v>
      </c>
      <c r="V11" s="5">
        <v>0.42</v>
      </c>
      <c r="W11" s="5">
        <v>0</v>
      </c>
      <c r="X11" s="5">
        <v>100</v>
      </c>
      <c r="Y11" s="5">
        <v>130.41999999999999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45870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95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45868</v>
      </c>
      <c r="C12" s="4" t="s">
        <v>91</v>
      </c>
      <c r="D12" s="2">
        <v>1573279</v>
      </c>
      <c r="E12" s="4" t="s">
        <v>96</v>
      </c>
      <c r="F12" s="4" t="s">
        <v>97</v>
      </c>
      <c r="G12" s="2">
        <v>594787050</v>
      </c>
      <c r="H12" s="4" t="s">
        <v>98</v>
      </c>
      <c r="I12" s="4" t="s">
        <v>46</v>
      </c>
      <c r="J12" s="4" t="s">
        <v>47</v>
      </c>
      <c r="K12" s="4" t="s">
        <v>48</v>
      </c>
      <c r="L12" s="3">
        <v>45870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70</v>
      </c>
      <c r="U12" s="4" t="s">
        <v>46</v>
      </c>
      <c r="V12" s="5">
        <v>0.42</v>
      </c>
      <c r="W12" s="5">
        <v>0</v>
      </c>
      <c r="X12" s="5">
        <v>100</v>
      </c>
      <c r="Y12" s="5">
        <v>130.41999999999999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45870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95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45868</v>
      </c>
      <c r="C13" s="4" t="s">
        <v>91</v>
      </c>
      <c r="D13" s="2">
        <v>1573279</v>
      </c>
      <c r="E13" s="4" t="s">
        <v>99</v>
      </c>
      <c r="F13" s="4" t="s">
        <v>100</v>
      </c>
      <c r="G13" s="2">
        <v>795131343</v>
      </c>
      <c r="H13" s="4" t="s">
        <v>101</v>
      </c>
      <c r="I13" s="4" t="s">
        <v>46</v>
      </c>
      <c r="J13" s="4" t="s">
        <v>47</v>
      </c>
      <c r="K13" s="4" t="s">
        <v>48</v>
      </c>
      <c r="L13" s="3">
        <v>45870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0.42</v>
      </c>
      <c r="W13" s="5">
        <v>0</v>
      </c>
      <c r="X13" s="5">
        <v>100</v>
      </c>
      <c r="Y13" s="5">
        <v>130.41999999999999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45870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45868</v>
      </c>
      <c r="C14" s="4" t="s">
        <v>102</v>
      </c>
      <c r="D14" s="2">
        <v>1581327</v>
      </c>
      <c r="E14" s="4" t="s">
        <v>103</v>
      </c>
      <c r="F14" s="4" t="s">
        <v>104</v>
      </c>
      <c r="G14" s="2">
        <v>459016451</v>
      </c>
      <c r="H14" s="4" t="s">
        <v>105</v>
      </c>
      <c r="I14" s="4" t="s">
        <v>46</v>
      </c>
      <c r="J14" s="4" t="s">
        <v>47</v>
      </c>
      <c r="K14" s="4" t="s">
        <v>48</v>
      </c>
      <c r="L14" s="3">
        <v>45778</v>
      </c>
      <c r="M14" s="4" t="s">
        <v>106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70</v>
      </c>
      <c r="U14" s="4" t="s">
        <v>46</v>
      </c>
      <c r="V14" s="5">
        <v>0</v>
      </c>
      <c r="W14" s="5">
        <v>0</v>
      </c>
      <c r="X14" s="5">
        <v>100</v>
      </c>
      <c r="Y14" s="5">
        <v>-130.41</v>
      </c>
      <c r="Z14" s="4" t="s">
        <v>46</v>
      </c>
      <c r="AA14" s="5" t="s">
        <v>46</v>
      </c>
      <c r="AB14" s="4" t="s">
        <v>71</v>
      </c>
      <c r="AC14" s="4" t="s">
        <v>46</v>
      </c>
      <c r="AD14" s="5">
        <v>0</v>
      </c>
      <c r="AE14" s="4" t="s">
        <v>72</v>
      </c>
      <c r="AF14" s="3">
        <v>45778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107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45868</v>
      </c>
      <c r="C15" s="4" t="s">
        <v>102</v>
      </c>
      <c r="D15" s="2">
        <v>1581327</v>
      </c>
      <c r="E15" s="4" t="s">
        <v>103</v>
      </c>
      <c r="F15" s="4" t="s">
        <v>104</v>
      </c>
      <c r="G15" s="2">
        <v>459016451</v>
      </c>
      <c r="H15" s="4" t="s">
        <v>105</v>
      </c>
      <c r="I15" s="4" t="s">
        <v>46</v>
      </c>
      <c r="J15" s="4" t="s">
        <v>47</v>
      </c>
      <c r="K15" s="4" t="s">
        <v>48</v>
      </c>
      <c r="L15" s="3">
        <v>45778</v>
      </c>
      <c r="M15" s="4" t="s">
        <v>106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70</v>
      </c>
      <c r="U15" s="4" t="s">
        <v>46</v>
      </c>
      <c r="V15" s="5">
        <v>-0.42</v>
      </c>
      <c r="W15" s="5">
        <v>0</v>
      </c>
      <c r="X15" s="5">
        <v>100</v>
      </c>
      <c r="Y15" s="5">
        <v>-130.41999999999999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45778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107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45868</v>
      </c>
      <c r="C16" s="4" t="s">
        <v>108</v>
      </c>
      <c r="D16" s="2">
        <v>1703942</v>
      </c>
      <c r="E16" s="4" t="s">
        <v>109</v>
      </c>
      <c r="F16" s="4" t="s">
        <v>110</v>
      </c>
      <c r="G16" s="2">
        <v>2723420</v>
      </c>
      <c r="H16" s="4" t="s">
        <v>111</v>
      </c>
      <c r="I16" s="4" t="s">
        <v>46</v>
      </c>
      <c r="J16" s="4" t="s">
        <v>47</v>
      </c>
      <c r="K16" s="4" t="s">
        <v>48</v>
      </c>
      <c r="L16" s="3">
        <v>45689</v>
      </c>
      <c r="M16" s="4" t="s">
        <v>112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70</v>
      </c>
      <c r="U16" s="4" t="s">
        <v>46</v>
      </c>
      <c r="V16" s="5">
        <v>0</v>
      </c>
      <c r="W16" s="5">
        <v>0</v>
      </c>
      <c r="X16" s="5">
        <v>100</v>
      </c>
      <c r="Y16" s="5">
        <v>182.58</v>
      </c>
      <c r="Z16" s="4" t="s">
        <v>46</v>
      </c>
      <c r="AA16" s="5" t="s">
        <v>46</v>
      </c>
      <c r="AB16" s="4" t="s">
        <v>71</v>
      </c>
      <c r="AC16" s="4" t="s">
        <v>46</v>
      </c>
      <c r="AD16" s="5">
        <v>0</v>
      </c>
      <c r="AE16" s="4" t="s">
        <v>72</v>
      </c>
      <c r="AF16" s="3">
        <v>45689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113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45868</v>
      </c>
      <c r="C17" s="4" t="s">
        <v>108</v>
      </c>
      <c r="D17" s="2">
        <v>1703942</v>
      </c>
      <c r="E17" s="4" t="s">
        <v>109</v>
      </c>
      <c r="F17" s="4" t="s">
        <v>110</v>
      </c>
      <c r="G17" s="2">
        <v>2723420</v>
      </c>
      <c r="H17" s="4" t="s">
        <v>111</v>
      </c>
      <c r="I17" s="4" t="s">
        <v>46</v>
      </c>
      <c r="J17" s="4" t="s">
        <v>47</v>
      </c>
      <c r="K17" s="4" t="s">
        <v>48</v>
      </c>
      <c r="L17" s="3">
        <v>45689</v>
      </c>
      <c r="M17" s="4" t="s">
        <v>112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70</v>
      </c>
      <c r="U17" s="4" t="s">
        <v>46</v>
      </c>
      <c r="V17" s="5">
        <v>0.42</v>
      </c>
      <c r="W17" s="5">
        <v>0</v>
      </c>
      <c r="X17" s="5">
        <v>100</v>
      </c>
      <c r="Y17" s="5">
        <v>130.41999999999999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45689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113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45868</v>
      </c>
      <c r="C18" s="4" t="s">
        <v>114</v>
      </c>
      <c r="D18" s="2">
        <v>1832195</v>
      </c>
      <c r="E18" s="4" t="s">
        <v>115</v>
      </c>
      <c r="F18" s="4" t="s">
        <v>116</v>
      </c>
      <c r="G18" s="2">
        <v>734476003</v>
      </c>
      <c r="H18" s="4" t="s">
        <v>117</v>
      </c>
      <c r="I18" s="4" t="s">
        <v>46</v>
      </c>
      <c r="J18" s="4" t="s">
        <v>47</v>
      </c>
      <c r="K18" s="4" t="s">
        <v>48</v>
      </c>
      <c r="L18" s="3">
        <v>45870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118</v>
      </c>
      <c r="U18" s="4" t="s">
        <v>46</v>
      </c>
      <c r="V18" s="5">
        <v>0.42</v>
      </c>
      <c r="W18" s="5">
        <v>0</v>
      </c>
      <c r="X18" s="5">
        <v>100</v>
      </c>
      <c r="Y18" s="5">
        <v>130.41999999999999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45870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107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45868</v>
      </c>
      <c r="C19" s="4" t="s">
        <v>119</v>
      </c>
      <c r="D19" s="2">
        <v>1855975</v>
      </c>
      <c r="E19" s="4" t="s">
        <v>120</v>
      </c>
      <c r="F19" s="4" t="s">
        <v>121</v>
      </c>
      <c r="G19" s="2">
        <v>645589474</v>
      </c>
      <c r="H19" s="4" t="s">
        <v>122</v>
      </c>
      <c r="I19" s="4" t="s">
        <v>46</v>
      </c>
      <c r="J19" s="4" t="s">
        <v>47</v>
      </c>
      <c r="K19" s="4" t="s">
        <v>48</v>
      </c>
      <c r="L19" s="3">
        <v>45870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0.42</v>
      </c>
      <c r="W19" s="5">
        <v>0</v>
      </c>
      <c r="X19" s="5">
        <v>100</v>
      </c>
      <c r="Y19" s="5">
        <v>130.41999999999999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45870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45868</v>
      </c>
      <c r="C20" s="4" t="s">
        <v>123</v>
      </c>
      <c r="D20" s="2">
        <v>1913090</v>
      </c>
      <c r="E20" s="4" t="s">
        <v>124</v>
      </c>
      <c r="F20" s="4" t="s">
        <v>125</v>
      </c>
      <c r="G20" s="2">
        <v>958095304</v>
      </c>
      <c r="H20" s="4" t="s">
        <v>126</v>
      </c>
      <c r="I20" s="4" t="s">
        <v>46</v>
      </c>
      <c r="J20" s="4" t="s">
        <v>47</v>
      </c>
      <c r="K20" s="4" t="s">
        <v>48</v>
      </c>
      <c r="L20" s="3">
        <v>45870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0.42</v>
      </c>
      <c r="W20" s="5">
        <v>0</v>
      </c>
      <c r="X20" s="5">
        <v>100</v>
      </c>
      <c r="Y20" s="5">
        <v>130.41999999999999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45870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45868</v>
      </c>
      <c r="C21" s="4" t="s">
        <v>123</v>
      </c>
      <c r="D21" s="2">
        <v>1913090</v>
      </c>
      <c r="E21" s="4" t="s">
        <v>127</v>
      </c>
      <c r="F21" s="4" t="s">
        <v>128</v>
      </c>
      <c r="G21" s="2">
        <v>52566133</v>
      </c>
      <c r="H21" s="4" t="s">
        <v>129</v>
      </c>
      <c r="I21" s="4" t="s">
        <v>46</v>
      </c>
      <c r="J21" s="4" t="s">
        <v>47</v>
      </c>
      <c r="K21" s="4" t="s">
        <v>48</v>
      </c>
      <c r="L21" s="3">
        <v>45901</v>
      </c>
      <c r="M21" s="4" t="s">
        <v>80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0.33</v>
      </c>
      <c r="W21" s="5">
        <v>0</v>
      </c>
      <c r="X21" s="5">
        <v>100</v>
      </c>
      <c r="Y21" s="5">
        <v>104.33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45901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45868</v>
      </c>
      <c r="C22" s="4" t="s">
        <v>130</v>
      </c>
      <c r="D22" s="2">
        <v>1970242</v>
      </c>
      <c r="E22" s="4" t="s">
        <v>131</v>
      </c>
      <c r="F22" s="4" t="s">
        <v>132</v>
      </c>
      <c r="G22" s="2">
        <v>740018114</v>
      </c>
      <c r="H22" s="4" t="s">
        <v>133</v>
      </c>
      <c r="I22" s="4" t="s">
        <v>46</v>
      </c>
      <c r="J22" s="4" t="s">
        <v>47</v>
      </c>
      <c r="K22" s="4" t="s">
        <v>48</v>
      </c>
      <c r="L22" s="3">
        <v>45870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70</v>
      </c>
      <c r="U22" s="4" t="s">
        <v>46</v>
      </c>
      <c r="V22" s="5">
        <v>0.42</v>
      </c>
      <c r="W22" s="5">
        <v>0</v>
      </c>
      <c r="X22" s="5">
        <v>100</v>
      </c>
      <c r="Y22" s="5">
        <v>130.41999999999999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45870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95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45868</v>
      </c>
      <c r="C23" s="4" t="s">
        <v>134</v>
      </c>
      <c r="D23" s="2">
        <v>1982112</v>
      </c>
      <c r="E23" s="4" t="s">
        <v>135</v>
      </c>
      <c r="F23" s="4" t="s">
        <v>136</v>
      </c>
      <c r="G23" s="2">
        <v>18784203</v>
      </c>
      <c r="H23" s="4" t="s">
        <v>137</v>
      </c>
      <c r="I23" s="4" t="s">
        <v>46</v>
      </c>
      <c r="J23" s="4" t="s">
        <v>47</v>
      </c>
      <c r="K23" s="4" t="s">
        <v>48</v>
      </c>
      <c r="L23" s="3">
        <v>45870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60</v>
      </c>
      <c r="U23" s="4" t="s">
        <v>46</v>
      </c>
      <c r="V23" s="5">
        <v>0.42</v>
      </c>
      <c r="W23" s="5">
        <v>0</v>
      </c>
      <c r="X23" s="5">
        <v>100</v>
      </c>
      <c r="Y23" s="5">
        <v>22.92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45870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61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45868</v>
      </c>
      <c r="C24" s="4" t="s">
        <v>134</v>
      </c>
      <c r="D24" s="2">
        <v>1982112</v>
      </c>
      <c r="E24" s="4" t="s">
        <v>138</v>
      </c>
      <c r="F24" s="4" t="s">
        <v>139</v>
      </c>
      <c r="G24" s="2">
        <v>908960419</v>
      </c>
      <c r="H24" s="4" t="s">
        <v>140</v>
      </c>
      <c r="I24" s="4" t="s">
        <v>46</v>
      </c>
      <c r="J24" s="4" t="s">
        <v>47</v>
      </c>
      <c r="K24" s="4" t="s">
        <v>48</v>
      </c>
      <c r="L24" s="3">
        <v>45901</v>
      </c>
      <c r="M24" s="4" t="s">
        <v>80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60</v>
      </c>
      <c r="U24" s="4" t="s">
        <v>46</v>
      </c>
      <c r="V24" s="5">
        <v>0.33</v>
      </c>
      <c r="W24" s="5">
        <v>0</v>
      </c>
      <c r="X24" s="5">
        <v>100</v>
      </c>
      <c r="Y24" s="5">
        <v>18.329999999999998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45901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61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45868</v>
      </c>
      <c r="C25" s="4" t="s">
        <v>141</v>
      </c>
      <c r="D25" s="2">
        <v>1982315</v>
      </c>
      <c r="E25" s="4" t="s">
        <v>142</v>
      </c>
      <c r="F25" s="4" t="s">
        <v>143</v>
      </c>
      <c r="G25" s="2">
        <v>63043064</v>
      </c>
      <c r="H25" s="4" t="s">
        <v>144</v>
      </c>
      <c r="I25" s="4" t="s">
        <v>46</v>
      </c>
      <c r="J25" s="4" t="s">
        <v>47</v>
      </c>
      <c r="K25" s="4" t="s">
        <v>48</v>
      </c>
      <c r="L25" s="3">
        <v>45870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60</v>
      </c>
      <c r="U25" s="4" t="s">
        <v>46</v>
      </c>
      <c r="V25" s="5">
        <v>0.42</v>
      </c>
      <c r="W25" s="5">
        <v>0</v>
      </c>
      <c r="X25" s="5">
        <v>100</v>
      </c>
      <c r="Y25" s="5">
        <v>22.92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45870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61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45868</v>
      </c>
      <c r="C26" s="4" t="s">
        <v>84</v>
      </c>
      <c r="D26" s="2">
        <v>1510420</v>
      </c>
      <c r="E26" s="4" t="s">
        <v>145</v>
      </c>
      <c r="F26" s="4" t="s">
        <v>146</v>
      </c>
      <c r="G26" s="4" t="s">
        <v>46</v>
      </c>
      <c r="H26" s="4" t="s">
        <v>46</v>
      </c>
      <c r="I26" s="4" t="s">
        <v>46</v>
      </c>
      <c r="J26" s="4" t="s">
        <v>147</v>
      </c>
      <c r="K26" s="4" t="s">
        <v>148</v>
      </c>
      <c r="L26" s="3">
        <v>45870</v>
      </c>
      <c r="M26" s="4" t="s">
        <v>49</v>
      </c>
      <c r="N26" s="4" t="s">
        <v>46</v>
      </c>
      <c r="O26" s="4" t="s">
        <v>149</v>
      </c>
      <c r="P26" s="4" t="s">
        <v>149</v>
      </c>
      <c r="Q26" s="2">
        <v>1</v>
      </c>
      <c r="R26" s="2">
        <v>3</v>
      </c>
      <c r="S26" s="4" t="s">
        <v>150</v>
      </c>
      <c r="T26" s="4" t="s">
        <v>46</v>
      </c>
      <c r="U26" s="4" t="s">
        <v>46</v>
      </c>
      <c r="V26" s="5">
        <v>10</v>
      </c>
      <c r="W26" s="5">
        <v>52.78</v>
      </c>
      <c r="X26" s="5">
        <v>100</v>
      </c>
      <c r="Y26" s="5">
        <v>5.28</v>
      </c>
      <c r="Z26" s="4" t="s">
        <v>46</v>
      </c>
      <c r="AA26" s="5" t="s">
        <v>46</v>
      </c>
      <c r="AB26" s="4" t="s">
        <v>151</v>
      </c>
      <c r="AC26" s="4" t="s">
        <v>46</v>
      </c>
      <c r="AD26" s="5">
        <v>0</v>
      </c>
      <c r="AE26" s="4" t="s">
        <v>152</v>
      </c>
      <c r="AF26" s="3">
        <v>44586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45868</v>
      </c>
      <c r="C27" s="4" t="s">
        <v>153</v>
      </c>
      <c r="D27" s="2">
        <v>1673763</v>
      </c>
      <c r="E27" s="4" t="s">
        <v>154</v>
      </c>
      <c r="F27" s="4" t="s">
        <v>155</v>
      </c>
      <c r="G27" s="4" t="s">
        <v>46</v>
      </c>
      <c r="H27" s="4" t="s">
        <v>46</v>
      </c>
      <c r="I27" s="4" t="s">
        <v>46</v>
      </c>
      <c r="J27" s="4" t="s">
        <v>156</v>
      </c>
      <c r="K27" s="4" t="s">
        <v>48</v>
      </c>
      <c r="L27" s="3">
        <v>45870</v>
      </c>
      <c r="M27" s="4" t="s">
        <v>49</v>
      </c>
      <c r="N27" s="4" t="s">
        <v>46</v>
      </c>
      <c r="O27" s="4" t="s">
        <v>149</v>
      </c>
      <c r="P27" s="4" t="s">
        <v>149</v>
      </c>
      <c r="Q27" s="2">
        <v>1</v>
      </c>
      <c r="R27" s="2">
        <v>17</v>
      </c>
      <c r="S27" s="4" t="s">
        <v>51</v>
      </c>
      <c r="T27" s="4" t="s">
        <v>46</v>
      </c>
      <c r="U27" s="4" t="s">
        <v>46</v>
      </c>
      <c r="V27" s="5">
        <v>22</v>
      </c>
      <c r="W27" s="5">
        <v>146.72999999999999</v>
      </c>
      <c r="X27" s="5">
        <v>100</v>
      </c>
      <c r="Y27" s="5">
        <v>32.28</v>
      </c>
      <c r="Z27" s="5">
        <v>0</v>
      </c>
      <c r="AA27" s="5">
        <v>0</v>
      </c>
      <c r="AB27" s="4" t="s">
        <v>157</v>
      </c>
      <c r="AC27" s="4" t="s">
        <v>46</v>
      </c>
      <c r="AD27" s="5">
        <v>0</v>
      </c>
      <c r="AE27" s="4" t="s">
        <v>158</v>
      </c>
      <c r="AF27" s="3">
        <v>45444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45868</v>
      </c>
      <c r="C28" s="4" t="s">
        <v>153</v>
      </c>
      <c r="D28" s="2">
        <v>1673763</v>
      </c>
      <c r="E28" s="4" t="s">
        <v>159</v>
      </c>
      <c r="F28" s="4" t="s">
        <v>160</v>
      </c>
      <c r="G28" s="4" t="s">
        <v>46</v>
      </c>
      <c r="H28" s="4" t="s">
        <v>46</v>
      </c>
      <c r="I28" s="4" t="s">
        <v>46</v>
      </c>
      <c r="J28" s="4" t="s">
        <v>147</v>
      </c>
      <c r="K28" s="4" t="s">
        <v>148</v>
      </c>
      <c r="L28" s="3">
        <v>45870</v>
      </c>
      <c r="M28" s="4" t="s">
        <v>49</v>
      </c>
      <c r="N28" s="4" t="s">
        <v>46</v>
      </c>
      <c r="O28" s="4" t="s">
        <v>50</v>
      </c>
      <c r="P28" s="4" t="s">
        <v>149</v>
      </c>
      <c r="Q28" s="2">
        <v>1</v>
      </c>
      <c r="R28" s="2">
        <v>60</v>
      </c>
      <c r="S28" s="4" t="s">
        <v>161</v>
      </c>
      <c r="T28" s="4" t="s">
        <v>46</v>
      </c>
      <c r="U28" s="4" t="s">
        <v>46</v>
      </c>
      <c r="V28" s="5">
        <v>10</v>
      </c>
      <c r="W28" s="5">
        <v>12.99</v>
      </c>
      <c r="X28" s="5">
        <v>100</v>
      </c>
      <c r="Y28" s="5">
        <v>1.3</v>
      </c>
      <c r="Z28" s="4" t="s">
        <v>46</v>
      </c>
      <c r="AA28" s="5" t="s">
        <v>46</v>
      </c>
      <c r="AB28" s="4" t="s">
        <v>162</v>
      </c>
      <c r="AC28" s="4" t="s">
        <v>46</v>
      </c>
      <c r="AD28" s="5">
        <v>0</v>
      </c>
      <c r="AE28" s="4" t="s">
        <v>163</v>
      </c>
      <c r="AF28" s="3">
        <v>45839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45868</v>
      </c>
      <c r="C29" s="4" t="s">
        <v>164</v>
      </c>
      <c r="D29" s="2">
        <v>1755893</v>
      </c>
      <c r="E29" s="4" t="s">
        <v>165</v>
      </c>
      <c r="F29" s="4" t="s">
        <v>166</v>
      </c>
      <c r="G29" s="4" t="s">
        <v>46</v>
      </c>
      <c r="H29" s="4" t="s">
        <v>46</v>
      </c>
      <c r="I29" s="4" t="s">
        <v>46</v>
      </c>
      <c r="J29" s="4" t="s">
        <v>147</v>
      </c>
      <c r="K29" s="4" t="s">
        <v>148</v>
      </c>
      <c r="L29" s="3">
        <v>45870</v>
      </c>
      <c r="M29" s="4" t="s">
        <v>49</v>
      </c>
      <c r="N29" s="4" t="s">
        <v>46</v>
      </c>
      <c r="O29" s="4" t="s">
        <v>50</v>
      </c>
      <c r="P29" s="4" t="s">
        <v>149</v>
      </c>
      <c r="Q29" s="2">
        <v>2</v>
      </c>
      <c r="R29" s="2">
        <v>60</v>
      </c>
      <c r="S29" s="4" t="s">
        <v>161</v>
      </c>
      <c r="T29" s="4" t="s">
        <v>46</v>
      </c>
      <c r="U29" s="4" t="s">
        <v>46</v>
      </c>
      <c r="V29" s="5">
        <v>10</v>
      </c>
      <c r="W29" s="5">
        <v>23.99</v>
      </c>
      <c r="X29" s="5">
        <v>100</v>
      </c>
      <c r="Y29" s="5">
        <v>37.4</v>
      </c>
      <c r="Z29" s="4" t="s">
        <v>46</v>
      </c>
      <c r="AA29" s="5" t="s">
        <v>46</v>
      </c>
      <c r="AB29" s="4" t="s">
        <v>162</v>
      </c>
      <c r="AC29" s="4" t="s">
        <v>46</v>
      </c>
      <c r="AD29" s="5">
        <v>0</v>
      </c>
      <c r="AE29" s="4" t="s">
        <v>163</v>
      </c>
      <c r="AF29" s="3">
        <v>45871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45868</v>
      </c>
      <c r="C30" s="4" t="s">
        <v>167</v>
      </c>
      <c r="D30" s="2">
        <v>1831491</v>
      </c>
      <c r="E30" s="4" t="s">
        <v>168</v>
      </c>
      <c r="F30" s="4" t="s">
        <v>169</v>
      </c>
      <c r="G30" s="4" t="s">
        <v>46</v>
      </c>
      <c r="H30" s="4" t="s">
        <v>46</v>
      </c>
      <c r="I30" s="4" t="s">
        <v>46</v>
      </c>
      <c r="J30" s="4" t="s">
        <v>147</v>
      </c>
      <c r="K30" s="4" t="s">
        <v>148</v>
      </c>
      <c r="L30" s="3">
        <v>45870</v>
      </c>
      <c r="M30" s="4" t="s">
        <v>49</v>
      </c>
      <c r="N30" s="4" t="s">
        <v>46</v>
      </c>
      <c r="O30" s="4" t="s">
        <v>50</v>
      </c>
      <c r="P30" s="4" t="s">
        <v>149</v>
      </c>
      <c r="Q30" s="2">
        <v>2</v>
      </c>
      <c r="R30" s="2">
        <v>60</v>
      </c>
      <c r="S30" s="4" t="s">
        <v>161</v>
      </c>
      <c r="T30" s="4" t="s">
        <v>46</v>
      </c>
      <c r="U30" s="4" t="s">
        <v>46</v>
      </c>
      <c r="V30" s="5">
        <v>10</v>
      </c>
      <c r="W30" s="5">
        <v>26.88</v>
      </c>
      <c r="X30" s="5">
        <v>100</v>
      </c>
      <c r="Y30" s="5">
        <v>2.69</v>
      </c>
      <c r="Z30" s="4" t="s">
        <v>46</v>
      </c>
      <c r="AA30" s="5" t="s">
        <v>46</v>
      </c>
      <c r="AB30" s="4" t="s">
        <v>162</v>
      </c>
      <c r="AC30" s="4" t="s">
        <v>46</v>
      </c>
      <c r="AD30" s="5">
        <v>0</v>
      </c>
      <c r="AE30" s="4" t="s">
        <v>163</v>
      </c>
      <c r="AF30" s="3">
        <v>45808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45868</v>
      </c>
      <c r="C31" s="4" t="s">
        <v>167</v>
      </c>
      <c r="D31" s="2">
        <v>1831491</v>
      </c>
      <c r="E31" s="4" t="s">
        <v>170</v>
      </c>
      <c r="F31" s="4" t="s">
        <v>171</v>
      </c>
      <c r="G31" s="4" t="s">
        <v>46</v>
      </c>
      <c r="H31" s="4" t="s">
        <v>46</v>
      </c>
      <c r="I31" s="4" t="s">
        <v>46</v>
      </c>
      <c r="J31" s="4" t="s">
        <v>147</v>
      </c>
      <c r="K31" s="4" t="s">
        <v>148</v>
      </c>
      <c r="L31" s="3">
        <v>45870</v>
      </c>
      <c r="M31" s="4" t="s">
        <v>49</v>
      </c>
      <c r="N31" s="4" t="s">
        <v>46</v>
      </c>
      <c r="O31" s="4" t="s">
        <v>50</v>
      </c>
      <c r="P31" s="4" t="s">
        <v>149</v>
      </c>
      <c r="Q31" s="2">
        <v>2</v>
      </c>
      <c r="R31" s="2">
        <v>60</v>
      </c>
      <c r="S31" s="4" t="s">
        <v>161</v>
      </c>
      <c r="T31" s="4" t="s">
        <v>46</v>
      </c>
      <c r="U31" s="4" t="s">
        <v>46</v>
      </c>
      <c r="V31" s="5">
        <v>10</v>
      </c>
      <c r="W31" s="5">
        <v>26.88</v>
      </c>
      <c r="X31" s="5">
        <v>100</v>
      </c>
      <c r="Y31" s="5">
        <v>2.69</v>
      </c>
      <c r="Z31" s="4" t="s">
        <v>46</v>
      </c>
      <c r="AA31" s="5" t="s">
        <v>46</v>
      </c>
      <c r="AB31" s="4" t="s">
        <v>162</v>
      </c>
      <c r="AC31" s="4" t="s">
        <v>46</v>
      </c>
      <c r="AD31" s="5">
        <v>0</v>
      </c>
      <c r="AE31" s="4" t="s">
        <v>163</v>
      </c>
      <c r="AF31" s="3">
        <v>45808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45868</v>
      </c>
      <c r="C32" s="4" t="s">
        <v>167</v>
      </c>
      <c r="D32" s="2">
        <v>1831491</v>
      </c>
      <c r="E32" s="4" t="s">
        <v>170</v>
      </c>
      <c r="F32" s="4" t="s">
        <v>172</v>
      </c>
      <c r="G32" s="4" t="s">
        <v>46</v>
      </c>
      <c r="H32" s="4" t="s">
        <v>46</v>
      </c>
      <c r="I32" s="4" t="s">
        <v>46</v>
      </c>
      <c r="J32" s="4" t="s">
        <v>147</v>
      </c>
      <c r="K32" s="4" t="s">
        <v>148</v>
      </c>
      <c r="L32" s="3">
        <v>45870</v>
      </c>
      <c r="M32" s="4" t="s">
        <v>49</v>
      </c>
      <c r="N32" s="4" t="s">
        <v>46</v>
      </c>
      <c r="O32" s="4" t="s">
        <v>50</v>
      </c>
      <c r="P32" s="4" t="s">
        <v>149</v>
      </c>
      <c r="Q32" s="2">
        <v>2</v>
      </c>
      <c r="R32" s="2">
        <v>60</v>
      </c>
      <c r="S32" s="4" t="s">
        <v>161</v>
      </c>
      <c r="T32" s="4" t="s">
        <v>46</v>
      </c>
      <c r="U32" s="4" t="s">
        <v>46</v>
      </c>
      <c r="V32" s="5">
        <v>10</v>
      </c>
      <c r="W32" s="5">
        <v>26.88</v>
      </c>
      <c r="X32" s="5">
        <v>100</v>
      </c>
      <c r="Y32" s="5">
        <v>2.69</v>
      </c>
      <c r="Z32" s="4" t="s">
        <v>46</v>
      </c>
      <c r="AA32" s="5" t="s">
        <v>46</v>
      </c>
      <c r="AB32" s="4" t="s">
        <v>162</v>
      </c>
      <c r="AC32" s="4" t="s">
        <v>46</v>
      </c>
      <c r="AD32" s="5">
        <v>0</v>
      </c>
      <c r="AE32" s="4" t="s">
        <v>163</v>
      </c>
      <c r="AF32" s="3">
        <v>45808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45868</v>
      </c>
      <c r="C33" s="4" t="s">
        <v>167</v>
      </c>
      <c r="D33" s="2">
        <v>1831491</v>
      </c>
      <c r="E33" s="4" t="s">
        <v>173</v>
      </c>
      <c r="F33" s="4" t="s">
        <v>174</v>
      </c>
      <c r="G33" s="4" t="s">
        <v>46</v>
      </c>
      <c r="H33" s="4" t="s">
        <v>46</v>
      </c>
      <c r="I33" s="4" t="s">
        <v>46</v>
      </c>
      <c r="J33" s="4" t="s">
        <v>147</v>
      </c>
      <c r="K33" s="4" t="s">
        <v>148</v>
      </c>
      <c r="L33" s="3">
        <v>45870</v>
      </c>
      <c r="M33" s="4" t="s">
        <v>49</v>
      </c>
      <c r="N33" s="4" t="s">
        <v>46</v>
      </c>
      <c r="O33" s="4" t="s">
        <v>50</v>
      </c>
      <c r="P33" s="4" t="s">
        <v>149</v>
      </c>
      <c r="Q33" s="2">
        <v>2</v>
      </c>
      <c r="R33" s="2">
        <v>60</v>
      </c>
      <c r="S33" s="4" t="s">
        <v>161</v>
      </c>
      <c r="T33" s="4" t="s">
        <v>46</v>
      </c>
      <c r="U33" s="4" t="s">
        <v>46</v>
      </c>
      <c r="V33" s="5">
        <v>10</v>
      </c>
      <c r="W33" s="5">
        <v>26.88</v>
      </c>
      <c r="X33" s="5">
        <v>100</v>
      </c>
      <c r="Y33" s="5">
        <v>2.69</v>
      </c>
      <c r="Z33" s="4" t="s">
        <v>46</v>
      </c>
      <c r="AA33" s="5" t="s">
        <v>46</v>
      </c>
      <c r="AB33" s="4" t="s">
        <v>162</v>
      </c>
      <c r="AC33" s="4" t="s">
        <v>46</v>
      </c>
      <c r="AD33" s="5">
        <v>0</v>
      </c>
      <c r="AE33" s="4" t="s">
        <v>163</v>
      </c>
      <c r="AF33" s="3">
        <v>45808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45868</v>
      </c>
      <c r="C34" s="4" t="s">
        <v>167</v>
      </c>
      <c r="D34" s="2">
        <v>1831491</v>
      </c>
      <c r="E34" s="4" t="s">
        <v>175</v>
      </c>
      <c r="F34" s="4" t="s">
        <v>176</v>
      </c>
      <c r="G34" s="4" t="s">
        <v>46</v>
      </c>
      <c r="H34" s="4" t="s">
        <v>46</v>
      </c>
      <c r="I34" s="4" t="s">
        <v>46</v>
      </c>
      <c r="J34" s="4" t="s">
        <v>147</v>
      </c>
      <c r="K34" s="4" t="s">
        <v>148</v>
      </c>
      <c r="L34" s="3">
        <v>45870</v>
      </c>
      <c r="M34" s="4" t="s">
        <v>49</v>
      </c>
      <c r="N34" s="4" t="s">
        <v>46</v>
      </c>
      <c r="O34" s="4" t="s">
        <v>50</v>
      </c>
      <c r="P34" s="4" t="s">
        <v>149</v>
      </c>
      <c r="Q34" s="2">
        <v>1</v>
      </c>
      <c r="R34" s="2">
        <v>60</v>
      </c>
      <c r="S34" s="4" t="s">
        <v>161</v>
      </c>
      <c r="T34" s="4" t="s">
        <v>46</v>
      </c>
      <c r="U34" s="4" t="s">
        <v>46</v>
      </c>
      <c r="V34" s="5">
        <v>10</v>
      </c>
      <c r="W34" s="5">
        <v>13.93</v>
      </c>
      <c r="X34" s="5">
        <v>100</v>
      </c>
      <c r="Y34" s="5">
        <v>1.39</v>
      </c>
      <c r="Z34" s="4" t="s">
        <v>46</v>
      </c>
      <c r="AA34" s="5" t="s">
        <v>46</v>
      </c>
      <c r="AB34" s="4" t="s">
        <v>162</v>
      </c>
      <c r="AC34" s="4" t="s">
        <v>46</v>
      </c>
      <c r="AD34" s="5">
        <v>0</v>
      </c>
      <c r="AE34" s="4" t="s">
        <v>163</v>
      </c>
      <c r="AF34" s="3">
        <v>45809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45868</v>
      </c>
      <c r="C35" s="4" t="s">
        <v>167</v>
      </c>
      <c r="D35" s="2">
        <v>1831491</v>
      </c>
      <c r="E35" s="4" t="s">
        <v>177</v>
      </c>
      <c r="F35" s="4" t="s">
        <v>178</v>
      </c>
      <c r="G35" s="4" t="s">
        <v>46</v>
      </c>
      <c r="H35" s="4" t="s">
        <v>46</v>
      </c>
      <c r="I35" s="4" t="s">
        <v>46</v>
      </c>
      <c r="J35" s="4" t="s">
        <v>147</v>
      </c>
      <c r="K35" s="4" t="s">
        <v>148</v>
      </c>
      <c r="L35" s="3">
        <v>45870</v>
      </c>
      <c r="M35" s="4" t="s">
        <v>49</v>
      </c>
      <c r="N35" s="4" t="s">
        <v>46</v>
      </c>
      <c r="O35" s="4" t="s">
        <v>50</v>
      </c>
      <c r="P35" s="4" t="s">
        <v>149</v>
      </c>
      <c r="Q35" s="2">
        <v>6</v>
      </c>
      <c r="R35" s="2">
        <v>60</v>
      </c>
      <c r="S35" s="4" t="s">
        <v>161</v>
      </c>
      <c r="T35" s="4" t="s">
        <v>46</v>
      </c>
      <c r="U35" s="4" t="s">
        <v>46</v>
      </c>
      <c r="V35" s="5">
        <v>10</v>
      </c>
      <c r="W35" s="5">
        <v>46.8</v>
      </c>
      <c r="X35" s="5">
        <v>100</v>
      </c>
      <c r="Y35" s="5">
        <v>4.68</v>
      </c>
      <c r="Z35" s="4" t="s">
        <v>46</v>
      </c>
      <c r="AA35" s="5" t="s">
        <v>46</v>
      </c>
      <c r="AB35" s="4" t="s">
        <v>162</v>
      </c>
      <c r="AC35" s="4" t="s">
        <v>46</v>
      </c>
      <c r="AD35" s="5">
        <v>0</v>
      </c>
      <c r="AE35" s="4" t="s">
        <v>163</v>
      </c>
      <c r="AF35" s="3">
        <v>45809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45868</v>
      </c>
      <c r="C36" s="4" t="s">
        <v>167</v>
      </c>
      <c r="D36" s="2">
        <v>1831491</v>
      </c>
      <c r="E36" s="4" t="s">
        <v>179</v>
      </c>
      <c r="F36" s="4" t="s">
        <v>180</v>
      </c>
      <c r="G36" s="4" t="s">
        <v>46</v>
      </c>
      <c r="H36" s="4" t="s">
        <v>46</v>
      </c>
      <c r="I36" s="4" t="s">
        <v>46</v>
      </c>
      <c r="J36" s="4" t="s">
        <v>147</v>
      </c>
      <c r="K36" s="4" t="s">
        <v>148</v>
      </c>
      <c r="L36" s="3">
        <v>45870</v>
      </c>
      <c r="M36" s="4" t="s">
        <v>49</v>
      </c>
      <c r="N36" s="4" t="s">
        <v>46</v>
      </c>
      <c r="O36" s="4" t="s">
        <v>50</v>
      </c>
      <c r="P36" s="4" t="s">
        <v>149</v>
      </c>
      <c r="Q36" s="2">
        <v>2</v>
      </c>
      <c r="R36" s="2">
        <v>60</v>
      </c>
      <c r="S36" s="4" t="s">
        <v>161</v>
      </c>
      <c r="T36" s="4" t="s">
        <v>46</v>
      </c>
      <c r="U36" s="4" t="s">
        <v>46</v>
      </c>
      <c r="V36" s="5">
        <v>10</v>
      </c>
      <c r="W36" s="5">
        <v>26.88</v>
      </c>
      <c r="X36" s="5">
        <v>100</v>
      </c>
      <c r="Y36" s="5">
        <v>2.69</v>
      </c>
      <c r="Z36" s="4" t="s">
        <v>46</v>
      </c>
      <c r="AA36" s="5" t="s">
        <v>46</v>
      </c>
      <c r="AB36" s="4" t="s">
        <v>162</v>
      </c>
      <c r="AC36" s="4" t="s">
        <v>46</v>
      </c>
      <c r="AD36" s="5">
        <v>0</v>
      </c>
      <c r="AE36" s="4" t="s">
        <v>163</v>
      </c>
      <c r="AF36" s="3">
        <v>45809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45868</v>
      </c>
      <c r="C37" s="4" t="s">
        <v>167</v>
      </c>
      <c r="D37" s="2">
        <v>1831491</v>
      </c>
      <c r="E37" s="4" t="s">
        <v>181</v>
      </c>
      <c r="F37" s="4" t="s">
        <v>182</v>
      </c>
      <c r="G37" s="4" t="s">
        <v>46</v>
      </c>
      <c r="H37" s="4" t="s">
        <v>46</v>
      </c>
      <c r="I37" s="4" t="s">
        <v>46</v>
      </c>
      <c r="J37" s="4" t="s">
        <v>147</v>
      </c>
      <c r="K37" s="4" t="s">
        <v>148</v>
      </c>
      <c r="L37" s="3">
        <v>45870</v>
      </c>
      <c r="M37" s="4" t="s">
        <v>49</v>
      </c>
      <c r="N37" s="4" t="s">
        <v>46</v>
      </c>
      <c r="O37" s="4" t="s">
        <v>50</v>
      </c>
      <c r="P37" s="4" t="s">
        <v>149</v>
      </c>
      <c r="Q37" s="2">
        <v>2</v>
      </c>
      <c r="R37" s="2">
        <v>60</v>
      </c>
      <c r="S37" s="4" t="s">
        <v>161</v>
      </c>
      <c r="T37" s="4" t="s">
        <v>46</v>
      </c>
      <c r="U37" s="4" t="s">
        <v>46</v>
      </c>
      <c r="V37" s="5">
        <v>10</v>
      </c>
      <c r="W37" s="5">
        <v>26.88</v>
      </c>
      <c r="X37" s="5">
        <v>100</v>
      </c>
      <c r="Y37" s="5">
        <v>2.69</v>
      </c>
      <c r="Z37" s="4" t="s">
        <v>46</v>
      </c>
      <c r="AA37" s="5" t="s">
        <v>46</v>
      </c>
      <c r="AB37" s="4" t="s">
        <v>162</v>
      </c>
      <c r="AC37" s="4" t="s">
        <v>46</v>
      </c>
      <c r="AD37" s="5">
        <v>0</v>
      </c>
      <c r="AE37" s="4" t="s">
        <v>163</v>
      </c>
      <c r="AF37" s="3">
        <v>45839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45868</v>
      </c>
      <c r="C38" s="4" t="s">
        <v>167</v>
      </c>
      <c r="D38" s="2">
        <v>1831491</v>
      </c>
      <c r="E38" s="4" t="s">
        <v>183</v>
      </c>
      <c r="F38" s="4" t="s">
        <v>184</v>
      </c>
      <c r="G38" s="4" t="s">
        <v>46</v>
      </c>
      <c r="H38" s="4" t="s">
        <v>46</v>
      </c>
      <c r="I38" s="4" t="s">
        <v>46</v>
      </c>
      <c r="J38" s="4" t="s">
        <v>147</v>
      </c>
      <c r="K38" s="4" t="s">
        <v>148</v>
      </c>
      <c r="L38" s="3">
        <v>45870</v>
      </c>
      <c r="M38" s="4" t="s">
        <v>49</v>
      </c>
      <c r="N38" s="4" t="s">
        <v>46</v>
      </c>
      <c r="O38" s="4" t="s">
        <v>50</v>
      </c>
      <c r="P38" s="4" t="s">
        <v>149</v>
      </c>
      <c r="Q38" s="2">
        <v>2</v>
      </c>
      <c r="R38" s="2">
        <v>60</v>
      </c>
      <c r="S38" s="4" t="s">
        <v>161</v>
      </c>
      <c r="T38" s="4" t="s">
        <v>46</v>
      </c>
      <c r="U38" s="4" t="s">
        <v>46</v>
      </c>
      <c r="V38" s="5">
        <v>10</v>
      </c>
      <c r="W38" s="5">
        <v>26.88</v>
      </c>
      <c r="X38" s="5">
        <v>100</v>
      </c>
      <c r="Y38" s="5">
        <v>2.69</v>
      </c>
      <c r="Z38" s="4" t="s">
        <v>46</v>
      </c>
      <c r="AA38" s="5" t="s">
        <v>46</v>
      </c>
      <c r="AB38" s="4" t="s">
        <v>162</v>
      </c>
      <c r="AC38" s="4" t="s">
        <v>46</v>
      </c>
      <c r="AD38" s="5">
        <v>0</v>
      </c>
      <c r="AE38" s="4" t="s">
        <v>163</v>
      </c>
      <c r="AF38" s="3">
        <v>45816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45868</v>
      </c>
      <c r="C39" s="4" t="s">
        <v>167</v>
      </c>
      <c r="D39" s="2">
        <v>1831491</v>
      </c>
      <c r="E39" s="4" t="s">
        <v>185</v>
      </c>
      <c r="F39" s="4" t="s">
        <v>186</v>
      </c>
      <c r="G39" s="4" t="s">
        <v>46</v>
      </c>
      <c r="H39" s="4" t="s">
        <v>46</v>
      </c>
      <c r="I39" s="4" t="s">
        <v>46</v>
      </c>
      <c r="J39" s="4" t="s">
        <v>147</v>
      </c>
      <c r="K39" s="4" t="s">
        <v>148</v>
      </c>
      <c r="L39" s="3">
        <v>45870</v>
      </c>
      <c r="M39" s="4" t="s">
        <v>49</v>
      </c>
      <c r="N39" s="4" t="s">
        <v>46</v>
      </c>
      <c r="O39" s="4" t="s">
        <v>50</v>
      </c>
      <c r="P39" s="4" t="s">
        <v>149</v>
      </c>
      <c r="Q39" s="2">
        <v>2</v>
      </c>
      <c r="R39" s="2">
        <v>60</v>
      </c>
      <c r="S39" s="4" t="s">
        <v>161</v>
      </c>
      <c r="T39" s="4" t="s">
        <v>46</v>
      </c>
      <c r="U39" s="4" t="s">
        <v>46</v>
      </c>
      <c r="V39" s="5">
        <v>10</v>
      </c>
      <c r="W39" s="5">
        <v>26.88</v>
      </c>
      <c r="X39" s="5">
        <v>100</v>
      </c>
      <c r="Y39" s="5">
        <v>2.69</v>
      </c>
      <c r="Z39" s="4" t="s">
        <v>46</v>
      </c>
      <c r="AA39" s="5" t="s">
        <v>46</v>
      </c>
      <c r="AB39" s="4" t="s">
        <v>162</v>
      </c>
      <c r="AC39" s="4" t="s">
        <v>46</v>
      </c>
      <c r="AD39" s="5">
        <v>0</v>
      </c>
      <c r="AE39" s="4" t="s">
        <v>163</v>
      </c>
      <c r="AF39" s="3">
        <v>45839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45868</v>
      </c>
      <c r="C40" s="4" t="s">
        <v>167</v>
      </c>
      <c r="D40" s="2">
        <v>1831491</v>
      </c>
      <c r="E40" s="4" t="s">
        <v>187</v>
      </c>
      <c r="F40" s="4" t="s">
        <v>188</v>
      </c>
      <c r="G40" s="4" t="s">
        <v>46</v>
      </c>
      <c r="H40" s="4" t="s">
        <v>46</v>
      </c>
      <c r="I40" s="4" t="s">
        <v>46</v>
      </c>
      <c r="J40" s="4" t="s">
        <v>147</v>
      </c>
      <c r="K40" s="4" t="s">
        <v>148</v>
      </c>
      <c r="L40" s="3">
        <v>45870</v>
      </c>
      <c r="M40" s="4" t="s">
        <v>49</v>
      </c>
      <c r="N40" s="4" t="s">
        <v>46</v>
      </c>
      <c r="O40" s="4" t="s">
        <v>50</v>
      </c>
      <c r="P40" s="4" t="s">
        <v>149</v>
      </c>
      <c r="Q40" s="2">
        <v>1</v>
      </c>
      <c r="R40" s="2">
        <v>60</v>
      </c>
      <c r="S40" s="4" t="s">
        <v>161</v>
      </c>
      <c r="T40" s="4" t="s">
        <v>46</v>
      </c>
      <c r="U40" s="4" t="s">
        <v>46</v>
      </c>
      <c r="V40" s="5">
        <v>10</v>
      </c>
      <c r="W40" s="5">
        <v>13.93</v>
      </c>
      <c r="X40" s="5">
        <v>100</v>
      </c>
      <c r="Y40" s="5">
        <v>1.39</v>
      </c>
      <c r="Z40" s="4" t="s">
        <v>46</v>
      </c>
      <c r="AA40" s="5" t="s">
        <v>46</v>
      </c>
      <c r="AB40" s="4" t="s">
        <v>162</v>
      </c>
      <c r="AC40" s="4" t="s">
        <v>46</v>
      </c>
      <c r="AD40" s="5">
        <v>0</v>
      </c>
      <c r="AE40" s="4" t="s">
        <v>163</v>
      </c>
      <c r="AF40" s="3">
        <v>45816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45868</v>
      </c>
      <c r="C41" s="4" t="s">
        <v>167</v>
      </c>
      <c r="D41" s="2">
        <v>1831491</v>
      </c>
      <c r="E41" s="4" t="s">
        <v>189</v>
      </c>
      <c r="F41" s="4" t="s">
        <v>190</v>
      </c>
      <c r="G41" s="4" t="s">
        <v>46</v>
      </c>
      <c r="H41" s="4" t="s">
        <v>46</v>
      </c>
      <c r="I41" s="4" t="s">
        <v>46</v>
      </c>
      <c r="J41" s="4" t="s">
        <v>147</v>
      </c>
      <c r="K41" s="4" t="s">
        <v>148</v>
      </c>
      <c r="L41" s="3">
        <v>45870</v>
      </c>
      <c r="M41" s="4" t="s">
        <v>49</v>
      </c>
      <c r="N41" s="4" t="s">
        <v>46</v>
      </c>
      <c r="O41" s="4" t="s">
        <v>50</v>
      </c>
      <c r="P41" s="4" t="s">
        <v>149</v>
      </c>
      <c r="Q41" s="2">
        <v>1</v>
      </c>
      <c r="R41" s="2">
        <v>60</v>
      </c>
      <c r="S41" s="4" t="s">
        <v>161</v>
      </c>
      <c r="T41" s="4" t="s">
        <v>46</v>
      </c>
      <c r="U41" s="4" t="s">
        <v>46</v>
      </c>
      <c r="V41" s="5">
        <v>10</v>
      </c>
      <c r="W41" s="5">
        <v>13.93</v>
      </c>
      <c r="X41" s="5">
        <v>100</v>
      </c>
      <c r="Y41" s="5">
        <v>1.39</v>
      </c>
      <c r="Z41" s="4" t="s">
        <v>46</v>
      </c>
      <c r="AA41" s="5" t="s">
        <v>46</v>
      </c>
      <c r="AB41" s="4" t="s">
        <v>162</v>
      </c>
      <c r="AC41" s="4" t="s">
        <v>46</v>
      </c>
      <c r="AD41" s="5">
        <v>0</v>
      </c>
      <c r="AE41" s="4" t="s">
        <v>163</v>
      </c>
      <c r="AF41" s="3">
        <v>45817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45868</v>
      </c>
      <c r="C42" s="4" t="s">
        <v>167</v>
      </c>
      <c r="D42" s="2">
        <v>1831491</v>
      </c>
      <c r="E42" s="4" t="s">
        <v>191</v>
      </c>
      <c r="F42" s="4" t="s">
        <v>192</v>
      </c>
      <c r="G42" s="4" t="s">
        <v>46</v>
      </c>
      <c r="H42" s="4" t="s">
        <v>46</v>
      </c>
      <c r="I42" s="4" t="s">
        <v>46</v>
      </c>
      <c r="J42" s="4" t="s">
        <v>147</v>
      </c>
      <c r="K42" s="4" t="s">
        <v>148</v>
      </c>
      <c r="L42" s="3">
        <v>45870</v>
      </c>
      <c r="M42" s="4" t="s">
        <v>49</v>
      </c>
      <c r="N42" s="4" t="s">
        <v>46</v>
      </c>
      <c r="O42" s="4" t="s">
        <v>50</v>
      </c>
      <c r="P42" s="4" t="s">
        <v>149</v>
      </c>
      <c r="Q42" s="2">
        <v>2</v>
      </c>
      <c r="R42" s="2">
        <v>60</v>
      </c>
      <c r="S42" s="4" t="s">
        <v>161</v>
      </c>
      <c r="T42" s="4" t="s">
        <v>46</v>
      </c>
      <c r="U42" s="4" t="s">
        <v>46</v>
      </c>
      <c r="V42" s="5">
        <v>10</v>
      </c>
      <c r="W42" s="5">
        <v>26.88</v>
      </c>
      <c r="X42" s="5">
        <v>100</v>
      </c>
      <c r="Y42" s="5">
        <v>2.69</v>
      </c>
      <c r="Z42" s="4" t="s">
        <v>46</v>
      </c>
      <c r="AA42" s="5" t="s">
        <v>46</v>
      </c>
      <c r="AB42" s="4" t="s">
        <v>162</v>
      </c>
      <c r="AC42" s="4" t="s">
        <v>46</v>
      </c>
      <c r="AD42" s="5">
        <v>0</v>
      </c>
      <c r="AE42" s="4" t="s">
        <v>163</v>
      </c>
      <c r="AF42" s="3">
        <v>45817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45868</v>
      </c>
      <c r="C43" s="4" t="s">
        <v>167</v>
      </c>
      <c r="D43" s="2">
        <v>1831491</v>
      </c>
      <c r="E43" s="4" t="s">
        <v>193</v>
      </c>
      <c r="F43" s="4" t="s">
        <v>194</v>
      </c>
      <c r="G43" s="4" t="s">
        <v>46</v>
      </c>
      <c r="H43" s="4" t="s">
        <v>46</v>
      </c>
      <c r="I43" s="4" t="s">
        <v>46</v>
      </c>
      <c r="J43" s="4" t="s">
        <v>147</v>
      </c>
      <c r="K43" s="4" t="s">
        <v>148</v>
      </c>
      <c r="L43" s="3">
        <v>45870</v>
      </c>
      <c r="M43" s="4" t="s">
        <v>49</v>
      </c>
      <c r="N43" s="4" t="s">
        <v>46</v>
      </c>
      <c r="O43" s="4" t="s">
        <v>50</v>
      </c>
      <c r="P43" s="4" t="s">
        <v>149</v>
      </c>
      <c r="Q43" s="2">
        <v>1</v>
      </c>
      <c r="R43" s="2">
        <v>60</v>
      </c>
      <c r="S43" s="4" t="s">
        <v>161</v>
      </c>
      <c r="T43" s="4" t="s">
        <v>46</v>
      </c>
      <c r="U43" s="4" t="s">
        <v>46</v>
      </c>
      <c r="V43" s="5">
        <v>10</v>
      </c>
      <c r="W43" s="5">
        <v>13.93</v>
      </c>
      <c r="X43" s="5">
        <v>100</v>
      </c>
      <c r="Y43" s="5">
        <v>1.39</v>
      </c>
      <c r="Z43" s="4" t="s">
        <v>46</v>
      </c>
      <c r="AA43" s="5" t="s">
        <v>46</v>
      </c>
      <c r="AB43" s="4" t="s">
        <v>162</v>
      </c>
      <c r="AC43" s="4" t="s">
        <v>46</v>
      </c>
      <c r="AD43" s="5">
        <v>0</v>
      </c>
      <c r="AE43" s="4" t="s">
        <v>163</v>
      </c>
      <c r="AF43" s="3">
        <v>45839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45868</v>
      </c>
      <c r="C44" s="4" t="s">
        <v>167</v>
      </c>
      <c r="D44" s="2">
        <v>1831491</v>
      </c>
      <c r="E44" s="4" t="s">
        <v>195</v>
      </c>
      <c r="F44" s="4" t="s">
        <v>196</v>
      </c>
      <c r="G44" s="4" t="s">
        <v>46</v>
      </c>
      <c r="H44" s="4" t="s">
        <v>46</v>
      </c>
      <c r="I44" s="4" t="s">
        <v>46</v>
      </c>
      <c r="J44" s="4" t="s">
        <v>147</v>
      </c>
      <c r="K44" s="4" t="s">
        <v>148</v>
      </c>
      <c r="L44" s="3">
        <v>45870</v>
      </c>
      <c r="M44" s="4" t="s">
        <v>49</v>
      </c>
      <c r="N44" s="4" t="s">
        <v>46</v>
      </c>
      <c r="O44" s="4" t="s">
        <v>50</v>
      </c>
      <c r="P44" s="4" t="s">
        <v>149</v>
      </c>
      <c r="Q44" s="2">
        <v>2</v>
      </c>
      <c r="R44" s="2">
        <v>60</v>
      </c>
      <c r="S44" s="4" t="s">
        <v>161</v>
      </c>
      <c r="T44" s="4" t="s">
        <v>46</v>
      </c>
      <c r="U44" s="4" t="s">
        <v>46</v>
      </c>
      <c r="V44" s="5">
        <v>10</v>
      </c>
      <c r="W44" s="5">
        <v>26.88</v>
      </c>
      <c r="X44" s="5">
        <v>100</v>
      </c>
      <c r="Y44" s="5">
        <v>2.69</v>
      </c>
      <c r="Z44" s="4" t="s">
        <v>46</v>
      </c>
      <c r="AA44" s="5" t="s">
        <v>46</v>
      </c>
      <c r="AB44" s="4" t="s">
        <v>162</v>
      </c>
      <c r="AC44" s="4" t="s">
        <v>46</v>
      </c>
      <c r="AD44" s="5">
        <v>0</v>
      </c>
      <c r="AE44" s="4" t="s">
        <v>163</v>
      </c>
      <c r="AF44" s="3">
        <v>45839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45868</v>
      </c>
      <c r="C45" s="4" t="s">
        <v>167</v>
      </c>
      <c r="D45" s="2">
        <v>1831491</v>
      </c>
      <c r="E45" s="4" t="s">
        <v>197</v>
      </c>
      <c r="F45" s="4" t="s">
        <v>198</v>
      </c>
      <c r="G45" s="4" t="s">
        <v>46</v>
      </c>
      <c r="H45" s="4" t="s">
        <v>46</v>
      </c>
      <c r="I45" s="4" t="s">
        <v>46</v>
      </c>
      <c r="J45" s="4" t="s">
        <v>147</v>
      </c>
      <c r="K45" s="4" t="s">
        <v>148</v>
      </c>
      <c r="L45" s="3">
        <v>45870</v>
      </c>
      <c r="M45" s="4" t="s">
        <v>49</v>
      </c>
      <c r="N45" s="4" t="s">
        <v>46</v>
      </c>
      <c r="O45" s="4" t="s">
        <v>50</v>
      </c>
      <c r="P45" s="4" t="s">
        <v>149</v>
      </c>
      <c r="Q45" s="2">
        <v>3</v>
      </c>
      <c r="R45" s="2">
        <v>60</v>
      </c>
      <c r="S45" s="4" t="s">
        <v>161</v>
      </c>
      <c r="T45" s="4" t="s">
        <v>46</v>
      </c>
      <c r="U45" s="4" t="s">
        <v>46</v>
      </c>
      <c r="V45" s="5">
        <v>10</v>
      </c>
      <c r="W45" s="5">
        <v>46.8</v>
      </c>
      <c r="X45" s="5">
        <v>100</v>
      </c>
      <c r="Y45" s="5">
        <v>4.68</v>
      </c>
      <c r="Z45" s="4" t="s">
        <v>46</v>
      </c>
      <c r="AA45" s="5" t="s">
        <v>46</v>
      </c>
      <c r="AB45" s="4" t="s">
        <v>162</v>
      </c>
      <c r="AC45" s="4" t="s">
        <v>46</v>
      </c>
      <c r="AD45" s="5">
        <v>0</v>
      </c>
      <c r="AE45" s="4" t="s">
        <v>163</v>
      </c>
      <c r="AF45" s="3">
        <v>45839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45868</v>
      </c>
      <c r="C46" s="4" t="s">
        <v>167</v>
      </c>
      <c r="D46" s="2">
        <v>1831491</v>
      </c>
      <c r="E46" s="4" t="s">
        <v>199</v>
      </c>
      <c r="F46" s="4" t="s">
        <v>200</v>
      </c>
      <c r="G46" s="4" t="s">
        <v>46</v>
      </c>
      <c r="H46" s="4" t="s">
        <v>46</v>
      </c>
      <c r="I46" s="4" t="s">
        <v>46</v>
      </c>
      <c r="J46" s="4" t="s">
        <v>147</v>
      </c>
      <c r="K46" s="4" t="s">
        <v>148</v>
      </c>
      <c r="L46" s="3">
        <v>45870</v>
      </c>
      <c r="M46" s="4" t="s">
        <v>49</v>
      </c>
      <c r="N46" s="4" t="s">
        <v>46</v>
      </c>
      <c r="O46" s="4" t="s">
        <v>50</v>
      </c>
      <c r="P46" s="4" t="s">
        <v>149</v>
      </c>
      <c r="Q46" s="2">
        <v>1</v>
      </c>
      <c r="R46" s="2">
        <v>60</v>
      </c>
      <c r="S46" s="4" t="s">
        <v>161</v>
      </c>
      <c r="T46" s="4" t="s">
        <v>46</v>
      </c>
      <c r="U46" s="4" t="s">
        <v>46</v>
      </c>
      <c r="V46" s="5">
        <v>10</v>
      </c>
      <c r="W46" s="5">
        <v>13.93</v>
      </c>
      <c r="X46" s="5">
        <v>100</v>
      </c>
      <c r="Y46" s="5">
        <v>1.39</v>
      </c>
      <c r="Z46" s="4" t="s">
        <v>46</v>
      </c>
      <c r="AA46" s="5" t="s">
        <v>46</v>
      </c>
      <c r="AB46" s="4" t="s">
        <v>162</v>
      </c>
      <c r="AC46" s="4" t="s">
        <v>46</v>
      </c>
      <c r="AD46" s="5">
        <v>0</v>
      </c>
      <c r="AE46" s="4" t="s">
        <v>163</v>
      </c>
      <c r="AF46" s="3">
        <v>45839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45868</v>
      </c>
      <c r="C47" s="4" t="s">
        <v>167</v>
      </c>
      <c r="D47" s="2">
        <v>1831491</v>
      </c>
      <c r="E47" s="4" t="s">
        <v>201</v>
      </c>
      <c r="F47" s="4" t="s">
        <v>202</v>
      </c>
      <c r="G47" s="4" t="s">
        <v>46</v>
      </c>
      <c r="H47" s="4" t="s">
        <v>46</v>
      </c>
      <c r="I47" s="4" t="s">
        <v>46</v>
      </c>
      <c r="J47" s="4" t="s">
        <v>147</v>
      </c>
      <c r="K47" s="4" t="s">
        <v>148</v>
      </c>
      <c r="L47" s="3">
        <v>45870</v>
      </c>
      <c r="M47" s="4" t="s">
        <v>49</v>
      </c>
      <c r="N47" s="4" t="s">
        <v>46</v>
      </c>
      <c r="O47" s="4" t="s">
        <v>50</v>
      </c>
      <c r="P47" s="4" t="s">
        <v>149</v>
      </c>
      <c r="Q47" s="2">
        <v>1</v>
      </c>
      <c r="R47" s="2">
        <v>60</v>
      </c>
      <c r="S47" s="4" t="s">
        <v>161</v>
      </c>
      <c r="T47" s="4" t="s">
        <v>46</v>
      </c>
      <c r="U47" s="4" t="s">
        <v>46</v>
      </c>
      <c r="V47" s="5">
        <v>10</v>
      </c>
      <c r="W47" s="5">
        <v>14.93</v>
      </c>
      <c r="X47" s="5">
        <v>100</v>
      </c>
      <c r="Y47" s="5">
        <v>36.49</v>
      </c>
      <c r="Z47" s="4" t="s">
        <v>46</v>
      </c>
      <c r="AA47" s="5" t="s">
        <v>46</v>
      </c>
      <c r="AB47" s="4" t="s">
        <v>162</v>
      </c>
      <c r="AC47" s="4" t="s">
        <v>46</v>
      </c>
      <c r="AD47" s="5">
        <v>0</v>
      </c>
      <c r="AE47" s="4" t="s">
        <v>163</v>
      </c>
      <c r="AF47" s="3">
        <v>45870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45868</v>
      </c>
      <c r="C48" s="4" t="s">
        <v>167</v>
      </c>
      <c r="D48" s="2">
        <v>1831491</v>
      </c>
      <c r="E48" s="4" t="s">
        <v>203</v>
      </c>
      <c r="F48" s="4" t="s">
        <v>204</v>
      </c>
      <c r="G48" s="4" t="s">
        <v>46</v>
      </c>
      <c r="H48" s="4" t="s">
        <v>46</v>
      </c>
      <c r="I48" s="4" t="s">
        <v>46</v>
      </c>
      <c r="J48" s="4" t="s">
        <v>147</v>
      </c>
      <c r="K48" s="4" t="s">
        <v>148</v>
      </c>
      <c r="L48" s="3">
        <v>45870</v>
      </c>
      <c r="M48" s="4" t="s">
        <v>49</v>
      </c>
      <c r="N48" s="4" t="s">
        <v>46</v>
      </c>
      <c r="O48" s="4" t="s">
        <v>50</v>
      </c>
      <c r="P48" s="4" t="s">
        <v>149</v>
      </c>
      <c r="Q48" s="2">
        <v>1</v>
      </c>
      <c r="R48" s="2">
        <v>60</v>
      </c>
      <c r="S48" s="4" t="s">
        <v>161</v>
      </c>
      <c r="T48" s="4" t="s">
        <v>46</v>
      </c>
      <c r="U48" s="4" t="s">
        <v>46</v>
      </c>
      <c r="V48" s="5">
        <v>10</v>
      </c>
      <c r="W48" s="5">
        <v>14.93</v>
      </c>
      <c r="X48" s="5">
        <v>100</v>
      </c>
      <c r="Y48" s="5">
        <v>36.49</v>
      </c>
      <c r="Z48" s="4" t="s">
        <v>46</v>
      </c>
      <c r="AA48" s="5" t="s">
        <v>46</v>
      </c>
      <c r="AB48" s="4" t="s">
        <v>162</v>
      </c>
      <c r="AC48" s="4" t="s">
        <v>46</v>
      </c>
      <c r="AD48" s="5">
        <v>0</v>
      </c>
      <c r="AE48" s="4" t="s">
        <v>163</v>
      </c>
      <c r="AF48" s="3">
        <v>45871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45868</v>
      </c>
      <c r="C49" s="4" t="s">
        <v>205</v>
      </c>
      <c r="D49" s="2">
        <v>1875462</v>
      </c>
      <c r="E49" s="4" t="s">
        <v>206</v>
      </c>
      <c r="F49" s="4" t="s">
        <v>207</v>
      </c>
      <c r="G49" s="4" t="s">
        <v>46</v>
      </c>
      <c r="H49" s="4" t="s">
        <v>46</v>
      </c>
      <c r="I49" s="4" t="s">
        <v>46</v>
      </c>
      <c r="J49" s="4" t="s">
        <v>147</v>
      </c>
      <c r="K49" s="4" t="s">
        <v>148</v>
      </c>
      <c r="L49" s="3">
        <v>45870</v>
      </c>
      <c r="M49" s="4" t="s">
        <v>49</v>
      </c>
      <c r="N49" s="4" t="s">
        <v>46</v>
      </c>
      <c r="O49" s="4" t="s">
        <v>50</v>
      </c>
      <c r="P49" s="4" t="s">
        <v>149</v>
      </c>
      <c r="Q49" s="2">
        <v>2</v>
      </c>
      <c r="R49" s="2">
        <v>60</v>
      </c>
      <c r="S49" s="4" t="s">
        <v>161</v>
      </c>
      <c r="T49" s="4" t="s">
        <v>46</v>
      </c>
      <c r="U49" s="4" t="s">
        <v>46</v>
      </c>
      <c r="V49" s="5">
        <v>10</v>
      </c>
      <c r="W49" s="5">
        <v>23.99</v>
      </c>
      <c r="X49" s="5">
        <v>100</v>
      </c>
      <c r="Y49" s="5">
        <v>2.4</v>
      </c>
      <c r="Z49" s="4" t="s">
        <v>46</v>
      </c>
      <c r="AA49" s="5" t="s">
        <v>46</v>
      </c>
      <c r="AB49" s="4" t="s">
        <v>162</v>
      </c>
      <c r="AC49" s="4" t="s">
        <v>46</v>
      </c>
      <c r="AD49" s="5">
        <v>0</v>
      </c>
      <c r="AE49" s="4" t="s">
        <v>163</v>
      </c>
      <c r="AF49" s="3">
        <v>45713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45868</v>
      </c>
      <c r="C50" s="4" t="s">
        <v>205</v>
      </c>
      <c r="D50" s="2">
        <v>1875462</v>
      </c>
      <c r="E50" s="4" t="s">
        <v>208</v>
      </c>
      <c r="F50" s="4" t="s">
        <v>209</v>
      </c>
      <c r="G50" s="4" t="s">
        <v>46</v>
      </c>
      <c r="H50" s="4" t="s">
        <v>46</v>
      </c>
      <c r="I50" s="4" t="s">
        <v>46</v>
      </c>
      <c r="J50" s="4" t="s">
        <v>147</v>
      </c>
      <c r="K50" s="4" t="s">
        <v>148</v>
      </c>
      <c r="L50" s="3">
        <v>45870</v>
      </c>
      <c r="M50" s="4" t="s">
        <v>49</v>
      </c>
      <c r="N50" s="4" t="s">
        <v>46</v>
      </c>
      <c r="O50" s="4" t="s">
        <v>50</v>
      </c>
      <c r="P50" s="4" t="s">
        <v>149</v>
      </c>
      <c r="Q50" s="2">
        <v>1</v>
      </c>
      <c r="R50" s="2">
        <v>60</v>
      </c>
      <c r="S50" s="4" t="s">
        <v>161</v>
      </c>
      <c r="T50" s="4" t="s">
        <v>46</v>
      </c>
      <c r="U50" s="4" t="s">
        <v>46</v>
      </c>
      <c r="V50" s="5">
        <v>10</v>
      </c>
      <c r="W50" s="5">
        <v>25.98</v>
      </c>
      <c r="X50" s="5">
        <v>100</v>
      </c>
      <c r="Y50" s="5">
        <v>37.6</v>
      </c>
      <c r="Z50" s="4" t="s">
        <v>46</v>
      </c>
      <c r="AA50" s="5" t="s">
        <v>46</v>
      </c>
      <c r="AB50" s="4" t="s">
        <v>162</v>
      </c>
      <c r="AC50" s="4" t="s">
        <v>46</v>
      </c>
      <c r="AD50" s="5">
        <v>0</v>
      </c>
      <c r="AE50" s="4" t="s">
        <v>163</v>
      </c>
      <c r="AF50" s="3">
        <v>45870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45868</v>
      </c>
      <c r="C51" s="4" t="s">
        <v>205</v>
      </c>
      <c r="D51" s="2">
        <v>1875462</v>
      </c>
      <c r="E51" s="4" t="s">
        <v>210</v>
      </c>
      <c r="F51" s="4" t="s">
        <v>211</v>
      </c>
      <c r="G51" s="4" t="s">
        <v>46</v>
      </c>
      <c r="H51" s="4" t="s">
        <v>46</v>
      </c>
      <c r="I51" s="4" t="s">
        <v>46</v>
      </c>
      <c r="J51" s="4" t="s">
        <v>147</v>
      </c>
      <c r="K51" s="4" t="s">
        <v>148</v>
      </c>
      <c r="L51" s="3">
        <v>45839</v>
      </c>
      <c r="M51" s="4" t="s">
        <v>212</v>
      </c>
      <c r="N51" s="4" t="s">
        <v>46</v>
      </c>
      <c r="O51" s="4" t="s">
        <v>50</v>
      </c>
      <c r="P51" s="4" t="s">
        <v>149</v>
      </c>
      <c r="Q51" s="2">
        <v>1</v>
      </c>
      <c r="R51" s="2">
        <v>60</v>
      </c>
      <c r="S51" s="4" t="s">
        <v>161</v>
      </c>
      <c r="T51" s="4" t="s">
        <v>46</v>
      </c>
      <c r="U51" s="4" t="s">
        <v>46</v>
      </c>
      <c r="V51" s="5">
        <v>10</v>
      </c>
      <c r="W51" s="5">
        <v>12.99</v>
      </c>
      <c r="X51" s="5">
        <v>100</v>
      </c>
      <c r="Y51" s="5">
        <v>36.299999999999997</v>
      </c>
      <c r="Z51" s="4" t="s">
        <v>46</v>
      </c>
      <c r="AA51" s="5" t="s">
        <v>46</v>
      </c>
      <c r="AB51" s="4" t="s">
        <v>162</v>
      </c>
      <c r="AC51" s="4" t="s">
        <v>46</v>
      </c>
      <c r="AD51" s="5">
        <v>0</v>
      </c>
      <c r="AE51" s="4" t="s">
        <v>163</v>
      </c>
      <c r="AF51" s="3">
        <v>45866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45868</v>
      </c>
      <c r="C52" s="4" t="s">
        <v>46</v>
      </c>
      <c r="D52" s="2" t="s">
        <v>46</v>
      </c>
      <c r="E52" s="4" t="s">
        <v>46</v>
      </c>
      <c r="F52" s="4" t="s">
        <v>46</v>
      </c>
      <c r="G52" s="4" t="s">
        <v>46</v>
      </c>
      <c r="H52" s="4" t="s">
        <v>46</v>
      </c>
      <c r="I52" s="4" t="s">
        <v>46</v>
      </c>
      <c r="J52" s="4" t="s">
        <v>46</v>
      </c>
      <c r="K52" s="4" t="s">
        <v>46</v>
      </c>
      <c r="L52" s="4" t="s">
        <v>46</v>
      </c>
      <c r="M52" s="4" t="s">
        <v>212</v>
      </c>
      <c r="N52" s="4" t="s">
        <v>46</v>
      </c>
      <c r="O52" s="4" t="s">
        <v>46</v>
      </c>
      <c r="P52" s="4" t="s">
        <v>46</v>
      </c>
      <c r="Q52" s="4" t="s">
        <v>46</v>
      </c>
      <c r="R52" s="4" t="s">
        <v>46</v>
      </c>
      <c r="S52" s="4" t="s">
        <v>46</v>
      </c>
      <c r="T52" s="4" t="s">
        <v>46</v>
      </c>
      <c r="U52" s="4" t="s">
        <v>46</v>
      </c>
      <c r="V52" s="5" t="s">
        <v>46</v>
      </c>
      <c r="W52" s="4" t="s">
        <v>46</v>
      </c>
      <c r="X52" s="5" t="s">
        <v>46</v>
      </c>
      <c r="Y52" s="4" t="s">
        <v>46</v>
      </c>
      <c r="Z52" s="4" t="s">
        <v>46</v>
      </c>
      <c r="AA52" s="5" t="s">
        <v>46</v>
      </c>
      <c r="AB52" s="4" t="s">
        <v>46</v>
      </c>
      <c r="AC52" s="4" t="s">
        <v>213</v>
      </c>
      <c r="AD52" s="5">
        <v>0</v>
      </c>
      <c r="AE52" s="4" t="s">
        <v>214</v>
      </c>
      <c r="AF52" s="4" t="s">
        <v>46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AC08-3159-4A29-B6BD-19325FF0BF4C}">
  <dimension ref="A1:T51"/>
  <sheetViews>
    <sheetView tabSelected="1" topLeftCell="A47" workbookViewId="0">
      <selection activeCell="O2" sqref="O2:O47"/>
    </sheetView>
  </sheetViews>
  <sheetFormatPr defaultRowHeight="12.75" x14ac:dyDescent="0.2"/>
  <cols>
    <col min="1" max="1" width="24.7109375" bestFit="1" customWidth="1"/>
    <col min="2" max="2" width="16.28515625" customWidth="1"/>
    <col min="3" max="3" width="28.5703125" bestFit="1" customWidth="1"/>
    <col min="4" max="4" width="13.28515625" bestFit="1" customWidth="1"/>
    <col min="5" max="6" width="11.42578125" bestFit="1" customWidth="1"/>
    <col min="7" max="8" width="15.28515625" bestFit="1" customWidth="1"/>
    <col min="9" max="9" width="13.7109375" bestFit="1" customWidth="1"/>
    <col min="10" max="10" width="9.5703125" bestFit="1" customWidth="1"/>
    <col min="11" max="11" width="15.28515625" bestFit="1" customWidth="1"/>
    <col min="12" max="12" width="11.42578125" bestFit="1" customWidth="1"/>
    <col min="13" max="13" width="13.7109375" bestFit="1" customWidth="1"/>
    <col min="14" max="14" width="22.85546875" customWidth="1"/>
    <col min="15" max="15" width="22.5703125" bestFit="1" customWidth="1"/>
    <col min="16" max="16" width="13.42578125" bestFit="1" customWidth="1"/>
    <col min="17" max="17" width="14.42578125" bestFit="1" customWidth="1"/>
    <col min="18" max="18" width="17" customWidth="1"/>
    <col min="19" max="19" width="11.42578125" bestFit="1" customWidth="1"/>
    <col min="20" max="20" width="17.85546875" bestFit="1" customWidth="1"/>
  </cols>
  <sheetData>
    <row r="1" spans="1:20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20" x14ac:dyDescent="0.2">
      <c r="A2" s="4" t="s">
        <v>153</v>
      </c>
      <c r="B2" s="2">
        <v>17528908</v>
      </c>
      <c r="C2" s="8" t="s">
        <v>335</v>
      </c>
      <c r="D2" s="4" t="s">
        <v>155</v>
      </c>
      <c r="E2" s="3">
        <v>45870</v>
      </c>
      <c r="F2" s="4" t="s">
        <v>49</v>
      </c>
      <c r="G2" s="4" t="s">
        <v>51</v>
      </c>
      <c r="H2" s="4" t="s">
        <v>46</v>
      </c>
      <c r="I2" s="5">
        <v>22</v>
      </c>
      <c r="J2" s="5">
        <v>146.72999999999999</v>
      </c>
      <c r="K2" s="5">
        <v>32.28</v>
      </c>
      <c r="L2" s="4" t="s">
        <v>157</v>
      </c>
      <c r="M2" s="3">
        <v>45444</v>
      </c>
      <c r="N2" t="s">
        <v>216</v>
      </c>
      <c r="P2" s="4" t="s">
        <v>155</v>
      </c>
      <c r="Q2" t="str">
        <f>CONCATENATE(P2,8)</f>
        <v>00000840020A8</v>
      </c>
      <c r="R2" s="4" t="s">
        <v>268</v>
      </c>
      <c r="S2" t="s">
        <v>269</v>
      </c>
      <c r="T2" t="str">
        <f>CONCATENATE(S2, " ",R2)</f>
        <v>PHILIP SZOST</v>
      </c>
    </row>
    <row r="3" spans="1:20" x14ac:dyDescent="0.2">
      <c r="A3" s="4" t="s">
        <v>167</v>
      </c>
      <c r="B3" s="2">
        <v>18828278</v>
      </c>
      <c r="C3" s="8" t="s">
        <v>338</v>
      </c>
      <c r="D3" s="7">
        <v>9030509330</v>
      </c>
      <c r="E3" s="3">
        <v>45870</v>
      </c>
      <c r="F3" s="4" t="s">
        <v>49</v>
      </c>
      <c r="G3" s="4" t="s">
        <v>161</v>
      </c>
      <c r="H3" s="4" t="s">
        <v>46</v>
      </c>
      <c r="I3" s="5">
        <v>10</v>
      </c>
      <c r="J3" s="5">
        <v>26.88</v>
      </c>
      <c r="K3" s="5">
        <v>2.69</v>
      </c>
      <c r="L3" s="4" t="s">
        <v>162</v>
      </c>
      <c r="M3" s="3">
        <v>45808</v>
      </c>
      <c r="N3" t="s">
        <v>215</v>
      </c>
      <c r="P3" s="7">
        <v>9030509330</v>
      </c>
      <c r="Q3" t="str">
        <f>CONCATENATE(P3,4)</f>
        <v>90305093304</v>
      </c>
      <c r="R3" s="4" t="s">
        <v>274</v>
      </c>
      <c r="S3" t="s">
        <v>275</v>
      </c>
      <c r="T3" t="str">
        <f>CONCATENATE(S3, " ",R3)</f>
        <v>Gerald Urish</v>
      </c>
    </row>
    <row r="4" spans="1:20" x14ac:dyDescent="0.2">
      <c r="A4" s="4" t="s">
        <v>167</v>
      </c>
      <c r="B4" s="2">
        <v>18828278</v>
      </c>
      <c r="C4" s="8" t="s">
        <v>339</v>
      </c>
      <c r="D4" s="7">
        <v>9030544330</v>
      </c>
      <c r="E4" s="3">
        <v>45870</v>
      </c>
      <c r="F4" s="4" t="s">
        <v>49</v>
      </c>
      <c r="G4" s="4" t="s">
        <v>161</v>
      </c>
      <c r="H4" s="4" t="s">
        <v>46</v>
      </c>
      <c r="I4" s="5">
        <v>10</v>
      </c>
      <c r="J4" s="5">
        <v>26.88</v>
      </c>
      <c r="K4" s="5">
        <v>2.69</v>
      </c>
      <c r="L4" s="4" t="s">
        <v>162</v>
      </c>
      <c r="M4" s="3">
        <v>45808</v>
      </c>
      <c r="N4" t="s">
        <v>215</v>
      </c>
      <c r="P4" s="7">
        <v>9030544330</v>
      </c>
      <c r="Q4" t="str">
        <f>CONCATENATE(P4,4)</f>
        <v>90305443304</v>
      </c>
      <c r="R4" s="4" t="s">
        <v>276</v>
      </c>
      <c r="S4" t="s">
        <v>277</v>
      </c>
      <c r="T4" t="str">
        <f>CONCATENATE(S4, " ",R4)</f>
        <v>Brianna Gambetti</v>
      </c>
    </row>
    <row r="5" spans="1:20" x14ac:dyDescent="0.2">
      <c r="A5" s="4" t="s">
        <v>167</v>
      </c>
      <c r="B5" s="2">
        <v>18828278</v>
      </c>
      <c r="C5" s="8" t="s">
        <v>339</v>
      </c>
      <c r="D5" s="7">
        <v>9030544350</v>
      </c>
      <c r="E5" s="3">
        <v>45870</v>
      </c>
      <c r="F5" s="4" t="s">
        <v>49</v>
      </c>
      <c r="G5" s="4" t="s">
        <v>161</v>
      </c>
      <c r="H5" s="4" t="s">
        <v>46</v>
      </c>
      <c r="I5" s="5">
        <v>10</v>
      </c>
      <c r="J5" s="5">
        <v>26.88</v>
      </c>
      <c r="K5" s="5">
        <v>2.69</v>
      </c>
      <c r="L5" s="4" t="s">
        <v>162</v>
      </c>
      <c r="M5" s="3">
        <v>45808</v>
      </c>
      <c r="N5" t="s">
        <v>215</v>
      </c>
      <c r="P5" s="7">
        <v>9030544350</v>
      </c>
      <c r="Q5" t="str">
        <f>CONCATENATE(P5,4)</f>
        <v>90305443504</v>
      </c>
      <c r="R5" s="4" t="s">
        <v>276</v>
      </c>
      <c r="S5" t="s">
        <v>277</v>
      </c>
      <c r="T5" t="str">
        <f>CONCATENATE(S5, " ",R5)</f>
        <v>Brianna Gambetti</v>
      </c>
    </row>
    <row r="6" spans="1:20" x14ac:dyDescent="0.2">
      <c r="A6" s="4" t="s">
        <v>167</v>
      </c>
      <c r="B6" s="2">
        <v>18828278</v>
      </c>
      <c r="C6" s="8" t="s">
        <v>340</v>
      </c>
      <c r="D6" s="7">
        <v>9030558330</v>
      </c>
      <c r="E6" s="3">
        <v>45870</v>
      </c>
      <c r="F6" s="4" t="s">
        <v>49</v>
      </c>
      <c r="G6" s="4" t="s">
        <v>161</v>
      </c>
      <c r="H6" s="4" t="s">
        <v>46</v>
      </c>
      <c r="I6" s="5">
        <v>10</v>
      </c>
      <c r="J6" s="5">
        <v>26.88</v>
      </c>
      <c r="K6" s="5">
        <v>2.69</v>
      </c>
      <c r="L6" s="4" t="s">
        <v>162</v>
      </c>
      <c r="M6" s="3">
        <v>45808</v>
      </c>
      <c r="N6" t="s">
        <v>215</v>
      </c>
      <c r="P6" s="7">
        <v>9030558330</v>
      </c>
      <c r="Q6" t="str">
        <f>CONCATENATE(P6,4)</f>
        <v>90305583304</v>
      </c>
      <c r="R6" s="4" t="s">
        <v>278</v>
      </c>
      <c r="S6" t="s">
        <v>279</v>
      </c>
      <c r="T6" t="str">
        <f>CONCATENATE(S6, " ",R6)</f>
        <v>David Taylor</v>
      </c>
    </row>
    <row r="7" spans="1:20" x14ac:dyDescent="0.2">
      <c r="A7" s="4" t="s">
        <v>167</v>
      </c>
      <c r="B7" s="2">
        <v>18828278</v>
      </c>
      <c r="C7" s="8" t="s">
        <v>341</v>
      </c>
      <c r="D7" s="7">
        <v>9030572460</v>
      </c>
      <c r="E7" s="3">
        <v>45870</v>
      </c>
      <c r="F7" s="4" t="s">
        <v>49</v>
      </c>
      <c r="G7" s="4" t="s">
        <v>161</v>
      </c>
      <c r="H7" s="4" t="s">
        <v>46</v>
      </c>
      <c r="I7" s="5">
        <v>10</v>
      </c>
      <c r="J7" s="5">
        <v>13.93</v>
      </c>
      <c r="K7" s="5">
        <v>1.39</v>
      </c>
      <c r="L7" s="4" t="s">
        <v>162</v>
      </c>
      <c r="M7" s="3">
        <v>45809</v>
      </c>
      <c r="N7" t="s">
        <v>215</v>
      </c>
      <c r="P7" s="7">
        <v>9030572460</v>
      </c>
      <c r="Q7" t="str">
        <f>CONCATENATE(P7,4)</f>
        <v>90305724604</v>
      </c>
      <c r="R7" s="4" t="s">
        <v>280</v>
      </c>
      <c r="S7" t="s">
        <v>281</v>
      </c>
      <c r="T7" t="str">
        <f>CONCATENATE(S7, " ",R7)</f>
        <v>Robert Shaw</v>
      </c>
    </row>
    <row r="8" spans="1:20" x14ac:dyDescent="0.2">
      <c r="A8" s="4" t="s">
        <v>167</v>
      </c>
      <c r="B8" s="2">
        <v>18828278</v>
      </c>
      <c r="C8" s="8" t="s">
        <v>342</v>
      </c>
      <c r="D8" s="7">
        <v>9030577770</v>
      </c>
      <c r="E8" s="3">
        <v>45870</v>
      </c>
      <c r="F8" s="4" t="s">
        <v>49</v>
      </c>
      <c r="G8" s="4" t="s">
        <v>161</v>
      </c>
      <c r="H8" s="4" t="s">
        <v>46</v>
      </c>
      <c r="I8" s="5">
        <v>10</v>
      </c>
      <c r="J8" s="5">
        <v>46.8</v>
      </c>
      <c r="K8" s="5">
        <v>4.68</v>
      </c>
      <c r="L8" s="4" t="s">
        <v>162</v>
      </c>
      <c r="M8" s="3">
        <v>45809</v>
      </c>
      <c r="N8" t="s">
        <v>215</v>
      </c>
      <c r="P8" s="7">
        <v>9030577770</v>
      </c>
      <c r="Q8" t="str">
        <f>CONCATENATE(P8,4)</f>
        <v>90305777704</v>
      </c>
      <c r="R8" s="4" t="s">
        <v>282</v>
      </c>
      <c r="S8" t="s">
        <v>283</v>
      </c>
      <c r="T8" t="str">
        <f>CONCATENATE(S8, " ",R8)</f>
        <v>Eric Sisco</v>
      </c>
    </row>
    <row r="9" spans="1:20" x14ac:dyDescent="0.2">
      <c r="A9" s="4" t="s">
        <v>167</v>
      </c>
      <c r="B9" s="2">
        <v>18828278</v>
      </c>
      <c r="C9" s="8" t="s">
        <v>343</v>
      </c>
      <c r="D9" s="7">
        <v>9030582430</v>
      </c>
      <c r="E9" s="3">
        <v>45870</v>
      </c>
      <c r="F9" s="4" t="s">
        <v>49</v>
      </c>
      <c r="G9" s="4" t="s">
        <v>161</v>
      </c>
      <c r="H9" s="4" t="s">
        <v>46</v>
      </c>
      <c r="I9" s="5">
        <v>10</v>
      </c>
      <c r="J9" s="5">
        <v>26.88</v>
      </c>
      <c r="K9" s="5">
        <v>2.69</v>
      </c>
      <c r="L9" s="4" t="s">
        <v>162</v>
      </c>
      <c r="M9" s="3">
        <v>45809</v>
      </c>
      <c r="N9" t="s">
        <v>215</v>
      </c>
      <c r="P9" s="7">
        <v>9030582430</v>
      </c>
      <c r="Q9" t="str">
        <f>CONCATENATE(P9,4)</f>
        <v>90305824304</v>
      </c>
      <c r="R9" s="4" t="s">
        <v>284</v>
      </c>
      <c r="S9" t="s">
        <v>285</v>
      </c>
      <c r="T9" t="str">
        <f>CONCATENATE(S9, " ",R9)</f>
        <v>Laurie Round</v>
      </c>
    </row>
    <row r="10" spans="1:20" x14ac:dyDescent="0.2">
      <c r="A10" s="4" t="s">
        <v>167</v>
      </c>
      <c r="B10" s="2">
        <v>18828278</v>
      </c>
      <c r="C10" s="8" t="s">
        <v>344</v>
      </c>
      <c r="D10" s="7">
        <v>9030638300</v>
      </c>
      <c r="E10" s="3">
        <v>45870</v>
      </c>
      <c r="F10" s="4" t="s">
        <v>49</v>
      </c>
      <c r="G10" s="4" t="s">
        <v>161</v>
      </c>
      <c r="H10" s="4" t="s">
        <v>46</v>
      </c>
      <c r="I10" s="5">
        <v>10</v>
      </c>
      <c r="J10" s="5">
        <v>26.88</v>
      </c>
      <c r="K10" s="5">
        <v>2.69</v>
      </c>
      <c r="L10" s="4" t="s">
        <v>162</v>
      </c>
      <c r="M10" s="3">
        <v>45839</v>
      </c>
      <c r="N10" t="s">
        <v>215</v>
      </c>
      <c r="P10" s="7">
        <v>9030638300</v>
      </c>
      <c r="Q10" t="str">
        <f>CONCATENATE(P10,4)</f>
        <v>90306383004</v>
      </c>
      <c r="R10" s="4" t="s">
        <v>286</v>
      </c>
      <c r="S10" t="s">
        <v>287</v>
      </c>
      <c r="T10" t="str">
        <f>CONCATENATE(S10, " ",R10)</f>
        <v>Israel Magana</v>
      </c>
    </row>
    <row r="11" spans="1:20" x14ac:dyDescent="0.2">
      <c r="A11" s="4" t="s">
        <v>167</v>
      </c>
      <c r="B11" s="2">
        <v>18828278</v>
      </c>
      <c r="C11" s="8" t="s">
        <v>345</v>
      </c>
      <c r="D11" s="7">
        <v>9030645140</v>
      </c>
      <c r="E11" s="3">
        <v>45870</v>
      </c>
      <c r="F11" s="4" t="s">
        <v>49</v>
      </c>
      <c r="G11" s="4" t="s">
        <v>161</v>
      </c>
      <c r="H11" s="4" t="s">
        <v>46</v>
      </c>
      <c r="I11" s="5">
        <v>10</v>
      </c>
      <c r="J11" s="5">
        <v>26.88</v>
      </c>
      <c r="K11" s="5">
        <v>2.69</v>
      </c>
      <c r="L11" s="4" t="s">
        <v>162</v>
      </c>
      <c r="M11" s="3">
        <v>45816</v>
      </c>
      <c r="N11" t="s">
        <v>215</v>
      </c>
      <c r="P11" s="7">
        <v>9030645140</v>
      </c>
      <c r="Q11" t="str">
        <f>CONCATENATE(P11,4)</f>
        <v>90306451404</v>
      </c>
      <c r="R11" s="4" t="s">
        <v>288</v>
      </c>
      <c r="S11" t="s">
        <v>289</v>
      </c>
      <c r="T11" t="str">
        <f>CONCATENATE(S11, " ",R11)</f>
        <v>Ron Ferris</v>
      </c>
    </row>
    <row r="12" spans="1:20" x14ac:dyDescent="0.2">
      <c r="A12" s="4" t="s">
        <v>167</v>
      </c>
      <c r="B12" s="2">
        <v>18828278</v>
      </c>
      <c r="C12" s="8" t="s">
        <v>346</v>
      </c>
      <c r="D12" s="7">
        <v>9030645550</v>
      </c>
      <c r="E12" s="3">
        <v>45870</v>
      </c>
      <c r="F12" s="4" t="s">
        <v>49</v>
      </c>
      <c r="G12" s="4" t="s">
        <v>161</v>
      </c>
      <c r="H12" s="4" t="s">
        <v>46</v>
      </c>
      <c r="I12" s="5">
        <v>10</v>
      </c>
      <c r="J12" s="5">
        <v>26.88</v>
      </c>
      <c r="K12" s="5">
        <v>2.69</v>
      </c>
      <c r="L12" s="4" t="s">
        <v>162</v>
      </c>
      <c r="M12" s="3">
        <v>45839</v>
      </c>
      <c r="N12" t="s">
        <v>215</v>
      </c>
      <c r="P12" s="7">
        <v>9030645550</v>
      </c>
      <c r="Q12" t="str">
        <f>CONCATENATE(P12,4)</f>
        <v>90306455504</v>
      </c>
      <c r="R12" s="4" t="s">
        <v>290</v>
      </c>
      <c r="S12" t="s">
        <v>283</v>
      </c>
      <c r="T12" t="str">
        <f>CONCATENATE(S12, " ",R12)</f>
        <v>Eric Johnson</v>
      </c>
    </row>
    <row r="13" spans="1:20" x14ac:dyDescent="0.2">
      <c r="A13" s="4" t="s">
        <v>167</v>
      </c>
      <c r="B13" s="2">
        <v>18828278</v>
      </c>
      <c r="C13" s="8" t="s">
        <v>347</v>
      </c>
      <c r="D13" s="7">
        <v>9030645560</v>
      </c>
      <c r="E13" s="3">
        <v>45870</v>
      </c>
      <c r="F13" s="4" t="s">
        <v>49</v>
      </c>
      <c r="G13" s="4" t="s">
        <v>161</v>
      </c>
      <c r="H13" s="4" t="s">
        <v>46</v>
      </c>
      <c r="I13" s="5">
        <v>10</v>
      </c>
      <c r="J13" s="5">
        <v>13.93</v>
      </c>
      <c r="K13" s="5">
        <v>1.39</v>
      </c>
      <c r="L13" s="4" t="s">
        <v>162</v>
      </c>
      <c r="M13" s="3">
        <v>45816</v>
      </c>
      <c r="N13" t="s">
        <v>215</v>
      </c>
      <c r="P13" s="7">
        <v>9030645560</v>
      </c>
      <c r="Q13" t="str">
        <f>CONCATENATE(P13,4)</f>
        <v>90306455604</v>
      </c>
      <c r="R13" s="4" t="s">
        <v>291</v>
      </c>
      <c r="S13" t="s">
        <v>292</v>
      </c>
      <c r="T13" t="str">
        <f>CONCATENATE(S13, " ",R13)</f>
        <v>Victoria Shirkey</v>
      </c>
    </row>
    <row r="14" spans="1:20" x14ac:dyDescent="0.2">
      <c r="A14" s="4" t="s">
        <v>167</v>
      </c>
      <c r="B14" s="2">
        <v>18828278</v>
      </c>
      <c r="C14" s="8" t="s">
        <v>348</v>
      </c>
      <c r="D14" s="7">
        <v>9030651770</v>
      </c>
      <c r="E14" s="3">
        <v>45870</v>
      </c>
      <c r="F14" s="4" t="s">
        <v>49</v>
      </c>
      <c r="G14" s="4" t="s">
        <v>161</v>
      </c>
      <c r="H14" s="4" t="s">
        <v>46</v>
      </c>
      <c r="I14" s="5">
        <v>10</v>
      </c>
      <c r="J14" s="5">
        <v>13.93</v>
      </c>
      <c r="K14" s="5">
        <v>1.39</v>
      </c>
      <c r="L14" s="4" t="s">
        <v>162</v>
      </c>
      <c r="M14" s="3">
        <v>45817</v>
      </c>
      <c r="N14" t="s">
        <v>215</v>
      </c>
      <c r="P14" s="7">
        <v>9030651770</v>
      </c>
      <c r="Q14" t="str">
        <f>CONCATENATE(P14,4)</f>
        <v>90306517704</v>
      </c>
      <c r="R14" s="4" t="s">
        <v>293</v>
      </c>
      <c r="S14" t="s">
        <v>294</v>
      </c>
      <c r="T14" t="str">
        <f>CONCATENATE(S14, " ",R14)</f>
        <v>Thomas Thompson</v>
      </c>
    </row>
    <row r="15" spans="1:20" x14ac:dyDescent="0.2">
      <c r="A15" s="4" t="s">
        <v>167</v>
      </c>
      <c r="B15" s="2">
        <v>18828278</v>
      </c>
      <c r="C15" s="8" t="s">
        <v>349</v>
      </c>
      <c r="D15" s="7">
        <v>9030652040</v>
      </c>
      <c r="E15" s="3">
        <v>45870</v>
      </c>
      <c r="F15" s="4" t="s">
        <v>49</v>
      </c>
      <c r="G15" s="4" t="s">
        <v>161</v>
      </c>
      <c r="H15" s="4" t="s">
        <v>46</v>
      </c>
      <c r="I15" s="5">
        <v>10</v>
      </c>
      <c r="J15" s="5">
        <v>26.88</v>
      </c>
      <c r="K15" s="5">
        <v>2.69</v>
      </c>
      <c r="L15" s="4" t="s">
        <v>162</v>
      </c>
      <c r="M15" s="3">
        <v>45817</v>
      </c>
      <c r="N15" t="s">
        <v>215</v>
      </c>
      <c r="P15" s="7">
        <v>9030652040</v>
      </c>
      <c r="Q15" t="str">
        <f>CONCATENATE(P15,4)</f>
        <v>90306520404</v>
      </c>
      <c r="R15" s="4" t="s">
        <v>295</v>
      </c>
      <c r="S15" t="s">
        <v>296</v>
      </c>
      <c r="T15" t="str">
        <f>CONCATENATE(S15, " ",R15)</f>
        <v>Nancy Dauer</v>
      </c>
    </row>
    <row r="16" spans="1:20" x14ac:dyDescent="0.2">
      <c r="A16" s="4" t="s">
        <v>167</v>
      </c>
      <c r="B16" s="2">
        <v>18828278</v>
      </c>
      <c r="C16" s="8" t="s">
        <v>350</v>
      </c>
      <c r="D16" s="7">
        <v>9030675550</v>
      </c>
      <c r="E16" s="3">
        <v>45870</v>
      </c>
      <c r="F16" s="4" t="s">
        <v>49</v>
      </c>
      <c r="G16" s="4" t="s">
        <v>161</v>
      </c>
      <c r="H16" s="4" t="s">
        <v>46</v>
      </c>
      <c r="I16" s="5">
        <v>10</v>
      </c>
      <c r="J16" s="5">
        <v>13.93</v>
      </c>
      <c r="K16" s="5">
        <v>1.39</v>
      </c>
      <c r="L16" s="4" t="s">
        <v>162</v>
      </c>
      <c r="M16" s="3">
        <v>45839</v>
      </c>
      <c r="N16" t="s">
        <v>215</v>
      </c>
      <c r="P16" s="7">
        <v>9030675550</v>
      </c>
      <c r="Q16" t="str">
        <f>CONCATENATE(P16,4)</f>
        <v>90306755504</v>
      </c>
      <c r="R16" s="4" t="s">
        <v>297</v>
      </c>
      <c r="S16" t="s">
        <v>298</v>
      </c>
      <c r="T16" t="str">
        <f>CONCATENATE(S16, " ",R16)</f>
        <v>Cheryl Simmons-Hutson</v>
      </c>
    </row>
    <row r="17" spans="1:20" x14ac:dyDescent="0.2">
      <c r="A17" s="4" t="s">
        <v>167</v>
      </c>
      <c r="B17" s="2">
        <v>18828278</v>
      </c>
      <c r="C17" s="8" t="s">
        <v>351</v>
      </c>
      <c r="D17" s="7">
        <v>9030683010</v>
      </c>
      <c r="E17" s="3">
        <v>45870</v>
      </c>
      <c r="F17" s="4" t="s">
        <v>49</v>
      </c>
      <c r="G17" s="4" t="s">
        <v>161</v>
      </c>
      <c r="H17" s="4" t="s">
        <v>46</v>
      </c>
      <c r="I17" s="5">
        <v>10</v>
      </c>
      <c r="J17" s="5">
        <v>26.88</v>
      </c>
      <c r="K17" s="5">
        <v>2.69</v>
      </c>
      <c r="L17" s="4" t="s">
        <v>162</v>
      </c>
      <c r="M17" s="3">
        <v>45839</v>
      </c>
      <c r="N17" t="s">
        <v>215</v>
      </c>
      <c r="P17" s="7">
        <v>9030683010</v>
      </c>
      <c r="Q17" t="str">
        <f>CONCATENATE(P17,4)</f>
        <v>90306830104</v>
      </c>
      <c r="R17" s="4" t="s">
        <v>299</v>
      </c>
      <c r="S17" t="s">
        <v>300</v>
      </c>
      <c r="T17" t="str">
        <f>CONCATENATE(S17, " ",R17)</f>
        <v>Edward Bond</v>
      </c>
    </row>
    <row r="18" spans="1:20" x14ac:dyDescent="0.2">
      <c r="A18" s="4" t="s">
        <v>167</v>
      </c>
      <c r="B18" s="2">
        <v>18828278</v>
      </c>
      <c r="C18" s="8" t="s">
        <v>352</v>
      </c>
      <c r="D18" s="7">
        <v>9030703310</v>
      </c>
      <c r="E18" s="3">
        <v>45870</v>
      </c>
      <c r="F18" s="4" t="s">
        <v>49</v>
      </c>
      <c r="G18" s="4" t="s">
        <v>161</v>
      </c>
      <c r="H18" s="4" t="s">
        <v>46</v>
      </c>
      <c r="I18" s="5">
        <v>10</v>
      </c>
      <c r="J18" s="5">
        <v>46.8</v>
      </c>
      <c r="K18" s="5">
        <v>4.68</v>
      </c>
      <c r="L18" s="4" t="s">
        <v>162</v>
      </c>
      <c r="M18" s="3">
        <v>45839</v>
      </c>
      <c r="N18" t="s">
        <v>215</v>
      </c>
      <c r="P18" s="7">
        <v>9030703310</v>
      </c>
      <c r="Q18" t="str">
        <f>CONCATENATE(P18,4)</f>
        <v>90307033104</v>
      </c>
      <c r="R18" s="4" t="s">
        <v>301</v>
      </c>
      <c r="S18" t="s">
        <v>302</v>
      </c>
      <c r="T18" t="str">
        <f>CONCATENATE(S18, " ",R18)</f>
        <v>Shaji Sharad</v>
      </c>
    </row>
    <row r="19" spans="1:20" x14ac:dyDescent="0.2">
      <c r="A19" s="4" t="s">
        <v>167</v>
      </c>
      <c r="B19" s="2">
        <v>18828278</v>
      </c>
      <c r="C19" s="8" t="s">
        <v>353</v>
      </c>
      <c r="D19" s="7">
        <v>9030719950</v>
      </c>
      <c r="E19" s="3">
        <v>45870</v>
      </c>
      <c r="F19" s="4" t="s">
        <v>49</v>
      </c>
      <c r="G19" s="4" t="s">
        <v>161</v>
      </c>
      <c r="H19" s="4" t="s">
        <v>46</v>
      </c>
      <c r="I19" s="5">
        <v>10</v>
      </c>
      <c r="J19" s="5">
        <v>13.93</v>
      </c>
      <c r="K19" s="5">
        <v>1.39</v>
      </c>
      <c r="L19" s="4" t="s">
        <v>162</v>
      </c>
      <c r="M19" s="3">
        <v>45839</v>
      </c>
      <c r="N19" t="s">
        <v>215</v>
      </c>
      <c r="P19" s="7">
        <v>9030719950</v>
      </c>
      <c r="Q19" t="str">
        <f>CONCATENATE(P19,4)</f>
        <v>90307199504</v>
      </c>
      <c r="R19" s="4" t="s">
        <v>303</v>
      </c>
      <c r="S19" t="s">
        <v>304</v>
      </c>
      <c r="T19" t="str">
        <f>CONCATENATE(S19, " ",R19)</f>
        <v>Mary Boma</v>
      </c>
    </row>
    <row r="20" spans="1:20" x14ac:dyDescent="0.2">
      <c r="A20" s="4" t="s">
        <v>167</v>
      </c>
      <c r="B20" s="2">
        <v>18828278</v>
      </c>
      <c r="C20" s="8" t="s">
        <v>354</v>
      </c>
      <c r="D20" s="7">
        <v>9030895100</v>
      </c>
      <c r="E20" s="3">
        <v>45870</v>
      </c>
      <c r="F20" s="4" t="s">
        <v>49</v>
      </c>
      <c r="G20" s="4" t="s">
        <v>161</v>
      </c>
      <c r="H20" s="4" t="s">
        <v>46</v>
      </c>
      <c r="I20" s="5">
        <v>10</v>
      </c>
      <c r="J20" s="5">
        <v>364.9</v>
      </c>
      <c r="K20" s="5">
        <v>36.49</v>
      </c>
      <c r="L20" s="4" t="s">
        <v>162</v>
      </c>
      <c r="M20" s="3">
        <v>45870</v>
      </c>
      <c r="N20" t="s">
        <v>215</v>
      </c>
      <c r="P20" s="7">
        <v>9030895100</v>
      </c>
      <c r="Q20" t="str">
        <f>CONCATENATE(P20,4)</f>
        <v>90308951004</v>
      </c>
      <c r="R20" s="4" t="s">
        <v>305</v>
      </c>
      <c r="S20" t="s">
        <v>294</v>
      </c>
      <c r="T20" t="str">
        <f>CONCATENATE(S20, " ",R20)</f>
        <v>Thomas Stokes</v>
      </c>
    </row>
    <row r="21" spans="1:20" x14ac:dyDescent="0.2">
      <c r="A21" s="4" t="s">
        <v>167</v>
      </c>
      <c r="B21" s="2">
        <v>18828278</v>
      </c>
      <c r="C21" s="8" t="s">
        <v>355</v>
      </c>
      <c r="D21" s="7">
        <v>9030924610</v>
      </c>
      <c r="E21" s="3">
        <v>45870</v>
      </c>
      <c r="F21" s="4" t="s">
        <v>49</v>
      </c>
      <c r="G21" s="4" t="s">
        <v>161</v>
      </c>
      <c r="H21" s="4" t="s">
        <v>46</v>
      </c>
      <c r="I21" s="5">
        <v>10</v>
      </c>
      <c r="J21" s="5">
        <v>364.9</v>
      </c>
      <c r="K21" s="5">
        <v>36.49</v>
      </c>
      <c r="L21" s="4" t="s">
        <v>162</v>
      </c>
      <c r="M21" s="3">
        <v>45871</v>
      </c>
      <c r="N21" t="s">
        <v>215</v>
      </c>
      <c r="P21" s="7">
        <v>9030924610</v>
      </c>
      <c r="Q21" t="str">
        <f>CONCATENATE(P21,4)</f>
        <v>90309246104</v>
      </c>
      <c r="R21" s="4" t="s">
        <v>306</v>
      </c>
      <c r="S21" t="s">
        <v>307</v>
      </c>
      <c r="T21" t="str">
        <f>CONCATENATE(S21, " ",R21)</f>
        <v>Robin Fewell</v>
      </c>
    </row>
    <row r="22" spans="1:20" x14ac:dyDescent="0.2">
      <c r="A22" s="4" t="s">
        <v>84</v>
      </c>
      <c r="B22" s="2">
        <v>7146581</v>
      </c>
      <c r="C22" s="8" t="s">
        <v>334</v>
      </c>
      <c r="D22" s="7">
        <v>9025228750</v>
      </c>
      <c r="E22" s="3">
        <v>45870</v>
      </c>
      <c r="F22" s="4" t="s">
        <v>49</v>
      </c>
      <c r="G22" s="4" t="s">
        <v>150</v>
      </c>
      <c r="H22" s="4" t="s">
        <v>46</v>
      </c>
      <c r="I22" s="5">
        <v>10</v>
      </c>
      <c r="J22" s="5">
        <v>52.78</v>
      </c>
      <c r="K22" s="5">
        <v>5.28</v>
      </c>
      <c r="L22" s="4" t="s">
        <v>151</v>
      </c>
      <c r="M22" s="3">
        <v>44586</v>
      </c>
      <c r="N22" t="s">
        <v>215</v>
      </c>
      <c r="P22" s="7">
        <v>9025228750</v>
      </c>
      <c r="Q22" t="str">
        <f>CONCATENATE(P22,4)</f>
        <v>90252287504</v>
      </c>
      <c r="R22" s="4" t="s">
        <v>266</v>
      </c>
      <c r="S22" t="s">
        <v>267</v>
      </c>
      <c r="T22" t="str">
        <f>CONCATENATE(S22, " ",R22)</f>
        <v>Barbara Hanahan</v>
      </c>
    </row>
    <row r="23" spans="1:20" x14ac:dyDescent="0.2">
      <c r="A23" s="4" t="s">
        <v>153</v>
      </c>
      <c r="B23" s="9" t="s">
        <v>358</v>
      </c>
      <c r="C23" s="8" t="s">
        <v>336</v>
      </c>
      <c r="D23" s="7">
        <v>9030755680</v>
      </c>
      <c r="E23" s="3">
        <v>45870</v>
      </c>
      <c r="F23" s="4" t="s">
        <v>49</v>
      </c>
      <c r="G23" s="4" t="s">
        <v>161</v>
      </c>
      <c r="H23" s="4" t="s">
        <v>46</v>
      </c>
      <c r="I23" s="5">
        <v>10</v>
      </c>
      <c r="J23" s="5">
        <v>12.99</v>
      </c>
      <c r="K23" s="5">
        <v>1.3</v>
      </c>
      <c r="L23" s="4" t="s">
        <v>162</v>
      </c>
      <c r="M23" s="3">
        <v>45839</v>
      </c>
      <c r="N23" t="s">
        <v>215</v>
      </c>
      <c r="P23" s="7">
        <v>9030755680</v>
      </c>
      <c r="Q23" t="str">
        <f>CONCATENATE(P23,4)</f>
        <v>90307556804</v>
      </c>
      <c r="R23" s="4" t="s">
        <v>270</v>
      </c>
      <c r="S23" t="s">
        <v>271</v>
      </c>
      <c r="T23" t="str">
        <f>CONCATENATE(S23, " ",R23)</f>
        <v>Carol Ubrey</v>
      </c>
    </row>
    <row r="24" spans="1:20" x14ac:dyDescent="0.2">
      <c r="A24" s="4" t="s">
        <v>205</v>
      </c>
      <c r="B24" s="2">
        <v>19278370</v>
      </c>
      <c r="C24" s="8" t="s">
        <v>356</v>
      </c>
      <c r="D24" s="7">
        <v>9030115330</v>
      </c>
      <c r="E24" s="3">
        <v>45870</v>
      </c>
      <c r="F24" s="4" t="s">
        <v>49</v>
      </c>
      <c r="G24" s="4" t="s">
        <v>161</v>
      </c>
      <c r="H24" s="4" t="s">
        <v>46</v>
      </c>
      <c r="I24" s="5">
        <v>10</v>
      </c>
      <c r="J24" s="5">
        <v>23.99</v>
      </c>
      <c r="K24" s="5">
        <v>2.4</v>
      </c>
      <c r="L24" s="4" t="s">
        <v>162</v>
      </c>
      <c r="M24" s="3">
        <v>45713</v>
      </c>
      <c r="N24" t="s">
        <v>215</v>
      </c>
      <c r="P24" s="7">
        <v>9030115330</v>
      </c>
      <c r="Q24" t="str">
        <f>CONCATENATE(P24,4)</f>
        <v>90301153304</v>
      </c>
      <c r="R24" s="4" t="s">
        <v>308</v>
      </c>
      <c r="S24" t="s">
        <v>309</v>
      </c>
      <c r="T24" t="str">
        <f>CONCATENATE(S24, " ",R24)</f>
        <v>Jon Rudden</v>
      </c>
    </row>
    <row r="25" spans="1:20" x14ac:dyDescent="0.2">
      <c r="A25" s="4" t="s">
        <v>205</v>
      </c>
      <c r="B25" s="2">
        <v>19278370</v>
      </c>
      <c r="C25" s="8" t="s">
        <v>346</v>
      </c>
      <c r="D25" s="7">
        <v>9030791020</v>
      </c>
      <c r="E25" s="3">
        <v>45870</v>
      </c>
      <c r="F25" s="4" t="s">
        <v>49</v>
      </c>
      <c r="G25" s="4" t="s">
        <v>161</v>
      </c>
      <c r="H25" s="4" t="s">
        <v>46</v>
      </c>
      <c r="I25" s="5">
        <v>10</v>
      </c>
      <c r="J25" s="5">
        <v>376</v>
      </c>
      <c r="K25" s="5">
        <v>37.6</v>
      </c>
      <c r="L25" s="4" t="s">
        <v>162</v>
      </c>
      <c r="M25" s="3">
        <v>45870</v>
      </c>
      <c r="N25" t="s">
        <v>215</v>
      </c>
      <c r="P25" s="7">
        <v>9030791020</v>
      </c>
      <c r="Q25" t="str">
        <f>CONCATENATE(P25,4)</f>
        <v>90307910204</v>
      </c>
      <c r="R25" s="4" t="s">
        <v>290</v>
      </c>
      <c r="S25" t="s">
        <v>283</v>
      </c>
      <c r="T25" t="str">
        <f>CONCATENATE(S25, " ",R25)</f>
        <v>Eric Johnson</v>
      </c>
    </row>
    <row r="26" spans="1:20" x14ac:dyDescent="0.2">
      <c r="A26" s="4" t="s">
        <v>205</v>
      </c>
      <c r="B26" s="2">
        <v>19278370</v>
      </c>
      <c r="C26" s="8" t="s">
        <v>357</v>
      </c>
      <c r="D26" s="7">
        <v>9030902230</v>
      </c>
      <c r="E26" s="3">
        <v>45839</v>
      </c>
      <c r="F26" s="4" t="s">
        <v>212</v>
      </c>
      <c r="G26" s="4" t="s">
        <v>161</v>
      </c>
      <c r="H26" s="4" t="s">
        <v>46</v>
      </c>
      <c r="I26" s="5">
        <v>10</v>
      </c>
      <c r="J26" s="5">
        <v>363</v>
      </c>
      <c r="K26" s="5">
        <v>36.299999999999997</v>
      </c>
      <c r="L26" s="4" t="s">
        <v>162</v>
      </c>
      <c r="M26" s="3">
        <v>45866</v>
      </c>
      <c r="N26" t="s">
        <v>215</v>
      </c>
      <c r="P26" s="7">
        <v>9030902230</v>
      </c>
      <c r="Q26" t="str">
        <f>CONCATENATE(P26,4)</f>
        <v>90309022304</v>
      </c>
      <c r="R26" s="4" t="s">
        <v>310</v>
      </c>
      <c r="S26" t="s">
        <v>311</v>
      </c>
      <c r="T26" t="str">
        <f>CONCATENATE(S26, " ",R26)</f>
        <v>Suzanne Levy</v>
      </c>
    </row>
    <row r="27" spans="1:20" x14ac:dyDescent="0.2">
      <c r="A27" s="4" t="s">
        <v>164</v>
      </c>
      <c r="B27" s="2">
        <v>18710070</v>
      </c>
      <c r="C27" s="8" t="s">
        <v>337</v>
      </c>
      <c r="D27" s="7">
        <v>9030925080</v>
      </c>
      <c r="E27" s="3">
        <v>45870</v>
      </c>
      <c r="F27" s="4" t="s">
        <v>49</v>
      </c>
      <c r="G27" s="4" t="s">
        <v>161</v>
      </c>
      <c r="H27" s="4" t="s">
        <v>46</v>
      </c>
      <c r="I27" s="5">
        <v>10</v>
      </c>
      <c r="J27" s="5">
        <v>374</v>
      </c>
      <c r="K27" s="5">
        <v>37.4</v>
      </c>
      <c r="L27" s="4" t="s">
        <v>162</v>
      </c>
      <c r="M27" s="3">
        <v>45871</v>
      </c>
      <c r="N27" t="s">
        <v>215</v>
      </c>
      <c r="P27" s="7">
        <v>9030925080</v>
      </c>
      <c r="Q27" t="str">
        <f>CONCATENATE(P27,4)</f>
        <v>90309250804</v>
      </c>
      <c r="R27" s="4" t="s">
        <v>272</v>
      </c>
      <c r="S27" t="s">
        <v>273</v>
      </c>
      <c r="T27" t="str">
        <f>CONCATENATE(S27, " ",R27)</f>
        <v>Ryan Danley</v>
      </c>
    </row>
    <row r="28" spans="1:20" x14ac:dyDescent="0.2">
      <c r="A28" s="4" t="s">
        <v>114</v>
      </c>
      <c r="B28" s="2">
        <v>19491313</v>
      </c>
      <c r="C28" s="8" t="s">
        <v>329</v>
      </c>
      <c r="D28" s="4" t="s">
        <v>116</v>
      </c>
      <c r="E28" s="3">
        <v>45870</v>
      </c>
      <c r="F28" s="4" t="s">
        <v>49</v>
      </c>
      <c r="G28" s="4" t="s">
        <v>51</v>
      </c>
      <c r="H28" s="4" t="s">
        <v>118</v>
      </c>
      <c r="I28" s="5">
        <v>0.42</v>
      </c>
      <c r="J28" s="5">
        <v>1</v>
      </c>
      <c r="K28" s="5">
        <v>130.41999999999999</v>
      </c>
      <c r="L28" s="4" t="s">
        <v>53</v>
      </c>
      <c r="M28" s="3">
        <v>45870</v>
      </c>
      <c r="N28" t="s">
        <v>218</v>
      </c>
      <c r="O28" s="6" t="s">
        <v>220</v>
      </c>
      <c r="P28" s="4" t="s">
        <v>116</v>
      </c>
      <c r="Q28" t="str">
        <f>CONCATENATE(P28,6)</f>
        <v>00022064220K6</v>
      </c>
      <c r="R28" s="4" t="s">
        <v>256</v>
      </c>
      <c r="S28" t="s">
        <v>257</v>
      </c>
      <c r="T28" t="str">
        <f>CONCATENATE(S28, " ",R28)</f>
        <v>VICKI COOKE</v>
      </c>
    </row>
    <row r="29" spans="1:20" x14ac:dyDescent="0.2">
      <c r="A29" s="4" t="s">
        <v>130</v>
      </c>
      <c r="B29" s="2">
        <v>21348299</v>
      </c>
      <c r="C29" s="8" t="s">
        <v>328</v>
      </c>
      <c r="D29" s="4" t="s">
        <v>132</v>
      </c>
      <c r="E29" s="3">
        <v>45870</v>
      </c>
      <c r="F29" s="4" t="s">
        <v>49</v>
      </c>
      <c r="G29" s="4" t="s">
        <v>51</v>
      </c>
      <c r="H29" s="4" t="s">
        <v>70</v>
      </c>
      <c r="I29" s="5">
        <v>0.42</v>
      </c>
      <c r="J29" s="5">
        <v>1</v>
      </c>
      <c r="K29" s="5">
        <v>130.41999999999999</v>
      </c>
      <c r="L29" s="4" t="s">
        <v>53</v>
      </c>
      <c r="M29" s="3">
        <v>45870</v>
      </c>
      <c r="N29" t="s">
        <v>218</v>
      </c>
      <c r="O29" s="6" t="s">
        <v>220</v>
      </c>
      <c r="P29" s="4" t="s">
        <v>132</v>
      </c>
      <c r="Q29" t="str">
        <f>CONCATENATE(P29,6)</f>
        <v>00023515836K6</v>
      </c>
      <c r="R29" s="4" t="s">
        <v>254</v>
      </c>
      <c r="S29" t="s">
        <v>255</v>
      </c>
      <c r="T29" t="str">
        <f>CONCATENATE(S29, " ",R29)</f>
        <v>CYNTHIA XEROGIANES</v>
      </c>
    </row>
    <row r="30" spans="1:20" x14ac:dyDescent="0.2">
      <c r="A30" s="4" t="s">
        <v>56</v>
      </c>
      <c r="B30" s="2">
        <v>7470776</v>
      </c>
      <c r="C30" s="8" t="s">
        <v>319</v>
      </c>
      <c r="D30" s="4" t="s">
        <v>63</v>
      </c>
      <c r="E30" s="3">
        <v>45870</v>
      </c>
      <c r="F30" s="4" t="s">
        <v>49</v>
      </c>
      <c r="G30" s="4" t="s">
        <v>51</v>
      </c>
      <c r="H30" s="4" t="s">
        <v>52</v>
      </c>
      <c r="I30" s="5">
        <v>0.42</v>
      </c>
      <c r="J30" s="5">
        <v>1</v>
      </c>
      <c r="K30" s="5">
        <v>130.41999999999999</v>
      </c>
      <c r="L30" s="4" t="s">
        <v>53</v>
      </c>
      <c r="M30" s="3">
        <v>45870</v>
      </c>
      <c r="N30" t="s">
        <v>218</v>
      </c>
      <c r="O30" s="6" t="s">
        <v>220</v>
      </c>
      <c r="P30" s="4" t="s">
        <v>63</v>
      </c>
      <c r="Q30" t="str">
        <f>CONCATENATE(P30,6)</f>
        <v>00023509465K6</v>
      </c>
      <c r="R30" s="4" t="s">
        <v>236</v>
      </c>
      <c r="S30" t="s">
        <v>237</v>
      </c>
      <c r="T30" t="str">
        <f>CONCATENATE(S30, " ",R30)</f>
        <v>SANDRA KRAMER</v>
      </c>
    </row>
    <row r="31" spans="1:20" x14ac:dyDescent="0.2">
      <c r="A31" s="4" t="s">
        <v>84</v>
      </c>
      <c r="B31" s="2">
        <v>7146581</v>
      </c>
      <c r="C31" s="8" t="s">
        <v>320</v>
      </c>
      <c r="D31" s="4" t="s">
        <v>86</v>
      </c>
      <c r="E31" s="3">
        <v>45870</v>
      </c>
      <c r="F31" s="4" t="s">
        <v>49</v>
      </c>
      <c r="G31" s="4" t="s">
        <v>51</v>
      </c>
      <c r="H31" s="4" t="s">
        <v>52</v>
      </c>
      <c r="I31" s="5">
        <v>0.42</v>
      </c>
      <c r="J31" s="5">
        <v>1</v>
      </c>
      <c r="K31" s="5">
        <v>130.41999999999999</v>
      </c>
      <c r="L31" s="4" t="s">
        <v>53</v>
      </c>
      <c r="M31" s="3">
        <v>45870</v>
      </c>
      <c r="N31" t="s">
        <v>218</v>
      </c>
      <c r="O31" s="6" t="s">
        <v>220</v>
      </c>
      <c r="P31" s="4" t="s">
        <v>86</v>
      </c>
      <c r="Q31" t="str">
        <f>CONCATENATE(P31,6)</f>
        <v>00012982278K6</v>
      </c>
      <c r="R31" s="4" t="s">
        <v>238</v>
      </c>
      <c r="S31" t="s">
        <v>239</v>
      </c>
      <c r="T31" t="str">
        <f>CONCATENATE(S31, " ",R31)</f>
        <v>FRANK BILLER</v>
      </c>
    </row>
    <row r="32" spans="1:20" x14ac:dyDescent="0.2">
      <c r="A32" s="4" t="s">
        <v>84</v>
      </c>
      <c r="B32" s="2">
        <v>7146581</v>
      </c>
      <c r="C32" s="8" t="s">
        <v>321</v>
      </c>
      <c r="D32" s="4" t="s">
        <v>89</v>
      </c>
      <c r="E32" s="3">
        <v>45870</v>
      </c>
      <c r="F32" s="4" t="s">
        <v>49</v>
      </c>
      <c r="G32" s="4" t="s">
        <v>51</v>
      </c>
      <c r="H32" s="4" t="s">
        <v>52</v>
      </c>
      <c r="I32" s="5">
        <v>0.42</v>
      </c>
      <c r="J32" s="5">
        <v>1</v>
      </c>
      <c r="K32" s="5">
        <v>130.41999999999999</v>
      </c>
      <c r="L32" s="4" t="s">
        <v>53</v>
      </c>
      <c r="M32" s="3">
        <v>45870</v>
      </c>
      <c r="N32" t="s">
        <v>218</v>
      </c>
      <c r="O32" s="6" t="s">
        <v>220</v>
      </c>
      <c r="P32" s="4" t="s">
        <v>89</v>
      </c>
      <c r="Q32" t="str">
        <f>CONCATENATE(P32,6)</f>
        <v>00023503807K6</v>
      </c>
      <c r="R32" s="4" t="s">
        <v>240</v>
      </c>
      <c r="S32" t="s">
        <v>241</v>
      </c>
      <c r="T32" t="str">
        <f>CONCATENATE(S32, " ",R32)</f>
        <v>DAWN HEDERMAN</v>
      </c>
    </row>
    <row r="33" spans="1:20" x14ac:dyDescent="0.2">
      <c r="A33" s="4" t="s">
        <v>102</v>
      </c>
      <c r="B33" s="2">
        <v>16202925</v>
      </c>
      <c r="C33" s="8" t="s">
        <v>313</v>
      </c>
      <c r="D33" s="4" t="s">
        <v>104</v>
      </c>
      <c r="E33" s="3">
        <v>45778</v>
      </c>
      <c r="F33" s="4" t="s">
        <v>106</v>
      </c>
      <c r="G33" s="4" t="s">
        <v>51</v>
      </c>
      <c r="H33" s="4" t="s">
        <v>70</v>
      </c>
      <c r="I33" s="5">
        <v>-0.42</v>
      </c>
      <c r="J33" s="5">
        <v>-1</v>
      </c>
      <c r="K33" s="5">
        <v>-130.41999999999999</v>
      </c>
      <c r="L33" s="4" t="s">
        <v>53</v>
      </c>
      <c r="M33" s="3">
        <v>45778</v>
      </c>
      <c r="N33" t="s">
        <v>218</v>
      </c>
      <c r="O33" s="6" t="s">
        <v>220</v>
      </c>
      <c r="P33" s="4" t="s">
        <v>104</v>
      </c>
      <c r="Q33" t="str">
        <f>CONCATENATE(P33,6)</f>
        <v>00017933721K6</v>
      </c>
      <c r="R33" s="4" t="s">
        <v>225</v>
      </c>
      <c r="S33" t="s">
        <v>226</v>
      </c>
      <c r="T33" t="str">
        <f>CONCATENATE(S33, " ",R33)</f>
        <v>FRANCES BOOZE</v>
      </c>
    </row>
    <row r="34" spans="1:20" x14ac:dyDescent="0.2">
      <c r="A34" s="4" t="s">
        <v>102</v>
      </c>
      <c r="B34" s="2">
        <v>16202925</v>
      </c>
      <c r="C34" s="8" t="s">
        <v>313</v>
      </c>
      <c r="D34" s="4" t="s">
        <v>104</v>
      </c>
      <c r="E34" s="3">
        <v>45778</v>
      </c>
      <c r="F34" s="4" t="s">
        <v>106</v>
      </c>
      <c r="G34" s="4" t="s">
        <v>51</v>
      </c>
      <c r="H34" s="4" t="s">
        <v>70</v>
      </c>
      <c r="I34" s="5">
        <v>0</v>
      </c>
      <c r="J34" s="5">
        <v>-1</v>
      </c>
      <c r="K34" s="5">
        <v>-130.41</v>
      </c>
      <c r="L34" s="4" t="s">
        <v>71</v>
      </c>
      <c r="M34" s="3">
        <v>45778</v>
      </c>
      <c r="N34" t="s">
        <v>218</v>
      </c>
      <c r="O34" s="6" t="s">
        <v>220</v>
      </c>
      <c r="P34" s="4" t="s">
        <v>104</v>
      </c>
      <c r="Q34" t="str">
        <f>CONCATENATE(P34,6)</f>
        <v>00017933721K6</v>
      </c>
      <c r="R34" s="4" t="s">
        <v>225</v>
      </c>
      <c r="S34" t="s">
        <v>226</v>
      </c>
      <c r="T34" t="str">
        <f>CONCATENATE(S34, " ",R34)</f>
        <v>FRANCES BOOZE</v>
      </c>
    </row>
    <row r="35" spans="1:20" x14ac:dyDescent="0.2">
      <c r="A35" s="4" t="s">
        <v>42</v>
      </c>
      <c r="B35" s="2">
        <v>8814784</v>
      </c>
      <c r="C35" s="8" t="s">
        <v>318</v>
      </c>
      <c r="D35" s="4" t="s">
        <v>44</v>
      </c>
      <c r="E35" s="3">
        <v>45870</v>
      </c>
      <c r="F35" s="4" t="s">
        <v>49</v>
      </c>
      <c r="G35" s="4" t="s">
        <v>51</v>
      </c>
      <c r="H35" s="4" t="s">
        <v>52</v>
      </c>
      <c r="I35" s="5">
        <v>0.42</v>
      </c>
      <c r="J35" s="5">
        <v>1</v>
      </c>
      <c r="K35" s="5">
        <v>130.41999999999999</v>
      </c>
      <c r="L35" s="4" t="s">
        <v>53</v>
      </c>
      <c r="M35" s="3">
        <v>45870</v>
      </c>
      <c r="N35" t="s">
        <v>218</v>
      </c>
      <c r="O35" s="6" t="s">
        <v>220</v>
      </c>
      <c r="P35" s="4" t="s">
        <v>44</v>
      </c>
      <c r="Q35" t="str">
        <f>CONCATENATE(P35,6)</f>
        <v>00023513017K6</v>
      </c>
      <c r="R35" s="4" t="s">
        <v>234</v>
      </c>
      <c r="S35" t="s">
        <v>235</v>
      </c>
      <c r="T35" t="str">
        <f>CONCATENATE(S35, " ",R35)</f>
        <v>MIHIR PATEL</v>
      </c>
    </row>
    <row r="36" spans="1:20" x14ac:dyDescent="0.2">
      <c r="A36" s="4" t="s">
        <v>108</v>
      </c>
      <c r="B36" s="2">
        <v>9213293</v>
      </c>
      <c r="C36" s="8" t="s">
        <v>327</v>
      </c>
      <c r="D36" s="4" t="s">
        <v>110</v>
      </c>
      <c r="E36" s="3">
        <v>45689</v>
      </c>
      <c r="F36" s="4" t="s">
        <v>112</v>
      </c>
      <c r="G36" s="4" t="s">
        <v>51</v>
      </c>
      <c r="H36" s="4" t="s">
        <v>70</v>
      </c>
      <c r="I36" s="5">
        <v>0.42</v>
      </c>
      <c r="J36" s="5">
        <v>1</v>
      </c>
      <c r="K36" s="5">
        <v>130.41999999999999</v>
      </c>
      <c r="L36" s="4" t="s">
        <v>53</v>
      </c>
      <c r="M36" s="3">
        <v>45689</v>
      </c>
      <c r="N36" t="s">
        <v>218</v>
      </c>
      <c r="O36" s="6" t="s">
        <v>220</v>
      </c>
      <c r="P36" s="4" t="s">
        <v>110</v>
      </c>
      <c r="Q36" t="str">
        <f>CONCATENATE(P36,6)</f>
        <v>00022971348K6</v>
      </c>
      <c r="R36" s="4" t="s">
        <v>252</v>
      </c>
      <c r="S36" t="s">
        <v>253</v>
      </c>
      <c r="T36" t="str">
        <f>CONCATENATE(S36, " ",R36)</f>
        <v>EDWIN TORRES</v>
      </c>
    </row>
    <row r="37" spans="1:20" x14ac:dyDescent="0.2">
      <c r="A37" s="4" t="s">
        <v>108</v>
      </c>
      <c r="B37" s="2">
        <v>9213293</v>
      </c>
      <c r="C37" s="8" t="s">
        <v>327</v>
      </c>
      <c r="D37" s="4" t="s">
        <v>110</v>
      </c>
      <c r="E37" s="3">
        <v>45689</v>
      </c>
      <c r="F37" s="4" t="s">
        <v>112</v>
      </c>
      <c r="G37" s="4" t="s">
        <v>51</v>
      </c>
      <c r="H37" s="4" t="s">
        <v>70</v>
      </c>
      <c r="I37" s="5">
        <v>0</v>
      </c>
      <c r="J37" s="5">
        <v>1</v>
      </c>
      <c r="K37" s="5">
        <v>182.58</v>
      </c>
      <c r="L37" s="4" t="s">
        <v>71</v>
      </c>
      <c r="M37" s="3">
        <v>45689</v>
      </c>
      <c r="N37" t="s">
        <v>218</v>
      </c>
      <c r="O37" s="6" t="s">
        <v>222</v>
      </c>
      <c r="P37" s="4" t="s">
        <v>110</v>
      </c>
      <c r="Q37" t="str">
        <f>CONCATENATE(P37,6)</f>
        <v>00022971348K6</v>
      </c>
      <c r="R37" s="4" t="s">
        <v>252</v>
      </c>
      <c r="S37" t="s">
        <v>253</v>
      </c>
      <c r="T37" t="str">
        <f>CONCATENATE(S37, " ",R37)</f>
        <v>EDWIN TORRES</v>
      </c>
    </row>
    <row r="38" spans="1:20" x14ac:dyDescent="0.2">
      <c r="A38" s="4" t="s">
        <v>119</v>
      </c>
      <c r="B38" s="2">
        <v>19645587</v>
      </c>
      <c r="C38" s="8" t="s">
        <v>323</v>
      </c>
      <c r="D38" s="4" t="s">
        <v>121</v>
      </c>
      <c r="E38" s="3">
        <v>45870</v>
      </c>
      <c r="F38" s="4" t="s">
        <v>49</v>
      </c>
      <c r="G38" s="4" t="s">
        <v>51</v>
      </c>
      <c r="H38" s="4" t="s">
        <v>52</v>
      </c>
      <c r="I38" s="5">
        <v>0.42</v>
      </c>
      <c r="J38" s="5">
        <v>1</v>
      </c>
      <c r="K38" s="5">
        <v>130.41999999999999</v>
      </c>
      <c r="L38" s="4" t="s">
        <v>53</v>
      </c>
      <c r="M38" s="3">
        <v>45870</v>
      </c>
      <c r="N38" t="s">
        <v>218</v>
      </c>
      <c r="O38" s="6" t="s">
        <v>220</v>
      </c>
      <c r="P38" s="4" t="s">
        <v>121</v>
      </c>
      <c r="Q38" t="str">
        <f>CONCATENATE(P38,6)</f>
        <v>00023507776K6</v>
      </c>
      <c r="R38" s="4" t="s">
        <v>244</v>
      </c>
      <c r="S38" t="s">
        <v>245</v>
      </c>
      <c r="T38" t="str">
        <f>CONCATENATE(S38, " ",R38)</f>
        <v>DWAYNE DIGBY</v>
      </c>
    </row>
    <row r="39" spans="1:20" x14ac:dyDescent="0.2">
      <c r="A39" s="4" t="s">
        <v>123</v>
      </c>
      <c r="B39" s="2">
        <v>7565575</v>
      </c>
      <c r="C39" s="8" t="s">
        <v>317</v>
      </c>
      <c r="D39" s="4" t="s">
        <v>128</v>
      </c>
      <c r="E39" s="3">
        <v>45901</v>
      </c>
      <c r="F39" s="4" t="s">
        <v>80</v>
      </c>
      <c r="G39" s="4" t="s">
        <v>51</v>
      </c>
      <c r="H39" s="4" t="s">
        <v>52</v>
      </c>
      <c r="I39" s="5">
        <v>0.33</v>
      </c>
      <c r="J39" s="5">
        <v>1</v>
      </c>
      <c r="K39" s="5">
        <v>104.33</v>
      </c>
      <c r="L39" s="4" t="s">
        <v>53</v>
      </c>
      <c r="M39" s="3">
        <v>45901</v>
      </c>
      <c r="N39" t="s">
        <v>218</v>
      </c>
      <c r="O39" s="6" t="s">
        <v>221</v>
      </c>
      <c r="P39" s="4" t="s">
        <v>128</v>
      </c>
      <c r="Q39" t="str">
        <f>CONCATENATE(P39,6)</f>
        <v>00023509197K6</v>
      </c>
      <c r="R39" s="4" t="s">
        <v>232</v>
      </c>
      <c r="S39" t="s">
        <v>233</v>
      </c>
      <c r="T39" t="str">
        <f>CONCATENATE(S39, " ",R39)</f>
        <v>RICHARD GALASINSKI</v>
      </c>
    </row>
    <row r="40" spans="1:20" x14ac:dyDescent="0.2">
      <c r="A40" s="4" t="s">
        <v>123</v>
      </c>
      <c r="B40" s="2">
        <v>7565575</v>
      </c>
      <c r="C40" s="8" t="s">
        <v>324</v>
      </c>
      <c r="D40" s="4" t="s">
        <v>125</v>
      </c>
      <c r="E40" s="3">
        <v>45870</v>
      </c>
      <c r="F40" s="4" t="s">
        <v>49</v>
      </c>
      <c r="G40" s="4" t="s">
        <v>51</v>
      </c>
      <c r="H40" s="4" t="s">
        <v>52</v>
      </c>
      <c r="I40" s="5">
        <v>0.42</v>
      </c>
      <c r="J40" s="5">
        <v>1</v>
      </c>
      <c r="K40" s="5">
        <v>130.41999999999999</v>
      </c>
      <c r="L40" s="4" t="s">
        <v>53</v>
      </c>
      <c r="M40" s="3">
        <v>45870</v>
      </c>
      <c r="N40" t="s">
        <v>218</v>
      </c>
      <c r="O40" s="6" t="s">
        <v>220</v>
      </c>
      <c r="P40" s="4" t="s">
        <v>125</v>
      </c>
      <c r="Q40" t="str">
        <f>CONCATENATE(P40,6)</f>
        <v>00023505772K6</v>
      </c>
      <c r="R40" s="4" t="s">
        <v>246</v>
      </c>
      <c r="S40" t="s">
        <v>247</v>
      </c>
      <c r="T40" t="str">
        <f>CONCATENATE(S40, " ",R40)</f>
        <v>MARK DENOFRIO</v>
      </c>
    </row>
    <row r="41" spans="1:20" x14ac:dyDescent="0.2">
      <c r="A41" s="4" t="s">
        <v>65</v>
      </c>
      <c r="B41" s="2">
        <v>8307933</v>
      </c>
      <c r="C41" s="8" t="s">
        <v>312</v>
      </c>
      <c r="D41" s="4" t="s">
        <v>67</v>
      </c>
      <c r="E41" s="3">
        <v>45809</v>
      </c>
      <c r="F41" s="4" t="s">
        <v>69</v>
      </c>
      <c r="G41" s="4" t="s">
        <v>51</v>
      </c>
      <c r="H41" s="4" t="s">
        <v>70</v>
      </c>
      <c r="I41" s="5">
        <v>0</v>
      </c>
      <c r="J41" s="5">
        <v>-1</v>
      </c>
      <c r="K41" s="5">
        <v>-260.83</v>
      </c>
      <c r="L41" s="4" t="s">
        <v>71</v>
      </c>
      <c r="M41" s="3">
        <v>45809</v>
      </c>
      <c r="N41" t="s">
        <v>218</v>
      </c>
      <c r="O41" s="6" t="s">
        <v>219</v>
      </c>
      <c r="P41" s="4" t="s">
        <v>67</v>
      </c>
      <c r="Q41" t="str">
        <f>CONCATENATE(P41,6)</f>
        <v>00022397306K6</v>
      </c>
      <c r="R41" s="4" t="s">
        <v>223</v>
      </c>
      <c r="S41" t="s">
        <v>224</v>
      </c>
      <c r="T41" t="str">
        <f>CONCATENATE(S41, " ",R41)</f>
        <v>KATHERINE FOLTZ</v>
      </c>
    </row>
    <row r="42" spans="1:20" x14ac:dyDescent="0.2">
      <c r="A42" s="4" t="s">
        <v>65</v>
      </c>
      <c r="B42" s="2">
        <v>8307933</v>
      </c>
      <c r="C42" s="8" t="s">
        <v>314</v>
      </c>
      <c r="D42" s="4" t="s">
        <v>75</v>
      </c>
      <c r="E42" s="3">
        <v>45809</v>
      </c>
      <c r="F42" s="4" t="s">
        <v>69</v>
      </c>
      <c r="G42" s="4" t="s">
        <v>51</v>
      </c>
      <c r="H42" s="4" t="s">
        <v>70</v>
      </c>
      <c r="I42" s="5">
        <v>-0.42</v>
      </c>
      <c r="J42" s="5">
        <v>1</v>
      </c>
      <c r="K42" s="5">
        <v>-130.41</v>
      </c>
      <c r="L42" s="4" t="s">
        <v>53</v>
      </c>
      <c r="M42" s="3">
        <v>45809</v>
      </c>
      <c r="N42" t="s">
        <v>218</v>
      </c>
      <c r="O42" s="6" t="s">
        <v>220</v>
      </c>
      <c r="P42" s="4" t="s">
        <v>75</v>
      </c>
      <c r="Q42" t="str">
        <f>CONCATENATE(P42,6)</f>
        <v>00022402277K6</v>
      </c>
      <c r="R42" s="4" t="s">
        <v>223</v>
      </c>
      <c r="S42" t="s">
        <v>227</v>
      </c>
      <c r="T42" t="str">
        <f>CONCATENATE(S42, " ",R42)</f>
        <v>JIM FOLTZ</v>
      </c>
    </row>
    <row r="43" spans="1:20" x14ac:dyDescent="0.2">
      <c r="A43" s="4" t="s">
        <v>65</v>
      </c>
      <c r="B43" s="2">
        <v>8307933</v>
      </c>
      <c r="C43" s="8" t="s">
        <v>315</v>
      </c>
      <c r="D43" s="4" t="s">
        <v>78</v>
      </c>
      <c r="E43" s="3">
        <v>45901</v>
      </c>
      <c r="F43" s="4" t="s">
        <v>80</v>
      </c>
      <c r="G43" s="4" t="s">
        <v>51</v>
      </c>
      <c r="H43" s="4" t="s">
        <v>52</v>
      </c>
      <c r="I43" s="5">
        <v>0.33</v>
      </c>
      <c r="J43" s="5">
        <v>1</v>
      </c>
      <c r="K43" s="5">
        <v>104.33</v>
      </c>
      <c r="L43" s="4" t="s">
        <v>53</v>
      </c>
      <c r="M43" s="3">
        <v>45901</v>
      </c>
      <c r="N43" t="s">
        <v>218</v>
      </c>
      <c r="O43" s="6" t="s">
        <v>221</v>
      </c>
      <c r="P43" s="4" t="s">
        <v>78</v>
      </c>
      <c r="Q43" t="str">
        <f>CONCATENATE(P43,6)</f>
        <v>00023509374K6</v>
      </c>
      <c r="R43" s="4" t="s">
        <v>228</v>
      </c>
      <c r="S43" t="s">
        <v>229</v>
      </c>
      <c r="T43" t="str">
        <f>CONCATENATE(S43, " ",R43)</f>
        <v>LAURA KEZDI</v>
      </c>
    </row>
    <row r="44" spans="1:20" x14ac:dyDescent="0.2">
      <c r="A44" s="4" t="s">
        <v>65</v>
      </c>
      <c r="B44" s="2">
        <v>8307933</v>
      </c>
      <c r="C44" s="8" t="s">
        <v>316</v>
      </c>
      <c r="D44" s="4" t="s">
        <v>82</v>
      </c>
      <c r="E44" s="3">
        <v>45901</v>
      </c>
      <c r="F44" s="4" t="s">
        <v>80</v>
      </c>
      <c r="G44" s="4" t="s">
        <v>51</v>
      </c>
      <c r="H44" s="4" t="s">
        <v>52</v>
      </c>
      <c r="I44" s="5">
        <v>0.33</v>
      </c>
      <c r="J44" s="5">
        <v>1</v>
      </c>
      <c r="K44" s="5">
        <v>104.33</v>
      </c>
      <c r="L44" s="4" t="s">
        <v>53</v>
      </c>
      <c r="M44" s="3">
        <v>45901</v>
      </c>
      <c r="N44" t="s">
        <v>218</v>
      </c>
      <c r="O44" s="6" t="s">
        <v>221</v>
      </c>
      <c r="P44" s="4" t="s">
        <v>82</v>
      </c>
      <c r="Q44" t="str">
        <f>CONCATENATE(P44,6)</f>
        <v>00023510938K6</v>
      </c>
      <c r="R44" s="4" t="s">
        <v>230</v>
      </c>
      <c r="S44" t="s">
        <v>231</v>
      </c>
      <c r="T44" t="str">
        <f>CONCATENATE(S44, " ",R44)</f>
        <v>TAMARA RICHARDS</v>
      </c>
    </row>
    <row r="45" spans="1:20" x14ac:dyDescent="0.2">
      <c r="A45" s="4" t="s">
        <v>91</v>
      </c>
      <c r="B45" s="2">
        <v>16633294</v>
      </c>
      <c r="C45" s="8" t="s">
        <v>322</v>
      </c>
      <c r="D45" s="4" t="s">
        <v>100</v>
      </c>
      <c r="E45" s="3">
        <v>45870</v>
      </c>
      <c r="F45" s="4" t="s">
        <v>49</v>
      </c>
      <c r="G45" s="4" t="s">
        <v>51</v>
      </c>
      <c r="H45" s="4" t="s">
        <v>52</v>
      </c>
      <c r="I45" s="5">
        <v>0.42</v>
      </c>
      <c r="J45" s="5">
        <v>1</v>
      </c>
      <c r="K45" s="5">
        <v>130.41999999999999</v>
      </c>
      <c r="L45" s="4" t="s">
        <v>53</v>
      </c>
      <c r="M45" s="3">
        <v>45870</v>
      </c>
      <c r="N45" t="s">
        <v>218</v>
      </c>
      <c r="O45" s="6" t="s">
        <v>220</v>
      </c>
      <c r="P45" s="4" t="s">
        <v>100</v>
      </c>
      <c r="Q45" t="str">
        <f>CONCATENATE(P45,6)</f>
        <v>00023513462K6</v>
      </c>
      <c r="R45" s="4" t="s">
        <v>242</v>
      </c>
      <c r="S45" t="s">
        <v>243</v>
      </c>
      <c r="T45" t="str">
        <f>CONCATENATE(S45, " ",R45)</f>
        <v>MARINELLA PAVLATOS</v>
      </c>
    </row>
    <row r="46" spans="1:20" x14ac:dyDescent="0.2">
      <c r="A46" s="4" t="s">
        <v>91</v>
      </c>
      <c r="B46" s="2">
        <v>16633294</v>
      </c>
      <c r="C46" s="8" t="s">
        <v>325</v>
      </c>
      <c r="D46" s="4" t="s">
        <v>93</v>
      </c>
      <c r="E46" s="3">
        <v>45870</v>
      </c>
      <c r="F46" s="4" t="s">
        <v>49</v>
      </c>
      <c r="G46" s="4" t="s">
        <v>51</v>
      </c>
      <c r="H46" s="4" t="s">
        <v>70</v>
      </c>
      <c r="I46" s="5">
        <v>0.42</v>
      </c>
      <c r="J46" s="5">
        <v>1</v>
      </c>
      <c r="K46" s="5">
        <v>130.41999999999999</v>
      </c>
      <c r="L46" s="4" t="s">
        <v>53</v>
      </c>
      <c r="M46" s="3">
        <v>45870</v>
      </c>
      <c r="N46" t="s">
        <v>218</v>
      </c>
      <c r="O46" s="6" t="s">
        <v>220</v>
      </c>
      <c r="P46" s="4" t="s">
        <v>93</v>
      </c>
      <c r="Q46" t="str">
        <f>CONCATENATE(P46,6)</f>
        <v>00023504093K6</v>
      </c>
      <c r="R46" s="4" t="s">
        <v>248</v>
      </c>
      <c r="S46" t="s">
        <v>249</v>
      </c>
      <c r="T46" t="str">
        <f>CONCATENATE(S46, " ",R46)</f>
        <v>SHIRLEY BROWN</v>
      </c>
    </row>
    <row r="47" spans="1:20" x14ac:dyDescent="0.2">
      <c r="A47" s="4" t="s">
        <v>91</v>
      </c>
      <c r="B47" s="2">
        <v>16633294</v>
      </c>
      <c r="C47" s="8" t="s">
        <v>326</v>
      </c>
      <c r="D47" s="4" t="s">
        <v>97</v>
      </c>
      <c r="E47" s="3">
        <v>45870</v>
      </c>
      <c r="F47" s="4" t="s">
        <v>49</v>
      </c>
      <c r="G47" s="4" t="s">
        <v>51</v>
      </c>
      <c r="H47" s="4" t="s">
        <v>70</v>
      </c>
      <c r="I47" s="5">
        <v>0.42</v>
      </c>
      <c r="J47" s="5">
        <v>1</v>
      </c>
      <c r="K47" s="5">
        <v>130.41999999999999</v>
      </c>
      <c r="L47" s="4" t="s">
        <v>53</v>
      </c>
      <c r="M47" s="3">
        <v>45870</v>
      </c>
      <c r="N47" t="s">
        <v>218</v>
      </c>
      <c r="O47" s="6" t="s">
        <v>220</v>
      </c>
      <c r="P47" s="4" t="s">
        <v>97</v>
      </c>
      <c r="Q47" t="str">
        <f>CONCATENATE(P47,6)</f>
        <v>00023507629K6</v>
      </c>
      <c r="R47" s="4" t="s">
        <v>250</v>
      </c>
      <c r="S47" t="s">
        <v>251</v>
      </c>
      <c r="T47" t="str">
        <f>CONCATENATE(S47, " ",R47)</f>
        <v>KENNETH HANLEY</v>
      </c>
    </row>
    <row r="48" spans="1:20" x14ac:dyDescent="0.2">
      <c r="A48" s="4" t="s">
        <v>56</v>
      </c>
      <c r="B48" s="2">
        <v>7470776</v>
      </c>
      <c r="C48" s="8" t="s">
        <v>330</v>
      </c>
      <c r="D48" s="4" t="s">
        <v>58</v>
      </c>
      <c r="E48" s="3">
        <v>45870</v>
      </c>
      <c r="F48" s="4" t="s">
        <v>49</v>
      </c>
      <c r="G48" s="4" t="s">
        <v>51</v>
      </c>
      <c r="H48" s="4" t="s">
        <v>60</v>
      </c>
      <c r="I48" s="5">
        <v>0.42</v>
      </c>
      <c r="J48" s="5">
        <v>22.92</v>
      </c>
      <c r="K48" s="5">
        <v>22.92</v>
      </c>
      <c r="L48" s="4" t="s">
        <v>53</v>
      </c>
      <c r="M48" s="3">
        <v>45870</v>
      </c>
      <c r="N48" t="s">
        <v>217</v>
      </c>
      <c r="P48" s="4" t="s">
        <v>58</v>
      </c>
      <c r="Q48" t="str">
        <f>CONCATENATE(P48,9)</f>
        <v>00023509347K9</v>
      </c>
      <c r="R48" s="4" t="s">
        <v>258</v>
      </c>
      <c r="S48" t="s">
        <v>259</v>
      </c>
      <c r="T48" t="str">
        <f>CONCATENATE(S48, " ",R48)</f>
        <v>RHONDA KUDRNA</v>
      </c>
    </row>
    <row r="49" spans="1:20" x14ac:dyDescent="0.2">
      <c r="A49" s="4" t="s">
        <v>141</v>
      </c>
      <c r="B49" s="2">
        <v>21618313</v>
      </c>
      <c r="C49" s="8" t="s">
        <v>333</v>
      </c>
      <c r="D49" s="4" t="s">
        <v>143</v>
      </c>
      <c r="E49" s="3">
        <v>45870</v>
      </c>
      <c r="F49" s="4" t="s">
        <v>49</v>
      </c>
      <c r="G49" s="4" t="s">
        <v>51</v>
      </c>
      <c r="H49" s="4" t="s">
        <v>60</v>
      </c>
      <c r="I49" s="5">
        <v>0.42</v>
      </c>
      <c r="J49" s="5">
        <v>22.92</v>
      </c>
      <c r="K49" s="5">
        <v>22.92</v>
      </c>
      <c r="L49" s="4" t="s">
        <v>53</v>
      </c>
      <c r="M49" s="3">
        <v>45870</v>
      </c>
      <c r="N49" t="s">
        <v>217</v>
      </c>
      <c r="P49" s="4" t="s">
        <v>143</v>
      </c>
      <c r="Q49" t="str">
        <f>CONCATENATE(P49,9)</f>
        <v>00023509231K9</v>
      </c>
      <c r="R49" s="4" t="s">
        <v>264</v>
      </c>
      <c r="S49" t="s">
        <v>265</v>
      </c>
      <c r="T49" t="str">
        <f>CONCATENATE(S49, " ",R49)</f>
        <v>MARC ZITIN</v>
      </c>
    </row>
    <row r="50" spans="1:20" x14ac:dyDescent="0.2">
      <c r="A50" s="4" t="s">
        <v>134</v>
      </c>
      <c r="B50" s="2">
        <v>20724564</v>
      </c>
      <c r="C50" s="8" t="s">
        <v>331</v>
      </c>
      <c r="D50" s="4" t="s">
        <v>136</v>
      </c>
      <c r="E50" s="3">
        <v>45870</v>
      </c>
      <c r="F50" s="4" t="s">
        <v>49</v>
      </c>
      <c r="G50" s="4" t="s">
        <v>51</v>
      </c>
      <c r="H50" s="4" t="s">
        <v>60</v>
      </c>
      <c r="I50" s="5">
        <v>0.42</v>
      </c>
      <c r="J50" s="5">
        <v>22.92</v>
      </c>
      <c r="K50" s="5">
        <v>22.92</v>
      </c>
      <c r="L50" s="4" t="s">
        <v>53</v>
      </c>
      <c r="M50" s="3">
        <v>45870</v>
      </c>
      <c r="N50" t="s">
        <v>217</v>
      </c>
      <c r="P50" s="4" t="s">
        <v>136</v>
      </c>
      <c r="Q50" t="str">
        <f>CONCATENATE(P50,9)</f>
        <v>00023506048K9</v>
      </c>
      <c r="R50" s="4" t="s">
        <v>260</v>
      </c>
      <c r="S50" t="s">
        <v>261</v>
      </c>
      <c r="T50" t="str">
        <f>CONCATENATE(S50, " ",R50)</f>
        <v>LISA SEARS</v>
      </c>
    </row>
    <row r="51" spans="1:20" x14ac:dyDescent="0.2">
      <c r="A51" s="4" t="s">
        <v>134</v>
      </c>
      <c r="B51" s="2">
        <v>20724564</v>
      </c>
      <c r="C51" s="8" t="s">
        <v>332</v>
      </c>
      <c r="D51" s="4" t="s">
        <v>139</v>
      </c>
      <c r="E51" s="3">
        <v>45901</v>
      </c>
      <c r="F51" s="4" t="s">
        <v>80</v>
      </c>
      <c r="G51" s="4" t="s">
        <v>51</v>
      </c>
      <c r="H51" s="4" t="s">
        <v>60</v>
      </c>
      <c r="I51" s="5">
        <v>0.33</v>
      </c>
      <c r="J51" s="5">
        <v>18.329999999999998</v>
      </c>
      <c r="K51" s="5">
        <v>18.329999999999998</v>
      </c>
      <c r="L51" s="4" t="s">
        <v>53</v>
      </c>
      <c r="M51" s="3">
        <v>45901</v>
      </c>
      <c r="N51" t="s">
        <v>217</v>
      </c>
      <c r="P51" s="4" t="s">
        <v>139</v>
      </c>
      <c r="Q51" t="str">
        <f>CONCATENATE(P51,9)</f>
        <v>00023511525K9</v>
      </c>
      <c r="R51" s="4" t="s">
        <v>262</v>
      </c>
      <c r="S51" t="s">
        <v>263</v>
      </c>
      <c r="T51" t="str">
        <f>CONCATENATE(S51, " ",R51)</f>
        <v>JONATHAN KROEHLER</v>
      </c>
    </row>
  </sheetData>
  <sortState xmlns:xlrd2="http://schemas.microsoft.com/office/spreadsheetml/2017/richdata2" ref="A2:AP51">
    <sortCondition ref="N2:N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2025-07-31T15:58:13Z</dcterms:created>
  <dcterms:modified xsi:type="dcterms:W3CDTF">2025-07-31T18:13:44Z</dcterms:modified>
</cp:coreProperties>
</file>