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5\04-23-25\"/>
    </mc:Choice>
  </mc:AlternateContent>
  <xr:revisionPtr revIDLastSave="0" documentId="13_ncr:1_{CADE2722-3AAB-4963-9838-C31E65A06415}" xr6:coauthVersionLast="47" xr6:coauthVersionMax="47" xr10:uidLastSave="{00000000-0000-0000-0000-000000000000}"/>
  <bookViews>
    <workbookView xWindow="-57720" yWindow="-45" windowWidth="29040" windowHeight="15720" activeTab="1" xr2:uid="{9BF228B8-E623-4D0E-837A-2D258F581F15}"/>
  </bookViews>
  <sheets>
    <sheet name="CommissionData_1" sheetId="1" r:id="rId1"/>
    <sheet name="Sheet1" sheetId="2" r:id="rId2"/>
    <sheet name="Sheet2" sheetId="3" r:id="rId3"/>
  </sheets>
  <definedNames>
    <definedName name="_xlnm._FilterDatabase" localSheetId="1" hidden="1">Sheet1!$A$3:$P$24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1" i="3"/>
  <c r="B15" i="3"/>
  <c r="B14" i="3"/>
  <c r="B12" i="3"/>
  <c r="B2" i="3"/>
  <c r="B3" i="3"/>
  <c r="B4" i="3"/>
  <c r="B5" i="3"/>
  <c r="B6" i="3"/>
  <c r="B7" i="3"/>
  <c r="B8" i="3"/>
  <c r="B9" i="3"/>
  <c r="B10" i="3"/>
  <c r="B11" i="3"/>
  <c r="B13" i="3"/>
  <c r="B16" i="3"/>
  <c r="B17" i="3"/>
  <c r="B18" i="3"/>
  <c r="B19" i="3"/>
  <c r="B20" i="3"/>
  <c r="B21" i="3"/>
  <c r="B22" i="3"/>
  <c r="B1" i="3"/>
</calcChain>
</file>

<file path=xl/sharedStrings.xml><?xml version="1.0" encoding="utf-8"?>
<sst xmlns="http://schemas.openxmlformats.org/spreadsheetml/2006/main" count="976" uniqueCount="232">
  <si>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</si>
  <si>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</si>
  <si>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</si>
  <si>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</si>
  <si>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</si>
  <si>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</si>
  <si>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</si>
  <si>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</si>
  <si>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</si>
  <si>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</si>
  <si>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</si>
  <si>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</si>
  <si>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</si>
  <si>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</si>
  <si>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</si>
  <si>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</si>
  <si>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</si>
  <si>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</si>
  <si>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</si>
  <si>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</si>
  <si>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</si>
  <si>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</si>
  <si>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</si>
  <si>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</si>
  <si>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</si>
  <si>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</si>
  <si>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</si>
  <si>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</si>
  <si>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</si>
  <si>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</si>
  <si>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</si>
  <si>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</si>
  <si>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</si>
  <si>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</si>
  <si>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</si>
  <si>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</si>
  <si>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</si>
  <si>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</si>
  <si>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</si>
  <si>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</si>
  <si>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</si>
  <si>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</si>
  <si>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HORN JEFFREY E</t>
  </si>
  <si>
    <t>DECKER PAUL A</t>
  </si>
  <si>
    <t>00023040671K</t>
  </si>
  <si>
    <t>4WP7UV5AY49</t>
  </si>
  <si>
    <t/>
  </si>
  <si>
    <t>MA</t>
  </si>
  <si>
    <t>LV</t>
  </si>
  <si>
    <t>FEB</t>
  </si>
  <si>
    <t>F</t>
  </si>
  <si>
    <t>MEDICARE</t>
  </si>
  <si>
    <t>MEP</t>
  </si>
  <si>
    <t>MEDICARE 2ND HALF FIRST YEAR COMM</t>
  </si>
  <si>
    <t>MED2</t>
  </si>
  <si>
    <t>H5216</t>
  </si>
  <si>
    <t>FIRST YEAR COMMISSIONS</t>
  </si>
  <si>
    <t>ARCF</t>
  </si>
  <si>
    <t>LISKOVEC FRANK E</t>
  </si>
  <si>
    <t>SHAH DHARAM B</t>
  </si>
  <si>
    <t>00002377726K</t>
  </si>
  <si>
    <t>5UJ4E78QD98</t>
  </si>
  <si>
    <t>MAY</t>
  </si>
  <si>
    <t>MER</t>
  </si>
  <si>
    <t>H1468</t>
  </si>
  <si>
    <t>CHOI ANDREW J</t>
  </si>
  <si>
    <t>TOWB ZUCKERM LEILA</t>
  </si>
  <si>
    <t>00020162315K</t>
  </si>
  <si>
    <t>5YJ0H62KF49</t>
  </si>
  <si>
    <t>JAN</t>
  </si>
  <si>
    <t>DEATON PAMELA S</t>
  </si>
  <si>
    <t>SEVERNS ERROL W</t>
  </si>
  <si>
    <t>00009751546K</t>
  </si>
  <si>
    <t>8A48N61TF27</t>
  </si>
  <si>
    <t>BROOKSHIER JULIE A</t>
  </si>
  <si>
    <t>00023285265K</t>
  </si>
  <si>
    <t>8JR4N57KV90</t>
  </si>
  <si>
    <t>RADCLIFF BRUCE A</t>
  </si>
  <si>
    <t>00023289673K</t>
  </si>
  <si>
    <t>2JE3R49KA72</t>
  </si>
  <si>
    <t>JUN</t>
  </si>
  <si>
    <t>TEIPEL GREGORY K</t>
  </si>
  <si>
    <t>JAROS ROBERT M</t>
  </si>
  <si>
    <t>00023277367K</t>
  </si>
  <si>
    <t>1K11MM3HD01</t>
  </si>
  <si>
    <t>DIMMITT JUSTIN L</t>
  </si>
  <si>
    <t>00023284262K</t>
  </si>
  <si>
    <t>3UY7CT8HT52</t>
  </si>
  <si>
    <t>MRO</t>
  </si>
  <si>
    <t>H4623</t>
  </si>
  <si>
    <t>GALINDO SYLVIA</t>
  </si>
  <si>
    <t>00023292002K</t>
  </si>
  <si>
    <t>6WD9KR8FJ40</t>
  </si>
  <si>
    <t>HUNSBERGER ANTHONY J</t>
  </si>
  <si>
    <t>WOHLFEIL JOHN P</t>
  </si>
  <si>
    <t>00023288467K</t>
  </si>
  <si>
    <t>9X00PC4EF33</t>
  </si>
  <si>
    <t>JUL</t>
  </si>
  <si>
    <t>YALE RICHARD A A</t>
  </si>
  <si>
    <t>NORIEGA GARCIA EDMUNDO M</t>
  </si>
  <si>
    <t>00022982390K</t>
  </si>
  <si>
    <t>2DV3TN1VF00</t>
  </si>
  <si>
    <t>ALOFF JONATHAN</t>
  </si>
  <si>
    <t>GRIFFIN JR GILBERT J</t>
  </si>
  <si>
    <t>00013204306K</t>
  </si>
  <si>
    <t>4GN2G68GW86</t>
  </si>
  <si>
    <t>H1036</t>
  </si>
  <si>
    <t>KUCAN THOMAS</t>
  </si>
  <si>
    <t>REID HELENE A</t>
  </si>
  <si>
    <t>00016126193K</t>
  </si>
  <si>
    <t>7UU5RV0ND65</t>
  </si>
  <si>
    <t>PDP</t>
  </si>
  <si>
    <t>S5884</t>
  </si>
  <si>
    <t>SEMENOVA MALKATO</t>
  </si>
  <si>
    <t>00023282336K</t>
  </si>
  <si>
    <t>7T72QC9WR00</t>
  </si>
  <si>
    <t>HANSFORD GREGORY</t>
  </si>
  <si>
    <t>WIGGINS MITCHELL D</t>
  </si>
  <si>
    <t>00023286702K</t>
  </si>
  <si>
    <t>6XG0HD2QU10</t>
  </si>
  <si>
    <t>YALE JACOB D</t>
  </si>
  <si>
    <t>HACK KIMBERLY A</t>
  </si>
  <si>
    <t>00020578637K</t>
  </si>
  <si>
    <t>1RP2EM7MD21</t>
  </si>
  <si>
    <t>DUNAVANT MICHAEL</t>
  </si>
  <si>
    <t>GIBSON LARRY C</t>
  </si>
  <si>
    <t>00017736015K</t>
  </si>
  <si>
    <t>9CK8F99KG42</t>
  </si>
  <si>
    <t>H0028</t>
  </si>
  <si>
    <t>KOZACHECK ANNE MARIE</t>
  </si>
  <si>
    <t>FINDLEY EVEROL M</t>
  </si>
  <si>
    <t>00023277864K</t>
  </si>
  <si>
    <t>6AY2Y11XE81</t>
  </si>
  <si>
    <t>ROBINSON PAUL</t>
  </si>
  <si>
    <t>DERDA MARY A</t>
  </si>
  <si>
    <t>00023187920K</t>
  </si>
  <si>
    <t>9HN0WR0AM90</t>
  </si>
  <si>
    <t>INSKIPT DEBORAH L</t>
  </si>
  <si>
    <t>SCHUBERT DAVID</t>
  </si>
  <si>
    <t>00000789641A</t>
  </si>
  <si>
    <t>MS</t>
  </si>
  <si>
    <t>R</t>
  </si>
  <si>
    <t>MED SUPP RENEWAL ACHIEVE</t>
  </si>
  <si>
    <t>MSRA</t>
  </si>
  <si>
    <t>Humana MAPD 2025*</t>
  </si>
  <si>
    <t>Humana PDP 2025!</t>
  </si>
  <si>
    <t>Humana PA Plan N OE and UW Ages 65-80</t>
  </si>
  <si>
    <t>[%/$=313][prorate=10/12]</t>
  </si>
  <si>
    <t>[%/$=313][prorate=8/12]</t>
  </si>
  <si>
    <t>[%/$=313][prorate=6/12]</t>
  </si>
  <si>
    <t>[%/$=313][prorate=7/12]</t>
  </si>
  <si>
    <t>18828278SUB2 </t>
  </si>
  <si>
    <t>00013204306K6</t>
  </si>
  <si>
    <t>00020162315K6</t>
  </si>
  <si>
    <t>00009751546K6</t>
  </si>
  <si>
    <t>00023289673K6</t>
  </si>
  <si>
    <t>00023285265K6</t>
  </si>
  <si>
    <t>00017736015K6</t>
  </si>
  <si>
    <t>00023286702K6</t>
  </si>
  <si>
    <t>00023040671K6</t>
  </si>
  <si>
    <t>00023288467K6</t>
  </si>
  <si>
    <t>00000789641A8</t>
  </si>
  <si>
    <t>00023277864K6</t>
  </si>
  <si>
    <t>00016126193K9</t>
  </si>
  <si>
    <t>00023282336K9</t>
  </si>
  <si>
    <t>00002377726K6</t>
  </si>
  <si>
    <t>00023187920K6</t>
  </si>
  <si>
    <t>00023284262K6</t>
  </si>
  <si>
    <t>00023277367K6</t>
  </si>
  <si>
    <t>00023292002K6</t>
  </si>
  <si>
    <t>00020578637K6</t>
  </si>
  <si>
    <t>00022982390K6</t>
  </si>
  <si>
    <t>GRIFFIN</t>
  </si>
  <si>
    <t>GILBERT</t>
  </si>
  <si>
    <t>TOWB</t>
  </si>
  <si>
    <t>LEILA</t>
  </si>
  <si>
    <t>SEVERNS</t>
  </si>
  <si>
    <t>ERROL</t>
  </si>
  <si>
    <t>RADCLIFF</t>
  </si>
  <si>
    <t>BRUCE</t>
  </si>
  <si>
    <t>BROOKSHIER</t>
  </si>
  <si>
    <t>JULIE</t>
  </si>
  <si>
    <t>GIBSON</t>
  </si>
  <si>
    <t>LARRY</t>
  </si>
  <si>
    <t>WIGGINS</t>
  </si>
  <si>
    <t>MITCHELL</t>
  </si>
  <si>
    <t>DECKER</t>
  </si>
  <si>
    <t>PAUL</t>
  </si>
  <si>
    <t>WOHLFEIL</t>
  </si>
  <si>
    <t>JOHN</t>
  </si>
  <si>
    <t>SCHUBERT</t>
  </si>
  <si>
    <t>DAVID</t>
  </si>
  <si>
    <t>FINDLEY</t>
  </si>
  <si>
    <t>EVEROL</t>
  </si>
  <si>
    <t>REID</t>
  </si>
  <si>
    <t>HELENE</t>
  </si>
  <si>
    <t>SEMENOVA</t>
  </si>
  <si>
    <t>MALKATO</t>
  </si>
  <si>
    <t>SHAH</t>
  </si>
  <si>
    <t>DHARAM</t>
  </si>
  <si>
    <t>DERDA</t>
  </si>
  <si>
    <t>MARY</t>
  </si>
  <si>
    <t>DIMMITT</t>
  </si>
  <si>
    <t>JUSTIN</t>
  </si>
  <si>
    <t>JAROS</t>
  </si>
  <si>
    <t>ROBERT</t>
  </si>
  <si>
    <t>GALINDO</t>
  </si>
  <si>
    <t>SYLVIA</t>
  </si>
  <si>
    <t>HACK</t>
  </si>
  <si>
    <t>KIMBERLY</t>
  </si>
  <si>
    <t>NORIEGA</t>
  </si>
  <si>
    <t>EDMUNDO</t>
  </si>
  <si>
    <t>GILBERT GRIFFIN</t>
  </si>
  <si>
    <t>LEILA TOWB</t>
  </si>
  <si>
    <t>ERROL SEVERNS</t>
  </si>
  <si>
    <t>BRUCE RADCLIFF</t>
  </si>
  <si>
    <t>JULIE BROOKSHIER</t>
  </si>
  <si>
    <t>LARRY GIBSON</t>
  </si>
  <si>
    <t>MITCHELL WIGGINS</t>
  </si>
  <si>
    <t>PAUL DECKER</t>
  </si>
  <si>
    <t>JOHN WOHLFEIL</t>
  </si>
  <si>
    <t>DAVID SCHUBERT</t>
  </si>
  <si>
    <t>EVEROL FINDLEY</t>
  </si>
  <si>
    <t>HELENE REID</t>
  </si>
  <si>
    <t>MALKATO SEMENOVA</t>
  </si>
  <si>
    <t>DHARAM SHAH</t>
  </si>
  <si>
    <t>MARY DERDA</t>
  </si>
  <si>
    <t>JUSTIN DIMMITT</t>
  </si>
  <si>
    <t>ROBERT JAROS</t>
  </si>
  <si>
    <t>SYLVIA GALINDO</t>
  </si>
  <si>
    <t>KIMBERLY HACK</t>
  </si>
  <si>
    <t>EDMUNDO NORIEGA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</si>
</sst>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0" fontId="19" fillId="0" borderId="0" xfId="0" applyFont="1"/>
    <xf numFmtId="49" fontId="0" fillId="33" borderId="0" xfId="0" applyNumberFormat="1" applyFill="1" applyAlignment="1">
      <alignment horizontal="left" vertical="top"/>
    </xf>
    <xf numFmtId="14" fontId="0" fillId="33" borderId="0" xfId="0" applyNumberFormat="1" applyFill="1"/>
    <xf numFmtId="2" fontId="0" fillId="33" borderId="0" xfId="0" applyNumberFormat="1" applyFill="1"/>
    <xf numFmtId="0" fontId="0" fillId="33" borderId="0" xfId="0" applyFill="1"/>
    <xf numFmtId="49" fontId="0" fillId="34" borderId="0" xfId="0" applyNumberFormat="1" applyFill="1" applyAlignment="1">
      <alignment horizontal="left" vertical="top"/>
    </xf>
    <xf numFmtId="14" fontId="0" fillId="34" borderId="0" xfId="0" applyNumberFormat="1" applyFill="1"/>
    <xf numFmtId="2" fontId="0" fillId="34" borderId="0" xfId="0" applyNumberFormat="1" applyFill="1"/>
    <xf numFmtId="0" fontId="0" fillId="34" borderId="0" xfId="0" applyFill="1"/>
    <xf numFmtId="0" fontId="19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33" borderId="0" xfId="0" applyFill="1" applyAlignment="1">
      <alignment horizontal="left" vertical="top"/>
    </xf>
    <xf numFmtId="0" fontId="0" fillId="34" borderId="0" xfId="0" applyFill="1" applyAlignment="1">
      <alignment horizontal="left" vertical="top"/>
    </xf>
    <xf numFmtId="0" fontId="18" fillId="0" borderId="0" xfId="0" applyFont="1" applyAlignment="1">
      <alignment horizontal="left" vertical="top"/>
    </xf>
    <xf numFmtId="1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  <xf numFmtId="1" fontId="0" fillId="34" borderId="0" xfId="0" applyNumberFormat="1" applyFill="1" applyAlignment="1">
      <alignment horizontal="left"/>
    </xf>
    <xf numFmtId="0" fontId="0" fillId="0" borderId="0" xfId="0" applyAlignment="1">
      <alignment horizontal="left"/>
    </xf>
    <xf numFmtId="49" fontId="0" fillId="35" borderId="0" xfId="0" applyNumberFormat="1" applyFill="1" applyAlignment="1">
      <alignment horizontal="left" vertical="top"/>
    </xf>
    <xf numFmtId="1" fontId="0" fillId="35" borderId="0" xfId="0" applyNumberFormat="1" applyFill="1" applyAlignment="1">
      <alignment horizontal="left"/>
    </xf>
    <xf numFmtId="0" fontId="0" fillId="35" borderId="0" xfId="0" applyFill="1" applyAlignment="1">
      <alignment horizontal="left" vertical="top"/>
    </xf>
    <xf numFmtId="14" fontId="0" fillId="35" borderId="0" xfId="0" applyNumberFormat="1" applyFill="1"/>
    <xf numFmtId="2" fontId="0" fillId="35" borderId="0" xfId="0" applyNumberFormat="1" applyFill="1"/>
    <xf numFmtId="0" fontId="0" fillId="35" borderId="0" xfId="0" applyFill="1"/>
    <xf numFmtId="0" fontId="19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4D9A4-9E46-4EC3-A0FE-7A7739738EC0}">
  <dimension ref="A1:AP23"/>
  <sheetViews>
    <sheetView topLeftCell="J1" workbookViewId="0">
      <selection activeCell="J1" sqref="A1:XFD1048576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11.42578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45770</v>
      </c>
      <c r="C2" s="4" t="s">
        <v>42</v>
      </c>
      <c r="D2" s="2">
        <v>1267028</v>
      </c>
      <c r="E2" s="4" t="s">
        <v>43</v>
      </c>
      <c r="F2" s="4" t="s">
        <v>44</v>
      </c>
      <c r="G2" s="2">
        <v>301294585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45689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0</v>
      </c>
      <c r="W2" s="5">
        <v>0</v>
      </c>
      <c r="X2" s="5">
        <v>100</v>
      </c>
      <c r="Y2" s="5">
        <v>-260.83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45689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spans="1:42" x14ac:dyDescent="0.2">
      <c r="A3" s="2">
        <v>1891456</v>
      </c>
      <c r="B3" s="3">
        <v>45770</v>
      </c>
      <c r="C3" s="4" t="s">
        <v>42</v>
      </c>
      <c r="D3" s="2">
        <v>1267028</v>
      </c>
      <c r="E3" s="4" t="s">
        <v>43</v>
      </c>
      <c r="F3" s="4" t="s">
        <v>44</v>
      </c>
      <c r="G3" s="2">
        <v>301294585</v>
      </c>
      <c r="H3" s="4" t="s">
        <v>45</v>
      </c>
      <c r="I3" s="4" t="s">
        <v>46</v>
      </c>
      <c r="J3" s="4" t="s">
        <v>47</v>
      </c>
      <c r="K3" s="4" t="s">
        <v>48</v>
      </c>
      <c r="L3" s="3">
        <v>45689</v>
      </c>
      <c r="M3" s="4" t="s">
        <v>49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52</v>
      </c>
      <c r="U3" s="4" t="s">
        <v>46</v>
      </c>
      <c r="V3" s="5">
        <v>-0.67</v>
      </c>
      <c r="W3" s="5">
        <v>0</v>
      </c>
      <c r="X3" s="5">
        <v>100</v>
      </c>
      <c r="Y3" s="5">
        <v>-208.67</v>
      </c>
      <c r="Z3" s="4" t="s">
        <v>46</v>
      </c>
      <c r="AA3" s="5" t="s">
        <v>46</v>
      </c>
      <c r="AB3" s="4" t="s">
        <v>56</v>
      </c>
      <c r="AC3" s="4" t="s">
        <v>46</v>
      </c>
      <c r="AD3" s="5">
        <v>0</v>
      </c>
      <c r="AE3" s="4" t="s">
        <v>57</v>
      </c>
      <c r="AF3" s="3">
        <v>45689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55</v>
      </c>
      <c r="AO3" s="4" t="s">
        <v>46</v>
      </c>
      <c r="AP3" s="4" t="s">
        <v>46</v>
      </c>
    </row>
    <row r="4" spans="1:42" x14ac:dyDescent="0.2">
      <c r="A4" s="2">
        <v>1891456</v>
      </c>
      <c r="B4" s="3">
        <v>45770</v>
      </c>
      <c r="C4" s="4" t="s">
        <v>58</v>
      </c>
      <c r="D4" s="2">
        <v>1427681</v>
      </c>
      <c r="E4" s="4" t="s">
        <v>59</v>
      </c>
      <c r="F4" s="4" t="s">
        <v>60</v>
      </c>
      <c r="G4" s="2">
        <v>160015172</v>
      </c>
      <c r="H4" s="4" t="s">
        <v>61</v>
      </c>
      <c r="I4" s="4" t="s">
        <v>46</v>
      </c>
      <c r="J4" s="4" t="s">
        <v>47</v>
      </c>
      <c r="K4" s="4" t="s">
        <v>48</v>
      </c>
      <c r="L4" s="3">
        <v>45778</v>
      </c>
      <c r="M4" s="4" t="s">
        <v>62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63</v>
      </c>
      <c r="U4" s="4" t="s">
        <v>46</v>
      </c>
      <c r="V4" s="5">
        <v>0.67</v>
      </c>
      <c r="W4" s="5">
        <v>0</v>
      </c>
      <c r="X4" s="5">
        <v>100</v>
      </c>
      <c r="Y4" s="5">
        <v>208.67</v>
      </c>
      <c r="Z4" s="4" t="s">
        <v>46</v>
      </c>
      <c r="AA4" s="5" t="s">
        <v>46</v>
      </c>
      <c r="AB4" s="4" t="s">
        <v>56</v>
      </c>
      <c r="AC4" s="4" t="s">
        <v>46</v>
      </c>
      <c r="AD4" s="5">
        <v>0</v>
      </c>
      <c r="AE4" s="4" t="s">
        <v>57</v>
      </c>
      <c r="AF4" s="3">
        <v>45778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64</v>
      </c>
      <c r="AO4" s="4" t="s">
        <v>46</v>
      </c>
      <c r="AP4" s="4" t="s">
        <v>46</v>
      </c>
    </row>
    <row r="5" spans="1:42" x14ac:dyDescent="0.2">
      <c r="A5" s="2">
        <v>1891456</v>
      </c>
      <c r="B5" s="3">
        <v>45770</v>
      </c>
      <c r="C5" s="4" t="s">
        <v>65</v>
      </c>
      <c r="D5" s="2">
        <v>1466196</v>
      </c>
      <c r="E5" s="4" t="s">
        <v>66</v>
      </c>
      <c r="F5" s="4" t="s">
        <v>67</v>
      </c>
      <c r="G5" s="2">
        <v>647531203</v>
      </c>
      <c r="H5" s="4" t="s">
        <v>68</v>
      </c>
      <c r="I5" s="4" t="s">
        <v>46</v>
      </c>
      <c r="J5" s="4" t="s">
        <v>47</v>
      </c>
      <c r="K5" s="4" t="s">
        <v>48</v>
      </c>
      <c r="L5" s="3">
        <v>45658</v>
      </c>
      <c r="M5" s="4" t="s">
        <v>69</v>
      </c>
      <c r="N5" s="4" t="s">
        <v>46</v>
      </c>
      <c r="O5" s="4" t="s">
        <v>50</v>
      </c>
      <c r="P5" s="4" t="s">
        <v>46</v>
      </c>
      <c r="Q5" s="2">
        <v>1</v>
      </c>
      <c r="R5" s="2">
        <v>17</v>
      </c>
      <c r="S5" s="4" t="s">
        <v>51</v>
      </c>
      <c r="T5" s="4" t="s">
        <v>52</v>
      </c>
      <c r="U5" s="4" t="s">
        <v>46</v>
      </c>
      <c r="V5" s="5">
        <v>0</v>
      </c>
      <c r="W5" s="5">
        <v>0</v>
      </c>
      <c r="X5" s="5">
        <v>100</v>
      </c>
      <c r="Y5" s="5">
        <v>-156.5</v>
      </c>
      <c r="Z5" s="4" t="s">
        <v>46</v>
      </c>
      <c r="AA5" s="5" t="s">
        <v>46</v>
      </c>
      <c r="AB5" s="4" t="s">
        <v>53</v>
      </c>
      <c r="AC5" s="4" t="s">
        <v>46</v>
      </c>
      <c r="AD5" s="5">
        <v>0</v>
      </c>
      <c r="AE5" s="4" t="s">
        <v>54</v>
      </c>
      <c r="AF5" s="3">
        <v>45658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55</v>
      </c>
      <c r="AO5" s="4" t="s">
        <v>46</v>
      </c>
      <c r="AP5" s="4" t="s">
        <v>46</v>
      </c>
    </row>
    <row r="6" spans="1:42" x14ac:dyDescent="0.2">
      <c r="A6" s="2">
        <v>1891456</v>
      </c>
      <c r="B6" s="3">
        <v>45770</v>
      </c>
      <c r="C6" s="4" t="s">
        <v>65</v>
      </c>
      <c r="D6" s="2">
        <v>1466196</v>
      </c>
      <c r="E6" s="4" t="s">
        <v>66</v>
      </c>
      <c r="F6" s="4" t="s">
        <v>67</v>
      </c>
      <c r="G6" s="2">
        <v>647531203</v>
      </c>
      <c r="H6" s="4" t="s">
        <v>68</v>
      </c>
      <c r="I6" s="4" t="s">
        <v>46</v>
      </c>
      <c r="J6" s="4" t="s">
        <v>47</v>
      </c>
      <c r="K6" s="4" t="s">
        <v>48</v>
      </c>
      <c r="L6" s="3">
        <v>45658</v>
      </c>
      <c r="M6" s="4" t="s">
        <v>69</v>
      </c>
      <c r="N6" s="4" t="s">
        <v>46</v>
      </c>
      <c r="O6" s="4" t="s">
        <v>50</v>
      </c>
      <c r="P6" s="4" t="s">
        <v>46</v>
      </c>
      <c r="Q6" s="2">
        <v>1</v>
      </c>
      <c r="R6" s="2">
        <v>17</v>
      </c>
      <c r="S6" s="4" t="s">
        <v>51</v>
      </c>
      <c r="T6" s="4" t="s">
        <v>52</v>
      </c>
      <c r="U6" s="4" t="s">
        <v>46</v>
      </c>
      <c r="V6" s="5">
        <v>-0.5</v>
      </c>
      <c r="W6" s="5">
        <v>0</v>
      </c>
      <c r="X6" s="5">
        <v>100</v>
      </c>
      <c r="Y6" s="5">
        <v>-156.5</v>
      </c>
      <c r="Z6" s="4" t="s">
        <v>46</v>
      </c>
      <c r="AA6" s="5" t="s">
        <v>46</v>
      </c>
      <c r="AB6" s="4" t="s">
        <v>56</v>
      </c>
      <c r="AC6" s="4" t="s">
        <v>46</v>
      </c>
      <c r="AD6" s="5">
        <v>0</v>
      </c>
      <c r="AE6" s="4" t="s">
        <v>57</v>
      </c>
      <c r="AF6" s="3">
        <v>45658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55</v>
      </c>
      <c r="AO6" s="4" t="s">
        <v>46</v>
      </c>
      <c r="AP6" s="4" t="s">
        <v>46</v>
      </c>
    </row>
    <row r="7" spans="1:42" x14ac:dyDescent="0.2">
      <c r="A7" s="2">
        <v>1891456</v>
      </c>
      <c r="B7" s="3">
        <v>45770</v>
      </c>
      <c r="C7" s="4" t="s">
        <v>70</v>
      </c>
      <c r="D7" s="2">
        <v>1509744</v>
      </c>
      <c r="E7" s="4" t="s">
        <v>71</v>
      </c>
      <c r="F7" s="4" t="s">
        <v>72</v>
      </c>
      <c r="G7" s="2">
        <v>253222313</v>
      </c>
      <c r="H7" s="4" t="s">
        <v>73</v>
      </c>
      <c r="I7" s="4" t="s">
        <v>46</v>
      </c>
      <c r="J7" s="4" t="s">
        <v>47</v>
      </c>
      <c r="K7" s="4" t="s">
        <v>48</v>
      </c>
      <c r="L7" s="3">
        <v>45658</v>
      </c>
      <c r="M7" s="4" t="s">
        <v>69</v>
      </c>
      <c r="N7" s="4" t="s">
        <v>46</v>
      </c>
      <c r="O7" s="4" t="s">
        <v>50</v>
      </c>
      <c r="P7" s="4" t="s">
        <v>46</v>
      </c>
      <c r="Q7" s="2">
        <v>1</v>
      </c>
      <c r="R7" s="2">
        <v>17</v>
      </c>
      <c r="S7" s="4" t="s">
        <v>51</v>
      </c>
      <c r="T7" s="4" t="s">
        <v>52</v>
      </c>
      <c r="U7" s="4" t="s">
        <v>46</v>
      </c>
      <c r="V7" s="5">
        <v>-0.67</v>
      </c>
      <c r="W7" s="5">
        <v>0</v>
      </c>
      <c r="X7" s="5">
        <v>100</v>
      </c>
      <c r="Y7" s="5">
        <v>-208.67</v>
      </c>
      <c r="Z7" s="4" t="s">
        <v>46</v>
      </c>
      <c r="AA7" s="5" t="s">
        <v>46</v>
      </c>
      <c r="AB7" s="4" t="s">
        <v>56</v>
      </c>
      <c r="AC7" s="4" t="s">
        <v>46</v>
      </c>
      <c r="AD7" s="5">
        <v>0</v>
      </c>
      <c r="AE7" s="4" t="s">
        <v>57</v>
      </c>
      <c r="AF7" s="3">
        <v>45658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55</v>
      </c>
      <c r="AO7" s="4" t="s">
        <v>46</v>
      </c>
      <c r="AP7" s="4" t="s">
        <v>46</v>
      </c>
    </row>
    <row r="8" spans="1:42" x14ac:dyDescent="0.2">
      <c r="A8" s="2">
        <v>1891456</v>
      </c>
      <c r="B8" s="3">
        <v>45770</v>
      </c>
      <c r="C8" s="4" t="s">
        <v>70</v>
      </c>
      <c r="D8" s="2">
        <v>1509744</v>
      </c>
      <c r="E8" s="4" t="s">
        <v>74</v>
      </c>
      <c r="F8" s="4" t="s">
        <v>75</v>
      </c>
      <c r="G8" s="2">
        <v>853507165</v>
      </c>
      <c r="H8" s="4" t="s">
        <v>76</v>
      </c>
      <c r="I8" s="4" t="s">
        <v>46</v>
      </c>
      <c r="J8" s="4" t="s">
        <v>47</v>
      </c>
      <c r="K8" s="4" t="s">
        <v>48</v>
      </c>
      <c r="L8" s="3">
        <v>45778</v>
      </c>
      <c r="M8" s="4" t="s">
        <v>62</v>
      </c>
      <c r="N8" s="4" t="s">
        <v>46</v>
      </c>
      <c r="O8" s="4" t="s">
        <v>50</v>
      </c>
      <c r="P8" s="4" t="s">
        <v>46</v>
      </c>
      <c r="Q8" s="2">
        <v>1</v>
      </c>
      <c r="R8" s="2">
        <v>17</v>
      </c>
      <c r="S8" s="4" t="s">
        <v>51</v>
      </c>
      <c r="T8" s="4" t="s">
        <v>52</v>
      </c>
      <c r="U8" s="4" t="s">
        <v>46</v>
      </c>
      <c r="V8" s="5">
        <v>0.67</v>
      </c>
      <c r="W8" s="5">
        <v>0</v>
      </c>
      <c r="X8" s="5">
        <v>100</v>
      </c>
      <c r="Y8" s="5">
        <v>208.67</v>
      </c>
      <c r="Z8" s="4" t="s">
        <v>46</v>
      </c>
      <c r="AA8" s="5" t="s">
        <v>46</v>
      </c>
      <c r="AB8" s="4" t="s">
        <v>56</v>
      </c>
      <c r="AC8" s="4" t="s">
        <v>46</v>
      </c>
      <c r="AD8" s="5">
        <v>0</v>
      </c>
      <c r="AE8" s="4" t="s">
        <v>57</v>
      </c>
      <c r="AF8" s="3">
        <v>45778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55</v>
      </c>
      <c r="AO8" s="4" t="s">
        <v>46</v>
      </c>
      <c r="AP8" s="4" t="s">
        <v>46</v>
      </c>
    </row>
    <row r="9" spans="1:42" x14ac:dyDescent="0.2">
      <c r="A9" s="2">
        <v>1891456</v>
      </c>
      <c r="B9" s="3">
        <v>45770</v>
      </c>
      <c r="C9" s="4" t="s">
        <v>70</v>
      </c>
      <c r="D9" s="2">
        <v>1509744</v>
      </c>
      <c r="E9" s="4" t="s">
        <v>77</v>
      </c>
      <c r="F9" s="4" t="s">
        <v>78</v>
      </c>
      <c r="G9" s="2">
        <v>253033523</v>
      </c>
      <c r="H9" s="4" t="s">
        <v>79</v>
      </c>
      <c r="I9" s="4" t="s">
        <v>46</v>
      </c>
      <c r="J9" s="4" t="s">
        <v>47</v>
      </c>
      <c r="K9" s="4" t="s">
        <v>48</v>
      </c>
      <c r="L9" s="3">
        <v>45809</v>
      </c>
      <c r="M9" s="4" t="s">
        <v>80</v>
      </c>
      <c r="N9" s="4" t="s">
        <v>46</v>
      </c>
      <c r="O9" s="4" t="s">
        <v>50</v>
      </c>
      <c r="P9" s="4" t="s">
        <v>46</v>
      </c>
      <c r="Q9" s="2">
        <v>1</v>
      </c>
      <c r="R9" s="2">
        <v>17</v>
      </c>
      <c r="S9" s="4" t="s">
        <v>51</v>
      </c>
      <c r="T9" s="4" t="s">
        <v>52</v>
      </c>
      <c r="U9" s="4" t="s">
        <v>46</v>
      </c>
      <c r="V9" s="5">
        <v>0.57999999999999996</v>
      </c>
      <c r="W9" s="5">
        <v>0</v>
      </c>
      <c r="X9" s="5">
        <v>100</v>
      </c>
      <c r="Y9" s="5">
        <v>182.58</v>
      </c>
      <c r="Z9" s="4" t="s">
        <v>46</v>
      </c>
      <c r="AA9" s="5" t="s">
        <v>46</v>
      </c>
      <c r="AB9" s="4" t="s">
        <v>56</v>
      </c>
      <c r="AC9" s="4" t="s">
        <v>46</v>
      </c>
      <c r="AD9" s="5">
        <v>0</v>
      </c>
      <c r="AE9" s="4" t="s">
        <v>57</v>
      </c>
      <c r="AF9" s="3">
        <v>45809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55</v>
      </c>
      <c r="AO9" s="4" t="s">
        <v>46</v>
      </c>
      <c r="AP9" s="4" t="s">
        <v>46</v>
      </c>
    </row>
    <row r="10" spans="1:42" x14ac:dyDescent="0.2">
      <c r="A10" s="2">
        <v>1891456</v>
      </c>
      <c r="B10" s="3">
        <v>45770</v>
      </c>
      <c r="C10" s="4" t="s">
        <v>81</v>
      </c>
      <c r="D10" s="2">
        <v>1509770</v>
      </c>
      <c r="E10" s="4" t="s">
        <v>82</v>
      </c>
      <c r="F10" s="4" t="s">
        <v>83</v>
      </c>
      <c r="G10" s="2">
        <v>101385</v>
      </c>
      <c r="H10" s="4" t="s">
        <v>84</v>
      </c>
      <c r="I10" s="4" t="s">
        <v>46</v>
      </c>
      <c r="J10" s="4" t="s">
        <v>47</v>
      </c>
      <c r="K10" s="4" t="s">
        <v>48</v>
      </c>
      <c r="L10" s="3">
        <v>45778</v>
      </c>
      <c r="M10" s="4" t="s">
        <v>62</v>
      </c>
      <c r="N10" s="4" t="s">
        <v>46</v>
      </c>
      <c r="O10" s="4" t="s">
        <v>50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52</v>
      </c>
      <c r="U10" s="4" t="s">
        <v>46</v>
      </c>
      <c r="V10" s="5">
        <v>0.67</v>
      </c>
      <c r="W10" s="5">
        <v>0</v>
      </c>
      <c r="X10" s="5">
        <v>100</v>
      </c>
      <c r="Y10" s="5">
        <v>208.67</v>
      </c>
      <c r="Z10" s="4" t="s">
        <v>46</v>
      </c>
      <c r="AA10" s="5" t="s">
        <v>46</v>
      </c>
      <c r="AB10" s="4" t="s">
        <v>56</v>
      </c>
      <c r="AC10" s="4" t="s">
        <v>46</v>
      </c>
      <c r="AD10" s="5">
        <v>0</v>
      </c>
      <c r="AE10" s="4" t="s">
        <v>57</v>
      </c>
      <c r="AF10" s="3">
        <v>45778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55</v>
      </c>
      <c r="AO10" s="4" t="s">
        <v>46</v>
      </c>
      <c r="AP10" s="4" t="s">
        <v>46</v>
      </c>
    </row>
    <row r="11" spans="1:42" x14ac:dyDescent="0.2">
      <c r="A11" s="2">
        <v>1891456</v>
      </c>
      <c r="B11" s="3">
        <v>45770</v>
      </c>
      <c r="C11" s="4" t="s">
        <v>81</v>
      </c>
      <c r="D11" s="2">
        <v>1509770</v>
      </c>
      <c r="E11" s="4" t="s">
        <v>85</v>
      </c>
      <c r="F11" s="4" t="s">
        <v>86</v>
      </c>
      <c r="G11" s="2">
        <v>683683594</v>
      </c>
      <c r="H11" s="4" t="s">
        <v>87</v>
      </c>
      <c r="I11" s="4" t="s">
        <v>46</v>
      </c>
      <c r="J11" s="4" t="s">
        <v>47</v>
      </c>
      <c r="K11" s="4" t="s">
        <v>48</v>
      </c>
      <c r="L11" s="3">
        <v>45809</v>
      </c>
      <c r="M11" s="4" t="s">
        <v>80</v>
      </c>
      <c r="N11" s="4" t="s">
        <v>46</v>
      </c>
      <c r="O11" s="4" t="s">
        <v>50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88</v>
      </c>
      <c r="U11" s="4" t="s">
        <v>46</v>
      </c>
      <c r="V11" s="5">
        <v>0.57999999999999996</v>
      </c>
      <c r="W11" s="5">
        <v>0</v>
      </c>
      <c r="X11" s="5">
        <v>100</v>
      </c>
      <c r="Y11" s="5">
        <v>182.58</v>
      </c>
      <c r="Z11" s="4" t="s">
        <v>46</v>
      </c>
      <c r="AA11" s="5" t="s">
        <v>46</v>
      </c>
      <c r="AB11" s="4" t="s">
        <v>56</v>
      </c>
      <c r="AC11" s="4" t="s">
        <v>46</v>
      </c>
      <c r="AD11" s="5">
        <v>0</v>
      </c>
      <c r="AE11" s="4" t="s">
        <v>57</v>
      </c>
      <c r="AF11" s="3">
        <v>45809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89</v>
      </c>
      <c r="AO11" s="4" t="s">
        <v>46</v>
      </c>
      <c r="AP11" s="4" t="s">
        <v>46</v>
      </c>
    </row>
    <row r="12" spans="1:42" x14ac:dyDescent="0.2">
      <c r="A12" s="2">
        <v>1891456</v>
      </c>
      <c r="B12" s="3">
        <v>45770</v>
      </c>
      <c r="C12" s="4" t="s">
        <v>81</v>
      </c>
      <c r="D12" s="2">
        <v>1509770</v>
      </c>
      <c r="E12" s="4" t="s">
        <v>90</v>
      </c>
      <c r="F12" s="4" t="s">
        <v>91</v>
      </c>
      <c r="G12" s="2">
        <v>928518544</v>
      </c>
      <c r="H12" s="4" t="s">
        <v>92</v>
      </c>
      <c r="I12" s="4" t="s">
        <v>46</v>
      </c>
      <c r="J12" s="4" t="s">
        <v>47</v>
      </c>
      <c r="K12" s="4" t="s">
        <v>48</v>
      </c>
      <c r="L12" s="3">
        <v>45778</v>
      </c>
      <c r="M12" s="4" t="s">
        <v>62</v>
      </c>
      <c r="N12" s="4" t="s">
        <v>46</v>
      </c>
      <c r="O12" s="4" t="s">
        <v>50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52</v>
      </c>
      <c r="U12" s="4" t="s">
        <v>46</v>
      </c>
      <c r="V12" s="5">
        <v>0.67</v>
      </c>
      <c r="W12" s="5">
        <v>0</v>
      </c>
      <c r="X12" s="5">
        <v>100</v>
      </c>
      <c r="Y12" s="5">
        <v>208.67</v>
      </c>
      <c r="Z12" s="4" t="s">
        <v>46</v>
      </c>
      <c r="AA12" s="5" t="s">
        <v>46</v>
      </c>
      <c r="AB12" s="4" t="s">
        <v>56</v>
      </c>
      <c r="AC12" s="4" t="s">
        <v>46</v>
      </c>
      <c r="AD12" s="5">
        <v>0</v>
      </c>
      <c r="AE12" s="4" t="s">
        <v>57</v>
      </c>
      <c r="AF12" s="3">
        <v>45778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55</v>
      </c>
      <c r="AO12" s="4" t="s">
        <v>46</v>
      </c>
      <c r="AP12" s="4" t="s">
        <v>46</v>
      </c>
    </row>
    <row r="13" spans="1:42" x14ac:dyDescent="0.2">
      <c r="A13" s="2">
        <v>1891456</v>
      </c>
      <c r="B13" s="3">
        <v>45770</v>
      </c>
      <c r="C13" s="4" t="s">
        <v>93</v>
      </c>
      <c r="D13" s="2">
        <v>1510420</v>
      </c>
      <c r="E13" s="4" t="s">
        <v>94</v>
      </c>
      <c r="F13" s="4" t="s">
        <v>95</v>
      </c>
      <c r="G13" s="2">
        <v>849784584</v>
      </c>
      <c r="H13" s="4" t="s">
        <v>96</v>
      </c>
      <c r="I13" s="4" t="s">
        <v>46</v>
      </c>
      <c r="J13" s="4" t="s">
        <v>47</v>
      </c>
      <c r="K13" s="4" t="s">
        <v>48</v>
      </c>
      <c r="L13" s="3">
        <v>45839</v>
      </c>
      <c r="M13" s="4" t="s">
        <v>97</v>
      </c>
      <c r="N13" s="4" t="s">
        <v>46</v>
      </c>
      <c r="O13" s="4" t="s">
        <v>50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63</v>
      </c>
      <c r="U13" s="4" t="s">
        <v>46</v>
      </c>
      <c r="V13" s="5">
        <v>0.5</v>
      </c>
      <c r="W13" s="5">
        <v>0</v>
      </c>
      <c r="X13" s="5">
        <v>100</v>
      </c>
      <c r="Y13" s="5">
        <v>156.5</v>
      </c>
      <c r="Z13" s="4" t="s">
        <v>46</v>
      </c>
      <c r="AA13" s="5" t="s">
        <v>46</v>
      </c>
      <c r="AB13" s="4" t="s">
        <v>56</v>
      </c>
      <c r="AC13" s="4" t="s">
        <v>46</v>
      </c>
      <c r="AD13" s="5">
        <v>0</v>
      </c>
      <c r="AE13" s="4" t="s">
        <v>57</v>
      </c>
      <c r="AF13" s="3">
        <v>45839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64</v>
      </c>
      <c r="AO13" s="4" t="s">
        <v>46</v>
      </c>
      <c r="AP13" s="4" t="s">
        <v>46</v>
      </c>
    </row>
    <row r="14" spans="1:42" x14ac:dyDescent="0.2">
      <c r="A14" s="2">
        <v>1891456</v>
      </c>
      <c r="B14" s="3">
        <v>45770</v>
      </c>
      <c r="C14" s="4" t="s">
        <v>98</v>
      </c>
      <c r="D14" s="2">
        <v>1573279</v>
      </c>
      <c r="E14" s="4" t="s">
        <v>99</v>
      </c>
      <c r="F14" s="4" t="s">
        <v>100</v>
      </c>
      <c r="G14" s="2">
        <v>503711112</v>
      </c>
      <c r="H14" s="4" t="s">
        <v>101</v>
      </c>
      <c r="I14" s="4" t="s">
        <v>46</v>
      </c>
      <c r="J14" s="4" t="s">
        <v>47</v>
      </c>
      <c r="K14" s="4" t="s">
        <v>48</v>
      </c>
      <c r="L14" s="3">
        <v>45689</v>
      </c>
      <c r="M14" s="4" t="s">
        <v>49</v>
      </c>
      <c r="N14" s="4" t="s">
        <v>46</v>
      </c>
      <c r="O14" s="4" t="s">
        <v>50</v>
      </c>
      <c r="P14" s="4" t="s">
        <v>46</v>
      </c>
      <c r="Q14" s="2">
        <v>1</v>
      </c>
      <c r="R14" s="2">
        <v>17</v>
      </c>
      <c r="S14" s="4" t="s">
        <v>51</v>
      </c>
      <c r="T14" s="4" t="s">
        <v>63</v>
      </c>
      <c r="U14" s="4" t="s">
        <v>46</v>
      </c>
      <c r="V14" s="5">
        <v>0.67</v>
      </c>
      <c r="W14" s="5">
        <v>0</v>
      </c>
      <c r="X14" s="5">
        <v>100</v>
      </c>
      <c r="Y14" s="5">
        <v>208.67</v>
      </c>
      <c r="Z14" s="4" t="s">
        <v>46</v>
      </c>
      <c r="AA14" s="5" t="s">
        <v>46</v>
      </c>
      <c r="AB14" s="4" t="s">
        <v>56</v>
      </c>
      <c r="AC14" s="4" t="s">
        <v>46</v>
      </c>
      <c r="AD14" s="5">
        <v>0</v>
      </c>
      <c r="AE14" s="4" t="s">
        <v>57</v>
      </c>
      <c r="AF14" s="3">
        <v>45689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64</v>
      </c>
      <c r="AO14" s="4" t="s">
        <v>46</v>
      </c>
      <c r="AP14" s="4" t="s">
        <v>46</v>
      </c>
    </row>
    <row r="15" spans="1:42" x14ac:dyDescent="0.2">
      <c r="A15" s="2">
        <v>1891456</v>
      </c>
      <c r="B15" s="3">
        <v>45770</v>
      </c>
      <c r="C15" s="4" t="s">
        <v>102</v>
      </c>
      <c r="D15" s="2">
        <v>1576652</v>
      </c>
      <c r="E15" s="4" t="s">
        <v>103</v>
      </c>
      <c r="F15" s="4" t="s">
        <v>104</v>
      </c>
      <c r="G15" s="2">
        <v>375016575</v>
      </c>
      <c r="H15" s="4" t="s">
        <v>105</v>
      </c>
      <c r="I15" s="4" t="s">
        <v>46</v>
      </c>
      <c r="J15" s="4" t="s">
        <v>47</v>
      </c>
      <c r="K15" s="4" t="s">
        <v>48</v>
      </c>
      <c r="L15" s="3">
        <v>45658</v>
      </c>
      <c r="M15" s="4" t="s">
        <v>69</v>
      </c>
      <c r="N15" s="4" t="s">
        <v>46</v>
      </c>
      <c r="O15" s="4" t="s">
        <v>50</v>
      </c>
      <c r="P15" s="4" t="s">
        <v>46</v>
      </c>
      <c r="Q15" s="2">
        <v>1</v>
      </c>
      <c r="R15" s="2">
        <v>17</v>
      </c>
      <c r="S15" s="4" t="s">
        <v>51</v>
      </c>
      <c r="T15" s="4" t="s">
        <v>63</v>
      </c>
      <c r="U15" s="4" t="s">
        <v>46</v>
      </c>
      <c r="V15" s="5">
        <v>-0.67</v>
      </c>
      <c r="W15" s="5">
        <v>0</v>
      </c>
      <c r="X15" s="5">
        <v>100</v>
      </c>
      <c r="Y15" s="5">
        <v>-208.67</v>
      </c>
      <c r="Z15" s="4" t="s">
        <v>46</v>
      </c>
      <c r="AA15" s="5" t="s">
        <v>46</v>
      </c>
      <c r="AB15" s="4" t="s">
        <v>56</v>
      </c>
      <c r="AC15" s="4" t="s">
        <v>46</v>
      </c>
      <c r="AD15" s="5">
        <v>0</v>
      </c>
      <c r="AE15" s="4" t="s">
        <v>57</v>
      </c>
      <c r="AF15" s="3">
        <v>45658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106</v>
      </c>
      <c r="AO15" s="4" t="s">
        <v>46</v>
      </c>
      <c r="AP15" s="4" t="s">
        <v>46</v>
      </c>
    </row>
    <row r="16" spans="1:42" x14ac:dyDescent="0.2">
      <c r="A16" s="2">
        <v>1891456</v>
      </c>
      <c r="B16" s="3">
        <v>45770</v>
      </c>
      <c r="C16" s="4" t="s">
        <v>107</v>
      </c>
      <c r="D16" s="2">
        <v>1581327</v>
      </c>
      <c r="E16" s="4" t="s">
        <v>108</v>
      </c>
      <c r="F16" s="4" t="s">
        <v>109</v>
      </c>
      <c r="G16" s="2">
        <v>824679364</v>
      </c>
      <c r="H16" s="4" t="s">
        <v>110</v>
      </c>
      <c r="I16" s="4" t="s">
        <v>46</v>
      </c>
      <c r="J16" s="4" t="s">
        <v>47</v>
      </c>
      <c r="K16" s="4" t="s">
        <v>48</v>
      </c>
      <c r="L16" s="3">
        <v>45778</v>
      </c>
      <c r="M16" s="4" t="s">
        <v>62</v>
      </c>
      <c r="N16" s="4" t="s">
        <v>46</v>
      </c>
      <c r="O16" s="4" t="s">
        <v>50</v>
      </c>
      <c r="P16" s="4" t="s">
        <v>46</v>
      </c>
      <c r="Q16" s="2">
        <v>1</v>
      </c>
      <c r="R16" s="2">
        <v>17</v>
      </c>
      <c r="S16" s="4" t="s">
        <v>51</v>
      </c>
      <c r="T16" s="4" t="s">
        <v>111</v>
      </c>
      <c r="U16" s="4" t="s">
        <v>46</v>
      </c>
      <c r="V16" s="5">
        <v>0.67</v>
      </c>
      <c r="W16" s="5">
        <v>0</v>
      </c>
      <c r="X16" s="5">
        <v>100</v>
      </c>
      <c r="Y16" s="5">
        <v>36.67</v>
      </c>
      <c r="Z16" s="4" t="s">
        <v>46</v>
      </c>
      <c r="AA16" s="5" t="s">
        <v>46</v>
      </c>
      <c r="AB16" s="4" t="s">
        <v>56</v>
      </c>
      <c r="AC16" s="4" t="s">
        <v>46</v>
      </c>
      <c r="AD16" s="5">
        <v>0</v>
      </c>
      <c r="AE16" s="4" t="s">
        <v>57</v>
      </c>
      <c r="AF16" s="3">
        <v>45778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112</v>
      </c>
      <c r="AO16" s="4" t="s">
        <v>46</v>
      </c>
      <c r="AP16" s="4" t="s">
        <v>46</v>
      </c>
    </row>
    <row r="17" spans="1:42" x14ac:dyDescent="0.2">
      <c r="A17" s="2">
        <v>1891456</v>
      </c>
      <c r="B17" s="3">
        <v>45770</v>
      </c>
      <c r="C17" s="4" t="s">
        <v>107</v>
      </c>
      <c r="D17" s="2">
        <v>1581327</v>
      </c>
      <c r="E17" s="4" t="s">
        <v>113</v>
      </c>
      <c r="F17" s="4" t="s">
        <v>114</v>
      </c>
      <c r="G17" s="2">
        <v>340950452</v>
      </c>
      <c r="H17" s="4" t="s">
        <v>115</v>
      </c>
      <c r="I17" s="4" t="s">
        <v>46</v>
      </c>
      <c r="J17" s="4" t="s">
        <v>47</v>
      </c>
      <c r="K17" s="4" t="s">
        <v>48</v>
      </c>
      <c r="L17" s="3">
        <v>45778</v>
      </c>
      <c r="M17" s="4" t="s">
        <v>62</v>
      </c>
      <c r="N17" s="4" t="s">
        <v>46</v>
      </c>
      <c r="O17" s="4" t="s">
        <v>50</v>
      </c>
      <c r="P17" s="4" t="s">
        <v>46</v>
      </c>
      <c r="Q17" s="2">
        <v>1</v>
      </c>
      <c r="R17" s="2">
        <v>17</v>
      </c>
      <c r="S17" s="4" t="s">
        <v>51</v>
      </c>
      <c r="T17" s="4" t="s">
        <v>111</v>
      </c>
      <c r="U17" s="4" t="s">
        <v>46</v>
      </c>
      <c r="V17" s="5">
        <v>0.67</v>
      </c>
      <c r="W17" s="5">
        <v>0</v>
      </c>
      <c r="X17" s="5">
        <v>100</v>
      </c>
      <c r="Y17" s="5">
        <v>36.67</v>
      </c>
      <c r="Z17" s="4" t="s">
        <v>46</v>
      </c>
      <c r="AA17" s="5" t="s">
        <v>46</v>
      </c>
      <c r="AB17" s="4" t="s">
        <v>56</v>
      </c>
      <c r="AC17" s="4" t="s">
        <v>46</v>
      </c>
      <c r="AD17" s="5">
        <v>0</v>
      </c>
      <c r="AE17" s="4" t="s">
        <v>57</v>
      </c>
      <c r="AF17" s="3">
        <v>45778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112</v>
      </c>
      <c r="AO17" s="4" t="s">
        <v>46</v>
      </c>
      <c r="AP17" s="4" t="s">
        <v>46</v>
      </c>
    </row>
    <row r="18" spans="1:42" x14ac:dyDescent="0.2">
      <c r="A18" s="2">
        <v>1891456</v>
      </c>
      <c r="B18" s="3">
        <v>45770</v>
      </c>
      <c r="C18" s="4" t="s">
        <v>116</v>
      </c>
      <c r="D18" s="2">
        <v>1639670</v>
      </c>
      <c r="E18" s="4" t="s">
        <v>117</v>
      </c>
      <c r="F18" s="4" t="s">
        <v>118</v>
      </c>
      <c r="G18" s="2">
        <v>170252095</v>
      </c>
      <c r="H18" s="4" t="s">
        <v>119</v>
      </c>
      <c r="I18" s="4" t="s">
        <v>46</v>
      </c>
      <c r="J18" s="4" t="s">
        <v>47</v>
      </c>
      <c r="K18" s="4" t="s">
        <v>48</v>
      </c>
      <c r="L18" s="3">
        <v>45778</v>
      </c>
      <c r="M18" s="4" t="s">
        <v>62</v>
      </c>
      <c r="N18" s="4" t="s">
        <v>46</v>
      </c>
      <c r="O18" s="4" t="s">
        <v>50</v>
      </c>
      <c r="P18" s="4" t="s">
        <v>46</v>
      </c>
      <c r="Q18" s="2">
        <v>1</v>
      </c>
      <c r="R18" s="2">
        <v>17</v>
      </c>
      <c r="S18" s="4" t="s">
        <v>51</v>
      </c>
      <c r="T18" s="4" t="s">
        <v>52</v>
      </c>
      <c r="U18" s="4" t="s">
        <v>46</v>
      </c>
      <c r="V18" s="5">
        <v>0.67</v>
      </c>
      <c r="W18" s="5">
        <v>0</v>
      </c>
      <c r="X18" s="5">
        <v>100</v>
      </c>
      <c r="Y18" s="5">
        <v>208.67</v>
      </c>
      <c r="Z18" s="4" t="s">
        <v>46</v>
      </c>
      <c r="AA18" s="5" t="s">
        <v>46</v>
      </c>
      <c r="AB18" s="4" t="s">
        <v>56</v>
      </c>
      <c r="AC18" s="4" t="s">
        <v>46</v>
      </c>
      <c r="AD18" s="5">
        <v>0</v>
      </c>
      <c r="AE18" s="4" t="s">
        <v>57</v>
      </c>
      <c r="AF18" s="3">
        <v>45778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55</v>
      </c>
      <c r="AO18" s="4" t="s">
        <v>46</v>
      </c>
      <c r="AP18" s="4" t="s">
        <v>46</v>
      </c>
    </row>
    <row r="19" spans="1:42" x14ac:dyDescent="0.2">
      <c r="A19" s="2">
        <v>1891456</v>
      </c>
      <c r="B19" s="3">
        <v>45770</v>
      </c>
      <c r="C19" s="4" t="s">
        <v>120</v>
      </c>
      <c r="D19" s="2">
        <v>1773696</v>
      </c>
      <c r="E19" s="4" t="s">
        <v>121</v>
      </c>
      <c r="F19" s="4" t="s">
        <v>122</v>
      </c>
      <c r="G19" s="2">
        <v>106864573</v>
      </c>
      <c r="H19" s="4" t="s">
        <v>123</v>
      </c>
      <c r="I19" s="4" t="s">
        <v>46</v>
      </c>
      <c r="J19" s="4" t="s">
        <v>47</v>
      </c>
      <c r="K19" s="4" t="s">
        <v>48</v>
      </c>
      <c r="L19" s="3">
        <v>45778</v>
      </c>
      <c r="M19" s="4" t="s">
        <v>62</v>
      </c>
      <c r="N19" s="4" t="s">
        <v>46</v>
      </c>
      <c r="O19" s="4" t="s">
        <v>50</v>
      </c>
      <c r="P19" s="4" t="s">
        <v>46</v>
      </c>
      <c r="Q19" s="2">
        <v>1</v>
      </c>
      <c r="R19" s="2">
        <v>17</v>
      </c>
      <c r="S19" s="4" t="s">
        <v>51</v>
      </c>
      <c r="T19" s="4" t="s">
        <v>52</v>
      </c>
      <c r="U19" s="4" t="s">
        <v>46</v>
      </c>
      <c r="V19" s="5">
        <v>0.67</v>
      </c>
      <c r="W19" s="5">
        <v>0</v>
      </c>
      <c r="X19" s="5">
        <v>100</v>
      </c>
      <c r="Y19" s="5">
        <v>208.67</v>
      </c>
      <c r="Z19" s="4" t="s">
        <v>46</v>
      </c>
      <c r="AA19" s="5" t="s">
        <v>46</v>
      </c>
      <c r="AB19" s="4" t="s">
        <v>56</v>
      </c>
      <c r="AC19" s="4" t="s">
        <v>46</v>
      </c>
      <c r="AD19" s="5">
        <v>0</v>
      </c>
      <c r="AE19" s="4" t="s">
        <v>57</v>
      </c>
      <c r="AF19" s="3">
        <v>45778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55</v>
      </c>
      <c r="AO19" s="4" t="s">
        <v>46</v>
      </c>
      <c r="AP19" s="4" t="s">
        <v>46</v>
      </c>
    </row>
    <row r="20" spans="1:42" x14ac:dyDescent="0.2">
      <c r="A20" s="2">
        <v>1891456</v>
      </c>
      <c r="B20" s="3">
        <v>45770</v>
      </c>
      <c r="C20" s="4" t="s">
        <v>124</v>
      </c>
      <c r="D20" s="2">
        <v>1831491</v>
      </c>
      <c r="E20" s="4" t="s">
        <v>125</v>
      </c>
      <c r="F20" s="4" t="s">
        <v>126</v>
      </c>
      <c r="G20" s="2">
        <v>294637362</v>
      </c>
      <c r="H20" s="4" t="s">
        <v>127</v>
      </c>
      <c r="I20" s="4" t="s">
        <v>46</v>
      </c>
      <c r="J20" s="4" t="s">
        <v>47</v>
      </c>
      <c r="K20" s="4" t="s">
        <v>48</v>
      </c>
      <c r="L20" s="3">
        <v>45778</v>
      </c>
      <c r="M20" s="4" t="s">
        <v>62</v>
      </c>
      <c r="N20" s="4" t="s">
        <v>46</v>
      </c>
      <c r="O20" s="4" t="s">
        <v>50</v>
      </c>
      <c r="P20" s="4" t="s">
        <v>46</v>
      </c>
      <c r="Q20" s="2">
        <v>1</v>
      </c>
      <c r="R20" s="2">
        <v>17</v>
      </c>
      <c r="S20" s="4" t="s">
        <v>51</v>
      </c>
      <c r="T20" s="4" t="s">
        <v>63</v>
      </c>
      <c r="U20" s="4" t="s">
        <v>46</v>
      </c>
      <c r="V20" s="5">
        <v>0.67</v>
      </c>
      <c r="W20" s="5">
        <v>0</v>
      </c>
      <c r="X20" s="5">
        <v>100</v>
      </c>
      <c r="Y20" s="5">
        <v>208.67</v>
      </c>
      <c r="Z20" s="4" t="s">
        <v>46</v>
      </c>
      <c r="AA20" s="5" t="s">
        <v>46</v>
      </c>
      <c r="AB20" s="4" t="s">
        <v>56</v>
      </c>
      <c r="AC20" s="4" t="s">
        <v>46</v>
      </c>
      <c r="AD20" s="5">
        <v>0</v>
      </c>
      <c r="AE20" s="4" t="s">
        <v>57</v>
      </c>
      <c r="AF20" s="3">
        <v>45778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128</v>
      </c>
      <c r="AO20" s="4" t="s">
        <v>46</v>
      </c>
      <c r="AP20" s="4" t="s">
        <v>46</v>
      </c>
    </row>
    <row r="21" spans="1:42" x14ac:dyDescent="0.2">
      <c r="A21" s="2">
        <v>1891456</v>
      </c>
      <c r="B21" s="3">
        <v>45770</v>
      </c>
      <c r="C21" s="4" t="s">
        <v>129</v>
      </c>
      <c r="D21" s="2">
        <v>1875462</v>
      </c>
      <c r="E21" s="4" t="s">
        <v>130</v>
      </c>
      <c r="F21" s="4" t="s">
        <v>131</v>
      </c>
      <c r="G21" s="2">
        <v>175118264</v>
      </c>
      <c r="H21" s="4" t="s">
        <v>132</v>
      </c>
      <c r="I21" s="4" t="s">
        <v>46</v>
      </c>
      <c r="J21" s="4" t="s">
        <v>47</v>
      </c>
      <c r="K21" s="4" t="s">
        <v>48</v>
      </c>
      <c r="L21" s="3">
        <v>45778</v>
      </c>
      <c r="M21" s="4" t="s">
        <v>62</v>
      </c>
      <c r="N21" s="4" t="s">
        <v>46</v>
      </c>
      <c r="O21" s="4" t="s">
        <v>50</v>
      </c>
      <c r="P21" s="4" t="s">
        <v>46</v>
      </c>
      <c r="Q21" s="2">
        <v>1</v>
      </c>
      <c r="R21" s="2">
        <v>17</v>
      </c>
      <c r="S21" s="4" t="s">
        <v>51</v>
      </c>
      <c r="T21" s="4" t="s">
        <v>52</v>
      </c>
      <c r="U21" s="4" t="s">
        <v>46</v>
      </c>
      <c r="V21" s="5">
        <v>0.67</v>
      </c>
      <c r="W21" s="5">
        <v>0</v>
      </c>
      <c r="X21" s="5">
        <v>100</v>
      </c>
      <c r="Y21" s="5">
        <v>208.67</v>
      </c>
      <c r="Z21" s="4" t="s">
        <v>46</v>
      </c>
      <c r="AA21" s="5" t="s">
        <v>46</v>
      </c>
      <c r="AB21" s="4" t="s">
        <v>56</v>
      </c>
      <c r="AC21" s="4" t="s">
        <v>46</v>
      </c>
      <c r="AD21" s="5">
        <v>0</v>
      </c>
      <c r="AE21" s="4" t="s">
        <v>57</v>
      </c>
      <c r="AF21" s="3">
        <v>45778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55</v>
      </c>
      <c r="AO21" s="4" t="s">
        <v>46</v>
      </c>
      <c r="AP21" s="4" t="s">
        <v>46</v>
      </c>
    </row>
    <row r="22" spans="1:42" x14ac:dyDescent="0.2">
      <c r="A22" s="2">
        <v>1891456</v>
      </c>
      <c r="B22" s="3">
        <v>45770</v>
      </c>
      <c r="C22" s="4" t="s">
        <v>133</v>
      </c>
      <c r="D22" s="2">
        <v>1951804</v>
      </c>
      <c r="E22" s="4" t="s">
        <v>134</v>
      </c>
      <c r="F22" s="4" t="s">
        <v>135</v>
      </c>
      <c r="G22" s="2">
        <v>200923594</v>
      </c>
      <c r="H22" s="4" t="s">
        <v>136</v>
      </c>
      <c r="I22" s="4" t="s">
        <v>46</v>
      </c>
      <c r="J22" s="4" t="s">
        <v>47</v>
      </c>
      <c r="K22" s="4" t="s">
        <v>48</v>
      </c>
      <c r="L22" s="3">
        <v>45778</v>
      </c>
      <c r="M22" s="4" t="s">
        <v>62</v>
      </c>
      <c r="N22" s="4" t="s">
        <v>46</v>
      </c>
      <c r="O22" s="4" t="s">
        <v>50</v>
      </c>
      <c r="P22" s="4" t="s">
        <v>46</v>
      </c>
      <c r="Q22" s="2">
        <v>1</v>
      </c>
      <c r="R22" s="2">
        <v>17</v>
      </c>
      <c r="S22" s="4" t="s">
        <v>51</v>
      </c>
      <c r="T22" s="4" t="s">
        <v>52</v>
      </c>
      <c r="U22" s="4" t="s">
        <v>46</v>
      </c>
      <c r="V22" s="5">
        <v>0.67</v>
      </c>
      <c r="W22" s="5">
        <v>0</v>
      </c>
      <c r="X22" s="5">
        <v>100</v>
      </c>
      <c r="Y22" s="5">
        <v>208.67</v>
      </c>
      <c r="Z22" s="4" t="s">
        <v>46</v>
      </c>
      <c r="AA22" s="5" t="s">
        <v>46</v>
      </c>
      <c r="AB22" s="4" t="s">
        <v>56</v>
      </c>
      <c r="AC22" s="4" t="s">
        <v>46</v>
      </c>
      <c r="AD22" s="5">
        <v>0</v>
      </c>
      <c r="AE22" s="4" t="s">
        <v>57</v>
      </c>
      <c r="AF22" s="3">
        <v>45778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55</v>
      </c>
      <c r="AO22" s="4" t="s">
        <v>46</v>
      </c>
      <c r="AP22" s="4" t="s">
        <v>46</v>
      </c>
    </row>
    <row r="23" spans="1:42" x14ac:dyDescent="0.2">
      <c r="A23" s="2">
        <v>1891456</v>
      </c>
      <c r="B23" s="3">
        <v>45770</v>
      </c>
      <c r="C23" s="4" t="s">
        <v>137</v>
      </c>
      <c r="D23" s="2">
        <v>1673763</v>
      </c>
      <c r="E23" s="4" t="s">
        <v>138</v>
      </c>
      <c r="F23" s="4" t="s">
        <v>139</v>
      </c>
      <c r="G23" s="4" t="s">
        <v>46</v>
      </c>
      <c r="H23" s="4" t="s">
        <v>46</v>
      </c>
      <c r="I23" s="4" t="s">
        <v>46</v>
      </c>
      <c r="J23" s="4" t="s">
        <v>140</v>
      </c>
      <c r="K23" s="4" t="s">
        <v>48</v>
      </c>
      <c r="L23" s="3">
        <v>45778</v>
      </c>
      <c r="M23" s="4" t="s">
        <v>62</v>
      </c>
      <c r="N23" s="4" t="s">
        <v>46</v>
      </c>
      <c r="O23" s="4" t="s">
        <v>141</v>
      </c>
      <c r="P23" s="4" t="s">
        <v>141</v>
      </c>
      <c r="Q23" s="2">
        <v>1</v>
      </c>
      <c r="R23" s="2">
        <v>17</v>
      </c>
      <c r="S23" s="4" t="s">
        <v>51</v>
      </c>
      <c r="T23" s="4" t="s">
        <v>46</v>
      </c>
      <c r="U23" s="4" t="s">
        <v>46</v>
      </c>
      <c r="V23" s="5">
        <v>26</v>
      </c>
      <c r="W23" s="5">
        <v>307</v>
      </c>
      <c r="X23" s="5">
        <v>100</v>
      </c>
      <c r="Y23" s="5">
        <v>79.819999999999993</v>
      </c>
      <c r="Z23" s="5">
        <v>0</v>
      </c>
      <c r="AA23" s="5">
        <v>0</v>
      </c>
      <c r="AB23" s="4" t="s">
        <v>142</v>
      </c>
      <c r="AC23" s="4" t="s">
        <v>46</v>
      </c>
      <c r="AD23" s="5">
        <v>0</v>
      </c>
      <c r="AE23" s="4" t="s">
        <v>143</v>
      </c>
      <c r="AF23" s="3">
        <v>45292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46</v>
      </c>
      <c r="AO23" s="4" t="s">
        <v>46</v>
      </c>
      <c r="AP23" s="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66719-DCD1-4D78-8912-54DEC24C172B}">
  <dimension ref="A1:P23"/>
  <sheetViews>
    <sheetView tabSelected="1" workbookViewId="0">
      <selection activeCell="E21" sqref="E21"/>
    </sheetView>
  </sheetViews>
  <sheetFormatPr defaultRowHeight="12.75" x14ac:dyDescent="0.2"/>
  <cols>
    <col min="1" max="1" width="24.7109375" bestFit="1" customWidth="1"/>
    <col min="2" max="2" width="15" style="23" customWidth="1"/>
    <col min="3" max="3" width="28.5703125" bestFit="1" customWidth="1"/>
    <col min="4" max="4" width="13.28515625" bestFit="1" customWidth="1"/>
    <col min="5" max="5" width="14.42578125" bestFit="1" customWidth="1"/>
    <col min="6" max="7" width="11.42578125" bestFit="1" customWidth="1"/>
    <col min="8" max="9" width="15.28515625" bestFit="1" customWidth="1"/>
    <col min="10" max="10" width="13.7109375" bestFit="1" customWidth="1"/>
    <col min="11" max="11" width="9.5703125" bestFit="1" customWidth="1"/>
    <col min="12" max="12" width="15.28515625" bestFit="1" customWidth="1"/>
    <col min="13" max="13" width="39" bestFit="1" customWidth="1"/>
    <col min="14" max="14" width="13.7109375" bestFit="1" customWidth="1"/>
    <col min="15" max="15" width="38.7109375" bestFit="1" customWidth="1"/>
  </cols>
  <sheetData>
    <row r="1" spans="1:16" x14ac:dyDescent="0.2">
      <c r="A1" s="1" t="s">
        <v>2</v>
      </c>
      <c r="B1" s="19" t="s">
        <v>3</v>
      </c>
      <c r="C1" s="1" t="s">
        <v>4</v>
      </c>
      <c r="D1" s="1" t="s">
        <v>5</v>
      </c>
      <c r="E1" s="1"/>
      <c r="F1" s="1" t="s">
        <v>11</v>
      </c>
      <c r="G1" s="1" t="s">
        <v>12</v>
      </c>
      <c r="H1" s="1" t="s">
        <v>18</v>
      </c>
      <c r="I1" s="1" t="s">
        <v>19</v>
      </c>
      <c r="J1" s="1" t="s">
        <v>21</v>
      </c>
      <c r="K1" s="1" t="s">
        <v>22</v>
      </c>
      <c r="L1" s="1" t="s">
        <v>24</v>
      </c>
      <c r="M1" s="1" t="s">
        <v>27</v>
      </c>
      <c r="N1" s="1" t="s">
        <v>31</v>
      </c>
    </row>
    <row r="2" spans="1:16" x14ac:dyDescent="0.2">
      <c r="A2" s="4" t="s">
        <v>42</v>
      </c>
      <c r="B2" s="20">
        <v>2158366</v>
      </c>
      <c r="C2" s="16" t="s">
        <v>219</v>
      </c>
      <c r="D2" s="4" t="s">
        <v>44</v>
      </c>
      <c r="E2" s="16" t="s">
        <v>159</v>
      </c>
      <c r="F2" s="3">
        <v>45689</v>
      </c>
      <c r="G2" s="4" t="s">
        <v>49</v>
      </c>
      <c r="H2" s="4" t="s">
        <v>51</v>
      </c>
      <c r="I2" s="4" t="s">
        <v>52</v>
      </c>
      <c r="J2" s="5">
        <v>0</v>
      </c>
      <c r="K2" s="5">
        <v>0</v>
      </c>
      <c r="L2" s="5">
        <v>-260.83</v>
      </c>
      <c r="M2" s="4" t="s">
        <v>53</v>
      </c>
      <c r="N2" s="3">
        <v>45689</v>
      </c>
      <c r="O2" t="s">
        <v>144</v>
      </c>
      <c r="P2" s="6" t="s">
        <v>147</v>
      </c>
    </row>
    <row r="3" spans="1:16" x14ac:dyDescent="0.2">
      <c r="A3" s="4" t="s">
        <v>102</v>
      </c>
      <c r="B3" s="20">
        <v>16683808</v>
      </c>
      <c r="C3" s="16" t="s">
        <v>212</v>
      </c>
      <c r="D3" s="4" t="s">
        <v>104</v>
      </c>
      <c r="E3" s="15" t="s">
        <v>152</v>
      </c>
      <c r="F3" s="3">
        <v>45658</v>
      </c>
      <c r="G3" s="4" t="s">
        <v>69</v>
      </c>
      <c r="H3" s="4" t="s">
        <v>51</v>
      </c>
      <c r="I3" s="4" t="s">
        <v>63</v>
      </c>
      <c r="J3" s="5">
        <v>-0.67</v>
      </c>
      <c r="K3" s="5">
        <v>0</v>
      </c>
      <c r="L3" s="5">
        <v>-208.67</v>
      </c>
      <c r="M3" s="4" t="s">
        <v>56</v>
      </c>
      <c r="N3" s="3">
        <v>45658</v>
      </c>
      <c r="O3" t="s">
        <v>144</v>
      </c>
      <c r="P3" s="6" t="s">
        <v>148</v>
      </c>
    </row>
    <row r="4" spans="1:16" x14ac:dyDescent="0.2">
      <c r="A4" s="4" t="s">
        <v>70</v>
      </c>
      <c r="B4" s="20">
        <v>8244481</v>
      </c>
      <c r="C4" s="16" t="s">
        <v>214</v>
      </c>
      <c r="D4" s="4" t="s">
        <v>72</v>
      </c>
      <c r="E4" s="16" t="s">
        <v>154</v>
      </c>
      <c r="F4" s="3">
        <v>45658</v>
      </c>
      <c r="G4" s="4" t="s">
        <v>69</v>
      </c>
      <c r="H4" s="4" t="s">
        <v>51</v>
      </c>
      <c r="I4" s="4" t="s">
        <v>52</v>
      </c>
      <c r="J4" s="5">
        <v>-0.67</v>
      </c>
      <c r="K4" s="5">
        <v>0</v>
      </c>
      <c r="L4" s="5">
        <v>-208.67</v>
      </c>
      <c r="M4" s="4" t="s">
        <v>56</v>
      </c>
      <c r="N4" s="3">
        <v>45658</v>
      </c>
      <c r="O4" t="s">
        <v>144</v>
      </c>
      <c r="P4" s="6" t="s">
        <v>148</v>
      </c>
    </row>
    <row r="5" spans="1:16" x14ac:dyDescent="0.2">
      <c r="A5" s="4" t="s">
        <v>42</v>
      </c>
      <c r="B5" s="20">
        <v>2158366</v>
      </c>
      <c r="C5" s="16" t="s">
        <v>219</v>
      </c>
      <c r="D5" s="4" t="s">
        <v>44</v>
      </c>
      <c r="E5" s="16" t="s">
        <v>159</v>
      </c>
      <c r="F5" s="3">
        <v>45689</v>
      </c>
      <c r="G5" s="4" t="s">
        <v>49</v>
      </c>
      <c r="H5" s="4" t="s">
        <v>51</v>
      </c>
      <c r="I5" s="4" t="s">
        <v>52</v>
      </c>
      <c r="J5" s="5">
        <v>-0.67</v>
      </c>
      <c r="K5" s="5">
        <v>0</v>
      </c>
      <c r="L5" s="5">
        <v>-208.67</v>
      </c>
      <c r="M5" s="4" t="s">
        <v>56</v>
      </c>
      <c r="N5" s="3">
        <v>45689</v>
      </c>
      <c r="O5" t="s">
        <v>144</v>
      </c>
      <c r="P5" s="6" t="s">
        <v>148</v>
      </c>
    </row>
    <row r="6" spans="1:16" x14ac:dyDescent="0.2">
      <c r="A6" s="4" t="s">
        <v>65</v>
      </c>
      <c r="B6" s="20">
        <v>7470776</v>
      </c>
      <c r="C6" s="16" t="s">
        <v>213</v>
      </c>
      <c r="D6" s="4" t="s">
        <v>67</v>
      </c>
      <c r="E6" s="16" t="s">
        <v>153</v>
      </c>
      <c r="F6" s="3">
        <v>45658</v>
      </c>
      <c r="G6" s="4" t="s">
        <v>69</v>
      </c>
      <c r="H6" s="4" t="s">
        <v>51</v>
      </c>
      <c r="I6" s="4" t="s">
        <v>52</v>
      </c>
      <c r="J6" s="5">
        <v>0</v>
      </c>
      <c r="K6" s="5">
        <v>0</v>
      </c>
      <c r="L6" s="5">
        <v>-156.5</v>
      </c>
      <c r="M6" s="4" t="s">
        <v>53</v>
      </c>
      <c r="N6" s="3">
        <v>45658</v>
      </c>
      <c r="O6" t="s">
        <v>144</v>
      </c>
      <c r="P6" s="6" t="s">
        <v>149</v>
      </c>
    </row>
    <row r="7" spans="1:16" x14ac:dyDescent="0.2">
      <c r="A7" s="4" t="s">
        <v>65</v>
      </c>
      <c r="B7" s="20">
        <v>7470776</v>
      </c>
      <c r="C7" s="16" t="s">
        <v>213</v>
      </c>
      <c r="D7" s="4" t="s">
        <v>67</v>
      </c>
      <c r="E7" s="16" t="s">
        <v>153</v>
      </c>
      <c r="F7" s="3">
        <v>45658</v>
      </c>
      <c r="G7" s="4" t="s">
        <v>69</v>
      </c>
      <c r="H7" s="4" t="s">
        <v>51</v>
      </c>
      <c r="I7" s="4" t="s">
        <v>52</v>
      </c>
      <c r="J7" s="5">
        <v>-0.5</v>
      </c>
      <c r="K7" s="5">
        <v>0</v>
      </c>
      <c r="L7" s="5">
        <v>-156.5</v>
      </c>
      <c r="M7" s="4" t="s">
        <v>56</v>
      </c>
      <c r="N7" s="3">
        <v>45658</v>
      </c>
      <c r="O7" t="s">
        <v>144</v>
      </c>
      <c r="P7" s="6" t="s">
        <v>149</v>
      </c>
    </row>
    <row r="8" spans="1:16" x14ac:dyDescent="0.2">
      <c r="A8" s="11" t="s">
        <v>107</v>
      </c>
      <c r="B8" s="22">
        <v>16202925</v>
      </c>
      <c r="C8" s="18" t="s">
        <v>223</v>
      </c>
      <c r="D8" s="11" t="s">
        <v>109</v>
      </c>
      <c r="E8" s="18" t="s">
        <v>163</v>
      </c>
      <c r="F8" s="12">
        <v>45778</v>
      </c>
      <c r="G8" s="11" t="s">
        <v>62</v>
      </c>
      <c r="H8" s="11" t="s">
        <v>51</v>
      </c>
      <c r="I8" s="11" t="s">
        <v>111</v>
      </c>
      <c r="J8" s="13">
        <v>0.67</v>
      </c>
      <c r="K8" s="13">
        <v>0</v>
      </c>
      <c r="L8" s="13">
        <v>36.67</v>
      </c>
      <c r="M8" s="11" t="s">
        <v>56</v>
      </c>
      <c r="N8" s="12">
        <v>45778</v>
      </c>
      <c r="O8" s="14" t="s">
        <v>145</v>
      </c>
      <c r="P8" s="14"/>
    </row>
    <row r="9" spans="1:16" x14ac:dyDescent="0.2">
      <c r="A9" s="11" t="s">
        <v>107</v>
      </c>
      <c r="B9" s="22">
        <v>16202925</v>
      </c>
      <c r="C9" s="18" t="s">
        <v>224</v>
      </c>
      <c r="D9" s="11" t="s">
        <v>114</v>
      </c>
      <c r="E9" s="18" t="s">
        <v>164</v>
      </c>
      <c r="F9" s="12">
        <v>45778</v>
      </c>
      <c r="G9" s="11" t="s">
        <v>62</v>
      </c>
      <c r="H9" s="11" t="s">
        <v>51</v>
      </c>
      <c r="I9" s="11" t="s">
        <v>111</v>
      </c>
      <c r="J9" s="13">
        <v>0.67</v>
      </c>
      <c r="K9" s="13">
        <v>0</v>
      </c>
      <c r="L9" s="13">
        <v>36.67</v>
      </c>
      <c r="M9" s="11" t="s">
        <v>56</v>
      </c>
      <c r="N9" s="12">
        <v>45778</v>
      </c>
      <c r="O9" s="14" t="s">
        <v>145</v>
      </c>
      <c r="P9" s="14"/>
    </row>
    <row r="10" spans="1:16" x14ac:dyDescent="0.2">
      <c r="A10" s="7" t="s">
        <v>137</v>
      </c>
      <c r="B10" s="21">
        <v>17528908</v>
      </c>
      <c r="C10" s="17" t="s">
        <v>221</v>
      </c>
      <c r="D10" s="7" t="s">
        <v>139</v>
      </c>
      <c r="E10" s="17" t="s">
        <v>161</v>
      </c>
      <c r="F10" s="8">
        <v>45778</v>
      </c>
      <c r="G10" s="7" t="s">
        <v>62</v>
      </c>
      <c r="H10" s="7" t="s">
        <v>51</v>
      </c>
      <c r="I10" s="7" t="s">
        <v>46</v>
      </c>
      <c r="J10" s="9">
        <v>26</v>
      </c>
      <c r="K10" s="9">
        <v>307</v>
      </c>
      <c r="L10" s="9">
        <v>79.819999999999993</v>
      </c>
      <c r="M10" s="7" t="s">
        <v>142</v>
      </c>
      <c r="N10" s="8">
        <v>45292</v>
      </c>
      <c r="O10" s="10" t="s">
        <v>146</v>
      </c>
      <c r="P10" s="10"/>
    </row>
    <row r="11" spans="1:16" x14ac:dyDescent="0.2">
      <c r="A11" s="4" t="s">
        <v>93</v>
      </c>
      <c r="B11" s="20">
        <v>7146581</v>
      </c>
      <c r="C11" s="16" t="s">
        <v>220</v>
      </c>
      <c r="D11" s="4" t="s">
        <v>95</v>
      </c>
      <c r="E11" s="16" t="s">
        <v>160</v>
      </c>
      <c r="F11" s="3">
        <v>45839</v>
      </c>
      <c r="G11" s="4" t="s">
        <v>97</v>
      </c>
      <c r="H11" s="4" t="s">
        <v>51</v>
      </c>
      <c r="I11" s="4" t="s">
        <v>63</v>
      </c>
      <c r="J11" s="5">
        <v>0.5</v>
      </c>
      <c r="K11" s="5">
        <v>0</v>
      </c>
      <c r="L11" s="5">
        <v>156.5</v>
      </c>
      <c r="M11" s="4" t="s">
        <v>56</v>
      </c>
      <c r="N11" s="3">
        <v>45839</v>
      </c>
      <c r="O11" t="s">
        <v>144</v>
      </c>
      <c r="P11" s="6" t="s">
        <v>149</v>
      </c>
    </row>
    <row r="12" spans="1:16" s="29" customFormat="1" x14ac:dyDescent="0.2">
      <c r="A12" s="24" t="s">
        <v>70</v>
      </c>
      <c r="B12" s="25">
        <v>8244481</v>
      </c>
      <c r="C12" s="26" t="s">
        <v>215</v>
      </c>
      <c r="D12" s="24" t="s">
        <v>78</v>
      </c>
      <c r="E12" s="26" t="s">
        <v>155</v>
      </c>
      <c r="F12" s="27">
        <v>45809</v>
      </c>
      <c r="G12" s="24" t="s">
        <v>80</v>
      </c>
      <c r="H12" s="24" t="s">
        <v>51</v>
      </c>
      <c r="I12" s="24" t="s">
        <v>52</v>
      </c>
      <c r="J12" s="28">
        <v>0.57999999999999996</v>
      </c>
      <c r="K12" s="28">
        <v>0</v>
      </c>
      <c r="L12" s="28">
        <v>182.58</v>
      </c>
      <c r="M12" s="24" t="s">
        <v>56</v>
      </c>
      <c r="N12" s="27">
        <v>45809</v>
      </c>
      <c r="O12" s="29" t="s">
        <v>144</v>
      </c>
      <c r="P12" s="30" t="s">
        <v>150</v>
      </c>
    </row>
    <row r="13" spans="1:16" x14ac:dyDescent="0.2">
      <c r="A13" s="4" t="s">
        <v>81</v>
      </c>
      <c r="B13" s="20">
        <v>8307933</v>
      </c>
      <c r="C13" s="16" t="s">
        <v>227</v>
      </c>
      <c r="D13" s="4" t="s">
        <v>86</v>
      </c>
      <c r="E13" s="16" t="s">
        <v>167</v>
      </c>
      <c r="F13" s="3">
        <v>45809</v>
      </c>
      <c r="G13" s="4" t="s">
        <v>80</v>
      </c>
      <c r="H13" s="4" t="s">
        <v>51</v>
      </c>
      <c r="I13" s="4" t="s">
        <v>88</v>
      </c>
      <c r="J13" s="5">
        <v>0.57999999999999996</v>
      </c>
      <c r="K13" s="5">
        <v>0</v>
      </c>
      <c r="L13" s="5">
        <v>182.58</v>
      </c>
      <c r="M13" s="4" t="s">
        <v>56</v>
      </c>
      <c r="N13" s="3">
        <v>45809</v>
      </c>
      <c r="O13" t="s">
        <v>144</v>
      </c>
      <c r="P13" s="6" t="s">
        <v>150</v>
      </c>
    </row>
    <row r="14" spans="1:16" s="10" customFormat="1" x14ac:dyDescent="0.2">
      <c r="A14" s="4" t="s">
        <v>58</v>
      </c>
      <c r="B14" s="20">
        <v>8814784</v>
      </c>
      <c r="C14" s="16" t="s">
        <v>225</v>
      </c>
      <c r="D14" s="4" t="s">
        <v>60</v>
      </c>
      <c r="E14" s="16" t="s">
        <v>165</v>
      </c>
      <c r="F14" s="3">
        <v>45778</v>
      </c>
      <c r="G14" s="4" t="s">
        <v>62</v>
      </c>
      <c r="H14" s="4" t="s">
        <v>51</v>
      </c>
      <c r="I14" s="4" t="s">
        <v>63</v>
      </c>
      <c r="J14" s="5">
        <v>0.67</v>
      </c>
      <c r="K14" s="5">
        <v>0</v>
      </c>
      <c r="L14" s="5">
        <v>208.67</v>
      </c>
      <c r="M14" s="4" t="s">
        <v>56</v>
      </c>
      <c r="N14" s="3">
        <v>45778</v>
      </c>
      <c r="O14" t="s">
        <v>144</v>
      </c>
      <c r="P14" s="6" t="s">
        <v>148</v>
      </c>
    </row>
    <row r="15" spans="1:16" x14ac:dyDescent="0.2">
      <c r="A15" s="4" t="s">
        <v>98</v>
      </c>
      <c r="B15" s="20">
        <v>16633294</v>
      </c>
      <c r="C15" s="16" t="s">
        <v>231</v>
      </c>
      <c r="D15" s="4" t="s">
        <v>100</v>
      </c>
      <c r="E15" s="16" t="s">
        <v>171</v>
      </c>
      <c r="F15" s="3">
        <v>45689</v>
      </c>
      <c r="G15" s="4" t="s">
        <v>49</v>
      </c>
      <c r="H15" s="4" t="s">
        <v>51</v>
      </c>
      <c r="I15" s="4" t="s">
        <v>63</v>
      </c>
      <c r="J15" s="5">
        <v>0.67</v>
      </c>
      <c r="K15" s="5">
        <v>0</v>
      </c>
      <c r="L15" s="5">
        <v>208.67</v>
      </c>
      <c r="M15" s="4" t="s">
        <v>56</v>
      </c>
      <c r="N15" s="3">
        <v>45689</v>
      </c>
      <c r="O15" t="s">
        <v>144</v>
      </c>
      <c r="P15" s="6" t="s">
        <v>148</v>
      </c>
    </row>
    <row r="16" spans="1:16" s="14" customFormat="1" x14ac:dyDescent="0.2">
      <c r="A16" s="4" t="s">
        <v>129</v>
      </c>
      <c r="B16" s="20">
        <v>19278370</v>
      </c>
      <c r="C16" s="16" t="s">
        <v>222</v>
      </c>
      <c r="D16" s="4" t="s">
        <v>131</v>
      </c>
      <c r="E16" s="16" t="s">
        <v>162</v>
      </c>
      <c r="F16" s="3">
        <v>45778</v>
      </c>
      <c r="G16" s="4" t="s">
        <v>62</v>
      </c>
      <c r="H16" s="4" t="s">
        <v>51</v>
      </c>
      <c r="I16" s="4" t="s">
        <v>52</v>
      </c>
      <c r="J16" s="5">
        <v>0.67</v>
      </c>
      <c r="K16" s="5">
        <v>0</v>
      </c>
      <c r="L16" s="5">
        <v>208.67</v>
      </c>
      <c r="M16" s="4" t="s">
        <v>56</v>
      </c>
      <c r="N16" s="3">
        <v>45778</v>
      </c>
      <c r="O16" t="s">
        <v>144</v>
      </c>
      <c r="P16" s="6" t="s">
        <v>148</v>
      </c>
    </row>
    <row r="17" spans="1:16" s="29" customFormat="1" x14ac:dyDescent="0.2">
      <c r="A17" s="24" t="s">
        <v>70</v>
      </c>
      <c r="B17" s="25">
        <v>8244481</v>
      </c>
      <c r="C17" s="26" t="s">
        <v>216</v>
      </c>
      <c r="D17" s="24" t="s">
        <v>75</v>
      </c>
      <c r="E17" s="26" t="s">
        <v>156</v>
      </c>
      <c r="F17" s="27">
        <v>45778</v>
      </c>
      <c r="G17" s="24" t="s">
        <v>62</v>
      </c>
      <c r="H17" s="24" t="s">
        <v>51</v>
      </c>
      <c r="I17" s="24" t="s">
        <v>52</v>
      </c>
      <c r="J17" s="28">
        <v>0.67</v>
      </c>
      <c r="K17" s="28">
        <v>0</v>
      </c>
      <c r="L17" s="28">
        <v>208.67</v>
      </c>
      <c r="M17" s="24" t="s">
        <v>56</v>
      </c>
      <c r="N17" s="27">
        <v>45778</v>
      </c>
      <c r="O17" s="29" t="s">
        <v>144</v>
      </c>
      <c r="P17" s="30" t="s">
        <v>148</v>
      </c>
    </row>
    <row r="18" spans="1:16" x14ac:dyDescent="0.2">
      <c r="A18" s="4" t="s">
        <v>120</v>
      </c>
      <c r="B18" s="20">
        <v>18754354</v>
      </c>
      <c r="C18" s="16" t="s">
        <v>230</v>
      </c>
      <c r="D18" s="4" t="s">
        <v>122</v>
      </c>
      <c r="E18" s="16" t="s">
        <v>170</v>
      </c>
      <c r="F18" s="3">
        <v>45778</v>
      </c>
      <c r="G18" s="4" t="s">
        <v>62</v>
      </c>
      <c r="H18" s="4" t="s">
        <v>51</v>
      </c>
      <c r="I18" s="4" t="s">
        <v>52</v>
      </c>
      <c r="J18" s="5">
        <v>0.67</v>
      </c>
      <c r="K18" s="5">
        <v>0</v>
      </c>
      <c r="L18" s="5">
        <v>208.67</v>
      </c>
      <c r="M18" s="4" t="s">
        <v>56</v>
      </c>
      <c r="N18" s="3">
        <v>45778</v>
      </c>
      <c r="O18" t="s">
        <v>144</v>
      </c>
      <c r="P18" s="6" t="s">
        <v>148</v>
      </c>
    </row>
    <row r="19" spans="1:16" s="29" customFormat="1" x14ac:dyDescent="0.2">
      <c r="A19" s="24" t="s">
        <v>124</v>
      </c>
      <c r="B19" s="25" t="s">
        <v>151</v>
      </c>
      <c r="C19" s="26" t="s">
        <v>217</v>
      </c>
      <c r="D19" s="24" t="s">
        <v>126</v>
      </c>
      <c r="E19" s="26" t="s">
        <v>157</v>
      </c>
      <c r="F19" s="27">
        <v>45778</v>
      </c>
      <c r="G19" s="24" t="s">
        <v>62</v>
      </c>
      <c r="H19" s="24" t="s">
        <v>51</v>
      </c>
      <c r="I19" s="24" t="s">
        <v>63</v>
      </c>
      <c r="J19" s="28">
        <v>0.67</v>
      </c>
      <c r="K19" s="28">
        <v>0</v>
      </c>
      <c r="L19" s="28">
        <v>208.67</v>
      </c>
      <c r="M19" s="24" t="s">
        <v>56</v>
      </c>
      <c r="N19" s="27">
        <v>45778</v>
      </c>
      <c r="O19" s="29" t="s">
        <v>144</v>
      </c>
      <c r="P19" s="30" t="s">
        <v>148</v>
      </c>
    </row>
    <row r="20" spans="1:16" x14ac:dyDescent="0.2">
      <c r="A20" s="4" t="s">
        <v>133</v>
      </c>
      <c r="B20" s="20">
        <v>16983460</v>
      </c>
      <c r="C20" s="16" t="s">
        <v>226</v>
      </c>
      <c r="D20" s="4" t="s">
        <v>135</v>
      </c>
      <c r="E20" s="16" t="s">
        <v>166</v>
      </c>
      <c r="F20" s="3">
        <v>45778</v>
      </c>
      <c r="G20" s="4" t="s">
        <v>62</v>
      </c>
      <c r="H20" s="4" t="s">
        <v>51</v>
      </c>
      <c r="I20" s="4" t="s">
        <v>52</v>
      </c>
      <c r="J20" s="5">
        <v>0.67</v>
      </c>
      <c r="K20" s="5">
        <v>0</v>
      </c>
      <c r="L20" s="5">
        <v>208.67</v>
      </c>
      <c r="M20" s="4" t="s">
        <v>56</v>
      </c>
      <c r="N20" s="3">
        <v>45778</v>
      </c>
      <c r="O20" t="s">
        <v>144</v>
      </c>
      <c r="P20" s="6" t="s">
        <v>148</v>
      </c>
    </row>
    <row r="21" spans="1:16" s="29" customFormat="1" x14ac:dyDescent="0.2">
      <c r="A21" s="24" t="s">
        <v>116</v>
      </c>
      <c r="B21" s="25">
        <v>17094718</v>
      </c>
      <c r="C21" s="26" t="s">
        <v>218</v>
      </c>
      <c r="D21" s="24" t="s">
        <v>118</v>
      </c>
      <c r="E21" s="26" t="s">
        <v>158</v>
      </c>
      <c r="F21" s="27">
        <v>45778</v>
      </c>
      <c r="G21" s="24" t="s">
        <v>62</v>
      </c>
      <c r="H21" s="24" t="s">
        <v>51</v>
      </c>
      <c r="I21" s="24" t="s">
        <v>52</v>
      </c>
      <c r="J21" s="28">
        <v>0.67</v>
      </c>
      <c r="K21" s="28">
        <v>0</v>
      </c>
      <c r="L21" s="28">
        <v>208.67</v>
      </c>
      <c r="M21" s="24" t="s">
        <v>56</v>
      </c>
      <c r="N21" s="27">
        <v>45778</v>
      </c>
      <c r="O21" s="29" t="s">
        <v>144</v>
      </c>
      <c r="P21" s="30" t="s">
        <v>148</v>
      </c>
    </row>
    <row r="22" spans="1:16" x14ac:dyDescent="0.2">
      <c r="A22" s="4" t="s">
        <v>81</v>
      </c>
      <c r="B22" s="20">
        <v>8307933</v>
      </c>
      <c r="C22" s="16" t="s">
        <v>228</v>
      </c>
      <c r="D22" s="4" t="s">
        <v>83</v>
      </c>
      <c r="E22" s="16" t="s">
        <v>168</v>
      </c>
      <c r="F22" s="3">
        <v>45778</v>
      </c>
      <c r="G22" s="4" t="s">
        <v>62</v>
      </c>
      <c r="H22" s="4" t="s">
        <v>51</v>
      </c>
      <c r="I22" s="4" t="s">
        <v>52</v>
      </c>
      <c r="J22" s="5">
        <v>0.67</v>
      </c>
      <c r="K22" s="5">
        <v>0</v>
      </c>
      <c r="L22" s="5">
        <v>208.67</v>
      </c>
      <c r="M22" s="4" t="s">
        <v>56</v>
      </c>
      <c r="N22" s="3">
        <v>45778</v>
      </c>
      <c r="O22" t="s">
        <v>144</v>
      </c>
      <c r="P22" s="6" t="s">
        <v>148</v>
      </c>
    </row>
    <row r="23" spans="1:16" x14ac:dyDescent="0.2">
      <c r="A23" s="4" t="s">
        <v>81</v>
      </c>
      <c r="B23" s="20">
        <v>8307933</v>
      </c>
      <c r="C23" s="16" t="s">
        <v>229</v>
      </c>
      <c r="D23" s="4" t="s">
        <v>91</v>
      </c>
      <c r="E23" s="16" t="s">
        <v>169</v>
      </c>
      <c r="F23" s="3">
        <v>45778</v>
      </c>
      <c r="G23" s="4" t="s">
        <v>62</v>
      </c>
      <c r="H23" s="4" t="s">
        <v>51</v>
      </c>
      <c r="I23" s="4" t="s">
        <v>52</v>
      </c>
      <c r="J23" s="5">
        <v>0.67</v>
      </c>
      <c r="K23" s="5">
        <v>0</v>
      </c>
      <c r="L23" s="5">
        <v>208.67</v>
      </c>
      <c r="M23" s="4" t="s">
        <v>56</v>
      </c>
      <c r="N23" s="3">
        <v>45778</v>
      </c>
      <c r="O23" t="s">
        <v>144</v>
      </c>
      <c r="P23" s="6" t="s">
        <v>148</v>
      </c>
    </row>
  </sheetData>
  <sortState xmlns:xlrd2="http://schemas.microsoft.com/office/spreadsheetml/2017/richdata2" ref="A2:P24">
    <sortCondition ref="L2:L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25E32-14FD-451B-97D8-6704C5882ACB}">
  <dimension ref="A1:F22"/>
  <sheetViews>
    <sheetView workbookViewId="0">
      <selection activeCell="F1" sqref="F1:F22"/>
    </sheetView>
  </sheetViews>
  <sheetFormatPr defaultRowHeight="12.75" x14ac:dyDescent="0.2"/>
  <cols>
    <col min="1" max="1" width="13.42578125" bestFit="1" customWidth="1"/>
    <col min="2" max="2" width="14.42578125" bestFit="1" customWidth="1"/>
    <col min="4" max="4" width="13.42578125" bestFit="1" customWidth="1"/>
    <col min="5" max="5" width="10.42578125" bestFit="1" customWidth="1"/>
    <col min="6" max="6" width="16.5703125" bestFit="1" customWidth="1"/>
  </cols>
  <sheetData>
    <row r="1" spans="1:6" x14ac:dyDescent="0.2">
      <c r="A1" s="4" t="s">
        <v>104</v>
      </c>
      <c r="B1" t="str">
        <f>CONCATENATE(A1,6)</f>
        <v>00013204306K6</v>
      </c>
      <c r="D1" s="4" t="s">
        <v>172</v>
      </c>
      <c r="E1" t="s">
        <v>173</v>
      </c>
      <c r="F1" t="str">
        <f>CONCATENATE(E1, " ",D1)</f>
        <v>GILBERT GRIFFIN</v>
      </c>
    </row>
    <row r="2" spans="1:6" x14ac:dyDescent="0.2">
      <c r="A2" s="4" t="s">
        <v>67</v>
      </c>
      <c r="B2" t="str">
        <f t="shared" ref="B2:B22" si="0">CONCATENATE(A2,6)</f>
        <v>00020162315K6</v>
      </c>
      <c r="D2" s="4" t="s">
        <v>174</v>
      </c>
      <c r="E2" t="s">
        <v>175</v>
      </c>
      <c r="F2" t="str">
        <f t="shared" ref="F2:F22" si="1">CONCATENATE(E2, " ",D2)</f>
        <v>LEILA TOWB</v>
      </c>
    </row>
    <row r="3" spans="1:6" x14ac:dyDescent="0.2">
      <c r="A3" s="4" t="s">
        <v>67</v>
      </c>
      <c r="B3" t="str">
        <f t="shared" si="0"/>
        <v>00020162315K6</v>
      </c>
      <c r="D3" s="4" t="s">
        <v>174</v>
      </c>
      <c r="E3" t="s">
        <v>175</v>
      </c>
      <c r="F3" t="str">
        <f t="shared" si="1"/>
        <v>LEILA TOWB</v>
      </c>
    </row>
    <row r="4" spans="1:6" x14ac:dyDescent="0.2">
      <c r="A4" s="4" t="s">
        <v>72</v>
      </c>
      <c r="B4" t="str">
        <f t="shared" si="0"/>
        <v>00009751546K6</v>
      </c>
      <c r="D4" s="4" t="s">
        <v>176</v>
      </c>
      <c r="E4" t="s">
        <v>177</v>
      </c>
      <c r="F4" t="str">
        <f t="shared" si="1"/>
        <v>ERROL SEVERNS</v>
      </c>
    </row>
    <row r="5" spans="1:6" x14ac:dyDescent="0.2">
      <c r="A5" s="4" t="s">
        <v>78</v>
      </c>
      <c r="B5" t="str">
        <f t="shared" si="0"/>
        <v>00023289673K6</v>
      </c>
      <c r="D5" s="4" t="s">
        <v>178</v>
      </c>
      <c r="E5" t="s">
        <v>179</v>
      </c>
      <c r="F5" t="str">
        <f t="shared" si="1"/>
        <v>BRUCE RADCLIFF</v>
      </c>
    </row>
    <row r="6" spans="1:6" x14ac:dyDescent="0.2">
      <c r="A6" s="4" t="s">
        <v>75</v>
      </c>
      <c r="B6" t="str">
        <f t="shared" si="0"/>
        <v>00023285265K6</v>
      </c>
      <c r="D6" s="4" t="s">
        <v>180</v>
      </c>
      <c r="E6" t="s">
        <v>181</v>
      </c>
      <c r="F6" t="str">
        <f t="shared" si="1"/>
        <v>JULIE BROOKSHIER</v>
      </c>
    </row>
    <row r="7" spans="1:6" x14ac:dyDescent="0.2">
      <c r="A7" s="4" t="s">
        <v>126</v>
      </c>
      <c r="B7" t="str">
        <f t="shared" si="0"/>
        <v>00017736015K6</v>
      </c>
      <c r="D7" s="4" t="s">
        <v>182</v>
      </c>
      <c r="E7" t="s">
        <v>183</v>
      </c>
      <c r="F7" t="str">
        <f t="shared" si="1"/>
        <v>LARRY GIBSON</v>
      </c>
    </row>
    <row r="8" spans="1:6" x14ac:dyDescent="0.2">
      <c r="A8" s="4" t="s">
        <v>118</v>
      </c>
      <c r="B8" t="str">
        <f t="shared" si="0"/>
        <v>00023286702K6</v>
      </c>
      <c r="D8" s="4" t="s">
        <v>184</v>
      </c>
      <c r="E8" t="s">
        <v>185</v>
      </c>
      <c r="F8" t="str">
        <f t="shared" si="1"/>
        <v>MITCHELL WIGGINS</v>
      </c>
    </row>
    <row r="9" spans="1:6" x14ac:dyDescent="0.2">
      <c r="A9" s="4" t="s">
        <v>44</v>
      </c>
      <c r="B9" t="str">
        <f t="shared" si="0"/>
        <v>00023040671K6</v>
      </c>
      <c r="D9" s="4" t="s">
        <v>186</v>
      </c>
      <c r="E9" t="s">
        <v>187</v>
      </c>
      <c r="F9" t="str">
        <f t="shared" si="1"/>
        <v>PAUL DECKER</v>
      </c>
    </row>
    <row r="10" spans="1:6" x14ac:dyDescent="0.2">
      <c r="A10" s="4" t="s">
        <v>44</v>
      </c>
      <c r="B10" t="str">
        <f t="shared" si="0"/>
        <v>00023040671K6</v>
      </c>
      <c r="D10" s="4" t="s">
        <v>186</v>
      </c>
      <c r="E10" t="s">
        <v>187</v>
      </c>
      <c r="F10" t="str">
        <f t="shared" si="1"/>
        <v>PAUL DECKER</v>
      </c>
    </row>
    <row r="11" spans="1:6" x14ac:dyDescent="0.2">
      <c r="A11" s="4" t="s">
        <v>95</v>
      </c>
      <c r="B11" t="str">
        <f t="shared" si="0"/>
        <v>00023288467K6</v>
      </c>
      <c r="D11" s="4" t="s">
        <v>188</v>
      </c>
      <c r="E11" t="s">
        <v>189</v>
      </c>
      <c r="F11" t="str">
        <f t="shared" si="1"/>
        <v>JOHN WOHLFEIL</v>
      </c>
    </row>
    <row r="12" spans="1:6" x14ac:dyDescent="0.2">
      <c r="A12" s="7" t="s">
        <v>139</v>
      </c>
      <c r="B12" t="str">
        <f>CONCATENATE(A12,8)</f>
        <v>00000789641A8</v>
      </c>
      <c r="D12" s="7" t="s">
        <v>190</v>
      </c>
      <c r="E12" t="s">
        <v>191</v>
      </c>
      <c r="F12" t="str">
        <f t="shared" si="1"/>
        <v>DAVID SCHUBERT</v>
      </c>
    </row>
    <row r="13" spans="1:6" x14ac:dyDescent="0.2">
      <c r="A13" s="4" t="s">
        <v>131</v>
      </c>
      <c r="B13" t="str">
        <f t="shared" si="0"/>
        <v>00023277864K6</v>
      </c>
      <c r="D13" s="4" t="s">
        <v>192</v>
      </c>
      <c r="E13" t="s">
        <v>193</v>
      </c>
      <c r="F13" t="str">
        <f t="shared" si="1"/>
        <v>EVEROL FINDLEY</v>
      </c>
    </row>
    <row r="14" spans="1:6" x14ac:dyDescent="0.2">
      <c r="A14" s="11" t="s">
        <v>109</v>
      </c>
      <c r="B14" t="str">
        <f>CONCATENATE(A14,9)</f>
        <v>00016126193K9</v>
      </c>
      <c r="D14" s="11" t="s">
        <v>194</v>
      </c>
      <c r="E14" t="s">
        <v>195</v>
      </c>
      <c r="F14" t="str">
        <f t="shared" si="1"/>
        <v>HELENE REID</v>
      </c>
    </row>
    <row r="15" spans="1:6" x14ac:dyDescent="0.2">
      <c r="A15" s="11" t="s">
        <v>114</v>
      </c>
      <c r="B15" t="str">
        <f>CONCATENATE(A15,9)</f>
        <v>00023282336K9</v>
      </c>
      <c r="D15" s="11" t="s">
        <v>196</v>
      </c>
      <c r="E15" t="s">
        <v>197</v>
      </c>
      <c r="F15" t="str">
        <f t="shared" si="1"/>
        <v>MALKATO SEMENOVA</v>
      </c>
    </row>
    <row r="16" spans="1:6" x14ac:dyDescent="0.2">
      <c r="A16" s="4" t="s">
        <v>60</v>
      </c>
      <c r="B16" t="str">
        <f t="shared" si="0"/>
        <v>00002377726K6</v>
      </c>
      <c r="D16" s="4" t="s">
        <v>198</v>
      </c>
      <c r="E16" t="s">
        <v>199</v>
      </c>
      <c r="F16" t="str">
        <f t="shared" si="1"/>
        <v>DHARAM SHAH</v>
      </c>
    </row>
    <row r="17" spans="1:6" x14ac:dyDescent="0.2">
      <c r="A17" s="4" t="s">
        <v>135</v>
      </c>
      <c r="B17" t="str">
        <f t="shared" si="0"/>
        <v>00023187920K6</v>
      </c>
      <c r="D17" s="4" t="s">
        <v>200</v>
      </c>
      <c r="E17" t="s">
        <v>201</v>
      </c>
      <c r="F17" t="str">
        <f t="shared" si="1"/>
        <v>MARY DERDA</v>
      </c>
    </row>
    <row r="18" spans="1:6" x14ac:dyDescent="0.2">
      <c r="A18" s="4" t="s">
        <v>86</v>
      </c>
      <c r="B18" t="str">
        <f t="shared" si="0"/>
        <v>00023284262K6</v>
      </c>
      <c r="D18" s="4" t="s">
        <v>202</v>
      </c>
      <c r="E18" t="s">
        <v>203</v>
      </c>
      <c r="F18" t="str">
        <f t="shared" si="1"/>
        <v>JUSTIN DIMMITT</v>
      </c>
    </row>
    <row r="19" spans="1:6" x14ac:dyDescent="0.2">
      <c r="A19" s="4" t="s">
        <v>83</v>
      </c>
      <c r="B19" t="str">
        <f t="shared" si="0"/>
        <v>00023277367K6</v>
      </c>
      <c r="D19" s="4" t="s">
        <v>204</v>
      </c>
      <c r="E19" t="s">
        <v>205</v>
      </c>
      <c r="F19" t="str">
        <f t="shared" si="1"/>
        <v>ROBERT JAROS</v>
      </c>
    </row>
    <row r="20" spans="1:6" x14ac:dyDescent="0.2">
      <c r="A20" s="4" t="s">
        <v>91</v>
      </c>
      <c r="B20" t="str">
        <f t="shared" si="0"/>
        <v>00023292002K6</v>
      </c>
      <c r="D20" s="4" t="s">
        <v>206</v>
      </c>
      <c r="E20" t="s">
        <v>207</v>
      </c>
      <c r="F20" t="str">
        <f t="shared" si="1"/>
        <v>SYLVIA GALINDO</v>
      </c>
    </row>
    <row r="21" spans="1:6" x14ac:dyDescent="0.2">
      <c r="A21" s="4" t="s">
        <v>122</v>
      </c>
      <c r="B21" t="str">
        <f t="shared" si="0"/>
        <v>00020578637K6</v>
      </c>
      <c r="D21" s="4" t="s">
        <v>208</v>
      </c>
      <c r="E21" t="s">
        <v>209</v>
      </c>
      <c r="F21" t="str">
        <f t="shared" si="1"/>
        <v>KIMBERLY HACK</v>
      </c>
    </row>
    <row r="22" spans="1:6" x14ac:dyDescent="0.2">
      <c r="A22" s="4" t="s">
        <v>100</v>
      </c>
      <c r="B22" t="str">
        <f t="shared" si="0"/>
        <v>00022982390K6</v>
      </c>
      <c r="D22" s="4" t="s">
        <v>210</v>
      </c>
      <c r="E22" t="s">
        <v>211</v>
      </c>
      <c r="F22" t="str">
        <f t="shared" si="1"/>
        <v>EDMUNDO NORIEGA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CommissionData_1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2025-04-24T14:53:08Z</dcterms:created>
  <dcterms:modified xsi:type="dcterms:W3CDTF">2025-04-30T14:30:10Z</dcterms:modified>
</cp:coreProperties>
</file>