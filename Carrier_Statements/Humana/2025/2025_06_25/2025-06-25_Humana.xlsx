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6-25-25\"/>
    </mc:Choice>
  </mc:AlternateContent>
  <xr:revisionPtr revIDLastSave="0" documentId="13_ncr:9_{CC0612B0-C4C7-4249-BED5-D8B69FF67033}" xr6:coauthVersionLast="47" xr6:coauthVersionMax="47" xr10:uidLastSave="{00000000-0000-0000-0000-000000000000}"/>
  <bookViews>
    <workbookView xWindow="28680" yWindow="-120" windowWidth="29040" windowHeight="16440" activeTab="2" xr2:uid="{797BBD2B-61B0-40F7-8E6A-C5CAC85F6E7B}"/>
  </bookViews>
  <sheets>
    <sheet name="CommissionData_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1" i="3"/>
  <c r="F22" i="2"/>
  <c r="F12" i="2"/>
  <c r="F11" i="2"/>
  <c r="F10" i="2"/>
  <c r="F9" i="2"/>
  <c r="F8" i="2"/>
  <c r="F21" i="2"/>
  <c r="F20" i="2"/>
  <c r="F19" i="2"/>
  <c r="F18" i="2"/>
  <c r="F7" i="2"/>
  <c r="F6" i="2"/>
  <c r="F27" i="2"/>
  <c r="F26" i="2"/>
  <c r="F25" i="2"/>
  <c r="F15" i="2"/>
  <c r="F14" i="2"/>
  <c r="F13" i="2"/>
  <c r="F16" i="2"/>
  <c r="F5" i="2"/>
  <c r="F4" i="2"/>
  <c r="F3" i="2"/>
  <c r="F17" i="2"/>
  <c r="F28" i="2"/>
  <c r="F2" i="2"/>
  <c r="F23" i="2"/>
  <c r="F24" i="2"/>
  <c r="B27" i="3"/>
  <c r="B26" i="3"/>
  <c r="B25" i="3"/>
  <c r="B24" i="3"/>
  <c r="B23" i="3"/>
  <c r="B22" i="3"/>
  <c r="B21" i="3"/>
  <c r="B20" i="3"/>
  <c r="B19" i="3"/>
  <c r="B18" i="3"/>
  <c r="B4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3" i="3"/>
  <c r="B2" i="3"/>
  <c r="B1" i="3"/>
  <c r="S4" i="2"/>
  <c r="S14" i="2"/>
  <c r="S6" i="2"/>
  <c r="S23" i="2"/>
  <c r="S24" i="2"/>
</calcChain>
</file>

<file path=xl/sharedStrings.xml><?xml version="1.0" encoding="utf-8"?>
<sst xmlns="http://schemas.openxmlformats.org/spreadsheetml/2006/main" count="1168" uniqueCount="215">
  <si>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</si>
  <si>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</si>
  <si>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</si>
  <si>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</si>
  <si>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</si>
  <si>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</si>
  <si>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</si>
  <si>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</si>
  <si>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</si>
  <si>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</si>
  <si>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</si>
  <si>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</si>
  <si>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</si>
  <si>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</si>
  <si>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</si>
  <si>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</si>
  <si>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</si>
  <si>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</si>
  <si>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</si>
  <si>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</si>
  <si>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</si>
  <si>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</si>
  <si>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</si>
  <si>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</si>
  <si>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</si>
  <si>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</si>
  <si>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</si>
  <si>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</si>
  <si>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</si>
  <si>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</si>
  <si>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</si>
  <si>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</si>
  <si>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</si>
  <si>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</si>
  <si>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</si>
  <si>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</si>
  <si>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</si>
  <si>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</si>
  <si>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</si>
  <si>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</si>
  <si>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</si>
  <si>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</si>
  <si>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</si>
  <si>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JOHN LARRY N</t>
  </si>
  <si>
    <t>00020805683K</t>
  </si>
  <si>
    <t>3FC8P47DQ32</t>
  </si>
  <si>
    <t/>
  </si>
  <si>
    <t>MA</t>
  </si>
  <si>
    <t>LV</t>
  </si>
  <si>
    <t>JUL</t>
  </si>
  <si>
    <t>F</t>
  </si>
  <si>
    <t>MEDICARE</t>
  </si>
  <si>
    <t>MEP</t>
  </si>
  <si>
    <t>FIRST YEAR COMMISSIONS</t>
  </si>
  <si>
    <t>ARCF</t>
  </si>
  <si>
    <t>H5216</t>
  </si>
  <si>
    <t>LISKOVEC FRANK E</t>
  </si>
  <si>
    <t>BOYLE THOMAS J</t>
  </si>
  <si>
    <t>00023424272K</t>
  </si>
  <si>
    <t>7TX0JT7NJ24</t>
  </si>
  <si>
    <t>AUG</t>
  </si>
  <si>
    <t>CHOI ANDREW J</t>
  </si>
  <si>
    <t>NUTTLE HEIDI A</t>
  </si>
  <si>
    <t>00023435027K</t>
  </si>
  <si>
    <t>6J40XY1AP14</t>
  </si>
  <si>
    <t>TEIPEL GREGORY K</t>
  </si>
  <si>
    <t>VON TERSCH ALANNA P</t>
  </si>
  <si>
    <t>00023423985K</t>
  </si>
  <si>
    <t>9CY7Q18JT62</t>
  </si>
  <si>
    <t>PDP</t>
  </si>
  <si>
    <t>S5884</t>
  </si>
  <si>
    <t>HUNSBERGER ANTHONY J</t>
  </si>
  <si>
    <t>WILD SHEILA K</t>
  </si>
  <si>
    <t>00023429364K</t>
  </si>
  <si>
    <t>8U45UN3RH59</t>
  </si>
  <si>
    <t>DAUGHERTY MATTHEW</t>
  </si>
  <si>
    <t>BOYD JENNIFER J</t>
  </si>
  <si>
    <t>00023184051K</t>
  </si>
  <si>
    <t>5RH3A03DA85</t>
  </si>
  <si>
    <t>MAY</t>
  </si>
  <si>
    <t>MEDICARE 2ND HALF FIRST YEAR COMM</t>
  </si>
  <si>
    <t>MED2</t>
  </si>
  <si>
    <t>H5525</t>
  </si>
  <si>
    <t>HERRERA-LARSEN ESTHER M</t>
  </si>
  <si>
    <t>BLACKWELL FRANK</t>
  </si>
  <si>
    <t>00023431107K</t>
  </si>
  <si>
    <t>3EP5MP8MW87</t>
  </si>
  <si>
    <t>FOLEY CAROL</t>
  </si>
  <si>
    <t>ROSS TEENA A</t>
  </si>
  <si>
    <t>00023257863K</t>
  </si>
  <si>
    <t>4M83Y02QP08</t>
  </si>
  <si>
    <t>MER</t>
  </si>
  <si>
    <t>H5619</t>
  </si>
  <si>
    <t>PORTUGAL GARY</t>
  </si>
  <si>
    <t>ALLEN PEGGY D</t>
  </si>
  <si>
    <t>00023124079K</t>
  </si>
  <si>
    <t>9NF9CY8UP44</t>
  </si>
  <si>
    <t>MAR</t>
  </si>
  <si>
    <t>SANTOS RICARDO D</t>
  </si>
  <si>
    <t>CALINGA TEOFILA D</t>
  </si>
  <si>
    <t>00023433627K</t>
  </si>
  <si>
    <t>4KP1ED1HP91</t>
  </si>
  <si>
    <t>H1468</t>
  </si>
  <si>
    <t>SCHUMANN BARRY L</t>
  </si>
  <si>
    <t>CLARK ELIZABETH</t>
  </si>
  <si>
    <t>00002095651K</t>
  </si>
  <si>
    <t>5EN7TX4CA49</t>
  </si>
  <si>
    <t>DUNAVANT MICHAEL</t>
  </si>
  <si>
    <t>HUPPERT EDNA M</t>
  </si>
  <si>
    <t>00000374418G</t>
  </si>
  <si>
    <t>1G27P10UU65</t>
  </si>
  <si>
    <t>FEB</t>
  </si>
  <si>
    <t>INSKIPT DEBORAH L</t>
  </si>
  <si>
    <t>SCHUBERT DAVID</t>
  </si>
  <si>
    <t>00000789641A</t>
  </si>
  <si>
    <t>MS</t>
  </si>
  <si>
    <t>R</t>
  </si>
  <si>
    <t>MED SUPP RENEWAL ACHIEVE</t>
  </si>
  <si>
    <t>MSRA</t>
  </si>
  <si>
    <t>CARDOSI KAREN E</t>
  </si>
  <si>
    <t>00000828881A</t>
  </si>
  <si>
    <t>MILLER DEBRA L</t>
  </si>
  <si>
    <t>00000839470A</t>
  </si>
  <si>
    <t>JUN</t>
  </si>
  <si>
    <t>Urish Gerald</t>
  </si>
  <si>
    <t>9030509330</t>
  </si>
  <si>
    <t>IN</t>
  </si>
  <si>
    <t>CB</t>
  </si>
  <si>
    <t>VISION</t>
  </si>
  <si>
    <t>COMPBENEFITS FIRST YEAR COMMISSION</t>
  </si>
  <si>
    <t>CRCF</t>
  </si>
  <si>
    <t>Round Laurie</t>
  </si>
  <si>
    <t>9030582430</t>
  </si>
  <si>
    <t>Thompson Thomas</t>
  </si>
  <si>
    <t>9030651770</t>
  </si>
  <si>
    <t>Dauer Nancy</t>
  </si>
  <si>
    <t>9030652040</t>
  </si>
  <si>
    <t>Boma Mary</t>
  </si>
  <si>
    <t>9030719950</t>
  </si>
  <si>
    <t>KOZACHECK ANNE MARIE</t>
  </si>
  <si>
    <t>Rudden Jon</t>
  </si>
  <si>
    <t>9030115330</t>
  </si>
  <si>
    <t>Humana PDP 2025!</t>
  </si>
  <si>
    <t>Humana 65-80 AL, AZ, AR, GA, etc. All Except N OE &amp; UW</t>
  </si>
  <si>
    <t>Humana AL, AZ, AR, GA, etc. Plan N OE &amp; UW</t>
  </si>
  <si>
    <t>Humana Dental &amp; Vision</t>
  </si>
  <si>
    <t>Humana MAPD 2025*</t>
  </si>
  <si>
    <t>[%/$=313][prorate=6/12]</t>
  </si>
  <si>
    <t>[%/$=313][prorate=5/12]</t>
  </si>
  <si>
    <t>[%/$=313][prorate=10/12]</t>
  </si>
  <si>
    <t>[%/$=313][prorate=2/12]</t>
  </si>
  <si>
    <t>[%/$=313][prorate=8/12]</t>
  </si>
  <si>
    <t>JOHN</t>
  </si>
  <si>
    <t>LARRY</t>
  </si>
  <si>
    <t>BOYLE</t>
  </si>
  <si>
    <t>THOMAS</t>
  </si>
  <si>
    <t>NUTTLE</t>
  </si>
  <si>
    <t>HEIDI</t>
  </si>
  <si>
    <t>TERSCH</t>
  </si>
  <si>
    <t>WILD</t>
  </si>
  <si>
    <t>SHEILA</t>
  </si>
  <si>
    <t>BOYD</t>
  </si>
  <si>
    <t>JENNIFER</t>
  </si>
  <si>
    <t>BLACKWELL</t>
  </si>
  <si>
    <t>FRANK</t>
  </si>
  <si>
    <t>ROSS</t>
  </si>
  <si>
    <t>TEENA</t>
  </si>
  <si>
    <t>ALLEN</t>
  </si>
  <si>
    <t>PEGGY</t>
  </si>
  <si>
    <t>CALINGA</t>
  </si>
  <si>
    <t>TEOFILA</t>
  </si>
  <si>
    <t>CLARK</t>
  </si>
  <si>
    <t>ELIZABETH</t>
  </si>
  <si>
    <t>HUPPERT</t>
  </si>
  <si>
    <t>EDNA</t>
  </si>
  <si>
    <t>SCHUBERT</t>
  </si>
  <si>
    <t>DAVID</t>
  </si>
  <si>
    <t>CARDOSI</t>
  </si>
  <si>
    <t>KAREN</t>
  </si>
  <si>
    <t>MILLER</t>
  </si>
  <si>
    <t>DEBRA</t>
  </si>
  <si>
    <t>Urish</t>
  </si>
  <si>
    <t>Gerald</t>
  </si>
  <si>
    <t>Round</t>
  </si>
  <si>
    <t>Laurie</t>
  </si>
  <si>
    <t>Thompson</t>
  </si>
  <si>
    <t>Thomas</t>
  </si>
  <si>
    <t>Dauer</t>
  </si>
  <si>
    <t>Nancy</t>
  </si>
  <si>
    <t>Boma</t>
  </si>
  <si>
    <t>Mary</t>
  </si>
  <si>
    <t>Rudden</t>
  </si>
  <si>
    <t>Jon</t>
  </si>
  <si>
    <t>VON TERSCH</t>
  </si>
  <si>
    <t>LARRY JOHN</t>
  </si>
  <si>
    <t>THOMAS BOYLE</t>
  </si>
  <si>
    <t>HEIDI NUTTLE</t>
  </si>
  <si>
    <t>TERSCH VON TERSCH</t>
  </si>
  <si>
    <t>SHEILA WILD</t>
  </si>
  <si>
    <t>JENNIFER BOYD</t>
  </si>
  <si>
    <t>FRANK BLACKWELL</t>
  </si>
  <si>
    <t>TEENA ROSS</t>
  </si>
  <si>
    <t>PEGGY ALLEN</t>
  </si>
  <si>
    <t>TEOFILA CALINGA</t>
  </si>
  <si>
    <t>ELIZABETH CLARK</t>
  </si>
  <si>
    <t>EDNA HUPPERT</t>
  </si>
  <si>
    <t>DAVID SCHUBERT</t>
  </si>
  <si>
    <t>KAREN CARDOSI</t>
  </si>
  <si>
    <t>DEBRA MILLER</t>
  </si>
  <si>
    <t>Gerald Urish</t>
  </si>
  <si>
    <t>Laurie Round</t>
  </si>
  <si>
    <t>Thomas Thompson</t>
  </si>
  <si>
    <t>Nancy Dauer</t>
  </si>
  <si>
    <t>Mary Boma</t>
  </si>
  <si>
    <t>Jon Rudden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</si>
</sst>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49" fontId="0" fillId="34" borderId="0" xfId="0" applyNumberFormat="1" applyFill="1" applyAlignment="1">
      <alignment horizontal="left" vertical="top"/>
    </xf>
    <xf numFmtId="49" fontId="0" fillId="35" borderId="0" xfId="0" applyNumberFormat="1" applyFill="1" applyAlignment="1">
      <alignment horizontal="left" vertical="top"/>
    </xf>
    <xf numFmtId="0" fontId="0" fillId="33" borderId="0" xfId="0" applyNumberFormat="1" applyFill="1" applyAlignment="1">
      <alignment horizontal="left" vertical="top"/>
    </xf>
    <xf numFmtId="0" fontId="19" fillId="0" borderId="0" xfId="0" applyFont="1"/>
    <xf numFmtId="49" fontId="19" fillId="35" borderId="0" xfId="0" applyNumberFormat="1" applyFont="1" applyFill="1" applyAlignment="1">
      <alignment horizontal="left" vertical="top"/>
    </xf>
    <xf numFmtId="0" fontId="18" fillId="0" borderId="0" xfId="0" applyFont="1" applyFill="1" applyAlignment="1">
      <alignment horizontal="center" vertical="top"/>
    </xf>
    <xf numFmtId="0" fontId="0" fillId="0" borderId="0" xfId="0" applyFill="1"/>
    <xf numFmtId="49" fontId="0" fillId="0" borderId="0" xfId="0" applyNumberFormat="1" applyFill="1" applyAlignment="1">
      <alignment horizontal="left" vertical="top"/>
    </xf>
    <xf numFmtId="1" fontId="0" fillId="0" borderId="0" xfId="0" applyNumberFormat="1" applyFill="1"/>
    <xf numFmtId="0" fontId="0" fillId="0" borderId="0" xfId="0" applyFill="1" applyAlignment="1">
      <alignment horizontal="left" vertical="top"/>
    </xf>
    <xf numFmtId="14" fontId="0" fillId="0" borderId="0" xfId="0" applyNumberFormat="1" applyFill="1"/>
    <xf numFmtId="2" fontId="0" fillId="0" borderId="0" xfId="0" applyNumberFormat="1" applyFill="1"/>
    <xf numFmtId="0" fontId="19" fillId="0" borderId="0" xfId="0" applyFont="1" applyFill="1"/>
    <xf numFmtId="0" fontId="0" fillId="0" borderId="0" xfId="0" applyNumberForma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35DC-8E33-45C8-ACCD-68DEF6C2A9CB}">
  <dimension ref="A1:AP28"/>
  <sheetViews>
    <sheetView topLeftCell="F1" workbookViewId="0">
      <selection activeCell="A21" sqref="A21:XFD22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45833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3808023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45839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0.5</v>
      </c>
      <c r="W2" s="5">
        <v>0</v>
      </c>
      <c r="X2" s="5">
        <v>100</v>
      </c>
      <c r="Y2" s="5">
        <v>156.5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45839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45833</v>
      </c>
      <c r="C3" s="4" t="s">
        <v>56</v>
      </c>
      <c r="D3" s="2">
        <v>1427681</v>
      </c>
      <c r="E3" s="4" t="s">
        <v>57</v>
      </c>
      <c r="F3" s="4" t="s">
        <v>58</v>
      </c>
      <c r="G3" s="2">
        <v>18495264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45870</v>
      </c>
      <c r="M3" s="4" t="s">
        <v>60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0.42</v>
      </c>
      <c r="W3" s="5">
        <v>0</v>
      </c>
      <c r="X3" s="5">
        <v>100</v>
      </c>
      <c r="Y3" s="5">
        <v>130.41999999999999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45870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45833</v>
      </c>
      <c r="C4" s="4" t="s">
        <v>61</v>
      </c>
      <c r="D4" s="2">
        <v>1466196</v>
      </c>
      <c r="E4" s="4" t="s">
        <v>62</v>
      </c>
      <c r="F4" s="4" t="s">
        <v>63</v>
      </c>
      <c r="G4" s="2">
        <v>946451143</v>
      </c>
      <c r="H4" s="4" t="s">
        <v>64</v>
      </c>
      <c r="I4" s="4" t="s">
        <v>46</v>
      </c>
      <c r="J4" s="4" t="s">
        <v>47</v>
      </c>
      <c r="K4" s="4" t="s">
        <v>48</v>
      </c>
      <c r="L4" s="3">
        <v>45839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0.5</v>
      </c>
      <c r="W4" s="5">
        <v>0</v>
      </c>
      <c r="X4" s="5">
        <v>100</v>
      </c>
      <c r="Y4" s="5">
        <v>156.5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45839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45833</v>
      </c>
      <c r="C5" s="4" t="s">
        <v>65</v>
      </c>
      <c r="D5" s="2">
        <v>1509770</v>
      </c>
      <c r="E5" s="4" t="s">
        <v>66</v>
      </c>
      <c r="F5" s="4" t="s">
        <v>67</v>
      </c>
      <c r="G5" s="2">
        <v>963524254</v>
      </c>
      <c r="H5" s="4" t="s">
        <v>68</v>
      </c>
      <c r="I5" s="4" t="s">
        <v>46</v>
      </c>
      <c r="J5" s="4" t="s">
        <v>47</v>
      </c>
      <c r="K5" s="4" t="s">
        <v>48</v>
      </c>
      <c r="L5" s="3">
        <v>45870</v>
      </c>
      <c r="M5" s="4" t="s">
        <v>60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69</v>
      </c>
      <c r="U5" s="4" t="s">
        <v>46</v>
      </c>
      <c r="V5" s="5">
        <v>0.42</v>
      </c>
      <c r="W5" s="5">
        <v>0</v>
      </c>
      <c r="X5" s="5">
        <v>100</v>
      </c>
      <c r="Y5" s="5">
        <v>22.92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45870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70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45833</v>
      </c>
      <c r="C6" s="4" t="s">
        <v>71</v>
      </c>
      <c r="D6" s="2">
        <v>1510420</v>
      </c>
      <c r="E6" s="4" t="s">
        <v>72</v>
      </c>
      <c r="F6" s="4" t="s">
        <v>73</v>
      </c>
      <c r="G6" s="2">
        <v>648113173</v>
      </c>
      <c r="H6" s="4" t="s">
        <v>74</v>
      </c>
      <c r="I6" s="4" t="s">
        <v>46</v>
      </c>
      <c r="J6" s="4" t="s">
        <v>47</v>
      </c>
      <c r="K6" s="4" t="s">
        <v>48</v>
      </c>
      <c r="L6" s="3">
        <v>45839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0.5</v>
      </c>
      <c r="W6" s="5">
        <v>0</v>
      </c>
      <c r="X6" s="5">
        <v>100</v>
      </c>
      <c r="Y6" s="5">
        <v>156.5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45839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45833</v>
      </c>
      <c r="C7" s="4" t="s">
        <v>75</v>
      </c>
      <c r="D7" s="2">
        <v>1555496</v>
      </c>
      <c r="E7" s="4" t="s">
        <v>76</v>
      </c>
      <c r="F7" s="4" t="s">
        <v>77</v>
      </c>
      <c r="G7" s="2">
        <v>355037480</v>
      </c>
      <c r="H7" s="4" t="s">
        <v>78</v>
      </c>
      <c r="I7" s="4" t="s">
        <v>46</v>
      </c>
      <c r="J7" s="4" t="s">
        <v>47</v>
      </c>
      <c r="K7" s="4" t="s">
        <v>48</v>
      </c>
      <c r="L7" s="3">
        <v>45839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0.5</v>
      </c>
      <c r="W7" s="5">
        <v>0</v>
      </c>
      <c r="X7" s="5">
        <v>100</v>
      </c>
      <c r="Y7" s="5">
        <v>156.5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45839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45833</v>
      </c>
      <c r="C8" s="4" t="s">
        <v>75</v>
      </c>
      <c r="D8" s="2">
        <v>1555496</v>
      </c>
      <c r="E8" s="4" t="s">
        <v>76</v>
      </c>
      <c r="F8" s="4" t="s">
        <v>77</v>
      </c>
      <c r="G8" s="2">
        <v>355037480</v>
      </c>
      <c r="H8" s="4" t="s">
        <v>78</v>
      </c>
      <c r="I8" s="4" t="s">
        <v>46</v>
      </c>
      <c r="J8" s="4" t="s">
        <v>47</v>
      </c>
      <c r="K8" s="4" t="s">
        <v>48</v>
      </c>
      <c r="L8" s="3">
        <v>45778</v>
      </c>
      <c r="M8" s="4" t="s">
        <v>79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</v>
      </c>
      <c r="W8" s="5">
        <v>0</v>
      </c>
      <c r="X8" s="5">
        <v>100</v>
      </c>
      <c r="Y8" s="5">
        <v>-260.83</v>
      </c>
      <c r="Z8" s="4" t="s">
        <v>46</v>
      </c>
      <c r="AA8" s="5" t="s">
        <v>46</v>
      </c>
      <c r="AB8" s="4" t="s">
        <v>80</v>
      </c>
      <c r="AC8" s="4" t="s">
        <v>46</v>
      </c>
      <c r="AD8" s="5">
        <v>0</v>
      </c>
      <c r="AE8" s="4" t="s">
        <v>81</v>
      </c>
      <c r="AF8" s="3">
        <v>45778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82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45833</v>
      </c>
      <c r="C9" s="4" t="s">
        <v>75</v>
      </c>
      <c r="D9" s="2">
        <v>1555496</v>
      </c>
      <c r="E9" s="4" t="s">
        <v>76</v>
      </c>
      <c r="F9" s="4" t="s">
        <v>77</v>
      </c>
      <c r="G9" s="2">
        <v>355037480</v>
      </c>
      <c r="H9" s="4" t="s">
        <v>78</v>
      </c>
      <c r="I9" s="4" t="s">
        <v>46</v>
      </c>
      <c r="J9" s="4" t="s">
        <v>47</v>
      </c>
      <c r="K9" s="4" t="s">
        <v>48</v>
      </c>
      <c r="L9" s="3">
        <v>45778</v>
      </c>
      <c r="M9" s="4" t="s">
        <v>79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-0.17</v>
      </c>
      <c r="W9" s="5">
        <v>0</v>
      </c>
      <c r="X9" s="5">
        <v>100</v>
      </c>
      <c r="Y9" s="5">
        <v>-52.17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45778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82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45833</v>
      </c>
      <c r="C10" s="4" t="s">
        <v>83</v>
      </c>
      <c r="D10" s="2">
        <v>1646082</v>
      </c>
      <c r="E10" s="4" t="s">
        <v>84</v>
      </c>
      <c r="F10" s="4" t="s">
        <v>85</v>
      </c>
      <c r="G10" s="2">
        <v>277452443</v>
      </c>
      <c r="H10" s="4" t="s">
        <v>86</v>
      </c>
      <c r="I10" s="4" t="s">
        <v>46</v>
      </c>
      <c r="J10" s="4" t="s">
        <v>47</v>
      </c>
      <c r="K10" s="4" t="s">
        <v>48</v>
      </c>
      <c r="L10" s="3">
        <v>45839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0.5</v>
      </c>
      <c r="W10" s="5">
        <v>0</v>
      </c>
      <c r="X10" s="5">
        <v>100</v>
      </c>
      <c r="Y10" s="5">
        <v>156.5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45839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45833</v>
      </c>
      <c r="C11" s="4" t="s">
        <v>87</v>
      </c>
      <c r="D11" s="2">
        <v>1673202</v>
      </c>
      <c r="E11" s="4" t="s">
        <v>88</v>
      </c>
      <c r="F11" s="4" t="s">
        <v>89</v>
      </c>
      <c r="G11" s="2">
        <v>359215463</v>
      </c>
      <c r="H11" s="4" t="s">
        <v>90</v>
      </c>
      <c r="I11" s="4" t="s">
        <v>46</v>
      </c>
      <c r="J11" s="4" t="s">
        <v>47</v>
      </c>
      <c r="K11" s="4" t="s">
        <v>48</v>
      </c>
      <c r="L11" s="3">
        <v>45778</v>
      </c>
      <c r="M11" s="4" t="s">
        <v>79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91</v>
      </c>
      <c r="U11" s="4" t="s">
        <v>46</v>
      </c>
      <c r="V11" s="5">
        <v>0</v>
      </c>
      <c r="W11" s="5">
        <v>0</v>
      </c>
      <c r="X11" s="5">
        <v>100</v>
      </c>
      <c r="Y11" s="5">
        <v>-260.83</v>
      </c>
      <c r="Z11" s="4" t="s">
        <v>46</v>
      </c>
      <c r="AA11" s="5" t="s">
        <v>46</v>
      </c>
      <c r="AB11" s="4" t="s">
        <v>80</v>
      </c>
      <c r="AC11" s="4" t="s">
        <v>46</v>
      </c>
      <c r="AD11" s="5">
        <v>0</v>
      </c>
      <c r="AE11" s="4" t="s">
        <v>81</v>
      </c>
      <c r="AF11" s="3">
        <v>45778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92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45833</v>
      </c>
      <c r="C12" s="4" t="s">
        <v>87</v>
      </c>
      <c r="D12" s="2">
        <v>1673202</v>
      </c>
      <c r="E12" s="4" t="s">
        <v>88</v>
      </c>
      <c r="F12" s="4" t="s">
        <v>89</v>
      </c>
      <c r="G12" s="2">
        <v>359215463</v>
      </c>
      <c r="H12" s="4" t="s">
        <v>90</v>
      </c>
      <c r="I12" s="4" t="s">
        <v>46</v>
      </c>
      <c r="J12" s="4" t="s">
        <v>47</v>
      </c>
      <c r="K12" s="4" t="s">
        <v>48</v>
      </c>
      <c r="L12" s="3">
        <v>45778</v>
      </c>
      <c r="M12" s="4" t="s">
        <v>79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91</v>
      </c>
      <c r="U12" s="4" t="s">
        <v>46</v>
      </c>
      <c r="V12" s="5">
        <v>-0.17</v>
      </c>
      <c r="W12" s="5">
        <v>0</v>
      </c>
      <c r="X12" s="5">
        <v>100</v>
      </c>
      <c r="Y12" s="5">
        <v>-52.17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45778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92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45833</v>
      </c>
      <c r="C13" s="4" t="s">
        <v>87</v>
      </c>
      <c r="D13" s="2">
        <v>1673202</v>
      </c>
      <c r="E13" s="4" t="s">
        <v>88</v>
      </c>
      <c r="F13" s="4" t="s">
        <v>89</v>
      </c>
      <c r="G13" s="2">
        <v>359215463</v>
      </c>
      <c r="H13" s="4" t="s">
        <v>90</v>
      </c>
      <c r="I13" s="4" t="s">
        <v>46</v>
      </c>
      <c r="J13" s="4" t="s">
        <v>47</v>
      </c>
      <c r="K13" s="4" t="s">
        <v>48</v>
      </c>
      <c r="L13" s="3">
        <v>45839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0.5</v>
      </c>
      <c r="W13" s="5">
        <v>0</v>
      </c>
      <c r="X13" s="5">
        <v>100</v>
      </c>
      <c r="Y13" s="5">
        <v>156.5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45839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45833</v>
      </c>
      <c r="C14" s="4" t="s">
        <v>93</v>
      </c>
      <c r="D14" s="2">
        <v>1703942</v>
      </c>
      <c r="E14" s="4" t="s">
        <v>94</v>
      </c>
      <c r="F14" s="4" t="s">
        <v>95</v>
      </c>
      <c r="G14" s="2">
        <v>561013545</v>
      </c>
      <c r="H14" s="4" t="s">
        <v>96</v>
      </c>
      <c r="I14" s="4" t="s">
        <v>46</v>
      </c>
      <c r="J14" s="4" t="s">
        <v>47</v>
      </c>
      <c r="K14" s="4" t="s">
        <v>48</v>
      </c>
      <c r="L14" s="3">
        <v>45717</v>
      </c>
      <c r="M14" s="4" t="s">
        <v>97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-0.5</v>
      </c>
      <c r="W14" s="5">
        <v>0</v>
      </c>
      <c r="X14" s="5">
        <v>100</v>
      </c>
      <c r="Y14" s="5">
        <v>-156.5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45717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45833</v>
      </c>
      <c r="C15" s="4" t="s">
        <v>98</v>
      </c>
      <c r="D15" s="2">
        <v>1800776</v>
      </c>
      <c r="E15" s="4" t="s">
        <v>99</v>
      </c>
      <c r="F15" s="4" t="s">
        <v>100</v>
      </c>
      <c r="G15" s="2">
        <v>356505135</v>
      </c>
      <c r="H15" s="4" t="s">
        <v>101</v>
      </c>
      <c r="I15" s="4" t="s">
        <v>46</v>
      </c>
      <c r="J15" s="4" t="s">
        <v>47</v>
      </c>
      <c r="K15" s="4" t="s">
        <v>48</v>
      </c>
      <c r="L15" s="3">
        <v>45839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91</v>
      </c>
      <c r="U15" s="4" t="s">
        <v>46</v>
      </c>
      <c r="V15" s="5">
        <v>0.5</v>
      </c>
      <c r="W15" s="5">
        <v>0</v>
      </c>
      <c r="X15" s="5">
        <v>100</v>
      </c>
      <c r="Y15" s="5">
        <v>156.5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45839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102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45833</v>
      </c>
      <c r="C16" s="4" t="s">
        <v>103</v>
      </c>
      <c r="D16" s="2">
        <v>1815594</v>
      </c>
      <c r="E16" s="4" t="s">
        <v>104</v>
      </c>
      <c r="F16" s="4" t="s">
        <v>105</v>
      </c>
      <c r="G16" s="2">
        <v>23347210</v>
      </c>
      <c r="H16" s="4" t="s">
        <v>106</v>
      </c>
      <c r="I16" s="4" t="s">
        <v>46</v>
      </c>
      <c r="J16" s="4" t="s">
        <v>47</v>
      </c>
      <c r="K16" s="4" t="s">
        <v>48</v>
      </c>
      <c r="L16" s="3">
        <v>45839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91</v>
      </c>
      <c r="U16" s="4" t="s">
        <v>46</v>
      </c>
      <c r="V16" s="5">
        <v>0.5</v>
      </c>
      <c r="W16" s="5">
        <v>0</v>
      </c>
      <c r="X16" s="5">
        <v>100</v>
      </c>
      <c r="Y16" s="5">
        <v>156.5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45839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102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45833</v>
      </c>
      <c r="C17" s="4" t="s">
        <v>107</v>
      </c>
      <c r="D17" s="2">
        <v>1831491</v>
      </c>
      <c r="E17" s="4" t="s">
        <v>108</v>
      </c>
      <c r="F17" s="4" t="s">
        <v>109</v>
      </c>
      <c r="G17" s="2">
        <v>719329315</v>
      </c>
      <c r="H17" s="4" t="s">
        <v>110</v>
      </c>
      <c r="I17" s="4" t="s">
        <v>46</v>
      </c>
      <c r="J17" s="4" t="s">
        <v>47</v>
      </c>
      <c r="K17" s="4" t="s">
        <v>48</v>
      </c>
      <c r="L17" s="3">
        <v>45689</v>
      </c>
      <c r="M17" s="4" t="s">
        <v>111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</v>
      </c>
      <c r="W17" s="5">
        <v>0</v>
      </c>
      <c r="X17" s="5">
        <v>100</v>
      </c>
      <c r="Y17" s="5">
        <v>-208.67</v>
      </c>
      <c r="Z17" s="4" t="s">
        <v>46</v>
      </c>
      <c r="AA17" s="5" t="s">
        <v>46</v>
      </c>
      <c r="AB17" s="4" t="s">
        <v>80</v>
      </c>
      <c r="AC17" s="4" t="s">
        <v>46</v>
      </c>
      <c r="AD17" s="5">
        <v>0</v>
      </c>
      <c r="AE17" s="4" t="s">
        <v>81</v>
      </c>
      <c r="AF17" s="3">
        <v>45689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45833</v>
      </c>
      <c r="C18" s="4" t="s">
        <v>107</v>
      </c>
      <c r="D18" s="2">
        <v>1831491</v>
      </c>
      <c r="E18" s="4" t="s">
        <v>108</v>
      </c>
      <c r="F18" s="4" t="s">
        <v>109</v>
      </c>
      <c r="G18" s="2">
        <v>719329315</v>
      </c>
      <c r="H18" s="4" t="s">
        <v>110</v>
      </c>
      <c r="I18" s="4" t="s">
        <v>46</v>
      </c>
      <c r="J18" s="4" t="s">
        <v>47</v>
      </c>
      <c r="K18" s="4" t="s">
        <v>48</v>
      </c>
      <c r="L18" s="3">
        <v>45689</v>
      </c>
      <c r="M18" s="4" t="s">
        <v>111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52</v>
      </c>
      <c r="U18" s="4" t="s">
        <v>46</v>
      </c>
      <c r="V18" s="5">
        <v>-0.5</v>
      </c>
      <c r="W18" s="5">
        <v>0</v>
      </c>
      <c r="X18" s="5">
        <v>100</v>
      </c>
      <c r="Y18" s="5">
        <v>-156.5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45689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55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45833</v>
      </c>
      <c r="C19" s="4" t="s">
        <v>112</v>
      </c>
      <c r="D19" s="2">
        <v>1673763</v>
      </c>
      <c r="E19" s="4" t="s">
        <v>113</v>
      </c>
      <c r="F19" s="4" t="s">
        <v>114</v>
      </c>
      <c r="G19" s="4" t="s">
        <v>46</v>
      </c>
      <c r="H19" s="4" t="s">
        <v>46</v>
      </c>
      <c r="I19" s="4" t="s">
        <v>46</v>
      </c>
      <c r="J19" s="4" t="s">
        <v>115</v>
      </c>
      <c r="K19" s="4" t="s">
        <v>48</v>
      </c>
      <c r="L19" s="3">
        <v>45839</v>
      </c>
      <c r="M19" s="4" t="s">
        <v>49</v>
      </c>
      <c r="N19" s="4" t="s">
        <v>46</v>
      </c>
      <c r="O19" s="4" t="s">
        <v>116</v>
      </c>
      <c r="P19" s="4" t="s">
        <v>116</v>
      </c>
      <c r="Q19" s="2">
        <v>1</v>
      </c>
      <c r="R19" s="2">
        <v>17</v>
      </c>
      <c r="S19" s="4" t="s">
        <v>51</v>
      </c>
      <c r="T19" s="4" t="s">
        <v>46</v>
      </c>
      <c r="U19" s="4" t="s">
        <v>46</v>
      </c>
      <c r="V19" s="5">
        <v>26</v>
      </c>
      <c r="W19" s="5">
        <v>307</v>
      </c>
      <c r="X19" s="5">
        <v>100</v>
      </c>
      <c r="Y19" s="5">
        <v>79.819999999999993</v>
      </c>
      <c r="Z19" s="5">
        <v>0</v>
      </c>
      <c r="AA19" s="5">
        <v>0</v>
      </c>
      <c r="AB19" s="4" t="s">
        <v>117</v>
      </c>
      <c r="AC19" s="4" t="s">
        <v>46</v>
      </c>
      <c r="AD19" s="5">
        <v>0</v>
      </c>
      <c r="AE19" s="4" t="s">
        <v>118</v>
      </c>
      <c r="AF19" s="3">
        <v>45292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46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45833</v>
      </c>
      <c r="C20" s="4" t="s">
        <v>112</v>
      </c>
      <c r="D20" s="2">
        <v>1673763</v>
      </c>
      <c r="E20" s="4" t="s">
        <v>119</v>
      </c>
      <c r="F20" s="4" t="s">
        <v>120</v>
      </c>
      <c r="G20" s="4" t="s">
        <v>46</v>
      </c>
      <c r="H20" s="4" t="s">
        <v>46</v>
      </c>
      <c r="I20" s="4" t="s">
        <v>46</v>
      </c>
      <c r="J20" s="4" t="s">
        <v>115</v>
      </c>
      <c r="K20" s="4" t="s">
        <v>48</v>
      </c>
      <c r="L20" s="3">
        <v>45839</v>
      </c>
      <c r="M20" s="4" t="s">
        <v>49</v>
      </c>
      <c r="N20" s="4" t="s">
        <v>46</v>
      </c>
      <c r="O20" s="4" t="s">
        <v>116</v>
      </c>
      <c r="P20" s="4" t="s">
        <v>116</v>
      </c>
      <c r="Q20" s="2">
        <v>1</v>
      </c>
      <c r="R20" s="2">
        <v>17</v>
      </c>
      <c r="S20" s="4" t="s">
        <v>51</v>
      </c>
      <c r="T20" s="4" t="s">
        <v>46</v>
      </c>
      <c r="U20" s="4" t="s">
        <v>46</v>
      </c>
      <c r="V20" s="5">
        <v>22</v>
      </c>
      <c r="W20" s="5">
        <v>110.73</v>
      </c>
      <c r="X20" s="5">
        <v>100</v>
      </c>
      <c r="Y20" s="5">
        <v>24.36</v>
      </c>
      <c r="Z20" s="5">
        <v>0</v>
      </c>
      <c r="AA20" s="5">
        <v>0</v>
      </c>
      <c r="AB20" s="4" t="s">
        <v>117</v>
      </c>
      <c r="AC20" s="4" t="s">
        <v>46</v>
      </c>
      <c r="AD20" s="5">
        <v>0</v>
      </c>
      <c r="AE20" s="4" t="s">
        <v>118</v>
      </c>
      <c r="AF20" s="3">
        <v>45444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46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45833</v>
      </c>
      <c r="C21" s="4" t="s">
        <v>112</v>
      </c>
      <c r="D21" s="2">
        <v>1673763</v>
      </c>
      <c r="E21" s="4" t="s">
        <v>121</v>
      </c>
      <c r="F21" s="4" t="s">
        <v>122</v>
      </c>
      <c r="G21" s="4" t="s">
        <v>46</v>
      </c>
      <c r="H21" s="4" t="s">
        <v>46</v>
      </c>
      <c r="I21" s="4" t="s">
        <v>46</v>
      </c>
      <c r="J21" s="4" t="s">
        <v>115</v>
      </c>
      <c r="K21" s="4" t="s">
        <v>48</v>
      </c>
      <c r="L21" s="3">
        <v>45839</v>
      </c>
      <c r="M21" s="4" t="s">
        <v>49</v>
      </c>
      <c r="N21" s="4" t="s">
        <v>46</v>
      </c>
      <c r="O21" s="4" t="s">
        <v>116</v>
      </c>
      <c r="P21" s="4" t="s">
        <v>116</v>
      </c>
      <c r="Q21" s="2">
        <v>1</v>
      </c>
      <c r="R21" s="2">
        <v>17</v>
      </c>
      <c r="S21" s="4" t="s">
        <v>51</v>
      </c>
      <c r="T21" s="4" t="s">
        <v>46</v>
      </c>
      <c r="U21" s="4" t="s">
        <v>46</v>
      </c>
      <c r="V21" s="5">
        <v>22</v>
      </c>
      <c r="W21" s="5">
        <v>130.08000000000001</v>
      </c>
      <c r="X21" s="5">
        <v>100</v>
      </c>
      <c r="Y21" s="5">
        <v>28.62</v>
      </c>
      <c r="Z21" s="5">
        <v>0</v>
      </c>
      <c r="AA21" s="5">
        <v>0</v>
      </c>
      <c r="AB21" s="4" t="s">
        <v>117</v>
      </c>
      <c r="AC21" s="4" t="s">
        <v>46</v>
      </c>
      <c r="AD21" s="5">
        <v>0</v>
      </c>
      <c r="AE21" s="4" t="s">
        <v>118</v>
      </c>
      <c r="AF21" s="3">
        <v>45444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46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45833</v>
      </c>
      <c r="C22" s="4" t="s">
        <v>112</v>
      </c>
      <c r="D22" s="2">
        <v>1673763</v>
      </c>
      <c r="E22" s="4" t="s">
        <v>121</v>
      </c>
      <c r="F22" s="4" t="s">
        <v>122</v>
      </c>
      <c r="G22" s="4" t="s">
        <v>46</v>
      </c>
      <c r="H22" s="4" t="s">
        <v>46</v>
      </c>
      <c r="I22" s="4" t="s">
        <v>46</v>
      </c>
      <c r="J22" s="4" t="s">
        <v>115</v>
      </c>
      <c r="K22" s="4" t="s">
        <v>48</v>
      </c>
      <c r="L22" s="3">
        <v>45809</v>
      </c>
      <c r="M22" s="4" t="s">
        <v>123</v>
      </c>
      <c r="N22" s="4" t="s">
        <v>46</v>
      </c>
      <c r="O22" s="4" t="s">
        <v>116</v>
      </c>
      <c r="P22" s="4" t="s">
        <v>116</v>
      </c>
      <c r="Q22" s="2">
        <v>1</v>
      </c>
      <c r="R22" s="2">
        <v>17</v>
      </c>
      <c r="S22" s="4" t="s">
        <v>51</v>
      </c>
      <c r="T22" s="4" t="s">
        <v>46</v>
      </c>
      <c r="U22" s="4" t="s">
        <v>46</v>
      </c>
      <c r="V22" s="5">
        <v>22</v>
      </c>
      <c r="W22" s="5">
        <v>130.08000000000001</v>
      </c>
      <c r="X22" s="5">
        <v>100</v>
      </c>
      <c r="Y22" s="5">
        <v>28.62</v>
      </c>
      <c r="Z22" s="5">
        <v>0</v>
      </c>
      <c r="AA22" s="5">
        <v>0</v>
      </c>
      <c r="AB22" s="4" t="s">
        <v>117</v>
      </c>
      <c r="AC22" s="4" t="s">
        <v>46</v>
      </c>
      <c r="AD22" s="5">
        <v>0</v>
      </c>
      <c r="AE22" s="4" t="s">
        <v>118</v>
      </c>
      <c r="AF22" s="3">
        <v>45444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46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45833</v>
      </c>
      <c r="C23" s="4" t="s">
        <v>107</v>
      </c>
      <c r="D23" s="2">
        <v>1831491</v>
      </c>
      <c r="E23" s="4" t="s">
        <v>124</v>
      </c>
      <c r="F23" s="4" t="s">
        <v>125</v>
      </c>
      <c r="G23" s="4" t="s">
        <v>46</v>
      </c>
      <c r="H23" s="4" t="s">
        <v>46</v>
      </c>
      <c r="I23" s="4" t="s">
        <v>46</v>
      </c>
      <c r="J23" s="4" t="s">
        <v>126</v>
      </c>
      <c r="K23" s="4" t="s">
        <v>127</v>
      </c>
      <c r="L23" s="3">
        <v>45839</v>
      </c>
      <c r="M23" s="4" t="s">
        <v>49</v>
      </c>
      <c r="N23" s="4" t="s">
        <v>46</v>
      </c>
      <c r="O23" s="4" t="s">
        <v>50</v>
      </c>
      <c r="P23" s="4" t="s">
        <v>116</v>
      </c>
      <c r="Q23" s="2">
        <v>2</v>
      </c>
      <c r="R23" s="2">
        <v>60</v>
      </c>
      <c r="S23" s="4" t="s">
        <v>128</v>
      </c>
      <c r="T23" s="4" t="s">
        <v>46</v>
      </c>
      <c r="U23" s="4" t="s">
        <v>46</v>
      </c>
      <c r="V23" s="5">
        <v>10</v>
      </c>
      <c r="W23" s="5">
        <v>26.88</v>
      </c>
      <c r="X23" s="5">
        <v>100</v>
      </c>
      <c r="Y23" s="5">
        <v>2.69</v>
      </c>
      <c r="Z23" s="4" t="s">
        <v>46</v>
      </c>
      <c r="AA23" s="5" t="s">
        <v>46</v>
      </c>
      <c r="AB23" s="4" t="s">
        <v>129</v>
      </c>
      <c r="AC23" s="4" t="s">
        <v>46</v>
      </c>
      <c r="AD23" s="5">
        <v>0</v>
      </c>
      <c r="AE23" s="4" t="s">
        <v>130</v>
      </c>
      <c r="AF23" s="3">
        <v>45808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46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45833</v>
      </c>
      <c r="C24" s="4" t="s">
        <v>107</v>
      </c>
      <c r="D24" s="2">
        <v>1831491</v>
      </c>
      <c r="E24" s="4" t="s">
        <v>131</v>
      </c>
      <c r="F24" s="4" t="s">
        <v>132</v>
      </c>
      <c r="G24" s="4" t="s">
        <v>46</v>
      </c>
      <c r="H24" s="4" t="s">
        <v>46</v>
      </c>
      <c r="I24" s="4" t="s">
        <v>46</v>
      </c>
      <c r="J24" s="4" t="s">
        <v>126</v>
      </c>
      <c r="K24" s="4" t="s">
        <v>127</v>
      </c>
      <c r="L24" s="3">
        <v>45839</v>
      </c>
      <c r="M24" s="4" t="s">
        <v>49</v>
      </c>
      <c r="N24" s="4" t="s">
        <v>46</v>
      </c>
      <c r="O24" s="4" t="s">
        <v>50</v>
      </c>
      <c r="P24" s="4" t="s">
        <v>116</v>
      </c>
      <c r="Q24" s="2">
        <v>2</v>
      </c>
      <c r="R24" s="2">
        <v>60</v>
      </c>
      <c r="S24" s="4" t="s">
        <v>128</v>
      </c>
      <c r="T24" s="4" t="s">
        <v>46</v>
      </c>
      <c r="U24" s="4" t="s">
        <v>46</v>
      </c>
      <c r="V24" s="5">
        <v>10</v>
      </c>
      <c r="W24" s="5">
        <v>26.88</v>
      </c>
      <c r="X24" s="5">
        <v>100</v>
      </c>
      <c r="Y24" s="5">
        <v>2.69</v>
      </c>
      <c r="Z24" s="4" t="s">
        <v>46</v>
      </c>
      <c r="AA24" s="5" t="s">
        <v>46</v>
      </c>
      <c r="AB24" s="4" t="s">
        <v>129</v>
      </c>
      <c r="AC24" s="4" t="s">
        <v>46</v>
      </c>
      <c r="AD24" s="5">
        <v>0</v>
      </c>
      <c r="AE24" s="4" t="s">
        <v>130</v>
      </c>
      <c r="AF24" s="3">
        <v>45809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46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45833</v>
      </c>
      <c r="C25" s="4" t="s">
        <v>107</v>
      </c>
      <c r="D25" s="2">
        <v>1831491</v>
      </c>
      <c r="E25" s="4" t="s">
        <v>133</v>
      </c>
      <c r="F25" s="4" t="s">
        <v>134</v>
      </c>
      <c r="G25" s="4" t="s">
        <v>46</v>
      </c>
      <c r="H25" s="4" t="s">
        <v>46</v>
      </c>
      <c r="I25" s="4" t="s">
        <v>46</v>
      </c>
      <c r="J25" s="4" t="s">
        <v>126</v>
      </c>
      <c r="K25" s="4" t="s">
        <v>127</v>
      </c>
      <c r="L25" s="3">
        <v>45839</v>
      </c>
      <c r="M25" s="4" t="s">
        <v>49</v>
      </c>
      <c r="N25" s="4" t="s">
        <v>46</v>
      </c>
      <c r="O25" s="4" t="s">
        <v>50</v>
      </c>
      <c r="P25" s="4" t="s">
        <v>116</v>
      </c>
      <c r="Q25" s="2">
        <v>1</v>
      </c>
      <c r="R25" s="2">
        <v>60</v>
      </c>
      <c r="S25" s="4" t="s">
        <v>128</v>
      </c>
      <c r="T25" s="4" t="s">
        <v>46</v>
      </c>
      <c r="U25" s="4" t="s">
        <v>46</v>
      </c>
      <c r="V25" s="5">
        <v>10</v>
      </c>
      <c r="W25" s="5">
        <v>10.220000000000001</v>
      </c>
      <c r="X25" s="5">
        <v>100</v>
      </c>
      <c r="Y25" s="5">
        <v>1.02</v>
      </c>
      <c r="Z25" s="4" t="s">
        <v>46</v>
      </c>
      <c r="AA25" s="5" t="s">
        <v>46</v>
      </c>
      <c r="AB25" s="4" t="s">
        <v>129</v>
      </c>
      <c r="AC25" s="4" t="s">
        <v>46</v>
      </c>
      <c r="AD25" s="5">
        <v>0</v>
      </c>
      <c r="AE25" s="4" t="s">
        <v>130</v>
      </c>
      <c r="AF25" s="3">
        <v>45817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46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45833</v>
      </c>
      <c r="C26" s="4" t="s">
        <v>107</v>
      </c>
      <c r="D26" s="2">
        <v>1831491</v>
      </c>
      <c r="E26" s="4" t="s">
        <v>135</v>
      </c>
      <c r="F26" s="4" t="s">
        <v>136</v>
      </c>
      <c r="G26" s="4" t="s">
        <v>46</v>
      </c>
      <c r="H26" s="4" t="s">
        <v>46</v>
      </c>
      <c r="I26" s="4" t="s">
        <v>46</v>
      </c>
      <c r="J26" s="4" t="s">
        <v>126</v>
      </c>
      <c r="K26" s="4" t="s">
        <v>127</v>
      </c>
      <c r="L26" s="3">
        <v>45839</v>
      </c>
      <c r="M26" s="4" t="s">
        <v>49</v>
      </c>
      <c r="N26" s="4" t="s">
        <v>46</v>
      </c>
      <c r="O26" s="4" t="s">
        <v>50</v>
      </c>
      <c r="P26" s="4" t="s">
        <v>116</v>
      </c>
      <c r="Q26" s="2">
        <v>2</v>
      </c>
      <c r="R26" s="2">
        <v>60</v>
      </c>
      <c r="S26" s="4" t="s">
        <v>128</v>
      </c>
      <c r="T26" s="4" t="s">
        <v>46</v>
      </c>
      <c r="U26" s="4" t="s">
        <v>46</v>
      </c>
      <c r="V26" s="5">
        <v>10</v>
      </c>
      <c r="W26" s="5">
        <v>19.72</v>
      </c>
      <c r="X26" s="5">
        <v>100</v>
      </c>
      <c r="Y26" s="5">
        <v>1.97</v>
      </c>
      <c r="Z26" s="4" t="s">
        <v>46</v>
      </c>
      <c r="AA26" s="5" t="s">
        <v>46</v>
      </c>
      <c r="AB26" s="4" t="s">
        <v>129</v>
      </c>
      <c r="AC26" s="4" t="s">
        <v>46</v>
      </c>
      <c r="AD26" s="5">
        <v>0</v>
      </c>
      <c r="AE26" s="4" t="s">
        <v>130</v>
      </c>
      <c r="AF26" s="3">
        <v>45817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46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45833</v>
      </c>
      <c r="C27" s="4" t="s">
        <v>107</v>
      </c>
      <c r="D27" s="2">
        <v>1831491</v>
      </c>
      <c r="E27" s="4" t="s">
        <v>137</v>
      </c>
      <c r="F27" s="4" t="s">
        <v>138</v>
      </c>
      <c r="G27" s="4" t="s">
        <v>46</v>
      </c>
      <c r="H27" s="4" t="s">
        <v>46</v>
      </c>
      <c r="I27" s="4" t="s">
        <v>46</v>
      </c>
      <c r="J27" s="4" t="s">
        <v>126</v>
      </c>
      <c r="K27" s="4" t="s">
        <v>127</v>
      </c>
      <c r="L27" s="3">
        <v>45839</v>
      </c>
      <c r="M27" s="4" t="s">
        <v>49</v>
      </c>
      <c r="N27" s="4" t="s">
        <v>46</v>
      </c>
      <c r="O27" s="4" t="s">
        <v>50</v>
      </c>
      <c r="P27" s="4" t="s">
        <v>116</v>
      </c>
      <c r="Q27" s="2">
        <v>1</v>
      </c>
      <c r="R27" s="2">
        <v>60</v>
      </c>
      <c r="S27" s="4" t="s">
        <v>128</v>
      </c>
      <c r="T27" s="4" t="s">
        <v>46</v>
      </c>
      <c r="U27" s="4" t="s">
        <v>46</v>
      </c>
      <c r="V27" s="5">
        <v>10</v>
      </c>
      <c r="W27" s="5">
        <v>13.93</v>
      </c>
      <c r="X27" s="5">
        <v>100</v>
      </c>
      <c r="Y27" s="5">
        <v>36.39</v>
      </c>
      <c r="Z27" s="4" t="s">
        <v>46</v>
      </c>
      <c r="AA27" s="5" t="s">
        <v>46</v>
      </c>
      <c r="AB27" s="4" t="s">
        <v>129</v>
      </c>
      <c r="AC27" s="4" t="s">
        <v>46</v>
      </c>
      <c r="AD27" s="5">
        <v>0</v>
      </c>
      <c r="AE27" s="4" t="s">
        <v>130</v>
      </c>
      <c r="AF27" s="3">
        <v>45839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46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45833</v>
      </c>
      <c r="C28" s="4" t="s">
        <v>139</v>
      </c>
      <c r="D28" s="2">
        <v>1875462</v>
      </c>
      <c r="E28" s="4" t="s">
        <v>140</v>
      </c>
      <c r="F28" s="4" t="s">
        <v>141</v>
      </c>
      <c r="G28" s="4" t="s">
        <v>46</v>
      </c>
      <c r="H28" s="4" t="s">
        <v>46</v>
      </c>
      <c r="I28" s="4" t="s">
        <v>46</v>
      </c>
      <c r="J28" s="4" t="s">
        <v>126</v>
      </c>
      <c r="K28" s="4" t="s">
        <v>127</v>
      </c>
      <c r="L28" s="3">
        <v>45839</v>
      </c>
      <c r="M28" s="4" t="s">
        <v>49</v>
      </c>
      <c r="N28" s="4" t="s">
        <v>46</v>
      </c>
      <c r="O28" s="4" t="s">
        <v>50</v>
      </c>
      <c r="P28" s="4" t="s">
        <v>116</v>
      </c>
      <c r="Q28" s="2">
        <v>2</v>
      </c>
      <c r="R28" s="2">
        <v>60</v>
      </c>
      <c r="S28" s="4" t="s">
        <v>128</v>
      </c>
      <c r="T28" s="4" t="s">
        <v>46</v>
      </c>
      <c r="U28" s="4" t="s">
        <v>46</v>
      </c>
      <c r="V28" s="5">
        <v>10</v>
      </c>
      <c r="W28" s="5">
        <v>23.99</v>
      </c>
      <c r="X28" s="5">
        <v>100</v>
      </c>
      <c r="Y28" s="5">
        <v>2.4</v>
      </c>
      <c r="Z28" s="4" t="s">
        <v>46</v>
      </c>
      <c r="AA28" s="5" t="s">
        <v>46</v>
      </c>
      <c r="AB28" s="4" t="s">
        <v>129</v>
      </c>
      <c r="AC28" s="4" t="s">
        <v>46</v>
      </c>
      <c r="AD28" s="5">
        <v>0</v>
      </c>
      <c r="AE28" s="4" t="s">
        <v>130</v>
      </c>
      <c r="AF28" s="3">
        <v>45713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42E48-8838-4F7C-8DF4-9D3A66AB2867}">
  <dimension ref="A1:T28"/>
  <sheetViews>
    <sheetView topLeftCell="C1" workbookViewId="0">
      <selection activeCell="C20" sqref="A20:XFD21"/>
    </sheetView>
  </sheetViews>
  <sheetFormatPr defaultRowHeight="12.75" x14ac:dyDescent="0.2"/>
  <cols>
    <col min="1" max="1" width="24.7109375" style="13" bestFit="1" customWidth="1"/>
    <col min="2" max="2" width="14.140625" style="13" customWidth="1"/>
    <col min="3" max="3" width="28.5703125" style="13" bestFit="1" customWidth="1"/>
    <col min="4" max="4" width="28.5703125" style="13" customWidth="1"/>
    <col min="5" max="5" width="13.28515625" style="13" bestFit="1" customWidth="1"/>
    <col min="6" max="6" width="14.5703125" style="13" bestFit="1" customWidth="1"/>
    <col min="7" max="7" width="11.42578125" style="13" bestFit="1" customWidth="1"/>
    <col min="8" max="8" width="6.28515625" style="13" customWidth="1"/>
    <col min="9" max="9" width="12.85546875" style="13" customWidth="1"/>
    <col min="10" max="10" width="12.28515625" style="13" customWidth="1"/>
    <col min="11" max="11" width="13.7109375" style="13" bestFit="1" customWidth="1"/>
    <col min="12" max="12" width="9.5703125" style="13" bestFit="1" customWidth="1"/>
    <col min="13" max="13" width="15.28515625" style="13" bestFit="1" customWidth="1"/>
    <col min="14" max="14" width="40.5703125" style="13" bestFit="1" customWidth="1"/>
    <col min="15" max="15" width="13.7109375" style="13" bestFit="1" customWidth="1"/>
    <col min="16" max="16" width="52.42578125" style="13" bestFit="1" customWidth="1"/>
    <col min="17" max="17" width="21.5703125" style="13" bestFit="1" customWidth="1"/>
    <col min="18" max="16384" width="9.140625" style="13"/>
  </cols>
  <sheetData>
    <row r="1" spans="1:20" x14ac:dyDescent="0.2">
      <c r="A1" s="12" t="s">
        <v>2</v>
      </c>
      <c r="B1" s="12" t="s">
        <v>3</v>
      </c>
      <c r="C1" s="12" t="s">
        <v>4</v>
      </c>
      <c r="D1" s="12"/>
      <c r="E1" s="12" t="s">
        <v>5</v>
      </c>
      <c r="F1" s="12"/>
      <c r="G1" s="12" t="s">
        <v>11</v>
      </c>
      <c r="H1" s="12" t="s">
        <v>12</v>
      </c>
      <c r="I1" s="12" t="s">
        <v>18</v>
      </c>
      <c r="J1" s="12" t="s">
        <v>19</v>
      </c>
      <c r="K1" s="12" t="s">
        <v>21</v>
      </c>
      <c r="L1" s="12" t="s">
        <v>22</v>
      </c>
      <c r="M1" s="12" t="s">
        <v>24</v>
      </c>
      <c r="N1" s="12" t="s">
        <v>27</v>
      </c>
      <c r="O1" s="12" t="s">
        <v>31</v>
      </c>
    </row>
    <row r="2" spans="1:20" x14ac:dyDescent="0.2">
      <c r="A2" s="14" t="s">
        <v>61</v>
      </c>
      <c r="B2" s="15">
        <v>7470776</v>
      </c>
      <c r="C2" s="14" t="s">
        <v>62</v>
      </c>
      <c r="D2" s="16" t="s">
        <v>196</v>
      </c>
      <c r="E2" s="14" t="s">
        <v>63</v>
      </c>
      <c r="F2" s="13" t="str">
        <f>CONCATENATE(E2,6)</f>
        <v>00023435027K6</v>
      </c>
      <c r="G2" s="17">
        <v>45870</v>
      </c>
      <c r="H2" s="14" t="s">
        <v>49</v>
      </c>
      <c r="I2" s="14" t="s">
        <v>51</v>
      </c>
      <c r="J2" s="14" t="s">
        <v>52</v>
      </c>
      <c r="K2" s="18">
        <v>0.5</v>
      </c>
      <c r="L2" s="18">
        <v>1</v>
      </c>
      <c r="M2" s="18">
        <v>156.5</v>
      </c>
      <c r="N2" s="14" t="s">
        <v>53</v>
      </c>
      <c r="O2" s="17">
        <v>45839</v>
      </c>
      <c r="P2" s="13" t="s">
        <v>146</v>
      </c>
      <c r="Q2" s="19" t="s">
        <v>147</v>
      </c>
      <c r="T2" s="13">
        <v>6</v>
      </c>
    </row>
    <row r="3" spans="1:20" x14ac:dyDescent="0.2">
      <c r="A3" s="14" t="s">
        <v>75</v>
      </c>
      <c r="B3" s="15">
        <v>1706194</v>
      </c>
      <c r="C3" s="14" t="s">
        <v>76</v>
      </c>
      <c r="D3" s="16" t="s">
        <v>199</v>
      </c>
      <c r="E3" s="14" t="s">
        <v>77</v>
      </c>
      <c r="F3" s="13" t="str">
        <f>CONCATENATE(E3,6)</f>
        <v>00023184051K6</v>
      </c>
      <c r="G3" s="17">
        <v>45870</v>
      </c>
      <c r="H3" s="14" t="s">
        <v>49</v>
      </c>
      <c r="I3" s="14" t="s">
        <v>51</v>
      </c>
      <c r="J3" s="14" t="s">
        <v>52</v>
      </c>
      <c r="K3" s="18">
        <v>0.5</v>
      </c>
      <c r="L3" s="18">
        <v>1</v>
      </c>
      <c r="M3" s="18">
        <v>156.5</v>
      </c>
      <c r="N3" s="14" t="s">
        <v>53</v>
      </c>
      <c r="O3" s="17">
        <v>45839</v>
      </c>
      <c r="P3" s="13" t="s">
        <v>146</v>
      </c>
      <c r="Q3" s="19" t="s">
        <v>147</v>
      </c>
      <c r="T3" s="13">
        <v>6</v>
      </c>
    </row>
    <row r="4" spans="1:20" x14ac:dyDescent="0.2">
      <c r="A4" s="14" t="s">
        <v>75</v>
      </c>
      <c r="B4" s="15">
        <v>1706194</v>
      </c>
      <c r="C4" s="14" t="s">
        <v>76</v>
      </c>
      <c r="D4" s="16" t="s">
        <v>199</v>
      </c>
      <c r="E4" s="14" t="s">
        <v>77</v>
      </c>
      <c r="F4" s="13" t="str">
        <f>CONCATENATE(E4,6)</f>
        <v>00023184051K6</v>
      </c>
      <c r="G4" s="17">
        <v>45839</v>
      </c>
      <c r="H4" s="14" t="s">
        <v>79</v>
      </c>
      <c r="I4" s="14" t="s">
        <v>51</v>
      </c>
      <c r="J4" s="14" t="s">
        <v>52</v>
      </c>
      <c r="K4" s="18">
        <v>0</v>
      </c>
      <c r="L4" s="18">
        <v>-1</v>
      </c>
      <c r="M4" s="18">
        <v>-260.83</v>
      </c>
      <c r="N4" s="14" t="s">
        <v>80</v>
      </c>
      <c r="O4" s="17">
        <v>45778</v>
      </c>
      <c r="P4" s="13" t="s">
        <v>146</v>
      </c>
      <c r="Q4" s="19" t="s">
        <v>149</v>
      </c>
      <c r="S4" s="13">
        <f>313/12*10</f>
        <v>260.83333333333331</v>
      </c>
      <c r="T4" s="13">
        <v>10</v>
      </c>
    </row>
    <row r="5" spans="1:20" x14ac:dyDescent="0.2">
      <c r="A5" s="14" t="s">
        <v>75</v>
      </c>
      <c r="B5" s="15">
        <v>1706194</v>
      </c>
      <c r="C5" s="14" t="s">
        <v>76</v>
      </c>
      <c r="D5" s="16" t="s">
        <v>199</v>
      </c>
      <c r="E5" s="14" t="s">
        <v>77</v>
      </c>
      <c r="F5" s="13" t="str">
        <f>CONCATENATE(E5,6)</f>
        <v>00023184051K6</v>
      </c>
      <c r="G5" s="17">
        <v>45839</v>
      </c>
      <c r="H5" s="14" t="s">
        <v>79</v>
      </c>
      <c r="I5" s="14" t="s">
        <v>51</v>
      </c>
      <c r="J5" s="14" t="s">
        <v>52</v>
      </c>
      <c r="K5" s="18">
        <v>-0.17</v>
      </c>
      <c r="L5" s="18">
        <v>-1</v>
      </c>
      <c r="M5" s="18">
        <v>-52.17</v>
      </c>
      <c r="N5" s="14" t="s">
        <v>53</v>
      </c>
      <c r="O5" s="17">
        <v>45778</v>
      </c>
      <c r="P5" s="13" t="s">
        <v>146</v>
      </c>
      <c r="Q5" s="19" t="s">
        <v>150</v>
      </c>
      <c r="T5" s="13">
        <v>2</v>
      </c>
    </row>
    <row r="6" spans="1:20" x14ac:dyDescent="0.2">
      <c r="A6" s="14" t="s">
        <v>107</v>
      </c>
      <c r="B6" s="15">
        <v>18828278</v>
      </c>
      <c r="C6" s="14" t="s">
        <v>108</v>
      </c>
      <c r="D6" s="16" t="s">
        <v>205</v>
      </c>
      <c r="E6" s="14" t="s">
        <v>109</v>
      </c>
      <c r="F6" s="13" t="str">
        <f>CONCATENATE(E6,6)</f>
        <v>00000374418G6</v>
      </c>
      <c r="G6" s="17">
        <v>45839</v>
      </c>
      <c r="H6" s="14" t="s">
        <v>111</v>
      </c>
      <c r="I6" s="14" t="s">
        <v>51</v>
      </c>
      <c r="J6" s="14" t="s">
        <v>52</v>
      </c>
      <c r="K6" s="18">
        <v>0</v>
      </c>
      <c r="L6" s="18">
        <v>-1</v>
      </c>
      <c r="M6" s="18">
        <v>-208.67</v>
      </c>
      <c r="N6" s="14" t="s">
        <v>80</v>
      </c>
      <c r="O6" s="17">
        <v>45689</v>
      </c>
      <c r="P6" s="13" t="s">
        <v>146</v>
      </c>
      <c r="Q6" s="19" t="s">
        <v>151</v>
      </c>
      <c r="S6" s="13">
        <f>313/12*8</f>
        <v>208.66666666666666</v>
      </c>
      <c r="T6" s="13">
        <v>8</v>
      </c>
    </row>
    <row r="7" spans="1:20" x14ac:dyDescent="0.2">
      <c r="A7" s="14" t="s">
        <v>107</v>
      </c>
      <c r="B7" s="15">
        <v>18828278</v>
      </c>
      <c r="C7" s="14" t="s">
        <v>108</v>
      </c>
      <c r="D7" s="16" t="s">
        <v>205</v>
      </c>
      <c r="E7" s="14" t="s">
        <v>109</v>
      </c>
      <c r="F7" s="13" t="str">
        <f>CONCATENATE(E7,6)</f>
        <v>00000374418G6</v>
      </c>
      <c r="G7" s="17">
        <v>45839</v>
      </c>
      <c r="H7" s="14" t="s">
        <v>111</v>
      </c>
      <c r="I7" s="14" t="s">
        <v>51</v>
      </c>
      <c r="J7" s="14" t="s">
        <v>52</v>
      </c>
      <c r="K7" s="18">
        <v>-0.5</v>
      </c>
      <c r="L7" s="18">
        <v>-1</v>
      </c>
      <c r="M7" s="18">
        <v>-156.5</v>
      </c>
      <c r="N7" s="14" t="s">
        <v>53</v>
      </c>
      <c r="O7" s="17">
        <v>45689</v>
      </c>
      <c r="P7" s="13" t="s">
        <v>146</v>
      </c>
      <c r="Q7" s="19" t="s">
        <v>147</v>
      </c>
      <c r="T7" s="13">
        <v>6</v>
      </c>
    </row>
    <row r="8" spans="1:20" x14ac:dyDescent="0.2">
      <c r="A8" s="14" t="s">
        <v>107</v>
      </c>
      <c r="B8" s="15">
        <v>18828278</v>
      </c>
      <c r="C8" s="14" t="s">
        <v>124</v>
      </c>
      <c r="D8" s="16" t="s">
        <v>209</v>
      </c>
      <c r="E8" s="20">
        <v>9030509330</v>
      </c>
      <c r="F8" s="13" t="str">
        <f>CONCATENATE(E8,4)</f>
        <v>90305093304</v>
      </c>
      <c r="G8" s="17">
        <v>45839</v>
      </c>
      <c r="H8" s="14" t="s">
        <v>49</v>
      </c>
      <c r="I8" s="14" t="s">
        <v>128</v>
      </c>
      <c r="J8" s="14" t="s">
        <v>46</v>
      </c>
      <c r="K8" s="18">
        <v>10</v>
      </c>
      <c r="L8" s="18">
        <v>26.88</v>
      </c>
      <c r="M8" s="18">
        <v>2.69</v>
      </c>
      <c r="N8" s="14" t="s">
        <v>129</v>
      </c>
      <c r="O8" s="17">
        <v>45808</v>
      </c>
      <c r="P8" s="13" t="s">
        <v>145</v>
      </c>
    </row>
    <row r="9" spans="1:20" x14ac:dyDescent="0.2">
      <c r="A9" s="14" t="s">
        <v>107</v>
      </c>
      <c r="B9" s="15">
        <v>18828278</v>
      </c>
      <c r="C9" s="14" t="s">
        <v>131</v>
      </c>
      <c r="D9" s="16" t="s">
        <v>210</v>
      </c>
      <c r="E9" s="20">
        <v>9030582430</v>
      </c>
      <c r="F9" s="13" t="str">
        <f>CONCATENATE(E9,4)</f>
        <v>90305824304</v>
      </c>
      <c r="G9" s="17">
        <v>45839</v>
      </c>
      <c r="H9" s="14" t="s">
        <v>49</v>
      </c>
      <c r="I9" s="14" t="s">
        <v>128</v>
      </c>
      <c r="J9" s="14" t="s">
        <v>46</v>
      </c>
      <c r="K9" s="18">
        <v>10</v>
      </c>
      <c r="L9" s="18">
        <v>26.88</v>
      </c>
      <c r="M9" s="18">
        <v>2.69</v>
      </c>
      <c r="N9" s="14" t="s">
        <v>129</v>
      </c>
      <c r="O9" s="17">
        <v>45809</v>
      </c>
      <c r="P9" s="13" t="s">
        <v>145</v>
      </c>
    </row>
    <row r="10" spans="1:20" x14ac:dyDescent="0.2">
      <c r="A10" s="14" t="s">
        <v>107</v>
      </c>
      <c r="B10" s="15">
        <v>18828278</v>
      </c>
      <c r="C10" s="14" t="s">
        <v>133</v>
      </c>
      <c r="D10" s="16" t="s">
        <v>211</v>
      </c>
      <c r="E10" s="20">
        <v>9030651770</v>
      </c>
      <c r="F10" s="13" t="str">
        <f>CONCATENATE(E10,4)</f>
        <v>90306517704</v>
      </c>
      <c r="G10" s="17">
        <v>45839</v>
      </c>
      <c r="H10" s="14" t="s">
        <v>49</v>
      </c>
      <c r="I10" s="14" t="s">
        <v>128</v>
      </c>
      <c r="J10" s="14" t="s">
        <v>46</v>
      </c>
      <c r="K10" s="18">
        <v>10</v>
      </c>
      <c r="L10" s="18">
        <v>10.220000000000001</v>
      </c>
      <c r="M10" s="18">
        <v>1.02</v>
      </c>
      <c r="N10" s="14" t="s">
        <v>129</v>
      </c>
      <c r="O10" s="17">
        <v>45817</v>
      </c>
      <c r="P10" s="13" t="s">
        <v>145</v>
      </c>
    </row>
    <row r="11" spans="1:20" x14ac:dyDescent="0.2">
      <c r="A11" s="14" t="s">
        <v>107</v>
      </c>
      <c r="B11" s="15">
        <v>18828278</v>
      </c>
      <c r="C11" s="14" t="s">
        <v>135</v>
      </c>
      <c r="D11" s="16" t="s">
        <v>212</v>
      </c>
      <c r="E11" s="20">
        <v>9030652040</v>
      </c>
      <c r="F11" s="13" t="str">
        <f>CONCATENATE(E11,4)</f>
        <v>90306520404</v>
      </c>
      <c r="G11" s="17">
        <v>45839</v>
      </c>
      <c r="H11" s="14" t="s">
        <v>49</v>
      </c>
      <c r="I11" s="14" t="s">
        <v>128</v>
      </c>
      <c r="J11" s="14" t="s">
        <v>46</v>
      </c>
      <c r="K11" s="18">
        <v>10</v>
      </c>
      <c r="L11" s="18">
        <v>19.72</v>
      </c>
      <c r="M11" s="18">
        <v>1.97</v>
      </c>
      <c r="N11" s="14" t="s">
        <v>129</v>
      </c>
      <c r="O11" s="17">
        <v>45817</v>
      </c>
      <c r="P11" s="13" t="s">
        <v>145</v>
      </c>
    </row>
    <row r="12" spans="1:20" x14ac:dyDescent="0.2">
      <c r="A12" s="14" t="s">
        <v>107</v>
      </c>
      <c r="B12" s="15">
        <v>18828278</v>
      </c>
      <c r="C12" s="14" t="s">
        <v>137</v>
      </c>
      <c r="D12" s="16" t="s">
        <v>213</v>
      </c>
      <c r="E12" s="20">
        <v>9030719950</v>
      </c>
      <c r="F12" s="13" t="str">
        <f>CONCATENATE(E12,4)</f>
        <v>90307199504</v>
      </c>
      <c r="G12" s="17">
        <v>45870</v>
      </c>
      <c r="H12" s="14" t="s">
        <v>49</v>
      </c>
      <c r="I12" s="14" t="s">
        <v>128</v>
      </c>
      <c r="J12" s="14" t="s">
        <v>46</v>
      </c>
      <c r="K12" s="18">
        <v>10</v>
      </c>
      <c r="L12" s="18">
        <v>363.9</v>
      </c>
      <c r="M12" s="18">
        <v>36.39</v>
      </c>
      <c r="N12" s="14" t="s">
        <v>129</v>
      </c>
      <c r="O12" s="17">
        <v>45839</v>
      </c>
      <c r="P12" s="13" t="s">
        <v>145</v>
      </c>
    </row>
    <row r="13" spans="1:20" x14ac:dyDescent="0.2">
      <c r="A13" s="14" t="s">
        <v>87</v>
      </c>
      <c r="B13" s="15">
        <v>17425766</v>
      </c>
      <c r="C13" s="14" t="s">
        <v>88</v>
      </c>
      <c r="D13" s="16" t="s">
        <v>201</v>
      </c>
      <c r="E13" s="14" t="s">
        <v>89</v>
      </c>
      <c r="F13" s="13" t="str">
        <f>CONCATENATE(E13,6)</f>
        <v>00023257863K6</v>
      </c>
      <c r="G13" s="17">
        <v>45839</v>
      </c>
      <c r="H13" s="14" t="s">
        <v>79</v>
      </c>
      <c r="I13" s="14" t="s">
        <v>51</v>
      </c>
      <c r="J13" s="14" t="s">
        <v>91</v>
      </c>
      <c r="K13" s="18">
        <v>0</v>
      </c>
      <c r="L13" s="18">
        <v>-1</v>
      </c>
      <c r="M13" s="18">
        <v>-260.83</v>
      </c>
      <c r="N13" s="14" t="s">
        <v>80</v>
      </c>
      <c r="O13" s="17">
        <v>45778</v>
      </c>
      <c r="P13" s="13" t="s">
        <v>146</v>
      </c>
      <c r="Q13" s="19" t="s">
        <v>149</v>
      </c>
      <c r="T13" s="13">
        <v>10</v>
      </c>
    </row>
    <row r="14" spans="1:20" x14ac:dyDescent="0.2">
      <c r="A14" s="14" t="s">
        <v>87</v>
      </c>
      <c r="B14" s="15">
        <v>17425766</v>
      </c>
      <c r="C14" s="14" t="s">
        <v>88</v>
      </c>
      <c r="D14" s="16" t="s">
        <v>201</v>
      </c>
      <c r="E14" s="14" t="s">
        <v>89</v>
      </c>
      <c r="F14" s="13" t="str">
        <f>CONCATENATE(E14,6)</f>
        <v>00023257863K6</v>
      </c>
      <c r="G14" s="17">
        <v>45839</v>
      </c>
      <c r="H14" s="14" t="s">
        <v>79</v>
      </c>
      <c r="I14" s="14" t="s">
        <v>51</v>
      </c>
      <c r="J14" s="14" t="s">
        <v>91</v>
      </c>
      <c r="K14" s="18">
        <v>-0.17</v>
      </c>
      <c r="L14" s="18">
        <v>-1</v>
      </c>
      <c r="M14" s="18">
        <v>-52.17</v>
      </c>
      <c r="N14" s="14" t="s">
        <v>53</v>
      </c>
      <c r="O14" s="17">
        <v>45778</v>
      </c>
      <c r="P14" s="13" t="s">
        <v>146</v>
      </c>
      <c r="Q14" s="19" t="s">
        <v>150</v>
      </c>
      <c r="S14" s="13">
        <f>313/12*2</f>
        <v>52.166666666666664</v>
      </c>
      <c r="T14" s="13">
        <v>2</v>
      </c>
    </row>
    <row r="15" spans="1:20" x14ac:dyDescent="0.2">
      <c r="A15" s="14" t="s">
        <v>87</v>
      </c>
      <c r="B15" s="15">
        <v>17425766</v>
      </c>
      <c r="C15" s="14" t="s">
        <v>88</v>
      </c>
      <c r="D15" s="16" t="s">
        <v>201</v>
      </c>
      <c r="E15" s="14" t="s">
        <v>89</v>
      </c>
      <c r="F15" s="13" t="str">
        <f>CONCATENATE(E15,6)</f>
        <v>00023257863K6</v>
      </c>
      <c r="G15" s="17">
        <v>45870</v>
      </c>
      <c r="H15" s="14" t="s">
        <v>49</v>
      </c>
      <c r="I15" s="14" t="s">
        <v>51</v>
      </c>
      <c r="J15" s="14" t="s">
        <v>52</v>
      </c>
      <c r="K15" s="18">
        <v>0.5</v>
      </c>
      <c r="L15" s="18">
        <v>1</v>
      </c>
      <c r="M15" s="18">
        <v>156.5</v>
      </c>
      <c r="N15" s="14" t="s">
        <v>53</v>
      </c>
      <c r="O15" s="17">
        <v>45839</v>
      </c>
      <c r="P15" s="13" t="s">
        <v>146</v>
      </c>
      <c r="Q15" s="19" t="s">
        <v>147</v>
      </c>
      <c r="T15" s="13">
        <v>6</v>
      </c>
    </row>
    <row r="16" spans="1:20" x14ac:dyDescent="0.2">
      <c r="A16" s="14" t="s">
        <v>83</v>
      </c>
      <c r="B16" s="15">
        <v>17301495</v>
      </c>
      <c r="C16" s="14" t="s">
        <v>84</v>
      </c>
      <c r="D16" s="16" t="s">
        <v>200</v>
      </c>
      <c r="E16" s="14" t="s">
        <v>85</v>
      </c>
      <c r="F16" s="13" t="str">
        <f>CONCATENATE(E16,6)</f>
        <v>00023431107K6</v>
      </c>
      <c r="G16" s="17">
        <v>45870</v>
      </c>
      <c r="H16" s="14" t="s">
        <v>49</v>
      </c>
      <c r="I16" s="14" t="s">
        <v>51</v>
      </c>
      <c r="J16" s="14" t="s">
        <v>52</v>
      </c>
      <c r="K16" s="18">
        <v>0.5</v>
      </c>
      <c r="L16" s="18">
        <v>1</v>
      </c>
      <c r="M16" s="18">
        <v>156.5</v>
      </c>
      <c r="N16" s="14" t="s">
        <v>53</v>
      </c>
      <c r="O16" s="17">
        <v>45839</v>
      </c>
      <c r="P16" s="13" t="s">
        <v>146</v>
      </c>
      <c r="Q16" s="19" t="s">
        <v>147</v>
      </c>
      <c r="T16" s="13">
        <v>6</v>
      </c>
    </row>
    <row r="17" spans="1:20" x14ac:dyDescent="0.2">
      <c r="A17" s="14" t="s">
        <v>71</v>
      </c>
      <c r="B17" s="15">
        <v>7146581</v>
      </c>
      <c r="C17" s="14" t="s">
        <v>72</v>
      </c>
      <c r="D17" s="16" t="s">
        <v>198</v>
      </c>
      <c r="E17" s="14" t="s">
        <v>73</v>
      </c>
      <c r="F17" s="13" t="str">
        <f>CONCATENATE(E17,6)</f>
        <v>00023429364K6</v>
      </c>
      <c r="G17" s="17">
        <v>45870</v>
      </c>
      <c r="H17" s="14" t="s">
        <v>49</v>
      </c>
      <c r="I17" s="14" t="s">
        <v>51</v>
      </c>
      <c r="J17" s="14" t="s">
        <v>52</v>
      </c>
      <c r="K17" s="18">
        <v>0.5</v>
      </c>
      <c r="L17" s="18">
        <v>1</v>
      </c>
      <c r="M17" s="18">
        <v>156.5</v>
      </c>
      <c r="N17" s="14" t="s">
        <v>53</v>
      </c>
      <c r="O17" s="17">
        <v>45839</v>
      </c>
      <c r="P17" s="13" t="s">
        <v>146</v>
      </c>
      <c r="Q17" s="19" t="s">
        <v>147</v>
      </c>
      <c r="T17" s="13">
        <v>6</v>
      </c>
    </row>
    <row r="18" spans="1:20" x14ac:dyDescent="0.2">
      <c r="A18" s="14" t="s">
        <v>112</v>
      </c>
      <c r="B18" s="15">
        <v>17528908</v>
      </c>
      <c r="C18" s="14" t="s">
        <v>113</v>
      </c>
      <c r="D18" s="16" t="s">
        <v>206</v>
      </c>
      <c r="E18" s="14" t="s">
        <v>114</v>
      </c>
      <c r="F18" s="13" t="str">
        <f>CONCATENATE(E18,8)</f>
        <v>00000789641A8</v>
      </c>
      <c r="G18" s="17">
        <v>45839</v>
      </c>
      <c r="H18" s="14" t="s">
        <v>49</v>
      </c>
      <c r="I18" s="14" t="s">
        <v>51</v>
      </c>
      <c r="J18" s="14" t="s">
        <v>46</v>
      </c>
      <c r="K18" s="18">
        <v>26</v>
      </c>
      <c r="L18" s="18">
        <v>307</v>
      </c>
      <c r="M18" s="18">
        <v>79.819999999999993</v>
      </c>
      <c r="N18" s="14" t="s">
        <v>117</v>
      </c>
      <c r="O18" s="17">
        <v>45292</v>
      </c>
      <c r="P18" s="13" t="s">
        <v>144</v>
      </c>
    </row>
    <row r="19" spans="1:20" x14ac:dyDescent="0.2">
      <c r="A19" s="14" t="s">
        <v>112</v>
      </c>
      <c r="B19" s="15">
        <v>17528908</v>
      </c>
      <c r="C19" s="14" t="s">
        <v>119</v>
      </c>
      <c r="D19" s="16" t="s">
        <v>207</v>
      </c>
      <c r="E19" s="14" t="s">
        <v>120</v>
      </c>
      <c r="F19" s="13" t="str">
        <f>CONCATENATE(E19,8)</f>
        <v>00000828881A8</v>
      </c>
      <c r="G19" s="17">
        <v>45839</v>
      </c>
      <c r="H19" s="14" t="s">
        <v>49</v>
      </c>
      <c r="I19" s="14" t="s">
        <v>51</v>
      </c>
      <c r="J19" s="14" t="s">
        <v>46</v>
      </c>
      <c r="K19" s="18">
        <v>22</v>
      </c>
      <c r="L19" s="18">
        <v>110.73</v>
      </c>
      <c r="M19" s="18">
        <v>24.36</v>
      </c>
      <c r="N19" s="14" t="s">
        <v>117</v>
      </c>
      <c r="O19" s="17">
        <v>45444</v>
      </c>
      <c r="P19" s="13" t="s">
        <v>143</v>
      </c>
    </row>
    <row r="20" spans="1:20" x14ac:dyDescent="0.2">
      <c r="A20" s="14" t="s">
        <v>112</v>
      </c>
      <c r="B20" s="15">
        <v>17528908</v>
      </c>
      <c r="C20" s="14" t="s">
        <v>121</v>
      </c>
      <c r="D20" s="16" t="s">
        <v>208</v>
      </c>
      <c r="E20" s="14" t="s">
        <v>122</v>
      </c>
      <c r="F20" s="13" t="str">
        <f>CONCATENATE(E20,8)</f>
        <v>00000839470A8</v>
      </c>
      <c r="G20" s="17">
        <v>45839</v>
      </c>
      <c r="H20" s="14" t="s">
        <v>49</v>
      </c>
      <c r="I20" s="14" t="s">
        <v>51</v>
      </c>
      <c r="J20" s="14" t="s">
        <v>46</v>
      </c>
      <c r="K20" s="18">
        <v>22</v>
      </c>
      <c r="L20" s="18">
        <v>130.08000000000001</v>
      </c>
      <c r="M20" s="18">
        <v>28.62</v>
      </c>
      <c r="N20" s="14" t="s">
        <v>117</v>
      </c>
      <c r="O20" s="17">
        <v>45444</v>
      </c>
      <c r="P20" s="13" t="s">
        <v>143</v>
      </c>
    </row>
    <row r="21" spans="1:20" x14ac:dyDescent="0.2">
      <c r="A21" s="14" t="s">
        <v>112</v>
      </c>
      <c r="B21" s="15">
        <v>17528908</v>
      </c>
      <c r="C21" s="14" t="s">
        <v>121</v>
      </c>
      <c r="D21" s="16" t="s">
        <v>208</v>
      </c>
      <c r="E21" s="14" t="s">
        <v>122</v>
      </c>
      <c r="F21" s="13" t="str">
        <f>CONCATENATE(E21,8)</f>
        <v>00000839470A8</v>
      </c>
      <c r="G21" s="17">
        <v>45809</v>
      </c>
      <c r="H21" s="14" t="s">
        <v>123</v>
      </c>
      <c r="I21" s="14" t="s">
        <v>51</v>
      </c>
      <c r="J21" s="14" t="s">
        <v>46</v>
      </c>
      <c r="K21" s="18">
        <v>22</v>
      </c>
      <c r="L21" s="18">
        <v>130.08000000000001</v>
      </c>
      <c r="M21" s="18">
        <v>28.62</v>
      </c>
      <c r="N21" s="14" t="s">
        <v>117</v>
      </c>
      <c r="O21" s="17">
        <v>45444</v>
      </c>
      <c r="P21" s="13" t="s">
        <v>143</v>
      </c>
    </row>
    <row r="22" spans="1:20" x14ac:dyDescent="0.2">
      <c r="A22" s="14" t="s">
        <v>139</v>
      </c>
      <c r="B22" s="15">
        <v>19278370</v>
      </c>
      <c r="C22" s="14" t="s">
        <v>140</v>
      </c>
      <c r="D22" s="16" t="s">
        <v>214</v>
      </c>
      <c r="E22" s="20">
        <v>9030115330</v>
      </c>
      <c r="F22" s="13" t="str">
        <f>CONCATENATE(E22,4)</f>
        <v>90301153304</v>
      </c>
      <c r="G22" s="17">
        <v>45839</v>
      </c>
      <c r="H22" s="14" t="s">
        <v>49</v>
      </c>
      <c r="I22" s="14" t="s">
        <v>128</v>
      </c>
      <c r="J22" s="14" t="s">
        <v>46</v>
      </c>
      <c r="K22" s="18">
        <v>10</v>
      </c>
      <c r="L22" s="18">
        <v>23.99</v>
      </c>
      <c r="M22" s="18">
        <v>2.4</v>
      </c>
      <c r="N22" s="14" t="s">
        <v>129</v>
      </c>
      <c r="O22" s="17">
        <v>45713</v>
      </c>
      <c r="P22" s="13" t="s">
        <v>145</v>
      </c>
    </row>
    <row r="23" spans="1:20" x14ac:dyDescent="0.2">
      <c r="A23" s="14" t="s">
        <v>56</v>
      </c>
      <c r="B23" s="15">
        <v>8814784</v>
      </c>
      <c r="C23" s="14" t="s">
        <v>57</v>
      </c>
      <c r="D23" s="16" t="s">
        <v>195</v>
      </c>
      <c r="E23" s="14" t="s">
        <v>58</v>
      </c>
      <c r="F23" s="13" t="str">
        <f>CONCATENATE(E23,6)</f>
        <v>00023424272K6</v>
      </c>
      <c r="G23" s="17">
        <v>45901</v>
      </c>
      <c r="H23" s="14" t="s">
        <v>60</v>
      </c>
      <c r="I23" s="14" t="s">
        <v>51</v>
      </c>
      <c r="J23" s="14" t="s">
        <v>52</v>
      </c>
      <c r="K23" s="18">
        <v>0.42</v>
      </c>
      <c r="L23" s="18">
        <v>1</v>
      </c>
      <c r="M23" s="18">
        <v>130.41999999999999</v>
      </c>
      <c r="N23" s="14" t="s">
        <v>53</v>
      </c>
      <c r="O23" s="17">
        <v>45870</v>
      </c>
      <c r="P23" s="13" t="s">
        <v>146</v>
      </c>
      <c r="Q23" s="19" t="s">
        <v>148</v>
      </c>
      <c r="S23" s="13">
        <f>313/12*5</f>
        <v>130.41666666666666</v>
      </c>
      <c r="T23" s="13">
        <v>5</v>
      </c>
    </row>
    <row r="24" spans="1:20" x14ac:dyDescent="0.2">
      <c r="A24" s="14" t="s">
        <v>42</v>
      </c>
      <c r="B24" s="15">
        <v>371819</v>
      </c>
      <c r="C24" s="14" t="s">
        <v>43</v>
      </c>
      <c r="D24" s="16" t="s">
        <v>194</v>
      </c>
      <c r="E24" s="14" t="s">
        <v>44</v>
      </c>
      <c r="F24" s="13" t="str">
        <f>CONCATENATE(E24,6)</f>
        <v>00020805683K6</v>
      </c>
      <c r="G24" s="17">
        <v>45870</v>
      </c>
      <c r="H24" s="14" t="s">
        <v>49</v>
      </c>
      <c r="I24" s="14" t="s">
        <v>51</v>
      </c>
      <c r="J24" s="14" t="s">
        <v>52</v>
      </c>
      <c r="K24" s="18">
        <v>0.5</v>
      </c>
      <c r="L24" s="18">
        <v>1</v>
      </c>
      <c r="M24" s="18">
        <v>156.5</v>
      </c>
      <c r="N24" s="14" t="s">
        <v>53</v>
      </c>
      <c r="O24" s="17">
        <v>45839</v>
      </c>
      <c r="P24" s="13" t="s">
        <v>146</v>
      </c>
      <c r="Q24" s="19" t="s">
        <v>147</v>
      </c>
      <c r="S24" s="13">
        <f>313/12*6</f>
        <v>156.5</v>
      </c>
      <c r="T24" s="13">
        <v>6</v>
      </c>
    </row>
    <row r="25" spans="1:20" x14ac:dyDescent="0.2">
      <c r="A25" s="14" t="s">
        <v>93</v>
      </c>
      <c r="B25" s="15">
        <v>9213293</v>
      </c>
      <c r="C25" s="14" t="s">
        <v>94</v>
      </c>
      <c r="D25" s="16" t="s">
        <v>202</v>
      </c>
      <c r="E25" s="14" t="s">
        <v>95</v>
      </c>
      <c r="F25" s="13" t="str">
        <f>CONCATENATE(E25,6)</f>
        <v>00023124079K6</v>
      </c>
      <c r="G25" s="17">
        <v>45839</v>
      </c>
      <c r="H25" s="14" t="s">
        <v>97</v>
      </c>
      <c r="I25" s="14" t="s">
        <v>51</v>
      </c>
      <c r="J25" s="14" t="s">
        <v>52</v>
      </c>
      <c r="K25" s="18">
        <v>-0.5</v>
      </c>
      <c r="L25" s="18">
        <v>-1</v>
      </c>
      <c r="M25" s="18">
        <v>-156.5</v>
      </c>
      <c r="N25" s="14" t="s">
        <v>53</v>
      </c>
      <c r="O25" s="17">
        <v>45717</v>
      </c>
      <c r="P25" s="13" t="s">
        <v>146</v>
      </c>
      <c r="Q25" s="19" t="s">
        <v>147</v>
      </c>
      <c r="T25" s="13">
        <v>6</v>
      </c>
    </row>
    <row r="26" spans="1:20" x14ac:dyDescent="0.2">
      <c r="A26" s="14" t="s">
        <v>98</v>
      </c>
      <c r="B26" s="15">
        <v>19200754</v>
      </c>
      <c r="C26" s="14" t="s">
        <v>99</v>
      </c>
      <c r="D26" s="16" t="s">
        <v>203</v>
      </c>
      <c r="E26" s="14" t="s">
        <v>100</v>
      </c>
      <c r="F26" s="13" t="str">
        <f>CONCATENATE(E26,6)</f>
        <v>00023433627K6</v>
      </c>
      <c r="G26" s="17">
        <v>45870</v>
      </c>
      <c r="H26" s="14" t="s">
        <v>49</v>
      </c>
      <c r="I26" s="14" t="s">
        <v>51</v>
      </c>
      <c r="J26" s="14" t="s">
        <v>91</v>
      </c>
      <c r="K26" s="18">
        <v>0.5</v>
      </c>
      <c r="L26" s="18">
        <v>1</v>
      </c>
      <c r="M26" s="18">
        <v>156.5</v>
      </c>
      <c r="N26" s="14" t="s">
        <v>53</v>
      </c>
      <c r="O26" s="17">
        <v>45839</v>
      </c>
      <c r="P26" s="13" t="s">
        <v>146</v>
      </c>
      <c r="Q26" s="19" t="s">
        <v>147</v>
      </c>
      <c r="T26" s="13">
        <v>6</v>
      </c>
    </row>
    <row r="27" spans="1:20" x14ac:dyDescent="0.2">
      <c r="A27" s="14" t="s">
        <v>103</v>
      </c>
      <c r="B27" s="15">
        <v>19586992</v>
      </c>
      <c r="C27" s="14" t="s">
        <v>104</v>
      </c>
      <c r="D27" s="16" t="s">
        <v>204</v>
      </c>
      <c r="E27" s="14" t="s">
        <v>105</v>
      </c>
      <c r="F27" s="13" t="str">
        <f>CONCATENATE(E27,6)</f>
        <v>00002095651K6</v>
      </c>
      <c r="G27" s="17">
        <v>45870</v>
      </c>
      <c r="H27" s="14" t="s">
        <v>49</v>
      </c>
      <c r="I27" s="14" t="s">
        <v>51</v>
      </c>
      <c r="J27" s="14" t="s">
        <v>91</v>
      </c>
      <c r="K27" s="18">
        <v>0.5</v>
      </c>
      <c r="L27" s="18">
        <v>1</v>
      </c>
      <c r="M27" s="18">
        <v>156.5</v>
      </c>
      <c r="N27" s="14" t="s">
        <v>53</v>
      </c>
      <c r="O27" s="17">
        <v>45839</v>
      </c>
      <c r="P27" s="13" t="s">
        <v>146</v>
      </c>
      <c r="Q27" s="19" t="s">
        <v>147</v>
      </c>
      <c r="T27" s="13">
        <v>6</v>
      </c>
    </row>
    <row r="28" spans="1:20" x14ac:dyDescent="0.2">
      <c r="A28" s="14" t="s">
        <v>65</v>
      </c>
      <c r="B28" s="15">
        <v>8307933</v>
      </c>
      <c r="C28" s="14" t="s">
        <v>66</v>
      </c>
      <c r="D28" s="16" t="s">
        <v>197</v>
      </c>
      <c r="E28" s="14" t="s">
        <v>67</v>
      </c>
      <c r="F28" s="13" t="str">
        <f>CONCATENATE(E28,9)</f>
        <v>00023423985K9</v>
      </c>
      <c r="G28" s="17">
        <v>45901</v>
      </c>
      <c r="H28" s="14" t="s">
        <v>60</v>
      </c>
      <c r="I28" s="14" t="s">
        <v>51</v>
      </c>
      <c r="J28" s="14" t="s">
        <v>69</v>
      </c>
      <c r="K28" s="18">
        <v>0.42</v>
      </c>
      <c r="L28" s="18">
        <v>22.92</v>
      </c>
      <c r="M28" s="18">
        <v>22.92</v>
      </c>
      <c r="N28" s="14" t="s">
        <v>53</v>
      </c>
      <c r="O28" s="17">
        <v>45870</v>
      </c>
      <c r="P28" s="13" t="s">
        <v>142</v>
      </c>
    </row>
  </sheetData>
  <sortState xmlns:xlrd2="http://schemas.microsoft.com/office/spreadsheetml/2017/richdata2" ref="A2:AR28">
    <sortCondition ref="A2:A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1AFD-B0E7-4C18-80EF-E0F59AC3C6F1}">
  <dimension ref="A1:F27"/>
  <sheetViews>
    <sheetView tabSelected="1" workbookViewId="0">
      <selection activeCell="F1" sqref="F1:F27"/>
    </sheetView>
  </sheetViews>
  <sheetFormatPr defaultRowHeight="12.75" x14ac:dyDescent="0.2"/>
  <cols>
    <col min="1" max="1" width="13.5703125" bestFit="1" customWidth="1"/>
    <col min="4" max="4" width="23.28515625" bestFit="1" customWidth="1"/>
  </cols>
  <sheetData>
    <row r="1" spans="1:6" x14ac:dyDescent="0.2">
      <c r="A1" s="4" t="s">
        <v>44</v>
      </c>
      <c r="B1" t="str">
        <f>CONCATENATE(A1,6)</f>
        <v>00020805683K6</v>
      </c>
      <c r="D1" s="4" t="s">
        <v>152</v>
      </c>
      <c r="E1" t="s">
        <v>153</v>
      </c>
      <c r="F1" t="str">
        <f>CONCATENATE(E1," ",D1)</f>
        <v>LARRY JOHN</v>
      </c>
    </row>
    <row r="2" spans="1:6" x14ac:dyDescent="0.2">
      <c r="A2" s="4" t="s">
        <v>58</v>
      </c>
      <c r="B2" t="str">
        <f t="shared" ref="B2:B3" si="0">CONCATENATE(A2,6)</f>
        <v>00023424272K6</v>
      </c>
      <c r="D2" s="4" t="s">
        <v>154</v>
      </c>
      <c r="E2" t="s">
        <v>155</v>
      </c>
      <c r="F2" t="str">
        <f t="shared" ref="F2:F27" si="1">CONCATENATE(E2," ",D2)</f>
        <v>THOMAS BOYLE</v>
      </c>
    </row>
    <row r="3" spans="1:6" x14ac:dyDescent="0.2">
      <c r="A3" s="4" t="s">
        <v>63</v>
      </c>
      <c r="B3" t="str">
        <f t="shared" si="0"/>
        <v>00023435027K6</v>
      </c>
      <c r="D3" s="4" t="s">
        <v>156</v>
      </c>
      <c r="E3" t="s">
        <v>157</v>
      </c>
      <c r="F3" t="str">
        <f t="shared" si="1"/>
        <v>HEIDI NUTTLE</v>
      </c>
    </row>
    <row r="4" spans="1:6" x14ac:dyDescent="0.2">
      <c r="A4" s="8" t="s">
        <v>67</v>
      </c>
      <c r="B4" t="str">
        <f>CONCATENATE(A4,9)</f>
        <v>00023423985K9</v>
      </c>
      <c r="D4" s="11" t="s">
        <v>193</v>
      </c>
      <c r="E4" s="10" t="s">
        <v>158</v>
      </c>
      <c r="F4" t="str">
        <f t="shared" si="1"/>
        <v>TERSCH VON TERSCH</v>
      </c>
    </row>
    <row r="5" spans="1:6" x14ac:dyDescent="0.2">
      <c r="A5" s="4" t="s">
        <v>73</v>
      </c>
      <c r="B5" t="str">
        <f t="shared" ref="B5:B18" si="2">CONCATENATE(A5,6)</f>
        <v>00023429364K6</v>
      </c>
      <c r="D5" s="4" t="s">
        <v>159</v>
      </c>
      <c r="E5" t="s">
        <v>160</v>
      </c>
      <c r="F5" t="str">
        <f t="shared" si="1"/>
        <v>SHEILA WILD</v>
      </c>
    </row>
    <row r="6" spans="1:6" x14ac:dyDescent="0.2">
      <c r="A6" s="4" t="s">
        <v>77</v>
      </c>
      <c r="B6" t="str">
        <f t="shared" si="2"/>
        <v>00023184051K6</v>
      </c>
      <c r="D6" s="4" t="s">
        <v>161</v>
      </c>
      <c r="E6" t="s">
        <v>162</v>
      </c>
      <c r="F6" t="str">
        <f t="shared" si="1"/>
        <v>JENNIFER BOYD</v>
      </c>
    </row>
    <row r="7" spans="1:6" x14ac:dyDescent="0.2">
      <c r="A7" s="4" t="s">
        <v>77</v>
      </c>
      <c r="B7" t="str">
        <f t="shared" si="2"/>
        <v>00023184051K6</v>
      </c>
      <c r="D7" s="4" t="s">
        <v>161</v>
      </c>
      <c r="E7" t="s">
        <v>162</v>
      </c>
      <c r="F7" t="str">
        <f t="shared" si="1"/>
        <v>JENNIFER BOYD</v>
      </c>
    </row>
    <row r="8" spans="1:6" x14ac:dyDescent="0.2">
      <c r="A8" s="4" t="s">
        <v>77</v>
      </c>
      <c r="B8" t="str">
        <f t="shared" si="2"/>
        <v>00023184051K6</v>
      </c>
      <c r="D8" s="4" t="s">
        <v>161</v>
      </c>
      <c r="E8" t="s">
        <v>162</v>
      </c>
      <c r="F8" t="str">
        <f t="shared" si="1"/>
        <v>JENNIFER BOYD</v>
      </c>
    </row>
    <row r="9" spans="1:6" x14ac:dyDescent="0.2">
      <c r="A9" s="4" t="s">
        <v>85</v>
      </c>
      <c r="B9" t="str">
        <f t="shared" si="2"/>
        <v>00023431107K6</v>
      </c>
      <c r="D9" s="4" t="s">
        <v>163</v>
      </c>
      <c r="E9" t="s">
        <v>164</v>
      </c>
      <c r="F9" t="str">
        <f t="shared" si="1"/>
        <v>FRANK BLACKWELL</v>
      </c>
    </row>
    <row r="10" spans="1:6" x14ac:dyDescent="0.2">
      <c r="A10" s="4" t="s">
        <v>89</v>
      </c>
      <c r="B10" t="str">
        <f t="shared" si="2"/>
        <v>00023257863K6</v>
      </c>
      <c r="D10" s="4" t="s">
        <v>165</v>
      </c>
      <c r="E10" t="s">
        <v>166</v>
      </c>
      <c r="F10" t="str">
        <f t="shared" si="1"/>
        <v>TEENA ROSS</v>
      </c>
    </row>
    <row r="11" spans="1:6" x14ac:dyDescent="0.2">
      <c r="A11" s="4" t="s">
        <v>89</v>
      </c>
      <c r="B11" t="str">
        <f t="shared" si="2"/>
        <v>00023257863K6</v>
      </c>
      <c r="D11" s="4" t="s">
        <v>165</v>
      </c>
      <c r="E11" t="s">
        <v>166</v>
      </c>
      <c r="F11" t="str">
        <f t="shared" si="1"/>
        <v>TEENA ROSS</v>
      </c>
    </row>
    <row r="12" spans="1:6" x14ac:dyDescent="0.2">
      <c r="A12" s="4" t="s">
        <v>89</v>
      </c>
      <c r="B12" t="str">
        <f t="shared" si="2"/>
        <v>00023257863K6</v>
      </c>
      <c r="D12" s="4" t="s">
        <v>165</v>
      </c>
      <c r="E12" t="s">
        <v>166</v>
      </c>
      <c r="F12" t="str">
        <f t="shared" si="1"/>
        <v>TEENA ROSS</v>
      </c>
    </row>
    <row r="13" spans="1:6" x14ac:dyDescent="0.2">
      <c r="A13" s="4" t="s">
        <v>95</v>
      </c>
      <c r="B13" t="str">
        <f t="shared" si="2"/>
        <v>00023124079K6</v>
      </c>
      <c r="D13" s="4" t="s">
        <v>167</v>
      </c>
      <c r="E13" t="s">
        <v>168</v>
      </c>
      <c r="F13" t="str">
        <f t="shared" si="1"/>
        <v>PEGGY ALLEN</v>
      </c>
    </row>
    <row r="14" spans="1:6" x14ac:dyDescent="0.2">
      <c r="A14" s="4" t="s">
        <v>100</v>
      </c>
      <c r="B14" t="str">
        <f t="shared" si="2"/>
        <v>00023433627K6</v>
      </c>
      <c r="D14" s="4" t="s">
        <v>169</v>
      </c>
      <c r="E14" t="s">
        <v>170</v>
      </c>
      <c r="F14" t="str">
        <f t="shared" si="1"/>
        <v>TEOFILA CALINGA</v>
      </c>
    </row>
    <row r="15" spans="1:6" x14ac:dyDescent="0.2">
      <c r="A15" s="4" t="s">
        <v>105</v>
      </c>
      <c r="B15" t="str">
        <f t="shared" si="2"/>
        <v>00002095651K6</v>
      </c>
      <c r="D15" s="4" t="s">
        <v>171</v>
      </c>
      <c r="E15" t="s">
        <v>172</v>
      </c>
      <c r="F15" t="str">
        <f t="shared" si="1"/>
        <v>ELIZABETH CLARK</v>
      </c>
    </row>
    <row r="16" spans="1:6" x14ac:dyDescent="0.2">
      <c r="A16" s="4" t="s">
        <v>109</v>
      </c>
      <c r="B16" t="str">
        <f t="shared" si="2"/>
        <v>00000374418G6</v>
      </c>
      <c r="D16" s="4" t="s">
        <v>173</v>
      </c>
      <c r="E16" t="s">
        <v>174</v>
      </c>
      <c r="F16" t="str">
        <f t="shared" si="1"/>
        <v>EDNA HUPPERT</v>
      </c>
    </row>
    <row r="17" spans="1:6" x14ac:dyDescent="0.2">
      <c r="A17" s="4" t="s">
        <v>109</v>
      </c>
      <c r="B17" t="str">
        <f t="shared" si="2"/>
        <v>00000374418G6</v>
      </c>
      <c r="D17" s="4" t="s">
        <v>173</v>
      </c>
      <c r="E17" t="s">
        <v>174</v>
      </c>
      <c r="F17" t="str">
        <f t="shared" si="1"/>
        <v>EDNA HUPPERT</v>
      </c>
    </row>
    <row r="18" spans="1:6" x14ac:dyDescent="0.2">
      <c r="A18" s="7" t="s">
        <v>114</v>
      </c>
      <c r="B18" t="str">
        <f>CONCATENATE(A18,8)</f>
        <v>00000789641A8</v>
      </c>
      <c r="D18" s="7" t="s">
        <v>175</v>
      </c>
      <c r="E18" t="s">
        <v>176</v>
      </c>
      <c r="F18" t="str">
        <f t="shared" si="1"/>
        <v>DAVID SCHUBERT</v>
      </c>
    </row>
    <row r="19" spans="1:6" x14ac:dyDescent="0.2">
      <c r="A19" s="7" t="s">
        <v>120</v>
      </c>
      <c r="B19" t="str">
        <f t="shared" ref="B19:B21" si="3">CONCATENATE(A19,8)</f>
        <v>00000828881A8</v>
      </c>
      <c r="D19" s="7" t="s">
        <v>177</v>
      </c>
      <c r="E19" t="s">
        <v>178</v>
      </c>
      <c r="F19" t="str">
        <f t="shared" si="1"/>
        <v>KAREN CARDOSI</v>
      </c>
    </row>
    <row r="20" spans="1:6" x14ac:dyDescent="0.2">
      <c r="A20" s="7" t="s">
        <v>122</v>
      </c>
      <c r="B20" t="str">
        <f t="shared" si="3"/>
        <v>00000839470A8</v>
      </c>
      <c r="D20" s="7" t="s">
        <v>179</v>
      </c>
      <c r="E20" t="s">
        <v>180</v>
      </c>
      <c r="F20" t="str">
        <f t="shared" si="1"/>
        <v>DEBRA MILLER</v>
      </c>
    </row>
    <row r="21" spans="1:6" x14ac:dyDescent="0.2">
      <c r="A21" s="7" t="s">
        <v>122</v>
      </c>
      <c r="B21" t="str">
        <f t="shared" si="3"/>
        <v>00000839470A8</v>
      </c>
      <c r="D21" s="7" t="s">
        <v>179</v>
      </c>
      <c r="E21" t="s">
        <v>180</v>
      </c>
      <c r="F21" t="str">
        <f t="shared" si="1"/>
        <v>DEBRA MILLER</v>
      </c>
    </row>
    <row r="22" spans="1:6" x14ac:dyDescent="0.2">
      <c r="A22" s="9">
        <v>9030509330</v>
      </c>
      <c r="B22" t="str">
        <f>CONCATENATE(A22,4)</f>
        <v>90305093304</v>
      </c>
      <c r="D22" s="6" t="s">
        <v>181</v>
      </c>
      <c r="E22" t="s">
        <v>182</v>
      </c>
      <c r="F22" t="str">
        <f t="shared" si="1"/>
        <v>Gerald Urish</v>
      </c>
    </row>
    <row r="23" spans="1:6" x14ac:dyDescent="0.2">
      <c r="A23" s="9">
        <v>9030582430</v>
      </c>
      <c r="B23" t="str">
        <f t="shared" ref="B23:B27" si="4">CONCATENATE(A23,4)</f>
        <v>90305824304</v>
      </c>
      <c r="D23" s="6" t="s">
        <v>183</v>
      </c>
      <c r="E23" t="s">
        <v>184</v>
      </c>
      <c r="F23" t="str">
        <f t="shared" si="1"/>
        <v>Laurie Round</v>
      </c>
    </row>
    <row r="24" spans="1:6" x14ac:dyDescent="0.2">
      <c r="A24" s="9">
        <v>9030651770</v>
      </c>
      <c r="B24" t="str">
        <f t="shared" si="4"/>
        <v>90306517704</v>
      </c>
      <c r="D24" s="6" t="s">
        <v>185</v>
      </c>
      <c r="E24" t="s">
        <v>186</v>
      </c>
      <c r="F24" t="str">
        <f t="shared" si="1"/>
        <v>Thomas Thompson</v>
      </c>
    </row>
    <row r="25" spans="1:6" x14ac:dyDescent="0.2">
      <c r="A25" s="9">
        <v>9030652040</v>
      </c>
      <c r="B25" t="str">
        <f t="shared" si="4"/>
        <v>90306520404</v>
      </c>
      <c r="D25" s="6" t="s">
        <v>187</v>
      </c>
      <c r="E25" t="s">
        <v>188</v>
      </c>
      <c r="F25" t="str">
        <f t="shared" si="1"/>
        <v>Nancy Dauer</v>
      </c>
    </row>
    <row r="26" spans="1:6" x14ac:dyDescent="0.2">
      <c r="A26" s="9">
        <v>9030719950</v>
      </c>
      <c r="B26" t="str">
        <f t="shared" si="4"/>
        <v>90307199504</v>
      </c>
      <c r="D26" s="6" t="s">
        <v>189</v>
      </c>
      <c r="E26" t="s">
        <v>190</v>
      </c>
      <c r="F26" t="str">
        <f t="shared" si="1"/>
        <v>Mary Boma</v>
      </c>
    </row>
    <row r="27" spans="1:6" x14ac:dyDescent="0.2">
      <c r="A27" s="9">
        <v>9030115330</v>
      </c>
      <c r="B27" t="str">
        <f t="shared" si="4"/>
        <v>90301153304</v>
      </c>
      <c r="D27" s="6" t="s">
        <v>191</v>
      </c>
      <c r="E27" t="s">
        <v>192</v>
      </c>
      <c r="F27" t="str">
        <f t="shared" si="1"/>
        <v>Jon Rudden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2025-06-27T12:20:00Z</dcterms:created>
  <dcterms:modified xsi:type="dcterms:W3CDTF">2025-06-27T13:18:06Z</dcterms:modified>
</cp:coreProperties>
</file>