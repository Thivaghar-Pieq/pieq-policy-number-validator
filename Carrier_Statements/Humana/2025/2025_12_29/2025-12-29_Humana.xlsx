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Data_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ifKRM9Yc4d5+LEqOG3WjY2oe5M1ZjHu0+a+Nv0fm/Z0="/>
    </ext>
  </extLst>
</workbook>
</file>

<file path=xl/sharedStrings.xml><?xml version="1.0" encoding="utf-8"?>
<sst xmlns="http://schemas.openxmlformats.org/spreadsheetml/2006/main" count="1767" uniqueCount="246">
  <si>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</si>
  <si>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</si>
  <si>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</si>
  <si>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</si>
  <si>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</si>
  <si>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</si>
  <si>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</si>
  <si>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</si>
  <si>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</si>
  <si>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</si>
  <si>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</si>
  <si>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</si>
  <si>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</si>
  <si>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</si>
  <si>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</si>
  <si>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</si>
  <si>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</si>
  <si>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</si>
  <si>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</si>
  <si>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</si>
  <si>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</si>
  <si>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</si>
  <si>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</si>
  <si>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</si>
  <si>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</si>
  <si>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</si>
  <si>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</si>
  <si>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</si>
  <si>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</si>
  <si>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</si>
  <si>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</si>
  <si>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</si>
  <si>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</si>
  <si>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</si>
  <si>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</si>
  <si>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</si>
  <si>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</si>
  <si>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</si>
  <si>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</si>
  <si>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</si>
  <si>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</si>
  <si>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</si>
  <si>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TATRO MELISSA</t>
  </si>
  <si>
    <t>JMM COUNSELING PLLC</t>
  </si>
  <si>
    <t>000000416402</t>
  </si>
  <si>
    <t/>
  </si>
  <si>
    <t>GR</t>
  </si>
  <si>
    <t>EM</t>
  </si>
  <si>
    <t>JAN</t>
  </si>
  <si>
    <t>R</t>
  </si>
  <si>
    <t>DENTAL</t>
  </si>
  <si>
    <t>RENEWAL COMMISSIONS</t>
  </si>
  <si>
    <t>ARCM</t>
  </si>
  <si>
    <t>VISION</t>
  </si>
  <si>
    <t>HUNSBERGER ANTHONY J</t>
  </si>
  <si>
    <t>Hanahan Barbara</t>
  </si>
  <si>
    <t>9025228750</t>
  </si>
  <si>
    <t>IN</t>
  </si>
  <si>
    <t>CB</t>
  </si>
  <si>
    <t>COMPBENEFITS RENEWAL COMMISSION</t>
  </si>
  <si>
    <t>CRCM</t>
  </si>
  <si>
    <t>INSKIPT DEBORAH L</t>
  </si>
  <si>
    <t>BRACE TIMMY L</t>
  </si>
  <si>
    <t>00000871454A</t>
  </si>
  <si>
    <t>MS</t>
  </si>
  <si>
    <t>LV</t>
  </si>
  <si>
    <t>MEDICARE</t>
  </si>
  <si>
    <t>MED SUPP RENEWAL ACHIEVE</t>
  </si>
  <si>
    <t>MSRA</t>
  </si>
  <si>
    <t>MCCORKLE MICHELLE</t>
  </si>
  <si>
    <t>Danley Ryan</t>
  </si>
  <si>
    <t>9030925080</t>
  </si>
  <si>
    <t>F</t>
  </si>
  <si>
    <t>COMPBENEFITS FIRST YEAR COMMISSION</t>
  </si>
  <si>
    <t>CRCF</t>
  </si>
  <si>
    <t>Estakhri Hengameh</t>
  </si>
  <si>
    <t>9030969880</t>
  </si>
  <si>
    <t>GONZALEZ LENSIE</t>
  </si>
  <si>
    <t>JENKINS ANNA B</t>
  </si>
  <si>
    <t>00001077887A</t>
  </si>
  <si>
    <t>MED SUPP ANNUALIZED STANDARD</t>
  </si>
  <si>
    <t>MSAS</t>
  </si>
  <si>
    <t>DUNAVANT MICHAEL</t>
  </si>
  <si>
    <t>Urish Gerald</t>
  </si>
  <si>
    <t>9030509330</t>
  </si>
  <si>
    <t>Gambetti Brianna</t>
  </si>
  <si>
    <t>9030544330</t>
  </si>
  <si>
    <t>9030544350</t>
  </si>
  <si>
    <t>Taylor David</t>
  </si>
  <si>
    <t>9030558330</t>
  </si>
  <si>
    <t>Shaw Robert</t>
  </si>
  <si>
    <t>9030572460</t>
  </si>
  <si>
    <t>Sisco Eric</t>
  </si>
  <si>
    <t>9030577770</t>
  </si>
  <si>
    <t>Round Laurie</t>
  </si>
  <si>
    <t>9030582430</t>
  </si>
  <si>
    <t>Ferris Ron</t>
  </si>
  <si>
    <t>9030645140</t>
  </si>
  <si>
    <t>Shirkey Victoria</t>
  </si>
  <si>
    <t>9030645560</t>
  </si>
  <si>
    <t>Thompson Thomas</t>
  </si>
  <si>
    <t>9030651770</t>
  </si>
  <si>
    <t>Dauer Nancy</t>
  </si>
  <si>
    <t>9030652040</t>
  </si>
  <si>
    <t>Sciutto John</t>
  </si>
  <si>
    <t>9030652540</t>
  </si>
  <si>
    <t>Simmons-Hutson Cheryl</t>
  </si>
  <si>
    <t>9030675550</t>
  </si>
  <si>
    <t>Bond Edward</t>
  </si>
  <si>
    <t>9030683010</t>
  </si>
  <si>
    <t>Sharad Arappat Shaji Fnu</t>
  </si>
  <si>
    <t>9030703310</t>
  </si>
  <si>
    <t>Boma Mary</t>
  </si>
  <si>
    <t>9030719950</t>
  </si>
  <si>
    <t>Kasprzak Kenneth</t>
  </si>
  <si>
    <t>9030782820</t>
  </si>
  <si>
    <t>Galloway Jacqueline</t>
  </si>
  <si>
    <t>9030840840</t>
  </si>
  <si>
    <t>Stokes Thomas</t>
  </si>
  <si>
    <t>9030895100</t>
  </si>
  <si>
    <t>Fewell Robin</t>
  </si>
  <si>
    <t>9030924610</t>
  </si>
  <si>
    <t>Rolfs Patrick</t>
  </si>
  <si>
    <t>9030982390</t>
  </si>
  <si>
    <t>Quiram Dana</t>
  </si>
  <si>
    <t>9030996000</t>
  </si>
  <si>
    <t>Alfrey Jackie</t>
  </si>
  <si>
    <t>9031044060</t>
  </si>
  <si>
    <t>Sleeper Nichole</t>
  </si>
  <si>
    <t>9031050480</t>
  </si>
  <si>
    <t>Trost James</t>
  </si>
  <si>
    <t>9031076870</t>
  </si>
  <si>
    <t>Holtz Michael</t>
  </si>
  <si>
    <t>9031094580</t>
  </si>
  <si>
    <t>Hill Patsy</t>
  </si>
  <si>
    <t>9031198320</t>
  </si>
  <si>
    <t>Heckmann Hannelore</t>
  </si>
  <si>
    <t>9031241060</t>
  </si>
  <si>
    <t>Forbes Linda</t>
  </si>
  <si>
    <t>9031246400</t>
  </si>
  <si>
    <t>Hancock Penny</t>
  </si>
  <si>
    <t>9031317020</t>
  </si>
  <si>
    <t>Proeber David</t>
  </si>
  <si>
    <t>9031323610</t>
  </si>
  <si>
    <t>Priaulx Thomas</t>
  </si>
  <si>
    <t>9031424040</t>
  </si>
  <si>
    <t>Freed Cynthia</t>
  </si>
  <si>
    <t>9031431760</t>
  </si>
  <si>
    <t>Dinges Virginia</t>
  </si>
  <si>
    <t>9031522530</t>
  </si>
  <si>
    <t>KOZACHECK ANNE MARIE</t>
  </si>
  <si>
    <t>Rudden Jon</t>
  </si>
  <si>
    <t>9030115330</t>
  </si>
  <si>
    <t>Hendricks Doug</t>
  </si>
  <si>
    <t>9031611870</t>
  </si>
  <si>
    <t>Hendricks Roger</t>
  </si>
  <si>
    <t>9031611900</t>
  </si>
  <si>
    <t>DEC</t>
  </si>
  <si>
    <t>INTERNAL COLLECTION-FLAT AMT</t>
  </si>
  <si>
    <t>ICFA</t>
  </si>
  <si>
    <t>Humana Dental &amp; Vision</t>
  </si>
  <si>
    <t>Urish</t>
  </si>
  <si>
    <t>Gerald</t>
  </si>
  <si>
    <t>Gambetti</t>
  </si>
  <si>
    <t>Brianna</t>
  </si>
  <si>
    <t>Taylor</t>
  </si>
  <si>
    <t>David</t>
  </si>
  <si>
    <t>Shaw</t>
  </si>
  <si>
    <t>Robert</t>
  </si>
  <si>
    <t>Sisco</t>
  </si>
  <si>
    <t>Eric</t>
  </si>
  <si>
    <t>Round</t>
  </si>
  <si>
    <t>Laurie</t>
  </si>
  <si>
    <t>Ferris</t>
  </si>
  <si>
    <t>Ron</t>
  </si>
  <si>
    <t>Shirkey</t>
  </si>
  <si>
    <t>Victoria</t>
  </si>
  <si>
    <t>Thompson</t>
  </si>
  <si>
    <t>Thomas</t>
  </si>
  <si>
    <t>Dauer</t>
  </si>
  <si>
    <t>Nancy</t>
  </si>
  <si>
    <t>Sciutto</t>
  </si>
  <si>
    <t>John</t>
  </si>
  <si>
    <t>Simmons-Hutson</t>
  </si>
  <si>
    <t>Cheryl</t>
  </si>
  <si>
    <t>Bond</t>
  </si>
  <si>
    <t>Edward</t>
  </si>
  <si>
    <t>Sharad</t>
  </si>
  <si>
    <t>Shaji</t>
  </si>
  <si>
    <t>Boma</t>
  </si>
  <si>
    <t>Mary</t>
  </si>
  <si>
    <t>Kasprzak</t>
  </si>
  <si>
    <t>Kenneth</t>
  </si>
  <si>
    <t>Galloway</t>
  </si>
  <si>
    <t>Jacqueline</t>
  </si>
  <si>
    <t>Stokes</t>
  </si>
  <si>
    <t>Fewell</t>
  </si>
  <si>
    <t>Robin</t>
  </si>
  <si>
    <t>Rolfs</t>
  </si>
  <si>
    <t>Patrick</t>
  </si>
  <si>
    <t>Quiram</t>
  </si>
  <si>
    <t>Dana</t>
  </si>
  <si>
    <t>Alfrey</t>
  </si>
  <si>
    <t>Jackie</t>
  </si>
  <si>
    <t>Sleeper</t>
  </si>
  <si>
    <t>Nichole</t>
  </si>
  <si>
    <t>Trost</t>
  </si>
  <si>
    <t>James</t>
  </si>
  <si>
    <t>Holtz</t>
  </si>
  <si>
    <t>Michael</t>
  </si>
  <si>
    <t>Hill</t>
  </si>
  <si>
    <t>Patsy</t>
  </si>
  <si>
    <t>Heckmann</t>
  </si>
  <si>
    <t>Hannelore</t>
  </si>
  <si>
    <t>Forbes</t>
  </si>
  <si>
    <t>Linda</t>
  </si>
  <si>
    <t>Hancock</t>
  </si>
  <si>
    <t>Penny</t>
  </si>
  <si>
    <t>Proeber</t>
  </si>
  <si>
    <t>Priaulx</t>
  </si>
  <si>
    <t>Freed</t>
  </si>
  <si>
    <t>Cynthia</t>
  </si>
  <si>
    <t>Dinges</t>
  </si>
  <si>
    <t>Virginia</t>
  </si>
  <si>
    <t>Humana 81+ AL, AZ, AR, GA, etc. All Except N OE &amp; UW</t>
  </si>
  <si>
    <t>JENKINS</t>
  </si>
  <si>
    <t>ANNA</t>
  </si>
  <si>
    <t>Hanahan</t>
  </si>
  <si>
    <t>Barbara</t>
  </si>
  <si>
    <t>Humana 65-80 AL, AZ, AR, GA, etc. All Except N OE &amp; UW</t>
  </si>
  <si>
    <t>BRACE</t>
  </si>
  <si>
    <t>TIMMY</t>
  </si>
  <si>
    <t>Humana MedSupp U65</t>
  </si>
  <si>
    <t>Hendricks</t>
  </si>
  <si>
    <t>Doug</t>
  </si>
  <si>
    <t>Humana Dental &amp; Vision 15%</t>
  </si>
  <si>
    <t>Roger</t>
  </si>
  <si>
    <t>Rudden</t>
  </si>
  <si>
    <t>Jon</t>
  </si>
  <si>
    <t>Danley</t>
  </si>
  <si>
    <t>Ryan</t>
  </si>
  <si>
    <t>Estakhri</t>
  </si>
  <si>
    <t>Hengameh</t>
  </si>
  <si>
    <t>Humana Group 2025</t>
  </si>
  <si>
    <t>JMM</t>
  </si>
  <si>
    <t>COUNSELING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</si>
</sst>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1" xfId="0" applyFont="1" applyNumberFormat="1"/>
    <xf borderId="0" fillId="0" fontId="2" numFmtId="14" xfId="0" applyFont="1" applyNumberFormat="1"/>
    <xf borderId="0" fillId="0" fontId="2" numFmtId="49" xfId="0" applyAlignment="1" applyFont="1" applyNumberFormat="1">
      <alignment horizontal="left" vertical="top"/>
    </xf>
    <xf borderId="0" fillId="0" fontId="2" numFmtId="2" xfId="0" applyFont="1" applyNumberFormat="1"/>
    <xf borderId="1" fillId="2" fontId="2" numFmtId="1" xfId="0" applyBorder="1" applyFill="1" applyFont="1" applyNumberFormat="1"/>
    <xf borderId="1" fillId="2" fontId="2" numFmtId="14" xfId="0" applyBorder="1" applyFont="1" applyNumberFormat="1"/>
    <xf borderId="1" fillId="2" fontId="2" numFmtId="49" xfId="0" applyAlignment="1" applyBorder="1" applyFont="1" applyNumberFormat="1">
      <alignment horizontal="left" vertical="top"/>
    </xf>
    <xf borderId="1" fillId="2" fontId="2" numFmtId="2" xfId="0" applyBorder="1" applyFont="1" applyNumberFormat="1"/>
    <xf borderId="1" fillId="3" fontId="2" numFmtId="49" xfId="0" applyAlignment="1" applyBorder="1" applyFill="1" applyFont="1" applyNumberFormat="1">
      <alignment horizontal="left" vertical="top"/>
    </xf>
    <xf borderId="1" fillId="3" fontId="2" numFmtId="1" xfId="0" applyBorder="1" applyFont="1" applyNumberFormat="1"/>
    <xf borderId="1" fillId="3" fontId="2" numFmtId="0" xfId="0" applyAlignment="1" applyBorder="1" applyFont="1">
      <alignment horizontal="left" vertical="top"/>
    </xf>
    <xf borderId="1" fillId="3" fontId="2" numFmtId="14" xfId="0" applyBorder="1" applyFont="1" applyNumberFormat="1"/>
    <xf borderId="1" fillId="3" fontId="2" numFmtId="2" xfId="0" applyBorder="1" applyFont="1" applyNumberFormat="1"/>
    <xf borderId="1" fillId="3" fontId="2" numFmtId="0" xfId="0" applyBorder="1" applyFont="1"/>
    <xf borderId="1" fillId="4" fontId="2" numFmtId="49" xfId="0" applyAlignment="1" applyBorder="1" applyFill="1" applyFont="1" applyNumberFormat="1">
      <alignment horizontal="left" vertical="top"/>
    </xf>
    <xf borderId="1" fillId="4" fontId="2" numFmtId="1" xfId="0" applyBorder="1" applyFont="1" applyNumberFormat="1"/>
    <xf borderId="1" fillId="4" fontId="2" numFmtId="14" xfId="0" applyBorder="1" applyFont="1" applyNumberFormat="1"/>
    <xf borderId="1" fillId="4" fontId="2" numFmtId="2" xfId="0" applyBorder="1" applyFont="1" applyNumberFormat="1"/>
    <xf borderId="1" fillId="4" fontId="2" numFmtId="0" xfId="0" applyBorder="1" applyFont="1"/>
    <xf borderId="1" fillId="4" fontId="2" numFmtId="0" xfId="0" applyAlignment="1" applyBorder="1" applyFont="1">
      <alignment horizontal="left" vertical="top"/>
    </xf>
    <xf borderId="1" fillId="2" fontId="2" numFmtId="0" xfId="0" applyAlignment="1" applyBorder="1" applyFont="1">
      <alignment horizontal="left" vertical="top"/>
    </xf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38"/>
    <col customWidth="1" min="3" max="3" width="24.75"/>
    <col customWidth="1" min="4" max="4" width="8.63"/>
    <col customWidth="1" min="5" max="5" width="28.63"/>
    <col customWidth="1" min="6" max="6" width="13.25"/>
    <col customWidth="1" min="7" max="7" width="12.38"/>
    <col customWidth="1" min="8" max="8" width="10.38"/>
    <col customWidth="1" min="9" max="10" width="9.63"/>
    <col customWidth="1" min="11" max="11" width="10.38"/>
    <col customWidth="1" min="12" max="14" width="11.38"/>
    <col customWidth="1" min="15" max="16" width="10.38"/>
    <col customWidth="1" min="17" max="17" width="5.75"/>
    <col customWidth="1" min="18" max="20" width="15.25"/>
    <col customWidth="1" min="21" max="21" width="11.38"/>
    <col customWidth="1" min="22" max="22" width="13.75"/>
    <col customWidth="1" min="23" max="23" width="9.63"/>
    <col customWidth="1" min="24" max="24" width="12.38"/>
    <col customWidth="1" min="25" max="25" width="15.25"/>
    <col customWidth="1" min="26" max="26" width="13.75"/>
    <col customWidth="1" min="27" max="27" width="30.38"/>
    <col customWidth="1" min="28" max="28" width="11.38"/>
    <col customWidth="1" min="29" max="29" width="12.63"/>
    <col customWidth="1" min="30" max="30" width="10.75"/>
    <col customWidth="1" min="31" max="31" width="9.75"/>
    <col customWidth="1" min="32" max="32" width="13.75"/>
    <col customWidth="1" min="33" max="33" width="13.25"/>
    <col customWidth="1" min="34" max="34" width="28.63"/>
    <col customWidth="1" min="35" max="35" width="13.25"/>
    <col customWidth="1" min="36" max="36" width="16.13"/>
    <col customWidth="1" min="37" max="37" width="16.0"/>
    <col customWidth="1" min="38" max="38" width="15.88"/>
    <col customWidth="1" min="39" max="39" width="11.38"/>
    <col customWidth="1" min="40" max="42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12.75" customHeight="1">
      <c r="A2" s="2">
        <v>1891456.0</v>
      </c>
      <c r="B2" s="3">
        <v>46020.0</v>
      </c>
      <c r="C2" s="4" t="s">
        <v>42</v>
      </c>
      <c r="D2" s="2">
        <v>1509841.0</v>
      </c>
      <c r="E2" s="4" t="s">
        <v>43</v>
      </c>
      <c r="F2" s="4" t="s">
        <v>44</v>
      </c>
      <c r="G2" s="4" t="s">
        <v>45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46023.0</v>
      </c>
      <c r="M2" s="4" t="s">
        <v>48</v>
      </c>
      <c r="N2" s="4" t="s">
        <v>45</v>
      </c>
      <c r="O2" s="4" t="s">
        <v>49</v>
      </c>
      <c r="P2" s="4" t="s">
        <v>49</v>
      </c>
      <c r="Q2" s="2">
        <v>3.0</v>
      </c>
      <c r="R2" s="2">
        <v>3.0</v>
      </c>
      <c r="S2" s="4" t="s">
        <v>50</v>
      </c>
      <c r="T2" s="4" t="s">
        <v>45</v>
      </c>
      <c r="U2" s="4" t="s">
        <v>45</v>
      </c>
      <c r="V2" s="5">
        <v>10.0</v>
      </c>
      <c r="W2" s="5">
        <v>191.1</v>
      </c>
      <c r="X2" s="5">
        <v>100.0</v>
      </c>
      <c r="Y2" s="5">
        <v>19.11</v>
      </c>
      <c r="Z2" s="4" t="s">
        <v>45</v>
      </c>
      <c r="AA2" s="5" t="s">
        <v>45</v>
      </c>
      <c r="AB2" s="4" t="s">
        <v>51</v>
      </c>
      <c r="AC2" s="4" t="s">
        <v>45</v>
      </c>
      <c r="AD2" s="5">
        <v>0.0</v>
      </c>
      <c r="AE2" s="4" t="s">
        <v>52</v>
      </c>
      <c r="AF2" s="3">
        <v>45658.0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45</v>
      </c>
      <c r="AO2" s="4" t="s">
        <v>45</v>
      </c>
      <c r="AP2" s="4" t="s">
        <v>45</v>
      </c>
    </row>
    <row r="3" ht="12.75" customHeight="1">
      <c r="A3" s="2">
        <v>1891456.0</v>
      </c>
      <c r="B3" s="3">
        <v>46020.0</v>
      </c>
      <c r="C3" s="4" t="s">
        <v>42</v>
      </c>
      <c r="D3" s="2">
        <v>1509841.0</v>
      </c>
      <c r="E3" s="4" t="s">
        <v>43</v>
      </c>
      <c r="F3" s="4" t="s">
        <v>44</v>
      </c>
      <c r="G3" s="4" t="s">
        <v>45</v>
      </c>
      <c r="H3" s="4" t="s">
        <v>45</v>
      </c>
      <c r="I3" s="4" t="s">
        <v>45</v>
      </c>
      <c r="J3" s="4" t="s">
        <v>46</v>
      </c>
      <c r="K3" s="4" t="s">
        <v>47</v>
      </c>
      <c r="L3" s="3">
        <v>46023.0</v>
      </c>
      <c r="M3" s="4" t="s">
        <v>48</v>
      </c>
      <c r="N3" s="4" t="s">
        <v>45</v>
      </c>
      <c r="O3" s="4" t="s">
        <v>49</v>
      </c>
      <c r="P3" s="4" t="s">
        <v>49</v>
      </c>
      <c r="Q3" s="2">
        <v>2.0</v>
      </c>
      <c r="R3" s="2">
        <v>60.0</v>
      </c>
      <c r="S3" s="4" t="s">
        <v>53</v>
      </c>
      <c r="T3" s="4" t="s">
        <v>45</v>
      </c>
      <c r="U3" s="4" t="s">
        <v>45</v>
      </c>
      <c r="V3" s="5">
        <v>10.0</v>
      </c>
      <c r="W3" s="5">
        <v>28.17</v>
      </c>
      <c r="X3" s="5">
        <v>100.0</v>
      </c>
      <c r="Y3" s="5">
        <v>2.82</v>
      </c>
      <c r="Z3" s="4" t="s">
        <v>45</v>
      </c>
      <c r="AA3" s="5" t="s">
        <v>45</v>
      </c>
      <c r="AB3" s="4" t="s">
        <v>51</v>
      </c>
      <c r="AC3" s="4" t="s">
        <v>45</v>
      </c>
      <c r="AD3" s="5">
        <v>0.0</v>
      </c>
      <c r="AE3" s="4" t="s">
        <v>52</v>
      </c>
      <c r="AF3" s="3">
        <v>45658.0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45</v>
      </c>
      <c r="AO3" s="4" t="s">
        <v>45</v>
      </c>
      <c r="AP3" s="4" t="s">
        <v>45</v>
      </c>
    </row>
    <row r="4" ht="12.75" customHeight="1">
      <c r="A4" s="2">
        <v>1891456.0</v>
      </c>
      <c r="B4" s="3">
        <v>46020.0</v>
      </c>
      <c r="C4" s="4" t="s">
        <v>54</v>
      </c>
      <c r="D4" s="2">
        <v>1510420.0</v>
      </c>
      <c r="E4" s="4" t="s">
        <v>55</v>
      </c>
      <c r="F4" s="4" t="s">
        <v>56</v>
      </c>
      <c r="G4" s="4" t="s">
        <v>45</v>
      </c>
      <c r="H4" s="4" t="s">
        <v>45</v>
      </c>
      <c r="I4" s="4" t="s">
        <v>45</v>
      </c>
      <c r="J4" s="4" t="s">
        <v>57</v>
      </c>
      <c r="K4" s="4" t="s">
        <v>58</v>
      </c>
      <c r="L4" s="3">
        <v>46023.0</v>
      </c>
      <c r="M4" s="4" t="s">
        <v>48</v>
      </c>
      <c r="N4" s="4" t="s">
        <v>45</v>
      </c>
      <c r="O4" s="4" t="s">
        <v>49</v>
      </c>
      <c r="P4" s="4" t="s">
        <v>49</v>
      </c>
      <c r="Q4" s="2">
        <v>1.0</v>
      </c>
      <c r="R4" s="2">
        <v>3.0</v>
      </c>
      <c r="S4" s="4" t="s">
        <v>50</v>
      </c>
      <c r="T4" s="4" t="s">
        <v>45</v>
      </c>
      <c r="U4" s="4" t="s">
        <v>45</v>
      </c>
      <c r="V4" s="5">
        <v>10.0</v>
      </c>
      <c r="W4" s="5">
        <v>52.78</v>
      </c>
      <c r="X4" s="5">
        <v>100.0</v>
      </c>
      <c r="Y4" s="5">
        <v>5.28</v>
      </c>
      <c r="Z4" s="4" t="s">
        <v>45</v>
      </c>
      <c r="AA4" s="5" t="s">
        <v>45</v>
      </c>
      <c r="AB4" s="4" t="s">
        <v>59</v>
      </c>
      <c r="AC4" s="4" t="s">
        <v>45</v>
      </c>
      <c r="AD4" s="5">
        <v>0.0</v>
      </c>
      <c r="AE4" s="4" t="s">
        <v>60</v>
      </c>
      <c r="AF4" s="3">
        <v>44586.0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45</v>
      </c>
      <c r="AO4" s="4" t="s">
        <v>45</v>
      </c>
      <c r="AP4" s="4" t="s">
        <v>45</v>
      </c>
    </row>
    <row r="5" ht="12.75" customHeight="1">
      <c r="A5" s="2">
        <v>1891456.0</v>
      </c>
      <c r="B5" s="3">
        <v>46020.0</v>
      </c>
      <c r="C5" s="4" t="s">
        <v>61</v>
      </c>
      <c r="D5" s="2">
        <v>1673763.0</v>
      </c>
      <c r="E5" s="4" t="s">
        <v>62</v>
      </c>
      <c r="F5" s="4" t="s">
        <v>63</v>
      </c>
      <c r="G5" s="4" t="s">
        <v>45</v>
      </c>
      <c r="H5" s="4" t="s">
        <v>45</v>
      </c>
      <c r="I5" s="4" t="s">
        <v>45</v>
      </c>
      <c r="J5" s="4" t="s">
        <v>64</v>
      </c>
      <c r="K5" s="4" t="s">
        <v>65</v>
      </c>
      <c r="L5" s="3">
        <v>46023.0</v>
      </c>
      <c r="M5" s="4" t="s">
        <v>48</v>
      </c>
      <c r="N5" s="4" t="s">
        <v>45</v>
      </c>
      <c r="O5" s="4" t="s">
        <v>49</v>
      </c>
      <c r="P5" s="4" t="s">
        <v>49</v>
      </c>
      <c r="Q5" s="2">
        <v>1.0</v>
      </c>
      <c r="R5" s="2">
        <v>17.0</v>
      </c>
      <c r="S5" s="4" t="s">
        <v>66</v>
      </c>
      <c r="T5" s="4" t="s">
        <v>45</v>
      </c>
      <c r="U5" s="4" t="s">
        <v>45</v>
      </c>
      <c r="V5" s="5">
        <v>22.0</v>
      </c>
      <c r="W5" s="5">
        <v>138.55</v>
      </c>
      <c r="X5" s="5">
        <v>100.0</v>
      </c>
      <c r="Y5" s="5">
        <v>30.48</v>
      </c>
      <c r="Z5" s="5">
        <v>0.0</v>
      </c>
      <c r="AA5" s="5">
        <v>0.0</v>
      </c>
      <c r="AB5" s="4" t="s">
        <v>67</v>
      </c>
      <c r="AC5" s="4" t="s">
        <v>45</v>
      </c>
      <c r="AD5" s="5">
        <v>0.0</v>
      </c>
      <c r="AE5" s="4" t="s">
        <v>68</v>
      </c>
      <c r="AF5" s="3">
        <v>45566.0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45</v>
      </c>
      <c r="AO5" s="4" t="s">
        <v>45</v>
      </c>
      <c r="AP5" s="4" t="s">
        <v>45</v>
      </c>
    </row>
    <row r="6" ht="12.75" customHeight="1">
      <c r="A6" s="2">
        <v>1891456.0</v>
      </c>
      <c r="B6" s="3">
        <v>46020.0</v>
      </c>
      <c r="C6" s="4" t="s">
        <v>69</v>
      </c>
      <c r="D6" s="2">
        <v>1755893.0</v>
      </c>
      <c r="E6" s="4" t="s">
        <v>70</v>
      </c>
      <c r="F6" s="4" t="s">
        <v>71</v>
      </c>
      <c r="G6" s="4" t="s">
        <v>45</v>
      </c>
      <c r="H6" s="4" t="s">
        <v>45</v>
      </c>
      <c r="I6" s="4" t="s">
        <v>45</v>
      </c>
      <c r="J6" s="4" t="s">
        <v>57</v>
      </c>
      <c r="K6" s="4" t="s">
        <v>58</v>
      </c>
      <c r="L6" s="3">
        <v>46023.0</v>
      </c>
      <c r="M6" s="4" t="s">
        <v>48</v>
      </c>
      <c r="N6" s="4" t="s">
        <v>45</v>
      </c>
      <c r="O6" s="4" t="s">
        <v>72</v>
      </c>
      <c r="P6" s="4" t="s">
        <v>49</v>
      </c>
      <c r="Q6" s="2">
        <v>2.0</v>
      </c>
      <c r="R6" s="2">
        <v>60.0</v>
      </c>
      <c r="S6" s="4" t="s">
        <v>53</v>
      </c>
      <c r="T6" s="4" t="s">
        <v>45</v>
      </c>
      <c r="U6" s="4" t="s">
        <v>45</v>
      </c>
      <c r="V6" s="5">
        <v>10.0</v>
      </c>
      <c r="W6" s="5">
        <v>23.99</v>
      </c>
      <c r="X6" s="5">
        <v>100.0</v>
      </c>
      <c r="Y6" s="5">
        <v>2.4</v>
      </c>
      <c r="Z6" s="4" t="s">
        <v>45</v>
      </c>
      <c r="AA6" s="5" t="s">
        <v>45</v>
      </c>
      <c r="AB6" s="4" t="s">
        <v>73</v>
      </c>
      <c r="AC6" s="4" t="s">
        <v>45</v>
      </c>
      <c r="AD6" s="5">
        <v>0.0</v>
      </c>
      <c r="AE6" s="4" t="s">
        <v>74</v>
      </c>
      <c r="AF6" s="3">
        <v>45871.0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45</v>
      </c>
      <c r="AO6" s="4" t="s">
        <v>45</v>
      </c>
      <c r="AP6" s="4" t="s">
        <v>45</v>
      </c>
    </row>
    <row r="7" ht="12.75" customHeight="1">
      <c r="A7" s="2">
        <v>1891456.0</v>
      </c>
      <c r="B7" s="3">
        <v>46020.0</v>
      </c>
      <c r="C7" s="4" t="s">
        <v>69</v>
      </c>
      <c r="D7" s="2">
        <v>1755893.0</v>
      </c>
      <c r="E7" s="4" t="s">
        <v>75</v>
      </c>
      <c r="F7" s="4" t="s">
        <v>76</v>
      </c>
      <c r="G7" s="4" t="s">
        <v>45</v>
      </c>
      <c r="H7" s="4" t="s">
        <v>45</v>
      </c>
      <c r="I7" s="4" t="s">
        <v>45</v>
      </c>
      <c r="J7" s="4" t="s">
        <v>57</v>
      </c>
      <c r="K7" s="4" t="s">
        <v>58</v>
      </c>
      <c r="L7" s="3">
        <v>46023.0</v>
      </c>
      <c r="M7" s="4" t="s">
        <v>48</v>
      </c>
      <c r="N7" s="4" t="s">
        <v>45</v>
      </c>
      <c r="O7" s="4" t="s">
        <v>72</v>
      </c>
      <c r="P7" s="4" t="s">
        <v>49</v>
      </c>
      <c r="Q7" s="2">
        <v>1.0</v>
      </c>
      <c r="R7" s="2">
        <v>60.0</v>
      </c>
      <c r="S7" s="4" t="s">
        <v>53</v>
      </c>
      <c r="T7" s="4" t="s">
        <v>45</v>
      </c>
      <c r="U7" s="4" t="s">
        <v>45</v>
      </c>
      <c r="V7" s="5">
        <v>10.0</v>
      </c>
      <c r="W7" s="5">
        <v>12.99</v>
      </c>
      <c r="X7" s="5">
        <v>100.0</v>
      </c>
      <c r="Y7" s="5">
        <v>1.3</v>
      </c>
      <c r="Z7" s="4" t="s">
        <v>45</v>
      </c>
      <c r="AA7" s="5" t="s">
        <v>45</v>
      </c>
      <c r="AB7" s="4" t="s">
        <v>73</v>
      </c>
      <c r="AC7" s="4" t="s">
        <v>45</v>
      </c>
      <c r="AD7" s="5">
        <v>0.0</v>
      </c>
      <c r="AE7" s="4" t="s">
        <v>74</v>
      </c>
      <c r="AF7" s="3">
        <v>45879.0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45</v>
      </c>
      <c r="AO7" s="4" t="s">
        <v>45</v>
      </c>
      <c r="AP7" s="4" t="s">
        <v>45</v>
      </c>
    </row>
    <row r="8" ht="12.75" customHeight="1">
      <c r="A8" s="2">
        <v>1891456.0</v>
      </c>
      <c r="B8" s="3">
        <v>46020.0</v>
      </c>
      <c r="C8" s="4" t="s">
        <v>77</v>
      </c>
      <c r="D8" s="2">
        <v>1829636.0</v>
      </c>
      <c r="E8" s="4" t="s">
        <v>78</v>
      </c>
      <c r="F8" s="4" t="s">
        <v>79</v>
      </c>
      <c r="G8" s="4" t="s">
        <v>45</v>
      </c>
      <c r="H8" s="4" t="s">
        <v>45</v>
      </c>
      <c r="I8" s="4" t="s">
        <v>45</v>
      </c>
      <c r="J8" s="4" t="s">
        <v>64</v>
      </c>
      <c r="K8" s="4" t="s">
        <v>65</v>
      </c>
      <c r="L8" s="3">
        <v>46023.0</v>
      </c>
      <c r="M8" s="4" t="s">
        <v>48</v>
      </c>
      <c r="N8" s="4" t="s">
        <v>45</v>
      </c>
      <c r="O8" s="4" t="s">
        <v>72</v>
      </c>
      <c r="P8" s="4" t="s">
        <v>49</v>
      </c>
      <c r="Q8" s="2">
        <v>1.0</v>
      </c>
      <c r="R8" s="2">
        <v>17.0</v>
      </c>
      <c r="S8" s="4" t="s">
        <v>66</v>
      </c>
      <c r="T8" s="4" t="s">
        <v>45</v>
      </c>
      <c r="U8" s="4" t="s">
        <v>45</v>
      </c>
      <c r="V8" s="5">
        <v>11.0</v>
      </c>
      <c r="W8" s="5">
        <v>2975.88</v>
      </c>
      <c r="X8" s="5">
        <v>100.0</v>
      </c>
      <c r="Y8" s="5">
        <v>327.36</v>
      </c>
      <c r="Z8" s="5">
        <v>0.0</v>
      </c>
      <c r="AA8" s="5">
        <v>0.0</v>
      </c>
      <c r="AB8" s="4" t="s">
        <v>80</v>
      </c>
      <c r="AC8" s="4" t="s">
        <v>45</v>
      </c>
      <c r="AD8" s="5">
        <v>0.0</v>
      </c>
      <c r="AE8" s="4" t="s">
        <v>81</v>
      </c>
      <c r="AF8" s="3">
        <v>46023.0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45</v>
      </c>
      <c r="AO8" s="4" t="s">
        <v>45</v>
      </c>
      <c r="AP8" s="4" t="s">
        <v>45</v>
      </c>
    </row>
    <row r="9" ht="12.75" customHeight="1">
      <c r="A9" s="2">
        <v>1891456.0</v>
      </c>
      <c r="B9" s="3">
        <v>46020.0</v>
      </c>
      <c r="C9" s="4" t="s">
        <v>82</v>
      </c>
      <c r="D9" s="2">
        <v>1831491.0</v>
      </c>
      <c r="E9" s="4" t="s">
        <v>83</v>
      </c>
      <c r="F9" s="4" t="s">
        <v>84</v>
      </c>
      <c r="G9" s="4" t="s">
        <v>45</v>
      </c>
      <c r="H9" s="4" t="s">
        <v>45</v>
      </c>
      <c r="I9" s="4" t="s">
        <v>45</v>
      </c>
      <c r="J9" s="4" t="s">
        <v>57</v>
      </c>
      <c r="K9" s="4" t="s">
        <v>58</v>
      </c>
      <c r="L9" s="3">
        <v>46023.0</v>
      </c>
      <c r="M9" s="4" t="s">
        <v>48</v>
      </c>
      <c r="N9" s="4" t="s">
        <v>45</v>
      </c>
      <c r="O9" s="4" t="s">
        <v>72</v>
      </c>
      <c r="P9" s="4" t="s">
        <v>49</v>
      </c>
      <c r="Q9" s="2">
        <v>2.0</v>
      </c>
      <c r="R9" s="2">
        <v>60.0</v>
      </c>
      <c r="S9" s="4" t="s">
        <v>53</v>
      </c>
      <c r="T9" s="4" t="s">
        <v>45</v>
      </c>
      <c r="U9" s="4" t="s">
        <v>45</v>
      </c>
      <c r="V9" s="5">
        <v>10.0</v>
      </c>
      <c r="W9" s="5">
        <v>26.88</v>
      </c>
      <c r="X9" s="5">
        <v>100.0</v>
      </c>
      <c r="Y9" s="5">
        <v>2.69</v>
      </c>
      <c r="Z9" s="4" t="s">
        <v>45</v>
      </c>
      <c r="AA9" s="5" t="s">
        <v>45</v>
      </c>
      <c r="AB9" s="4" t="s">
        <v>73</v>
      </c>
      <c r="AC9" s="4" t="s">
        <v>45</v>
      </c>
      <c r="AD9" s="5">
        <v>0.0</v>
      </c>
      <c r="AE9" s="4" t="s">
        <v>74</v>
      </c>
      <c r="AF9" s="3">
        <v>45808.0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45</v>
      </c>
      <c r="AO9" s="4" t="s">
        <v>45</v>
      </c>
      <c r="AP9" s="4" t="s">
        <v>45</v>
      </c>
    </row>
    <row r="10" ht="12.75" customHeight="1">
      <c r="A10" s="2">
        <v>1891456.0</v>
      </c>
      <c r="B10" s="3">
        <v>46020.0</v>
      </c>
      <c r="C10" s="4" t="s">
        <v>82</v>
      </c>
      <c r="D10" s="2">
        <v>1831491.0</v>
      </c>
      <c r="E10" s="4" t="s">
        <v>85</v>
      </c>
      <c r="F10" s="4" t="s">
        <v>86</v>
      </c>
      <c r="G10" s="4" t="s">
        <v>45</v>
      </c>
      <c r="H10" s="4" t="s">
        <v>45</v>
      </c>
      <c r="I10" s="4" t="s">
        <v>45</v>
      </c>
      <c r="J10" s="4" t="s">
        <v>57</v>
      </c>
      <c r="K10" s="4" t="s">
        <v>58</v>
      </c>
      <c r="L10" s="3">
        <v>46023.0</v>
      </c>
      <c r="M10" s="4" t="s">
        <v>48</v>
      </c>
      <c r="N10" s="4" t="s">
        <v>45</v>
      </c>
      <c r="O10" s="4" t="s">
        <v>72</v>
      </c>
      <c r="P10" s="4" t="s">
        <v>49</v>
      </c>
      <c r="Q10" s="2">
        <v>2.0</v>
      </c>
      <c r="R10" s="2">
        <v>60.0</v>
      </c>
      <c r="S10" s="4" t="s">
        <v>53</v>
      </c>
      <c r="T10" s="4" t="s">
        <v>45</v>
      </c>
      <c r="U10" s="4" t="s">
        <v>45</v>
      </c>
      <c r="V10" s="5">
        <v>10.0</v>
      </c>
      <c r="W10" s="5">
        <v>26.88</v>
      </c>
      <c r="X10" s="5">
        <v>100.0</v>
      </c>
      <c r="Y10" s="5">
        <v>2.69</v>
      </c>
      <c r="Z10" s="4" t="s">
        <v>45</v>
      </c>
      <c r="AA10" s="5" t="s">
        <v>45</v>
      </c>
      <c r="AB10" s="4" t="s">
        <v>73</v>
      </c>
      <c r="AC10" s="4" t="s">
        <v>45</v>
      </c>
      <c r="AD10" s="5">
        <v>0.0</v>
      </c>
      <c r="AE10" s="4" t="s">
        <v>74</v>
      </c>
      <c r="AF10" s="3">
        <v>45808.0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45</v>
      </c>
      <c r="AO10" s="4" t="s">
        <v>45</v>
      </c>
      <c r="AP10" s="4" t="s">
        <v>45</v>
      </c>
    </row>
    <row r="11" ht="12.75" customHeight="1">
      <c r="A11" s="2">
        <v>1891456.0</v>
      </c>
      <c r="B11" s="3">
        <v>46020.0</v>
      </c>
      <c r="C11" s="4" t="s">
        <v>82</v>
      </c>
      <c r="D11" s="2">
        <v>1831491.0</v>
      </c>
      <c r="E11" s="4" t="s">
        <v>85</v>
      </c>
      <c r="F11" s="4" t="s">
        <v>87</v>
      </c>
      <c r="G11" s="4" t="s">
        <v>45</v>
      </c>
      <c r="H11" s="4" t="s">
        <v>45</v>
      </c>
      <c r="I11" s="4" t="s">
        <v>45</v>
      </c>
      <c r="J11" s="4" t="s">
        <v>57</v>
      </c>
      <c r="K11" s="4" t="s">
        <v>58</v>
      </c>
      <c r="L11" s="3">
        <v>46023.0</v>
      </c>
      <c r="M11" s="4" t="s">
        <v>48</v>
      </c>
      <c r="N11" s="4" t="s">
        <v>45</v>
      </c>
      <c r="O11" s="4" t="s">
        <v>72</v>
      </c>
      <c r="P11" s="4" t="s">
        <v>49</v>
      </c>
      <c r="Q11" s="2">
        <v>2.0</v>
      </c>
      <c r="R11" s="2">
        <v>60.0</v>
      </c>
      <c r="S11" s="4" t="s">
        <v>53</v>
      </c>
      <c r="T11" s="4" t="s">
        <v>45</v>
      </c>
      <c r="U11" s="4" t="s">
        <v>45</v>
      </c>
      <c r="V11" s="5">
        <v>10.0</v>
      </c>
      <c r="W11" s="5">
        <v>26.88</v>
      </c>
      <c r="X11" s="5">
        <v>100.0</v>
      </c>
      <c r="Y11" s="5">
        <v>2.69</v>
      </c>
      <c r="Z11" s="4" t="s">
        <v>45</v>
      </c>
      <c r="AA11" s="5" t="s">
        <v>45</v>
      </c>
      <c r="AB11" s="4" t="s">
        <v>73</v>
      </c>
      <c r="AC11" s="4" t="s">
        <v>45</v>
      </c>
      <c r="AD11" s="5">
        <v>0.0</v>
      </c>
      <c r="AE11" s="4" t="s">
        <v>74</v>
      </c>
      <c r="AF11" s="3">
        <v>45808.0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45</v>
      </c>
      <c r="AO11" s="4" t="s">
        <v>45</v>
      </c>
      <c r="AP11" s="4" t="s">
        <v>45</v>
      </c>
    </row>
    <row r="12" ht="12.75" customHeight="1">
      <c r="A12" s="2">
        <v>1891456.0</v>
      </c>
      <c r="B12" s="3">
        <v>46020.0</v>
      </c>
      <c r="C12" s="4" t="s">
        <v>82</v>
      </c>
      <c r="D12" s="2">
        <v>1831491.0</v>
      </c>
      <c r="E12" s="4" t="s">
        <v>88</v>
      </c>
      <c r="F12" s="4" t="s">
        <v>89</v>
      </c>
      <c r="G12" s="4" t="s">
        <v>45</v>
      </c>
      <c r="H12" s="4" t="s">
        <v>45</v>
      </c>
      <c r="I12" s="4" t="s">
        <v>45</v>
      </c>
      <c r="J12" s="4" t="s">
        <v>57</v>
      </c>
      <c r="K12" s="4" t="s">
        <v>58</v>
      </c>
      <c r="L12" s="3">
        <v>46023.0</v>
      </c>
      <c r="M12" s="4" t="s">
        <v>48</v>
      </c>
      <c r="N12" s="4" t="s">
        <v>45</v>
      </c>
      <c r="O12" s="4" t="s">
        <v>72</v>
      </c>
      <c r="P12" s="4" t="s">
        <v>49</v>
      </c>
      <c r="Q12" s="2">
        <v>2.0</v>
      </c>
      <c r="R12" s="2">
        <v>60.0</v>
      </c>
      <c r="S12" s="4" t="s">
        <v>53</v>
      </c>
      <c r="T12" s="4" t="s">
        <v>45</v>
      </c>
      <c r="U12" s="4" t="s">
        <v>45</v>
      </c>
      <c r="V12" s="5">
        <v>10.0</v>
      </c>
      <c r="W12" s="5">
        <v>26.88</v>
      </c>
      <c r="X12" s="5">
        <v>100.0</v>
      </c>
      <c r="Y12" s="5">
        <v>2.69</v>
      </c>
      <c r="Z12" s="4" t="s">
        <v>45</v>
      </c>
      <c r="AA12" s="5" t="s">
        <v>45</v>
      </c>
      <c r="AB12" s="4" t="s">
        <v>73</v>
      </c>
      <c r="AC12" s="4" t="s">
        <v>45</v>
      </c>
      <c r="AD12" s="5">
        <v>0.0</v>
      </c>
      <c r="AE12" s="4" t="s">
        <v>74</v>
      </c>
      <c r="AF12" s="3">
        <v>45808.0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45</v>
      </c>
      <c r="AO12" s="4" t="s">
        <v>45</v>
      </c>
      <c r="AP12" s="4" t="s">
        <v>45</v>
      </c>
    </row>
    <row r="13" ht="12.75" customHeight="1">
      <c r="A13" s="2">
        <v>1891456.0</v>
      </c>
      <c r="B13" s="3">
        <v>46020.0</v>
      </c>
      <c r="C13" s="4" t="s">
        <v>82</v>
      </c>
      <c r="D13" s="2">
        <v>1831491.0</v>
      </c>
      <c r="E13" s="4" t="s">
        <v>90</v>
      </c>
      <c r="F13" s="4" t="s">
        <v>91</v>
      </c>
      <c r="G13" s="4" t="s">
        <v>45</v>
      </c>
      <c r="H13" s="4" t="s">
        <v>45</v>
      </c>
      <c r="I13" s="4" t="s">
        <v>45</v>
      </c>
      <c r="J13" s="4" t="s">
        <v>57</v>
      </c>
      <c r="K13" s="4" t="s">
        <v>58</v>
      </c>
      <c r="L13" s="3">
        <v>46023.0</v>
      </c>
      <c r="M13" s="4" t="s">
        <v>48</v>
      </c>
      <c r="N13" s="4" t="s">
        <v>45</v>
      </c>
      <c r="O13" s="4" t="s">
        <v>72</v>
      </c>
      <c r="P13" s="4" t="s">
        <v>49</v>
      </c>
      <c r="Q13" s="2">
        <v>1.0</v>
      </c>
      <c r="R13" s="2">
        <v>60.0</v>
      </c>
      <c r="S13" s="4" t="s">
        <v>53</v>
      </c>
      <c r="T13" s="4" t="s">
        <v>45</v>
      </c>
      <c r="U13" s="4" t="s">
        <v>45</v>
      </c>
      <c r="V13" s="5">
        <v>10.0</v>
      </c>
      <c r="W13" s="5">
        <v>13.93</v>
      </c>
      <c r="X13" s="5">
        <v>100.0</v>
      </c>
      <c r="Y13" s="5">
        <v>1.39</v>
      </c>
      <c r="Z13" s="4" t="s">
        <v>45</v>
      </c>
      <c r="AA13" s="5" t="s">
        <v>45</v>
      </c>
      <c r="AB13" s="4" t="s">
        <v>73</v>
      </c>
      <c r="AC13" s="4" t="s">
        <v>45</v>
      </c>
      <c r="AD13" s="5">
        <v>0.0</v>
      </c>
      <c r="AE13" s="4" t="s">
        <v>74</v>
      </c>
      <c r="AF13" s="3">
        <v>45809.0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45</v>
      </c>
      <c r="AO13" s="4" t="s">
        <v>45</v>
      </c>
      <c r="AP13" s="4" t="s">
        <v>45</v>
      </c>
    </row>
    <row r="14" ht="12.75" customHeight="1">
      <c r="A14" s="2">
        <v>1891456.0</v>
      </c>
      <c r="B14" s="3">
        <v>46020.0</v>
      </c>
      <c r="C14" s="4" t="s">
        <v>82</v>
      </c>
      <c r="D14" s="2">
        <v>1831491.0</v>
      </c>
      <c r="E14" s="4" t="s">
        <v>92</v>
      </c>
      <c r="F14" s="4" t="s">
        <v>93</v>
      </c>
      <c r="G14" s="4" t="s">
        <v>45</v>
      </c>
      <c r="H14" s="4" t="s">
        <v>45</v>
      </c>
      <c r="I14" s="4" t="s">
        <v>45</v>
      </c>
      <c r="J14" s="4" t="s">
        <v>57</v>
      </c>
      <c r="K14" s="4" t="s">
        <v>58</v>
      </c>
      <c r="L14" s="3">
        <v>46023.0</v>
      </c>
      <c r="M14" s="4" t="s">
        <v>48</v>
      </c>
      <c r="N14" s="4" t="s">
        <v>45</v>
      </c>
      <c r="O14" s="4" t="s">
        <v>72</v>
      </c>
      <c r="P14" s="4" t="s">
        <v>49</v>
      </c>
      <c r="Q14" s="2">
        <v>6.0</v>
      </c>
      <c r="R14" s="2">
        <v>60.0</v>
      </c>
      <c r="S14" s="4" t="s">
        <v>53</v>
      </c>
      <c r="T14" s="4" t="s">
        <v>45</v>
      </c>
      <c r="U14" s="4" t="s">
        <v>45</v>
      </c>
      <c r="V14" s="5">
        <v>10.0</v>
      </c>
      <c r="W14" s="5">
        <v>46.8</v>
      </c>
      <c r="X14" s="5">
        <v>100.0</v>
      </c>
      <c r="Y14" s="5">
        <v>4.68</v>
      </c>
      <c r="Z14" s="4" t="s">
        <v>45</v>
      </c>
      <c r="AA14" s="5" t="s">
        <v>45</v>
      </c>
      <c r="AB14" s="4" t="s">
        <v>73</v>
      </c>
      <c r="AC14" s="4" t="s">
        <v>45</v>
      </c>
      <c r="AD14" s="5">
        <v>0.0</v>
      </c>
      <c r="AE14" s="4" t="s">
        <v>74</v>
      </c>
      <c r="AF14" s="3">
        <v>45809.0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45</v>
      </c>
      <c r="AO14" s="4" t="s">
        <v>45</v>
      </c>
      <c r="AP14" s="4" t="s">
        <v>45</v>
      </c>
    </row>
    <row r="15" ht="12.75" customHeight="1">
      <c r="A15" s="2">
        <v>1891456.0</v>
      </c>
      <c r="B15" s="3">
        <v>46020.0</v>
      </c>
      <c r="C15" s="4" t="s">
        <v>82</v>
      </c>
      <c r="D15" s="2">
        <v>1831491.0</v>
      </c>
      <c r="E15" s="4" t="s">
        <v>94</v>
      </c>
      <c r="F15" s="4" t="s">
        <v>95</v>
      </c>
      <c r="G15" s="4" t="s">
        <v>45</v>
      </c>
      <c r="H15" s="4" t="s">
        <v>45</v>
      </c>
      <c r="I15" s="4" t="s">
        <v>45</v>
      </c>
      <c r="J15" s="4" t="s">
        <v>57</v>
      </c>
      <c r="K15" s="4" t="s">
        <v>58</v>
      </c>
      <c r="L15" s="3">
        <v>46023.0</v>
      </c>
      <c r="M15" s="4" t="s">
        <v>48</v>
      </c>
      <c r="N15" s="4" t="s">
        <v>45</v>
      </c>
      <c r="O15" s="4" t="s">
        <v>72</v>
      </c>
      <c r="P15" s="4" t="s">
        <v>49</v>
      </c>
      <c r="Q15" s="2">
        <v>2.0</v>
      </c>
      <c r="R15" s="2">
        <v>60.0</v>
      </c>
      <c r="S15" s="4" t="s">
        <v>53</v>
      </c>
      <c r="T15" s="4" t="s">
        <v>45</v>
      </c>
      <c r="U15" s="4" t="s">
        <v>45</v>
      </c>
      <c r="V15" s="5">
        <v>10.0</v>
      </c>
      <c r="W15" s="5">
        <v>26.88</v>
      </c>
      <c r="X15" s="5">
        <v>100.0</v>
      </c>
      <c r="Y15" s="5">
        <v>2.69</v>
      </c>
      <c r="Z15" s="4" t="s">
        <v>45</v>
      </c>
      <c r="AA15" s="5" t="s">
        <v>45</v>
      </c>
      <c r="AB15" s="4" t="s">
        <v>73</v>
      </c>
      <c r="AC15" s="4" t="s">
        <v>45</v>
      </c>
      <c r="AD15" s="5">
        <v>0.0</v>
      </c>
      <c r="AE15" s="4" t="s">
        <v>74</v>
      </c>
      <c r="AF15" s="3">
        <v>45809.0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45</v>
      </c>
      <c r="AO15" s="4" t="s">
        <v>45</v>
      </c>
      <c r="AP15" s="4" t="s">
        <v>45</v>
      </c>
    </row>
    <row r="16" ht="12.75" customHeight="1">
      <c r="A16" s="2">
        <v>1891456.0</v>
      </c>
      <c r="B16" s="3">
        <v>46020.0</v>
      </c>
      <c r="C16" s="4" t="s">
        <v>82</v>
      </c>
      <c r="D16" s="2">
        <v>1831491.0</v>
      </c>
      <c r="E16" s="4" t="s">
        <v>96</v>
      </c>
      <c r="F16" s="4" t="s">
        <v>97</v>
      </c>
      <c r="G16" s="4" t="s">
        <v>45</v>
      </c>
      <c r="H16" s="4" t="s">
        <v>45</v>
      </c>
      <c r="I16" s="4" t="s">
        <v>45</v>
      </c>
      <c r="J16" s="4" t="s">
        <v>57</v>
      </c>
      <c r="K16" s="4" t="s">
        <v>58</v>
      </c>
      <c r="L16" s="3">
        <v>46023.0</v>
      </c>
      <c r="M16" s="4" t="s">
        <v>48</v>
      </c>
      <c r="N16" s="4" t="s">
        <v>45</v>
      </c>
      <c r="O16" s="4" t="s">
        <v>72</v>
      </c>
      <c r="P16" s="4" t="s">
        <v>49</v>
      </c>
      <c r="Q16" s="2">
        <v>2.0</v>
      </c>
      <c r="R16" s="2">
        <v>60.0</v>
      </c>
      <c r="S16" s="4" t="s">
        <v>53</v>
      </c>
      <c r="T16" s="4" t="s">
        <v>45</v>
      </c>
      <c r="U16" s="4" t="s">
        <v>45</v>
      </c>
      <c r="V16" s="5">
        <v>10.0</v>
      </c>
      <c r="W16" s="5">
        <v>26.88</v>
      </c>
      <c r="X16" s="5">
        <v>100.0</v>
      </c>
      <c r="Y16" s="5">
        <v>2.69</v>
      </c>
      <c r="Z16" s="4" t="s">
        <v>45</v>
      </c>
      <c r="AA16" s="5" t="s">
        <v>45</v>
      </c>
      <c r="AB16" s="4" t="s">
        <v>73</v>
      </c>
      <c r="AC16" s="4" t="s">
        <v>45</v>
      </c>
      <c r="AD16" s="5">
        <v>0.0</v>
      </c>
      <c r="AE16" s="4" t="s">
        <v>74</v>
      </c>
      <c r="AF16" s="3">
        <v>45816.0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45</v>
      </c>
      <c r="AO16" s="4" t="s">
        <v>45</v>
      </c>
      <c r="AP16" s="4" t="s">
        <v>45</v>
      </c>
    </row>
    <row r="17" ht="12.75" customHeight="1">
      <c r="A17" s="2">
        <v>1891456.0</v>
      </c>
      <c r="B17" s="3">
        <v>46020.0</v>
      </c>
      <c r="C17" s="4" t="s">
        <v>82</v>
      </c>
      <c r="D17" s="2">
        <v>1831491.0</v>
      </c>
      <c r="E17" s="4" t="s">
        <v>98</v>
      </c>
      <c r="F17" s="4" t="s">
        <v>99</v>
      </c>
      <c r="G17" s="4" t="s">
        <v>45</v>
      </c>
      <c r="H17" s="4" t="s">
        <v>45</v>
      </c>
      <c r="I17" s="4" t="s">
        <v>45</v>
      </c>
      <c r="J17" s="4" t="s">
        <v>57</v>
      </c>
      <c r="K17" s="4" t="s">
        <v>58</v>
      </c>
      <c r="L17" s="3">
        <v>46023.0</v>
      </c>
      <c r="M17" s="4" t="s">
        <v>48</v>
      </c>
      <c r="N17" s="4" t="s">
        <v>45</v>
      </c>
      <c r="O17" s="4" t="s">
        <v>72</v>
      </c>
      <c r="P17" s="4" t="s">
        <v>49</v>
      </c>
      <c r="Q17" s="2">
        <v>1.0</v>
      </c>
      <c r="R17" s="2">
        <v>60.0</v>
      </c>
      <c r="S17" s="4" t="s">
        <v>53</v>
      </c>
      <c r="T17" s="4" t="s">
        <v>45</v>
      </c>
      <c r="U17" s="4" t="s">
        <v>45</v>
      </c>
      <c r="V17" s="5">
        <v>10.0</v>
      </c>
      <c r="W17" s="5">
        <v>13.93</v>
      </c>
      <c r="X17" s="5">
        <v>100.0</v>
      </c>
      <c r="Y17" s="5">
        <v>1.39</v>
      </c>
      <c r="Z17" s="4" t="s">
        <v>45</v>
      </c>
      <c r="AA17" s="5" t="s">
        <v>45</v>
      </c>
      <c r="AB17" s="4" t="s">
        <v>73</v>
      </c>
      <c r="AC17" s="4" t="s">
        <v>45</v>
      </c>
      <c r="AD17" s="5">
        <v>0.0</v>
      </c>
      <c r="AE17" s="4" t="s">
        <v>74</v>
      </c>
      <c r="AF17" s="3">
        <v>45816.0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45</v>
      </c>
      <c r="AO17" s="4" t="s">
        <v>45</v>
      </c>
      <c r="AP17" s="4" t="s">
        <v>45</v>
      </c>
    </row>
    <row r="18" ht="12.75" customHeight="1">
      <c r="A18" s="2">
        <v>1891456.0</v>
      </c>
      <c r="B18" s="3">
        <v>46020.0</v>
      </c>
      <c r="C18" s="4" t="s">
        <v>82</v>
      </c>
      <c r="D18" s="2">
        <v>1831491.0</v>
      </c>
      <c r="E18" s="4" t="s">
        <v>100</v>
      </c>
      <c r="F18" s="4" t="s">
        <v>101</v>
      </c>
      <c r="G18" s="4" t="s">
        <v>45</v>
      </c>
      <c r="H18" s="4" t="s">
        <v>45</v>
      </c>
      <c r="I18" s="4" t="s">
        <v>45</v>
      </c>
      <c r="J18" s="4" t="s">
        <v>57</v>
      </c>
      <c r="K18" s="4" t="s">
        <v>58</v>
      </c>
      <c r="L18" s="3">
        <v>46023.0</v>
      </c>
      <c r="M18" s="4" t="s">
        <v>48</v>
      </c>
      <c r="N18" s="4" t="s">
        <v>45</v>
      </c>
      <c r="O18" s="4" t="s">
        <v>72</v>
      </c>
      <c r="P18" s="4" t="s">
        <v>49</v>
      </c>
      <c r="Q18" s="2">
        <v>1.0</v>
      </c>
      <c r="R18" s="2">
        <v>60.0</v>
      </c>
      <c r="S18" s="4" t="s">
        <v>53</v>
      </c>
      <c r="T18" s="4" t="s">
        <v>45</v>
      </c>
      <c r="U18" s="4" t="s">
        <v>45</v>
      </c>
      <c r="V18" s="5">
        <v>10.0</v>
      </c>
      <c r="W18" s="5">
        <v>13.93</v>
      </c>
      <c r="X18" s="5">
        <v>100.0</v>
      </c>
      <c r="Y18" s="5">
        <v>1.39</v>
      </c>
      <c r="Z18" s="4" t="s">
        <v>45</v>
      </c>
      <c r="AA18" s="5" t="s">
        <v>45</v>
      </c>
      <c r="AB18" s="4" t="s">
        <v>73</v>
      </c>
      <c r="AC18" s="4" t="s">
        <v>45</v>
      </c>
      <c r="AD18" s="5">
        <v>0.0</v>
      </c>
      <c r="AE18" s="4" t="s">
        <v>74</v>
      </c>
      <c r="AF18" s="3">
        <v>45817.0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45</v>
      </c>
      <c r="AO18" s="4" t="s">
        <v>45</v>
      </c>
      <c r="AP18" s="4" t="s">
        <v>45</v>
      </c>
    </row>
    <row r="19" ht="12.75" customHeight="1">
      <c r="A19" s="2">
        <v>1891456.0</v>
      </c>
      <c r="B19" s="3">
        <v>46020.0</v>
      </c>
      <c r="C19" s="4" t="s">
        <v>82</v>
      </c>
      <c r="D19" s="2">
        <v>1831491.0</v>
      </c>
      <c r="E19" s="4" t="s">
        <v>102</v>
      </c>
      <c r="F19" s="4" t="s">
        <v>103</v>
      </c>
      <c r="G19" s="4" t="s">
        <v>45</v>
      </c>
      <c r="H19" s="4" t="s">
        <v>45</v>
      </c>
      <c r="I19" s="4" t="s">
        <v>45</v>
      </c>
      <c r="J19" s="4" t="s">
        <v>57</v>
      </c>
      <c r="K19" s="4" t="s">
        <v>58</v>
      </c>
      <c r="L19" s="3">
        <v>46023.0</v>
      </c>
      <c r="M19" s="4" t="s">
        <v>48</v>
      </c>
      <c r="N19" s="4" t="s">
        <v>45</v>
      </c>
      <c r="O19" s="4" t="s">
        <v>72</v>
      </c>
      <c r="P19" s="4" t="s">
        <v>49</v>
      </c>
      <c r="Q19" s="2">
        <v>2.0</v>
      </c>
      <c r="R19" s="2">
        <v>60.0</v>
      </c>
      <c r="S19" s="4" t="s">
        <v>53</v>
      </c>
      <c r="T19" s="4" t="s">
        <v>45</v>
      </c>
      <c r="U19" s="4" t="s">
        <v>45</v>
      </c>
      <c r="V19" s="5">
        <v>10.0</v>
      </c>
      <c r="W19" s="5">
        <v>26.88</v>
      </c>
      <c r="X19" s="5">
        <v>100.0</v>
      </c>
      <c r="Y19" s="5">
        <v>2.69</v>
      </c>
      <c r="Z19" s="4" t="s">
        <v>45</v>
      </c>
      <c r="AA19" s="5" t="s">
        <v>45</v>
      </c>
      <c r="AB19" s="4" t="s">
        <v>73</v>
      </c>
      <c r="AC19" s="4" t="s">
        <v>45</v>
      </c>
      <c r="AD19" s="5">
        <v>0.0</v>
      </c>
      <c r="AE19" s="4" t="s">
        <v>74</v>
      </c>
      <c r="AF19" s="3">
        <v>45817.0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45</v>
      </c>
      <c r="AO19" s="4" t="s">
        <v>45</v>
      </c>
      <c r="AP19" s="4" t="s">
        <v>45</v>
      </c>
    </row>
    <row r="20" ht="12.75" customHeight="1">
      <c r="A20" s="2">
        <v>1891456.0</v>
      </c>
      <c r="B20" s="3">
        <v>46020.0</v>
      </c>
      <c r="C20" s="4" t="s">
        <v>82</v>
      </c>
      <c r="D20" s="2">
        <v>1831491.0</v>
      </c>
      <c r="E20" s="4" t="s">
        <v>104</v>
      </c>
      <c r="F20" s="4" t="s">
        <v>105</v>
      </c>
      <c r="G20" s="4" t="s">
        <v>45</v>
      </c>
      <c r="H20" s="4" t="s">
        <v>45</v>
      </c>
      <c r="I20" s="4" t="s">
        <v>45</v>
      </c>
      <c r="J20" s="4" t="s">
        <v>57</v>
      </c>
      <c r="K20" s="4" t="s">
        <v>58</v>
      </c>
      <c r="L20" s="3">
        <v>46023.0</v>
      </c>
      <c r="M20" s="4" t="s">
        <v>48</v>
      </c>
      <c r="N20" s="4" t="s">
        <v>45</v>
      </c>
      <c r="O20" s="4" t="s">
        <v>72</v>
      </c>
      <c r="P20" s="4" t="s">
        <v>49</v>
      </c>
      <c r="Q20" s="2">
        <v>1.0</v>
      </c>
      <c r="R20" s="2">
        <v>60.0</v>
      </c>
      <c r="S20" s="4" t="s">
        <v>53</v>
      </c>
      <c r="T20" s="4" t="s">
        <v>45</v>
      </c>
      <c r="U20" s="4" t="s">
        <v>45</v>
      </c>
      <c r="V20" s="5">
        <v>10.0</v>
      </c>
      <c r="W20" s="5">
        <v>13.93</v>
      </c>
      <c r="X20" s="5">
        <v>100.0</v>
      </c>
      <c r="Y20" s="5">
        <v>1.39</v>
      </c>
      <c r="Z20" s="4" t="s">
        <v>45</v>
      </c>
      <c r="AA20" s="5" t="s">
        <v>45</v>
      </c>
      <c r="AB20" s="4" t="s">
        <v>73</v>
      </c>
      <c r="AC20" s="4" t="s">
        <v>45</v>
      </c>
      <c r="AD20" s="5">
        <v>0.0</v>
      </c>
      <c r="AE20" s="4" t="s">
        <v>74</v>
      </c>
      <c r="AF20" s="3">
        <v>45870.0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45</v>
      </c>
      <c r="AO20" s="4" t="s">
        <v>45</v>
      </c>
      <c r="AP20" s="4" t="s">
        <v>45</v>
      </c>
    </row>
    <row r="21" ht="12.75" customHeight="1">
      <c r="A21" s="2">
        <v>1891456.0</v>
      </c>
      <c r="B21" s="3">
        <v>46020.0</v>
      </c>
      <c r="C21" s="4" t="s">
        <v>82</v>
      </c>
      <c r="D21" s="2">
        <v>1831491.0</v>
      </c>
      <c r="E21" s="4" t="s">
        <v>106</v>
      </c>
      <c r="F21" s="4" t="s">
        <v>107</v>
      </c>
      <c r="G21" s="4" t="s">
        <v>45</v>
      </c>
      <c r="H21" s="4" t="s">
        <v>45</v>
      </c>
      <c r="I21" s="4" t="s">
        <v>45</v>
      </c>
      <c r="J21" s="4" t="s">
        <v>57</v>
      </c>
      <c r="K21" s="4" t="s">
        <v>58</v>
      </c>
      <c r="L21" s="3">
        <v>46023.0</v>
      </c>
      <c r="M21" s="4" t="s">
        <v>48</v>
      </c>
      <c r="N21" s="4" t="s">
        <v>45</v>
      </c>
      <c r="O21" s="4" t="s">
        <v>72</v>
      </c>
      <c r="P21" s="4" t="s">
        <v>49</v>
      </c>
      <c r="Q21" s="2">
        <v>1.0</v>
      </c>
      <c r="R21" s="2">
        <v>60.0</v>
      </c>
      <c r="S21" s="4" t="s">
        <v>53</v>
      </c>
      <c r="T21" s="4" t="s">
        <v>45</v>
      </c>
      <c r="U21" s="4" t="s">
        <v>45</v>
      </c>
      <c r="V21" s="5">
        <v>10.0</v>
      </c>
      <c r="W21" s="5">
        <v>13.93</v>
      </c>
      <c r="X21" s="5">
        <v>100.0</v>
      </c>
      <c r="Y21" s="5">
        <v>1.39</v>
      </c>
      <c r="Z21" s="4" t="s">
        <v>45</v>
      </c>
      <c r="AA21" s="5" t="s">
        <v>45</v>
      </c>
      <c r="AB21" s="4" t="s">
        <v>73</v>
      </c>
      <c r="AC21" s="4" t="s">
        <v>45</v>
      </c>
      <c r="AD21" s="5">
        <v>0.0</v>
      </c>
      <c r="AE21" s="4" t="s">
        <v>74</v>
      </c>
      <c r="AF21" s="3">
        <v>45839.0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45</v>
      </c>
      <c r="AO21" s="4" t="s">
        <v>45</v>
      </c>
      <c r="AP21" s="4" t="s">
        <v>45</v>
      </c>
    </row>
    <row r="22" ht="12.75" customHeight="1">
      <c r="A22" s="2">
        <v>1891456.0</v>
      </c>
      <c r="B22" s="3">
        <v>46020.0</v>
      </c>
      <c r="C22" s="4" t="s">
        <v>82</v>
      </c>
      <c r="D22" s="2">
        <v>1831491.0</v>
      </c>
      <c r="E22" s="4" t="s">
        <v>108</v>
      </c>
      <c r="F22" s="4" t="s">
        <v>109</v>
      </c>
      <c r="G22" s="4" t="s">
        <v>45</v>
      </c>
      <c r="H22" s="4" t="s">
        <v>45</v>
      </c>
      <c r="I22" s="4" t="s">
        <v>45</v>
      </c>
      <c r="J22" s="4" t="s">
        <v>57</v>
      </c>
      <c r="K22" s="4" t="s">
        <v>58</v>
      </c>
      <c r="L22" s="3">
        <v>46023.0</v>
      </c>
      <c r="M22" s="4" t="s">
        <v>48</v>
      </c>
      <c r="N22" s="4" t="s">
        <v>45</v>
      </c>
      <c r="O22" s="4" t="s">
        <v>72</v>
      </c>
      <c r="P22" s="4" t="s">
        <v>49</v>
      </c>
      <c r="Q22" s="2">
        <v>2.0</v>
      </c>
      <c r="R22" s="2">
        <v>60.0</v>
      </c>
      <c r="S22" s="4" t="s">
        <v>53</v>
      </c>
      <c r="T22" s="4" t="s">
        <v>45</v>
      </c>
      <c r="U22" s="4" t="s">
        <v>45</v>
      </c>
      <c r="V22" s="5">
        <v>10.0</v>
      </c>
      <c r="W22" s="5">
        <v>26.88</v>
      </c>
      <c r="X22" s="5">
        <v>100.0</v>
      </c>
      <c r="Y22" s="5">
        <v>2.69</v>
      </c>
      <c r="Z22" s="4" t="s">
        <v>45</v>
      </c>
      <c r="AA22" s="5" t="s">
        <v>45</v>
      </c>
      <c r="AB22" s="4" t="s">
        <v>73</v>
      </c>
      <c r="AC22" s="4" t="s">
        <v>45</v>
      </c>
      <c r="AD22" s="5">
        <v>0.0</v>
      </c>
      <c r="AE22" s="4" t="s">
        <v>74</v>
      </c>
      <c r="AF22" s="3">
        <v>45839.0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45</v>
      </c>
      <c r="AO22" s="4" t="s">
        <v>45</v>
      </c>
      <c r="AP22" s="4" t="s">
        <v>45</v>
      </c>
    </row>
    <row r="23" ht="12.75" customHeight="1">
      <c r="A23" s="2">
        <v>1891456.0</v>
      </c>
      <c r="B23" s="3">
        <v>46020.0</v>
      </c>
      <c r="C23" s="4" t="s">
        <v>82</v>
      </c>
      <c r="D23" s="2">
        <v>1831491.0</v>
      </c>
      <c r="E23" s="4" t="s">
        <v>110</v>
      </c>
      <c r="F23" s="4" t="s">
        <v>111</v>
      </c>
      <c r="G23" s="4" t="s">
        <v>45</v>
      </c>
      <c r="H23" s="4" t="s">
        <v>45</v>
      </c>
      <c r="I23" s="4" t="s">
        <v>45</v>
      </c>
      <c r="J23" s="4" t="s">
        <v>57</v>
      </c>
      <c r="K23" s="4" t="s">
        <v>58</v>
      </c>
      <c r="L23" s="3">
        <v>46023.0</v>
      </c>
      <c r="M23" s="4" t="s">
        <v>48</v>
      </c>
      <c r="N23" s="4" t="s">
        <v>45</v>
      </c>
      <c r="O23" s="4" t="s">
        <v>72</v>
      </c>
      <c r="P23" s="4" t="s">
        <v>49</v>
      </c>
      <c r="Q23" s="2">
        <v>3.0</v>
      </c>
      <c r="R23" s="2">
        <v>60.0</v>
      </c>
      <c r="S23" s="4" t="s">
        <v>53</v>
      </c>
      <c r="T23" s="4" t="s">
        <v>45</v>
      </c>
      <c r="U23" s="4" t="s">
        <v>45</v>
      </c>
      <c r="V23" s="5">
        <v>10.0</v>
      </c>
      <c r="W23" s="5">
        <v>46.8</v>
      </c>
      <c r="X23" s="5">
        <v>100.0</v>
      </c>
      <c r="Y23" s="5">
        <v>4.68</v>
      </c>
      <c r="Z23" s="4" t="s">
        <v>45</v>
      </c>
      <c r="AA23" s="5" t="s">
        <v>45</v>
      </c>
      <c r="AB23" s="4" t="s">
        <v>73</v>
      </c>
      <c r="AC23" s="4" t="s">
        <v>45</v>
      </c>
      <c r="AD23" s="5">
        <v>0.0</v>
      </c>
      <c r="AE23" s="4" t="s">
        <v>74</v>
      </c>
      <c r="AF23" s="3">
        <v>45839.0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45</v>
      </c>
      <c r="AO23" s="4" t="s">
        <v>45</v>
      </c>
      <c r="AP23" s="4" t="s">
        <v>45</v>
      </c>
    </row>
    <row r="24" ht="12.75" customHeight="1">
      <c r="A24" s="2">
        <v>1891456.0</v>
      </c>
      <c r="B24" s="3">
        <v>46020.0</v>
      </c>
      <c r="C24" s="4" t="s">
        <v>82</v>
      </c>
      <c r="D24" s="2">
        <v>1831491.0</v>
      </c>
      <c r="E24" s="4" t="s">
        <v>112</v>
      </c>
      <c r="F24" s="4" t="s">
        <v>113</v>
      </c>
      <c r="G24" s="4" t="s">
        <v>45</v>
      </c>
      <c r="H24" s="4" t="s">
        <v>45</v>
      </c>
      <c r="I24" s="4" t="s">
        <v>45</v>
      </c>
      <c r="J24" s="4" t="s">
        <v>57</v>
      </c>
      <c r="K24" s="4" t="s">
        <v>58</v>
      </c>
      <c r="L24" s="3">
        <v>46023.0</v>
      </c>
      <c r="M24" s="4" t="s">
        <v>48</v>
      </c>
      <c r="N24" s="4" t="s">
        <v>45</v>
      </c>
      <c r="O24" s="4" t="s">
        <v>72</v>
      </c>
      <c r="P24" s="4" t="s">
        <v>49</v>
      </c>
      <c r="Q24" s="2">
        <v>1.0</v>
      </c>
      <c r="R24" s="2">
        <v>60.0</v>
      </c>
      <c r="S24" s="4" t="s">
        <v>53</v>
      </c>
      <c r="T24" s="4" t="s">
        <v>45</v>
      </c>
      <c r="U24" s="4" t="s">
        <v>45</v>
      </c>
      <c r="V24" s="5">
        <v>10.0</v>
      </c>
      <c r="W24" s="5">
        <v>13.93</v>
      </c>
      <c r="X24" s="5">
        <v>100.0</v>
      </c>
      <c r="Y24" s="5">
        <v>1.39</v>
      </c>
      <c r="Z24" s="4" t="s">
        <v>45</v>
      </c>
      <c r="AA24" s="5" t="s">
        <v>45</v>
      </c>
      <c r="AB24" s="4" t="s">
        <v>73</v>
      </c>
      <c r="AC24" s="4" t="s">
        <v>45</v>
      </c>
      <c r="AD24" s="5">
        <v>0.0</v>
      </c>
      <c r="AE24" s="4" t="s">
        <v>74</v>
      </c>
      <c r="AF24" s="3">
        <v>45839.0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45</v>
      </c>
      <c r="AO24" s="4" t="s">
        <v>45</v>
      </c>
      <c r="AP24" s="4" t="s">
        <v>45</v>
      </c>
    </row>
    <row r="25" ht="12.75" customHeight="1">
      <c r="A25" s="2">
        <v>1891456.0</v>
      </c>
      <c r="B25" s="3">
        <v>46020.0</v>
      </c>
      <c r="C25" s="4" t="s">
        <v>82</v>
      </c>
      <c r="D25" s="2">
        <v>1831491.0</v>
      </c>
      <c r="E25" s="4" t="s">
        <v>114</v>
      </c>
      <c r="F25" s="4" t="s">
        <v>115</v>
      </c>
      <c r="G25" s="4" t="s">
        <v>45</v>
      </c>
      <c r="H25" s="4" t="s">
        <v>45</v>
      </c>
      <c r="I25" s="4" t="s">
        <v>45</v>
      </c>
      <c r="J25" s="4" t="s">
        <v>57</v>
      </c>
      <c r="K25" s="4" t="s">
        <v>58</v>
      </c>
      <c r="L25" s="3">
        <v>46023.0</v>
      </c>
      <c r="M25" s="4" t="s">
        <v>48</v>
      </c>
      <c r="N25" s="4" t="s">
        <v>45</v>
      </c>
      <c r="O25" s="4" t="s">
        <v>72</v>
      </c>
      <c r="P25" s="4" t="s">
        <v>49</v>
      </c>
      <c r="Q25" s="2">
        <v>1.0</v>
      </c>
      <c r="R25" s="2">
        <v>60.0</v>
      </c>
      <c r="S25" s="4" t="s">
        <v>53</v>
      </c>
      <c r="T25" s="4" t="s">
        <v>45</v>
      </c>
      <c r="U25" s="4" t="s">
        <v>45</v>
      </c>
      <c r="V25" s="5">
        <v>10.0</v>
      </c>
      <c r="W25" s="5">
        <v>14.93</v>
      </c>
      <c r="X25" s="5">
        <v>100.0</v>
      </c>
      <c r="Y25" s="5">
        <v>1.49</v>
      </c>
      <c r="Z25" s="4" t="s">
        <v>45</v>
      </c>
      <c r="AA25" s="5" t="s">
        <v>45</v>
      </c>
      <c r="AB25" s="4" t="s">
        <v>73</v>
      </c>
      <c r="AC25" s="4" t="s">
        <v>45</v>
      </c>
      <c r="AD25" s="5">
        <v>0.0</v>
      </c>
      <c r="AE25" s="4" t="s">
        <v>74</v>
      </c>
      <c r="AF25" s="3">
        <v>45870.0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45</v>
      </c>
      <c r="AO25" s="4" t="s">
        <v>45</v>
      </c>
      <c r="AP25" s="4" t="s">
        <v>45</v>
      </c>
    </row>
    <row r="26" ht="12.75" customHeight="1">
      <c r="A26" s="2">
        <v>1891456.0</v>
      </c>
      <c r="B26" s="3">
        <v>46020.0</v>
      </c>
      <c r="C26" s="4" t="s">
        <v>82</v>
      </c>
      <c r="D26" s="2">
        <v>1831491.0</v>
      </c>
      <c r="E26" s="4" t="s">
        <v>116</v>
      </c>
      <c r="F26" s="4" t="s">
        <v>117</v>
      </c>
      <c r="G26" s="4" t="s">
        <v>45</v>
      </c>
      <c r="H26" s="4" t="s">
        <v>45</v>
      </c>
      <c r="I26" s="4" t="s">
        <v>45</v>
      </c>
      <c r="J26" s="4" t="s">
        <v>57</v>
      </c>
      <c r="K26" s="4" t="s">
        <v>58</v>
      </c>
      <c r="L26" s="3">
        <v>46023.0</v>
      </c>
      <c r="M26" s="4" t="s">
        <v>48</v>
      </c>
      <c r="N26" s="4" t="s">
        <v>45</v>
      </c>
      <c r="O26" s="4" t="s">
        <v>72</v>
      </c>
      <c r="P26" s="4" t="s">
        <v>49</v>
      </c>
      <c r="Q26" s="2">
        <v>1.0</v>
      </c>
      <c r="R26" s="2">
        <v>60.0</v>
      </c>
      <c r="S26" s="4" t="s">
        <v>53</v>
      </c>
      <c r="T26" s="4" t="s">
        <v>45</v>
      </c>
      <c r="U26" s="4" t="s">
        <v>45</v>
      </c>
      <c r="V26" s="5">
        <v>10.0</v>
      </c>
      <c r="W26" s="5">
        <v>14.93</v>
      </c>
      <c r="X26" s="5">
        <v>100.0</v>
      </c>
      <c r="Y26" s="5">
        <v>1.49</v>
      </c>
      <c r="Z26" s="4" t="s">
        <v>45</v>
      </c>
      <c r="AA26" s="5" t="s">
        <v>45</v>
      </c>
      <c r="AB26" s="4" t="s">
        <v>73</v>
      </c>
      <c r="AC26" s="4" t="s">
        <v>45</v>
      </c>
      <c r="AD26" s="5">
        <v>0.0</v>
      </c>
      <c r="AE26" s="4" t="s">
        <v>74</v>
      </c>
      <c r="AF26" s="3">
        <v>45870.0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45</v>
      </c>
      <c r="AO26" s="4" t="s">
        <v>45</v>
      </c>
      <c r="AP26" s="4" t="s">
        <v>45</v>
      </c>
    </row>
    <row r="27" ht="12.75" customHeight="1">
      <c r="A27" s="2">
        <v>1891456.0</v>
      </c>
      <c r="B27" s="3">
        <v>46020.0</v>
      </c>
      <c r="C27" s="4" t="s">
        <v>82</v>
      </c>
      <c r="D27" s="2">
        <v>1831491.0</v>
      </c>
      <c r="E27" s="4" t="s">
        <v>118</v>
      </c>
      <c r="F27" s="4" t="s">
        <v>119</v>
      </c>
      <c r="G27" s="4" t="s">
        <v>45</v>
      </c>
      <c r="H27" s="4" t="s">
        <v>45</v>
      </c>
      <c r="I27" s="4" t="s">
        <v>45</v>
      </c>
      <c r="J27" s="4" t="s">
        <v>57</v>
      </c>
      <c r="K27" s="4" t="s">
        <v>58</v>
      </c>
      <c r="L27" s="3">
        <v>46023.0</v>
      </c>
      <c r="M27" s="4" t="s">
        <v>48</v>
      </c>
      <c r="N27" s="4" t="s">
        <v>45</v>
      </c>
      <c r="O27" s="4" t="s">
        <v>72</v>
      </c>
      <c r="P27" s="4" t="s">
        <v>49</v>
      </c>
      <c r="Q27" s="2">
        <v>1.0</v>
      </c>
      <c r="R27" s="2">
        <v>60.0</v>
      </c>
      <c r="S27" s="4" t="s">
        <v>53</v>
      </c>
      <c r="T27" s="4" t="s">
        <v>45</v>
      </c>
      <c r="U27" s="4" t="s">
        <v>45</v>
      </c>
      <c r="V27" s="5">
        <v>10.0</v>
      </c>
      <c r="W27" s="5">
        <v>14.93</v>
      </c>
      <c r="X27" s="5">
        <v>100.0</v>
      </c>
      <c r="Y27" s="5">
        <v>1.49</v>
      </c>
      <c r="Z27" s="4" t="s">
        <v>45</v>
      </c>
      <c r="AA27" s="5" t="s">
        <v>45</v>
      </c>
      <c r="AB27" s="4" t="s">
        <v>73</v>
      </c>
      <c r="AC27" s="4" t="s">
        <v>45</v>
      </c>
      <c r="AD27" s="5">
        <v>0.0</v>
      </c>
      <c r="AE27" s="4" t="s">
        <v>74</v>
      </c>
      <c r="AF27" s="3">
        <v>45870.0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45</v>
      </c>
      <c r="AO27" s="4" t="s">
        <v>45</v>
      </c>
      <c r="AP27" s="4" t="s">
        <v>45</v>
      </c>
    </row>
    <row r="28" ht="12.75" customHeight="1">
      <c r="A28" s="2">
        <v>1891456.0</v>
      </c>
      <c r="B28" s="3">
        <v>46020.0</v>
      </c>
      <c r="C28" s="4" t="s">
        <v>82</v>
      </c>
      <c r="D28" s="2">
        <v>1831491.0</v>
      </c>
      <c r="E28" s="4" t="s">
        <v>120</v>
      </c>
      <c r="F28" s="4" t="s">
        <v>121</v>
      </c>
      <c r="G28" s="4" t="s">
        <v>45</v>
      </c>
      <c r="H28" s="4" t="s">
        <v>45</v>
      </c>
      <c r="I28" s="4" t="s">
        <v>45</v>
      </c>
      <c r="J28" s="4" t="s">
        <v>57</v>
      </c>
      <c r="K28" s="4" t="s">
        <v>58</v>
      </c>
      <c r="L28" s="3">
        <v>46023.0</v>
      </c>
      <c r="M28" s="4" t="s">
        <v>48</v>
      </c>
      <c r="N28" s="4" t="s">
        <v>45</v>
      </c>
      <c r="O28" s="4" t="s">
        <v>72</v>
      </c>
      <c r="P28" s="4" t="s">
        <v>49</v>
      </c>
      <c r="Q28" s="2">
        <v>1.0</v>
      </c>
      <c r="R28" s="2">
        <v>60.0</v>
      </c>
      <c r="S28" s="4" t="s">
        <v>53</v>
      </c>
      <c r="T28" s="4" t="s">
        <v>45</v>
      </c>
      <c r="U28" s="4" t="s">
        <v>45</v>
      </c>
      <c r="V28" s="5">
        <v>10.0</v>
      </c>
      <c r="W28" s="5">
        <v>14.93</v>
      </c>
      <c r="X28" s="5">
        <v>100.0</v>
      </c>
      <c r="Y28" s="5">
        <v>1.49</v>
      </c>
      <c r="Z28" s="4" t="s">
        <v>45</v>
      </c>
      <c r="AA28" s="5" t="s">
        <v>45</v>
      </c>
      <c r="AB28" s="4" t="s">
        <v>73</v>
      </c>
      <c r="AC28" s="4" t="s">
        <v>45</v>
      </c>
      <c r="AD28" s="5">
        <v>0.0</v>
      </c>
      <c r="AE28" s="4" t="s">
        <v>74</v>
      </c>
      <c r="AF28" s="3">
        <v>45871.0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45</v>
      </c>
      <c r="AO28" s="4" t="s">
        <v>45</v>
      </c>
      <c r="AP28" s="4" t="s">
        <v>45</v>
      </c>
    </row>
    <row r="29" ht="12.75" customHeight="1">
      <c r="A29" s="2">
        <v>1891456.0</v>
      </c>
      <c r="B29" s="3">
        <v>46020.0</v>
      </c>
      <c r="C29" s="4" t="s">
        <v>82</v>
      </c>
      <c r="D29" s="2">
        <v>1831491.0</v>
      </c>
      <c r="E29" s="4" t="s">
        <v>122</v>
      </c>
      <c r="F29" s="4" t="s">
        <v>123</v>
      </c>
      <c r="G29" s="4" t="s">
        <v>45</v>
      </c>
      <c r="H29" s="4" t="s">
        <v>45</v>
      </c>
      <c r="I29" s="4" t="s">
        <v>45</v>
      </c>
      <c r="J29" s="4" t="s">
        <v>57</v>
      </c>
      <c r="K29" s="4" t="s">
        <v>58</v>
      </c>
      <c r="L29" s="3">
        <v>46023.0</v>
      </c>
      <c r="M29" s="4" t="s">
        <v>48</v>
      </c>
      <c r="N29" s="4" t="s">
        <v>45</v>
      </c>
      <c r="O29" s="4" t="s">
        <v>72</v>
      </c>
      <c r="P29" s="4" t="s">
        <v>49</v>
      </c>
      <c r="Q29" s="2">
        <v>1.0</v>
      </c>
      <c r="R29" s="2">
        <v>60.0</v>
      </c>
      <c r="S29" s="4" t="s">
        <v>53</v>
      </c>
      <c r="T29" s="4" t="s">
        <v>45</v>
      </c>
      <c r="U29" s="4" t="s">
        <v>45</v>
      </c>
      <c r="V29" s="5">
        <v>10.0</v>
      </c>
      <c r="W29" s="5">
        <v>14.93</v>
      </c>
      <c r="X29" s="5">
        <v>100.0</v>
      </c>
      <c r="Y29" s="5">
        <v>1.49</v>
      </c>
      <c r="Z29" s="4" t="s">
        <v>45</v>
      </c>
      <c r="AA29" s="5" t="s">
        <v>45</v>
      </c>
      <c r="AB29" s="4" t="s">
        <v>73</v>
      </c>
      <c r="AC29" s="4" t="s">
        <v>45</v>
      </c>
      <c r="AD29" s="5">
        <v>0.0</v>
      </c>
      <c r="AE29" s="4" t="s">
        <v>74</v>
      </c>
      <c r="AF29" s="3">
        <v>45962.0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45</v>
      </c>
      <c r="AO29" s="4" t="s">
        <v>45</v>
      </c>
      <c r="AP29" s="4" t="s">
        <v>45</v>
      </c>
    </row>
    <row r="30" ht="12.75" customHeight="1">
      <c r="A30" s="2">
        <v>1891456.0</v>
      </c>
      <c r="B30" s="3">
        <v>46020.0</v>
      </c>
      <c r="C30" s="4" t="s">
        <v>82</v>
      </c>
      <c r="D30" s="2">
        <v>1831491.0</v>
      </c>
      <c r="E30" s="4" t="s">
        <v>124</v>
      </c>
      <c r="F30" s="4" t="s">
        <v>125</v>
      </c>
      <c r="G30" s="4" t="s">
        <v>45</v>
      </c>
      <c r="H30" s="4" t="s">
        <v>45</v>
      </c>
      <c r="I30" s="4" t="s">
        <v>45</v>
      </c>
      <c r="J30" s="4" t="s">
        <v>57</v>
      </c>
      <c r="K30" s="4" t="s">
        <v>58</v>
      </c>
      <c r="L30" s="3">
        <v>46023.0</v>
      </c>
      <c r="M30" s="4" t="s">
        <v>48</v>
      </c>
      <c r="N30" s="4" t="s">
        <v>45</v>
      </c>
      <c r="O30" s="4" t="s">
        <v>72</v>
      </c>
      <c r="P30" s="4" t="s">
        <v>49</v>
      </c>
      <c r="Q30" s="2">
        <v>2.0</v>
      </c>
      <c r="R30" s="2">
        <v>60.0</v>
      </c>
      <c r="S30" s="4" t="s">
        <v>53</v>
      </c>
      <c r="T30" s="4" t="s">
        <v>45</v>
      </c>
      <c r="U30" s="4" t="s">
        <v>45</v>
      </c>
      <c r="V30" s="5">
        <v>10.0</v>
      </c>
      <c r="W30" s="5">
        <v>26.88</v>
      </c>
      <c r="X30" s="5">
        <v>100.0</v>
      </c>
      <c r="Y30" s="5">
        <v>2.69</v>
      </c>
      <c r="Z30" s="4" t="s">
        <v>45</v>
      </c>
      <c r="AA30" s="5" t="s">
        <v>45</v>
      </c>
      <c r="AB30" s="4" t="s">
        <v>73</v>
      </c>
      <c r="AC30" s="4" t="s">
        <v>45</v>
      </c>
      <c r="AD30" s="5">
        <v>0.0</v>
      </c>
      <c r="AE30" s="4" t="s">
        <v>74</v>
      </c>
      <c r="AF30" s="3">
        <v>45962.0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45</v>
      </c>
      <c r="AO30" s="4" t="s">
        <v>45</v>
      </c>
      <c r="AP30" s="4" t="s">
        <v>45</v>
      </c>
    </row>
    <row r="31" ht="12.75" customHeight="1">
      <c r="A31" s="2">
        <v>1891456.0</v>
      </c>
      <c r="B31" s="3">
        <v>46020.0</v>
      </c>
      <c r="C31" s="4" t="s">
        <v>82</v>
      </c>
      <c r="D31" s="2">
        <v>1831491.0</v>
      </c>
      <c r="E31" s="4" t="s">
        <v>126</v>
      </c>
      <c r="F31" s="4" t="s">
        <v>127</v>
      </c>
      <c r="G31" s="4" t="s">
        <v>45</v>
      </c>
      <c r="H31" s="4" t="s">
        <v>45</v>
      </c>
      <c r="I31" s="4" t="s">
        <v>45</v>
      </c>
      <c r="J31" s="4" t="s">
        <v>57</v>
      </c>
      <c r="K31" s="4" t="s">
        <v>58</v>
      </c>
      <c r="L31" s="3">
        <v>46023.0</v>
      </c>
      <c r="M31" s="4" t="s">
        <v>48</v>
      </c>
      <c r="N31" s="4" t="s">
        <v>45</v>
      </c>
      <c r="O31" s="4" t="s">
        <v>72</v>
      </c>
      <c r="P31" s="4" t="s">
        <v>49</v>
      </c>
      <c r="Q31" s="2">
        <v>1.0</v>
      </c>
      <c r="R31" s="2">
        <v>60.0</v>
      </c>
      <c r="S31" s="4" t="s">
        <v>53</v>
      </c>
      <c r="T31" s="4" t="s">
        <v>45</v>
      </c>
      <c r="U31" s="4" t="s">
        <v>45</v>
      </c>
      <c r="V31" s="5">
        <v>10.0</v>
      </c>
      <c r="W31" s="5">
        <v>14.93</v>
      </c>
      <c r="X31" s="5">
        <v>100.0</v>
      </c>
      <c r="Y31" s="5">
        <v>1.49</v>
      </c>
      <c r="Z31" s="4" t="s">
        <v>45</v>
      </c>
      <c r="AA31" s="5" t="s">
        <v>45</v>
      </c>
      <c r="AB31" s="4" t="s">
        <v>73</v>
      </c>
      <c r="AC31" s="4" t="s">
        <v>45</v>
      </c>
      <c r="AD31" s="5">
        <v>0.0</v>
      </c>
      <c r="AE31" s="4" t="s">
        <v>74</v>
      </c>
      <c r="AF31" s="3">
        <v>45901.0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45</v>
      </c>
      <c r="AO31" s="4" t="s">
        <v>45</v>
      </c>
      <c r="AP31" s="4" t="s">
        <v>45</v>
      </c>
    </row>
    <row r="32" ht="12.75" customHeight="1">
      <c r="A32" s="2">
        <v>1891456.0</v>
      </c>
      <c r="B32" s="3">
        <v>46020.0</v>
      </c>
      <c r="C32" s="4" t="s">
        <v>82</v>
      </c>
      <c r="D32" s="2">
        <v>1831491.0</v>
      </c>
      <c r="E32" s="4" t="s">
        <v>128</v>
      </c>
      <c r="F32" s="4" t="s">
        <v>129</v>
      </c>
      <c r="G32" s="4" t="s">
        <v>45</v>
      </c>
      <c r="H32" s="4" t="s">
        <v>45</v>
      </c>
      <c r="I32" s="4" t="s">
        <v>45</v>
      </c>
      <c r="J32" s="4" t="s">
        <v>57</v>
      </c>
      <c r="K32" s="4" t="s">
        <v>58</v>
      </c>
      <c r="L32" s="3">
        <v>46023.0</v>
      </c>
      <c r="M32" s="4" t="s">
        <v>48</v>
      </c>
      <c r="N32" s="4" t="s">
        <v>45</v>
      </c>
      <c r="O32" s="4" t="s">
        <v>72</v>
      </c>
      <c r="P32" s="4" t="s">
        <v>49</v>
      </c>
      <c r="Q32" s="2">
        <v>1.0</v>
      </c>
      <c r="R32" s="2">
        <v>60.0</v>
      </c>
      <c r="S32" s="4" t="s">
        <v>53</v>
      </c>
      <c r="T32" s="4" t="s">
        <v>45</v>
      </c>
      <c r="U32" s="4" t="s">
        <v>45</v>
      </c>
      <c r="V32" s="5">
        <v>10.0</v>
      </c>
      <c r="W32" s="5">
        <v>14.93</v>
      </c>
      <c r="X32" s="5">
        <v>100.0</v>
      </c>
      <c r="Y32" s="5">
        <v>1.49</v>
      </c>
      <c r="Z32" s="4" t="s">
        <v>45</v>
      </c>
      <c r="AA32" s="5" t="s">
        <v>45</v>
      </c>
      <c r="AB32" s="4" t="s">
        <v>73</v>
      </c>
      <c r="AC32" s="4" t="s">
        <v>45</v>
      </c>
      <c r="AD32" s="5">
        <v>0.0</v>
      </c>
      <c r="AE32" s="4" t="s">
        <v>74</v>
      </c>
      <c r="AF32" s="3">
        <v>45908.0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45</v>
      </c>
      <c r="AO32" s="4" t="s">
        <v>45</v>
      </c>
      <c r="AP32" s="4" t="s">
        <v>45</v>
      </c>
    </row>
    <row r="33" ht="12.75" customHeight="1">
      <c r="A33" s="2">
        <v>1891456.0</v>
      </c>
      <c r="B33" s="3">
        <v>46020.0</v>
      </c>
      <c r="C33" s="4" t="s">
        <v>82</v>
      </c>
      <c r="D33" s="2">
        <v>1831491.0</v>
      </c>
      <c r="E33" s="4" t="s">
        <v>130</v>
      </c>
      <c r="F33" s="4" t="s">
        <v>131</v>
      </c>
      <c r="G33" s="4" t="s">
        <v>45</v>
      </c>
      <c r="H33" s="4" t="s">
        <v>45</v>
      </c>
      <c r="I33" s="4" t="s">
        <v>45</v>
      </c>
      <c r="J33" s="4" t="s">
        <v>57</v>
      </c>
      <c r="K33" s="4" t="s">
        <v>58</v>
      </c>
      <c r="L33" s="3">
        <v>46023.0</v>
      </c>
      <c r="M33" s="4" t="s">
        <v>48</v>
      </c>
      <c r="N33" s="4" t="s">
        <v>45</v>
      </c>
      <c r="O33" s="4" t="s">
        <v>72</v>
      </c>
      <c r="P33" s="4" t="s">
        <v>49</v>
      </c>
      <c r="Q33" s="2">
        <v>2.0</v>
      </c>
      <c r="R33" s="2">
        <v>60.0</v>
      </c>
      <c r="S33" s="4" t="s">
        <v>53</v>
      </c>
      <c r="T33" s="4" t="s">
        <v>45</v>
      </c>
      <c r="U33" s="4" t="s">
        <v>45</v>
      </c>
      <c r="V33" s="5">
        <v>10.0</v>
      </c>
      <c r="W33" s="5">
        <v>26.88</v>
      </c>
      <c r="X33" s="5">
        <v>100.0</v>
      </c>
      <c r="Y33" s="5">
        <v>2.69</v>
      </c>
      <c r="Z33" s="4" t="s">
        <v>45</v>
      </c>
      <c r="AA33" s="5" t="s">
        <v>45</v>
      </c>
      <c r="AB33" s="4" t="s">
        <v>73</v>
      </c>
      <c r="AC33" s="4" t="s">
        <v>45</v>
      </c>
      <c r="AD33" s="5">
        <v>0.0</v>
      </c>
      <c r="AE33" s="4" t="s">
        <v>74</v>
      </c>
      <c r="AF33" s="3">
        <v>45901.0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45</v>
      </c>
      <c r="AO33" s="4" t="s">
        <v>45</v>
      </c>
      <c r="AP33" s="4" t="s">
        <v>45</v>
      </c>
    </row>
    <row r="34" ht="12.75" customHeight="1">
      <c r="A34" s="2">
        <v>1891456.0</v>
      </c>
      <c r="B34" s="3">
        <v>46020.0</v>
      </c>
      <c r="C34" s="4" t="s">
        <v>82</v>
      </c>
      <c r="D34" s="2">
        <v>1831491.0</v>
      </c>
      <c r="E34" s="4" t="s">
        <v>132</v>
      </c>
      <c r="F34" s="4" t="s">
        <v>133</v>
      </c>
      <c r="G34" s="4" t="s">
        <v>45</v>
      </c>
      <c r="H34" s="4" t="s">
        <v>45</v>
      </c>
      <c r="I34" s="4" t="s">
        <v>45</v>
      </c>
      <c r="J34" s="4" t="s">
        <v>57</v>
      </c>
      <c r="K34" s="4" t="s">
        <v>58</v>
      </c>
      <c r="L34" s="3">
        <v>46023.0</v>
      </c>
      <c r="M34" s="4" t="s">
        <v>48</v>
      </c>
      <c r="N34" s="4" t="s">
        <v>45</v>
      </c>
      <c r="O34" s="4" t="s">
        <v>72</v>
      </c>
      <c r="P34" s="4" t="s">
        <v>49</v>
      </c>
      <c r="Q34" s="2">
        <v>1.0</v>
      </c>
      <c r="R34" s="2">
        <v>60.0</v>
      </c>
      <c r="S34" s="4" t="s">
        <v>53</v>
      </c>
      <c r="T34" s="4" t="s">
        <v>45</v>
      </c>
      <c r="U34" s="4" t="s">
        <v>45</v>
      </c>
      <c r="V34" s="5">
        <v>10.0</v>
      </c>
      <c r="W34" s="5">
        <v>14.93</v>
      </c>
      <c r="X34" s="5">
        <v>100.0</v>
      </c>
      <c r="Y34" s="5">
        <v>1.49</v>
      </c>
      <c r="Z34" s="4" t="s">
        <v>45</v>
      </c>
      <c r="AA34" s="5" t="s">
        <v>45</v>
      </c>
      <c r="AB34" s="4" t="s">
        <v>73</v>
      </c>
      <c r="AC34" s="4" t="s">
        <v>45</v>
      </c>
      <c r="AD34" s="5">
        <v>0.0</v>
      </c>
      <c r="AE34" s="4" t="s">
        <v>74</v>
      </c>
      <c r="AF34" s="3">
        <v>45991.0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45</v>
      </c>
      <c r="AO34" s="4" t="s">
        <v>45</v>
      </c>
      <c r="AP34" s="4" t="s">
        <v>45</v>
      </c>
    </row>
    <row r="35" ht="12.75" customHeight="1">
      <c r="A35" s="2">
        <v>1891456.0</v>
      </c>
      <c r="B35" s="3">
        <v>46020.0</v>
      </c>
      <c r="C35" s="4" t="s">
        <v>82</v>
      </c>
      <c r="D35" s="2">
        <v>1831491.0</v>
      </c>
      <c r="E35" s="4" t="s">
        <v>134</v>
      </c>
      <c r="F35" s="4" t="s">
        <v>135</v>
      </c>
      <c r="G35" s="4" t="s">
        <v>45</v>
      </c>
      <c r="H35" s="4" t="s">
        <v>45</v>
      </c>
      <c r="I35" s="4" t="s">
        <v>45</v>
      </c>
      <c r="J35" s="4" t="s">
        <v>57</v>
      </c>
      <c r="K35" s="4" t="s">
        <v>58</v>
      </c>
      <c r="L35" s="3">
        <v>46023.0</v>
      </c>
      <c r="M35" s="4" t="s">
        <v>48</v>
      </c>
      <c r="N35" s="4" t="s">
        <v>45</v>
      </c>
      <c r="O35" s="4" t="s">
        <v>72</v>
      </c>
      <c r="P35" s="4" t="s">
        <v>49</v>
      </c>
      <c r="Q35" s="2">
        <v>1.0</v>
      </c>
      <c r="R35" s="2">
        <v>60.0</v>
      </c>
      <c r="S35" s="4" t="s">
        <v>53</v>
      </c>
      <c r="T35" s="4" t="s">
        <v>45</v>
      </c>
      <c r="U35" s="4" t="s">
        <v>45</v>
      </c>
      <c r="V35" s="5">
        <v>10.0</v>
      </c>
      <c r="W35" s="5">
        <v>14.93</v>
      </c>
      <c r="X35" s="5">
        <v>100.0</v>
      </c>
      <c r="Y35" s="5">
        <v>1.49</v>
      </c>
      <c r="Z35" s="4" t="s">
        <v>45</v>
      </c>
      <c r="AA35" s="5" t="s">
        <v>45</v>
      </c>
      <c r="AB35" s="4" t="s">
        <v>73</v>
      </c>
      <c r="AC35" s="4" t="s">
        <v>45</v>
      </c>
      <c r="AD35" s="5">
        <v>0.0</v>
      </c>
      <c r="AE35" s="4" t="s">
        <v>74</v>
      </c>
      <c r="AF35" s="3">
        <v>45931.0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45</v>
      </c>
      <c r="AO35" s="4" t="s">
        <v>45</v>
      </c>
      <c r="AP35" s="4" t="s">
        <v>45</v>
      </c>
    </row>
    <row r="36" ht="12.75" customHeight="1">
      <c r="A36" s="2">
        <v>1891456.0</v>
      </c>
      <c r="B36" s="3">
        <v>46020.0</v>
      </c>
      <c r="C36" s="4" t="s">
        <v>82</v>
      </c>
      <c r="D36" s="2">
        <v>1831491.0</v>
      </c>
      <c r="E36" s="4" t="s">
        <v>136</v>
      </c>
      <c r="F36" s="4" t="s">
        <v>137</v>
      </c>
      <c r="G36" s="4" t="s">
        <v>45</v>
      </c>
      <c r="H36" s="4" t="s">
        <v>45</v>
      </c>
      <c r="I36" s="4" t="s">
        <v>45</v>
      </c>
      <c r="J36" s="4" t="s">
        <v>57</v>
      </c>
      <c r="K36" s="4" t="s">
        <v>58</v>
      </c>
      <c r="L36" s="3">
        <v>46023.0</v>
      </c>
      <c r="M36" s="4" t="s">
        <v>48</v>
      </c>
      <c r="N36" s="4" t="s">
        <v>45</v>
      </c>
      <c r="O36" s="4" t="s">
        <v>72</v>
      </c>
      <c r="P36" s="4" t="s">
        <v>49</v>
      </c>
      <c r="Q36" s="2">
        <v>1.0</v>
      </c>
      <c r="R36" s="2">
        <v>60.0</v>
      </c>
      <c r="S36" s="4" t="s">
        <v>53</v>
      </c>
      <c r="T36" s="4" t="s">
        <v>45</v>
      </c>
      <c r="U36" s="4" t="s">
        <v>45</v>
      </c>
      <c r="V36" s="5">
        <v>10.0</v>
      </c>
      <c r="W36" s="5">
        <v>14.93</v>
      </c>
      <c r="X36" s="5">
        <v>100.0</v>
      </c>
      <c r="Y36" s="5">
        <v>1.49</v>
      </c>
      <c r="Z36" s="4" t="s">
        <v>45</v>
      </c>
      <c r="AA36" s="5" t="s">
        <v>45</v>
      </c>
      <c r="AB36" s="4" t="s">
        <v>73</v>
      </c>
      <c r="AC36" s="4" t="s">
        <v>45</v>
      </c>
      <c r="AD36" s="5">
        <v>0.0</v>
      </c>
      <c r="AE36" s="4" t="s">
        <v>74</v>
      </c>
      <c r="AF36" s="3">
        <v>45962.0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45</v>
      </c>
      <c r="AO36" s="4" t="s">
        <v>45</v>
      </c>
      <c r="AP36" s="4" t="s">
        <v>45</v>
      </c>
    </row>
    <row r="37" ht="12.75" customHeight="1">
      <c r="A37" s="2">
        <v>1891456.0</v>
      </c>
      <c r="B37" s="3">
        <v>46020.0</v>
      </c>
      <c r="C37" s="4" t="s">
        <v>82</v>
      </c>
      <c r="D37" s="2">
        <v>1831491.0</v>
      </c>
      <c r="E37" s="4" t="s">
        <v>138</v>
      </c>
      <c r="F37" s="4" t="s">
        <v>139</v>
      </c>
      <c r="G37" s="4" t="s">
        <v>45</v>
      </c>
      <c r="H37" s="4" t="s">
        <v>45</v>
      </c>
      <c r="I37" s="4" t="s">
        <v>45</v>
      </c>
      <c r="J37" s="4" t="s">
        <v>57</v>
      </c>
      <c r="K37" s="4" t="s">
        <v>58</v>
      </c>
      <c r="L37" s="3">
        <v>46023.0</v>
      </c>
      <c r="M37" s="4" t="s">
        <v>48</v>
      </c>
      <c r="N37" s="4" t="s">
        <v>45</v>
      </c>
      <c r="O37" s="4" t="s">
        <v>72</v>
      </c>
      <c r="P37" s="4" t="s">
        <v>49</v>
      </c>
      <c r="Q37" s="2">
        <v>2.0</v>
      </c>
      <c r="R37" s="2">
        <v>60.0</v>
      </c>
      <c r="S37" s="4" t="s">
        <v>53</v>
      </c>
      <c r="T37" s="4" t="s">
        <v>45</v>
      </c>
      <c r="U37" s="4" t="s">
        <v>45</v>
      </c>
      <c r="V37" s="5">
        <v>10.0</v>
      </c>
      <c r="W37" s="5">
        <v>26.88</v>
      </c>
      <c r="X37" s="5">
        <v>100.0</v>
      </c>
      <c r="Y37" s="5">
        <v>2.69</v>
      </c>
      <c r="Z37" s="4" t="s">
        <v>45</v>
      </c>
      <c r="AA37" s="5" t="s">
        <v>45</v>
      </c>
      <c r="AB37" s="4" t="s">
        <v>73</v>
      </c>
      <c r="AC37" s="4" t="s">
        <v>45</v>
      </c>
      <c r="AD37" s="5">
        <v>0.0</v>
      </c>
      <c r="AE37" s="4" t="s">
        <v>74</v>
      </c>
      <c r="AF37" s="3">
        <v>45962.0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45</v>
      </c>
      <c r="AO37" s="4" t="s">
        <v>45</v>
      </c>
      <c r="AP37" s="4" t="s">
        <v>45</v>
      </c>
    </row>
    <row r="38" ht="12.75" customHeight="1">
      <c r="A38" s="2">
        <v>1891456.0</v>
      </c>
      <c r="B38" s="3">
        <v>46020.0</v>
      </c>
      <c r="C38" s="4" t="s">
        <v>82</v>
      </c>
      <c r="D38" s="2">
        <v>1831491.0</v>
      </c>
      <c r="E38" s="4" t="s">
        <v>140</v>
      </c>
      <c r="F38" s="4" t="s">
        <v>141</v>
      </c>
      <c r="G38" s="4" t="s">
        <v>45</v>
      </c>
      <c r="H38" s="4" t="s">
        <v>45</v>
      </c>
      <c r="I38" s="4" t="s">
        <v>45</v>
      </c>
      <c r="J38" s="4" t="s">
        <v>57</v>
      </c>
      <c r="K38" s="4" t="s">
        <v>58</v>
      </c>
      <c r="L38" s="3">
        <v>46023.0</v>
      </c>
      <c r="M38" s="4" t="s">
        <v>48</v>
      </c>
      <c r="N38" s="4" t="s">
        <v>45</v>
      </c>
      <c r="O38" s="4" t="s">
        <v>72</v>
      </c>
      <c r="P38" s="4" t="s">
        <v>49</v>
      </c>
      <c r="Q38" s="2">
        <v>1.0</v>
      </c>
      <c r="R38" s="2">
        <v>60.0</v>
      </c>
      <c r="S38" s="4" t="s">
        <v>53</v>
      </c>
      <c r="T38" s="4" t="s">
        <v>45</v>
      </c>
      <c r="U38" s="4" t="s">
        <v>45</v>
      </c>
      <c r="V38" s="5">
        <v>10.0</v>
      </c>
      <c r="W38" s="5">
        <v>14.93</v>
      </c>
      <c r="X38" s="5">
        <v>100.0</v>
      </c>
      <c r="Y38" s="5">
        <v>1.49</v>
      </c>
      <c r="Z38" s="4" t="s">
        <v>45</v>
      </c>
      <c r="AA38" s="5" t="s">
        <v>45</v>
      </c>
      <c r="AB38" s="4" t="s">
        <v>73</v>
      </c>
      <c r="AC38" s="4" t="s">
        <v>45</v>
      </c>
      <c r="AD38" s="5">
        <v>0.0</v>
      </c>
      <c r="AE38" s="4" t="s">
        <v>74</v>
      </c>
      <c r="AF38" s="3">
        <v>45992.0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45</v>
      </c>
      <c r="AO38" s="4" t="s">
        <v>45</v>
      </c>
      <c r="AP38" s="4" t="s">
        <v>45</v>
      </c>
    </row>
    <row r="39" ht="12.75" customHeight="1">
      <c r="A39" s="2">
        <v>1891456.0</v>
      </c>
      <c r="B39" s="3">
        <v>46020.0</v>
      </c>
      <c r="C39" s="4" t="s">
        <v>82</v>
      </c>
      <c r="D39" s="2">
        <v>1831491.0</v>
      </c>
      <c r="E39" s="4" t="s">
        <v>142</v>
      </c>
      <c r="F39" s="4" t="s">
        <v>143</v>
      </c>
      <c r="G39" s="4" t="s">
        <v>45</v>
      </c>
      <c r="H39" s="4" t="s">
        <v>45</v>
      </c>
      <c r="I39" s="4" t="s">
        <v>45</v>
      </c>
      <c r="J39" s="4" t="s">
        <v>57</v>
      </c>
      <c r="K39" s="4" t="s">
        <v>58</v>
      </c>
      <c r="L39" s="3">
        <v>46023.0</v>
      </c>
      <c r="M39" s="4" t="s">
        <v>48</v>
      </c>
      <c r="N39" s="4" t="s">
        <v>45</v>
      </c>
      <c r="O39" s="4" t="s">
        <v>72</v>
      </c>
      <c r="P39" s="4" t="s">
        <v>49</v>
      </c>
      <c r="Q39" s="2">
        <v>2.0</v>
      </c>
      <c r="R39" s="2">
        <v>60.0</v>
      </c>
      <c r="S39" s="4" t="s">
        <v>53</v>
      </c>
      <c r="T39" s="4" t="s">
        <v>45</v>
      </c>
      <c r="U39" s="4" t="s">
        <v>45</v>
      </c>
      <c r="V39" s="5">
        <v>10.0</v>
      </c>
      <c r="W39" s="5">
        <v>26.88</v>
      </c>
      <c r="X39" s="5">
        <v>100.0</v>
      </c>
      <c r="Y39" s="5">
        <v>2.69</v>
      </c>
      <c r="Z39" s="4" t="s">
        <v>45</v>
      </c>
      <c r="AA39" s="5" t="s">
        <v>45</v>
      </c>
      <c r="AB39" s="4" t="s">
        <v>73</v>
      </c>
      <c r="AC39" s="4" t="s">
        <v>45</v>
      </c>
      <c r="AD39" s="5">
        <v>0.0</v>
      </c>
      <c r="AE39" s="4" t="s">
        <v>74</v>
      </c>
      <c r="AF39" s="3">
        <v>45992.0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45</v>
      </c>
      <c r="AO39" s="4" t="s">
        <v>45</v>
      </c>
      <c r="AP39" s="4" t="s">
        <v>45</v>
      </c>
    </row>
    <row r="40" ht="12.75" customHeight="1">
      <c r="A40" s="2">
        <v>1891456.0</v>
      </c>
      <c r="B40" s="3">
        <v>46020.0</v>
      </c>
      <c r="C40" s="4" t="s">
        <v>82</v>
      </c>
      <c r="D40" s="2">
        <v>1831491.0</v>
      </c>
      <c r="E40" s="4" t="s">
        <v>144</v>
      </c>
      <c r="F40" s="4" t="s">
        <v>145</v>
      </c>
      <c r="G40" s="4" t="s">
        <v>45</v>
      </c>
      <c r="H40" s="4" t="s">
        <v>45</v>
      </c>
      <c r="I40" s="4" t="s">
        <v>45</v>
      </c>
      <c r="J40" s="4" t="s">
        <v>57</v>
      </c>
      <c r="K40" s="4" t="s">
        <v>58</v>
      </c>
      <c r="L40" s="3">
        <v>46023.0</v>
      </c>
      <c r="M40" s="4" t="s">
        <v>48</v>
      </c>
      <c r="N40" s="4" t="s">
        <v>45</v>
      </c>
      <c r="O40" s="4" t="s">
        <v>72</v>
      </c>
      <c r="P40" s="4" t="s">
        <v>49</v>
      </c>
      <c r="Q40" s="2">
        <v>2.0</v>
      </c>
      <c r="R40" s="2">
        <v>60.0</v>
      </c>
      <c r="S40" s="4" t="s">
        <v>53</v>
      </c>
      <c r="T40" s="4" t="s">
        <v>45</v>
      </c>
      <c r="U40" s="4" t="s">
        <v>45</v>
      </c>
      <c r="V40" s="5">
        <v>10.0</v>
      </c>
      <c r="W40" s="5">
        <v>26.88</v>
      </c>
      <c r="X40" s="5">
        <v>100.0</v>
      </c>
      <c r="Y40" s="5">
        <v>2.69</v>
      </c>
      <c r="Z40" s="4" t="s">
        <v>45</v>
      </c>
      <c r="AA40" s="5" t="s">
        <v>45</v>
      </c>
      <c r="AB40" s="4" t="s">
        <v>73</v>
      </c>
      <c r="AC40" s="4" t="s">
        <v>45</v>
      </c>
      <c r="AD40" s="5">
        <v>0.0</v>
      </c>
      <c r="AE40" s="4" t="s">
        <v>74</v>
      </c>
      <c r="AF40" s="3">
        <v>45976.0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45</v>
      </c>
      <c r="AO40" s="4" t="s">
        <v>45</v>
      </c>
      <c r="AP40" s="4" t="s">
        <v>45</v>
      </c>
    </row>
    <row r="41" ht="12.75" customHeight="1">
      <c r="A41" s="2">
        <v>1891456.0</v>
      </c>
      <c r="B41" s="3">
        <v>46020.0</v>
      </c>
      <c r="C41" s="4" t="s">
        <v>82</v>
      </c>
      <c r="D41" s="2">
        <v>1831491.0</v>
      </c>
      <c r="E41" s="4" t="s">
        <v>146</v>
      </c>
      <c r="F41" s="4" t="s">
        <v>147</v>
      </c>
      <c r="G41" s="4" t="s">
        <v>45</v>
      </c>
      <c r="H41" s="4" t="s">
        <v>45</v>
      </c>
      <c r="I41" s="4" t="s">
        <v>45</v>
      </c>
      <c r="J41" s="4" t="s">
        <v>57</v>
      </c>
      <c r="K41" s="4" t="s">
        <v>58</v>
      </c>
      <c r="L41" s="3">
        <v>46023.0</v>
      </c>
      <c r="M41" s="4" t="s">
        <v>48</v>
      </c>
      <c r="N41" s="4" t="s">
        <v>45</v>
      </c>
      <c r="O41" s="4" t="s">
        <v>72</v>
      </c>
      <c r="P41" s="4" t="s">
        <v>49</v>
      </c>
      <c r="Q41" s="2">
        <v>1.0</v>
      </c>
      <c r="R41" s="2">
        <v>60.0</v>
      </c>
      <c r="S41" s="4" t="s">
        <v>53</v>
      </c>
      <c r="T41" s="4" t="s">
        <v>45</v>
      </c>
      <c r="U41" s="4" t="s">
        <v>45</v>
      </c>
      <c r="V41" s="5">
        <v>10.0</v>
      </c>
      <c r="W41" s="5">
        <v>14.93</v>
      </c>
      <c r="X41" s="5">
        <v>100.0</v>
      </c>
      <c r="Y41" s="5">
        <v>1.49</v>
      </c>
      <c r="Z41" s="4" t="s">
        <v>45</v>
      </c>
      <c r="AA41" s="5" t="s">
        <v>45</v>
      </c>
      <c r="AB41" s="4" t="s">
        <v>73</v>
      </c>
      <c r="AC41" s="4" t="s">
        <v>45</v>
      </c>
      <c r="AD41" s="5">
        <v>0.0</v>
      </c>
      <c r="AE41" s="4" t="s">
        <v>74</v>
      </c>
      <c r="AF41" s="3">
        <v>45978.0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45</v>
      </c>
      <c r="AO41" s="4" t="s">
        <v>45</v>
      </c>
      <c r="AP41" s="4" t="s">
        <v>45</v>
      </c>
    </row>
    <row r="42" ht="12.75" customHeight="1">
      <c r="A42" s="2">
        <v>1891456.0</v>
      </c>
      <c r="B42" s="3">
        <v>46020.0</v>
      </c>
      <c r="C42" s="4" t="s">
        <v>82</v>
      </c>
      <c r="D42" s="2">
        <v>1831491.0</v>
      </c>
      <c r="E42" s="4" t="s">
        <v>148</v>
      </c>
      <c r="F42" s="4" t="s">
        <v>149</v>
      </c>
      <c r="G42" s="4" t="s">
        <v>45</v>
      </c>
      <c r="H42" s="4" t="s">
        <v>45</v>
      </c>
      <c r="I42" s="4" t="s">
        <v>45</v>
      </c>
      <c r="J42" s="4" t="s">
        <v>57</v>
      </c>
      <c r="K42" s="4" t="s">
        <v>58</v>
      </c>
      <c r="L42" s="3">
        <v>46023.0</v>
      </c>
      <c r="M42" s="4" t="s">
        <v>48</v>
      </c>
      <c r="N42" s="4" t="s">
        <v>45</v>
      </c>
      <c r="O42" s="4" t="s">
        <v>72</v>
      </c>
      <c r="P42" s="4" t="s">
        <v>49</v>
      </c>
      <c r="Q42" s="2">
        <v>1.0</v>
      </c>
      <c r="R42" s="2">
        <v>60.0</v>
      </c>
      <c r="S42" s="4" t="s">
        <v>53</v>
      </c>
      <c r="T42" s="4" t="s">
        <v>45</v>
      </c>
      <c r="U42" s="4" t="s">
        <v>45</v>
      </c>
      <c r="V42" s="5">
        <v>10.0</v>
      </c>
      <c r="W42" s="5">
        <v>13.97</v>
      </c>
      <c r="X42" s="5">
        <v>100.0</v>
      </c>
      <c r="Y42" s="5">
        <v>1.4</v>
      </c>
      <c r="Z42" s="4" t="s">
        <v>45</v>
      </c>
      <c r="AA42" s="5" t="s">
        <v>45</v>
      </c>
      <c r="AB42" s="4" t="s">
        <v>73</v>
      </c>
      <c r="AC42" s="4" t="s">
        <v>45</v>
      </c>
      <c r="AD42" s="5">
        <v>0.0</v>
      </c>
      <c r="AE42" s="4" t="s">
        <v>74</v>
      </c>
      <c r="AF42" s="3">
        <v>45994.0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45</v>
      </c>
      <c r="AO42" s="4" t="s">
        <v>45</v>
      </c>
      <c r="AP42" s="4" t="s">
        <v>45</v>
      </c>
    </row>
    <row r="43" ht="12.75" customHeight="1">
      <c r="A43" s="2">
        <v>1891456.0</v>
      </c>
      <c r="B43" s="3">
        <v>46020.0</v>
      </c>
      <c r="C43" s="4" t="s">
        <v>150</v>
      </c>
      <c r="D43" s="2">
        <v>1875462.0</v>
      </c>
      <c r="E43" s="4" t="s">
        <v>151</v>
      </c>
      <c r="F43" s="4" t="s">
        <v>152</v>
      </c>
      <c r="G43" s="4" t="s">
        <v>45</v>
      </c>
      <c r="H43" s="4" t="s">
        <v>45</v>
      </c>
      <c r="I43" s="4" t="s">
        <v>45</v>
      </c>
      <c r="J43" s="4" t="s">
        <v>57</v>
      </c>
      <c r="K43" s="4" t="s">
        <v>58</v>
      </c>
      <c r="L43" s="3">
        <v>46023.0</v>
      </c>
      <c r="M43" s="4" t="s">
        <v>48</v>
      </c>
      <c r="N43" s="4" t="s">
        <v>45</v>
      </c>
      <c r="O43" s="4" t="s">
        <v>72</v>
      </c>
      <c r="P43" s="4" t="s">
        <v>49</v>
      </c>
      <c r="Q43" s="2">
        <v>2.0</v>
      </c>
      <c r="R43" s="2">
        <v>60.0</v>
      </c>
      <c r="S43" s="4" t="s">
        <v>53</v>
      </c>
      <c r="T43" s="4" t="s">
        <v>45</v>
      </c>
      <c r="U43" s="4" t="s">
        <v>45</v>
      </c>
      <c r="V43" s="5">
        <v>10.0</v>
      </c>
      <c r="W43" s="5">
        <v>23.99</v>
      </c>
      <c r="X43" s="5">
        <v>100.0</v>
      </c>
      <c r="Y43" s="5">
        <v>2.4</v>
      </c>
      <c r="Z43" s="4" t="s">
        <v>45</v>
      </c>
      <c r="AA43" s="5" t="s">
        <v>45</v>
      </c>
      <c r="AB43" s="4" t="s">
        <v>73</v>
      </c>
      <c r="AC43" s="4" t="s">
        <v>45</v>
      </c>
      <c r="AD43" s="5">
        <v>0.0</v>
      </c>
      <c r="AE43" s="4" t="s">
        <v>74</v>
      </c>
      <c r="AF43" s="3">
        <v>45713.0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45</v>
      </c>
      <c r="AO43" s="4" t="s">
        <v>45</v>
      </c>
      <c r="AP43" s="4" t="s">
        <v>45</v>
      </c>
    </row>
    <row r="44" ht="12.75" customHeight="1">
      <c r="A44" s="6">
        <v>1891456.0</v>
      </c>
      <c r="B44" s="7">
        <v>46020.0</v>
      </c>
      <c r="C44" s="8" t="s">
        <v>150</v>
      </c>
      <c r="D44" s="6">
        <v>1875462.0</v>
      </c>
      <c r="E44" s="8" t="s">
        <v>153</v>
      </c>
      <c r="F44" s="8" t="s">
        <v>154</v>
      </c>
      <c r="G44" s="8" t="s">
        <v>45</v>
      </c>
      <c r="H44" s="8" t="s">
        <v>45</v>
      </c>
      <c r="I44" s="8" t="s">
        <v>45</v>
      </c>
      <c r="J44" s="8" t="s">
        <v>57</v>
      </c>
      <c r="K44" s="8" t="s">
        <v>58</v>
      </c>
      <c r="L44" s="7">
        <v>46023.0</v>
      </c>
      <c r="M44" s="8" t="s">
        <v>48</v>
      </c>
      <c r="N44" s="8" t="s">
        <v>45</v>
      </c>
      <c r="O44" s="8" t="s">
        <v>72</v>
      </c>
      <c r="P44" s="8" t="s">
        <v>49</v>
      </c>
      <c r="Q44" s="6">
        <v>3.0</v>
      </c>
      <c r="R44" s="6">
        <v>3.0</v>
      </c>
      <c r="S44" s="8" t="s">
        <v>50</v>
      </c>
      <c r="T44" s="8" t="s">
        <v>45</v>
      </c>
      <c r="U44" s="8" t="s">
        <v>45</v>
      </c>
      <c r="V44" s="9">
        <v>0.01</v>
      </c>
      <c r="W44" s="9">
        <v>0.0</v>
      </c>
      <c r="X44" s="9">
        <v>100.0</v>
      </c>
      <c r="Y44" s="9">
        <v>30.0</v>
      </c>
      <c r="Z44" s="8" t="s">
        <v>45</v>
      </c>
      <c r="AA44" s="9" t="s">
        <v>45</v>
      </c>
      <c r="AB44" s="8" t="s">
        <v>73</v>
      </c>
      <c r="AC44" s="8" t="s">
        <v>45</v>
      </c>
      <c r="AD44" s="9">
        <v>0.0</v>
      </c>
      <c r="AE44" s="8" t="s">
        <v>74</v>
      </c>
      <c r="AF44" s="7">
        <v>46023.0</v>
      </c>
      <c r="AG44" s="8" t="s">
        <v>45</v>
      </c>
      <c r="AH44" s="8" t="s">
        <v>45</v>
      </c>
      <c r="AI44" s="8" t="s">
        <v>45</v>
      </c>
      <c r="AJ44" s="8" t="s">
        <v>45</v>
      </c>
      <c r="AK44" s="8" t="s">
        <v>45</v>
      </c>
      <c r="AL44" s="8" t="s">
        <v>45</v>
      </c>
      <c r="AM44" s="8" t="s">
        <v>45</v>
      </c>
      <c r="AN44" s="8" t="s">
        <v>45</v>
      </c>
      <c r="AO44" s="8" t="s">
        <v>45</v>
      </c>
      <c r="AP44" s="8" t="s">
        <v>45</v>
      </c>
    </row>
    <row r="45" ht="12.75" customHeight="1">
      <c r="A45" s="2">
        <v>1891456.0</v>
      </c>
      <c r="B45" s="3">
        <v>46020.0</v>
      </c>
      <c r="C45" s="4" t="s">
        <v>150</v>
      </c>
      <c r="D45" s="2">
        <v>1875462.0</v>
      </c>
      <c r="E45" s="4" t="s">
        <v>155</v>
      </c>
      <c r="F45" s="4" t="s">
        <v>156</v>
      </c>
      <c r="G45" s="4" t="s">
        <v>45</v>
      </c>
      <c r="H45" s="4" t="s">
        <v>45</v>
      </c>
      <c r="I45" s="4" t="s">
        <v>45</v>
      </c>
      <c r="J45" s="4" t="s">
        <v>57</v>
      </c>
      <c r="K45" s="4" t="s">
        <v>58</v>
      </c>
      <c r="L45" s="3">
        <v>46023.0</v>
      </c>
      <c r="M45" s="4" t="s">
        <v>48</v>
      </c>
      <c r="N45" s="4" t="s">
        <v>45</v>
      </c>
      <c r="O45" s="4" t="s">
        <v>72</v>
      </c>
      <c r="P45" s="4" t="s">
        <v>49</v>
      </c>
      <c r="Q45" s="2">
        <v>3.0</v>
      </c>
      <c r="R45" s="2">
        <v>60.0</v>
      </c>
      <c r="S45" s="4" t="s">
        <v>53</v>
      </c>
      <c r="T45" s="4" t="s">
        <v>45</v>
      </c>
      <c r="U45" s="4" t="s">
        <v>45</v>
      </c>
      <c r="V45" s="5">
        <v>15.0</v>
      </c>
      <c r="W45" s="5">
        <v>36.99</v>
      </c>
      <c r="X45" s="5">
        <v>100.0</v>
      </c>
      <c r="Y45" s="5">
        <v>40.55</v>
      </c>
      <c r="Z45" s="4" t="s">
        <v>45</v>
      </c>
      <c r="AA45" s="5" t="s">
        <v>45</v>
      </c>
      <c r="AB45" s="4" t="s">
        <v>73</v>
      </c>
      <c r="AC45" s="4" t="s">
        <v>45</v>
      </c>
      <c r="AD45" s="5">
        <v>0.0</v>
      </c>
      <c r="AE45" s="4" t="s">
        <v>74</v>
      </c>
      <c r="AF45" s="3">
        <v>46023.0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45</v>
      </c>
      <c r="AO45" s="4" t="s">
        <v>45</v>
      </c>
      <c r="AP45" s="4" t="s">
        <v>45</v>
      </c>
    </row>
    <row r="46" ht="12.75" customHeight="1">
      <c r="A46" s="2">
        <v>1891456.0</v>
      </c>
      <c r="B46" s="3">
        <v>46020.0</v>
      </c>
      <c r="C46" s="4" t="s">
        <v>45</v>
      </c>
      <c r="D46" s="2" t="s">
        <v>45</v>
      </c>
      <c r="E46" s="4" t="s">
        <v>45</v>
      </c>
      <c r="F46" s="4" t="s">
        <v>45</v>
      </c>
      <c r="G46" s="4" t="s">
        <v>45</v>
      </c>
      <c r="H46" s="4" t="s">
        <v>45</v>
      </c>
      <c r="I46" s="4" t="s">
        <v>45</v>
      </c>
      <c r="J46" s="4" t="s">
        <v>45</v>
      </c>
      <c r="K46" s="4" t="s">
        <v>45</v>
      </c>
      <c r="L46" s="4" t="s">
        <v>45</v>
      </c>
      <c r="M46" s="4" t="s">
        <v>157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45</v>
      </c>
      <c r="S46" s="4" t="s">
        <v>45</v>
      </c>
      <c r="T46" s="4" t="s">
        <v>45</v>
      </c>
      <c r="U46" s="4" t="s">
        <v>45</v>
      </c>
      <c r="V46" s="5" t="s">
        <v>45</v>
      </c>
      <c r="W46" s="4" t="s">
        <v>45</v>
      </c>
      <c r="X46" s="5" t="s">
        <v>45</v>
      </c>
      <c r="Y46" s="4" t="s">
        <v>45</v>
      </c>
      <c r="Z46" s="4" t="s">
        <v>45</v>
      </c>
      <c r="AA46" s="5" t="s">
        <v>45</v>
      </c>
      <c r="AB46" s="4" t="s">
        <v>45</v>
      </c>
      <c r="AC46" s="4" t="s">
        <v>158</v>
      </c>
      <c r="AD46" s="5">
        <v>0.0</v>
      </c>
      <c r="AE46" s="4" t="s">
        <v>159</v>
      </c>
      <c r="AF46" s="4" t="s">
        <v>45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45</v>
      </c>
      <c r="AO46" s="4" t="s">
        <v>45</v>
      </c>
      <c r="AP46" s="4" t="s">
        <v>45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3.63"/>
    <col customWidth="1" min="3" max="3" width="28.63"/>
    <col customWidth="1" min="4" max="4" width="13.25"/>
    <col customWidth="1" min="5" max="6" width="11.38"/>
    <col customWidth="1" min="7" max="7" width="10.75"/>
    <col customWidth="1" min="8" max="8" width="8.88"/>
    <col customWidth="1" min="9" max="9" width="9.63"/>
    <col customWidth="1" min="10" max="10" width="9.38"/>
    <col customWidth="1" min="11" max="11" width="9.88"/>
    <col customWidth="1" min="12" max="12" width="13.75"/>
    <col customWidth="1" min="13" max="16" width="8.63"/>
    <col customWidth="1" min="17" max="17" width="13.38"/>
    <col customWidth="1" min="18" max="18" width="12.0"/>
    <col customWidth="1" min="19" max="19" width="8.63"/>
    <col customWidth="1" min="20" max="20" width="15.38"/>
    <col customWidth="1" min="21" max="21" width="13.13"/>
    <col customWidth="1" min="22" max="41" width="8.63"/>
  </cols>
  <sheetData>
    <row r="1" ht="12.7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21</v>
      </c>
      <c r="I1" s="1" t="s">
        <v>22</v>
      </c>
      <c r="J1" s="1" t="s">
        <v>24</v>
      </c>
      <c r="K1" s="1" t="s">
        <v>27</v>
      </c>
      <c r="L1" s="1" t="s">
        <v>31</v>
      </c>
    </row>
    <row r="2" ht="12.75" customHeight="1">
      <c r="A2" s="10" t="s">
        <v>82</v>
      </c>
      <c r="B2" s="11">
        <v>1.8828278E7</v>
      </c>
      <c r="C2" s="10" t="s">
        <v>83</v>
      </c>
      <c r="D2" s="12">
        <v>9.03050933E9</v>
      </c>
      <c r="E2" s="13">
        <v>46023.0</v>
      </c>
      <c r="F2" s="10" t="s">
        <v>48</v>
      </c>
      <c r="G2" s="10" t="s">
        <v>53</v>
      </c>
      <c r="H2" s="14">
        <v>10.0</v>
      </c>
      <c r="I2" s="14">
        <v>26.88</v>
      </c>
      <c r="J2" s="14">
        <v>2.69</v>
      </c>
      <c r="K2" s="10" t="s">
        <v>73</v>
      </c>
      <c r="L2" s="13">
        <v>45808.0</v>
      </c>
      <c r="M2" s="15" t="s">
        <v>160</v>
      </c>
      <c r="N2" s="15"/>
      <c r="O2" s="15"/>
      <c r="P2" s="15"/>
      <c r="Q2" s="12">
        <v>9.03050933E9</v>
      </c>
      <c r="R2" s="15" t="str">
        <f t="shared" ref="R2:R35" si="1">CONCATENATE(Q2,4)</f>
        <v>90305093304</v>
      </c>
      <c r="S2" s="15"/>
      <c r="T2" s="10" t="s">
        <v>161</v>
      </c>
      <c r="U2" s="15" t="s">
        <v>162</v>
      </c>
      <c r="V2" s="15" t="str">
        <f t="shared" ref="V2:V43" si="2">CONCATENATE(U2," ",T2)</f>
        <v>Gerald Urish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ht="12.75" customHeight="1">
      <c r="A3" s="10" t="s">
        <v>82</v>
      </c>
      <c r="B3" s="11">
        <v>1.8828278E7</v>
      </c>
      <c r="C3" s="10" t="s">
        <v>85</v>
      </c>
      <c r="D3" s="12">
        <v>9.03054433E9</v>
      </c>
      <c r="E3" s="13">
        <v>46023.0</v>
      </c>
      <c r="F3" s="10" t="s">
        <v>48</v>
      </c>
      <c r="G3" s="10" t="s">
        <v>53</v>
      </c>
      <c r="H3" s="14">
        <v>10.0</v>
      </c>
      <c r="I3" s="14">
        <v>26.88</v>
      </c>
      <c r="J3" s="14">
        <v>2.69</v>
      </c>
      <c r="K3" s="10" t="s">
        <v>73</v>
      </c>
      <c r="L3" s="13">
        <v>45808.0</v>
      </c>
      <c r="M3" s="15" t="s">
        <v>160</v>
      </c>
      <c r="N3" s="15"/>
      <c r="O3" s="15"/>
      <c r="P3" s="15"/>
      <c r="Q3" s="12">
        <v>9.03054433E9</v>
      </c>
      <c r="R3" s="15" t="str">
        <f t="shared" si="1"/>
        <v>90305443304</v>
      </c>
      <c r="S3" s="15"/>
      <c r="T3" s="10" t="s">
        <v>163</v>
      </c>
      <c r="U3" s="15" t="s">
        <v>164</v>
      </c>
      <c r="V3" s="15" t="str">
        <f t="shared" si="2"/>
        <v>Brianna Gambetti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ht="12.75" customHeight="1">
      <c r="A4" s="10" t="s">
        <v>82</v>
      </c>
      <c r="B4" s="11">
        <v>1.8828278E7</v>
      </c>
      <c r="C4" s="10" t="s">
        <v>85</v>
      </c>
      <c r="D4" s="12">
        <v>9.03054435E9</v>
      </c>
      <c r="E4" s="13">
        <v>46023.0</v>
      </c>
      <c r="F4" s="10" t="s">
        <v>48</v>
      </c>
      <c r="G4" s="10" t="s">
        <v>53</v>
      </c>
      <c r="H4" s="14">
        <v>10.0</v>
      </c>
      <c r="I4" s="14">
        <v>26.88</v>
      </c>
      <c r="J4" s="14">
        <v>2.69</v>
      </c>
      <c r="K4" s="10" t="s">
        <v>73</v>
      </c>
      <c r="L4" s="13">
        <v>45808.0</v>
      </c>
      <c r="M4" s="15" t="s">
        <v>160</v>
      </c>
      <c r="N4" s="15"/>
      <c r="O4" s="15"/>
      <c r="P4" s="15"/>
      <c r="Q4" s="12">
        <v>9.03054435E9</v>
      </c>
      <c r="R4" s="15" t="str">
        <f t="shared" si="1"/>
        <v>90305443504</v>
      </c>
      <c r="S4" s="15"/>
      <c r="T4" s="10" t="s">
        <v>163</v>
      </c>
      <c r="U4" s="15" t="s">
        <v>164</v>
      </c>
      <c r="V4" s="15" t="str">
        <f t="shared" si="2"/>
        <v>Brianna Gambetti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ht="12.75" customHeight="1">
      <c r="A5" s="10" t="s">
        <v>82</v>
      </c>
      <c r="B5" s="11">
        <v>1.8828278E7</v>
      </c>
      <c r="C5" s="10" t="s">
        <v>88</v>
      </c>
      <c r="D5" s="12">
        <v>9.03055833E9</v>
      </c>
      <c r="E5" s="13">
        <v>46023.0</v>
      </c>
      <c r="F5" s="10" t="s">
        <v>48</v>
      </c>
      <c r="G5" s="10" t="s">
        <v>53</v>
      </c>
      <c r="H5" s="14">
        <v>10.0</v>
      </c>
      <c r="I5" s="14">
        <v>26.88</v>
      </c>
      <c r="J5" s="14">
        <v>2.69</v>
      </c>
      <c r="K5" s="10" t="s">
        <v>73</v>
      </c>
      <c r="L5" s="13">
        <v>45808.0</v>
      </c>
      <c r="M5" s="15" t="s">
        <v>160</v>
      </c>
      <c r="N5" s="15"/>
      <c r="O5" s="15"/>
      <c r="P5" s="15"/>
      <c r="Q5" s="12">
        <v>9.03055833E9</v>
      </c>
      <c r="R5" s="15" t="str">
        <f t="shared" si="1"/>
        <v>90305583304</v>
      </c>
      <c r="S5" s="15"/>
      <c r="T5" s="10" t="s">
        <v>165</v>
      </c>
      <c r="U5" s="15" t="s">
        <v>166</v>
      </c>
      <c r="V5" s="15" t="str">
        <f t="shared" si="2"/>
        <v>David Taylor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ht="12.75" customHeight="1">
      <c r="A6" s="10" t="s">
        <v>82</v>
      </c>
      <c r="B6" s="11">
        <v>1.8828278E7</v>
      </c>
      <c r="C6" s="10" t="s">
        <v>90</v>
      </c>
      <c r="D6" s="12">
        <v>9.03057246E9</v>
      </c>
      <c r="E6" s="13">
        <v>46023.0</v>
      </c>
      <c r="F6" s="10" t="s">
        <v>48</v>
      </c>
      <c r="G6" s="10" t="s">
        <v>53</v>
      </c>
      <c r="H6" s="14">
        <v>10.0</v>
      </c>
      <c r="I6" s="14">
        <v>13.93</v>
      </c>
      <c r="J6" s="14">
        <v>1.39</v>
      </c>
      <c r="K6" s="10" t="s">
        <v>73</v>
      </c>
      <c r="L6" s="13">
        <v>45809.0</v>
      </c>
      <c r="M6" s="15" t="s">
        <v>160</v>
      </c>
      <c r="N6" s="15"/>
      <c r="O6" s="15"/>
      <c r="P6" s="15"/>
      <c r="Q6" s="12">
        <v>9.03057246E9</v>
      </c>
      <c r="R6" s="15" t="str">
        <f t="shared" si="1"/>
        <v>90305724604</v>
      </c>
      <c r="S6" s="15"/>
      <c r="T6" s="10" t="s">
        <v>167</v>
      </c>
      <c r="U6" s="15" t="s">
        <v>168</v>
      </c>
      <c r="V6" s="15" t="str">
        <f t="shared" si="2"/>
        <v>Robert Shaw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ht="12.75" customHeight="1">
      <c r="A7" s="10" t="s">
        <v>82</v>
      </c>
      <c r="B7" s="11">
        <v>1.8828278E7</v>
      </c>
      <c r="C7" s="10" t="s">
        <v>92</v>
      </c>
      <c r="D7" s="12">
        <v>9.03057777E9</v>
      </c>
      <c r="E7" s="13">
        <v>46023.0</v>
      </c>
      <c r="F7" s="10" t="s">
        <v>48</v>
      </c>
      <c r="G7" s="10" t="s">
        <v>53</v>
      </c>
      <c r="H7" s="14">
        <v>10.0</v>
      </c>
      <c r="I7" s="14">
        <v>46.8</v>
      </c>
      <c r="J7" s="14">
        <v>4.68</v>
      </c>
      <c r="K7" s="10" t="s">
        <v>73</v>
      </c>
      <c r="L7" s="13">
        <v>45809.0</v>
      </c>
      <c r="M7" s="15" t="s">
        <v>160</v>
      </c>
      <c r="N7" s="15"/>
      <c r="O7" s="15"/>
      <c r="P7" s="15"/>
      <c r="Q7" s="12">
        <v>9.03057777E9</v>
      </c>
      <c r="R7" s="15" t="str">
        <f t="shared" si="1"/>
        <v>90305777704</v>
      </c>
      <c r="S7" s="15"/>
      <c r="T7" s="10" t="s">
        <v>169</v>
      </c>
      <c r="U7" s="15" t="s">
        <v>170</v>
      </c>
      <c r="V7" s="15" t="str">
        <f t="shared" si="2"/>
        <v>Eric Sisco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ht="12.75" customHeight="1">
      <c r="A8" s="10" t="s">
        <v>82</v>
      </c>
      <c r="B8" s="11">
        <v>1.8828278E7</v>
      </c>
      <c r="C8" s="10" t="s">
        <v>94</v>
      </c>
      <c r="D8" s="12">
        <v>9.03058243E9</v>
      </c>
      <c r="E8" s="13">
        <v>46023.0</v>
      </c>
      <c r="F8" s="10" t="s">
        <v>48</v>
      </c>
      <c r="G8" s="10" t="s">
        <v>53</v>
      </c>
      <c r="H8" s="14">
        <v>10.0</v>
      </c>
      <c r="I8" s="14">
        <v>26.88</v>
      </c>
      <c r="J8" s="14">
        <v>2.69</v>
      </c>
      <c r="K8" s="10" t="s">
        <v>73</v>
      </c>
      <c r="L8" s="13">
        <v>45809.0</v>
      </c>
      <c r="M8" s="15" t="s">
        <v>160</v>
      </c>
      <c r="N8" s="15"/>
      <c r="O8" s="15"/>
      <c r="P8" s="15"/>
      <c r="Q8" s="12">
        <v>9.03058243E9</v>
      </c>
      <c r="R8" s="15" t="str">
        <f t="shared" si="1"/>
        <v>90305824304</v>
      </c>
      <c r="S8" s="15"/>
      <c r="T8" s="10" t="s">
        <v>171</v>
      </c>
      <c r="U8" s="15" t="s">
        <v>172</v>
      </c>
      <c r="V8" s="15" t="str">
        <f t="shared" si="2"/>
        <v>Laurie Round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ht="12.75" customHeight="1">
      <c r="A9" s="10" t="s">
        <v>82</v>
      </c>
      <c r="B9" s="11">
        <v>1.8828278E7</v>
      </c>
      <c r="C9" s="10" t="s">
        <v>96</v>
      </c>
      <c r="D9" s="12">
        <v>9.03064514E9</v>
      </c>
      <c r="E9" s="13">
        <v>46023.0</v>
      </c>
      <c r="F9" s="10" t="s">
        <v>48</v>
      </c>
      <c r="G9" s="10" t="s">
        <v>53</v>
      </c>
      <c r="H9" s="14">
        <v>10.0</v>
      </c>
      <c r="I9" s="14">
        <v>26.88</v>
      </c>
      <c r="J9" s="14">
        <v>2.69</v>
      </c>
      <c r="K9" s="10" t="s">
        <v>73</v>
      </c>
      <c r="L9" s="13">
        <v>45816.0</v>
      </c>
      <c r="M9" s="15" t="s">
        <v>160</v>
      </c>
      <c r="N9" s="15"/>
      <c r="O9" s="15"/>
      <c r="P9" s="15"/>
      <c r="Q9" s="12">
        <v>9.03064514E9</v>
      </c>
      <c r="R9" s="15" t="str">
        <f t="shared" si="1"/>
        <v>90306451404</v>
      </c>
      <c r="S9" s="15"/>
      <c r="T9" s="10" t="s">
        <v>173</v>
      </c>
      <c r="U9" s="15" t="s">
        <v>174</v>
      </c>
      <c r="V9" s="15" t="str">
        <f t="shared" si="2"/>
        <v>Ron Ferris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ht="12.75" customHeight="1">
      <c r="A10" s="10" t="s">
        <v>82</v>
      </c>
      <c r="B10" s="11">
        <v>1.8828278E7</v>
      </c>
      <c r="C10" s="10" t="s">
        <v>98</v>
      </c>
      <c r="D10" s="12">
        <v>9.03064556E9</v>
      </c>
      <c r="E10" s="13">
        <v>46023.0</v>
      </c>
      <c r="F10" s="10" t="s">
        <v>48</v>
      </c>
      <c r="G10" s="10" t="s">
        <v>53</v>
      </c>
      <c r="H10" s="14">
        <v>10.0</v>
      </c>
      <c r="I10" s="14">
        <v>13.93</v>
      </c>
      <c r="J10" s="14">
        <v>1.39</v>
      </c>
      <c r="K10" s="10" t="s">
        <v>73</v>
      </c>
      <c r="L10" s="13">
        <v>45816.0</v>
      </c>
      <c r="M10" s="15" t="s">
        <v>160</v>
      </c>
      <c r="N10" s="15"/>
      <c r="O10" s="15"/>
      <c r="P10" s="15"/>
      <c r="Q10" s="12">
        <v>9.03064556E9</v>
      </c>
      <c r="R10" s="15" t="str">
        <f t="shared" si="1"/>
        <v>90306455604</v>
      </c>
      <c r="S10" s="15"/>
      <c r="T10" s="10" t="s">
        <v>175</v>
      </c>
      <c r="U10" s="15" t="s">
        <v>176</v>
      </c>
      <c r="V10" s="15" t="str">
        <f t="shared" si="2"/>
        <v>Victoria Shirkey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ht="12.75" customHeight="1">
      <c r="A11" s="10" t="s">
        <v>82</v>
      </c>
      <c r="B11" s="11">
        <v>1.8828278E7</v>
      </c>
      <c r="C11" s="10" t="s">
        <v>100</v>
      </c>
      <c r="D11" s="12">
        <v>9.03065177E9</v>
      </c>
      <c r="E11" s="13">
        <v>46023.0</v>
      </c>
      <c r="F11" s="10" t="s">
        <v>48</v>
      </c>
      <c r="G11" s="10" t="s">
        <v>53</v>
      </c>
      <c r="H11" s="14">
        <v>10.0</v>
      </c>
      <c r="I11" s="14">
        <v>13.93</v>
      </c>
      <c r="J11" s="14">
        <v>1.39</v>
      </c>
      <c r="K11" s="10" t="s">
        <v>73</v>
      </c>
      <c r="L11" s="13">
        <v>45817.0</v>
      </c>
      <c r="M11" s="15" t="s">
        <v>160</v>
      </c>
      <c r="N11" s="15"/>
      <c r="O11" s="15"/>
      <c r="P11" s="15"/>
      <c r="Q11" s="12">
        <v>9.03065177E9</v>
      </c>
      <c r="R11" s="15" t="str">
        <f t="shared" si="1"/>
        <v>90306517704</v>
      </c>
      <c r="S11" s="15"/>
      <c r="T11" s="10" t="s">
        <v>177</v>
      </c>
      <c r="U11" s="15" t="s">
        <v>178</v>
      </c>
      <c r="V11" s="15" t="str">
        <f t="shared" si="2"/>
        <v>Thomas Thompson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ht="12.75" customHeight="1">
      <c r="A12" s="10" t="s">
        <v>82</v>
      </c>
      <c r="B12" s="11">
        <v>1.8828278E7</v>
      </c>
      <c r="C12" s="10" t="s">
        <v>102</v>
      </c>
      <c r="D12" s="12">
        <v>9.03065204E9</v>
      </c>
      <c r="E12" s="13">
        <v>46023.0</v>
      </c>
      <c r="F12" s="10" t="s">
        <v>48</v>
      </c>
      <c r="G12" s="10" t="s">
        <v>53</v>
      </c>
      <c r="H12" s="14">
        <v>10.0</v>
      </c>
      <c r="I12" s="14">
        <v>26.88</v>
      </c>
      <c r="J12" s="14">
        <v>2.69</v>
      </c>
      <c r="K12" s="10" t="s">
        <v>73</v>
      </c>
      <c r="L12" s="13">
        <v>45817.0</v>
      </c>
      <c r="M12" s="15" t="s">
        <v>160</v>
      </c>
      <c r="N12" s="15"/>
      <c r="O12" s="15"/>
      <c r="P12" s="15"/>
      <c r="Q12" s="12">
        <v>9.03065204E9</v>
      </c>
      <c r="R12" s="15" t="str">
        <f t="shared" si="1"/>
        <v>90306520404</v>
      </c>
      <c r="S12" s="15"/>
      <c r="T12" s="10" t="s">
        <v>179</v>
      </c>
      <c r="U12" s="15" t="s">
        <v>180</v>
      </c>
      <c r="V12" s="15" t="str">
        <f t="shared" si="2"/>
        <v>Nancy Dauer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ht="12.75" customHeight="1">
      <c r="A13" s="10" t="s">
        <v>82</v>
      </c>
      <c r="B13" s="11">
        <v>1.8828278E7</v>
      </c>
      <c r="C13" s="10" t="s">
        <v>104</v>
      </c>
      <c r="D13" s="12">
        <v>9.03065254E9</v>
      </c>
      <c r="E13" s="13">
        <v>46023.0</v>
      </c>
      <c r="F13" s="10" t="s">
        <v>48</v>
      </c>
      <c r="G13" s="10" t="s">
        <v>53</v>
      </c>
      <c r="H13" s="14">
        <v>10.0</v>
      </c>
      <c r="I13" s="14">
        <v>13.93</v>
      </c>
      <c r="J13" s="14">
        <v>1.39</v>
      </c>
      <c r="K13" s="10" t="s">
        <v>73</v>
      </c>
      <c r="L13" s="13">
        <v>45870.0</v>
      </c>
      <c r="M13" s="15" t="s">
        <v>160</v>
      </c>
      <c r="N13" s="15"/>
      <c r="O13" s="15"/>
      <c r="P13" s="15"/>
      <c r="Q13" s="12">
        <v>9.03065254E9</v>
      </c>
      <c r="R13" s="15" t="str">
        <f t="shared" si="1"/>
        <v>90306525404</v>
      </c>
      <c r="S13" s="15"/>
      <c r="T13" s="10" t="s">
        <v>181</v>
      </c>
      <c r="U13" s="15" t="s">
        <v>182</v>
      </c>
      <c r="V13" s="15" t="str">
        <f t="shared" si="2"/>
        <v>John Sciutto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ht="12.75" customHeight="1">
      <c r="A14" s="10" t="s">
        <v>82</v>
      </c>
      <c r="B14" s="11">
        <v>1.8828278E7</v>
      </c>
      <c r="C14" s="10" t="s">
        <v>106</v>
      </c>
      <c r="D14" s="12">
        <v>9.03067555E9</v>
      </c>
      <c r="E14" s="13">
        <v>46023.0</v>
      </c>
      <c r="F14" s="10" t="s">
        <v>48</v>
      </c>
      <c r="G14" s="10" t="s">
        <v>53</v>
      </c>
      <c r="H14" s="14">
        <v>10.0</v>
      </c>
      <c r="I14" s="14">
        <v>13.93</v>
      </c>
      <c r="J14" s="14">
        <v>1.39</v>
      </c>
      <c r="K14" s="10" t="s">
        <v>73</v>
      </c>
      <c r="L14" s="13">
        <v>45839.0</v>
      </c>
      <c r="M14" s="15" t="s">
        <v>160</v>
      </c>
      <c r="N14" s="15"/>
      <c r="O14" s="15"/>
      <c r="P14" s="15"/>
      <c r="Q14" s="12">
        <v>9.03067555E9</v>
      </c>
      <c r="R14" s="15" t="str">
        <f t="shared" si="1"/>
        <v>90306755504</v>
      </c>
      <c r="S14" s="15"/>
      <c r="T14" s="10" t="s">
        <v>183</v>
      </c>
      <c r="U14" s="15" t="s">
        <v>184</v>
      </c>
      <c r="V14" s="15" t="str">
        <f t="shared" si="2"/>
        <v>Cheryl Simmons-Hutson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ht="12.75" customHeight="1">
      <c r="A15" s="10" t="s">
        <v>82</v>
      </c>
      <c r="B15" s="11">
        <v>1.8828278E7</v>
      </c>
      <c r="C15" s="10" t="s">
        <v>108</v>
      </c>
      <c r="D15" s="12">
        <v>9.03068301E9</v>
      </c>
      <c r="E15" s="13">
        <v>46023.0</v>
      </c>
      <c r="F15" s="10" t="s">
        <v>48</v>
      </c>
      <c r="G15" s="10" t="s">
        <v>53</v>
      </c>
      <c r="H15" s="14">
        <v>10.0</v>
      </c>
      <c r="I15" s="14">
        <v>26.88</v>
      </c>
      <c r="J15" s="14">
        <v>2.69</v>
      </c>
      <c r="K15" s="10" t="s">
        <v>73</v>
      </c>
      <c r="L15" s="13">
        <v>45839.0</v>
      </c>
      <c r="M15" s="15" t="s">
        <v>160</v>
      </c>
      <c r="N15" s="15"/>
      <c r="O15" s="15"/>
      <c r="P15" s="15"/>
      <c r="Q15" s="12">
        <v>9.03068301E9</v>
      </c>
      <c r="R15" s="15" t="str">
        <f t="shared" si="1"/>
        <v>90306830104</v>
      </c>
      <c r="S15" s="15"/>
      <c r="T15" s="10" t="s">
        <v>185</v>
      </c>
      <c r="U15" s="15" t="s">
        <v>186</v>
      </c>
      <c r="V15" s="15" t="str">
        <f t="shared" si="2"/>
        <v>Edward Bond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ht="12.75" customHeight="1">
      <c r="A16" s="10" t="s">
        <v>82</v>
      </c>
      <c r="B16" s="11">
        <v>1.8828278E7</v>
      </c>
      <c r="C16" s="10" t="s">
        <v>110</v>
      </c>
      <c r="D16" s="12">
        <v>9.03070331E9</v>
      </c>
      <c r="E16" s="13">
        <v>46023.0</v>
      </c>
      <c r="F16" s="10" t="s">
        <v>48</v>
      </c>
      <c r="G16" s="10" t="s">
        <v>53</v>
      </c>
      <c r="H16" s="14">
        <v>10.0</v>
      </c>
      <c r="I16" s="14">
        <v>46.8</v>
      </c>
      <c r="J16" s="14">
        <v>4.68</v>
      </c>
      <c r="K16" s="10" t="s">
        <v>73</v>
      </c>
      <c r="L16" s="13">
        <v>45839.0</v>
      </c>
      <c r="M16" s="15" t="s">
        <v>160</v>
      </c>
      <c r="N16" s="15"/>
      <c r="O16" s="15"/>
      <c r="P16" s="15"/>
      <c r="Q16" s="12">
        <v>9.03070331E9</v>
      </c>
      <c r="R16" s="15" t="str">
        <f t="shared" si="1"/>
        <v>90307033104</v>
      </c>
      <c r="S16" s="15"/>
      <c r="T16" s="10" t="s">
        <v>187</v>
      </c>
      <c r="U16" s="15" t="s">
        <v>188</v>
      </c>
      <c r="V16" s="15" t="str">
        <f t="shared" si="2"/>
        <v>Shaji Sharad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ht="12.75" customHeight="1">
      <c r="A17" s="10" t="s">
        <v>82</v>
      </c>
      <c r="B17" s="11">
        <v>1.8828278E7</v>
      </c>
      <c r="C17" s="10" t="s">
        <v>112</v>
      </c>
      <c r="D17" s="12">
        <v>9.03071995E9</v>
      </c>
      <c r="E17" s="13">
        <v>46023.0</v>
      </c>
      <c r="F17" s="10" t="s">
        <v>48</v>
      </c>
      <c r="G17" s="10" t="s">
        <v>53</v>
      </c>
      <c r="H17" s="14">
        <v>10.0</v>
      </c>
      <c r="I17" s="14">
        <v>13.93</v>
      </c>
      <c r="J17" s="14">
        <v>1.39</v>
      </c>
      <c r="K17" s="10" t="s">
        <v>73</v>
      </c>
      <c r="L17" s="13">
        <v>45839.0</v>
      </c>
      <c r="M17" s="15" t="s">
        <v>160</v>
      </c>
      <c r="N17" s="15"/>
      <c r="O17" s="15"/>
      <c r="P17" s="15"/>
      <c r="Q17" s="12">
        <v>9.03071995E9</v>
      </c>
      <c r="R17" s="15" t="str">
        <f t="shared" si="1"/>
        <v>90307199504</v>
      </c>
      <c r="S17" s="15"/>
      <c r="T17" s="10" t="s">
        <v>189</v>
      </c>
      <c r="U17" s="15" t="s">
        <v>190</v>
      </c>
      <c r="V17" s="15" t="str">
        <f t="shared" si="2"/>
        <v>Mary Boma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ht="12.75" customHeight="1">
      <c r="A18" s="10" t="s">
        <v>82</v>
      </c>
      <c r="B18" s="11">
        <v>1.8828278E7</v>
      </c>
      <c r="C18" s="10" t="s">
        <v>114</v>
      </c>
      <c r="D18" s="12">
        <v>9.03078282E9</v>
      </c>
      <c r="E18" s="13">
        <v>46023.0</v>
      </c>
      <c r="F18" s="10" t="s">
        <v>48</v>
      </c>
      <c r="G18" s="10" t="s">
        <v>53</v>
      </c>
      <c r="H18" s="14">
        <v>10.0</v>
      </c>
      <c r="I18" s="14">
        <v>14.93</v>
      </c>
      <c r="J18" s="14">
        <v>1.49</v>
      </c>
      <c r="K18" s="10" t="s">
        <v>73</v>
      </c>
      <c r="L18" s="13">
        <v>45870.0</v>
      </c>
      <c r="M18" s="15" t="s">
        <v>160</v>
      </c>
      <c r="N18" s="15"/>
      <c r="O18" s="15"/>
      <c r="P18" s="15"/>
      <c r="Q18" s="12">
        <v>9.03078282E9</v>
      </c>
      <c r="R18" s="15" t="str">
        <f t="shared" si="1"/>
        <v>90307828204</v>
      </c>
      <c r="S18" s="15"/>
      <c r="T18" s="10" t="s">
        <v>191</v>
      </c>
      <c r="U18" s="15" t="s">
        <v>192</v>
      </c>
      <c r="V18" s="15" t="str">
        <f t="shared" si="2"/>
        <v>Kenneth Kasprzak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ht="12.75" customHeight="1">
      <c r="A19" s="10" t="s">
        <v>82</v>
      </c>
      <c r="B19" s="11">
        <v>1.8828278E7</v>
      </c>
      <c r="C19" s="10" t="s">
        <v>116</v>
      </c>
      <c r="D19" s="12">
        <v>9.03084084E9</v>
      </c>
      <c r="E19" s="13">
        <v>46023.0</v>
      </c>
      <c r="F19" s="10" t="s">
        <v>48</v>
      </c>
      <c r="G19" s="10" t="s">
        <v>53</v>
      </c>
      <c r="H19" s="14">
        <v>10.0</v>
      </c>
      <c r="I19" s="14">
        <v>14.93</v>
      </c>
      <c r="J19" s="14">
        <v>1.49</v>
      </c>
      <c r="K19" s="10" t="s">
        <v>73</v>
      </c>
      <c r="L19" s="13">
        <v>45870.0</v>
      </c>
      <c r="M19" s="15" t="s">
        <v>160</v>
      </c>
      <c r="N19" s="15"/>
      <c r="O19" s="15"/>
      <c r="P19" s="15"/>
      <c r="Q19" s="12">
        <v>9.03084084E9</v>
      </c>
      <c r="R19" s="15" t="str">
        <f t="shared" si="1"/>
        <v>90308408404</v>
      </c>
      <c r="S19" s="15"/>
      <c r="T19" s="10" t="s">
        <v>193</v>
      </c>
      <c r="U19" s="15" t="s">
        <v>194</v>
      </c>
      <c r="V19" s="15" t="str">
        <f t="shared" si="2"/>
        <v>Jacqueline Galloway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ht="12.75" customHeight="1">
      <c r="A20" s="10" t="s">
        <v>82</v>
      </c>
      <c r="B20" s="11">
        <v>1.8828278E7</v>
      </c>
      <c r="C20" s="10" t="s">
        <v>118</v>
      </c>
      <c r="D20" s="12">
        <v>9.0308951E9</v>
      </c>
      <c r="E20" s="13">
        <v>46023.0</v>
      </c>
      <c r="F20" s="10" t="s">
        <v>48</v>
      </c>
      <c r="G20" s="10" t="s">
        <v>53</v>
      </c>
      <c r="H20" s="14">
        <v>10.0</v>
      </c>
      <c r="I20" s="14">
        <v>14.93</v>
      </c>
      <c r="J20" s="14">
        <v>1.49</v>
      </c>
      <c r="K20" s="10" t="s">
        <v>73</v>
      </c>
      <c r="L20" s="13">
        <v>45870.0</v>
      </c>
      <c r="M20" s="15" t="s">
        <v>160</v>
      </c>
      <c r="N20" s="15"/>
      <c r="O20" s="15"/>
      <c r="P20" s="15"/>
      <c r="Q20" s="12">
        <v>9.0308951E9</v>
      </c>
      <c r="R20" s="15" t="str">
        <f t="shared" si="1"/>
        <v>90308951004</v>
      </c>
      <c r="S20" s="15"/>
      <c r="T20" s="10" t="s">
        <v>195</v>
      </c>
      <c r="U20" s="15" t="s">
        <v>178</v>
      </c>
      <c r="V20" s="15" t="str">
        <f t="shared" si="2"/>
        <v>Thomas Stokes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ht="12.75" customHeight="1">
      <c r="A21" s="10" t="s">
        <v>82</v>
      </c>
      <c r="B21" s="11">
        <v>1.8828278E7</v>
      </c>
      <c r="C21" s="10" t="s">
        <v>120</v>
      </c>
      <c r="D21" s="12">
        <v>9.03092461E9</v>
      </c>
      <c r="E21" s="13">
        <v>46023.0</v>
      </c>
      <c r="F21" s="10" t="s">
        <v>48</v>
      </c>
      <c r="G21" s="10" t="s">
        <v>53</v>
      </c>
      <c r="H21" s="14">
        <v>10.0</v>
      </c>
      <c r="I21" s="14">
        <v>14.93</v>
      </c>
      <c r="J21" s="14">
        <v>1.49</v>
      </c>
      <c r="K21" s="10" t="s">
        <v>73</v>
      </c>
      <c r="L21" s="13">
        <v>45871.0</v>
      </c>
      <c r="M21" s="15" t="s">
        <v>160</v>
      </c>
      <c r="N21" s="15"/>
      <c r="O21" s="15"/>
      <c r="P21" s="15"/>
      <c r="Q21" s="12">
        <v>9.03092461E9</v>
      </c>
      <c r="R21" s="15" t="str">
        <f t="shared" si="1"/>
        <v>90309246104</v>
      </c>
      <c r="S21" s="15"/>
      <c r="T21" s="10" t="s">
        <v>196</v>
      </c>
      <c r="U21" s="15" t="s">
        <v>197</v>
      </c>
      <c r="V21" s="15" t="str">
        <f t="shared" si="2"/>
        <v>Robin Fewell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 ht="12.75" customHeight="1">
      <c r="A22" s="10" t="s">
        <v>82</v>
      </c>
      <c r="B22" s="11">
        <v>1.8828278E7</v>
      </c>
      <c r="C22" s="10" t="s">
        <v>122</v>
      </c>
      <c r="D22" s="12">
        <v>9.03098239E9</v>
      </c>
      <c r="E22" s="13">
        <v>46023.0</v>
      </c>
      <c r="F22" s="10" t="s">
        <v>48</v>
      </c>
      <c r="G22" s="10" t="s">
        <v>53</v>
      </c>
      <c r="H22" s="14">
        <v>10.0</v>
      </c>
      <c r="I22" s="14">
        <v>14.93</v>
      </c>
      <c r="J22" s="14">
        <v>1.49</v>
      </c>
      <c r="K22" s="10" t="s">
        <v>73</v>
      </c>
      <c r="L22" s="13">
        <v>45962.0</v>
      </c>
      <c r="M22" s="15" t="s">
        <v>160</v>
      </c>
      <c r="N22" s="15"/>
      <c r="O22" s="15"/>
      <c r="P22" s="15"/>
      <c r="Q22" s="12">
        <v>9.03098239E9</v>
      </c>
      <c r="R22" s="15" t="str">
        <f t="shared" si="1"/>
        <v>90309823904</v>
      </c>
      <c r="S22" s="15"/>
      <c r="T22" s="10" t="s">
        <v>198</v>
      </c>
      <c r="U22" s="15" t="s">
        <v>199</v>
      </c>
      <c r="V22" s="15" t="str">
        <f t="shared" si="2"/>
        <v>Patrick Rolfs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 ht="12.75" customHeight="1">
      <c r="A23" s="10" t="s">
        <v>82</v>
      </c>
      <c r="B23" s="11">
        <v>1.8828278E7</v>
      </c>
      <c r="C23" s="10" t="s">
        <v>124</v>
      </c>
      <c r="D23" s="12">
        <v>9.030996E9</v>
      </c>
      <c r="E23" s="13">
        <v>46023.0</v>
      </c>
      <c r="F23" s="10" t="s">
        <v>48</v>
      </c>
      <c r="G23" s="10" t="s">
        <v>53</v>
      </c>
      <c r="H23" s="14">
        <v>10.0</v>
      </c>
      <c r="I23" s="14">
        <v>26.88</v>
      </c>
      <c r="J23" s="14">
        <v>2.69</v>
      </c>
      <c r="K23" s="10" t="s">
        <v>73</v>
      </c>
      <c r="L23" s="13">
        <v>45962.0</v>
      </c>
      <c r="M23" s="15" t="s">
        <v>160</v>
      </c>
      <c r="N23" s="15"/>
      <c r="O23" s="15"/>
      <c r="P23" s="15"/>
      <c r="Q23" s="12">
        <v>9.030996E9</v>
      </c>
      <c r="R23" s="15" t="str">
        <f t="shared" si="1"/>
        <v>90309960004</v>
      </c>
      <c r="S23" s="15"/>
      <c r="T23" s="10" t="s">
        <v>200</v>
      </c>
      <c r="U23" s="15" t="s">
        <v>201</v>
      </c>
      <c r="V23" s="15" t="str">
        <f t="shared" si="2"/>
        <v>Dana Quiram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 ht="12.75" customHeight="1">
      <c r="A24" s="10" t="s">
        <v>82</v>
      </c>
      <c r="B24" s="11">
        <v>1.8828278E7</v>
      </c>
      <c r="C24" s="10" t="s">
        <v>126</v>
      </c>
      <c r="D24" s="12">
        <v>9.03104406E9</v>
      </c>
      <c r="E24" s="13">
        <v>46023.0</v>
      </c>
      <c r="F24" s="10" t="s">
        <v>48</v>
      </c>
      <c r="G24" s="10" t="s">
        <v>53</v>
      </c>
      <c r="H24" s="14">
        <v>10.0</v>
      </c>
      <c r="I24" s="14">
        <v>14.93</v>
      </c>
      <c r="J24" s="14">
        <v>1.49</v>
      </c>
      <c r="K24" s="10" t="s">
        <v>73</v>
      </c>
      <c r="L24" s="13">
        <v>45901.0</v>
      </c>
      <c r="M24" s="15" t="s">
        <v>160</v>
      </c>
      <c r="N24" s="15"/>
      <c r="O24" s="15"/>
      <c r="P24" s="15"/>
      <c r="Q24" s="12">
        <v>9.03104406E9</v>
      </c>
      <c r="R24" s="15" t="str">
        <f t="shared" si="1"/>
        <v>90310440604</v>
      </c>
      <c r="S24" s="15"/>
      <c r="T24" s="10" t="s">
        <v>202</v>
      </c>
      <c r="U24" s="15" t="s">
        <v>203</v>
      </c>
      <c r="V24" s="15" t="str">
        <f t="shared" si="2"/>
        <v>Jackie Alfrey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 ht="12.75" customHeight="1">
      <c r="A25" s="10" t="s">
        <v>82</v>
      </c>
      <c r="B25" s="11">
        <v>1.8828278E7</v>
      </c>
      <c r="C25" s="10" t="s">
        <v>128</v>
      </c>
      <c r="D25" s="12">
        <v>9.03105048E9</v>
      </c>
      <c r="E25" s="13">
        <v>46023.0</v>
      </c>
      <c r="F25" s="10" t="s">
        <v>48</v>
      </c>
      <c r="G25" s="10" t="s">
        <v>53</v>
      </c>
      <c r="H25" s="14">
        <v>10.0</v>
      </c>
      <c r="I25" s="14">
        <v>14.93</v>
      </c>
      <c r="J25" s="14">
        <v>1.49</v>
      </c>
      <c r="K25" s="10" t="s">
        <v>73</v>
      </c>
      <c r="L25" s="13">
        <v>45908.0</v>
      </c>
      <c r="M25" s="15" t="s">
        <v>160</v>
      </c>
      <c r="N25" s="15"/>
      <c r="O25" s="15"/>
      <c r="P25" s="15"/>
      <c r="Q25" s="12">
        <v>9.03105048E9</v>
      </c>
      <c r="R25" s="15" t="str">
        <f t="shared" si="1"/>
        <v>90310504804</v>
      </c>
      <c r="S25" s="15"/>
      <c r="T25" s="10" t="s">
        <v>204</v>
      </c>
      <c r="U25" s="15" t="s">
        <v>205</v>
      </c>
      <c r="V25" s="15" t="str">
        <f t="shared" si="2"/>
        <v>Nichole Sleeper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ht="12.75" customHeight="1">
      <c r="A26" s="10" t="s">
        <v>82</v>
      </c>
      <c r="B26" s="11">
        <v>1.8828278E7</v>
      </c>
      <c r="C26" s="10" t="s">
        <v>130</v>
      </c>
      <c r="D26" s="12">
        <v>9.03107687E9</v>
      </c>
      <c r="E26" s="13">
        <v>46023.0</v>
      </c>
      <c r="F26" s="10" t="s">
        <v>48</v>
      </c>
      <c r="G26" s="10" t="s">
        <v>53</v>
      </c>
      <c r="H26" s="14">
        <v>10.0</v>
      </c>
      <c r="I26" s="14">
        <v>26.88</v>
      </c>
      <c r="J26" s="14">
        <v>2.69</v>
      </c>
      <c r="K26" s="10" t="s">
        <v>73</v>
      </c>
      <c r="L26" s="13">
        <v>45901.0</v>
      </c>
      <c r="M26" s="15" t="s">
        <v>160</v>
      </c>
      <c r="N26" s="15"/>
      <c r="O26" s="15"/>
      <c r="P26" s="15"/>
      <c r="Q26" s="12">
        <v>9.03107687E9</v>
      </c>
      <c r="R26" s="15" t="str">
        <f t="shared" si="1"/>
        <v>90310768704</v>
      </c>
      <c r="S26" s="15"/>
      <c r="T26" s="10" t="s">
        <v>206</v>
      </c>
      <c r="U26" s="15" t="s">
        <v>207</v>
      </c>
      <c r="V26" s="15" t="str">
        <f t="shared" si="2"/>
        <v>James Trost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ht="12.75" customHeight="1">
      <c r="A27" s="10" t="s">
        <v>82</v>
      </c>
      <c r="B27" s="11">
        <v>1.8828278E7</v>
      </c>
      <c r="C27" s="10" t="s">
        <v>132</v>
      </c>
      <c r="D27" s="12">
        <v>9.03109458E9</v>
      </c>
      <c r="E27" s="13">
        <v>46023.0</v>
      </c>
      <c r="F27" s="10" t="s">
        <v>48</v>
      </c>
      <c r="G27" s="10" t="s">
        <v>53</v>
      </c>
      <c r="H27" s="14">
        <v>10.0</v>
      </c>
      <c r="I27" s="14">
        <v>14.93</v>
      </c>
      <c r="J27" s="14">
        <v>1.49</v>
      </c>
      <c r="K27" s="10" t="s">
        <v>73</v>
      </c>
      <c r="L27" s="13">
        <v>45991.0</v>
      </c>
      <c r="M27" s="15" t="s">
        <v>160</v>
      </c>
      <c r="N27" s="15"/>
      <c r="O27" s="15"/>
      <c r="P27" s="15"/>
      <c r="Q27" s="12">
        <v>9.03109458E9</v>
      </c>
      <c r="R27" s="15" t="str">
        <f t="shared" si="1"/>
        <v>90310945804</v>
      </c>
      <c r="S27" s="15"/>
      <c r="T27" s="10" t="s">
        <v>208</v>
      </c>
      <c r="U27" s="15" t="s">
        <v>209</v>
      </c>
      <c r="V27" s="15" t="str">
        <f t="shared" si="2"/>
        <v>Michael Holtz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 ht="12.75" customHeight="1">
      <c r="A28" s="10" t="s">
        <v>82</v>
      </c>
      <c r="B28" s="11">
        <v>1.8828278E7</v>
      </c>
      <c r="C28" s="10" t="s">
        <v>134</v>
      </c>
      <c r="D28" s="12">
        <v>9.03119832E9</v>
      </c>
      <c r="E28" s="13">
        <v>46023.0</v>
      </c>
      <c r="F28" s="10" t="s">
        <v>48</v>
      </c>
      <c r="G28" s="10" t="s">
        <v>53</v>
      </c>
      <c r="H28" s="14">
        <v>10.0</v>
      </c>
      <c r="I28" s="14">
        <v>14.93</v>
      </c>
      <c r="J28" s="14">
        <v>1.49</v>
      </c>
      <c r="K28" s="10" t="s">
        <v>73</v>
      </c>
      <c r="L28" s="13">
        <v>45931.0</v>
      </c>
      <c r="M28" s="15" t="s">
        <v>160</v>
      </c>
      <c r="N28" s="15"/>
      <c r="O28" s="15"/>
      <c r="P28" s="15"/>
      <c r="Q28" s="12">
        <v>9.03119832E9</v>
      </c>
      <c r="R28" s="15" t="str">
        <f t="shared" si="1"/>
        <v>90311983204</v>
      </c>
      <c r="S28" s="15"/>
      <c r="T28" s="10" t="s">
        <v>210</v>
      </c>
      <c r="U28" s="15" t="s">
        <v>211</v>
      </c>
      <c r="V28" s="15" t="str">
        <f t="shared" si="2"/>
        <v>Patsy Hill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  <row r="29" ht="12.75" customHeight="1">
      <c r="A29" s="10" t="s">
        <v>82</v>
      </c>
      <c r="B29" s="11">
        <v>1.8828278E7</v>
      </c>
      <c r="C29" s="10" t="s">
        <v>136</v>
      </c>
      <c r="D29" s="12">
        <v>9.03124106E9</v>
      </c>
      <c r="E29" s="13">
        <v>46023.0</v>
      </c>
      <c r="F29" s="10" t="s">
        <v>48</v>
      </c>
      <c r="G29" s="10" t="s">
        <v>53</v>
      </c>
      <c r="H29" s="14">
        <v>10.0</v>
      </c>
      <c r="I29" s="14">
        <v>14.93</v>
      </c>
      <c r="J29" s="14">
        <v>1.49</v>
      </c>
      <c r="K29" s="10" t="s">
        <v>73</v>
      </c>
      <c r="L29" s="13">
        <v>45962.0</v>
      </c>
      <c r="M29" s="15" t="s">
        <v>160</v>
      </c>
      <c r="N29" s="15"/>
      <c r="O29" s="15"/>
      <c r="P29" s="15"/>
      <c r="Q29" s="12">
        <v>9.03124106E9</v>
      </c>
      <c r="R29" s="15" t="str">
        <f t="shared" si="1"/>
        <v>90312410604</v>
      </c>
      <c r="S29" s="15"/>
      <c r="T29" s="10" t="s">
        <v>212</v>
      </c>
      <c r="U29" s="15" t="s">
        <v>213</v>
      </c>
      <c r="V29" s="15" t="str">
        <f t="shared" si="2"/>
        <v>Hannelore Heckmann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 ht="12.75" customHeight="1">
      <c r="A30" s="10" t="s">
        <v>82</v>
      </c>
      <c r="B30" s="11">
        <v>1.8828278E7</v>
      </c>
      <c r="C30" s="10" t="s">
        <v>138</v>
      </c>
      <c r="D30" s="12">
        <v>9.0312464E9</v>
      </c>
      <c r="E30" s="13">
        <v>46023.0</v>
      </c>
      <c r="F30" s="10" t="s">
        <v>48</v>
      </c>
      <c r="G30" s="10" t="s">
        <v>53</v>
      </c>
      <c r="H30" s="14">
        <v>10.0</v>
      </c>
      <c r="I30" s="14">
        <v>26.88</v>
      </c>
      <c r="J30" s="14">
        <v>2.69</v>
      </c>
      <c r="K30" s="10" t="s">
        <v>73</v>
      </c>
      <c r="L30" s="13">
        <v>45962.0</v>
      </c>
      <c r="M30" s="15" t="s">
        <v>160</v>
      </c>
      <c r="N30" s="15"/>
      <c r="O30" s="15"/>
      <c r="P30" s="15"/>
      <c r="Q30" s="12">
        <v>9.0312464E9</v>
      </c>
      <c r="R30" s="15" t="str">
        <f t="shared" si="1"/>
        <v>90312464004</v>
      </c>
      <c r="S30" s="15"/>
      <c r="T30" s="10" t="s">
        <v>214</v>
      </c>
      <c r="U30" s="15" t="s">
        <v>215</v>
      </c>
      <c r="V30" s="15" t="str">
        <f t="shared" si="2"/>
        <v>Linda Forbes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 ht="12.75" customHeight="1">
      <c r="A31" s="10" t="s">
        <v>82</v>
      </c>
      <c r="B31" s="11">
        <v>1.8828278E7</v>
      </c>
      <c r="C31" s="10" t="s">
        <v>140</v>
      </c>
      <c r="D31" s="12">
        <v>9.03131702E9</v>
      </c>
      <c r="E31" s="13">
        <v>46023.0</v>
      </c>
      <c r="F31" s="10" t="s">
        <v>48</v>
      </c>
      <c r="G31" s="10" t="s">
        <v>53</v>
      </c>
      <c r="H31" s="14">
        <v>10.0</v>
      </c>
      <c r="I31" s="14">
        <v>14.93</v>
      </c>
      <c r="J31" s="14">
        <v>1.49</v>
      </c>
      <c r="K31" s="10" t="s">
        <v>73</v>
      </c>
      <c r="L31" s="13">
        <v>45992.0</v>
      </c>
      <c r="M31" s="15" t="s">
        <v>160</v>
      </c>
      <c r="N31" s="15"/>
      <c r="O31" s="15"/>
      <c r="P31" s="15"/>
      <c r="Q31" s="12">
        <v>9.03131702E9</v>
      </c>
      <c r="R31" s="15" t="str">
        <f t="shared" si="1"/>
        <v>90313170204</v>
      </c>
      <c r="S31" s="15"/>
      <c r="T31" s="10" t="s">
        <v>216</v>
      </c>
      <c r="U31" s="15" t="s">
        <v>217</v>
      </c>
      <c r="V31" s="15" t="str">
        <f t="shared" si="2"/>
        <v>Penny Hancock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ht="12.75" customHeight="1">
      <c r="A32" s="10" t="s">
        <v>82</v>
      </c>
      <c r="B32" s="11">
        <v>1.8828278E7</v>
      </c>
      <c r="C32" s="10" t="s">
        <v>142</v>
      </c>
      <c r="D32" s="12">
        <v>9.03132361E9</v>
      </c>
      <c r="E32" s="13">
        <v>46023.0</v>
      </c>
      <c r="F32" s="10" t="s">
        <v>48</v>
      </c>
      <c r="G32" s="10" t="s">
        <v>53</v>
      </c>
      <c r="H32" s="14">
        <v>10.0</v>
      </c>
      <c r="I32" s="14">
        <v>26.88</v>
      </c>
      <c r="J32" s="14">
        <v>2.69</v>
      </c>
      <c r="K32" s="10" t="s">
        <v>73</v>
      </c>
      <c r="L32" s="13">
        <v>45992.0</v>
      </c>
      <c r="M32" s="15" t="s">
        <v>160</v>
      </c>
      <c r="N32" s="15"/>
      <c r="O32" s="15"/>
      <c r="P32" s="15"/>
      <c r="Q32" s="12">
        <v>9.03132361E9</v>
      </c>
      <c r="R32" s="15" t="str">
        <f t="shared" si="1"/>
        <v>90313236104</v>
      </c>
      <c r="S32" s="15"/>
      <c r="T32" s="10" t="s">
        <v>218</v>
      </c>
      <c r="U32" s="15" t="s">
        <v>166</v>
      </c>
      <c r="V32" s="15" t="str">
        <f t="shared" si="2"/>
        <v>David Proeber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</row>
    <row r="33" ht="12.75" customHeight="1">
      <c r="A33" s="10" t="s">
        <v>82</v>
      </c>
      <c r="B33" s="11">
        <v>1.8828278E7</v>
      </c>
      <c r="C33" s="10" t="s">
        <v>144</v>
      </c>
      <c r="D33" s="12">
        <v>9.03142404E9</v>
      </c>
      <c r="E33" s="13">
        <v>46023.0</v>
      </c>
      <c r="F33" s="10" t="s">
        <v>48</v>
      </c>
      <c r="G33" s="10" t="s">
        <v>53</v>
      </c>
      <c r="H33" s="14">
        <v>10.0</v>
      </c>
      <c r="I33" s="14">
        <v>26.88</v>
      </c>
      <c r="J33" s="14">
        <v>2.69</v>
      </c>
      <c r="K33" s="10" t="s">
        <v>73</v>
      </c>
      <c r="L33" s="13">
        <v>45976.0</v>
      </c>
      <c r="M33" s="15" t="s">
        <v>160</v>
      </c>
      <c r="N33" s="15"/>
      <c r="O33" s="15"/>
      <c r="P33" s="15"/>
      <c r="Q33" s="12">
        <v>9.03142404E9</v>
      </c>
      <c r="R33" s="15" t="str">
        <f t="shared" si="1"/>
        <v>90314240404</v>
      </c>
      <c r="S33" s="15"/>
      <c r="T33" s="10" t="s">
        <v>219</v>
      </c>
      <c r="U33" s="15" t="s">
        <v>178</v>
      </c>
      <c r="V33" s="15" t="str">
        <f t="shared" si="2"/>
        <v>Thomas Priaulx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</row>
    <row r="34" ht="12.75" customHeight="1">
      <c r="A34" s="10" t="s">
        <v>82</v>
      </c>
      <c r="B34" s="11">
        <v>1.8828278E7</v>
      </c>
      <c r="C34" s="10" t="s">
        <v>146</v>
      </c>
      <c r="D34" s="12">
        <v>9.03143176E9</v>
      </c>
      <c r="E34" s="13">
        <v>46023.0</v>
      </c>
      <c r="F34" s="10" t="s">
        <v>48</v>
      </c>
      <c r="G34" s="10" t="s">
        <v>53</v>
      </c>
      <c r="H34" s="14">
        <v>10.0</v>
      </c>
      <c r="I34" s="14">
        <v>14.93</v>
      </c>
      <c r="J34" s="14">
        <v>1.49</v>
      </c>
      <c r="K34" s="10" t="s">
        <v>73</v>
      </c>
      <c r="L34" s="13">
        <v>45978.0</v>
      </c>
      <c r="M34" s="15" t="s">
        <v>160</v>
      </c>
      <c r="N34" s="15"/>
      <c r="O34" s="15"/>
      <c r="P34" s="15"/>
      <c r="Q34" s="12">
        <v>9.03143176E9</v>
      </c>
      <c r="R34" s="15" t="str">
        <f t="shared" si="1"/>
        <v>90314317604</v>
      </c>
      <c r="S34" s="15"/>
      <c r="T34" s="10" t="s">
        <v>220</v>
      </c>
      <c r="U34" s="15" t="s">
        <v>221</v>
      </c>
      <c r="V34" s="15" t="str">
        <f t="shared" si="2"/>
        <v>Cynthia Freed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</row>
    <row r="35" ht="12.75" customHeight="1">
      <c r="A35" s="10" t="s">
        <v>82</v>
      </c>
      <c r="B35" s="11">
        <v>1.8828278E7</v>
      </c>
      <c r="C35" s="10" t="s">
        <v>148</v>
      </c>
      <c r="D35" s="12">
        <v>9.03152253E9</v>
      </c>
      <c r="E35" s="13">
        <v>46023.0</v>
      </c>
      <c r="F35" s="10" t="s">
        <v>48</v>
      </c>
      <c r="G35" s="10" t="s">
        <v>53</v>
      </c>
      <c r="H35" s="14">
        <v>10.0</v>
      </c>
      <c r="I35" s="14">
        <v>13.97</v>
      </c>
      <c r="J35" s="14">
        <v>1.4</v>
      </c>
      <c r="K35" s="10" t="s">
        <v>73</v>
      </c>
      <c r="L35" s="13">
        <v>45994.0</v>
      </c>
      <c r="M35" s="15" t="s">
        <v>160</v>
      </c>
      <c r="N35" s="15"/>
      <c r="O35" s="15"/>
      <c r="P35" s="15"/>
      <c r="Q35" s="12">
        <v>9.03152253E9</v>
      </c>
      <c r="R35" s="15" t="str">
        <f t="shared" si="1"/>
        <v>90315225304</v>
      </c>
      <c r="S35" s="15"/>
      <c r="T35" s="10" t="s">
        <v>222</v>
      </c>
      <c r="U35" s="15" t="s">
        <v>223</v>
      </c>
      <c r="V35" s="15" t="str">
        <f t="shared" si="2"/>
        <v>Virginia Dinges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 ht="12.75" customHeight="1">
      <c r="A36" s="16" t="s">
        <v>77</v>
      </c>
      <c r="B36" s="17">
        <v>1.7859093E7</v>
      </c>
      <c r="C36" s="16" t="s">
        <v>78</v>
      </c>
      <c r="D36" s="16" t="s">
        <v>79</v>
      </c>
      <c r="E36" s="18">
        <v>46023.0</v>
      </c>
      <c r="F36" s="16" t="s">
        <v>48</v>
      </c>
      <c r="G36" s="16" t="s">
        <v>66</v>
      </c>
      <c r="H36" s="19">
        <v>11.0</v>
      </c>
      <c r="I36" s="19">
        <v>2975.88</v>
      </c>
      <c r="J36" s="19">
        <v>327.36</v>
      </c>
      <c r="K36" s="16" t="s">
        <v>80</v>
      </c>
      <c r="L36" s="18">
        <v>46023.0</v>
      </c>
      <c r="M36" s="20" t="s">
        <v>224</v>
      </c>
      <c r="N36" s="20"/>
      <c r="O36" s="20"/>
      <c r="P36" s="20"/>
      <c r="Q36" s="16" t="s">
        <v>79</v>
      </c>
      <c r="R36" s="20" t="str">
        <f>CONCATENATE(Q36,8)</f>
        <v>00001077887A8</v>
      </c>
      <c r="S36" s="20"/>
      <c r="T36" s="16" t="s">
        <v>225</v>
      </c>
      <c r="U36" s="20" t="s">
        <v>226</v>
      </c>
      <c r="V36" s="20" t="str">
        <f t="shared" si="2"/>
        <v>ANNA JENKINS</v>
      </c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ht="12.75" customHeight="1">
      <c r="A37" s="10" t="s">
        <v>54</v>
      </c>
      <c r="B37" s="11">
        <v>7146581.0</v>
      </c>
      <c r="C37" s="10" t="s">
        <v>55</v>
      </c>
      <c r="D37" s="12">
        <v>9.02522875E9</v>
      </c>
      <c r="E37" s="13">
        <v>46023.0</v>
      </c>
      <c r="F37" s="10" t="s">
        <v>48</v>
      </c>
      <c r="G37" s="10" t="s">
        <v>50</v>
      </c>
      <c r="H37" s="14">
        <v>10.0</v>
      </c>
      <c r="I37" s="14">
        <v>52.78</v>
      </c>
      <c r="J37" s="14">
        <v>5.28</v>
      </c>
      <c r="K37" s="10" t="s">
        <v>59</v>
      </c>
      <c r="L37" s="13">
        <v>44586.0</v>
      </c>
      <c r="M37" s="15" t="s">
        <v>160</v>
      </c>
      <c r="N37" s="15"/>
      <c r="O37" s="15"/>
      <c r="P37" s="15"/>
      <c r="Q37" s="12">
        <v>9.02522875E9</v>
      </c>
      <c r="R37" s="15" t="str">
        <f>CONCATENATE(Q37,4)</f>
        <v>90252287504</v>
      </c>
      <c r="S37" s="15"/>
      <c r="T37" s="10" t="s">
        <v>227</v>
      </c>
      <c r="U37" s="15" t="s">
        <v>228</v>
      </c>
      <c r="V37" s="15" t="str">
        <f t="shared" si="2"/>
        <v>Barbara Hanahan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 ht="12.75" customHeight="1">
      <c r="A38" s="16" t="s">
        <v>61</v>
      </c>
      <c r="B38" s="17">
        <v>1.7528908E7</v>
      </c>
      <c r="C38" s="16" t="s">
        <v>62</v>
      </c>
      <c r="D38" s="16" t="s">
        <v>63</v>
      </c>
      <c r="E38" s="18">
        <v>46023.0</v>
      </c>
      <c r="F38" s="16" t="s">
        <v>48</v>
      </c>
      <c r="G38" s="16" t="s">
        <v>66</v>
      </c>
      <c r="H38" s="19">
        <v>22.0</v>
      </c>
      <c r="I38" s="19">
        <v>138.55</v>
      </c>
      <c r="J38" s="19">
        <v>30.48</v>
      </c>
      <c r="K38" s="16" t="s">
        <v>67</v>
      </c>
      <c r="L38" s="18">
        <v>45566.0</v>
      </c>
      <c r="M38" s="20" t="s">
        <v>229</v>
      </c>
      <c r="N38" s="20"/>
      <c r="O38" s="20"/>
      <c r="P38" s="20"/>
      <c r="Q38" s="16" t="s">
        <v>63</v>
      </c>
      <c r="R38" s="20" t="str">
        <f t="shared" ref="R38:R39" si="3">CONCATENATE(Q38,8)</f>
        <v>00000871454A8</v>
      </c>
      <c r="S38" s="20"/>
      <c r="T38" s="16" t="s">
        <v>230</v>
      </c>
      <c r="U38" s="20" t="s">
        <v>231</v>
      </c>
      <c r="V38" s="20" t="str">
        <f t="shared" si="2"/>
        <v>TIMMY BRACE</v>
      </c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ht="12.75" customHeight="1">
      <c r="A39" s="16" t="s">
        <v>150</v>
      </c>
      <c r="B39" s="17">
        <v>1.927837E7</v>
      </c>
      <c r="C39" s="16" t="s">
        <v>153</v>
      </c>
      <c r="D39" s="21">
        <v>9.03161187E9</v>
      </c>
      <c r="E39" s="18">
        <v>46023.0</v>
      </c>
      <c r="F39" s="16" t="s">
        <v>48</v>
      </c>
      <c r="G39" s="16" t="s">
        <v>50</v>
      </c>
      <c r="H39" s="19">
        <v>0.01</v>
      </c>
      <c r="I39" s="19">
        <v>300000.0</v>
      </c>
      <c r="J39" s="19">
        <v>30.0</v>
      </c>
      <c r="K39" s="16" t="s">
        <v>73</v>
      </c>
      <c r="L39" s="18">
        <v>46023.0</v>
      </c>
      <c r="M39" s="20" t="s">
        <v>232</v>
      </c>
      <c r="N39" s="20"/>
      <c r="O39" s="20"/>
      <c r="P39" s="20"/>
      <c r="Q39" s="21">
        <v>9.03161187E9</v>
      </c>
      <c r="R39" s="20" t="str">
        <f t="shared" si="3"/>
        <v>90316118708</v>
      </c>
      <c r="S39" s="20"/>
      <c r="T39" s="16" t="s">
        <v>233</v>
      </c>
      <c r="U39" s="20" t="s">
        <v>234</v>
      </c>
      <c r="V39" s="20" t="str">
        <f t="shared" si="2"/>
        <v>Doug Hendricks</v>
      </c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ht="12.75" customHeight="1">
      <c r="A40" s="10" t="s">
        <v>150</v>
      </c>
      <c r="B40" s="11">
        <v>1.927837E7</v>
      </c>
      <c r="C40" s="10" t="s">
        <v>155</v>
      </c>
      <c r="D40" s="12">
        <v>9.0316119E9</v>
      </c>
      <c r="E40" s="13">
        <v>46023.0</v>
      </c>
      <c r="F40" s="10" t="s">
        <v>48</v>
      </c>
      <c r="G40" s="10" t="s">
        <v>53</v>
      </c>
      <c r="H40" s="14">
        <v>15.0</v>
      </c>
      <c r="I40" s="14">
        <v>270.33</v>
      </c>
      <c r="J40" s="14">
        <v>40.55</v>
      </c>
      <c r="K40" s="10" t="s">
        <v>73</v>
      </c>
      <c r="L40" s="13">
        <v>46023.0</v>
      </c>
      <c r="M40" s="15" t="s">
        <v>235</v>
      </c>
      <c r="N40" s="15"/>
      <c r="O40" s="15"/>
      <c r="P40" s="15"/>
      <c r="Q40" s="12">
        <v>9.0316119E9</v>
      </c>
      <c r="R40" s="15" t="str">
        <f>CONCATENATE(Q40,2)</f>
        <v>90316119002</v>
      </c>
      <c r="S40" s="15"/>
      <c r="T40" s="10" t="s">
        <v>233</v>
      </c>
      <c r="U40" s="15" t="s">
        <v>236</v>
      </c>
      <c r="V40" s="15" t="str">
        <f t="shared" si="2"/>
        <v>Roger Hendricks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</row>
    <row r="41" ht="12.75" customHeight="1">
      <c r="A41" s="10" t="s">
        <v>150</v>
      </c>
      <c r="B41" s="11">
        <v>1.927837E7</v>
      </c>
      <c r="C41" s="10" t="s">
        <v>151</v>
      </c>
      <c r="D41" s="12">
        <v>9.03011533E9</v>
      </c>
      <c r="E41" s="13">
        <v>46023.0</v>
      </c>
      <c r="F41" s="10" t="s">
        <v>48</v>
      </c>
      <c r="G41" s="10" t="s">
        <v>53</v>
      </c>
      <c r="H41" s="14">
        <v>10.0</v>
      </c>
      <c r="I41" s="14">
        <v>23.99</v>
      </c>
      <c r="J41" s="14">
        <v>2.4</v>
      </c>
      <c r="K41" s="10" t="s">
        <v>73</v>
      </c>
      <c r="L41" s="13">
        <v>45713.0</v>
      </c>
      <c r="M41" s="15" t="s">
        <v>160</v>
      </c>
      <c r="N41" s="15"/>
      <c r="O41" s="15"/>
      <c r="P41" s="15"/>
      <c r="Q41" s="12">
        <v>9.03011533E9</v>
      </c>
      <c r="R41" s="15" t="str">
        <f t="shared" ref="R41:R43" si="4">CONCATENATE(Q41,4)</f>
        <v>90301153304</v>
      </c>
      <c r="S41" s="15"/>
      <c r="T41" s="10" t="s">
        <v>237</v>
      </c>
      <c r="U41" s="15" t="s">
        <v>238</v>
      </c>
      <c r="V41" s="15" t="str">
        <f t="shared" si="2"/>
        <v>Jon Rudden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</row>
    <row r="42" ht="12.75" customHeight="1">
      <c r="A42" s="10" t="s">
        <v>69</v>
      </c>
      <c r="B42" s="11">
        <v>1.871007E7</v>
      </c>
      <c r="C42" s="10" t="s">
        <v>70</v>
      </c>
      <c r="D42" s="12">
        <v>9.03092508E9</v>
      </c>
      <c r="E42" s="13">
        <v>46023.0</v>
      </c>
      <c r="F42" s="10" t="s">
        <v>48</v>
      </c>
      <c r="G42" s="10" t="s">
        <v>53</v>
      </c>
      <c r="H42" s="14">
        <v>10.0</v>
      </c>
      <c r="I42" s="14">
        <v>23.99</v>
      </c>
      <c r="J42" s="14">
        <v>2.4</v>
      </c>
      <c r="K42" s="10" t="s">
        <v>73</v>
      </c>
      <c r="L42" s="13">
        <v>45871.0</v>
      </c>
      <c r="M42" s="15" t="s">
        <v>160</v>
      </c>
      <c r="N42" s="15"/>
      <c r="O42" s="15"/>
      <c r="P42" s="15"/>
      <c r="Q42" s="12">
        <v>9.03092508E9</v>
      </c>
      <c r="R42" s="15" t="str">
        <f t="shared" si="4"/>
        <v>90309250804</v>
      </c>
      <c r="S42" s="15"/>
      <c r="T42" s="10" t="s">
        <v>239</v>
      </c>
      <c r="U42" s="15" t="s">
        <v>240</v>
      </c>
      <c r="V42" s="15" t="str">
        <f t="shared" si="2"/>
        <v>Ryan Danley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</row>
    <row r="43" ht="12.75" customHeight="1">
      <c r="A43" s="10" t="s">
        <v>69</v>
      </c>
      <c r="B43" s="11">
        <v>1.871007E7</v>
      </c>
      <c r="C43" s="10" t="s">
        <v>75</v>
      </c>
      <c r="D43" s="12">
        <v>9.03096988E9</v>
      </c>
      <c r="E43" s="13">
        <v>46023.0</v>
      </c>
      <c r="F43" s="10" t="s">
        <v>48</v>
      </c>
      <c r="G43" s="10" t="s">
        <v>53</v>
      </c>
      <c r="H43" s="14">
        <v>10.0</v>
      </c>
      <c r="I43" s="14">
        <v>12.99</v>
      </c>
      <c r="J43" s="14">
        <v>1.3</v>
      </c>
      <c r="K43" s="10" t="s">
        <v>73</v>
      </c>
      <c r="L43" s="13">
        <v>45879.0</v>
      </c>
      <c r="M43" s="15" t="s">
        <v>160</v>
      </c>
      <c r="N43" s="15"/>
      <c r="O43" s="15"/>
      <c r="P43" s="15"/>
      <c r="Q43" s="12">
        <v>9.03096988E9</v>
      </c>
      <c r="R43" s="15" t="str">
        <f t="shared" si="4"/>
        <v>90309698804</v>
      </c>
      <c r="S43" s="15"/>
      <c r="T43" s="10" t="s">
        <v>241</v>
      </c>
      <c r="U43" s="15" t="s">
        <v>242</v>
      </c>
      <c r="V43" s="15" t="str">
        <f t="shared" si="2"/>
        <v>Hengameh Estakhri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</row>
    <row r="44" ht="12.75" customHeight="1">
      <c r="A44" s="8" t="s">
        <v>42</v>
      </c>
      <c r="B44" s="6">
        <v>1.4177521E7</v>
      </c>
      <c r="C44" s="8" t="s">
        <v>43</v>
      </c>
      <c r="D44" s="22">
        <v>416402.0</v>
      </c>
      <c r="E44" s="7">
        <v>46023.0</v>
      </c>
      <c r="F44" s="8" t="s">
        <v>48</v>
      </c>
      <c r="G44" s="8" t="s">
        <v>50</v>
      </c>
      <c r="H44" s="9">
        <v>10.0</v>
      </c>
      <c r="I44" s="9">
        <v>191.1</v>
      </c>
      <c r="J44" s="9">
        <v>19.11</v>
      </c>
      <c r="K44" s="8" t="s">
        <v>51</v>
      </c>
      <c r="L44" s="7">
        <v>45658.0</v>
      </c>
      <c r="M44" s="23" t="s">
        <v>243</v>
      </c>
      <c r="N44" s="23"/>
      <c r="O44" s="23"/>
      <c r="P44" s="23"/>
      <c r="Q44" s="22">
        <v>416402.0</v>
      </c>
      <c r="R44" s="23" t="str">
        <f t="shared" ref="R44:R45" si="5">CONCATENATE(Q44,7)</f>
        <v>4164027</v>
      </c>
      <c r="S44" s="23"/>
      <c r="T44" s="8" t="s">
        <v>244</v>
      </c>
      <c r="U44" s="23" t="s">
        <v>245</v>
      </c>
      <c r="V44" s="8" t="s">
        <v>43</v>
      </c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</row>
    <row r="45" ht="12.75" customHeight="1">
      <c r="A45" s="8" t="s">
        <v>42</v>
      </c>
      <c r="B45" s="6">
        <v>1.4177521E7</v>
      </c>
      <c r="C45" s="8" t="s">
        <v>43</v>
      </c>
      <c r="D45" s="22">
        <v>416402.0</v>
      </c>
      <c r="E45" s="7">
        <v>46023.0</v>
      </c>
      <c r="F45" s="8" t="s">
        <v>48</v>
      </c>
      <c r="G45" s="8" t="s">
        <v>53</v>
      </c>
      <c r="H45" s="9">
        <v>10.0</v>
      </c>
      <c r="I45" s="9">
        <v>28.17</v>
      </c>
      <c r="J45" s="9">
        <v>2.82</v>
      </c>
      <c r="K45" s="8" t="s">
        <v>51</v>
      </c>
      <c r="L45" s="7">
        <v>45658.0</v>
      </c>
      <c r="M45" s="23" t="s">
        <v>243</v>
      </c>
      <c r="N45" s="23"/>
      <c r="O45" s="23"/>
      <c r="P45" s="23"/>
      <c r="Q45" s="22">
        <v>416402.0</v>
      </c>
      <c r="R45" s="23" t="str">
        <f t="shared" si="5"/>
        <v>4164027</v>
      </c>
      <c r="S45" s="23"/>
      <c r="T45" s="8" t="s">
        <v>244</v>
      </c>
      <c r="U45" s="23" t="s">
        <v>245</v>
      </c>
      <c r="V45" s="8" t="s">
        <v>43</v>
      </c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2025-12-30T21:43:53Z</dcterms:created>
  <dc:creator>Loula Irene Cabel</dc:creator>
</cp:coreProperties>
</file>