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4-02-25\"/>
    </mc:Choice>
  </mc:AlternateContent>
  <xr:revisionPtr revIDLastSave="0" documentId="13_ncr:9_{33F27DF2-FD4C-493D-BE11-78478699B317}" xr6:coauthVersionLast="47" xr6:coauthVersionMax="47" xr10:uidLastSave="{00000000-0000-0000-0000-000000000000}"/>
  <bookViews>
    <workbookView xWindow="28680" yWindow="-120" windowWidth="29040" windowHeight="16440" xr2:uid="{F753F486-F854-46A5-8F55-629887C89FAB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1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B18" i="3"/>
  <c r="B19" i="3"/>
</calcChain>
</file>

<file path=xl/sharedStrings.xml><?xml version="1.0" encoding="utf-8"?>
<sst xmlns="http://schemas.openxmlformats.org/spreadsheetml/2006/main" count="1732" uniqueCount="332">
  <si>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</si>
  <si>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</si>
  <si>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</si>
  <si>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</si>
  <si>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</si>
  <si>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</si>
  <si>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</si>
  <si>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</si>
  <si>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</si>
  <si>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</si>
  <si>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</si>
  <si>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</si>
  <si>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</si>
  <si>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</si>
  <si>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</si>
  <si>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</si>
  <si>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</si>
  <si>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</si>
  <si>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</si>
  <si>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</si>
  <si>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</si>
  <si>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</si>
  <si>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</si>
  <si>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</si>
  <si>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</si>
  <si>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</si>
  <si>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</si>
  <si>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</si>
  <si>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</si>
  <si>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</si>
  <si>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</si>
  <si>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</si>
  <si>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</si>
  <si>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</si>
  <si>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</si>
  <si>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</si>
  <si>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</si>
  <si>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</si>
  <si>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</si>
  <si>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</si>
  <si>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</si>
  <si>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</si>
  <si>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</si>
  <si>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DEJESUS KATHY E</t>
  </si>
  <si>
    <t>00023222045K</t>
  </si>
  <si>
    <t>9GA1HE0GJ16</t>
  </si>
  <si>
    <t/>
  </si>
  <si>
    <t>MA</t>
  </si>
  <si>
    <t>LV</t>
  </si>
  <si>
    <t>APR</t>
  </si>
  <si>
    <t>F</t>
  </si>
  <si>
    <t>MEDICARE</t>
  </si>
  <si>
    <t>MEP</t>
  </si>
  <si>
    <t>FIRST YEAR COMMISSIONS</t>
  </si>
  <si>
    <t>ARCF</t>
  </si>
  <si>
    <t>H5216</t>
  </si>
  <si>
    <t>ALAGHEBAND MARY J</t>
  </si>
  <si>
    <t>00023231591K</t>
  </si>
  <si>
    <t>8C20V34DU26</t>
  </si>
  <si>
    <t>YALE RICHARD A A</t>
  </si>
  <si>
    <t>VICTOR RODNEY J</t>
  </si>
  <si>
    <t>00022958376K</t>
  </si>
  <si>
    <t>4NV4X40TE70</t>
  </si>
  <si>
    <t>JAN</t>
  </si>
  <si>
    <t>MER</t>
  </si>
  <si>
    <t>MEDICARE 2ND HALF FIRST YEAR COMM</t>
  </si>
  <si>
    <t>MED2</t>
  </si>
  <si>
    <t>H1468</t>
  </si>
  <si>
    <t>ACHIMAS IULIANA</t>
  </si>
  <si>
    <t>00023224834K</t>
  </si>
  <si>
    <t>5V05HU3GE62</t>
  </si>
  <si>
    <t>SEWALL LAURA L</t>
  </si>
  <si>
    <t>00023224844K</t>
  </si>
  <si>
    <t>1PC3WT7QD82</t>
  </si>
  <si>
    <t>GREENSPAN DAVID A</t>
  </si>
  <si>
    <t>00023234567K</t>
  </si>
  <si>
    <t>3FQ9KT5EP42</t>
  </si>
  <si>
    <t>LERNER JEFFREY Z</t>
  </si>
  <si>
    <t>00023239312K</t>
  </si>
  <si>
    <t>8D40R47HY12</t>
  </si>
  <si>
    <t>ALOFF JONATHAN</t>
  </si>
  <si>
    <t>MATHIAS JENNIE L</t>
  </si>
  <si>
    <t>00019509572K</t>
  </si>
  <si>
    <t>3EJ4JC3JY95</t>
  </si>
  <si>
    <t>H1036</t>
  </si>
  <si>
    <t>DRAPAC STEPHANIE E</t>
  </si>
  <si>
    <t>DEAN SANDRA L</t>
  </si>
  <si>
    <t>00003943983K</t>
  </si>
  <si>
    <t>5M21H17JR14</t>
  </si>
  <si>
    <t>HANSFORD GREGORY</t>
  </si>
  <si>
    <t>HOOVER PRISCILLA D</t>
  </si>
  <si>
    <t>00016858919K</t>
  </si>
  <si>
    <t>5F59JW8FY23</t>
  </si>
  <si>
    <t>MAR</t>
  </si>
  <si>
    <t>FOLEY CAROL</t>
  </si>
  <si>
    <t>DAVIS JACKSON CYNTHIA P</t>
  </si>
  <si>
    <t>00019797045K</t>
  </si>
  <si>
    <t>1N73MV8RR00</t>
  </si>
  <si>
    <t>H5525</t>
  </si>
  <si>
    <t>PORTUGAL GARY</t>
  </si>
  <si>
    <t>JEFFERS LINDA I</t>
  </si>
  <si>
    <t>00003962303K</t>
  </si>
  <si>
    <t>1W13FC2KV86</t>
  </si>
  <si>
    <t>MRO</t>
  </si>
  <si>
    <t>H5619</t>
  </si>
  <si>
    <t>LEWIS AUDREY V</t>
  </si>
  <si>
    <t>00017232908K</t>
  </si>
  <si>
    <t>6XF3QX3RP84</t>
  </si>
  <si>
    <t>MCPARTLAN MARY C</t>
  </si>
  <si>
    <t>00019960682K</t>
  </si>
  <si>
    <t>9WC5GN3DC71</t>
  </si>
  <si>
    <t>TRIEU TRINH LE M</t>
  </si>
  <si>
    <t>00023140342K</t>
  </si>
  <si>
    <t>8F87CP5UW44</t>
  </si>
  <si>
    <t>MARTINEZ ALEJOS R</t>
  </si>
  <si>
    <t>00023235653K</t>
  </si>
  <si>
    <t>9MV3A28XY84</t>
  </si>
  <si>
    <t>HODGMAN TIMOTHY</t>
  </si>
  <si>
    <t>HUTMACHER CATHERINE M</t>
  </si>
  <si>
    <t>00018979147K</t>
  </si>
  <si>
    <t>4YJ8EN3DX34</t>
  </si>
  <si>
    <t>ABDUL SAADIA S</t>
  </si>
  <si>
    <t>CHUGH RAJ K</t>
  </si>
  <si>
    <t>00001879234K</t>
  </si>
  <si>
    <t>4FC6A20JW76</t>
  </si>
  <si>
    <t>SANTOS RICARDO D</t>
  </si>
  <si>
    <t>STAMOVA TODORKA B</t>
  </si>
  <si>
    <t>00022377740K</t>
  </si>
  <si>
    <t>4FP0NR3GG25</t>
  </si>
  <si>
    <t>RAMORAN NESTOR</t>
  </si>
  <si>
    <t>00022965116K</t>
  </si>
  <si>
    <t>7AU3KE8QD76</t>
  </si>
  <si>
    <t>RAMORAN LOURDES C</t>
  </si>
  <si>
    <t>00022969890K</t>
  </si>
  <si>
    <t>7KW2PY8YK14</t>
  </si>
  <si>
    <t>SCHUMANN BARRY L</t>
  </si>
  <si>
    <t>REED HOGREFE AMY</t>
  </si>
  <si>
    <t>00023222148K</t>
  </si>
  <si>
    <t>3T64HX0JR50</t>
  </si>
  <si>
    <t>WILLIAMS ZELDA B</t>
  </si>
  <si>
    <t>00023232654K</t>
  </si>
  <si>
    <t>4GH7VQ9QX53</t>
  </si>
  <si>
    <t>FREIMAN ROSE M</t>
  </si>
  <si>
    <t>00023239414K</t>
  </si>
  <si>
    <t>4MH4D77VY93</t>
  </si>
  <si>
    <t>TAUGNER CHRISTIAN</t>
  </si>
  <si>
    <t>HALL PAUL A</t>
  </si>
  <si>
    <t>00023222214K</t>
  </si>
  <si>
    <t>6NT8AA2CH29</t>
  </si>
  <si>
    <t>DUNAVANT MICHAEL</t>
  </si>
  <si>
    <t>DOENITZ ROBERT D</t>
  </si>
  <si>
    <t>00000121388F</t>
  </si>
  <si>
    <t>3MM0UJ7JG13</t>
  </si>
  <si>
    <t>PORTUGAL STACEY A</t>
  </si>
  <si>
    <t>DELTORO JUDI C</t>
  </si>
  <si>
    <t>00023224608K</t>
  </si>
  <si>
    <t>2R83VV5MH02</t>
  </si>
  <si>
    <t>JUN</t>
  </si>
  <si>
    <t>H0028</t>
  </si>
  <si>
    <t>KOZACHECK ANNE MARIE</t>
  </si>
  <si>
    <t>KNORR CYNTHIA A</t>
  </si>
  <si>
    <t>00018875597K</t>
  </si>
  <si>
    <t>2WR1RE7HR35</t>
  </si>
  <si>
    <t>HOLYN DENNIS O</t>
  </si>
  <si>
    <t>00019625979K</t>
  </si>
  <si>
    <t>2VR0V48TM01</t>
  </si>
  <si>
    <t>TORRES JOSE</t>
  </si>
  <si>
    <t>GALINDO TORRES J</t>
  </si>
  <si>
    <t>00023063791K</t>
  </si>
  <si>
    <t>6J46PH4MP83</t>
  </si>
  <si>
    <t>FEB</t>
  </si>
  <si>
    <t>AGUGLIA SCOTT C</t>
  </si>
  <si>
    <t>DREXLER DAVID</t>
  </si>
  <si>
    <t>00020407890K</t>
  </si>
  <si>
    <t>5EK3MF0GC90</t>
  </si>
  <si>
    <t>H6622</t>
  </si>
  <si>
    <t>ROBINSON PAUL</t>
  </si>
  <si>
    <t>DERDA MARY A</t>
  </si>
  <si>
    <t>00023187920K</t>
  </si>
  <si>
    <t>9HN0WR0AM90</t>
  </si>
  <si>
    <t>HOFFMANN JASON R</t>
  </si>
  <si>
    <t>KEPHART NORMA K</t>
  </si>
  <si>
    <t>00000808018A</t>
  </si>
  <si>
    <t>MS</t>
  </si>
  <si>
    <t>R</t>
  </si>
  <si>
    <t>MED SUPP RENEWAL ACHIEVE</t>
  </si>
  <si>
    <t>MSRA</t>
  </si>
  <si>
    <t>Carr William</t>
  </si>
  <si>
    <t>9030297670</t>
  </si>
  <si>
    <t>IN</t>
  </si>
  <si>
    <t>CB</t>
  </si>
  <si>
    <t>DENTAL</t>
  </si>
  <si>
    <t>COMPBENEFITS FIRST YEAR COMMISSION</t>
  </si>
  <si>
    <t>CRCF</t>
  </si>
  <si>
    <t>[%/$=353][prorate=9/12]</t>
  </si>
  <si>
    <t>[%/$=313][prorate=9/12]</t>
  </si>
  <si>
    <t>[%/$=313][prorate=7/12]</t>
  </si>
  <si>
    <t>Humana 2025 CT, PA, DC *</t>
  </si>
  <si>
    <t>Humana MAPD 2025*</t>
  </si>
  <si>
    <t>Humana AL, AZ, AR, GA, etc. Plan N OE &amp; UW</t>
  </si>
  <si>
    <t>Humana Dental &amp; Vision</t>
  </si>
  <si>
    <t>00019797045K6</t>
  </si>
  <si>
    <t>00022958376K6</t>
  </si>
  <si>
    <t>00019509572K6</t>
  </si>
  <si>
    <t>00003943983K6</t>
  </si>
  <si>
    <t>00016858919K6</t>
  </si>
  <si>
    <t>00001879234K6</t>
  </si>
  <si>
    <t>00022377740K6</t>
  </si>
  <si>
    <t>00022965116K6</t>
  </si>
  <si>
    <t>00022969890K6</t>
  </si>
  <si>
    <t>00000121388F6</t>
  </si>
  <si>
    <t>00019625979K6</t>
  </si>
  <si>
    <t>00023063791K6</t>
  </si>
  <si>
    <t>00023187920K6</t>
  </si>
  <si>
    <t>00023140342K6</t>
  </si>
  <si>
    <t>00000808018A8</t>
  </si>
  <si>
    <t>00023224608K6</t>
  </si>
  <si>
    <t>00023222045K6</t>
  </si>
  <si>
    <t>00023231591K6</t>
  </si>
  <si>
    <t>00023224834K6</t>
  </si>
  <si>
    <t>00023224844K6</t>
  </si>
  <si>
    <t>00023234567K6</t>
  </si>
  <si>
    <t>00023239312K6</t>
  </si>
  <si>
    <t>00003962303K6</t>
  </si>
  <si>
    <t>00017232908K6</t>
  </si>
  <si>
    <t>00019960682K6</t>
  </si>
  <si>
    <t>00023235653K6</t>
  </si>
  <si>
    <t>00018979147K6</t>
  </si>
  <si>
    <t>00023222148K6</t>
  </si>
  <si>
    <t>00023232654K6</t>
  </si>
  <si>
    <t>00023239414K6</t>
  </si>
  <si>
    <t>00023222214K6</t>
  </si>
  <si>
    <t>00018875597K6</t>
  </si>
  <si>
    <t>00020407890K6</t>
  </si>
  <si>
    <t>DAVIS</t>
  </si>
  <si>
    <t>CYNTHIA</t>
  </si>
  <si>
    <t>VICTOR</t>
  </si>
  <si>
    <t>RODNEY</t>
  </si>
  <si>
    <t>MATHIAS</t>
  </si>
  <si>
    <t>JENNIE</t>
  </si>
  <si>
    <t>DEAN</t>
  </si>
  <si>
    <t>SANDRA</t>
  </si>
  <si>
    <t>HOOVER</t>
  </si>
  <si>
    <t>PRISCILLA</t>
  </si>
  <si>
    <t>CHUGH</t>
  </si>
  <si>
    <t>RAJ</t>
  </si>
  <si>
    <t>STAMOVA</t>
  </si>
  <si>
    <t>TODORKA</t>
  </si>
  <si>
    <t>RAMORAN</t>
  </si>
  <si>
    <t>NESTOR</t>
  </si>
  <si>
    <t>LOURDES</t>
  </si>
  <si>
    <t>DOENITZ</t>
  </si>
  <si>
    <t>ROBERT</t>
  </si>
  <si>
    <t>HOLYN</t>
  </si>
  <si>
    <t>DENNIS</t>
  </si>
  <si>
    <t>GALINDO</t>
  </si>
  <si>
    <t>TORRES</t>
  </si>
  <si>
    <t>DERDA</t>
  </si>
  <si>
    <t>MARY</t>
  </si>
  <si>
    <t>TRIEU</t>
  </si>
  <si>
    <t>TRINH</t>
  </si>
  <si>
    <t>KEPHART</t>
  </si>
  <si>
    <t>NORMA</t>
  </si>
  <si>
    <t>Carr</t>
  </si>
  <si>
    <t>William</t>
  </si>
  <si>
    <t>DELTORO</t>
  </si>
  <si>
    <t>JUDI</t>
  </si>
  <si>
    <t>DEJESUS</t>
  </si>
  <si>
    <t>KATHY</t>
  </si>
  <si>
    <t>ALAGHEBAND</t>
  </si>
  <si>
    <t>ACHIMAS</t>
  </si>
  <si>
    <t>IULIANA</t>
  </si>
  <si>
    <t>SEWALL</t>
  </si>
  <si>
    <t>LAURA</t>
  </si>
  <si>
    <t>GREENSPAN</t>
  </si>
  <si>
    <t>DAVID</t>
  </si>
  <si>
    <t>LERNER</t>
  </si>
  <si>
    <t>JEFFREY</t>
  </si>
  <si>
    <t>JEFFERS</t>
  </si>
  <si>
    <t>LINDA</t>
  </si>
  <si>
    <t>LEWIS</t>
  </si>
  <si>
    <t>AUDREY</t>
  </si>
  <si>
    <t>MCPARTLAN</t>
  </si>
  <si>
    <t>MARTINEZ</t>
  </si>
  <si>
    <t>ALEJOS</t>
  </si>
  <si>
    <t>HUTMACHER</t>
  </si>
  <si>
    <t>CATHERINE</t>
  </si>
  <si>
    <t>REED</t>
  </si>
  <si>
    <t>AMY</t>
  </si>
  <si>
    <t>WILLIAMS</t>
  </si>
  <si>
    <t>ZELDA</t>
  </si>
  <si>
    <t>FREIMAN</t>
  </si>
  <si>
    <t>ROSE</t>
  </si>
  <si>
    <t>HALL</t>
  </si>
  <si>
    <t>PAUL</t>
  </si>
  <si>
    <t>KNORR</t>
  </si>
  <si>
    <t>DREXLER</t>
  </si>
  <si>
    <t>CYNTHIA DAVIS</t>
  </si>
  <si>
    <t>RODNEY VICTOR</t>
  </si>
  <si>
    <t>JENNIE MATHIAS</t>
  </si>
  <si>
    <t>SANDRA DEAN</t>
  </si>
  <si>
    <t>PRISCILLA HOOVER</t>
  </si>
  <si>
    <t>RAJ CHUGH</t>
  </si>
  <si>
    <t>TODORKA STAMOVA</t>
  </si>
  <si>
    <t>NESTOR RAMORAN</t>
  </si>
  <si>
    <t>LOURDES RAMORAN</t>
  </si>
  <si>
    <t>ROBERT DOENITZ</t>
  </si>
  <si>
    <t>DENNIS HOLYN</t>
  </si>
  <si>
    <t>TORRES GALINDO</t>
  </si>
  <si>
    <t>MARY DERDA</t>
  </si>
  <si>
    <t>TRINH TRIEU</t>
  </si>
  <si>
    <t>NORMA KEPHART</t>
  </si>
  <si>
    <t>William Carr</t>
  </si>
  <si>
    <t>JUDI DELTORO</t>
  </si>
  <si>
    <t>KATHY DEJESUS</t>
  </si>
  <si>
    <t>MARY ALAGHEBAND</t>
  </si>
  <si>
    <t>IULIANA ACHIMAS</t>
  </si>
  <si>
    <t>LAURA SEWALL</t>
  </si>
  <si>
    <t>DAVID GREENSPAN</t>
  </si>
  <si>
    <t>JEFFREY LERNER</t>
  </si>
  <si>
    <t>LINDA JEFFERS</t>
  </si>
  <si>
    <t>AUDREY LEWIS</t>
  </si>
  <si>
    <t>MARY MCPARTLAN</t>
  </si>
  <si>
    <t>ALEJOS MARTINEZ</t>
  </si>
  <si>
    <t>CATHERINE HUTMACHER</t>
  </si>
  <si>
    <t>AMY REED</t>
  </si>
  <si>
    <t>ZELDA WILLIAMS</t>
  </si>
  <si>
    <t>ROSE FREIMAN</t>
  </si>
  <si>
    <t>PAUL HALL</t>
  </si>
  <si>
    <t>CYNTHIA KNORR</t>
  </si>
  <si>
    <t>DAVID DREXLER</t>
  </si>
  <si>
    <t>18828278SUB2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</si>
</sst>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0554-4BC1-4E64-B2C6-EEBF7E24475F}">
  <dimension ref="A1:AP43"/>
  <sheetViews>
    <sheetView tabSelected="1" workbookViewId="0">
      <selection activeCell="E15" sqref="E15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45749</v>
      </c>
      <c r="C2" s="4" t="s">
        <v>121</v>
      </c>
      <c r="D2" s="2">
        <v>1800759</v>
      </c>
      <c r="E2" s="4" t="s">
        <v>122</v>
      </c>
      <c r="F2" s="4" t="s">
        <v>123</v>
      </c>
      <c r="G2" s="2">
        <v>635546558</v>
      </c>
      <c r="H2" s="4" t="s">
        <v>124</v>
      </c>
      <c r="I2" s="4" t="s">
        <v>46</v>
      </c>
      <c r="J2" s="4" t="s">
        <v>47</v>
      </c>
      <c r="K2" s="4" t="s">
        <v>48</v>
      </c>
      <c r="L2" s="3">
        <v>45748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0.75</v>
      </c>
      <c r="W2" s="5">
        <v>0</v>
      </c>
      <c r="X2" s="5">
        <v>100</v>
      </c>
      <c r="Y2" s="5">
        <v>234.75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45748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45749</v>
      </c>
      <c r="C3" s="4" t="s">
        <v>121</v>
      </c>
      <c r="D3" s="2">
        <v>1800759</v>
      </c>
      <c r="E3" s="4" t="s">
        <v>122</v>
      </c>
      <c r="F3" s="4" t="s">
        <v>123</v>
      </c>
      <c r="G3" s="2">
        <v>635546558</v>
      </c>
      <c r="H3" s="4" t="s">
        <v>124</v>
      </c>
      <c r="I3" s="4" t="s">
        <v>46</v>
      </c>
      <c r="J3" s="4" t="s">
        <v>47</v>
      </c>
      <c r="K3" s="4" t="s">
        <v>48</v>
      </c>
      <c r="L3" s="3">
        <v>45658</v>
      </c>
      <c r="M3" s="4" t="s">
        <v>63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64</v>
      </c>
      <c r="U3" s="4" t="s">
        <v>46</v>
      </c>
      <c r="V3" s="5">
        <v>-0.75</v>
      </c>
      <c r="W3" s="5">
        <v>0</v>
      </c>
      <c r="X3" s="5">
        <v>100</v>
      </c>
      <c r="Y3" s="5">
        <v>-234.75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45658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67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45749</v>
      </c>
      <c r="C4" s="4" t="s">
        <v>171</v>
      </c>
      <c r="D4" s="2">
        <v>1916484</v>
      </c>
      <c r="E4" s="4" t="s">
        <v>172</v>
      </c>
      <c r="F4" s="4" t="s">
        <v>173</v>
      </c>
      <c r="G4" s="2">
        <v>581759271</v>
      </c>
      <c r="H4" s="4" t="s">
        <v>174</v>
      </c>
      <c r="I4" s="4" t="s">
        <v>46</v>
      </c>
      <c r="J4" s="4" t="s">
        <v>47</v>
      </c>
      <c r="K4" s="4" t="s">
        <v>48</v>
      </c>
      <c r="L4" s="3">
        <v>45748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64</v>
      </c>
      <c r="U4" s="4" t="s">
        <v>46</v>
      </c>
      <c r="V4" s="5">
        <v>0.75</v>
      </c>
      <c r="W4" s="5">
        <v>0</v>
      </c>
      <c r="X4" s="5">
        <v>100</v>
      </c>
      <c r="Y4" s="5">
        <v>264.75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45748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175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45749</v>
      </c>
      <c r="C5" s="4" t="s">
        <v>80</v>
      </c>
      <c r="D5" s="2">
        <v>1576652</v>
      </c>
      <c r="E5" s="4" t="s">
        <v>81</v>
      </c>
      <c r="F5" s="4" t="s">
        <v>82</v>
      </c>
      <c r="G5" s="2">
        <v>202391450</v>
      </c>
      <c r="H5" s="4" t="s">
        <v>83</v>
      </c>
      <c r="I5" s="4" t="s">
        <v>46</v>
      </c>
      <c r="J5" s="4" t="s">
        <v>47</v>
      </c>
      <c r="K5" s="4" t="s">
        <v>48</v>
      </c>
      <c r="L5" s="3">
        <v>45658</v>
      </c>
      <c r="M5" s="4" t="s">
        <v>63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64</v>
      </c>
      <c r="U5" s="4" t="s">
        <v>46</v>
      </c>
      <c r="V5" s="5">
        <v>-0.75</v>
      </c>
      <c r="W5" s="5">
        <v>0</v>
      </c>
      <c r="X5" s="5">
        <v>100</v>
      </c>
      <c r="Y5" s="5">
        <v>-234.75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84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45749</v>
      </c>
      <c r="C6" s="4" t="s">
        <v>85</v>
      </c>
      <c r="D6" s="2">
        <v>1626475</v>
      </c>
      <c r="E6" s="4" t="s">
        <v>86</v>
      </c>
      <c r="F6" s="4" t="s">
        <v>87</v>
      </c>
      <c r="G6" s="2">
        <v>416274150</v>
      </c>
      <c r="H6" s="4" t="s">
        <v>88</v>
      </c>
      <c r="I6" s="4" t="s">
        <v>46</v>
      </c>
      <c r="J6" s="4" t="s">
        <v>47</v>
      </c>
      <c r="K6" s="4" t="s">
        <v>48</v>
      </c>
      <c r="L6" s="3">
        <v>45658</v>
      </c>
      <c r="M6" s="4" t="s">
        <v>63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-0.75</v>
      </c>
      <c r="W6" s="5">
        <v>0</v>
      </c>
      <c r="X6" s="5">
        <v>100</v>
      </c>
      <c r="Y6" s="5">
        <v>-234.75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45658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45749</v>
      </c>
      <c r="C7" s="4" t="s">
        <v>149</v>
      </c>
      <c r="D7" s="2">
        <v>1831491</v>
      </c>
      <c r="E7" s="4" t="s">
        <v>150</v>
      </c>
      <c r="F7" s="4" t="s">
        <v>151</v>
      </c>
      <c r="G7" s="2">
        <v>641358527</v>
      </c>
      <c r="H7" s="4" t="s">
        <v>152</v>
      </c>
      <c r="I7" s="4" t="s">
        <v>46</v>
      </c>
      <c r="J7" s="4" t="s">
        <v>47</v>
      </c>
      <c r="K7" s="4" t="s">
        <v>48</v>
      </c>
      <c r="L7" s="3">
        <v>45658</v>
      </c>
      <c r="M7" s="4" t="s">
        <v>63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-0.75</v>
      </c>
      <c r="W7" s="5">
        <v>0</v>
      </c>
      <c r="X7" s="5">
        <v>100</v>
      </c>
      <c r="Y7" s="5">
        <v>-234.75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45749</v>
      </c>
      <c r="C8" s="4" t="s">
        <v>94</v>
      </c>
      <c r="D8" s="2">
        <v>1673202</v>
      </c>
      <c r="E8" s="4" t="s">
        <v>95</v>
      </c>
      <c r="F8" s="4" t="s">
        <v>96</v>
      </c>
      <c r="G8" s="2">
        <v>546406573</v>
      </c>
      <c r="H8" s="4" t="s">
        <v>97</v>
      </c>
      <c r="I8" s="4" t="s">
        <v>46</v>
      </c>
      <c r="J8" s="4" t="s">
        <v>47</v>
      </c>
      <c r="K8" s="4" t="s">
        <v>48</v>
      </c>
      <c r="L8" s="3">
        <v>45748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0.75</v>
      </c>
      <c r="W8" s="5">
        <v>0</v>
      </c>
      <c r="X8" s="5">
        <v>100</v>
      </c>
      <c r="Y8" s="5">
        <v>264.75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45748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98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45749</v>
      </c>
      <c r="C9" s="4" t="s">
        <v>94</v>
      </c>
      <c r="D9" s="2">
        <v>1673202</v>
      </c>
      <c r="E9" s="4" t="s">
        <v>95</v>
      </c>
      <c r="F9" s="4" t="s">
        <v>96</v>
      </c>
      <c r="G9" s="2">
        <v>546406573</v>
      </c>
      <c r="H9" s="4" t="s">
        <v>97</v>
      </c>
      <c r="I9" s="4" t="s">
        <v>46</v>
      </c>
      <c r="J9" s="4" t="s">
        <v>47</v>
      </c>
      <c r="K9" s="4" t="s">
        <v>48</v>
      </c>
      <c r="L9" s="3">
        <v>45658</v>
      </c>
      <c r="M9" s="4" t="s">
        <v>63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-0.75</v>
      </c>
      <c r="W9" s="5">
        <v>0</v>
      </c>
      <c r="X9" s="5">
        <v>100</v>
      </c>
      <c r="Y9" s="5">
        <v>-264.75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45658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98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45749</v>
      </c>
      <c r="C10" s="4" t="s">
        <v>89</v>
      </c>
      <c r="D10" s="2">
        <v>1639670</v>
      </c>
      <c r="E10" s="4" t="s">
        <v>90</v>
      </c>
      <c r="F10" s="4" t="s">
        <v>91</v>
      </c>
      <c r="G10" s="2">
        <v>975753080</v>
      </c>
      <c r="H10" s="4" t="s">
        <v>92</v>
      </c>
      <c r="I10" s="4" t="s">
        <v>46</v>
      </c>
      <c r="J10" s="4" t="s">
        <v>47</v>
      </c>
      <c r="K10" s="4" t="s">
        <v>48</v>
      </c>
      <c r="L10" s="3">
        <v>45717</v>
      </c>
      <c r="M10" s="4" t="s">
        <v>93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-0.75</v>
      </c>
      <c r="W10" s="5">
        <v>0</v>
      </c>
      <c r="X10" s="5">
        <v>100</v>
      </c>
      <c r="Y10" s="5">
        <v>-234.75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45717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45749</v>
      </c>
      <c r="C11" s="4" t="s">
        <v>117</v>
      </c>
      <c r="D11" s="2">
        <v>1753522</v>
      </c>
      <c r="E11" s="4" t="s">
        <v>118</v>
      </c>
      <c r="F11" s="4" t="s">
        <v>119</v>
      </c>
      <c r="G11" s="2">
        <v>28883443</v>
      </c>
      <c r="H11" s="4" t="s">
        <v>120</v>
      </c>
      <c r="I11" s="4" t="s">
        <v>46</v>
      </c>
      <c r="J11" s="4" t="s">
        <v>47</v>
      </c>
      <c r="K11" s="4" t="s">
        <v>48</v>
      </c>
      <c r="L11" s="3">
        <v>45748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0.75</v>
      </c>
      <c r="W11" s="5">
        <v>0</v>
      </c>
      <c r="X11" s="5">
        <v>100</v>
      </c>
      <c r="Y11" s="5">
        <v>234.75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45748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45749</v>
      </c>
      <c r="C12" s="4" t="s">
        <v>180</v>
      </c>
      <c r="D12" s="2">
        <v>1524629</v>
      </c>
      <c r="E12" s="4" t="s">
        <v>181</v>
      </c>
      <c r="F12" s="4" t="s">
        <v>182</v>
      </c>
      <c r="G12" s="4" t="s">
        <v>46</v>
      </c>
      <c r="H12" s="4" t="s">
        <v>46</v>
      </c>
      <c r="I12" s="4" t="s">
        <v>46</v>
      </c>
      <c r="J12" s="4" t="s">
        <v>183</v>
      </c>
      <c r="K12" s="4" t="s">
        <v>48</v>
      </c>
      <c r="L12" s="3">
        <v>45748</v>
      </c>
      <c r="M12" s="4" t="s">
        <v>49</v>
      </c>
      <c r="N12" s="4" t="s">
        <v>46</v>
      </c>
      <c r="O12" s="4" t="s">
        <v>184</v>
      </c>
      <c r="P12" s="4" t="s">
        <v>184</v>
      </c>
      <c r="Q12" s="2">
        <v>1</v>
      </c>
      <c r="R12" s="2">
        <v>17</v>
      </c>
      <c r="S12" s="4" t="s">
        <v>51</v>
      </c>
      <c r="T12" s="4" t="s">
        <v>46</v>
      </c>
      <c r="U12" s="4" t="s">
        <v>46</v>
      </c>
      <c r="V12" s="5">
        <v>26</v>
      </c>
      <c r="W12" s="5">
        <v>84.94</v>
      </c>
      <c r="X12" s="5">
        <v>100</v>
      </c>
      <c r="Y12" s="5">
        <v>22.08</v>
      </c>
      <c r="Z12" s="5">
        <v>0</v>
      </c>
      <c r="AA12" s="5">
        <v>0</v>
      </c>
      <c r="AB12" s="4" t="s">
        <v>185</v>
      </c>
      <c r="AC12" s="4" t="s">
        <v>46</v>
      </c>
      <c r="AD12" s="5">
        <v>0</v>
      </c>
      <c r="AE12" s="4" t="s">
        <v>186</v>
      </c>
      <c r="AF12" s="3">
        <v>45323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45749</v>
      </c>
      <c r="C13" s="4" t="s">
        <v>163</v>
      </c>
      <c r="D13" s="2">
        <v>1901061</v>
      </c>
      <c r="E13" s="4" t="s">
        <v>163</v>
      </c>
      <c r="F13" s="4" t="s">
        <v>164</v>
      </c>
      <c r="G13" s="2">
        <v>652705313</v>
      </c>
      <c r="H13" s="4" t="s">
        <v>165</v>
      </c>
      <c r="I13" s="4" t="s">
        <v>46</v>
      </c>
      <c r="J13" s="4" t="s">
        <v>47</v>
      </c>
      <c r="K13" s="4" t="s">
        <v>48</v>
      </c>
      <c r="L13" s="3">
        <v>45658</v>
      </c>
      <c r="M13" s="4" t="s">
        <v>63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-0.75</v>
      </c>
      <c r="W13" s="5">
        <v>0</v>
      </c>
      <c r="X13" s="5">
        <v>100</v>
      </c>
      <c r="Y13" s="5">
        <v>-234.75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45658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45749</v>
      </c>
      <c r="C14" s="4" t="s">
        <v>159</v>
      </c>
      <c r="D14" s="2">
        <v>1875462</v>
      </c>
      <c r="E14" s="4" t="s">
        <v>187</v>
      </c>
      <c r="F14" s="4" t="s">
        <v>188</v>
      </c>
      <c r="G14" s="4" t="s">
        <v>46</v>
      </c>
      <c r="H14" s="4" t="s">
        <v>46</v>
      </c>
      <c r="I14" s="4" t="s">
        <v>46</v>
      </c>
      <c r="J14" s="4" t="s">
        <v>189</v>
      </c>
      <c r="K14" s="4" t="s">
        <v>190</v>
      </c>
      <c r="L14" s="3">
        <v>45748</v>
      </c>
      <c r="M14" s="4" t="s">
        <v>49</v>
      </c>
      <c r="N14" s="4" t="s">
        <v>46</v>
      </c>
      <c r="O14" s="4" t="s">
        <v>50</v>
      </c>
      <c r="P14" s="4" t="s">
        <v>184</v>
      </c>
      <c r="Q14" s="2">
        <v>1</v>
      </c>
      <c r="R14" s="2">
        <v>3</v>
      </c>
      <c r="S14" s="4" t="s">
        <v>191</v>
      </c>
      <c r="T14" s="4" t="s">
        <v>46</v>
      </c>
      <c r="U14" s="4" t="s">
        <v>46</v>
      </c>
      <c r="V14" s="5">
        <v>10</v>
      </c>
      <c r="W14" s="5">
        <v>53.99</v>
      </c>
      <c r="X14" s="5">
        <v>100</v>
      </c>
      <c r="Y14" s="5">
        <v>40.4</v>
      </c>
      <c r="Z14" s="4" t="s">
        <v>46</v>
      </c>
      <c r="AA14" s="5" t="s">
        <v>46</v>
      </c>
      <c r="AB14" s="4" t="s">
        <v>192</v>
      </c>
      <c r="AC14" s="4" t="s">
        <v>46</v>
      </c>
      <c r="AD14" s="5">
        <v>0</v>
      </c>
      <c r="AE14" s="4" t="s">
        <v>193</v>
      </c>
      <c r="AF14" s="3">
        <v>45748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45749</v>
      </c>
      <c r="C15" s="4" t="s">
        <v>159</v>
      </c>
      <c r="D15" s="2">
        <v>1875462</v>
      </c>
      <c r="E15" s="4" t="s">
        <v>160</v>
      </c>
      <c r="F15" s="4" t="s">
        <v>161</v>
      </c>
      <c r="G15" s="2">
        <v>46802273</v>
      </c>
      <c r="H15" s="4" t="s">
        <v>162</v>
      </c>
      <c r="I15" s="4" t="s">
        <v>46</v>
      </c>
      <c r="J15" s="4" t="s">
        <v>47</v>
      </c>
      <c r="K15" s="4" t="s">
        <v>48</v>
      </c>
      <c r="L15" s="3">
        <v>45748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0.75</v>
      </c>
      <c r="W15" s="5">
        <v>0</v>
      </c>
      <c r="X15" s="5">
        <v>100</v>
      </c>
      <c r="Y15" s="5">
        <v>234.75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45748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98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45749</v>
      </c>
      <c r="C16" s="4" t="s">
        <v>42</v>
      </c>
      <c r="D16" s="2">
        <v>1427681</v>
      </c>
      <c r="E16" s="4" t="s">
        <v>56</v>
      </c>
      <c r="F16" s="4" t="s">
        <v>57</v>
      </c>
      <c r="G16" s="2">
        <v>165985563</v>
      </c>
      <c r="H16" s="4" t="s">
        <v>58</v>
      </c>
      <c r="I16" s="4" t="s">
        <v>46</v>
      </c>
      <c r="J16" s="4" t="s">
        <v>47</v>
      </c>
      <c r="K16" s="4" t="s">
        <v>48</v>
      </c>
      <c r="L16" s="3">
        <v>45748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0.75</v>
      </c>
      <c r="W16" s="5">
        <v>0</v>
      </c>
      <c r="X16" s="5">
        <v>100</v>
      </c>
      <c r="Y16" s="5">
        <v>234.75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45748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45749</v>
      </c>
      <c r="C17" s="4" t="s">
        <v>42</v>
      </c>
      <c r="D17" s="2">
        <v>1427681</v>
      </c>
      <c r="E17" s="4" t="s">
        <v>43</v>
      </c>
      <c r="F17" s="4" t="s">
        <v>44</v>
      </c>
      <c r="G17" s="2">
        <v>7448758</v>
      </c>
      <c r="H17" s="4" t="s">
        <v>45</v>
      </c>
      <c r="I17" s="4" t="s">
        <v>46</v>
      </c>
      <c r="J17" s="4" t="s">
        <v>47</v>
      </c>
      <c r="K17" s="4" t="s">
        <v>48</v>
      </c>
      <c r="L17" s="3">
        <v>45748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0.75</v>
      </c>
      <c r="W17" s="5">
        <v>0</v>
      </c>
      <c r="X17" s="5">
        <v>100</v>
      </c>
      <c r="Y17" s="5">
        <v>234.75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45748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45749</v>
      </c>
      <c r="C18" s="4" t="s">
        <v>99</v>
      </c>
      <c r="D18" s="2">
        <v>1703942</v>
      </c>
      <c r="E18" s="4" t="s">
        <v>100</v>
      </c>
      <c r="F18" s="4" t="s">
        <v>101</v>
      </c>
      <c r="G18" s="2">
        <v>833393107</v>
      </c>
      <c r="H18" s="4" t="s">
        <v>102</v>
      </c>
      <c r="I18" s="4" t="s">
        <v>46</v>
      </c>
      <c r="J18" s="4" t="s">
        <v>47</v>
      </c>
      <c r="K18" s="4" t="s">
        <v>48</v>
      </c>
      <c r="L18" s="3">
        <v>45748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103</v>
      </c>
      <c r="U18" s="4" t="s">
        <v>46</v>
      </c>
      <c r="V18" s="5">
        <v>0.75</v>
      </c>
      <c r="W18" s="5">
        <v>0</v>
      </c>
      <c r="X18" s="5">
        <v>100</v>
      </c>
      <c r="Y18" s="5">
        <v>234.75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45748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104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45749</v>
      </c>
      <c r="C19" s="4" t="s">
        <v>99</v>
      </c>
      <c r="D19" s="2">
        <v>1703942</v>
      </c>
      <c r="E19" s="4" t="s">
        <v>105</v>
      </c>
      <c r="F19" s="4" t="s">
        <v>106</v>
      </c>
      <c r="G19" s="2">
        <v>742126163</v>
      </c>
      <c r="H19" s="4" t="s">
        <v>107</v>
      </c>
      <c r="I19" s="4" t="s">
        <v>46</v>
      </c>
      <c r="J19" s="4" t="s">
        <v>47</v>
      </c>
      <c r="K19" s="4" t="s">
        <v>48</v>
      </c>
      <c r="L19" s="3">
        <v>45748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64</v>
      </c>
      <c r="U19" s="4" t="s">
        <v>46</v>
      </c>
      <c r="V19" s="5">
        <v>0.75</v>
      </c>
      <c r="W19" s="5">
        <v>0</v>
      </c>
      <c r="X19" s="5">
        <v>100</v>
      </c>
      <c r="Y19" s="5">
        <v>234.75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45748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67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45749</v>
      </c>
      <c r="C20" s="4" t="s">
        <v>99</v>
      </c>
      <c r="D20" s="2">
        <v>1703942</v>
      </c>
      <c r="E20" s="4" t="s">
        <v>114</v>
      </c>
      <c r="F20" s="4" t="s">
        <v>115</v>
      </c>
      <c r="G20" s="2">
        <v>379264543</v>
      </c>
      <c r="H20" s="4" t="s">
        <v>116</v>
      </c>
      <c r="I20" s="4" t="s">
        <v>46</v>
      </c>
      <c r="J20" s="4" t="s">
        <v>47</v>
      </c>
      <c r="K20" s="4" t="s">
        <v>48</v>
      </c>
      <c r="L20" s="3">
        <v>45748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0.75</v>
      </c>
      <c r="W20" s="5">
        <v>0</v>
      </c>
      <c r="X20" s="5">
        <v>100</v>
      </c>
      <c r="Y20" s="5">
        <v>234.75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45748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45749</v>
      </c>
      <c r="C21" s="4" t="s">
        <v>99</v>
      </c>
      <c r="D21" s="2">
        <v>1703942</v>
      </c>
      <c r="E21" s="4" t="s">
        <v>108</v>
      </c>
      <c r="F21" s="4" t="s">
        <v>109</v>
      </c>
      <c r="G21" s="2">
        <v>149387184</v>
      </c>
      <c r="H21" s="4" t="s">
        <v>110</v>
      </c>
      <c r="I21" s="4" t="s">
        <v>46</v>
      </c>
      <c r="J21" s="4" t="s">
        <v>47</v>
      </c>
      <c r="K21" s="4" t="s">
        <v>48</v>
      </c>
      <c r="L21" s="3">
        <v>45748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0.75</v>
      </c>
      <c r="W21" s="5">
        <v>0</v>
      </c>
      <c r="X21" s="5">
        <v>100</v>
      </c>
      <c r="Y21" s="5">
        <v>234.75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45748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45749</v>
      </c>
      <c r="C22" s="4" t="s">
        <v>99</v>
      </c>
      <c r="D22" s="2">
        <v>1703942</v>
      </c>
      <c r="E22" s="4" t="s">
        <v>111</v>
      </c>
      <c r="F22" s="4" t="s">
        <v>112</v>
      </c>
      <c r="G22" s="2">
        <v>241042545</v>
      </c>
      <c r="H22" s="4" t="s">
        <v>113</v>
      </c>
      <c r="I22" s="4" t="s">
        <v>46</v>
      </c>
      <c r="J22" s="4" t="s">
        <v>47</v>
      </c>
      <c r="K22" s="4" t="s">
        <v>48</v>
      </c>
      <c r="L22" s="3">
        <v>45717</v>
      </c>
      <c r="M22" s="4" t="s">
        <v>93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-0.57999999999999996</v>
      </c>
      <c r="W22" s="5">
        <v>0</v>
      </c>
      <c r="X22" s="5">
        <v>100</v>
      </c>
      <c r="Y22" s="5">
        <v>-182.58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45717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45749</v>
      </c>
      <c r="C23" s="4" t="s">
        <v>153</v>
      </c>
      <c r="D23" s="2">
        <v>1855975</v>
      </c>
      <c r="E23" s="4" t="s">
        <v>154</v>
      </c>
      <c r="F23" s="4" t="s">
        <v>155</v>
      </c>
      <c r="G23" s="2">
        <v>437306942</v>
      </c>
      <c r="H23" s="4" t="s">
        <v>156</v>
      </c>
      <c r="I23" s="4" t="s">
        <v>46</v>
      </c>
      <c r="J23" s="4" t="s">
        <v>47</v>
      </c>
      <c r="K23" s="4" t="s">
        <v>48</v>
      </c>
      <c r="L23" s="3">
        <v>45809</v>
      </c>
      <c r="M23" s="4" t="s">
        <v>157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64</v>
      </c>
      <c r="U23" s="4" t="s">
        <v>46</v>
      </c>
      <c r="V23" s="5">
        <v>0.57999999999999996</v>
      </c>
      <c r="W23" s="5">
        <v>0</v>
      </c>
      <c r="X23" s="5">
        <v>100</v>
      </c>
      <c r="Y23" s="5">
        <v>182.58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45809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158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45749</v>
      </c>
      <c r="C24" s="4" t="s">
        <v>176</v>
      </c>
      <c r="D24" s="2">
        <v>1951804</v>
      </c>
      <c r="E24" s="4" t="s">
        <v>177</v>
      </c>
      <c r="F24" s="4" t="s">
        <v>178</v>
      </c>
      <c r="G24" s="2">
        <v>200923594</v>
      </c>
      <c r="H24" s="4" t="s">
        <v>179</v>
      </c>
      <c r="I24" s="4" t="s">
        <v>46</v>
      </c>
      <c r="J24" s="4" t="s">
        <v>47</v>
      </c>
      <c r="K24" s="4" t="s">
        <v>48</v>
      </c>
      <c r="L24" s="3">
        <v>45748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-0.75</v>
      </c>
      <c r="W24" s="5">
        <v>0</v>
      </c>
      <c r="X24" s="5">
        <v>100</v>
      </c>
      <c r="Y24" s="5">
        <v>-234.75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45748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45749</v>
      </c>
      <c r="C25" s="4" t="s">
        <v>125</v>
      </c>
      <c r="D25" s="2">
        <v>1800776</v>
      </c>
      <c r="E25" s="4" t="s">
        <v>132</v>
      </c>
      <c r="F25" s="4" t="s">
        <v>133</v>
      </c>
      <c r="G25" s="2">
        <v>655696742</v>
      </c>
      <c r="H25" s="4" t="s">
        <v>134</v>
      </c>
      <c r="I25" s="4" t="s">
        <v>46</v>
      </c>
      <c r="J25" s="4" t="s">
        <v>47</v>
      </c>
      <c r="K25" s="4" t="s">
        <v>48</v>
      </c>
      <c r="L25" s="3">
        <v>45748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0.75</v>
      </c>
      <c r="W25" s="5">
        <v>0</v>
      </c>
      <c r="X25" s="5">
        <v>100</v>
      </c>
      <c r="Y25" s="5">
        <v>234.75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45748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45749</v>
      </c>
      <c r="C26" s="4" t="s">
        <v>125</v>
      </c>
      <c r="D26" s="2">
        <v>1800776</v>
      </c>
      <c r="E26" s="4" t="s">
        <v>132</v>
      </c>
      <c r="F26" s="4" t="s">
        <v>133</v>
      </c>
      <c r="G26" s="2">
        <v>655696742</v>
      </c>
      <c r="H26" s="4" t="s">
        <v>134</v>
      </c>
      <c r="I26" s="4" t="s">
        <v>46</v>
      </c>
      <c r="J26" s="4" t="s">
        <v>47</v>
      </c>
      <c r="K26" s="4" t="s">
        <v>48</v>
      </c>
      <c r="L26" s="3">
        <v>45658</v>
      </c>
      <c r="M26" s="4" t="s">
        <v>63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64</v>
      </c>
      <c r="U26" s="4" t="s">
        <v>46</v>
      </c>
      <c r="V26" s="5">
        <v>0</v>
      </c>
      <c r="W26" s="5">
        <v>0</v>
      </c>
      <c r="X26" s="5">
        <v>100</v>
      </c>
      <c r="Y26" s="5">
        <v>-234.75</v>
      </c>
      <c r="Z26" s="4" t="s">
        <v>46</v>
      </c>
      <c r="AA26" s="5" t="s">
        <v>46</v>
      </c>
      <c r="AB26" s="4" t="s">
        <v>65</v>
      </c>
      <c r="AC26" s="4" t="s">
        <v>46</v>
      </c>
      <c r="AD26" s="5">
        <v>0</v>
      </c>
      <c r="AE26" s="4" t="s">
        <v>66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67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45749</v>
      </c>
      <c r="C27" s="4" t="s">
        <v>125</v>
      </c>
      <c r="D27" s="2">
        <v>1800776</v>
      </c>
      <c r="E27" s="4" t="s">
        <v>132</v>
      </c>
      <c r="F27" s="4" t="s">
        <v>133</v>
      </c>
      <c r="G27" s="2">
        <v>655696742</v>
      </c>
      <c r="H27" s="4" t="s">
        <v>134</v>
      </c>
      <c r="I27" s="4" t="s">
        <v>46</v>
      </c>
      <c r="J27" s="4" t="s">
        <v>47</v>
      </c>
      <c r="K27" s="4" t="s">
        <v>48</v>
      </c>
      <c r="L27" s="3">
        <v>45658</v>
      </c>
      <c r="M27" s="4" t="s">
        <v>63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64</v>
      </c>
      <c r="U27" s="4" t="s">
        <v>46</v>
      </c>
      <c r="V27" s="5">
        <v>-0.75</v>
      </c>
      <c r="W27" s="5">
        <v>0</v>
      </c>
      <c r="X27" s="5">
        <v>100</v>
      </c>
      <c r="Y27" s="5">
        <v>-234.75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67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45749</v>
      </c>
      <c r="C28" s="4" t="s">
        <v>125</v>
      </c>
      <c r="D28" s="2">
        <v>1800776</v>
      </c>
      <c r="E28" s="4" t="s">
        <v>129</v>
      </c>
      <c r="F28" s="4" t="s">
        <v>130</v>
      </c>
      <c r="G28" s="2">
        <v>29056294</v>
      </c>
      <c r="H28" s="4" t="s">
        <v>131</v>
      </c>
      <c r="I28" s="4" t="s">
        <v>46</v>
      </c>
      <c r="J28" s="4" t="s">
        <v>47</v>
      </c>
      <c r="K28" s="4" t="s">
        <v>48</v>
      </c>
      <c r="L28" s="3">
        <v>45748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0.75</v>
      </c>
      <c r="W28" s="5">
        <v>0</v>
      </c>
      <c r="X28" s="5">
        <v>100</v>
      </c>
      <c r="Y28" s="5">
        <v>234.75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45748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45749</v>
      </c>
      <c r="C29" s="4" t="s">
        <v>125</v>
      </c>
      <c r="D29" s="2">
        <v>1800776</v>
      </c>
      <c r="E29" s="4" t="s">
        <v>129</v>
      </c>
      <c r="F29" s="4" t="s">
        <v>130</v>
      </c>
      <c r="G29" s="2">
        <v>29056294</v>
      </c>
      <c r="H29" s="4" t="s">
        <v>131</v>
      </c>
      <c r="I29" s="4" t="s">
        <v>46</v>
      </c>
      <c r="J29" s="4" t="s">
        <v>47</v>
      </c>
      <c r="K29" s="4" t="s">
        <v>48</v>
      </c>
      <c r="L29" s="3">
        <v>45658</v>
      </c>
      <c r="M29" s="4" t="s">
        <v>63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64</v>
      </c>
      <c r="U29" s="4" t="s">
        <v>46</v>
      </c>
      <c r="V29" s="5">
        <v>0</v>
      </c>
      <c r="W29" s="5">
        <v>0</v>
      </c>
      <c r="X29" s="5">
        <v>100</v>
      </c>
      <c r="Y29" s="5">
        <v>-234.75</v>
      </c>
      <c r="Z29" s="4" t="s">
        <v>46</v>
      </c>
      <c r="AA29" s="5" t="s">
        <v>46</v>
      </c>
      <c r="AB29" s="4" t="s">
        <v>65</v>
      </c>
      <c r="AC29" s="4" t="s">
        <v>46</v>
      </c>
      <c r="AD29" s="5">
        <v>0</v>
      </c>
      <c r="AE29" s="4" t="s">
        <v>66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67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45749</v>
      </c>
      <c r="C30" s="4" t="s">
        <v>125</v>
      </c>
      <c r="D30" s="2">
        <v>1800776</v>
      </c>
      <c r="E30" s="4" t="s">
        <v>129</v>
      </c>
      <c r="F30" s="4" t="s">
        <v>130</v>
      </c>
      <c r="G30" s="2">
        <v>29056294</v>
      </c>
      <c r="H30" s="4" t="s">
        <v>131</v>
      </c>
      <c r="I30" s="4" t="s">
        <v>46</v>
      </c>
      <c r="J30" s="4" t="s">
        <v>47</v>
      </c>
      <c r="K30" s="4" t="s">
        <v>48</v>
      </c>
      <c r="L30" s="3">
        <v>45658</v>
      </c>
      <c r="M30" s="4" t="s">
        <v>63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64</v>
      </c>
      <c r="U30" s="4" t="s">
        <v>46</v>
      </c>
      <c r="V30" s="5">
        <v>-0.75</v>
      </c>
      <c r="W30" s="5">
        <v>0</v>
      </c>
      <c r="X30" s="5">
        <v>100</v>
      </c>
      <c r="Y30" s="5">
        <v>-234.75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67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45749</v>
      </c>
      <c r="C31" s="4" t="s">
        <v>125</v>
      </c>
      <c r="D31" s="2">
        <v>1800776</v>
      </c>
      <c r="E31" s="4" t="s">
        <v>126</v>
      </c>
      <c r="F31" s="4" t="s">
        <v>127</v>
      </c>
      <c r="G31" s="2">
        <v>584792271</v>
      </c>
      <c r="H31" s="4" t="s">
        <v>128</v>
      </c>
      <c r="I31" s="4" t="s">
        <v>46</v>
      </c>
      <c r="J31" s="4" t="s">
        <v>47</v>
      </c>
      <c r="K31" s="4" t="s">
        <v>48</v>
      </c>
      <c r="L31" s="3">
        <v>45658</v>
      </c>
      <c r="M31" s="4" t="s">
        <v>63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64</v>
      </c>
      <c r="U31" s="4" t="s">
        <v>46</v>
      </c>
      <c r="V31" s="5">
        <v>-0.75</v>
      </c>
      <c r="W31" s="5">
        <v>0</v>
      </c>
      <c r="X31" s="5">
        <v>100</v>
      </c>
      <c r="Y31" s="5">
        <v>-234.75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67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45749</v>
      </c>
      <c r="C32" s="4" t="s">
        <v>135</v>
      </c>
      <c r="D32" s="2">
        <v>1815594</v>
      </c>
      <c r="E32" s="4" t="s">
        <v>142</v>
      </c>
      <c r="F32" s="4" t="s">
        <v>143</v>
      </c>
      <c r="G32" s="2">
        <v>279143383</v>
      </c>
      <c r="H32" s="4" t="s">
        <v>144</v>
      </c>
      <c r="I32" s="4" t="s">
        <v>46</v>
      </c>
      <c r="J32" s="4" t="s">
        <v>47</v>
      </c>
      <c r="K32" s="4" t="s">
        <v>48</v>
      </c>
      <c r="L32" s="3">
        <v>45748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0.75</v>
      </c>
      <c r="W32" s="5">
        <v>0</v>
      </c>
      <c r="X32" s="5">
        <v>100</v>
      </c>
      <c r="Y32" s="5">
        <v>234.75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45748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45749</v>
      </c>
      <c r="C33" s="4" t="s">
        <v>135</v>
      </c>
      <c r="D33" s="2">
        <v>1815594</v>
      </c>
      <c r="E33" s="4" t="s">
        <v>136</v>
      </c>
      <c r="F33" s="4" t="s">
        <v>137</v>
      </c>
      <c r="G33" s="2">
        <v>25254063</v>
      </c>
      <c r="H33" s="4" t="s">
        <v>138</v>
      </c>
      <c r="I33" s="4" t="s">
        <v>46</v>
      </c>
      <c r="J33" s="4" t="s">
        <v>47</v>
      </c>
      <c r="K33" s="4" t="s">
        <v>48</v>
      </c>
      <c r="L33" s="3">
        <v>45748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64</v>
      </c>
      <c r="U33" s="4" t="s">
        <v>46</v>
      </c>
      <c r="V33" s="5">
        <v>0.75</v>
      </c>
      <c r="W33" s="5">
        <v>0</v>
      </c>
      <c r="X33" s="5">
        <v>100</v>
      </c>
      <c r="Y33" s="5">
        <v>234.75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45748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67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45749</v>
      </c>
      <c r="C34" s="4" t="s">
        <v>135</v>
      </c>
      <c r="D34" s="2">
        <v>1815594</v>
      </c>
      <c r="E34" s="4" t="s">
        <v>139</v>
      </c>
      <c r="F34" s="4" t="s">
        <v>140</v>
      </c>
      <c r="G34" s="2">
        <v>572151321</v>
      </c>
      <c r="H34" s="4" t="s">
        <v>141</v>
      </c>
      <c r="I34" s="4" t="s">
        <v>46</v>
      </c>
      <c r="J34" s="4" t="s">
        <v>47</v>
      </c>
      <c r="K34" s="4" t="s">
        <v>48</v>
      </c>
      <c r="L34" s="3">
        <v>45748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64</v>
      </c>
      <c r="U34" s="4" t="s">
        <v>46</v>
      </c>
      <c r="V34" s="5">
        <v>0.75</v>
      </c>
      <c r="W34" s="5">
        <v>0</v>
      </c>
      <c r="X34" s="5">
        <v>100</v>
      </c>
      <c r="Y34" s="5">
        <v>234.75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45748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67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45749</v>
      </c>
      <c r="C35" s="4" t="s">
        <v>145</v>
      </c>
      <c r="D35" s="2">
        <v>1831320</v>
      </c>
      <c r="E35" s="4" t="s">
        <v>146</v>
      </c>
      <c r="F35" s="4" t="s">
        <v>147</v>
      </c>
      <c r="G35" s="2">
        <v>36841114</v>
      </c>
      <c r="H35" s="4" t="s">
        <v>148</v>
      </c>
      <c r="I35" s="4" t="s">
        <v>46</v>
      </c>
      <c r="J35" s="4" t="s">
        <v>47</v>
      </c>
      <c r="K35" s="4" t="s">
        <v>48</v>
      </c>
      <c r="L35" s="3">
        <v>45748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0.75</v>
      </c>
      <c r="W35" s="5">
        <v>0</v>
      </c>
      <c r="X35" s="5">
        <v>100</v>
      </c>
      <c r="Y35" s="5">
        <v>234.75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45748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45749</v>
      </c>
      <c r="C36" s="4" t="s">
        <v>166</v>
      </c>
      <c r="D36" s="2">
        <v>1903197</v>
      </c>
      <c r="E36" s="4" t="s">
        <v>167</v>
      </c>
      <c r="F36" s="4" t="s">
        <v>168</v>
      </c>
      <c r="G36" s="2">
        <v>692329453</v>
      </c>
      <c r="H36" s="4" t="s">
        <v>169</v>
      </c>
      <c r="I36" s="4" t="s">
        <v>46</v>
      </c>
      <c r="J36" s="4" t="s">
        <v>47</v>
      </c>
      <c r="K36" s="4" t="s">
        <v>48</v>
      </c>
      <c r="L36" s="3">
        <v>45689</v>
      </c>
      <c r="M36" s="4" t="s">
        <v>170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64</v>
      </c>
      <c r="U36" s="4" t="s">
        <v>46</v>
      </c>
      <c r="V36" s="5">
        <v>-0.75</v>
      </c>
      <c r="W36" s="5">
        <v>0</v>
      </c>
      <c r="X36" s="5">
        <v>100</v>
      </c>
      <c r="Y36" s="5">
        <v>-234.75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45689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67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45749</v>
      </c>
      <c r="C37" s="4" t="s">
        <v>59</v>
      </c>
      <c r="D37" s="2">
        <v>1573279</v>
      </c>
      <c r="E37" s="4" t="s">
        <v>68</v>
      </c>
      <c r="F37" s="4" t="s">
        <v>69</v>
      </c>
      <c r="G37" s="2">
        <v>475517244</v>
      </c>
      <c r="H37" s="4" t="s">
        <v>70</v>
      </c>
      <c r="I37" s="4" t="s">
        <v>46</v>
      </c>
      <c r="J37" s="4" t="s">
        <v>47</v>
      </c>
      <c r="K37" s="4" t="s">
        <v>48</v>
      </c>
      <c r="L37" s="3">
        <v>45748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0.75</v>
      </c>
      <c r="W37" s="5">
        <v>0</v>
      </c>
      <c r="X37" s="5">
        <v>100</v>
      </c>
      <c r="Y37" s="5">
        <v>234.75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45748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55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45749</v>
      </c>
      <c r="C38" s="4" t="s">
        <v>59</v>
      </c>
      <c r="D38" s="2">
        <v>1573279</v>
      </c>
      <c r="E38" s="4" t="s">
        <v>74</v>
      </c>
      <c r="F38" s="4" t="s">
        <v>75</v>
      </c>
      <c r="G38" s="2">
        <v>132085520</v>
      </c>
      <c r="H38" s="4" t="s">
        <v>76</v>
      </c>
      <c r="I38" s="4" t="s">
        <v>46</v>
      </c>
      <c r="J38" s="4" t="s">
        <v>47</v>
      </c>
      <c r="K38" s="4" t="s">
        <v>48</v>
      </c>
      <c r="L38" s="3">
        <v>45748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0.75</v>
      </c>
      <c r="W38" s="5">
        <v>0</v>
      </c>
      <c r="X38" s="5">
        <v>100</v>
      </c>
      <c r="Y38" s="5">
        <v>234.75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45748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55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45749</v>
      </c>
      <c r="C39" s="4" t="s">
        <v>59</v>
      </c>
      <c r="D39" s="2">
        <v>1573279</v>
      </c>
      <c r="E39" s="4" t="s">
        <v>77</v>
      </c>
      <c r="F39" s="4" t="s">
        <v>78</v>
      </c>
      <c r="G39" s="2">
        <v>215904281</v>
      </c>
      <c r="H39" s="4" t="s">
        <v>79</v>
      </c>
      <c r="I39" s="4" t="s">
        <v>46</v>
      </c>
      <c r="J39" s="4" t="s">
        <v>47</v>
      </c>
      <c r="K39" s="4" t="s">
        <v>48</v>
      </c>
      <c r="L39" s="3">
        <v>45748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0.75</v>
      </c>
      <c r="W39" s="5">
        <v>0</v>
      </c>
      <c r="X39" s="5">
        <v>100</v>
      </c>
      <c r="Y39" s="5">
        <v>234.75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45748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55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45749</v>
      </c>
      <c r="C40" s="4" t="s">
        <v>59</v>
      </c>
      <c r="D40" s="2">
        <v>1573279</v>
      </c>
      <c r="E40" s="4" t="s">
        <v>71</v>
      </c>
      <c r="F40" s="4" t="s">
        <v>72</v>
      </c>
      <c r="G40" s="2">
        <v>477654244</v>
      </c>
      <c r="H40" s="4" t="s">
        <v>73</v>
      </c>
      <c r="I40" s="4" t="s">
        <v>46</v>
      </c>
      <c r="J40" s="4" t="s">
        <v>47</v>
      </c>
      <c r="K40" s="4" t="s">
        <v>48</v>
      </c>
      <c r="L40" s="3">
        <v>45748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0.75</v>
      </c>
      <c r="W40" s="5">
        <v>0</v>
      </c>
      <c r="X40" s="5">
        <v>100</v>
      </c>
      <c r="Y40" s="5">
        <v>234.75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45748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55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45749</v>
      </c>
      <c r="C41" s="4" t="s">
        <v>59</v>
      </c>
      <c r="D41" s="2">
        <v>1573279</v>
      </c>
      <c r="E41" s="4" t="s">
        <v>60</v>
      </c>
      <c r="F41" s="4" t="s">
        <v>61</v>
      </c>
      <c r="G41" s="2">
        <v>683176453</v>
      </c>
      <c r="H41" s="4" t="s">
        <v>62</v>
      </c>
      <c r="I41" s="4" t="s">
        <v>46</v>
      </c>
      <c r="J41" s="4" t="s">
        <v>47</v>
      </c>
      <c r="K41" s="4" t="s">
        <v>48</v>
      </c>
      <c r="L41" s="3">
        <v>45748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52</v>
      </c>
      <c r="U41" s="4" t="s">
        <v>46</v>
      </c>
      <c r="V41" s="5">
        <v>0.75</v>
      </c>
      <c r="W41" s="5">
        <v>0</v>
      </c>
      <c r="X41" s="5">
        <v>100</v>
      </c>
      <c r="Y41" s="5">
        <v>234.75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45748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55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45749</v>
      </c>
      <c r="C42" s="4" t="s">
        <v>59</v>
      </c>
      <c r="D42" s="2">
        <v>1573279</v>
      </c>
      <c r="E42" s="4" t="s">
        <v>60</v>
      </c>
      <c r="F42" s="4" t="s">
        <v>61</v>
      </c>
      <c r="G42" s="2">
        <v>683176453</v>
      </c>
      <c r="H42" s="4" t="s">
        <v>62</v>
      </c>
      <c r="I42" s="4" t="s">
        <v>46</v>
      </c>
      <c r="J42" s="4" t="s">
        <v>47</v>
      </c>
      <c r="K42" s="4" t="s">
        <v>48</v>
      </c>
      <c r="L42" s="3">
        <v>45658</v>
      </c>
      <c r="M42" s="4" t="s">
        <v>63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64</v>
      </c>
      <c r="U42" s="4" t="s">
        <v>46</v>
      </c>
      <c r="V42" s="5">
        <v>0</v>
      </c>
      <c r="W42" s="5">
        <v>0</v>
      </c>
      <c r="X42" s="5">
        <v>100</v>
      </c>
      <c r="Y42" s="5">
        <v>-234.75</v>
      </c>
      <c r="Z42" s="4" t="s">
        <v>46</v>
      </c>
      <c r="AA42" s="5" t="s">
        <v>46</v>
      </c>
      <c r="AB42" s="4" t="s">
        <v>65</v>
      </c>
      <c r="AC42" s="4" t="s">
        <v>46</v>
      </c>
      <c r="AD42" s="5">
        <v>0</v>
      </c>
      <c r="AE42" s="4" t="s">
        <v>66</v>
      </c>
      <c r="AF42" s="3">
        <v>45658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67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45749</v>
      </c>
      <c r="C43" s="4" t="s">
        <v>59</v>
      </c>
      <c r="D43" s="2">
        <v>1573279</v>
      </c>
      <c r="E43" s="4" t="s">
        <v>60</v>
      </c>
      <c r="F43" s="4" t="s">
        <v>61</v>
      </c>
      <c r="G43" s="2">
        <v>683176453</v>
      </c>
      <c r="H43" s="4" t="s">
        <v>62</v>
      </c>
      <c r="I43" s="4" t="s">
        <v>46</v>
      </c>
      <c r="J43" s="4" t="s">
        <v>47</v>
      </c>
      <c r="K43" s="4" t="s">
        <v>48</v>
      </c>
      <c r="L43" s="3">
        <v>45658</v>
      </c>
      <c r="M43" s="4" t="s">
        <v>63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64</v>
      </c>
      <c r="U43" s="4" t="s">
        <v>46</v>
      </c>
      <c r="V43" s="5">
        <v>-0.75</v>
      </c>
      <c r="W43" s="5">
        <v>0</v>
      </c>
      <c r="X43" s="5">
        <v>100</v>
      </c>
      <c r="Y43" s="5">
        <v>-234.75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45658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67</v>
      </c>
      <c r="AO43" s="4" t="s">
        <v>46</v>
      </c>
      <c r="AP43" s="4" t="s">
        <v>46</v>
      </c>
    </row>
  </sheetData>
  <sortState xmlns:xlrd2="http://schemas.microsoft.com/office/spreadsheetml/2017/richdata2" ref="A2:AP44">
    <sortCondition ref="C2:C4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17E9-912B-4ECF-A86B-ADD5BAD99F51}">
  <dimension ref="A1:O44"/>
  <sheetViews>
    <sheetView workbookViewId="0">
      <selection activeCell="N2" sqref="N2:N42"/>
    </sheetView>
  </sheetViews>
  <sheetFormatPr defaultRowHeight="12.75" x14ac:dyDescent="0.2"/>
  <cols>
    <col min="1" max="1" width="24.7109375" bestFit="1" customWidth="1"/>
    <col min="2" max="2" width="13.42578125" customWidth="1"/>
    <col min="3" max="3" width="28.5703125" bestFit="1" customWidth="1"/>
    <col min="4" max="4" width="14.42578125" bestFit="1" customWidth="1"/>
    <col min="5" max="6" width="11.42578125" bestFit="1" customWidth="1"/>
    <col min="7" max="7" width="15.28515625" bestFit="1" customWidth="1"/>
    <col min="8" max="8" width="13.7109375" bestFit="1" customWidth="1"/>
    <col min="9" max="9" width="9.5703125" bestFit="1" customWidth="1"/>
    <col min="10" max="10" width="15.28515625" bestFit="1" customWidth="1"/>
    <col min="11" max="11" width="8.140625" bestFit="1" customWidth="1"/>
    <col min="12" max="12" width="12.7109375" customWidth="1"/>
    <col min="13" max="13" width="21.5703125" bestFit="1" customWidth="1"/>
  </cols>
  <sheetData>
    <row r="1" spans="1:15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21</v>
      </c>
      <c r="I1" s="1" t="s">
        <v>22</v>
      </c>
      <c r="J1" s="1" t="s">
        <v>24</v>
      </c>
      <c r="K1" s="1" t="s">
        <v>31</v>
      </c>
      <c r="L1" s="1"/>
      <c r="M1" s="1" t="s">
        <v>27</v>
      </c>
    </row>
    <row r="2" spans="1:15" x14ac:dyDescent="0.2">
      <c r="A2" s="4" t="s">
        <v>153</v>
      </c>
      <c r="B2" s="2">
        <v>19645587</v>
      </c>
      <c r="C2" s="7" t="s">
        <v>313</v>
      </c>
      <c r="D2" s="7" t="s">
        <v>216</v>
      </c>
      <c r="E2" s="3">
        <v>45809</v>
      </c>
      <c r="F2" s="4" t="s">
        <v>157</v>
      </c>
      <c r="G2" s="4" t="s">
        <v>51</v>
      </c>
      <c r="H2" s="5">
        <v>0.57999999999999996</v>
      </c>
      <c r="I2" s="5">
        <v>1</v>
      </c>
      <c r="J2" s="5">
        <v>182.58</v>
      </c>
      <c r="K2" s="3">
        <v>45809</v>
      </c>
      <c r="L2" s="3">
        <v>45839</v>
      </c>
      <c r="M2" s="4" t="s">
        <v>53</v>
      </c>
      <c r="N2" s="6" t="s">
        <v>196</v>
      </c>
      <c r="O2" t="s">
        <v>198</v>
      </c>
    </row>
    <row r="3" spans="1:15" x14ac:dyDescent="0.2">
      <c r="A3" s="4" t="s">
        <v>121</v>
      </c>
      <c r="B3" s="2">
        <v>19396223</v>
      </c>
      <c r="C3" s="7" t="s">
        <v>302</v>
      </c>
      <c r="D3" s="7" t="s">
        <v>206</v>
      </c>
      <c r="E3" s="3">
        <v>45658</v>
      </c>
      <c r="F3" s="4" t="s">
        <v>63</v>
      </c>
      <c r="G3" s="4" t="s">
        <v>51</v>
      </c>
      <c r="H3" s="5">
        <v>-0.75</v>
      </c>
      <c r="I3" s="5">
        <v>-1</v>
      </c>
      <c r="J3" s="5">
        <v>-234.75</v>
      </c>
      <c r="K3" s="3">
        <v>45748</v>
      </c>
      <c r="L3" s="3">
        <v>45778</v>
      </c>
      <c r="M3" s="4" t="s">
        <v>53</v>
      </c>
      <c r="N3" s="6" t="s">
        <v>195</v>
      </c>
      <c r="O3" t="s">
        <v>198</v>
      </c>
    </row>
    <row r="4" spans="1:15" x14ac:dyDescent="0.2">
      <c r="A4" s="4" t="s">
        <v>171</v>
      </c>
      <c r="B4" s="2">
        <v>8971826</v>
      </c>
      <c r="C4" s="7" t="s">
        <v>330</v>
      </c>
      <c r="D4" s="7" t="s">
        <v>233</v>
      </c>
      <c r="E4" s="3">
        <v>45748</v>
      </c>
      <c r="F4" s="4" t="s">
        <v>49</v>
      </c>
      <c r="G4" s="4" t="s">
        <v>51</v>
      </c>
      <c r="H4" s="5">
        <v>0.75</v>
      </c>
      <c r="I4" s="5">
        <v>1</v>
      </c>
      <c r="J4" s="5">
        <v>264.75</v>
      </c>
      <c r="K4" s="3">
        <v>45748</v>
      </c>
      <c r="L4" s="3">
        <v>45778</v>
      </c>
      <c r="M4" s="4" t="s">
        <v>53</v>
      </c>
      <c r="N4" s="6" t="s">
        <v>194</v>
      </c>
      <c r="O4" t="s">
        <v>197</v>
      </c>
    </row>
    <row r="5" spans="1:15" x14ac:dyDescent="0.2">
      <c r="A5" s="4" t="s">
        <v>94</v>
      </c>
      <c r="B5" s="2">
        <v>17425766</v>
      </c>
      <c r="C5" s="7" t="s">
        <v>297</v>
      </c>
      <c r="D5" s="7" t="s">
        <v>201</v>
      </c>
      <c r="E5" s="3">
        <v>45658</v>
      </c>
      <c r="F5" s="4" t="s">
        <v>63</v>
      </c>
      <c r="G5" s="4" t="s">
        <v>51</v>
      </c>
      <c r="H5" s="5">
        <v>-0.75</v>
      </c>
      <c r="I5" s="5">
        <v>-1</v>
      </c>
      <c r="J5" s="5">
        <v>-264.75</v>
      </c>
      <c r="K5" s="3">
        <v>45748</v>
      </c>
      <c r="L5" s="3">
        <v>45778</v>
      </c>
      <c r="M5" s="4" t="s">
        <v>53</v>
      </c>
      <c r="N5" s="6" t="s">
        <v>194</v>
      </c>
      <c r="O5" t="s">
        <v>197</v>
      </c>
    </row>
    <row r="6" spans="1:15" x14ac:dyDescent="0.2">
      <c r="A6" s="4" t="s">
        <v>117</v>
      </c>
      <c r="B6" s="2">
        <v>18581063</v>
      </c>
      <c r="C6" s="7" t="s">
        <v>324</v>
      </c>
      <c r="D6" s="7" t="s">
        <v>227</v>
      </c>
      <c r="E6" s="3">
        <v>45748</v>
      </c>
      <c r="F6" s="4" t="s">
        <v>49</v>
      </c>
      <c r="G6" s="4" t="s">
        <v>51</v>
      </c>
      <c r="H6" s="5">
        <v>0.75</v>
      </c>
      <c r="I6" s="5">
        <v>1</v>
      </c>
      <c r="J6" s="5">
        <v>234.75</v>
      </c>
      <c r="K6" s="3">
        <v>45748</v>
      </c>
      <c r="L6" s="3">
        <v>45778</v>
      </c>
      <c r="M6" s="4" t="s">
        <v>53</v>
      </c>
      <c r="N6" s="6" t="s">
        <v>195</v>
      </c>
      <c r="O6" t="s">
        <v>198</v>
      </c>
    </row>
    <row r="7" spans="1:15" x14ac:dyDescent="0.2">
      <c r="A7" s="4" t="s">
        <v>159</v>
      </c>
      <c r="B7" s="2">
        <v>19278370</v>
      </c>
      <c r="C7" s="7" t="s">
        <v>329</v>
      </c>
      <c r="D7" s="7" t="s">
        <v>232</v>
      </c>
      <c r="E7" s="3">
        <v>45748</v>
      </c>
      <c r="F7" s="4" t="s">
        <v>49</v>
      </c>
      <c r="G7" s="4" t="s">
        <v>51</v>
      </c>
      <c r="H7" s="5">
        <v>0.75</v>
      </c>
      <c r="I7" s="5">
        <v>1</v>
      </c>
      <c r="J7" s="5">
        <v>234.75</v>
      </c>
      <c r="K7" s="3">
        <v>45748</v>
      </c>
      <c r="L7" s="3">
        <v>45778</v>
      </c>
      <c r="M7" s="4" t="s">
        <v>53</v>
      </c>
      <c r="N7" s="6" t="s">
        <v>195</v>
      </c>
      <c r="O7" t="s">
        <v>198</v>
      </c>
    </row>
    <row r="8" spans="1:15" x14ac:dyDescent="0.2">
      <c r="A8" s="4" t="s">
        <v>159</v>
      </c>
      <c r="B8" s="2">
        <v>19278370</v>
      </c>
      <c r="C8" s="7" t="s">
        <v>312</v>
      </c>
      <c r="D8" s="8">
        <v>90302976704</v>
      </c>
      <c r="E8" s="3">
        <v>45748</v>
      </c>
      <c r="F8" s="4" t="s">
        <v>49</v>
      </c>
      <c r="G8" s="4" t="s">
        <v>191</v>
      </c>
      <c r="H8" s="5">
        <v>10</v>
      </c>
      <c r="I8" s="5">
        <v>404</v>
      </c>
      <c r="J8" s="5">
        <v>40.4</v>
      </c>
      <c r="K8" s="3">
        <v>45748</v>
      </c>
      <c r="L8" s="3">
        <v>45778</v>
      </c>
      <c r="M8" s="4" t="s">
        <v>192</v>
      </c>
      <c r="O8" t="s">
        <v>200</v>
      </c>
    </row>
    <row r="9" spans="1:15" x14ac:dyDescent="0.2">
      <c r="A9" s="4" t="s">
        <v>42</v>
      </c>
      <c r="B9" s="2">
        <v>8814784</v>
      </c>
      <c r="C9" s="7" t="s">
        <v>314</v>
      </c>
      <c r="D9" s="7" t="s">
        <v>217</v>
      </c>
      <c r="E9" s="3">
        <v>45748</v>
      </c>
      <c r="F9" s="4" t="s">
        <v>49</v>
      </c>
      <c r="G9" s="4" t="s">
        <v>51</v>
      </c>
      <c r="H9" s="5">
        <v>0.75</v>
      </c>
      <c r="I9" s="5">
        <v>1</v>
      </c>
      <c r="J9" s="5">
        <v>234.75</v>
      </c>
      <c r="K9" s="3">
        <v>45748</v>
      </c>
      <c r="L9" s="3">
        <v>45778</v>
      </c>
      <c r="M9" s="4" t="s">
        <v>53</v>
      </c>
      <c r="N9" s="6" t="s">
        <v>195</v>
      </c>
      <c r="O9" t="s">
        <v>198</v>
      </c>
    </row>
    <row r="10" spans="1:15" x14ac:dyDescent="0.2">
      <c r="A10" s="4" t="s">
        <v>42</v>
      </c>
      <c r="B10" s="2">
        <v>8814784</v>
      </c>
      <c r="C10" s="7" t="s">
        <v>315</v>
      </c>
      <c r="D10" s="7" t="s">
        <v>218</v>
      </c>
      <c r="E10" s="3">
        <v>45748</v>
      </c>
      <c r="F10" s="4" t="s">
        <v>49</v>
      </c>
      <c r="G10" s="4" t="s">
        <v>51</v>
      </c>
      <c r="H10" s="5">
        <v>0.75</v>
      </c>
      <c r="I10" s="5">
        <v>1</v>
      </c>
      <c r="J10" s="5">
        <v>234.75</v>
      </c>
      <c r="K10" s="3">
        <v>45748</v>
      </c>
      <c r="L10" s="3">
        <v>45778</v>
      </c>
      <c r="M10" s="4" t="s">
        <v>53</v>
      </c>
      <c r="N10" s="6" t="s">
        <v>195</v>
      </c>
      <c r="O10" t="s">
        <v>198</v>
      </c>
    </row>
    <row r="11" spans="1:15" x14ac:dyDescent="0.2">
      <c r="A11" s="4" t="s">
        <v>99</v>
      </c>
      <c r="B11" s="2">
        <v>9213293</v>
      </c>
      <c r="C11" s="7" t="s">
        <v>323</v>
      </c>
      <c r="D11" s="7" t="s">
        <v>226</v>
      </c>
      <c r="E11" s="3">
        <v>45748</v>
      </c>
      <c r="F11" s="4" t="s">
        <v>49</v>
      </c>
      <c r="G11" s="4" t="s">
        <v>51</v>
      </c>
      <c r="H11" s="5">
        <v>0.75</v>
      </c>
      <c r="I11" s="5">
        <v>1</v>
      </c>
      <c r="J11" s="5">
        <v>234.75</v>
      </c>
      <c r="K11" s="3">
        <v>45748</v>
      </c>
      <c r="L11" s="3">
        <v>45778</v>
      </c>
      <c r="M11" s="4" t="s">
        <v>53</v>
      </c>
      <c r="N11" s="6" t="s">
        <v>195</v>
      </c>
      <c r="O11" t="s">
        <v>198</v>
      </c>
    </row>
    <row r="12" spans="1:15" x14ac:dyDescent="0.2">
      <c r="A12" s="4" t="s">
        <v>99</v>
      </c>
      <c r="B12" s="2">
        <v>9213293</v>
      </c>
      <c r="C12" s="7" t="s">
        <v>321</v>
      </c>
      <c r="D12" s="7" t="s">
        <v>224</v>
      </c>
      <c r="E12" s="3">
        <v>45748</v>
      </c>
      <c r="F12" s="4" t="s">
        <v>49</v>
      </c>
      <c r="G12" s="4" t="s">
        <v>51</v>
      </c>
      <c r="H12" s="5">
        <v>0.75</v>
      </c>
      <c r="I12" s="5">
        <v>1</v>
      </c>
      <c r="J12" s="5">
        <v>234.75</v>
      </c>
      <c r="K12" s="3">
        <v>45748</v>
      </c>
      <c r="L12" s="3">
        <v>45778</v>
      </c>
      <c r="M12" s="4" t="s">
        <v>53</v>
      </c>
      <c r="N12" s="6" t="s">
        <v>195</v>
      </c>
      <c r="O12" t="s">
        <v>198</v>
      </c>
    </row>
    <row r="13" spans="1:15" x14ac:dyDescent="0.2">
      <c r="A13" s="4" t="s">
        <v>99</v>
      </c>
      <c r="B13" s="2">
        <v>9213293</v>
      </c>
      <c r="C13" s="7" t="s">
        <v>320</v>
      </c>
      <c r="D13" s="7" t="s">
        <v>223</v>
      </c>
      <c r="E13" s="3">
        <v>45748</v>
      </c>
      <c r="F13" s="4" t="s">
        <v>49</v>
      </c>
      <c r="G13" s="4" t="s">
        <v>51</v>
      </c>
      <c r="H13" s="5">
        <v>0.75</v>
      </c>
      <c r="I13" s="5">
        <v>1</v>
      </c>
      <c r="J13" s="5">
        <v>234.75</v>
      </c>
      <c r="K13" s="3">
        <v>45748</v>
      </c>
      <c r="L13" s="3">
        <v>45778</v>
      </c>
      <c r="M13" s="4" t="s">
        <v>53</v>
      </c>
      <c r="N13" s="6" t="s">
        <v>195</v>
      </c>
      <c r="O13" t="s">
        <v>198</v>
      </c>
    </row>
    <row r="14" spans="1:15" x14ac:dyDescent="0.2">
      <c r="A14" s="4" t="s">
        <v>99</v>
      </c>
      <c r="B14" s="2">
        <v>9213293</v>
      </c>
      <c r="C14" s="7" t="s">
        <v>322</v>
      </c>
      <c r="D14" s="7" t="s">
        <v>225</v>
      </c>
      <c r="E14" s="3">
        <v>45748</v>
      </c>
      <c r="F14" s="4" t="s">
        <v>49</v>
      </c>
      <c r="G14" s="4" t="s">
        <v>51</v>
      </c>
      <c r="H14" s="5">
        <v>0.75</v>
      </c>
      <c r="I14" s="5">
        <v>1</v>
      </c>
      <c r="J14" s="5">
        <v>234.75</v>
      </c>
      <c r="K14" s="3">
        <v>45748</v>
      </c>
      <c r="L14" s="3">
        <v>45778</v>
      </c>
      <c r="M14" s="4" t="s">
        <v>53</v>
      </c>
      <c r="N14" s="6" t="s">
        <v>195</v>
      </c>
      <c r="O14" t="s">
        <v>198</v>
      </c>
    </row>
    <row r="15" spans="1:15" x14ac:dyDescent="0.2">
      <c r="A15" s="4" t="s">
        <v>176</v>
      </c>
      <c r="B15" s="2">
        <v>16983460</v>
      </c>
      <c r="C15" s="7" t="s">
        <v>309</v>
      </c>
      <c r="D15" s="7" t="s">
        <v>213</v>
      </c>
      <c r="E15" s="3">
        <v>45748</v>
      </c>
      <c r="F15" s="4" t="s">
        <v>49</v>
      </c>
      <c r="G15" s="4" t="s">
        <v>51</v>
      </c>
      <c r="H15" s="5">
        <v>-0.75</v>
      </c>
      <c r="I15" s="5">
        <v>-1</v>
      </c>
      <c r="J15" s="5">
        <v>-234.75</v>
      </c>
      <c r="K15" s="3">
        <v>45748</v>
      </c>
      <c r="L15" s="3">
        <v>45778</v>
      </c>
      <c r="M15" s="4" t="s">
        <v>53</v>
      </c>
      <c r="N15" s="6" t="s">
        <v>195</v>
      </c>
      <c r="O15" t="s">
        <v>198</v>
      </c>
    </row>
    <row r="16" spans="1:15" x14ac:dyDescent="0.2">
      <c r="A16" s="4" t="s">
        <v>125</v>
      </c>
      <c r="B16" s="2">
        <v>19200754</v>
      </c>
      <c r="C16" s="7" t="s">
        <v>305</v>
      </c>
      <c r="D16" s="7" t="s">
        <v>209</v>
      </c>
      <c r="E16" s="3">
        <v>45658</v>
      </c>
      <c r="F16" s="4" t="s">
        <v>63</v>
      </c>
      <c r="G16" s="4" t="s">
        <v>51</v>
      </c>
      <c r="H16" s="5">
        <v>0</v>
      </c>
      <c r="I16" s="5">
        <v>-1</v>
      </c>
      <c r="J16" s="5">
        <v>-234.75</v>
      </c>
      <c r="K16" s="3">
        <v>45748</v>
      </c>
      <c r="L16" s="3">
        <v>45778</v>
      </c>
      <c r="M16" s="4" t="s">
        <v>65</v>
      </c>
      <c r="N16" s="6" t="s">
        <v>195</v>
      </c>
      <c r="O16" t="s">
        <v>198</v>
      </c>
    </row>
    <row r="17" spans="1:15" x14ac:dyDescent="0.2">
      <c r="A17" s="4" t="s">
        <v>125</v>
      </c>
      <c r="B17" s="2">
        <v>19200754</v>
      </c>
      <c r="C17" s="7" t="s">
        <v>304</v>
      </c>
      <c r="D17" s="7" t="s">
        <v>208</v>
      </c>
      <c r="E17" s="3">
        <v>45658</v>
      </c>
      <c r="F17" s="4" t="s">
        <v>63</v>
      </c>
      <c r="G17" s="4" t="s">
        <v>51</v>
      </c>
      <c r="H17" s="5">
        <v>0</v>
      </c>
      <c r="I17" s="5">
        <v>-1</v>
      </c>
      <c r="J17" s="5">
        <v>-234.75</v>
      </c>
      <c r="K17" s="3">
        <v>45748</v>
      </c>
      <c r="L17" s="3">
        <v>45778</v>
      </c>
      <c r="M17" s="4" t="s">
        <v>65</v>
      </c>
      <c r="N17" s="6" t="s">
        <v>195</v>
      </c>
      <c r="O17" t="s">
        <v>198</v>
      </c>
    </row>
    <row r="18" spans="1:15" x14ac:dyDescent="0.2">
      <c r="A18" s="4" t="s">
        <v>135</v>
      </c>
      <c r="B18" s="2">
        <v>19586992</v>
      </c>
      <c r="C18" s="7" t="s">
        <v>325</v>
      </c>
      <c r="D18" s="7" t="s">
        <v>228</v>
      </c>
      <c r="E18" s="3">
        <v>45748</v>
      </c>
      <c r="F18" s="4" t="s">
        <v>49</v>
      </c>
      <c r="G18" s="4" t="s">
        <v>51</v>
      </c>
      <c r="H18" s="5">
        <v>0.75</v>
      </c>
      <c r="I18" s="5">
        <v>1</v>
      </c>
      <c r="J18" s="5">
        <v>234.75</v>
      </c>
      <c r="K18" s="3">
        <v>45748</v>
      </c>
      <c r="L18" s="3">
        <v>45778</v>
      </c>
      <c r="M18" s="4" t="s">
        <v>53</v>
      </c>
      <c r="N18" s="6" t="s">
        <v>195</v>
      </c>
      <c r="O18" t="s">
        <v>198</v>
      </c>
    </row>
    <row r="19" spans="1:15" x14ac:dyDescent="0.2">
      <c r="A19" s="4" t="s">
        <v>135</v>
      </c>
      <c r="B19" s="2">
        <v>19586992</v>
      </c>
      <c r="C19" s="7" t="s">
        <v>327</v>
      </c>
      <c r="D19" s="7" t="s">
        <v>230</v>
      </c>
      <c r="E19" s="3">
        <v>45748</v>
      </c>
      <c r="F19" s="4" t="s">
        <v>49</v>
      </c>
      <c r="G19" s="4" t="s">
        <v>51</v>
      </c>
      <c r="H19" s="5">
        <v>0.75</v>
      </c>
      <c r="I19" s="5">
        <v>1</v>
      </c>
      <c r="J19" s="5">
        <v>234.75</v>
      </c>
      <c r="K19" s="3">
        <v>45748</v>
      </c>
      <c r="L19" s="3">
        <v>45778</v>
      </c>
      <c r="M19" s="4" t="s">
        <v>53</v>
      </c>
      <c r="N19" s="6" t="s">
        <v>195</v>
      </c>
      <c r="O19" t="s">
        <v>198</v>
      </c>
    </row>
    <row r="20" spans="1:15" x14ac:dyDescent="0.2">
      <c r="A20" s="4" t="s">
        <v>135</v>
      </c>
      <c r="B20" s="2">
        <v>19586992</v>
      </c>
      <c r="C20" s="7" t="s">
        <v>326</v>
      </c>
      <c r="D20" s="7" t="s">
        <v>229</v>
      </c>
      <c r="E20" s="3">
        <v>45748</v>
      </c>
      <c r="F20" s="4" t="s">
        <v>49</v>
      </c>
      <c r="G20" s="4" t="s">
        <v>51</v>
      </c>
      <c r="H20" s="5">
        <v>0.75</v>
      </c>
      <c r="I20" s="5">
        <v>1</v>
      </c>
      <c r="J20" s="5">
        <v>234.75</v>
      </c>
      <c r="K20" s="3">
        <v>45748</v>
      </c>
      <c r="L20" s="3">
        <v>45778</v>
      </c>
      <c r="M20" s="4" t="s">
        <v>53</v>
      </c>
      <c r="N20" s="6" t="s">
        <v>195</v>
      </c>
      <c r="O20" t="s">
        <v>198</v>
      </c>
    </row>
    <row r="21" spans="1:15" x14ac:dyDescent="0.2">
      <c r="A21" s="4" t="s">
        <v>145</v>
      </c>
      <c r="B21" s="2">
        <v>19681796</v>
      </c>
      <c r="C21" s="7" t="s">
        <v>328</v>
      </c>
      <c r="D21" s="7" t="s">
        <v>231</v>
      </c>
      <c r="E21" s="3">
        <v>45748</v>
      </c>
      <c r="F21" s="4" t="s">
        <v>49</v>
      </c>
      <c r="G21" s="4" t="s">
        <v>51</v>
      </c>
      <c r="H21" s="5">
        <v>0.75</v>
      </c>
      <c r="I21" s="5">
        <v>1</v>
      </c>
      <c r="J21" s="5">
        <v>234.75</v>
      </c>
      <c r="K21" s="3">
        <v>45748</v>
      </c>
      <c r="L21" s="3">
        <v>45778</v>
      </c>
      <c r="M21" s="4" t="s">
        <v>53</v>
      </c>
      <c r="N21" s="6" t="s">
        <v>195</v>
      </c>
      <c r="O21" t="s">
        <v>198</v>
      </c>
    </row>
    <row r="22" spans="1:15" x14ac:dyDescent="0.2">
      <c r="A22" s="4" t="s">
        <v>59</v>
      </c>
      <c r="B22" s="2">
        <v>16633294</v>
      </c>
      <c r="C22" s="7" t="s">
        <v>318</v>
      </c>
      <c r="D22" s="7" t="s">
        <v>221</v>
      </c>
      <c r="E22" s="3">
        <v>45748</v>
      </c>
      <c r="F22" s="4" t="s">
        <v>49</v>
      </c>
      <c r="G22" s="4" t="s">
        <v>51</v>
      </c>
      <c r="H22" s="5">
        <v>0.75</v>
      </c>
      <c r="I22" s="5">
        <v>1</v>
      </c>
      <c r="J22" s="5">
        <v>234.75</v>
      </c>
      <c r="K22" s="3">
        <v>45748</v>
      </c>
      <c r="L22" s="3">
        <v>45778</v>
      </c>
      <c r="M22" s="4" t="s">
        <v>53</v>
      </c>
      <c r="N22" s="6" t="s">
        <v>195</v>
      </c>
      <c r="O22" t="s">
        <v>198</v>
      </c>
    </row>
    <row r="23" spans="1:15" x14ac:dyDescent="0.2">
      <c r="A23" s="4" t="s">
        <v>59</v>
      </c>
      <c r="B23" s="2">
        <v>16633294</v>
      </c>
      <c r="C23" s="7" t="s">
        <v>316</v>
      </c>
      <c r="D23" s="7" t="s">
        <v>219</v>
      </c>
      <c r="E23" s="3">
        <v>45748</v>
      </c>
      <c r="F23" s="4" t="s">
        <v>49</v>
      </c>
      <c r="G23" s="4" t="s">
        <v>51</v>
      </c>
      <c r="H23" s="5">
        <v>0.75</v>
      </c>
      <c r="I23" s="5">
        <v>1</v>
      </c>
      <c r="J23" s="5">
        <v>234.75</v>
      </c>
      <c r="K23" s="3">
        <v>45748</v>
      </c>
      <c r="L23" s="3">
        <v>45778</v>
      </c>
      <c r="M23" s="4" t="s">
        <v>53</v>
      </c>
      <c r="N23" s="6" t="s">
        <v>195</v>
      </c>
      <c r="O23" t="s">
        <v>198</v>
      </c>
    </row>
    <row r="24" spans="1:15" x14ac:dyDescent="0.2">
      <c r="A24" s="4" t="s">
        <v>59</v>
      </c>
      <c r="B24" s="2">
        <v>16633294</v>
      </c>
      <c r="C24" s="7" t="s">
        <v>319</v>
      </c>
      <c r="D24" s="7" t="s">
        <v>222</v>
      </c>
      <c r="E24" s="3">
        <v>45748</v>
      </c>
      <c r="F24" s="4" t="s">
        <v>49</v>
      </c>
      <c r="G24" s="4" t="s">
        <v>51</v>
      </c>
      <c r="H24" s="5">
        <v>0.75</v>
      </c>
      <c r="I24" s="5">
        <v>1</v>
      </c>
      <c r="J24" s="5">
        <v>234.75</v>
      </c>
      <c r="K24" s="3">
        <v>45748</v>
      </c>
      <c r="L24" s="3">
        <v>45778</v>
      </c>
      <c r="M24" s="4" t="s">
        <v>53</v>
      </c>
      <c r="N24" s="6" t="s">
        <v>195</v>
      </c>
      <c r="O24" t="s">
        <v>198</v>
      </c>
    </row>
    <row r="25" spans="1:15" x14ac:dyDescent="0.2">
      <c r="A25" s="4" t="s">
        <v>59</v>
      </c>
      <c r="B25" s="2">
        <v>16633294</v>
      </c>
      <c r="C25" s="7" t="s">
        <v>317</v>
      </c>
      <c r="D25" s="7" t="s">
        <v>220</v>
      </c>
      <c r="E25" s="3">
        <v>45748</v>
      </c>
      <c r="F25" s="4" t="s">
        <v>49</v>
      </c>
      <c r="G25" s="4" t="s">
        <v>51</v>
      </c>
      <c r="H25" s="5">
        <v>0.75</v>
      </c>
      <c r="I25" s="5">
        <v>1</v>
      </c>
      <c r="J25" s="5">
        <v>234.75</v>
      </c>
      <c r="K25" s="3">
        <v>45748</v>
      </c>
      <c r="L25" s="3">
        <v>45778</v>
      </c>
      <c r="M25" s="4" t="s">
        <v>53</v>
      </c>
      <c r="N25" s="6" t="s">
        <v>195</v>
      </c>
      <c r="O25" t="s">
        <v>198</v>
      </c>
    </row>
    <row r="26" spans="1:15" x14ac:dyDescent="0.2">
      <c r="A26" s="4" t="s">
        <v>59</v>
      </c>
      <c r="B26" s="2">
        <v>16633294</v>
      </c>
      <c r="C26" s="7" t="s">
        <v>298</v>
      </c>
      <c r="D26" s="7" t="s">
        <v>202</v>
      </c>
      <c r="E26" s="3">
        <v>45658</v>
      </c>
      <c r="F26" s="4" t="s">
        <v>63</v>
      </c>
      <c r="G26" s="4" t="s">
        <v>51</v>
      </c>
      <c r="H26" s="5">
        <v>0</v>
      </c>
      <c r="I26" s="5">
        <v>-1</v>
      </c>
      <c r="J26" s="5">
        <v>-234.75</v>
      </c>
      <c r="K26" s="3">
        <v>45748</v>
      </c>
      <c r="L26" s="3">
        <v>45778</v>
      </c>
      <c r="M26" s="4" t="s">
        <v>65</v>
      </c>
      <c r="N26" s="6" t="s">
        <v>195</v>
      </c>
      <c r="O26" t="s">
        <v>198</v>
      </c>
    </row>
    <row r="27" spans="1:15" x14ac:dyDescent="0.2">
      <c r="A27" s="4" t="s">
        <v>89</v>
      </c>
      <c r="B27" s="2">
        <v>17094718</v>
      </c>
      <c r="C27" s="7" t="s">
        <v>301</v>
      </c>
      <c r="D27" s="7" t="s">
        <v>205</v>
      </c>
      <c r="E27" s="3">
        <v>45717</v>
      </c>
      <c r="F27" s="4" t="s">
        <v>93</v>
      </c>
      <c r="G27" s="4" t="s">
        <v>51</v>
      </c>
      <c r="H27" s="5">
        <v>-0.75</v>
      </c>
      <c r="I27" s="5">
        <v>-1</v>
      </c>
      <c r="J27" s="5">
        <v>-234.75</v>
      </c>
      <c r="K27" s="3">
        <v>45717</v>
      </c>
      <c r="L27" s="3">
        <v>45748</v>
      </c>
      <c r="M27" s="4" t="s">
        <v>53</v>
      </c>
      <c r="N27" s="6" t="s">
        <v>195</v>
      </c>
      <c r="O27" t="s">
        <v>198</v>
      </c>
    </row>
    <row r="28" spans="1:15" x14ac:dyDescent="0.2">
      <c r="A28" s="4" t="s">
        <v>99</v>
      </c>
      <c r="B28" s="2">
        <v>9213293</v>
      </c>
      <c r="C28" s="7" t="s">
        <v>310</v>
      </c>
      <c r="D28" s="7" t="s">
        <v>214</v>
      </c>
      <c r="E28" s="3">
        <v>45717</v>
      </c>
      <c r="F28" s="4" t="s">
        <v>93</v>
      </c>
      <c r="G28" s="4" t="s">
        <v>51</v>
      </c>
      <c r="H28" s="5">
        <v>-0.57999999999999996</v>
      </c>
      <c r="I28" s="5">
        <v>-1</v>
      </c>
      <c r="J28" s="5">
        <v>-182.58</v>
      </c>
      <c r="K28" s="3">
        <v>45717</v>
      </c>
      <c r="L28" s="3">
        <v>45748</v>
      </c>
      <c r="M28" s="4" t="s">
        <v>53</v>
      </c>
      <c r="N28" s="6" t="s">
        <v>196</v>
      </c>
      <c r="O28" t="s">
        <v>198</v>
      </c>
    </row>
    <row r="29" spans="1:15" x14ac:dyDescent="0.2">
      <c r="A29" s="4" t="s">
        <v>166</v>
      </c>
      <c r="B29" s="2">
        <v>20212926</v>
      </c>
      <c r="C29" s="7" t="s">
        <v>308</v>
      </c>
      <c r="D29" s="7" t="s">
        <v>212</v>
      </c>
      <c r="E29" s="3">
        <v>45689</v>
      </c>
      <c r="F29" s="4" t="s">
        <v>170</v>
      </c>
      <c r="G29" s="4" t="s">
        <v>51</v>
      </c>
      <c r="H29" s="5">
        <v>-0.75</v>
      </c>
      <c r="I29" s="5">
        <v>-1</v>
      </c>
      <c r="J29" s="5">
        <v>-234.75</v>
      </c>
      <c r="K29" s="3">
        <v>45689</v>
      </c>
      <c r="L29" s="3">
        <v>45748</v>
      </c>
      <c r="M29" s="4" t="s">
        <v>53</v>
      </c>
      <c r="N29" s="6" t="s">
        <v>195</v>
      </c>
      <c r="O29" t="s">
        <v>198</v>
      </c>
    </row>
    <row r="30" spans="1:15" x14ac:dyDescent="0.2">
      <c r="A30" s="4" t="s">
        <v>121</v>
      </c>
      <c r="B30" s="2">
        <v>19396223</v>
      </c>
      <c r="C30" s="7" t="s">
        <v>302</v>
      </c>
      <c r="D30" s="7" t="s">
        <v>206</v>
      </c>
      <c r="E30" s="3">
        <v>45748</v>
      </c>
      <c r="F30" s="4" t="s">
        <v>49</v>
      </c>
      <c r="G30" s="4" t="s">
        <v>51</v>
      </c>
      <c r="H30" s="5">
        <v>0.75</v>
      </c>
      <c r="I30" s="5">
        <v>1</v>
      </c>
      <c r="J30" s="5">
        <v>234.75</v>
      </c>
      <c r="K30" s="3">
        <v>45658</v>
      </c>
      <c r="L30" s="3">
        <v>45748</v>
      </c>
      <c r="M30" s="4" t="s">
        <v>53</v>
      </c>
      <c r="N30" s="6" t="s">
        <v>195</v>
      </c>
      <c r="O30" t="s">
        <v>198</v>
      </c>
    </row>
    <row r="31" spans="1:15" x14ac:dyDescent="0.2">
      <c r="A31" s="4" t="s">
        <v>80</v>
      </c>
      <c r="B31" s="2">
        <v>16683808</v>
      </c>
      <c r="C31" s="7" t="s">
        <v>299</v>
      </c>
      <c r="D31" s="7" t="s">
        <v>203</v>
      </c>
      <c r="E31" s="3">
        <v>45658</v>
      </c>
      <c r="F31" s="4" t="s">
        <v>63</v>
      </c>
      <c r="G31" s="4" t="s">
        <v>51</v>
      </c>
      <c r="H31" s="5">
        <v>-0.75</v>
      </c>
      <c r="I31" s="5">
        <v>-1</v>
      </c>
      <c r="J31" s="5">
        <v>-234.75</v>
      </c>
      <c r="K31" s="3">
        <v>45658</v>
      </c>
      <c r="L31" s="3">
        <v>45748</v>
      </c>
      <c r="M31" s="4" t="s">
        <v>53</v>
      </c>
      <c r="N31" s="6" t="s">
        <v>195</v>
      </c>
      <c r="O31" t="s">
        <v>198</v>
      </c>
    </row>
    <row r="32" spans="1:15" x14ac:dyDescent="0.2">
      <c r="A32" s="4" t="s">
        <v>85</v>
      </c>
      <c r="B32" s="2">
        <v>17126004</v>
      </c>
      <c r="C32" s="7" t="s">
        <v>300</v>
      </c>
      <c r="D32" s="7" t="s">
        <v>204</v>
      </c>
      <c r="E32" s="3">
        <v>45658</v>
      </c>
      <c r="F32" s="4" t="s">
        <v>63</v>
      </c>
      <c r="G32" s="4" t="s">
        <v>51</v>
      </c>
      <c r="H32" s="5">
        <v>-0.75</v>
      </c>
      <c r="I32" s="5">
        <v>-1</v>
      </c>
      <c r="J32" s="5">
        <v>-234.75</v>
      </c>
      <c r="K32" s="3">
        <v>45658</v>
      </c>
      <c r="L32" s="3">
        <v>45748</v>
      </c>
      <c r="M32" s="4" t="s">
        <v>53</v>
      </c>
      <c r="N32" s="6" t="s">
        <v>195</v>
      </c>
      <c r="O32" t="s">
        <v>198</v>
      </c>
    </row>
    <row r="33" spans="1:15" x14ac:dyDescent="0.2">
      <c r="A33" s="4" t="s">
        <v>149</v>
      </c>
      <c r="B33" s="2" t="s">
        <v>331</v>
      </c>
      <c r="C33" s="7" t="s">
        <v>306</v>
      </c>
      <c r="D33" s="7" t="s">
        <v>210</v>
      </c>
      <c r="E33" s="3">
        <v>45658</v>
      </c>
      <c r="F33" s="4" t="s">
        <v>63</v>
      </c>
      <c r="G33" s="4" t="s">
        <v>51</v>
      </c>
      <c r="H33" s="5">
        <v>-0.75</v>
      </c>
      <c r="I33" s="5">
        <v>-1</v>
      </c>
      <c r="J33" s="5">
        <v>-234.75</v>
      </c>
      <c r="K33" s="3">
        <v>45658</v>
      </c>
      <c r="L33" s="3">
        <v>45748</v>
      </c>
      <c r="M33" s="4" t="s">
        <v>53</v>
      </c>
      <c r="N33" s="6" t="s">
        <v>195</v>
      </c>
      <c r="O33" t="s">
        <v>198</v>
      </c>
    </row>
    <row r="34" spans="1:15" x14ac:dyDescent="0.2">
      <c r="A34" s="4" t="s">
        <v>94</v>
      </c>
      <c r="B34" s="2">
        <v>17425766</v>
      </c>
      <c r="C34" s="7" t="s">
        <v>297</v>
      </c>
      <c r="D34" s="7" t="s">
        <v>201</v>
      </c>
      <c r="E34" s="3">
        <v>45748</v>
      </c>
      <c r="F34" s="4" t="s">
        <v>49</v>
      </c>
      <c r="G34" s="4" t="s">
        <v>51</v>
      </c>
      <c r="H34" s="5">
        <v>0.75</v>
      </c>
      <c r="I34" s="5">
        <v>1</v>
      </c>
      <c r="J34" s="5">
        <v>264.75</v>
      </c>
      <c r="K34" s="3">
        <v>45658</v>
      </c>
      <c r="L34" s="3">
        <v>45748</v>
      </c>
      <c r="M34" s="4" t="s">
        <v>53</v>
      </c>
      <c r="N34" s="6" t="s">
        <v>194</v>
      </c>
      <c r="O34" t="s">
        <v>197</v>
      </c>
    </row>
    <row r="35" spans="1:15" x14ac:dyDescent="0.2">
      <c r="A35" s="4" t="s">
        <v>163</v>
      </c>
      <c r="B35" s="2">
        <v>7152559</v>
      </c>
      <c r="C35" s="7" t="s">
        <v>307</v>
      </c>
      <c r="D35" s="7" t="s">
        <v>211</v>
      </c>
      <c r="E35" s="3">
        <v>45658</v>
      </c>
      <c r="F35" s="4" t="s">
        <v>63</v>
      </c>
      <c r="G35" s="4" t="s">
        <v>51</v>
      </c>
      <c r="H35" s="5">
        <v>-0.75</v>
      </c>
      <c r="I35" s="5">
        <v>-1</v>
      </c>
      <c r="J35" s="5">
        <v>-234.75</v>
      </c>
      <c r="K35" s="3">
        <v>45658</v>
      </c>
      <c r="L35" s="3">
        <v>45748</v>
      </c>
      <c r="M35" s="4" t="s">
        <v>53</v>
      </c>
      <c r="N35" s="6" t="s">
        <v>195</v>
      </c>
      <c r="O35" t="s">
        <v>198</v>
      </c>
    </row>
    <row r="36" spans="1:15" x14ac:dyDescent="0.2">
      <c r="A36" s="4" t="s">
        <v>125</v>
      </c>
      <c r="B36" s="2">
        <v>19200754</v>
      </c>
      <c r="C36" s="7" t="s">
        <v>305</v>
      </c>
      <c r="D36" s="7" t="s">
        <v>209</v>
      </c>
      <c r="E36" s="3">
        <v>45658</v>
      </c>
      <c r="F36" s="4" t="s">
        <v>63</v>
      </c>
      <c r="G36" s="4" t="s">
        <v>51</v>
      </c>
      <c r="H36" s="5">
        <v>-0.75</v>
      </c>
      <c r="I36" s="5">
        <v>-1</v>
      </c>
      <c r="J36" s="5">
        <v>-234.75</v>
      </c>
      <c r="K36" s="3">
        <v>45658</v>
      </c>
      <c r="L36" s="3">
        <v>45748</v>
      </c>
      <c r="M36" s="4" t="s">
        <v>53</v>
      </c>
      <c r="N36" s="6" t="s">
        <v>195</v>
      </c>
      <c r="O36" t="s">
        <v>198</v>
      </c>
    </row>
    <row r="37" spans="1:15" x14ac:dyDescent="0.2">
      <c r="A37" s="4" t="s">
        <v>125</v>
      </c>
      <c r="B37" s="2">
        <v>19200754</v>
      </c>
      <c r="C37" s="7" t="s">
        <v>305</v>
      </c>
      <c r="D37" s="7" t="s">
        <v>209</v>
      </c>
      <c r="E37" s="3">
        <v>45748</v>
      </c>
      <c r="F37" s="4" t="s">
        <v>49</v>
      </c>
      <c r="G37" s="4" t="s">
        <v>51</v>
      </c>
      <c r="H37" s="5">
        <v>0.75</v>
      </c>
      <c r="I37" s="5">
        <v>1</v>
      </c>
      <c r="J37" s="5">
        <v>234.75</v>
      </c>
      <c r="K37" s="3">
        <v>45658</v>
      </c>
      <c r="L37" s="3">
        <v>45748</v>
      </c>
      <c r="M37" s="4" t="s">
        <v>53</v>
      </c>
      <c r="N37" s="6" t="s">
        <v>195</v>
      </c>
      <c r="O37" t="s">
        <v>198</v>
      </c>
    </row>
    <row r="38" spans="1:15" x14ac:dyDescent="0.2">
      <c r="A38" s="4" t="s">
        <v>125</v>
      </c>
      <c r="B38" s="2">
        <v>19200754</v>
      </c>
      <c r="C38" s="7" t="s">
        <v>304</v>
      </c>
      <c r="D38" s="7" t="s">
        <v>208</v>
      </c>
      <c r="E38" s="3">
        <v>45658</v>
      </c>
      <c r="F38" s="4" t="s">
        <v>63</v>
      </c>
      <c r="G38" s="4" t="s">
        <v>51</v>
      </c>
      <c r="H38" s="5">
        <v>-0.75</v>
      </c>
      <c r="I38" s="5">
        <v>-1</v>
      </c>
      <c r="J38" s="5">
        <v>-234.75</v>
      </c>
      <c r="K38" s="3">
        <v>45658</v>
      </c>
      <c r="L38" s="3">
        <v>45748</v>
      </c>
      <c r="M38" s="4" t="s">
        <v>53</v>
      </c>
      <c r="N38" s="6" t="s">
        <v>195</v>
      </c>
      <c r="O38" t="s">
        <v>198</v>
      </c>
    </row>
    <row r="39" spans="1:15" x14ac:dyDescent="0.2">
      <c r="A39" s="4" t="s">
        <v>125</v>
      </c>
      <c r="B39" s="2">
        <v>19200754</v>
      </c>
      <c r="C39" s="7" t="s">
        <v>304</v>
      </c>
      <c r="D39" s="7" t="s">
        <v>208</v>
      </c>
      <c r="E39" s="3">
        <v>45748</v>
      </c>
      <c r="F39" s="4" t="s">
        <v>49</v>
      </c>
      <c r="G39" s="4" t="s">
        <v>51</v>
      </c>
      <c r="H39" s="5">
        <v>0.75</v>
      </c>
      <c r="I39" s="5">
        <v>1</v>
      </c>
      <c r="J39" s="5">
        <v>234.75</v>
      </c>
      <c r="K39" s="3">
        <v>45658</v>
      </c>
      <c r="L39" s="3">
        <v>45748</v>
      </c>
      <c r="M39" s="4" t="s">
        <v>53</v>
      </c>
      <c r="N39" s="6" t="s">
        <v>195</v>
      </c>
      <c r="O39" t="s">
        <v>198</v>
      </c>
    </row>
    <row r="40" spans="1:15" x14ac:dyDescent="0.2">
      <c r="A40" s="4" t="s">
        <v>125</v>
      </c>
      <c r="B40" s="2">
        <v>19200754</v>
      </c>
      <c r="C40" s="7" t="s">
        <v>303</v>
      </c>
      <c r="D40" s="7" t="s">
        <v>207</v>
      </c>
      <c r="E40" s="3">
        <v>45658</v>
      </c>
      <c r="F40" s="4" t="s">
        <v>63</v>
      </c>
      <c r="G40" s="4" t="s">
        <v>51</v>
      </c>
      <c r="H40" s="5">
        <v>-0.75</v>
      </c>
      <c r="I40" s="5">
        <v>-1</v>
      </c>
      <c r="J40" s="5">
        <v>-234.75</v>
      </c>
      <c r="K40" s="3">
        <v>45658</v>
      </c>
      <c r="L40" s="3">
        <v>45748</v>
      </c>
      <c r="M40" s="4" t="s">
        <v>53</v>
      </c>
      <c r="N40" s="6" t="s">
        <v>195</v>
      </c>
      <c r="O40" t="s">
        <v>198</v>
      </c>
    </row>
    <row r="41" spans="1:15" x14ac:dyDescent="0.2">
      <c r="A41" s="4" t="s">
        <v>59</v>
      </c>
      <c r="B41" s="2">
        <v>16633294</v>
      </c>
      <c r="C41" s="7" t="s">
        <v>298</v>
      </c>
      <c r="D41" s="7" t="s">
        <v>202</v>
      </c>
      <c r="E41" s="3">
        <v>45658</v>
      </c>
      <c r="F41" s="4" t="s">
        <v>63</v>
      </c>
      <c r="G41" s="4" t="s">
        <v>51</v>
      </c>
      <c r="H41" s="5">
        <v>-0.75</v>
      </c>
      <c r="I41" s="5">
        <v>-1</v>
      </c>
      <c r="J41" s="5">
        <v>-234.75</v>
      </c>
      <c r="K41" s="3">
        <v>45658</v>
      </c>
      <c r="L41" s="3">
        <v>45748</v>
      </c>
      <c r="M41" s="4" t="s">
        <v>53</v>
      </c>
      <c r="N41" s="6" t="s">
        <v>195</v>
      </c>
      <c r="O41" t="s">
        <v>198</v>
      </c>
    </row>
    <row r="42" spans="1:15" x14ac:dyDescent="0.2">
      <c r="A42" s="4" t="s">
        <v>59</v>
      </c>
      <c r="B42" s="2">
        <v>16633294</v>
      </c>
      <c r="C42" s="7" t="s">
        <v>298</v>
      </c>
      <c r="D42" s="7" t="s">
        <v>202</v>
      </c>
      <c r="E42" s="3">
        <v>45748</v>
      </c>
      <c r="F42" s="4" t="s">
        <v>49</v>
      </c>
      <c r="G42" s="4" t="s">
        <v>51</v>
      </c>
      <c r="H42" s="5">
        <v>0.75</v>
      </c>
      <c r="I42" s="5">
        <v>1</v>
      </c>
      <c r="J42" s="5">
        <v>234.75</v>
      </c>
      <c r="K42" s="3">
        <v>45658</v>
      </c>
      <c r="L42" s="3">
        <v>45748</v>
      </c>
      <c r="M42" s="4" t="s">
        <v>53</v>
      </c>
      <c r="N42" s="6" t="s">
        <v>195</v>
      </c>
      <c r="O42" t="s">
        <v>198</v>
      </c>
    </row>
    <row r="43" spans="1:15" x14ac:dyDescent="0.2">
      <c r="A43" s="4" t="s">
        <v>180</v>
      </c>
      <c r="B43" s="2">
        <v>15278437</v>
      </c>
      <c r="C43" s="7" t="s">
        <v>311</v>
      </c>
      <c r="D43" s="7" t="s">
        <v>215</v>
      </c>
      <c r="E43" s="3">
        <v>45748</v>
      </c>
      <c r="F43" s="4" t="s">
        <v>49</v>
      </c>
      <c r="G43" s="4" t="s">
        <v>51</v>
      </c>
      <c r="H43" s="5">
        <v>26</v>
      </c>
      <c r="I43" s="5">
        <v>84.94</v>
      </c>
      <c r="J43" s="5">
        <v>22.08</v>
      </c>
      <c r="K43" s="3">
        <v>45323</v>
      </c>
      <c r="L43" s="3">
        <v>45748</v>
      </c>
      <c r="M43" s="4" t="s">
        <v>185</v>
      </c>
      <c r="O43" t="s">
        <v>199</v>
      </c>
    </row>
    <row r="44" spans="1:15" x14ac:dyDescent="0.2">
      <c r="K44" s="4"/>
      <c r="L44" s="4"/>
    </row>
  </sheetData>
  <sortState xmlns:xlrd2="http://schemas.microsoft.com/office/spreadsheetml/2017/richdata2" ref="A2:AS43">
    <sortCondition descending="1" ref="K2:K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7875-A2BB-4A76-AD50-CC5CDB6B87F1}">
  <dimension ref="A1:F42"/>
  <sheetViews>
    <sheetView workbookViewId="0">
      <selection activeCell="F1" sqref="F1:F42"/>
    </sheetView>
  </sheetViews>
  <sheetFormatPr defaultRowHeight="12.75" x14ac:dyDescent="0.2"/>
  <cols>
    <col min="1" max="1" width="13.42578125" bestFit="1" customWidth="1"/>
    <col min="2" max="2" width="14.42578125" bestFit="1" customWidth="1"/>
    <col min="4" max="4" width="26.7109375" bestFit="1" customWidth="1"/>
    <col min="5" max="5" width="11.42578125" bestFit="1" customWidth="1"/>
    <col min="6" max="6" width="15.140625" bestFit="1" customWidth="1"/>
  </cols>
  <sheetData>
    <row r="1" spans="1:6" x14ac:dyDescent="0.2">
      <c r="A1" s="4" t="s">
        <v>96</v>
      </c>
      <c r="B1" t="str">
        <f>CONCATENATE(A1,6)</f>
        <v>00019797045K6</v>
      </c>
      <c r="D1" s="4" t="s">
        <v>234</v>
      </c>
      <c r="E1" t="s">
        <v>235</v>
      </c>
      <c r="F1" t="str">
        <f>CONCATENATE(E1, " ",D1)</f>
        <v>CYNTHIA DAVIS</v>
      </c>
    </row>
    <row r="2" spans="1:6" x14ac:dyDescent="0.2">
      <c r="A2" s="4" t="s">
        <v>61</v>
      </c>
      <c r="B2" t="str">
        <f t="shared" ref="B2:B17" si="0">CONCATENATE(A2,6)</f>
        <v>00022958376K6</v>
      </c>
      <c r="D2" s="4" t="s">
        <v>236</v>
      </c>
      <c r="E2" t="s">
        <v>237</v>
      </c>
      <c r="F2" t="str">
        <f t="shared" ref="F2:F42" si="1">CONCATENATE(E2, " ",D2)</f>
        <v>RODNEY VICTOR</v>
      </c>
    </row>
    <row r="3" spans="1:6" x14ac:dyDescent="0.2">
      <c r="A3" s="4" t="s">
        <v>61</v>
      </c>
      <c r="B3" t="str">
        <f t="shared" si="0"/>
        <v>00022958376K6</v>
      </c>
      <c r="D3" s="4" t="s">
        <v>236</v>
      </c>
      <c r="E3" t="s">
        <v>237</v>
      </c>
      <c r="F3" t="str">
        <f t="shared" si="1"/>
        <v>RODNEY VICTOR</v>
      </c>
    </row>
    <row r="4" spans="1:6" x14ac:dyDescent="0.2">
      <c r="A4" s="4" t="s">
        <v>82</v>
      </c>
      <c r="B4" t="str">
        <f t="shared" si="0"/>
        <v>00019509572K6</v>
      </c>
      <c r="D4" s="4" t="s">
        <v>238</v>
      </c>
      <c r="E4" t="s">
        <v>239</v>
      </c>
      <c r="F4" t="str">
        <f t="shared" si="1"/>
        <v>JENNIE MATHIAS</v>
      </c>
    </row>
    <row r="5" spans="1:6" x14ac:dyDescent="0.2">
      <c r="A5" s="4" t="s">
        <v>87</v>
      </c>
      <c r="B5" t="str">
        <f t="shared" si="0"/>
        <v>00003943983K6</v>
      </c>
      <c r="D5" s="4" t="s">
        <v>240</v>
      </c>
      <c r="E5" t="s">
        <v>241</v>
      </c>
      <c r="F5" t="str">
        <f t="shared" si="1"/>
        <v>SANDRA DEAN</v>
      </c>
    </row>
    <row r="6" spans="1:6" x14ac:dyDescent="0.2">
      <c r="A6" s="4" t="s">
        <v>91</v>
      </c>
      <c r="B6" t="str">
        <f t="shared" si="0"/>
        <v>00016858919K6</v>
      </c>
      <c r="D6" s="4" t="s">
        <v>242</v>
      </c>
      <c r="E6" t="s">
        <v>243</v>
      </c>
      <c r="F6" t="str">
        <f t="shared" si="1"/>
        <v>PRISCILLA HOOVER</v>
      </c>
    </row>
    <row r="7" spans="1:6" x14ac:dyDescent="0.2">
      <c r="A7" s="4" t="s">
        <v>123</v>
      </c>
      <c r="B7" t="str">
        <f t="shared" si="0"/>
        <v>00001879234K6</v>
      </c>
      <c r="D7" s="4" t="s">
        <v>244</v>
      </c>
      <c r="E7" t="s">
        <v>245</v>
      </c>
      <c r="F7" t="str">
        <f t="shared" si="1"/>
        <v>RAJ CHUGH</v>
      </c>
    </row>
    <row r="8" spans="1:6" x14ac:dyDescent="0.2">
      <c r="A8" s="4" t="s">
        <v>127</v>
      </c>
      <c r="B8" t="str">
        <f t="shared" si="0"/>
        <v>00022377740K6</v>
      </c>
      <c r="D8" s="4" t="s">
        <v>246</v>
      </c>
      <c r="E8" t="s">
        <v>247</v>
      </c>
      <c r="F8" t="str">
        <f t="shared" si="1"/>
        <v>TODORKA STAMOVA</v>
      </c>
    </row>
    <row r="9" spans="1:6" x14ac:dyDescent="0.2">
      <c r="A9" s="4" t="s">
        <v>130</v>
      </c>
      <c r="B9" t="str">
        <f t="shared" si="0"/>
        <v>00022965116K6</v>
      </c>
      <c r="D9" s="4" t="s">
        <v>248</v>
      </c>
      <c r="E9" t="s">
        <v>249</v>
      </c>
      <c r="F9" t="str">
        <f t="shared" si="1"/>
        <v>NESTOR RAMORAN</v>
      </c>
    </row>
    <row r="10" spans="1:6" x14ac:dyDescent="0.2">
      <c r="A10" s="4" t="s">
        <v>130</v>
      </c>
      <c r="B10" t="str">
        <f t="shared" si="0"/>
        <v>00022965116K6</v>
      </c>
      <c r="D10" s="4" t="s">
        <v>248</v>
      </c>
      <c r="E10" t="s">
        <v>249</v>
      </c>
      <c r="F10" t="str">
        <f t="shared" si="1"/>
        <v>NESTOR RAMORAN</v>
      </c>
    </row>
    <row r="11" spans="1:6" x14ac:dyDescent="0.2">
      <c r="A11" s="4" t="s">
        <v>133</v>
      </c>
      <c r="B11" t="str">
        <f t="shared" si="0"/>
        <v>00022969890K6</v>
      </c>
      <c r="D11" s="4" t="s">
        <v>248</v>
      </c>
      <c r="E11" t="s">
        <v>250</v>
      </c>
      <c r="F11" t="str">
        <f t="shared" si="1"/>
        <v>LOURDES RAMORAN</v>
      </c>
    </row>
    <row r="12" spans="1:6" x14ac:dyDescent="0.2">
      <c r="A12" s="4" t="s">
        <v>133</v>
      </c>
      <c r="B12" t="str">
        <f t="shared" si="0"/>
        <v>00022969890K6</v>
      </c>
      <c r="D12" s="4" t="s">
        <v>248</v>
      </c>
      <c r="E12" t="s">
        <v>250</v>
      </c>
      <c r="F12" t="str">
        <f t="shared" si="1"/>
        <v>LOURDES RAMORAN</v>
      </c>
    </row>
    <row r="13" spans="1:6" x14ac:dyDescent="0.2">
      <c r="A13" s="4" t="s">
        <v>151</v>
      </c>
      <c r="B13" t="str">
        <f t="shared" si="0"/>
        <v>00000121388F6</v>
      </c>
      <c r="D13" s="4" t="s">
        <v>251</v>
      </c>
      <c r="E13" t="s">
        <v>252</v>
      </c>
      <c r="F13" t="str">
        <f t="shared" si="1"/>
        <v>ROBERT DOENITZ</v>
      </c>
    </row>
    <row r="14" spans="1:6" x14ac:dyDescent="0.2">
      <c r="A14" s="4" t="s">
        <v>164</v>
      </c>
      <c r="B14" t="str">
        <f t="shared" si="0"/>
        <v>00019625979K6</v>
      </c>
      <c r="D14" s="4" t="s">
        <v>253</v>
      </c>
      <c r="E14" t="s">
        <v>254</v>
      </c>
      <c r="F14" t="str">
        <f t="shared" si="1"/>
        <v>DENNIS HOLYN</v>
      </c>
    </row>
    <row r="15" spans="1:6" x14ac:dyDescent="0.2">
      <c r="A15" s="4" t="s">
        <v>168</v>
      </c>
      <c r="B15" t="str">
        <f t="shared" si="0"/>
        <v>00023063791K6</v>
      </c>
      <c r="D15" s="4" t="s">
        <v>255</v>
      </c>
      <c r="E15" t="s">
        <v>256</v>
      </c>
      <c r="F15" t="str">
        <f t="shared" si="1"/>
        <v>TORRES GALINDO</v>
      </c>
    </row>
    <row r="16" spans="1:6" x14ac:dyDescent="0.2">
      <c r="A16" s="4" t="s">
        <v>178</v>
      </c>
      <c r="B16" t="str">
        <f t="shared" si="0"/>
        <v>00023187920K6</v>
      </c>
      <c r="D16" s="4" t="s">
        <v>257</v>
      </c>
      <c r="E16" t="s">
        <v>258</v>
      </c>
      <c r="F16" t="str">
        <f t="shared" si="1"/>
        <v>MARY DERDA</v>
      </c>
    </row>
    <row r="17" spans="1:6" x14ac:dyDescent="0.2">
      <c r="A17" s="4" t="s">
        <v>112</v>
      </c>
      <c r="B17" t="str">
        <f t="shared" si="0"/>
        <v>00023140342K6</v>
      </c>
      <c r="D17" s="4" t="s">
        <v>259</v>
      </c>
      <c r="E17" t="s">
        <v>260</v>
      </c>
      <c r="F17" t="str">
        <f t="shared" si="1"/>
        <v>TRINH TRIEU</v>
      </c>
    </row>
    <row r="18" spans="1:6" x14ac:dyDescent="0.2">
      <c r="A18" s="4" t="s">
        <v>182</v>
      </c>
      <c r="B18" t="str">
        <f>CONCATENATE(A18,8)</f>
        <v>00000808018A8</v>
      </c>
      <c r="D18" s="4" t="s">
        <v>261</v>
      </c>
      <c r="E18" t="s">
        <v>262</v>
      </c>
      <c r="F18" t="str">
        <f t="shared" si="1"/>
        <v>NORMA KEPHART</v>
      </c>
    </row>
    <row r="19" spans="1:6" x14ac:dyDescent="0.2">
      <c r="A19" s="4" t="s">
        <v>188</v>
      </c>
      <c r="B19" t="str">
        <f>CONCATENATE(A19,4)</f>
        <v>90302976704</v>
      </c>
      <c r="D19" s="4" t="s">
        <v>263</v>
      </c>
      <c r="E19" t="s">
        <v>264</v>
      </c>
      <c r="F19" t="str">
        <f t="shared" si="1"/>
        <v>William Carr</v>
      </c>
    </row>
    <row r="20" spans="1:6" x14ac:dyDescent="0.2">
      <c r="A20" s="4" t="s">
        <v>155</v>
      </c>
      <c r="B20" t="str">
        <f t="shared" ref="B20:B42" si="2">CONCATENATE(A20,6)</f>
        <v>00023224608K6</v>
      </c>
      <c r="D20" s="4" t="s">
        <v>265</v>
      </c>
      <c r="E20" t="s">
        <v>266</v>
      </c>
      <c r="F20" t="str">
        <f t="shared" si="1"/>
        <v>JUDI DELTORO</v>
      </c>
    </row>
    <row r="21" spans="1:6" x14ac:dyDescent="0.2">
      <c r="A21" s="4" t="s">
        <v>44</v>
      </c>
      <c r="B21" t="str">
        <f t="shared" si="2"/>
        <v>00023222045K6</v>
      </c>
      <c r="D21" s="4" t="s">
        <v>267</v>
      </c>
      <c r="E21" t="s">
        <v>268</v>
      </c>
      <c r="F21" t="str">
        <f t="shared" si="1"/>
        <v>KATHY DEJESUS</v>
      </c>
    </row>
    <row r="22" spans="1:6" x14ac:dyDescent="0.2">
      <c r="A22" s="4" t="s">
        <v>57</v>
      </c>
      <c r="B22" t="str">
        <f t="shared" si="2"/>
        <v>00023231591K6</v>
      </c>
      <c r="D22" s="4" t="s">
        <v>269</v>
      </c>
      <c r="E22" t="s">
        <v>258</v>
      </c>
      <c r="F22" t="str">
        <f t="shared" si="1"/>
        <v>MARY ALAGHEBAND</v>
      </c>
    </row>
    <row r="23" spans="1:6" x14ac:dyDescent="0.2">
      <c r="A23" s="4" t="s">
        <v>61</v>
      </c>
      <c r="B23" t="str">
        <f t="shared" si="2"/>
        <v>00022958376K6</v>
      </c>
      <c r="D23" s="4" t="s">
        <v>236</v>
      </c>
      <c r="E23" t="s">
        <v>237</v>
      </c>
      <c r="F23" t="str">
        <f t="shared" si="1"/>
        <v>RODNEY VICTOR</v>
      </c>
    </row>
    <row r="24" spans="1:6" x14ac:dyDescent="0.2">
      <c r="A24" s="4" t="s">
        <v>69</v>
      </c>
      <c r="B24" t="str">
        <f t="shared" si="2"/>
        <v>00023224834K6</v>
      </c>
      <c r="D24" s="4" t="s">
        <v>270</v>
      </c>
      <c r="E24" t="s">
        <v>271</v>
      </c>
      <c r="F24" t="str">
        <f t="shared" si="1"/>
        <v>IULIANA ACHIMAS</v>
      </c>
    </row>
    <row r="25" spans="1:6" x14ac:dyDescent="0.2">
      <c r="A25" s="4" t="s">
        <v>72</v>
      </c>
      <c r="B25" t="str">
        <f t="shared" si="2"/>
        <v>00023224844K6</v>
      </c>
      <c r="D25" s="4" t="s">
        <v>272</v>
      </c>
      <c r="E25" t="s">
        <v>273</v>
      </c>
      <c r="F25" t="str">
        <f t="shared" si="1"/>
        <v>LAURA SEWALL</v>
      </c>
    </row>
    <row r="26" spans="1:6" x14ac:dyDescent="0.2">
      <c r="A26" s="4" t="s">
        <v>75</v>
      </c>
      <c r="B26" t="str">
        <f t="shared" si="2"/>
        <v>00023234567K6</v>
      </c>
      <c r="D26" s="4" t="s">
        <v>274</v>
      </c>
      <c r="E26" t="s">
        <v>275</v>
      </c>
      <c r="F26" t="str">
        <f t="shared" si="1"/>
        <v>DAVID GREENSPAN</v>
      </c>
    </row>
    <row r="27" spans="1:6" x14ac:dyDescent="0.2">
      <c r="A27" s="4" t="s">
        <v>78</v>
      </c>
      <c r="B27" t="str">
        <f t="shared" si="2"/>
        <v>00023239312K6</v>
      </c>
      <c r="D27" s="4" t="s">
        <v>276</v>
      </c>
      <c r="E27" t="s">
        <v>277</v>
      </c>
      <c r="F27" t="str">
        <f t="shared" si="1"/>
        <v>JEFFREY LERNER</v>
      </c>
    </row>
    <row r="28" spans="1:6" x14ac:dyDescent="0.2">
      <c r="A28" s="4" t="s">
        <v>101</v>
      </c>
      <c r="B28" t="str">
        <f t="shared" si="2"/>
        <v>00003962303K6</v>
      </c>
      <c r="D28" s="4" t="s">
        <v>278</v>
      </c>
      <c r="E28" t="s">
        <v>279</v>
      </c>
      <c r="F28" t="str">
        <f t="shared" si="1"/>
        <v>LINDA JEFFERS</v>
      </c>
    </row>
    <row r="29" spans="1:6" x14ac:dyDescent="0.2">
      <c r="A29" s="4" t="s">
        <v>106</v>
      </c>
      <c r="B29" t="str">
        <f t="shared" si="2"/>
        <v>00017232908K6</v>
      </c>
      <c r="D29" s="4" t="s">
        <v>280</v>
      </c>
      <c r="E29" t="s">
        <v>281</v>
      </c>
      <c r="F29" t="str">
        <f t="shared" si="1"/>
        <v>AUDREY LEWIS</v>
      </c>
    </row>
    <row r="30" spans="1:6" x14ac:dyDescent="0.2">
      <c r="A30" s="4" t="s">
        <v>109</v>
      </c>
      <c r="B30" t="str">
        <f t="shared" si="2"/>
        <v>00019960682K6</v>
      </c>
      <c r="D30" s="4" t="s">
        <v>282</v>
      </c>
      <c r="E30" t="s">
        <v>258</v>
      </c>
      <c r="F30" t="str">
        <f t="shared" si="1"/>
        <v>MARY MCPARTLAN</v>
      </c>
    </row>
    <row r="31" spans="1:6" x14ac:dyDescent="0.2">
      <c r="A31" s="4" t="s">
        <v>115</v>
      </c>
      <c r="B31" t="str">
        <f t="shared" si="2"/>
        <v>00023235653K6</v>
      </c>
      <c r="D31" s="4" t="s">
        <v>283</v>
      </c>
      <c r="E31" t="s">
        <v>284</v>
      </c>
      <c r="F31" t="str">
        <f t="shared" si="1"/>
        <v>ALEJOS MARTINEZ</v>
      </c>
    </row>
    <row r="32" spans="1:6" x14ac:dyDescent="0.2">
      <c r="A32" s="4" t="s">
        <v>119</v>
      </c>
      <c r="B32" t="str">
        <f t="shared" si="2"/>
        <v>00018979147K6</v>
      </c>
      <c r="D32" s="4" t="s">
        <v>285</v>
      </c>
      <c r="E32" t="s">
        <v>286</v>
      </c>
      <c r="F32" t="str">
        <f t="shared" si="1"/>
        <v>CATHERINE HUTMACHER</v>
      </c>
    </row>
    <row r="33" spans="1:6" x14ac:dyDescent="0.2">
      <c r="A33" s="4" t="s">
        <v>123</v>
      </c>
      <c r="B33" t="str">
        <f t="shared" si="2"/>
        <v>00001879234K6</v>
      </c>
      <c r="D33" s="4" t="s">
        <v>244</v>
      </c>
      <c r="E33" t="s">
        <v>245</v>
      </c>
      <c r="F33" t="str">
        <f t="shared" si="1"/>
        <v>RAJ CHUGH</v>
      </c>
    </row>
    <row r="34" spans="1:6" x14ac:dyDescent="0.2">
      <c r="A34" s="4" t="s">
        <v>130</v>
      </c>
      <c r="B34" t="str">
        <f t="shared" si="2"/>
        <v>00022965116K6</v>
      </c>
      <c r="D34" s="4" t="s">
        <v>248</v>
      </c>
      <c r="E34" t="s">
        <v>249</v>
      </c>
      <c r="F34" t="str">
        <f t="shared" si="1"/>
        <v>NESTOR RAMORAN</v>
      </c>
    </row>
    <row r="35" spans="1:6" x14ac:dyDescent="0.2">
      <c r="A35" s="4" t="s">
        <v>133</v>
      </c>
      <c r="B35" t="str">
        <f t="shared" si="2"/>
        <v>00022969890K6</v>
      </c>
      <c r="D35" s="4" t="s">
        <v>248</v>
      </c>
      <c r="E35" t="s">
        <v>250</v>
      </c>
      <c r="F35" t="str">
        <f t="shared" si="1"/>
        <v>LOURDES RAMORAN</v>
      </c>
    </row>
    <row r="36" spans="1:6" x14ac:dyDescent="0.2">
      <c r="A36" s="4" t="s">
        <v>137</v>
      </c>
      <c r="B36" t="str">
        <f t="shared" si="2"/>
        <v>00023222148K6</v>
      </c>
      <c r="D36" s="4" t="s">
        <v>287</v>
      </c>
      <c r="E36" t="s">
        <v>288</v>
      </c>
      <c r="F36" t="str">
        <f t="shared" si="1"/>
        <v>AMY REED</v>
      </c>
    </row>
    <row r="37" spans="1:6" x14ac:dyDescent="0.2">
      <c r="A37" s="4" t="s">
        <v>140</v>
      </c>
      <c r="B37" t="str">
        <f t="shared" si="2"/>
        <v>00023232654K6</v>
      </c>
      <c r="D37" s="4" t="s">
        <v>289</v>
      </c>
      <c r="E37" t="s">
        <v>290</v>
      </c>
      <c r="F37" t="str">
        <f t="shared" si="1"/>
        <v>ZELDA WILLIAMS</v>
      </c>
    </row>
    <row r="38" spans="1:6" x14ac:dyDescent="0.2">
      <c r="A38" s="4" t="s">
        <v>143</v>
      </c>
      <c r="B38" t="str">
        <f t="shared" si="2"/>
        <v>00023239414K6</v>
      </c>
      <c r="D38" s="4" t="s">
        <v>291</v>
      </c>
      <c r="E38" t="s">
        <v>292</v>
      </c>
      <c r="F38" t="str">
        <f t="shared" si="1"/>
        <v>ROSE FREIMAN</v>
      </c>
    </row>
    <row r="39" spans="1:6" x14ac:dyDescent="0.2">
      <c r="A39" s="4" t="s">
        <v>147</v>
      </c>
      <c r="B39" t="str">
        <f t="shared" si="2"/>
        <v>00023222214K6</v>
      </c>
      <c r="D39" s="4" t="s">
        <v>293</v>
      </c>
      <c r="E39" t="s">
        <v>294</v>
      </c>
      <c r="F39" t="str">
        <f t="shared" si="1"/>
        <v>PAUL HALL</v>
      </c>
    </row>
    <row r="40" spans="1:6" x14ac:dyDescent="0.2">
      <c r="A40" s="4" t="s">
        <v>161</v>
      </c>
      <c r="B40" t="str">
        <f t="shared" si="2"/>
        <v>00018875597K6</v>
      </c>
      <c r="D40" s="4" t="s">
        <v>295</v>
      </c>
      <c r="E40" t="s">
        <v>235</v>
      </c>
      <c r="F40" t="str">
        <f t="shared" si="1"/>
        <v>CYNTHIA KNORR</v>
      </c>
    </row>
    <row r="41" spans="1:6" x14ac:dyDescent="0.2">
      <c r="A41" s="4" t="s">
        <v>96</v>
      </c>
      <c r="B41" t="str">
        <f t="shared" si="2"/>
        <v>00019797045K6</v>
      </c>
      <c r="D41" s="4" t="s">
        <v>234</v>
      </c>
      <c r="E41" t="s">
        <v>235</v>
      </c>
      <c r="F41" t="str">
        <f t="shared" si="1"/>
        <v>CYNTHIA DAVIS</v>
      </c>
    </row>
    <row r="42" spans="1:6" x14ac:dyDescent="0.2">
      <c r="A42" s="4" t="s">
        <v>173</v>
      </c>
      <c r="B42" t="str">
        <f t="shared" si="2"/>
        <v>00020407890K6</v>
      </c>
      <c r="D42" s="4" t="s">
        <v>296</v>
      </c>
      <c r="E42" t="s">
        <v>275</v>
      </c>
      <c r="F42" t="str">
        <f t="shared" si="1"/>
        <v>DAVID DREXLER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2025-04-03T12:38:05Z</dcterms:created>
  <dcterms:modified xsi:type="dcterms:W3CDTF">2025-04-03T15:06:02Z</dcterms:modified>
</cp:coreProperties>
</file>