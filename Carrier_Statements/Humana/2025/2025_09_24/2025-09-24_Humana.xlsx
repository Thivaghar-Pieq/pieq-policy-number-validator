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9-24-25\"/>
    </mc:Choice>
  </mc:AlternateContent>
  <xr:revisionPtr revIDLastSave="0" documentId="13_ncr:1_{BD7119FE-A1E8-4AB2-A9C3-7648D4C5AE1C}" xr6:coauthVersionLast="47" xr6:coauthVersionMax="47" xr10:uidLastSave="{00000000-0000-0000-0000-000000000000}"/>
  <bookViews>
    <workbookView xWindow="28680" yWindow="-120" windowWidth="29040" windowHeight="16440" activeTab="1" xr2:uid="{427D5C55-4042-41E9-97BA-BA39BF76F24B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U18" i="2" l="1"/>
  <c r="U13" i="2"/>
  <c r="U9" i="2"/>
  <c r="U17" i="2"/>
  <c r="U15" i="2"/>
  <c r="U8" i="2"/>
  <c r="U14" i="2"/>
  <c r="U23" i="2"/>
  <c r="U24" i="2"/>
  <c r="U10" i="2"/>
  <c r="U11" i="2"/>
  <c r="U19" i="2"/>
  <c r="U20" i="2"/>
  <c r="U21" i="2"/>
  <c r="U22" i="2"/>
  <c r="U16" i="2"/>
  <c r="U25" i="2"/>
  <c r="U2" i="2"/>
  <c r="U6" i="2"/>
  <c r="U3" i="2"/>
  <c r="U4" i="2"/>
  <c r="U7" i="2"/>
  <c r="U5" i="2"/>
  <c r="U12" i="2"/>
  <c r="R7" i="2"/>
  <c r="R5" i="2"/>
  <c r="R4" i="2"/>
  <c r="R3" i="2"/>
  <c r="R6" i="2"/>
  <c r="R2" i="2"/>
  <c r="R25" i="2"/>
  <c r="R16" i="2"/>
  <c r="R22" i="2"/>
  <c r="R21" i="2"/>
  <c r="R20" i="2"/>
  <c r="R19" i="2"/>
  <c r="R11" i="2"/>
  <c r="R10" i="2"/>
  <c r="R24" i="2"/>
  <c r="R23" i="2"/>
  <c r="R14" i="2"/>
  <c r="R8" i="2"/>
  <c r="R15" i="2"/>
  <c r="R17" i="2"/>
  <c r="R9" i="2"/>
  <c r="R13" i="2"/>
  <c r="R18" i="2"/>
  <c r="R12" i="2"/>
  <c r="P13" i="2"/>
  <c r="P18" i="2"/>
  <c r="P12" i="2"/>
</calcChain>
</file>

<file path=xl/sharedStrings.xml><?xml version="1.0" encoding="utf-8"?>
<sst xmlns="http://schemas.openxmlformats.org/spreadsheetml/2006/main" count="1028" uniqueCount="201">
  <si>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</si>
  <si>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</si>
  <si>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</si>
  <si>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</si>
  <si>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</si>
  <si>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</si>
  <si>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</si>
  <si>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</si>
  <si>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</si>
  <si>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</si>
  <si>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</si>
  <si>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</si>
  <si>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</si>
  <si>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</si>
  <si>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</si>
  <si>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</si>
  <si>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</si>
  <si>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</si>
  <si>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</si>
  <si>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</si>
  <si>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</si>
  <si>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</si>
  <si>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</si>
  <si>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</si>
  <si>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</si>
  <si>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</si>
  <si>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</si>
  <si>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</si>
  <si>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</si>
  <si>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</si>
  <si>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</si>
  <si>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</si>
  <si>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</si>
  <si>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</si>
  <si>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</si>
  <si>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</si>
  <si>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</si>
  <si>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</si>
  <si>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</si>
  <si>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</si>
  <si>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</si>
  <si>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</si>
  <si>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HUNSBERGER ANTHONY J</t>
  </si>
  <si>
    <t>DUSZCZYK PAWEL</t>
  </si>
  <si>
    <t>00023268932K</t>
  </si>
  <si>
    <t>1WD0TF8AK38</t>
  </si>
  <si>
    <t/>
  </si>
  <si>
    <t>MA</t>
  </si>
  <si>
    <t>LV</t>
  </si>
  <si>
    <t>MAY</t>
  </si>
  <si>
    <t>F</t>
  </si>
  <si>
    <t>MEDICARE</t>
  </si>
  <si>
    <t>MEP</t>
  </si>
  <si>
    <t>MEDICARE 2ND HALF FIRST YEAR COMM</t>
  </si>
  <si>
    <t>MED2</t>
  </si>
  <si>
    <t>H5216</t>
  </si>
  <si>
    <t>FIRST YEAR COMMISSIONS</t>
  </si>
  <si>
    <t>ARCF</t>
  </si>
  <si>
    <t>HOFFMANN JASON R</t>
  </si>
  <si>
    <t>MILLER VALERIE J</t>
  </si>
  <si>
    <t>00018927296K</t>
  </si>
  <si>
    <t>6XJ5N95WP77</t>
  </si>
  <si>
    <t>JAN</t>
  </si>
  <si>
    <t>WALENGA DALE J</t>
  </si>
  <si>
    <t>WALKER JOSEPH</t>
  </si>
  <si>
    <t>00023649753K</t>
  </si>
  <si>
    <t>2QJ3F44JQ78</t>
  </si>
  <si>
    <t>OCT</t>
  </si>
  <si>
    <t>YALE RICHARD A A</t>
  </si>
  <si>
    <t>DOUCETTE DEBORAH L</t>
  </si>
  <si>
    <t>00023678081K</t>
  </si>
  <si>
    <t>2D00KD5HA00</t>
  </si>
  <si>
    <t>MER</t>
  </si>
  <si>
    <t>H6622</t>
  </si>
  <si>
    <t>HANSFORD GREGORY</t>
  </si>
  <si>
    <t>WIGGINS MITCHELL D</t>
  </si>
  <si>
    <t>00023286702K</t>
  </si>
  <si>
    <t>6XG0HD2QU10</t>
  </si>
  <si>
    <t>FOLEY CAROL</t>
  </si>
  <si>
    <t>OWENS CARLETT D</t>
  </si>
  <si>
    <t>00023641247K</t>
  </si>
  <si>
    <t>1YD3XQ2CD73</t>
  </si>
  <si>
    <t>KATZ MICHAEL H</t>
  </si>
  <si>
    <t>00023678785K</t>
  </si>
  <si>
    <t>9E62AU6HM24</t>
  </si>
  <si>
    <t>CP</t>
  </si>
  <si>
    <t>H1019</t>
  </si>
  <si>
    <t>PORTUGAL GARY</t>
  </si>
  <si>
    <t>CARR MARK T</t>
  </si>
  <si>
    <t>00023244763K</t>
  </si>
  <si>
    <t>4FA7EV9YY68</t>
  </si>
  <si>
    <t>JUL</t>
  </si>
  <si>
    <t>H1468</t>
  </si>
  <si>
    <t>GUZMAN MARIA A</t>
  </si>
  <si>
    <t>00023678319K</t>
  </si>
  <si>
    <t>6EY1R42UU23</t>
  </si>
  <si>
    <t>OLIVER BRITTANY</t>
  </si>
  <si>
    <t>GRAYSON VIRGINIA A</t>
  </si>
  <si>
    <t>00023675107K</t>
  </si>
  <si>
    <t>5YF7M97CA73</t>
  </si>
  <si>
    <t>DEC</t>
  </si>
  <si>
    <t>ABDUL SAADIA S</t>
  </si>
  <si>
    <t>POLONSKY ROGER H</t>
  </si>
  <si>
    <t>00023655018K</t>
  </si>
  <si>
    <t>7AN9TX6YR22</t>
  </si>
  <si>
    <t>NOV</t>
  </si>
  <si>
    <t>SANTOS RICARDO D</t>
  </si>
  <si>
    <t>SIMPSON DIANNE S</t>
  </si>
  <si>
    <t>00022944911K</t>
  </si>
  <si>
    <t>7XT6YM4VF77</t>
  </si>
  <si>
    <t>SIMPSON MICHAEL R</t>
  </si>
  <si>
    <t>00023657141K</t>
  </si>
  <si>
    <t>4KH3C88JW72</t>
  </si>
  <si>
    <t>DUNAVANT MICHAEL</t>
  </si>
  <si>
    <t>NEHRT JR ROBERT G</t>
  </si>
  <si>
    <t>00008668104K</t>
  </si>
  <si>
    <t>1DJ9KX1WK14</t>
  </si>
  <si>
    <t>BRANDT STEVEN K</t>
  </si>
  <si>
    <t>HANLINE TYRONE W</t>
  </si>
  <si>
    <t>00023652054K</t>
  </si>
  <si>
    <t>4D34WH8UV90</t>
  </si>
  <si>
    <t>PDP</t>
  </si>
  <si>
    <t>S5884</t>
  </si>
  <si>
    <t>DEATON PAMELA S</t>
  </si>
  <si>
    <t>BUCK JENNIFER B</t>
  </si>
  <si>
    <t>00001035274A</t>
  </si>
  <si>
    <t>MS</t>
  </si>
  <si>
    <t>R</t>
  </si>
  <si>
    <t>MED SUPP ANNUALIZED STANDARD</t>
  </si>
  <si>
    <t>MSAS</t>
  </si>
  <si>
    <t>INSKIPT DEBORAH L</t>
  </si>
  <si>
    <t>SCHUBERT DAVID</t>
  </si>
  <si>
    <t>00000789641A</t>
  </si>
  <si>
    <t>MED SUPP RENEWAL ACHIEVE</t>
  </si>
  <si>
    <t>MSRA</t>
  </si>
  <si>
    <t>CARDOSI KAREN E</t>
  </si>
  <si>
    <t>00000828881A</t>
  </si>
  <si>
    <t>BRACE TIMMY L</t>
  </si>
  <si>
    <t>00000871454A</t>
  </si>
  <si>
    <t>Sands Karen L</t>
  </si>
  <si>
    <t>9031177770</t>
  </si>
  <si>
    <t>IN</t>
  </si>
  <si>
    <t>CB</t>
  </si>
  <si>
    <t>VISION</t>
  </si>
  <si>
    <t>COMPBENEFITS FIRST YEAR COMMISSION</t>
  </si>
  <si>
    <t>CRCF</t>
  </si>
  <si>
    <t>MAX RONALD J</t>
  </si>
  <si>
    <t>SAUFLEY DIANNALYNN</t>
  </si>
  <si>
    <t>00001048833A</t>
  </si>
  <si>
    <t>SEP</t>
  </si>
  <si>
    <t>Humana 65-80 AL, AZ, AR, GA, etc. All Except N OE &amp; UW</t>
  </si>
  <si>
    <t>Humana AL, AZ, AR, GA, etc. Plan N OE &amp; UW</t>
  </si>
  <si>
    <t>Humana 68-80 AL, AZ, AR, GA, etc. All Except N OE &amp; UW*</t>
  </si>
  <si>
    <t>Humana Dental &amp; Vision</t>
  </si>
  <si>
    <t>Humana PDP 2025!</t>
  </si>
  <si>
    <t>Humana MAPD 2025*</t>
  </si>
  <si>
    <t>[%/$=313][prorate=11/12]</t>
  </si>
  <si>
    <t>[%/$=313][prorate=9/12]</t>
  </si>
  <si>
    <t>[%/$=313][prorate=3/12]</t>
  </si>
  <si>
    <t>[%/$=313][prorate=1/12]</t>
  </si>
  <si>
    <t>[%/$=313][prorate=2/12]</t>
  </si>
  <si>
    <t>WIGGINS</t>
  </si>
  <si>
    <t>MITCHELL</t>
  </si>
  <si>
    <t>CARR</t>
  </si>
  <si>
    <t>MARK</t>
  </si>
  <si>
    <t>NEHRT</t>
  </si>
  <si>
    <t>ROBERT</t>
  </si>
  <si>
    <t>GRAYSON</t>
  </si>
  <si>
    <t>VIRGINIA</t>
  </si>
  <si>
    <t>DUSZCZYK</t>
  </si>
  <si>
    <t>PAWEL</t>
  </si>
  <si>
    <t>POLONSKY</t>
  </si>
  <si>
    <t>ROGER</t>
  </si>
  <si>
    <t>MILLER</t>
  </si>
  <si>
    <t>VALERIE</t>
  </si>
  <si>
    <t>WALKER</t>
  </si>
  <si>
    <t>JOSEPH</t>
  </si>
  <si>
    <t>DOUCETTE</t>
  </si>
  <si>
    <t>DEBORAH</t>
  </si>
  <si>
    <t>OWENS</t>
  </si>
  <si>
    <t>CARLETT</t>
  </si>
  <si>
    <t>KATZ</t>
  </si>
  <si>
    <t>MICHAEL</t>
  </si>
  <si>
    <t>GUZMAN</t>
  </si>
  <si>
    <t>MARIA</t>
  </si>
  <si>
    <t>SIMPSON</t>
  </si>
  <si>
    <t>DIANNE</t>
  </si>
  <si>
    <t>HANLINE</t>
  </si>
  <si>
    <t>TYRONE</t>
  </si>
  <si>
    <t>BUCK</t>
  </si>
  <si>
    <t>JENNIFER</t>
  </si>
  <si>
    <t>SCHUBERT</t>
  </si>
  <si>
    <t>DAVID</t>
  </si>
  <si>
    <t>CARDOSI</t>
  </si>
  <si>
    <t>KAREN</t>
  </si>
  <si>
    <t>BRACE</t>
  </si>
  <si>
    <t>TIMMY</t>
  </si>
  <si>
    <t>Sands</t>
  </si>
  <si>
    <t>Karen</t>
  </si>
  <si>
    <t>SAUFLEY</t>
  </si>
  <si>
    <t>DIANNALYNN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</si>
</sst>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8D08-65DA-4BE6-858C-459A4E24F2BD}">
  <dimension ref="A1:AP25"/>
  <sheetViews>
    <sheetView topLeftCell="P1" workbookViewId="0">
      <selection activeCell="P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45924</v>
      </c>
      <c r="C2" s="4" t="s">
        <v>42</v>
      </c>
      <c r="D2" s="2">
        <v>1510420</v>
      </c>
      <c r="E2" s="4" t="s">
        <v>43</v>
      </c>
      <c r="F2" s="4" t="s">
        <v>44</v>
      </c>
      <c r="G2" s="2">
        <v>721687014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45778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234.74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45778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45924</v>
      </c>
      <c r="C3" s="4" t="s">
        <v>42</v>
      </c>
      <c r="D3" s="2">
        <v>1510420</v>
      </c>
      <c r="E3" s="4" t="s">
        <v>43</v>
      </c>
      <c r="F3" s="4" t="s">
        <v>44</v>
      </c>
      <c r="G3" s="2">
        <v>721687014</v>
      </c>
      <c r="H3" s="4" t="s">
        <v>45</v>
      </c>
      <c r="I3" s="4" t="s">
        <v>46</v>
      </c>
      <c r="J3" s="4" t="s">
        <v>47</v>
      </c>
      <c r="K3" s="4" t="s">
        <v>48</v>
      </c>
      <c r="L3" s="3">
        <v>45778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0.08</v>
      </c>
      <c r="W3" s="5">
        <v>0</v>
      </c>
      <c r="X3" s="5">
        <v>100</v>
      </c>
      <c r="Y3" s="5">
        <v>26.09</v>
      </c>
      <c r="Z3" s="4" t="s">
        <v>46</v>
      </c>
      <c r="AA3" s="5" t="s">
        <v>46</v>
      </c>
      <c r="AB3" s="4" t="s">
        <v>56</v>
      </c>
      <c r="AC3" s="4" t="s">
        <v>46</v>
      </c>
      <c r="AD3" s="5">
        <v>0</v>
      </c>
      <c r="AE3" s="4" t="s">
        <v>57</v>
      </c>
      <c r="AF3" s="3">
        <v>45778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45924</v>
      </c>
      <c r="C4" s="4" t="s">
        <v>58</v>
      </c>
      <c r="D4" s="2">
        <v>1524629</v>
      </c>
      <c r="E4" s="4" t="s">
        <v>59</v>
      </c>
      <c r="F4" s="4" t="s">
        <v>60</v>
      </c>
      <c r="G4" s="2">
        <v>73396551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45658</v>
      </c>
      <c r="M4" s="4" t="s">
        <v>62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0.25</v>
      </c>
      <c r="W4" s="5">
        <v>0</v>
      </c>
      <c r="X4" s="5">
        <v>100</v>
      </c>
      <c r="Y4" s="5">
        <v>78.25</v>
      </c>
      <c r="Z4" s="4" t="s">
        <v>46</v>
      </c>
      <c r="AA4" s="5" t="s">
        <v>46</v>
      </c>
      <c r="AB4" s="4" t="s">
        <v>56</v>
      </c>
      <c r="AC4" s="4" t="s">
        <v>46</v>
      </c>
      <c r="AD4" s="5">
        <v>0</v>
      </c>
      <c r="AE4" s="4" t="s">
        <v>57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45924</v>
      </c>
      <c r="C5" s="4" t="s">
        <v>63</v>
      </c>
      <c r="D5" s="2">
        <v>1535078</v>
      </c>
      <c r="E5" s="4" t="s">
        <v>64</v>
      </c>
      <c r="F5" s="4" t="s">
        <v>65</v>
      </c>
      <c r="G5" s="2">
        <v>720636313</v>
      </c>
      <c r="H5" s="4" t="s">
        <v>66</v>
      </c>
      <c r="I5" s="4" t="s">
        <v>46</v>
      </c>
      <c r="J5" s="4" t="s">
        <v>47</v>
      </c>
      <c r="K5" s="4" t="s">
        <v>48</v>
      </c>
      <c r="L5" s="3">
        <v>45931</v>
      </c>
      <c r="M5" s="4" t="s">
        <v>67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0.25</v>
      </c>
      <c r="W5" s="5">
        <v>0</v>
      </c>
      <c r="X5" s="5">
        <v>100</v>
      </c>
      <c r="Y5" s="5">
        <v>78.25</v>
      </c>
      <c r="Z5" s="4" t="s">
        <v>46</v>
      </c>
      <c r="AA5" s="5" t="s">
        <v>46</v>
      </c>
      <c r="AB5" s="4" t="s">
        <v>56</v>
      </c>
      <c r="AC5" s="4" t="s">
        <v>46</v>
      </c>
      <c r="AD5" s="5">
        <v>0</v>
      </c>
      <c r="AE5" s="4" t="s">
        <v>57</v>
      </c>
      <c r="AF5" s="3">
        <v>45931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45924</v>
      </c>
      <c r="C6" s="4" t="s">
        <v>68</v>
      </c>
      <c r="D6" s="2">
        <v>1573279</v>
      </c>
      <c r="E6" s="4" t="s">
        <v>69</v>
      </c>
      <c r="F6" s="4" t="s">
        <v>70</v>
      </c>
      <c r="G6" s="2">
        <v>635867274</v>
      </c>
      <c r="H6" s="4" t="s">
        <v>71</v>
      </c>
      <c r="I6" s="4" t="s">
        <v>46</v>
      </c>
      <c r="J6" s="4" t="s">
        <v>47</v>
      </c>
      <c r="K6" s="4" t="s">
        <v>48</v>
      </c>
      <c r="L6" s="3">
        <v>45931</v>
      </c>
      <c r="M6" s="4" t="s">
        <v>67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72</v>
      </c>
      <c r="U6" s="4" t="s">
        <v>46</v>
      </c>
      <c r="V6" s="5">
        <v>0.25</v>
      </c>
      <c r="W6" s="5">
        <v>0</v>
      </c>
      <c r="X6" s="5">
        <v>100</v>
      </c>
      <c r="Y6" s="5">
        <v>78.25</v>
      </c>
      <c r="Z6" s="4" t="s">
        <v>46</v>
      </c>
      <c r="AA6" s="5" t="s">
        <v>46</v>
      </c>
      <c r="AB6" s="4" t="s">
        <v>56</v>
      </c>
      <c r="AC6" s="4" t="s">
        <v>46</v>
      </c>
      <c r="AD6" s="5">
        <v>0</v>
      </c>
      <c r="AE6" s="4" t="s">
        <v>57</v>
      </c>
      <c r="AF6" s="3">
        <v>45931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73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45924</v>
      </c>
      <c r="C7" s="4" t="s">
        <v>74</v>
      </c>
      <c r="D7" s="2">
        <v>1639670</v>
      </c>
      <c r="E7" s="4" t="s">
        <v>75</v>
      </c>
      <c r="F7" s="4" t="s">
        <v>76</v>
      </c>
      <c r="G7" s="2">
        <v>170252095</v>
      </c>
      <c r="H7" s="4" t="s">
        <v>77</v>
      </c>
      <c r="I7" s="4" t="s">
        <v>46</v>
      </c>
      <c r="J7" s="4" t="s">
        <v>47</v>
      </c>
      <c r="K7" s="4" t="s">
        <v>48</v>
      </c>
      <c r="L7" s="3">
        <v>45778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-286.92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45778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45924</v>
      </c>
      <c r="C8" s="4" t="s">
        <v>74</v>
      </c>
      <c r="D8" s="2">
        <v>1639670</v>
      </c>
      <c r="E8" s="4" t="s">
        <v>75</v>
      </c>
      <c r="F8" s="4" t="s">
        <v>76</v>
      </c>
      <c r="G8" s="2">
        <v>170252095</v>
      </c>
      <c r="H8" s="4" t="s">
        <v>77</v>
      </c>
      <c r="I8" s="4" t="s">
        <v>46</v>
      </c>
      <c r="J8" s="4" t="s">
        <v>47</v>
      </c>
      <c r="K8" s="4" t="s">
        <v>48</v>
      </c>
      <c r="L8" s="3">
        <v>45778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-0.25</v>
      </c>
      <c r="W8" s="5">
        <v>0</v>
      </c>
      <c r="X8" s="5">
        <v>100</v>
      </c>
      <c r="Y8" s="5">
        <v>-78.25</v>
      </c>
      <c r="Z8" s="4" t="s">
        <v>46</v>
      </c>
      <c r="AA8" s="5" t="s">
        <v>46</v>
      </c>
      <c r="AB8" s="4" t="s">
        <v>56</v>
      </c>
      <c r="AC8" s="4" t="s">
        <v>46</v>
      </c>
      <c r="AD8" s="5">
        <v>0</v>
      </c>
      <c r="AE8" s="4" t="s">
        <v>57</v>
      </c>
      <c r="AF8" s="3">
        <v>45778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45924</v>
      </c>
      <c r="C9" s="4" t="s">
        <v>78</v>
      </c>
      <c r="D9" s="2">
        <v>1673202</v>
      </c>
      <c r="E9" s="4" t="s">
        <v>79</v>
      </c>
      <c r="F9" s="4" t="s">
        <v>80</v>
      </c>
      <c r="G9" s="2">
        <v>151783504</v>
      </c>
      <c r="H9" s="4" t="s">
        <v>81</v>
      </c>
      <c r="I9" s="4" t="s">
        <v>46</v>
      </c>
      <c r="J9" s="4" t="s">
        <v>47</v>
      </c>
      <c r="K9" s="4" t="s">
        <v>48</v>
      </c>
      <c r="L9" s="3">
        <v>45931</v>
      </c>
      <c r="M9" s="4" t="s">
        <v>67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0.25</v>
      </c>
      <c r="W9" s="5">
        <v>0</v>
      </c>
      <c r="X9" s="5">
        <v>100</v>
      </c>
      <c r="Y9" s="5">
        <v>78.25</v>
      </c>
      <c r="Z9" s="4" t="s">
        <v>46</v>
      </c>
      <c r="AA9" s="5" t="s">
        <v>46</v>
      </c>
      <c r="AB9" s="4" t="s">
        <v>56</v>
      </c>
      <c r="AC9" s="4" t="s">
        <v>46</v>
      </c>
      <c r="AD9" s="5">
        <v>0</v>
      </c>
      <c r="AE9" s="4" t="s">
        <v>57</v>
      </c>
      <c r="AF9" s="3">
        <v>45931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45924</v>
      </c>
      <c r="C10" s="4" t="s">
        <v>78</v>
      </c>
      <c r="D10" s="2">
        <v>1673202</v>
      </c>
      <c r="E10" s="4" t="s">
        <v>82</v>
      </c>
      <c r="F10" s="4" t="s">
        <v>83</v>
      </c>
      <c r="G10" s="2">
        <v>0</v>
      </c>
      <c r="H10" s="4" t="s">
        <v>84</v>
      </c>
      <c r="I10" s="4" t="s">
        <v>46</v>
      </c>
      <c r="J10" s="4" t="s">
        <v>47</v>
      </c>
      <c r="K10" s="4" t="s">
        <v>85</v>
      </c>
      <c r="L10" s="3">
        <v>45931</v>
      </c>
      <c r="M10" s="4" t="s">
        <v>67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72</v>
      </c>
      <c r="U10" s="4" t="s">
        <v>46</v>
      </c>
      <c r="V10" s="5">
        <v>0.25</v>
      </c>
      <c r="W10" s="5">
        <v>0</v>
      </c>
      <c r="X10" s="5">
        <v>100</v>
      </c>
      <c r="Y10" s="5">
        <v>78.25</v>
      </c>
      <c r="Z10" s="4" t="s">
        <v>46</v>
      </c>
      <c r="AA10" s="5" t="s">
        <v>46</v>
      </c>
      <c r="AB10" s="4" t="s">
        <v>56</v>
      </c>
      <c r="AC10" s="4" t="s">
        <v>46</v>
      </c>
      <c r="AD10" s="5">
        <v>0</v>
      </c>
      <c r="AE10" s="4" t="s">
        <v>57</v>
      </c>
      <c r="AF10" s="3">
        <v>45931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86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45924</v>
      </c>
      <c r="C11" s="4" t="s">
        <v>87</v>
      </c>
      <c r="D11" s="2">
        <v>1703942</v>
      </c>
      <c r="E11" s="4" t="s">
        <v>88</v>
      </c>
      <c r="F11" s="4" t="s">
        <v>89</v>
      </c>
      <c r="G11" s="2">
        <v>7267285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45839</v>
      </c>
      <c r="M11" s="4" t="s">
        <v>91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72</v>
      </c>
      <c r="U11" s="4" t="s">
        <v>46</v>
      </c>
      <c r="V11" s="5">
        <v>0</v>
      </c>
      <c r="W11" s="5">
        <v>0</v>
      </c>
      <c r="X11" s="5">
        <v>100</v>
      </c>
      <c r="Y11" s="5">
        <v>-234.75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45839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92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45924</v>
      </c>
      <c r="C12" s="4" t="s">
        <v>87</v>
      </c>
      <c r="D12" s="2">
        <v>1703942</v>
      </c>
      <c r="E12" s="4" t="s">
        <v>88</v>
      </c>
      <c r="F12" s="4" t="s">
        <v>89</v>
      </c>
      <c r="G12" s="2">
        <v>7267285</v>
      </c>
      <c r="H12" s="4" t="s">
        <v>90</v>
      </c>
      <c r="I12" s="4" t="s">
        <v>46</v>
      </c>
      <c r="J12" s="4" t="s">
        <v>47</v>
      </c>
      <c r="K12" s="4" t="s">
        <v>48</v>
      </c>
      <c r="L12" s="3">
        <v>45839</v>
      </c>
      <c r="M12" s="4" t="s">
        <v>91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72</v>
      </c>
      <c r="U12" s="4" t="s">
        <v>46</v>
      </c>
      <c r="V12" s="5">
        <v>0.25</v>
      </c>
      <c r="W12" s="5">
        <v>0</v>
      </c>
      <c r="X12" s="5">
        <v>100</v>
      </c>
      <c r="Y12" s="5">
        <v>78.25</v>
      </c>
      <c r="Z12" s="4" t="s">
        <v>46</v>
      </c>
      <c r="AA12" s="5" t="s">
        <v>46</v>
      </c>
      <c r="AB12" s="4" t="s">
        <v>56</v>
      </c>
      <c r="AC12" s="4" t="s">
        <v>46</v>
      </c>
      <c r="AD12" s="5">
        <v>0</v>
      </c>
      <c r="AE12" s="4" t="s">
        <v>57</v>
      </c>
      <c r="AF12" s="3">
        <v>45839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92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45924</v>
      </c>
      <c r="C13" s="4" t="s">
        <v>87</v>
      </c>
      <c r="D13" s="2">
        <v>1703942</v>
      </c>
      <c r="E13" s="4" t="s">
        <v>93</v>
      </c>
      <c r="F13" s="4" t="s">
        <v>94</v>
      </c>
      <c r="G13" s="2">
        <v>772898444</v>
      </c>
      <c r="H13" s="4" t="s">
        <v>95</v>
      </c>
      <c r="I13" s="4" t="s">
        <v>46</v>
      </c>
      <c r="J13" s="4" t="s">
        <v>47</v>
      </c>
      <c r="K13" s="4" t="s">
        <v>48</v>
      </c>
      <c r="L13" s="3">
        <v>45931</v>
      </c>
      <c r="M13" s="4" t="s">
        <v>67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72</v>
      </c>
      <c r="U13" s="4" t="s">
        <v>46</v>
      </c>
      <c r="V13" s="5">
        <v>0.25</v>
      </c>
      <c r="W13" s="5">
        <v>0</v>
      </c>
      <c r="X13" s="5">
        <v>100</v>
      </c>
      <c r="Y13" s="5">
        <v>78.25</v>
      </c>
      <c r="Z13" s="4" t="s">
        <v>46</v>
      </c>
      <c r="AA13" s="5" t="s">
        <v>46</v>
      </c>
      <c r="AB13" s="4" t="s">
        <v>56</v>
      </c>
      <c r="AC13" s="4" t="s">
        <v>46</v>
      </c>
      <c r="AD13" s="5">
        <v>0</v>
      </c>
      <c r="AE13" s="4" t="s">
        <v>57</v>
      </c>
      <c r="AF13" s="3">
        <v>45931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92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45924</v>
      </c>
      <c r="C14" s="4" t="s">
        <v>96</v>
      </c>
      <c r="D14" s="2">
        <v>1737425</v>
      </c>
      <c r="E14" s="4" t="s">
        <v>97</v>
      </c>
      <c r="F14" s="4" t="s">
        <v>98</v>
      </c>
      <c r="G14" s="2">
        <v>900093233</v>
      </c>
      <c r="H14" s="4" t="s">
        <v>99</v>
      </c>
      <c r="I14" s="4" t="s">
        <v>46</v>
      </c>
      <c r="J14" s="4" t="s">
        <v>47</v>
      </c>
      <c r="K14" s="4" t="s">
        <v>48</v>
      </c>
      <c r="L14" s="3">
        <v>45992</v>
      </c>
      <c r="M14" s="4" t="s">
        <v>100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0.08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56</v>
      </c>
      <c r="AC14" s="4" t="s">
        <v>46</v>
      </c>
      <c r="AD14" s="5">
        <v>0</v>
      </c>
      <c r="AE14" s="4" t="s">
        <v>57</v>
      </c>
      <c r="AF14" s="3">
        <v>45992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45924</v>
      </c>
      <c r="C15" s="4" t="s">
        <v>101</v>
      </c>
      <c r="D15" s="2">
        <v>1800759</v>
      </c>
      <c r="E15" s="4" t="s">
        <v>102</v>
      </c>
      <c r="F15" s="4" t="s">
        <v>103</v>
      </c>
      <c r="G15" s="2">
        <v>201366184</v>
      </c>
      <c r="H15" s="4" t="s">
        <v>104</v>
      </c>
      <c r="I15" s="4" t="s">
        <v>46</v>
      </c>
      <c r="J15" s="4" t="s">
        <v>47</v>
      </c>
      <c r="K15" s="4" t="s">
        <v>48</v>
      </c>
      <c r="L15" s="3">
        <v>45962</v>
      </c>
      <c r="M15" s="4" t="s">
        <v>105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0.17</v>
      </c>
      <c r="W15" s="5">
        <v>0</v>
      </c>
      <c r="X15" s="5">
        <v>100</v>
      </c>
      <c r="Y15" s="5">
        <v>52.17</v>
      </c>
      <c r="Z15" s="4" t="s">
        <v>46</v>
      </c>
      <c r="AA15" s="5" t="s">
        <v>46</v>
      </c>
      <c r="AB15" s="4" t="s">
        <v>56</v>
      </c>
      <c r="AC15" s="4" t="s">
        <v>46</v>
      </c>
      <c r="AD15" s="5">
        <v>0</v>
      </c>
      <c r="AE15" s="4" t="s">
        <v>57</v>
      </c>
      <c r="AF15" s="3">
        <v>45962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45924</v>
      </c>
      <c r="C16" s="4" t="s">
        <v>106</v>
      </c>
      <c r="D16" s="2">
        <v>1800776</v>
      </c>
      <c r="E16" s="4" t="s">
        <v>107</v>
      </c>
      <c r="F16" s="4" t="s">
        <v>108</v>
      </c>
      <c r="G16" s="2">
        <v>454879043</v>
      </c>
      <c r="H16" s="4" t="s">
        <v>109</v>
      </c>
      <c r="I16" s="4" t="s">
        <v>46</v>
      </c>
      <c r="J16" s="4" t="s">
        <v>47</v>
      </c>
      <c r="K16" s="4" t="s">
        <v>48</v>
      </c>
      <c r="L16" s="3">
        <v>45931</v>
      </c>
      <c r="M16" s="4" t="s">
        <v>67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0.25</v>
      </c>
      <c r="W16" s="5">
        <v>0</v>
      </c>
      <c r="X16" s="5">
        <v>100</v>
      </c>
      <c r="Y16" s="5">
        <v>78.25</v>
      </c>
      <c r="Z16" s="4" t="s">
        <v>46</v>
      </c>
      <c r="AA16" s="5" t="s">
        <v>46</v>
      </c>
      <c r="AB16" s="4" t="s">
        <v>56</v>
      </c>
      <c r="AC16" s="4" t="s">
        <v>46</v>
      </c>
      <c r="AD16" s="5">
        <v>0</v>
      </c>
      <c r="AE16" s="4" t="s">
        <v>57</v>
      </c>
      <c r="AF16" s="3">
        <v>45931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55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45924</v>
      </c>
      <c r="C17" s="4" t="s">
        <v>106</v>
      </c>
      <c r="D17" s="2">
        <v>1800776</v>
      </c>
      <c r="E17" s="4" t="s">
        <v>110</v>
      </c>
      <c r="F17" s="4" t="s">
        <v>111</v>
      </c>
      <c r="G17" s="2">
        <v>903717224</v>
      </c>
      <c r="H17" s="4" t="s">
        <v>112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67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0.25</v>
      </c>
      <c r="W17" s="5">
        <v>0</v>
      </c>
      <c r="X17" s="5">
        <v>100</v>
      </c>
      <c r="Y17" s="5">
        <v>78.25</v>
      </c>
      <c r="Z17" s="4" t="s">
        <v>46</v>
      </c>
      <c r="AA17" s="5" t="s">
        <v>46</v>
      </c>
      <c r="AB17" s="4" t="s">
        <v>56</v>
      </c>
      <c r="AC17" s="4" t="s">
        <v>46</v>
      </c>
      <c r="AD17" s="5">
        <v>0</v>
      </c>
      <c r="AE17" s="4" t="s">
        <v>57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45924</v>
      </c>
      <c r="C18" s="4" t="s">
        <v>113</v>
      </c>
      <c r="D18" s="2">
        <v>1831491</v>
      </c>
      <c r="E18" s="4" t="s">
        <v>114</v>
      </c>
      <c r="F18" s="4" t="s">
        <v>115</v>
      </c>
      <c r="G18" s="2">
        <v>473309362</v>
      </c>
      <c r="H18" s="4" t="s">
        <v>116</v>
      </c>
      <c r="I18" s="4" t="s">
        <v>46</v>
      </c>
      <c r="J18" s="4" t="s">
        <v>47</v>
      </c>
      <c r="K18" s="4" t="s">
        <v>48</v>
      </c>
      <c r="L18" s="3">
        <v>45658</v>
      </c>
      <c r="M18" s="4" t="s">
        <v>62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-0.25</v>
      </c>
      <c r="W18" s="5">
        <v>0</v>
      </c>
      <c r="X18" s="5">
        <v>100</v>
      </c>
      <c r="Y18" s="5">
        <v>-78.25</v>
      </c>
      <c r="Z18" s="4" t="s">
        <v>46</v>
      </c>
      <c r="AA18" s="5" t="s">
        <v>46</v>
      </c>
      <c r="AB18" s="4" t="s">
        <v>56</v>
      </c>
      <c r="AC18" s="4" t="s">
        <v>46</v>
      </c>
      <c r="AD18" s="5">
        <v>0</v>
      </c>
      <c r="AE18" s="4" t="s">
        <v>57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45924</v>
      </c>
      <c r="C19" s="4" t="s">
        <v>117</v>
      </c>
      <c r="D19" s="2">
        <v>1832195</v>
      </c>
      <c r="E19" s="4" t="s">
        <v>118</v>
      </c>
      <c r="F19" s="4" t="s">
        <v>119</v>
      </c>
      <c r="G19" s="2">
        <v>866064264</v>
      </c>
      <c r="H19" s="4" t="s">
        <v>120</v>
      </c>
      <c r="I19" s="4" t="s">
        <v>46</v>
      </c>
      <c r="J19" s="4" t="s">
        <v>47</v>
      </c>
      <c r="K19" s="4" t="s">
        <v>48</v>
      </c>
      <c r="L19" s="3">
        <v>45931</v>
      </c>
      <c r="M19" s="4" t="s">
        <v>67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121</v>
      </c>
      <c r="U19" s="4" t="s">
        <v>46</v>
      </c>
      <c r="V19" s="5">
        <v>0.25</v>
      </c>
      <c r="W19" s="5">
        <v>0</v>
      </c>
      <c r="X19" s="5">
        <v>100</v>
      </c>
      <c r="Y19" s="5">
        <v>13.75</v>
      </c>
      <c r="Z19" s="4" t="s">
        <v>46</v>
      </c>
      <c r="AA19" s="5" t="s">
        <v>46</v>
      </c>
      <c r="AB19" s="4" t="s">
        <v>56</v>
      </c>
      <c r="AC19" s="4" t="s">
        <v>46</v>
      </c>
      <c r="AD19" s="5">
        <v>0</v>
      </c>
      <c r="AE19" s="4" t="s">
        <v>57</v>
      </c>
      <c r="AF19" s="3">
        <v>45931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122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45924</v>
      </c>
      <c r="C20" s="4" t="s">
        <v>123</v>
      </c>
      <c r="D20" s="2">
        <v>1509744</v>
      </c>
      <c r="E20" s="4" t="s">
        <v>124</v>
      </c>
      <c r="F20" s="4" t="s">
        <v>125</v>
      </c>
      <c r="G20" s="4" t="s">
        <v>46</v>
      </c>
      <c r="H20" s="4" t="s">
        <v>46</v>
      </c>
      <c r="I20" s="4" t="s">
        <v>46</v>
      </c>
      <c r="J20" s="4" t="s">
        <v>126</v>
      </c>
      <c r="K20" s="4" t="s">
        <v>48</v>
      </c>
      <c r="L20" s="3">
        <v>45931</v>
      </c>
      <c r="M20" s="4" t="s">
        <v>67</v>
      </c>
      <c r="N20" s="4" t="s">
        <v>46</v>
      </c>
      <c r="O20" s="4" t="s">
        <v>50</v>
      </c>
      <c r="P20" s="4" t="s">
        <v>127</v>
      </c>
      <c r="Q20" s="2">
        <v>1</v>
      </c>
      <c r="R20" s="2">
        <v>17</v>
      </c>
      <c r="S20" s="4" t="s">
        <v>51</v>
      </c>
      <c r="T20" s="4" t="s">
        <v>46</v>
      </c>
      <c r="U20" s="4" t="s">
        <v>46</v>
      </c>
      <c r="V20" s="5">
        <v>22</v>
      </c>
      <c r="W20" s="5">
        <v>1651.32</v>
      </c>
      <c r="X20" s="5">
        <v>100</v>
      </c>
      <c r="Y20" s="5">
        <v>363.24</v>
      </c>
      <c r="Z20" s="5">
        <v>0</v>
      </c>
      <c r="AA20" s="5">
        <v>0</v>
      </c>
      <c r="AB20" s="4" t="s">
        <v>128</v>
      </c>
      <c r="AC20" s="4" t="s">
        <v>46</v>
      </c>
      <c r="AD20" s="5">
        <v>0</v>
      </c>
      <c r="AE20" s="4" t="s">
        <v>129</v>
      </c>
      <c r="AF20" s="3">
        <v>45931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45924</v>
      </c>
      <c r="C21" s="4" t="s">
        <v>130</v>
      </c>
      <c r="D21" s="2">
        <v>1673763</v>
      </c>
      <c r="E21" s="4" t="s">
        <v>131</v>
      </c>
      <c r="F21" s="4" t="s">
        <v>132</v>
      </c>
      <c r="G21" s="4" t="s">
        <v>46</v>
      </c>
      <c r="H21" s="4" t="s">
        <v>46</v>
      </c>
      <c r="I21" s="4" t="s">
        <v>46</v>
      </c>
      <c r="J21" s="4" t="s">
        <v>126</v>
      </c>
      <c r="K21" s="4" t="s">
        <v>48</v>
      </c>
      <c r="L21" s="3">
        <v>45931</v>
      </c>
      <c r="M21" s="4" t="s">
        <v>67</v>
      </c>
      <c r="N21" s="4" t="s">
        <v>46</v>
      </c>
      <c r="O21" s="4" t="s">
        <v>127</v>
      </c>
      <c r="P21" s="4" t="s">
        <v>127</v>
      </c>
      <c r="Q21" s="2">
        <v>1</v>
      </c>
      <c r="R21" s="2">
        <v>17</v>
      </c>
      <c r="S21" s="4" t="s">
        <v>51</v>
      </c>
      <c r="T21" s="4" t="s">
        <v>46</v>
      </c>
      <c r="U21" s="4" t="s">
        <v>46</v>
      </c>
      <c r="V21" s="5">
        <v>26</v>
      </c>
      <c r="W21" s="5">
        <v>307</v>
      </c>
      <c r="X21" s="5">
        <v>100</v>
      </c>
      <c r="Y21" s="5">
        <v>79.819999999999993</v>
      </c>
      <c r="Z21" s="5">
        <v>0</v>
      </c>
      <c r="AA21" s="5">
        <v>0</v>
      </c>
      <c r="AB21" s="4" t="s">
        <v>133</v>
      </c>
      <c r="AC21" s="4" t="s">
        <v>46</v>
      </c>
      <c r="AD21" s="5">
        <v>0</v>
      </c>
      <c r="AE21" s="4" t="s">
        <v>134</v>
      </c>
      <c r="AF21" s="3">
        <v>45292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45924</v>
      </c>
      <c r="C22" s="4" t="s">
        <v>130</v>
      </c>
      <c r="D22" s="2">
        <v>1673763</v>
      </c>
      <c r="E22" s="4" t="s">
        <v>135</v>
      </c>
      <c r="F22" s="4" t="s">
        <v>136</v>
      </c>
      <c r="G22" s="4" t="s">
        <v>46</v>
      </c>
      <c r="H22" s="4" t="s">
        <v>46</v>
      </c>
      <c r="I22" s="4" t="s">
        <v>46</v>
      </c>
      <c r="J22" s="4" t="s">
        <v>126</v>
      </c>
      <c r="K22" s="4" t="s">
        <v>48</v>
      </c>
      <c r="L22" s="3">
        <v>45931</v>
      </c>
      <c r="M22" s="4" t="s">
        <v>67</v>
      </c>
      <c r="N22" s="4" t="s">
        <v>46</v>
      </c>
      <c r="O22" s="4" t="s">
        <v>127</v>
      </c>
      <c r="P22" s="4" t="s">
        <v>127</v>
      </c>
      <c r="Q22" s="2">
        <v>1</v>
      </c>
      <c r="R22" s="2">
        <v>17</v>
      </c>
      <c r="S22" s="4" t="s">
        <v>51</v>
      </c>
      <c r="T22" s="4" t="s">
        <v>46</v>
      </c>
      <c r="U22" s="4" t="s">
        <v>46</v>
      </c>
      <c r="V22" s="5">
        <v>22</v>
      </c>
      <c r="W22" s="5">
        <v>110.73</v>
      </c>
      <c r="X22" s="5">
        <v>100</v>
      </c>
      <c r="Y22" s="5">
        <v>24.36</v>
      </c>
      <c r="Z22" s="5">
        <v>0</v>
      </c>
      <c r="AA22" s="5">
        <v>0</v>
      </c>
      <c r="AB22" s="4" t="s">
        <v>133</v>
      </c>
      <c r="AC22" s="4" t="s">
        <v>46</v>
      </c>
      <c r="AD22" s="5">
        <v>0</v>
      </c>
      <c r="AE22" s="4" t="s">
        <v>134</v>
      </c>
      <c r="AF22" s="3">
        <v>45444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45924</v>
      </c>
      <c r="C23" s="4" t="s">
        <v>130</v>
      </c>
      <c r="D23" s="2">
        <v>1673763</v>
      </c>
      <c r="E23" s="4" t="s">
        <v>137</v>
      </c>
      <c r="F23" s="4" t="s">
        <v>138</v>
      </c>
      <c r="G23" s="4" t="s">
        <v>46</v>
      </c>
      <c r="H23" s="4" t="s">
        <v>46</v>
      </c>
      <c r="I23" s="4" t="s">
        <v>46</v>
      </c>
      <c r="J23" s="4" t="s">
        <v>126</v>
      </c>
      <c r="K23" s="4" t="s">
        <v>48</v>
      </c>
      <c r="L23" s="3">
        <v>45931</v>
      </c>
      <c r="M23" s="4" t="s">
        <v>67</v>
      </c>
      <c r="N23" s="4" t="s">
        <v>46</v>
      </c>
      <c r="O23" s="4" t="s">
        <v>127</v>
      </c>
      <c r="P23" s="4" t="s">
        <v>127</v>
      </c>
      <c r="Q23" s="2">
        <v>1</v>
      </c>
      <c r="R23" s="2">
        <v>17</v>
      </c>
      <c r="S23" s="4" t="s">
        <v>51</v>
      </c>
      <c r="T23" s="4" t="s">
        <v>46</v>
      </c>
      <c r="U23" s="4" t="s">
        <v>46</v>
      </c>
      <c r="V23" s="5">
        <v>22</v>
      </c>
      <c r="W23" s="5">
        <v>138.55000000000001</v>
      </c>
      <c r="X23" s="5">
        <v>100</v>
      </c>
      <c r="Y23" s="5">
        <v>30.48</v>
      </c>
      <c r="Z23" s="5">
        <v>0</v>
      </c>
      <c r="AA23" s="5">
        <v>0</v>
      </c>
      <c r="AB23" s="4" t="s">
        <v>133</v>
      </c>
      <c r="AC23" s="4" t="s">
        <v>46</v>
      </c>
      <c r="AD23" s="5">
        <v>0</v>
      </c>
      <c r="AE23" s="4" t="s">
        <v>134</v>
      </c>
      <c r="AF23" s="3">
        <v>45566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45924</v>
      </c>
      <c r="C24" s="4" t="s">
        <v>96</v>
      </c>
      <c r="D24" s="2">
        <v>1737425</v>
      </c>
      <c r="E24" s="4" t="s">
        <v>139</v>
      </c>
      <c r="F24" s="4" t="s">
        <v>140</v>
      </c>
      <c r="G24" s="4" t="s">
        <v>46</v>
      </c>
      <c r="H24" s="4" t="s">
        <v>46</v>
      </c>
      <c r="I24" s="4" t="s">
        <v>46</v>
      </c>
      <c r="J24" s="4" t="s">
        <v>141</v>
      </c>
      <c r="K24" s="4" t="s">
        <v>142</v>
      </c>
      <c r="L24" s="3">
        <v>45962</v>
      </c>
      <c r="M24" s="4" t="s">
        <v>105</v>
      </c>
      <c r="N24" s="4" t="s">
        <v>46</v>
      </c>
      <c r="O24" s="4" t="s">
        <v>50</v>
      </c>
      <c r="P24" s="4" t="s">
        <v>127</v>
      </c>
      <c r="Q24" s="2">
        <v>1</v>
      </c>
      <c r="R24" s="2">
        <v>60</v>
      </c>
      <c r="S24" s="4" t="s">
        <v>143</v>
      </c>
      <c r="T24" s="4" t="s">
        <v>46</v>
      </c>
      <c r="U24" s="4" t="s">
        <v>46</v>
      </c>
      <c r="V24" s="5">
        <v>10</v>
      </c>
      <c r="W24" s="5">
        <v>12.24</v>
      </c>
      <c r="X24" s="5">
        <v>100</v>
      </c>
      <c r="Y24" s="5">
        <v>36.22</v>
      </c>
      <c r="Z24" s="4" t="s">
        <v>46</v>
      </c>
      <c r="AA24" s="5" t="s">
        <v>46</v>
      </c>
      <c r="AB24" s="4" t="s">
        <v>144</v>
      </c>
      <c r="AC24" s="4" t="s">
        <v>46</v>
      </c>
      <c r="AD24" s="5">
        <v>0</v>
      </c>
      <c r="AE24" s="4" t="s">
        <v>145</v>
      </c>
      <c r="AF24" s="3">
        <v>45962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45924</v>
      </c>
      <c r="C25" s="4" t="s">
        <v>146</v>
      </c>
      <c r="D25" s="2">
        <v>1775329</v>
      </c>
      <c r="E25" s="4" t="s">
        <v>147</v>
      </c>
      <c r="F25" s="4" t="s">
        <v>148</v>
      </c>
      <c r="G25" s="4" t="s">
        <v>46</v>
      </c>
      <c r="H25" s="4" t="s">
        <v>46</v>
      </c>
      <c r="I25" s="4" t="s">
        <v>46</v>
      </c>
      <c r="J25" s="4" t="s">
        <v>126</v>
      </c>
      <c r="K25" s="4" t="s">
        <v>48</v>
      </c>
      <c r="L25" s="3">
        <v>45901</v>
      </c>
      <c r="M25" s="4" t="s">
        <v>149</v>
      </c>
      <c r="N25" s="4" t="s">
        <v>46</v>
      </c>
      <c r="O25" s="4" t="s">
        <v>50</v>
      </c>
      <c r="P25" s="4" t="s">
        <v>127</v>
      </c>
      <c r="Q25" s="2">
        <v>1</v>
      </c>
      <c r="R25" s="2">
        <v>17</v>
      </c>
      <c r="S25" s="4" t="s">
        <v>51</v>
      </c>
      <c r="T25" s="4" t="s">
        <v>46</v>
      </c>
      <c r="U25" s="4" t="s">
        <v>46</v>
      </c>
      <c r="V25" s="5">
        <v>3</v>
      </c>
      <c r="W25" s="5">
        <v>1822.08</v>
      </c>
      <c r="X25" s="5">
        <v>100</v>
      </c>
      <c r="Y25" s="5">
        <v>54.72</v>
      </c>
      <c r="Z25" s="5">
        <v>0</v>
      </c>
      <c r="AA25" s="5">
        <v>0</v>
      </c>
      <c r="AB25" s="4" t="s">
        <v>128</v>
      </c>
      <c r="AC25" s="4" t="s">
        <v>46</v>
      </c>
      <c r="AD25" s="5">
        <v>0</v>
      </c>
      <c r="AE25" s="4" t="s">
        <v>129</v>
      </c>
      <c r="AF25" s="3">
        <v>45901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7E4E-D371-480A-9B2E-7298238E87F2}">
  <dimension ref="A1:U25"/>
  <sheetViews>
    <sheetView tabSelected="1" topLeftCell="F1" workbookViewId="0">
      <selection activeCell="O2" sqref="O2:O24"/>
    </sheetView>
  </sheetViews>
  <sheetFormatPr defaultRowHeight="12.75" x14ac:dyDescent="0.2"/>
  <cols>
    <col min="1" max="1" width="24.7109375" bestFit="1" customWidth="1"/>
    <col min="2" max="2" width="15.140625" customWidth="1"/>
    <col min="3" max="3" width="28.5703125" bestFit="1" customWidth="1"/>
    <col min="4" max="4" width="13.28515625" bestFit="1" customWidth="1"/>
    <col min="5" max="6" width="11.42578125" bestFit="1" customWidth="1"/>
    <col min="7" max="7" width="15.28515625" bestFit="1" customWidth="1"/>
    <col min="8" max="8" width="7.42578125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11.42578125" bestFit="1" customWidth="1"/>
    <col min="13" max="13" width="13.7109375" bestFit="1" customWidth="1"/>
    <col min="14" max="14" width="53.140625" bestFit="1" customWidth="1"/>
    <col min="15" max="15" width="22.5703125" bestFit="1" customWidth="1"/>
    <col min="17" max="17" width="13.42578125" bestFit="1" customWidth="1"/>
    <col min="18" max="18" width="14.42578125" bestFit="1" customWidth="1"/>
    <col min="19" max="19" width="22.5703125" bestFit="1" customWidth="1"/>
    <col min="20" max="20" width="12.7109375" bestFit="1" customWidth="1"/>
    <col min="21" max="21" width="18.85546875" bestFit="1" customWidth="1"/>
  </cols>
  <sheetData>
    <row r="1" spans="1:2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1" x14ac:dyDescent="0.2">
      <c r="A2" s="4" t="s">
        <v>123</v>
      </c>
      <c r="B2" s="2">
        <v>8244481</v>
      </c>
      <c r="C2" s="4" t="s">
        <v>124</v>
      </c>
      <c r="D2" s="4" t="s">
        <v>125</v>
      </c>
      <c r="E2" s="3">
        <v>45931</v>
      </c>
      <c r="F2" s="4" t="s">
        <v>67</v>
      </c>
      <c r="G2" s="4" t="s">
        <v>51</v>
      </c>
      <c r="H2" s="4" t="s">
        <v>46</v>
      </c>
      <c r="I2" s="5">
        <v>22</v>
      </c>
      <c r="J2" s="5">
        <v>1651.32</v>
      </c>
      <c r="K2" s="5">
        <v>363.24</v>
      </c>
      <c r="L2" s="4" t="s">
        <v>128</v>
      </c>
      <c r="M2" s="3">
        <v>45931</v>
      </c>
      <c r="N2" t="s">
        <v>150</v>
      </c>
      <c r="Q2" s="4" t="s">
        <v>125</v>
      </c>
      <c r="R2" t="str">
        <f>CONCATENATE(Q2,8)</f>
        <v>00001035274A8</v>
      </c>
      <c r="S2" s="4" t="s">
        <v>189</v>
      </c>
      <c r="T2" t="s">
        <v>190</v>
      </c>
      <c r="U2" t="str">
        <f>CONCATENATE(T2, " ",S2)</f>
        <v>JENNIFER BUCK</v>
      </c>
    </row>
    <row r="3" spans="1:21" x14ac:dyDescent="0.2">
      <c r="A3" s="4" t="s">
        <v>130</v>
      </c>
      <c r="B3" s="2">
        <v>17528908</v>
      </c>
      <c r="C3" s="4" t="s">
        <v>135</v>
      </c>
      <c r="D3" s="4" t="s">
        <v>136</v>
      </c>
      <c r="E3" s="3">
        <v>45931</v>
      </c>
      <c r="F3" s="4" t="s">
        <v>67</v>
      </c>
      <c r="G3" s="4" t="s">
        <v>51</v>
      </c>
      <c r="H3" s="4" t="s">
        <v>46</v>
      </c>
      <c r="I3" s="5">
        <v>22</v>
      </c>
      <c r="J3" s="5">
        <v>110.73</v>
      </c>
      <c r="K3" s="5">
        <v>24.36</v>
      </c>
      <c r="L3" s="4" t="s">
        <v>133</v>
      </c>
      <c r="M3" s="3">
        <v>45444</v>
      </c>
      <c r="N3" t="s">
        <v>150</v>
      </c>
      <c r="Q3" s="4" t="s">
        <v>136</v>
      </c>
      <c r="R3" t="str">
        <f>CONCATENATE(Q3,8)</f>
        <v>00000828881A8</v>
      </c>
      <c r="S3" s="4" t="s">
        <v>193</v>
      </c>
      <c r="T3" t="s">
        <v>194</v>
      </c>
      <c r="U3" t="str">
        <f>CONCATENATE(T3, " ",S3)</f>
        <v>KAREN CARDOSI</v>
      </c>
    </row>
    <row r="4" spans="1:21" x14ac:dyDescent="0.2">
      <c r="A4" s="4" t="s">
        <v>130</v>
      </c>
      <c r="B4" s="2">
        <v>17528908</v>
      </c>
      <c r="C4" s="4" t="s">
        <v>137</v>
      </c>
      <c r="D4" s="4" t="s">
        <v>138</v>
      </c>
      <c r="E4" s="3">
        <v>45931</v>
      </c>
      <c r="F4" s="4" t="s">
        <v>67</v>
      </c>
      <c r="G4" s="4" t="s">
        <v>51</v>
      </c>
      <c r="H4" s="4" t="s">
        <v>46</v>
      </c>
      <c r="I4" s="5">
        <v>22</v>
      </c>
      <c r="J4" s="5">
        <v>138.55000000000001</v>
      </c>
      <c r="K4" s="5">
        <v>30.48</v>
      </c>
      <c r="L4" s="4" t="s">
        <v>133</v>
      </c>
      <c r="M4" s="3">
        <v>45566</v>
      </c>
      <c r="N4" t="s">
        <v>150</v>
      </c>
      <c r="Q4" s="4" t="s">
        <v>138</v>
      </c>
      <c r="R4" t="str">
        <f>CONCATENATE(Q4,8)</f>
        <v>00000871454A8</v>
      </c>
      <c r="S4" s="4" t="s">
        <v>195</v>
      </c>
      <c r="T4" t="s">
        <v>196</v>
      </c>
      <c r="U4" t="str">
        <f>CONCATENATE(T4, " ",S4)</f>
        <v>TIMMY BRACE</v>
      </c>
    </row>
    <row r="5" spans="1:21" x14ac:dyDescent="0.2">
      <c r="A5" s="4" t="s">
        <v>146</v>
      </c>
      <c r="B5" s="2">
        <v>5442438</v>
      </c>
      <c r="C5" s="4" t="s">
        <v>147</v>
      </c>
      <c r="D5" s="4" t="s">
        <v>148</v>
      </c>
      <c r="E5" s="3">
        <v>45901</v>
      </c>
      <c r="F5" s="4" t="s">
        <v>149</v>
      </c>
      <c r="G5" s="4" t="s">
        <v>51</v>
      </c>
      <c r="H5" s="4" t="s">
        <v>46</v>
      </c>
      <c r="I5" s="5">
        <v>3</v>
      </c>
      <c r="J5" s="5">
        <v>1822.08</v>
      </c>
      <c r="K5" s="5">
        <v>54.72</v>
      </c>
      <c r="L5" s="4" t="s">
        <v>128</v>
      </c>
      <c r="M5" s="3">
        <v>45901</v>
      </c>
      <c r="N5" t="s">
        <v>152</v>
      </c>
      <c r="Q5" s="4" t="s">
        <v>148</v>
      </c>
      <c r="R5" t="str">
        <f>CONCATENATE(Q5,8)</f>
        <v>00001048833A8</v>
      </c>
      <c r="S5" s="4" t="s">
        <v>199</v>
      </c>
      <c r="T5" t="s">
        <v>200</v>
      </c>
      <c r="U5" t="str">
        <f>CONCATENATE(T5, " ",S5)</f>
        <v>DIANNALYNN SAUFLEY</v>
      </c>
    </row>
    <row r="6" spans="1:21" x14ac:dyDescent="0.2">
      <c r="A6" s="4" t="s">
        <v>130</v>
      </c>
      <c r="B6" s="2">
        <v>17528908</v>
      </c>
      <c r="C6" s="4" t="s">
        <v>131</v>
      </c>
      <c r="D6" s="4" t="s">
        <v>132</v>
      </c>
      <c r="E6" s="3">
        <v>45931</v>
      </c>
      <c r="F6" s="4" t="s">
        <v>67</v>
      </c>
      <c r="G6" s="4" t="s">
        <v>51</v>
      </c>
      <c r="H6" s="4" t="s">
        <v>46</v>
      </c>
      <c r="I6" s="5">
        <v>26</v>
      </c>
      <c r="J6" s="5">
        <v>307</v>
      </c>
      <c r="K6" s="5">
        <v>79.819999999999993</v>
      </c>
      <c r="L6" s="4" t="s">
        <v>133</v>
      </c>
      <c r="M6" s="3">
        <v>45292</v>
      </c>
      <c r="N6" t="s">
        <v>151</v>
      </c>
      <c r="Q6" s="4" t="s">
        <v>132</v>
      </c>
      <c r="R6" t="str">
        <f>CONCATENATE(Q6,8)</f>
        <v>00000789641A8</v>
      </c>
      <c r="S6" s="4" t="s">
        <v>191</v>
      </c>
      <c r="T6" t="s">
        <v>192</v>
      </c>
      <c r="U6" t="str">
        <f>CONCATENATE(T6, " ",S6)</f>
        <v>DAVID SCHUBERT</v>
      </c>
    </row>
    <row r="7" spans="1:21" x14ac:dyDescent="0.2">
      <c r="A7" s="4" t="s">
        <v>96</v>
      </c>
      <c r="B7" s="2">
        <v>17554531</v>
      </c>
      <c r="C7" s="4" t="s">
        <v>139</v>
      </c>
      <c r="D7" s="4" t="s">
        <v>140</v>
      </c>
      <c r="E7" s="3">
        <v>45962</v>
      </c>
      <c r="F7" s="4" t="s">
        <v>105</v>
      </c>
      <c r="G7" s="4" t="s">
        <v>143</v>
      </c>
      <c r="H7" s="4" t="s">
        <v>46</v>
      </c>
      <c r="I7" s="5">
        <v>10</v>
      </c>
      <c r="J7" s="5">
        <v>362.2</v>
      </c>
      <c r="K7" s="5">
        <v>36.22</v>
      </c>
      <c r="L7" s="4" t="s">
        <v>144</v>
      </c>
      <c r="M7" s="3">
        <v>45962</v>
      </c>
      <c r="N7" t="s">
        <v>153</v>
      </c>
      <c r="Q7" s="4" t="s">
        <v>140</v>
      </c>
      <c r="R7" t="str">
        <f>CONCATENATE(Q7,4)</f>
        <v>90311777704</v>
      </c>
      <c r="S7" s="4" t="s">
        <v>197</v>
      </c>
      <c r="T7" t="s">
        <v>198</v>
      </c>
      <c r="U7" t="str">
        <f>CONCATENATE(T7, " ",S7)</f>
        <v>Karen Sands</v>
      </c>
    </row>
    <row r="8" spans="1:21" x14ac:dyDescent="0.2">
      <c r="A8" s="4" t="s">
        <v>101</v>
      </c>
      <c r="B8" s="2">
        <v>19396223</v>
      </c>
      <c r="C8" s="4" t="s">
        <v>102</v>
      </c>
      <c r="D8" s="4" t="s">
        <v>103</v>
      </c>
      <c r="E8" s="3">
        <v>45962</v>
      </c>
      <c r="F8" s="4" t="s">
        <v>105</v>
      </c>
      <c r="G8" s="4" t="s">
        <v>51</v>
      </c>
      <c r="H8" s="4" t="s">
        <v>52</v>
      </c>
      <c r="I8" s="5">
        <v>0.17</v>
      </c>
      <c r="J8" s="5">
        <v>1</v>
      </c>
      <c r="K8" s="5">
        <v>52.17</v>
      </c>
      <c r="L8" s="4" t="s">
        <v>56</v>
      </c>
      <c r="M8" s="3">
        <v>45962</v>
      </c>
      <c r="N8" t="s">
        <v>155</v>
      </c>
      <c r="O8" s="6" t="s">
        <v>160</v>
      </c>
      <c r="Q8" s="4" t="s">
        <v>103</v>
      </c>
      <c r="R8" t="str">
        <f>CONCATENATE(Q8,6)</f>
        <v>00023655018K6</v>
      </c>
      <c r="S8" s="4" t="s">
        <v>171</v>
      </c>
      <c r="T8" t="s">
        <v>172</v>
      </c>
      <c r="U8" t="str">
        <f>CONCATENATE(T8, " ",S8)</f>
        <v>ROGER POLONSKY</v>
      </c>
    </row>
    <row r="9" spans="1:21" x14ac:dyDescent="0.2">
      <c r="A9" s="4" t="s">
        <v>113</v>
      </c>
      <c r="B9" s="2">
        <v>18828278</v>
      </c>
      <c r="C9" s="4" t="s">
        <v>114</v>
      </c>
      <c r="D9" s="4" t="s">
        <v>115</v>
      </c>
      <c r="E9" s="3">
        <v>45658</v>
      </c>
      <c r="F9" s="4" t="s">
        <v>62</v>
      </c>
      <c r="G9" s="4" t="s">
        <v>51</v>
      </c>
      <c r="H9" s="4" t="s">
        <v>52</v>
      </c>
      <c r="I9" s="5">
        <v>-0.25</v>
      </c>
      <c r="J9" s="5">
        <v>-1</v>
      </c>
      <c r="K9" s="5">
        <v>-78.25</v>
      </c>
      <c r="L9" s="4" t="s">
        <v>56</v>
      </c>
      <c r="M9" s="3">
        <v>45658</v>
      </c>
      <c r="N9" t="s">
        <v>155</v>
      </c>
      <c r="O9" s="6" t="s">
        <v>158</v>
      </c>
      <c r="Q9" s="4" t="s">
        <v>115</v>
      </c>
      <c r="R9" t="str">
        <f>CONCATENATE(Q9,6)</f>
        <v>00008668104K6</v>
      </c>
      <c r="S9" s="4" t="s">
        <v>165</v>
      </c>
      <c r="T9" t="s">
        <v>166</v>
      </c>
      <c r="U9" t="str">
        <f>CONCATENATE(T9, " ",S9)</f>
        <v>ROBERT NEHRT</v>
      </c>
    </row>
    <row r="10" spans="1:21" x14ac:dyDescent="0.2">
      <c r="A10" s="4" t="s">
        <v>78</v>
      </c>
      <c r="B10" s="2">
        <v>17425766</v>
      </c>
      <c r="C10" s="4" t="s">
        <v>79</v>
      </c>
      <c r="D10" s="4" t="s">
        <v>80</v>
      </c>
      <c r="E10" s="3">
        <v>45931</v>
      </c>
      <c r="F10" s="4" t="s">
        <v>67</v>
      </c>
      <c r="G10" s="4" t="s">
        <v>51</v>
      </c>
      <c r="H10" s="4" t="s">
        <v>52</v>
      </c>
      <c r="I10" s="5">
        <v>0.25</v>
      </c>
      <c r="J10" s="5">
        <v>1</v>
      </c>
      <c r="K10" s="5">
        <v>78.25</v>
      </c>
      <c r="L10" s="4" t="s">
        <v>56</v>
      </c>
      <c r="M10" s="3">
        <v>45931</v>
      </c>
      <c r="N10" t="s">
        <v>155</v>
      </c>
      <c r="O10" s="6" t="s">
        <v>158</v>
      </c>
      <c r="Q10" s="4" t="s">
        <v>80</v>
      </c>
      <c r="R10" t="str">
        <f>CONCATENATE(Q10,6)</f>
        <v>00023641247K6</v>
      </c>
      <c r="S10" s="4" t="s">
        <v>179</v>
      </c>
      <c r="T10" t="s">
        <v>180</v>
      </c>
      <c r="U10" t="str">
        <f>CONCATENATE(T10, " ",S10)</f>
        <v>CARLETT OWENS</v>
      </c>
    </row>
    <row r="11" spans="1:21" x14ac:dyDescent="0.2">
      <c r="A11" s="4" t="s">
        <v>78</v>
      </c>
      <c r="B11" s="2">
        <v>17425766</v>
      </c>
      <c r="C11" s="4" t="s">
        <v>82</v>
      </c>
      <c r="D11" s="4" t="s">
        <v>83</v>
      </c>
      <c r="E11" s="3">
        <v>45931</v>
      </c>
      <c r="F11" s="4" t="s">
        <v>67</v>
      </c>
      <c r="G11" s="4" t="s">
        <v>51</v>
      </c>
      <c r="H11" s="4" t="s">
        <v>72</v>
      </c>
      <c r="I11" s="5">
        <v>0.25</v>
      </c>
      <c r="J11" s="5">
        <v>1</v>
      </c>
      <c r="K11" s="5">
        <v>78.25</v>
      </c>
      <c r="L11" s="4" t="s">
        <v>56</v>
      </c>
      <c r="M11" s="3">
        <v>45931</v>
      </c>
      <c r="N11" t="s">
        <v>155</v>
      </c>
      <c r="O11" s="6" t="s">
        <v>158</v>
      </c>
      <c r="Q11" s="4" t="s">
        <v>83</v>
      </c>
      <c r="R11" t="str">
        <f>CONCATENATE(Q11,6)</f>
        <v>00023678785K6</v>
      </c>
      <c r="S11" s="4" t="s">
        <v>181</v>
      </c>
      <c r="T11" t="s">
        <v>182</v>
      </c>
      <c r="U11" t="str">
        <f>CONCATENATE(T11, " ",S11)</f>
        <v>MICHAEL KATZ</v>
      </c>
    </row>
    <row r="12" spans="1:21" x14ac:dyDescent="0.2">
      <c r="A12" s="4" t="s">
        <v>74</v>
      </c>
      <c r="B12" s="2">
        <v>17094718</v>
      </c>
      <c r="C12" s="4" t="s">
        <v>75</v>
      </c>
      <c r="D12" s="4" t="s">
        <v>76</v>
      </c>
      <c r="E12" s="3">
        <v>45778</v>
      </c>
      <c r="F12" s="4" t="s">
        <v>49</v>
      </c>
      <c r="G12" s="4" t="s">
        <v>51</v>
      </c>
      <c r="H12" s="4" t="s">
        <v>52</v>
      </c>
      <c r="I12" s="5">
        <v>0</v>
      </c>
      <c r="J12" s="5">
        <v>-1</v>
      </c>
      <c r="K12" s="5">
        <v>-286.92</v>
      </c>
      <c r="L12" s="4" t="s">
        <v>53</v>
      </c>
      <c r="M12" s="3">
        <v>45778</v>
      </c>
      <c r="N12" t="s">
        <v>155</v>
      </c>
      <c r="O12" s="6" t="s">
        <v>156</v>
      </c>
      <c r="P12">
        <f>313/12*11</f>
        <v>286.91666666666663</v>
      </c>
      <c r="Q12" s="4" t="s">
        <v>76</v>
      </c>
      <c r="R12" t="str">
        <f>CONCATENATE(Q12,6)</f>
        <v>00023286702K6</v>
      </c>
      <c r="S12" s="4" t="s">
        <v>161</v>
      </c>
      <c r="T12" t="s">
        <v>162</v>
      </c>
      <c r="U12" t="str">
        <f>CONCATENATE(T12, " ",S12)</f>
        <v>MITCHELL WIGGINS</v>
      </c>
    </row>
    <row r="13" spans="1:21" x14ac:dyDescent="0.2">
      <c r="A13" s="4" t="s">
        <v>74</v>
      </c>
      <c r="B13" s="2">
        <v>17094718</v>
      </c>
      <c r="C13" s="4" t="s">
        <v>75</v>
      </c>
      <c r="D13" s="4" t="s">
        <v>76</v>
      </c>
      <c r="E13" s="3">
        <v>45778</v>
      </c>
      <c r="F13" s="4" t="s">
        <v>49</v>
      </c>
      <c r="G13" s="4" t="s">
        <v>51</v>
      </c>
      <c r="H13" s="4" t="s">
        <v>52</v>
      </c>
      <c r="I13" s="5">
        <v>-0.25</v>
      </c>
      <c r="J13" s="5">
        <v>-1</v>
      </c>
      <c r="K13" s="5">
        <v>-78.25</v>
      </c>
      <c r="L13" s="4" t="s">
        <v>56</v>
      </c>
      <c r="M13" s="3">
        <v>45778</v>
      </c>
      <c r="N13" t="s">
        <v>155</v>
      </c>
      <c r="O13" s="6" t="s">
        <v>158</v>
      </c>
      <c r="P13">
        <f>313/12*3</f>
        <v>78.25</v>
      </c>
      <c r="Q13" s="4" t="s">
        <v>76</v>
      </c>
      <c r="R13" t="str">
        <f>CONCATENATE(Q13,6)</f>
        <v>00023286702K6</v>
      </c>
      <c r="S13" s="4" t="s">
        <v>161</v>
      </c>
      <c r="T13" t="s">
        <v>162</v>
      </c>
      <c r="U13" t="str">
        <f>CONCATENATE(T13, " ",S13)</f>
        <v>MITCHELL WIGGINS</v>
      </c>
    </row>
    <row r="14" spans="1:21" x14ac:dyDescent="0.2">
      <c r="A14" s="4" t="s">
        <v>58</v>
      </c>
      <c r="B14" s="2">
        <v>15278437</v>
      </c>
      <c r="C14" s="4" t="s">
        <v>59</v>
      </c>
      <c r="D14" s="4" t="s">
        <v>60</v>
      </c>
      <c r="E14" s="3">
        <v>45658</v>
      </c>
      <c r="F14" s="4" t="s">
        <v>62</v>
      </c>
      <c r="G14" s="4" t="s">
        <v>51</v>
      </c>
      <c r="H14" s="4" t="s">
        <v>52</v>
      </c>
      <c r="I14" s="5">
        <v>0.25</v>
      </c>
      <c r="J14" s="5">
        <v>1</v>
      </c>
      <c r="K14" s="5">
        <v>78.25</v>
      </c>
      <c r="L14" s="4" t="s">
        <v>56</v>
      </c>
      <c r="M14" s="3">
        <v>45658</v>
      </c>
      <c r="N14" t="s">
        <v>155</v>
      </c>
      <c r="O14" s="6" t="s">
        <v>158</v>
      </c>
      <c r="Q14" s="4" t="s">
        <v>60</v>
      </c>
      <c r="R14" t="str">
        <f>CONCATENATE(Q14,6)</f>
        <v>00018927296K6</v>
      </c>
      <c r="S14" s="4" t="s">
        <v>173</v>
      </c>
      <c r="T14" t="s">
        <v>174</v>
      </c>
      <c r="U14" t="str">
        <f>CONCATENATE(T14, " ",S14)</f>
        <v>VALERIE MILLER</v>
      </c>
    </row>
    <row r="15" spans="1:21" x14ac:dyDescent="0.2">
      <c r="A15" s="4" t="s">
        <v>42</v>
      </c>
      <c r="B15" s="2">
        <v>7146581</v>
      </c>
      <c r="C15" s="4" t="s">
        <v>43</v>
      </c>
      <c r="D15" s="4" t="s">
        <v>44</v>
      </c>
      <c r="E15" s="3">
        <v>45778</v>
      </c>
      <c r="F15" s="4" t="s">
        <v>49</v>
      </c>
      <c r="G15" s="4" t="s">
        <v>51</v>
      </c>
      <c r="H15" s="4" t="s">
        <v>52</v>
      </c>
      <c r="I15" s="5">
        <v>0.08</v>
      </c>
      <c r="J15" s="5">
        <v>1</v>
      </c>
      <c r="K15" s="5">
        <v>26.09</v>
      </c>
      <c r="L15" s="4" t="s">
        <v>56</v>
      </c>
      <c r="M15" s="3">
        <v>45778</v>
      </c>
      <c r="N15" t="s">
        <v>155</v>
      </c>
      <c r="O15" s="6" t="s">
        <v>159</v>
      </c>
      <c r="Q15" s="4" t="s">
        <v>44</v>
      </c>
      <c r="R15" t="str">
        <f>CONCATENATE(Q15,6)</f>
        <v>00023268932K6</v>
      </c>
      <c r="S15" s="4" t="s">
        <v>169</v>
      </c>
      <c r="T15" t="s">
        <v>170</v>
      </c>
      <c r="U15" t="str">
        <f>CONCATENATE(T15, " ",S15)</f>
        <v>PAWEL DUSZCZYK</v>
      </c>
    </row>
    <row r="16" spans="1:21" x14ac:dyDescent="0.2">
      <c r="A16" s="4" t="s">
        <v>42</v>
      </c>
      <c r="B16" s="2">
        <v>7146581</v>
      </c>
      <c r="C16" s="4" t="s">
        <v>43</v>
      </c>
      <c r="D16" s="4" t="s">
        <v>44</v>
      </c>
      <c r="E16" s="3">
        <v>45778</v>
      </c>
      <c r="F16" s="4" t="s">
        <v>49</v>
      </c>
      <c r="G16" s="4" t="s">
        <v>51</v>
      </c>
      <c r="H16" s="4" t="s">
        <v>52</v>
      </c>
      <c r="I16" s="5">
        <v>0</v>
      </c>
      <c r="J16" s="5">
        <v>1</v>
      </c>
      <c r="K16" s="5">
        <v>234.74</v>
      </c>
      <c r="L16" s="4" t="s">
        <v>53</v>
      </c>
      <c r="M16" s="3">
        <v>45778</v>
      </c>
      <c r="N16" t="s">
        <v>155</v>
      </c>
      <c r="O16" s="6" t="s">
        <v>157</v>
      </c>
      <c r="Q16" s="4" t="s">
        <v>44</v>
      </c>
      <c r="R16" t="str">
        <f>CONCATENATE(Q16,6)</f>
        <v>00023268932K6</v>
      </c>
      <c r="S16" s="4" t="s">
        <v>169</v>
      </c>
      <c r="T16" t="s">
        <v>170</v>
      </c>
      <c r="U16" t="str">
        <f>CONCATENATE(T16, " ",S16)</f>
        <v>PAWEL DUSZCZYK</v>
      </c>
    </row>
    <row r="17" spans="1:21" x14ac:dyDescent="0.2">
      <c r="A17" s="4" t="s">
        <v>96</v>
      </c>
      <c r="B17" s="2">
        <v>17554531</v>
      </c>
      <c r="C17" s="4" t="s">
        <v>97</v>
      </c>
      <c r="D17" s="4" t="s">
        <v>98</v>
      </c>
      <c r="E17" s="3">
        <v>45992</v>
      </c>
      <c r="F17" s="4" t="s">
        <v>100</v>
      </c>
      <c r="G17" s="4" t="s">
        <v>51</v>
      </c>
      <c r="H17" s="4" t="s">
        <v>52</v>
      </c>
      <c r="I17" s="5">
        <v>0.08</v>
      </c>
      <c r="J17" s="5">
        <v>1</v>
      </c>
      <c r="K17" s="5">
        <v>26.08</v>
      </c>
      <c r="L17" s="4" t="s">
        <v>56</v>
      </c>
      <c r="M17" s="3">
        <v>45992</v>
      </c>
      <c r="N17" t="s">
        <v>155</v>
      </c>
      <c r="O17" s="6" t="s">
        <v>159</v>
      </c>
      <c r="Q17" s="4" t="s">
        <v>98</v>
      </c>
      <c r="R17" t="str">
        <f>CONCATENATE(Q17,6)</f>
        <v>00023675107K6</v>
      </c>
      <c r="S17" s="4" t="s">
        <v>167</v>
      </c>
      <c r="T17" t="s">
        <v>168</v>
      </c>
      <c r="U17" t="str">
        <f>CONCATENATE(T17, " ",S17)</f>
        <v>VIRGINIA GRAYSON</v>
      </c>
    </row>
    <row r="18" spans="1:21" x14ac:dyDescent="0.2">
      <c r="A18" s="4" t="s">
        <v>87</v>
      </c>
      <c r="B18" s="2">
        <v>9213293</v>
      </c>
      <c r="C18" s="4" t="s">
        <v>88</v>
      </c>
      <c r="D18" s="4" t="s">
        <v>89</v>
      </c>
      <c r="E18" s="3">
        <v>45839</v>
      </c>
      <c r="F18" s="4" t="s">
        <v>91</v>
      </c>
      <c r="G18" s="4" t="s">
        <v>51</v>
      </c>
      <c r="H18" s="4" t="s">
        <v>72</v>
      </c>
      <c r="I18" s="5">
        <v>0</v>
      </c>
      <c r="J18" s="5">
        <v>-1</v>
      </c>
      <c r="K18" s="5">
        <v>-234.75</v>
      </c>
      <c r="L18" s="4" t="s">
        <v>53</v>
      </c>
      <c r="M18" s="3">
        <v>45839</v>
      </c>
      <c r="N18" t="s">
        <v>155</v>
      </c>
      <c r="O18" s="6" t="s">
        <v>157</v>
      </c>
      <c r="P18">
        <f>313/12*9</f>
        <v>234.75</v>
      </c>
      <c r="Q18" s="4" t="s">
        <v>89</v>
      </c>
      <c r="R18" t="str">
        <f>CONCATENATE(Q18,6)</f>
        <v>00023244763K6</v>
      </c>
      <c r="S18" s="4" t="s">
        <v>163</v>
      </c>
      <c r="T18" t="s">
        <v>164</v>
      </c>
      <c r="U18" t="str">
        <f>CONCATENATE(T18, " ",S18)</f>
        <v>MARK CARR</v>
      </c>
    </row>
    <row r="19" spans="1:21" x14ac:dyDescent="0.2">
      <c r="A19" s="4" t="s">
        <v>87</v>
      </c>
      <c r="B19" s="2">
        <v>9213293</v>
      </c>
      <c r="C19" s="4" t="s">
        <v>88</v>
      </c>
      <c r="D19" s="4" t="s">
        <v>89</v>
      </c>
      <c r="E19" s="3">
        <v>45839</v>
      </c>
      <c r="F19" s="4" t="s">
        <v>91</v>
      </c>
      <c r="G19" s="4" t="s">
        <v>51</v>
      </c>
      <c r="H19" s="4" t="s">
        <v>72</v>
      </c>
      <c r="I19" s="5">
        <v>0.25</v>
      </c>
      <c r="J19" s="5">
        <v>1</v>
      </c>
      <c r="K19" s="5">
        <v>78.25</v>
      </c>
      <c r="L19" s="4" t="s">
        <v>56</v>
      </c>
      <c r="M19" s="3">
        <v>45839</v>
      </c>
      <c r="N19" t="s">
        <v>155</v>
      </c>
      <c r="O19" s="6" t="s">
        <v>158</v>
      </c>
      <c r="Q19" s="4" t="s">
        <v>89</v>
      </c>
      <c r="R19" t="str">
        <f>CONCATENATE(Q19,6)</f>
        <v>00023244763K6</v>
      </c>
      <c r="S19" s="4" t="s">
        <v>163</v>
      </c>
      <c r="T19" t="s">
        <v>164</v>
      </c>
      <c r="U19" t="str">
        <f>CONCATENATE(T19, " ",S19)</f>
        <v>MARK CARR</v>
      </c>
    </row>
    <row r="20" spans="1:21" x14ac:dyDescent="0.2">
      <c r="A20" s="4" t="s">
        <v>87</v>
      </c>
      <c r="B20" s="2">
        <v>9213293</v>
      </c>
      <c r="C20" s="4" t="s">
        <v>93</v>
      </c>
      <c r="D20" s="4" t="s">
        <v>94</v>
      </c>
      <c r="E20" s="3">
        <v>45931</v>
      </c>
      <c r="F20" s="4" t="s">
        <v>67</v>
      </c>
      <c r="G20" s="4" t="s">
        <v>51</v>
      </c>
      <c r="H20" s="4" t="s">
        <v>72</v>
      </c>
      <c r="I20" s="5">
        <v>0.25</v>
      </c>
      <c r="J20" s="5">
        <v>1</v>
      </c>
      <c r="K20" s="5">
        <v>78.25</v>
      </c>
      <c r="L20" s="4" t="s">
        <v>56</v>
      </c>
      <c r="M20" s="3">
        <v>45931</v>
      </c>
      <c r="N20" t="s">
        <v>155</v>
      </c>
      <c r="O20" s="6" t="s">
        <v>158</v>
      </c>
      <c r="Q20" s="4" t="s">
        <v>94</v>
      </c>
      <c r="R20" t="str">
        <f>CONCATENATE(Q20,6)</f>
        <v>00023678319K6</v>
      </c>
      <c r="S20" s="4" t="s">
        <v>183</v>
      </c>
      <c r="T20" t="s">
        <v>184</v>
      </c>
      <c r="U20" t="str">
        <f>CONCATENATE(T20, " ",S20)</f>
        <v>MARIA GUZMAN</v>
      </c>
    </row>
    <row r="21" spans="1:21" x14ac:dyDescent="0.2">
      <c r="A21" s="4" t="s">
        <v>106</v>
      </c>
      <c r="B21" s="2">
        <v>19200754</v>
      </c>
      <c r="C21" s="4" t="s">
        <v>107</v>
      </c>
      <c r="D21" s="4" t="s">
        <v>108</v>
      </c>
      <c r="E21" s="3">
        <v>45931</v>
      </c>
      <c r="F21" s="4" t="s">
        <v>67</v>
      </c>
      <c r="G21" s="4" t="s">
        <v>51</v>
      </c>
      <c r="H21" s="4" t="s">
        <v>52</v>
      </c>
      <c r="I21" s="5">
        <v>0.25</v>
      </c>
      <c r="J21" s="5">
        <v>1</v>
      </c>
      <c r="K21" s="5">
        <v>78.25</v>
      </c>
      <c r="L21" s="4" t="s">
        <v>56</v>
      </c>
      <c r="M21" s="3">
        <v>45931</v>
      </c>
      <c r="N21" t="s">
        <v>155</v>
      </c>
      <c r="O21" s="6" t="s">
        <v>158</v>
      </c>
      <c r="Q21" s="4" t="s">
        <v>108</v>
      </c>
      <c r="R21" t="str">
        <f>CONCATENATE(Q21,6)</f>
        <v>00022944911K6</v>
      </c>
      <c r="S21" s="4" t="s">
        <v>185</v>
      </c>
      <c r="T21" t="s">
        <v>186</v>
      </c>
      <c r="U21" t="str">
        <f>CONCATENATE(T21, " ",S21)</f>
        <v>DIANNE SIMPSON</v>
      </c>
    </row>
    <row r="22" spans="1:21" x14ac:dyDescent="0.2">
      <c r="A22" s="4" t="s">
        <v>106</v>
      </c>
      <c r="B22" s="2">
        <v>19200754</v>
      </c>
      <c r="C22" s="4" t="s">
        <v>110</v>
      </c>
      <c r="D22" s="4" t="s">
        <v>111</v>
      </c>
      <c r="E22" s="3">
        <v>45931</v>
      </c>
      <c r="F22" s="4" t="s">
        <v>67</v>
      </c>
      <c r="G22" s="4" t="s">
        <v>51</v>
      </c>
      <c r="H22" s="4" t="s">
        <v>52</v>
      </c>
      <c r="I22" s="5">
        <v>0.25</v>
      </c>
      <c r="J22" s="5">
        <v>1</v>
      </c>
      <c r="K22" s="5">
        <v>78.25</v>
      </c>
      <c r="L22" s="4" t="s">
        <v>56</v>
      </c>
      <c r="M22" s="3">
        <v>45931</v>
      </c>
      <c r="N22" t="s">
        <v>155</v>
      </c>
      <c r="O22" s="6" t="s">
        <v>158</v>
      </c>
      <c r="Q22" s="4" t="s">
        <v>111</v>
      </c>
      <c r="R22" t="str">
        <f>CONCATENATE(Q22,6)</f>
        <v>00023657141K6</v>
      </c>
      <c r="S22" s="4" t="s">
        <v>185</v>
      </c>
      <c r="T22" t="s">
        <v>182</v>
      </c>
      <c r="U22" t="str">
        <f>CONCATENATE(T22, " ",S22)</f>
        <v>MICHAEL SIMPSON</v>
      </c>
    </row>
    <row r="23" spans="1:21" x14ac:dyDescent="0.2">
      <c r="A23" s="4" t="s">
        <v>63</v>
      </c>
      <c r="B23" s="2">
        <v>8325282</v>
      </c>
      <c r="C23" s="4" t="s">
        <v>64</v>
      </c>
      <c r="D23" s="4" t="s">
        <v>65</v>
      </c>
      <c r="E23" s="3">
        <v>45931</v>
      </c>
      <c r="F23" s="4" t="s">
        <v>67</v>
      </c>
      <c r="G23" s="4" t="s">
        <v>51</v>
      </c>
      <c r="H23" s="4" t="s">
        <v>52</v>
      </c>
      <c r="I23" s="5">
        <v>0.25</v>
      </c>
      <c r="J23" s="5">
        <v>1</v>
      </c>
      <c r="K23" s="5">
        <v>78.25</v>
      </c>
      <c r="L23" s="4" t="s">
        <v>56</v>
      </c>
      <c r="M23" s="3">
        <v>45931</v>
      </c>
      <c r="N23" t="s">
        <v>155</v>
      </c>
      <c r="O23" s="6" t="s">
        <v>158</v>
      </c>
      <c r="Q23" s="4" t="s">
        <v>65</v>
      </c>
      <c r="R23" t="str">
        <f>CONCATENATE(Q23,6)</f>
        <v>00023649753K6</v>
      </c>
      <c r="S23" s="4" t="s">
        <v>175</v>
      </c>
      <c r="T23" t="s">
        <v>176</v>
      </c>
      <c r="U23" t="str">
        <f>CONCATENATE(T23, " ",S23)</f>
        <v>JOSEPH WALKER</v>
      </c>
    </row>
    <row r="24" spans="1:21" x14ac:dyDescent="0.2">
      <c r="A24" s="4" t="s">
        <v>68</v>
      </c>
      <c r="B24" s="2">
        <v>16633294</v>
      </c>
      <c r="C24" s="4" t="s">
        <v>69</v>
      </c>
      <c r="D24" s="4" t="s">
        <v>70</v>
      </c>
      <c r="E24" s="3">
        <v>45931</v>
      </c>
      <c r="F24" s="4" t="s">
        <v>67</v>
      </c>
      <c r="G24" s="4" t="s">
        <v>51</v>
      </c>
      <c r="H24" s="4" t="s">
        <v>72</v>
      </c>
      <c r="I24" s="5">
        <v>0.25</v>
      </c>
      <c r="J24" s="5">
        <v>1</v>
      </c>
      <c r="K24" s="5">
        <v>78.25</v>
      </c>
      <c r="L24" s="4" t="s">
        <v>56</v>
      </c>
      <c r="M24" s="3">
        <v>45931</v>
      </c>
      <c r="N24" t="s">
        <v>155</v>
      </c>
      <c r="O24" s="6" t="s">
        <v>158</v>
      </c>
      <c r="Q24" s="4" t="s">
        <v>70</v>
      </c>
      <c r="R24" t="str">
        <f>CONCATENATE(Q24,6)</f>
        <v>00023678081K6</v>
      </c>
      <c r="S24" s="4" t="s">
        <v>177</v>
      </c>
      <c r="T24" t="s">
        <v>178</v>
      </c>
      <c r="U24" t="str">
        <f>CONCATENATE(T24, " ",S24)</f>
        <v>DEBORAH DOUCETTE</v>
      </c>
    </row>
    <row r="25" spans="1:21" x14ac:dyDescent="0.2">
      <c r="A25" s="4" t="s">
        <v>117</v>
      </c>
      <c r="B25" s="2">
        <v>19491313</v>
      </c>
      <c r="C25" s="4" t="s">
        <v>118</v>
      </c>
      <c r="D25" s="4" t="s">
        <v>119</v>
      </c>
      <c r="E25" s="3">
        <v>45931</v>
      </c>
      <c r="F25" s="4" t="s">
        <v>67</v>
      </c>
      <c r="G25" s="4" t="s">
        <v>51</v>
      </c>
      <c r="H25" s="4" t="s">
        <v>121</v>
      </c>
      <c r="I25" s="5">
        <v>0.25</v>
      </c>
      <c r="J25" s="5">
        <v>13.75</v>
      </c>
      <c r="K25" s="5">
        <v>13.75</v>
      </c>
      <c r="L25" s="4" t="s">
        <v>56</v>
      </c>
      <c r="M25" s="3">
        <v>45931</v>
      </c>
      <c r="N25" t="s">
        <v>154</v>
      </c>
      <c r="Q25" s="4" t="s">
        <v>119</v>
      </c>
      <c r="R25" t="str">
        <f>CONCATENATE(Q25,9)</f>
        <v>00023652054K9</v>
      </c>
      <c r="S25" s="4" t="s">
        <v>187</v>
      </c>
      <c r="T25" t="s">
        <v>188</v>
      </c>
      <c r="U25" t="str">
        <f>CONCATENATE(T25, " ",S25)</f>
        <v>TYRONE HANLINE</v>
      </c>
    </row>
  </sheetData>
  <sortState xmlns:xlrd2="http://schemas.microsoft.com/office/spreadsheetml/2017/richdata2" ref="A2:AQ25">
    <sortCondition ref="N2:N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2025-09-25T13:49:39Z</dcterms:created>
  <dcterms:modified xsi:type="dcterms:W3CDTF">2025-09-29T22:10:14Z</dcterms:modified>
</cp:coreProperties>
</file>