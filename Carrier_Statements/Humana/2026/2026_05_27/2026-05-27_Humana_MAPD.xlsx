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  <sheet state="visible" name="Sheet1" sheetId="2" r:id="rId5"/>
  </sheets>
  <definedNames>
    <definedName hidden="1" localSheetId="1" name="_xlnm._FilterDatabase">Sheet1!$A$1:$AN$1000</definedName>
  </definedNames>
  <calcPr/>
  <extLst>
    <ext uri="GoogleSheetsCustomDataVersion2">
      <go:sheetsCustomData xmlns:go="http://customooxmlschemas.google.com/" r:id="rId6" roundtripDataChecksum="DRqwmFoTo2xGPZ0yWnJPVjQO7FPrp/gP5ph1nZly6IM="/>
    </ext>
  </extLst>
</workbook>
</file>

<file path=xl/sharedStrings.xml><?xml version="1.0" encoding="utf-8"?>
<sst xmlns="http://schemas.openxmlformats.org/spreadsheetml/2006/main" count="3542" uniqueCount="418">
  <si>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</si>
  <si>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</si>
  <si>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</si>
  <si>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</si>
  <si>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</si>
  <si>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</si>
  <si>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</si>
  <si>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</si>
  <si>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</si>
  <si>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</si>
  <si>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</si>
  <si>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</si>
  <si>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</si>
  <si>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</si>
  <si>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</si>
  <si>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</si>
  <si>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</si>
  <si>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</si>
  <si>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</si>
  <si>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</si>
  <si>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</si>
  <si>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</si>
  <si>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</si>
  <si>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</si>
  <si>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</si>
  <si>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</si>
  <si>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</si>
  <si>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</si>
  <si>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</si>
  <si>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</si>
  <si>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</si>
  <si>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</si>
  <si>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</si>
  <si>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</si>
  <si>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</si>
  <si>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</si>
  <si>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</si>
  <si>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</si>
  <si>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</si>
  <si>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</si>
  <si>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</si>
  <si>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</si>
  <si>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</si>
  <si>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CHOI ANDREW J</t>
  </si>
  <si>
    <t>CLARK MARGERY A</t>
  </si>
  <si>
    <t>00026530642K</t>
  </si>
  <si>
    <t>3A67TX4TE77</t>
  </si>
  <si>
    <t/>
  </si>
  <si>
    <t>MA</t>
  </si>
  <si>
    <t>LV</t>
  </si>
  <si>
    <t>JUN</t>
  </si>
  <si>
    <t>F</t>
  </si>
  <si>
    <t>MEDICARE</t>
  </si>
  <si>
    <t>MEP</t>
  </si>
  <si>
    <t>FIRST YEAR COMMISSIONS</t>
  </si>
  <si>
    <t>ARCF</t>
  </si>
  <si>
    <t>H7617</t>
  </si>
  <si>
    <t>ERICKSON WILLIAM S</t>
  </si>
  <si>
    <t>00026538315K</t>
  </si>
  <si>
    <t>2PX0P45DQ00</t>
  </si>
  <si>
    <t>CLARK MICHAEL J</t>
  </si>
  <si>
    <t>00026541287K</t>
  </si>
  <si>
    <t>8FN9Q78XK37</t>
  </si>
  <si>
    <t>YOSHIMURA KARA S</t>
  </si>
  <si>
    <t>00026542697K</t>
  </si>
  <si>
    <t>7QA5QG7VX57</t>
  </si>
  <si>
    <t>TEIPEL GREGORY K</t>
  </si>
  <si>
    <t>KOUVELAS STYLIANOS D</t>
  </si>
  <si>
    <t>00026531813K</t>
  </si>
  <si>
    <t>3YC5H66CE73</t>
  </si>
  <si>
    <t>BROMBY DONNA A</t>
  </si>
  <si>
    <t>00026541112K</t>
  </si>
  <si>
    <t>2C89X82RN37</t>
  </si>
  <si>
    <t>AUG</t>
  </si>
  <si>
    <t>ROLLER JASON</t>
  </si>
  <si>
    <t>THOMPSON BEVERLY A</t>
  </si>
  <si>
    <t>00008544872K</t>
  </si>
  <si>
    <t>4Y32RF0WJ09</t>
  </si>
  <si>
    <t>JAN</t>
  </si>
  <si>
    <t>DAUGHERTY MATTHEW</t>
  </si>
  <si>
    <t>PURDON DAVID W</t>
  </si>
  <si>
    <t>00026531514K</t>
  </si>
  <si>
    <t>4R04KY5XQ91</t>
  </si>
  <si>
    <t>YALE RICHARD A A</t>
  </si>
  <si>
    <t>SIMKIN BARBARA A</t>
  </si>
  <si>
    <t>00024425940K</t>
  </si>
  <si>
    <t>5PR5R51GT65</t>
  </si>
  <si>
    <t>MER</t>
  </si>
  <si>
    <t>H4329</t>
  </si>
  <si>
    <t>GANFIELD JR DAVID R</t>
  </si>
  <si>
    <t>00026527723K</t>
  </si>
  <si>
    <t>9PU2JR5TY83</t>
  </si>
  <si>
    <t>PORTUGAL GARY</t>
  </si>
  <si>
    <t>KAUS DOUGLAS E</t>
  </si>
  <si>
    <t>00026531857K</t>
  </si>
  <si>
    <t>3WP9W46VU55</t>
  </si>
  <si>
    <t>ABDUL SAADIA S</t>
  </si>
  <si>
    <t>TURNER TONI L</t>
  </si>
  <si>
    <t>00026531294K</t>
  </si>
  <si>
    <t>6E88WR7EF31</t>
  </si>
  <si>
    <t>DUARTE GOMEZ NANCY</t>
  </si>
  <si>
    <t>00026543135K</t>
  </si>
  <si>
    <t>5NJ6W98GK64</t>
  </si>
  <si>
    <t>DUNAVANT MICHAEL</t>
  </si>
  <si>
    <t>COYNE ROGER</t>
  </si>
  <si>
    <t>00025375531K</t>
  </si>
  <si>
    <t>3A95F06CV54</t>
  </si>
  <si>
    <t>MAY</t>
  </si>
  <si>
    <t>PORTUGAL STACEY A</t>
  </si>
  <si>
    <t>STARKS EARNESTINE</t>
  </si>
  <si>
    <t>00026060207K</t>
  </si>
  <si>
    <t>6RK2HK9AV03</t>
  </si>
  <si>
    <t>APR</t>
  </si>
  <si>
    <t>H1468</t>
  </si>
  <si>
    <t>SHEPARD JILL M</t>
  </si>
  <si>
    <t>SULLIVAN RICHARD J</t>
  </si>
  <si>
    <t>00006948323K</t>
  </si>
  <si>
    <t>5YJ7G75NG61</t>
  </si>
  <si>
    <t>TATRO MELISSA</t>
  </si>
  <si>
    <t>PINEAPPLE AUDIO</t>
  </si>
  <si>
    <t>000000408719</t>
  </si>
  <si>
    <t>GR</t>
  </si>
  <si>
    <t>EM</t>
  </si>
  <si>
    <t>R</t>
  </si>
  <si>
    <t>DENTAL</t>
  </si>
  <si>
    <t>RENEWAL COMMISSIONS</t>
  </si>
  <si>
    <t>ARCM</t>
  </si>
  <si>
    <t>BASIC LIFE</t>
  </si>
  <si>
    <t>BASIC AD&amp;D</t>
  </si>
  <si>
    <t>VISION</t>
  </si>
  <si>
    <t>WHOLE OFFICE FURNITURE LL</t>
  </si>
  <si>
    <t>000000423470</t>
  </si>
  <si>
    <t>HUNSBERGER ANTHONY J</t>
  </si>
  <si>
    <t>KOSS JOYCE E</t>
  </si>
  <si>
    <t>00001001114A</t>
  </si>
  <si>
    <t>MS</t>
  </si>
  <si>
    <t>N</t>
  </si>
  <si>
    <t>KOSS WILLIAM J</t>
  </si>
  <si>
    <t>00001001591A</t>
  </si>
  <si>
    <t>Hanahan Barbara</t>
  </si>
  <si>
    <t>9025228750</t>
  </si>
  <si>
    <t>IN</t>
  </si>
  <si>
    <t>CB</t>
  </si>
  <si>
    <t>COMPBENEFITS RENEWAL COMMISSION</t>
  </si>
  <si>
    <t>CRCM</t>
  </si>
  <si>
    <t>FOLEY CAROL</t>
  </si>
  <si>
    <t>LINDOW KENNETH A</t>
  </si>
  <si>
    <t>00001134699A</t>
  </si>
  <si>
    <t>FEB</t>
  </si>
  <si>
    <t>MED SUPP ANNUALIZED STANDARD</t>
  </si>
  <si>
    <t>MSAS</t>
  </si>
  <si>
    <t>INSKIPT DEBORAH L</t>
  </si>
  <si>
    <t>CARDOSI KAREN E</t>
  </si>
  <si>
    <t>00000828881A</t>
  </si>
  <si>
    <t>MED SUPP RENEWAL ACHIEVE</t>
  </si>
  <si>
    <t>MSRA</t>
  </si>
  <si>
    <t>SZOST PHILIP</t>
  </si>
  <si>
    <t>00000840020A</t>
  </si>
  <si>
    <t>McCarrell Suzette</t>
  </si>
  <si>
    <t>9032457090</t>
  </si>
  <si>
    <t>COMPBENEFITS FIRST YEAR COMMISSION</t>
  </si>
  <si>
    <t>CRCF</t>
  </si>
  <si>
    <t>MCCORKLE MICHELLE</t>
  </si>
  <si>
    <t>Danley Ryan</t>
  </si>
  <si>
    <t>9030925080</t>
  </si>
  <si>
    <t>HINES WENDY L</t>
  </si>
  <si>
    <t>00001114278A</t>
  </si>
  <si>
    <t>JACKSON KENNETH S</t>
  </si>
  <si>
    <t>00001154462A</t>
  </si>
  <si>
    <t>Urish Gerald</t>
  </si>
  <si>
    <t>9030509330</t>
  </si>
  <si>
    <t>Gambetti Brianna</t>
  </si>
  <si>
    <t>9030544330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</si>
  <si>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</si>
  <si>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</si>
  <si>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</si>
  <si>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</si>
  <si>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</si>
  <si>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</si>
  <si>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</si>
  <si>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</si>
  <si>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</si>
  <si>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</si>
  <si>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Johnson Eric</t>
  </si>
  <si>
    <t>9030645550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</si>
  <si>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</si>
  <si>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</si>
  <si>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</si>
  <si>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</si>
  <si>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</si>
  <si>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</si>
  <si>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</si>
  <si>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</si>
  <si>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</si>
  <si>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</si>
  <si>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</si>
  <si>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</si>
  <si>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</si>
  <si>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</si>
  <si>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</si>
  <si>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</si>
  <si>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</si>
  <si>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</si>
  <si>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</si>
  <si>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</si>
  <si>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</si>
  <si>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</si>
  <si>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Rolfs Patrick</t>
  </si>
  <si>
    <t>9030982390</t>
  </si>
  <si>
    <t>Quiram Dana</t>
  </si>
  <si>
    <t>9030996000</t>
  </si>
  <si>
    <t>Alfrey Jackie</t>
  </si>
  <si>
    <t>9031044060</t>
  </si>
  <si>
    <t>Trost James</t>
  </si>
  <si>
    <t>9031076870</t>
  </si>
  <si>
    <t>Heckmann Hannelore</t>
  </si>
  <si>
    <t>9031241060</t>
  </si>
  <si>
    <t>Forbes Linda</t>
  </si>
  <si>
    <t>9031246400</t>
  </si>
  <si>
    <t>Hancock Penny</t>
  </si>
  <si>
    <t>9031317020</t>
  </si>
  <si>
    <t>Proeber David</t>
  </si>
  <si>
    <t>9031323610</t>
  </si>
  <si>
    <t>Shmikler Michelle</t>
  </si>
  <si>
    <t>9031377640</t>
  </si>
  <si>
    <t>Eckmann Bryan</t>
  </si>
  <si>
    <t>9031392680</t>
  </si>
  <si>
    <t>Kingdon Deborah</t>
  </si>
  <si>
    <t>9031414170</t>
  </si>
  <si>
    <t>Loeffler Debra</t>
  </si>
  <si>
    <t>9031418110</t>
  </si>
  <si>
    <t>Priaulx Thomas</t>
  </si>
  <si>
    <t>9031424040</t>
  </si>
  <si>
    <t>Freed Cynthia</t>
  </si>
  <si>
    <t>9031431760</t>
  </si>
  <si>
    <t>Dolk Peter</t>
  </si>
  <si>
    <t>9031492650</t>
  </si>
  <si>
    <t>Griffin Cheryl</t>
  </si>
  <si>
    <t>9031492860</t>
  </si>
  <si>
    <t>Hofmann Kristi</t>
  </si>
  <si>
    <t>9031517160</t>
  </si>
  <si>
    <t>Overholt David</t>
  </si>
  <si>
    <t>9031517600</t>
  </si>
  <si>
    <t>Dinges Virginia</t>
  </si>
  <si>
    <t>9031522530</t>
  </si>
  <si>
    <t>Adams Felicia</t>
  </si>
  <si>
    <t>9032034060</t>
  </si>
  <si>
    <t>Magana-Gutierrez Israel</t>
  </si>
  <si>
    <t>9032293670</t>
  </si>
  <si>
    <t>Johnson Deena</t>
  </si>
  <si>
    <t>9032450520</t>
  </si>
  <si>
    <t>KOZACHECK ANNE MARIE</t>
  </si>
  <si>
    <t>ROSE CHARLENE D</t>
  </si>
  <si>
    <t>00000926201A</t>
  </si>
  <si>
    <t>Rudden Jon</t>
  </si>
  <si>
    <t>9030115330</t>
  </si>
  <si>
    <t>Swasey Devon</t>
  </si>
  <si>
    <t>9031083620</t>
  </si>
  <si>
    <t>JACKSON REBECCA L</t>
  </si>
  <si>
    <t>Watkins Patrick R</t>
  </si>
  <si>
    <t>9030658890</t>
  </si>
  <si>
    <t>Acuff Emily</t>
  </si>
  <si>
    <t>9030946320</t>
  </si>
  <si>
    <t>ROCCIA MARK</t>
  </si>
  <si>
    <t>SMITH RALPH F</t>
  </si>
  <si>
    <t>00001159754A</t>
  </si>
  <si>
    <t>MED SUPP ANNUALIZED ACHIEVE</t>
  </si>
  <si>
    <t>MSAA</t>
  </si>
  <si>
    <t>Humana 65-80 AL, AZ, AR, GA, etc. All Except N OE &amp; UW</t>
  </si>
  <si>
    <t>SMITH</t>
  </si>
  <si>
    <t>RALPH</t>
  </si>
  <si>
    <t>JACKSON</t>
  </si>
  <si>
    <t>KENNETH</t>
  </si>
  <si>
    <t>LINDOW</t>
  </si>
  <si>
    <t>HINES</t>
  </si>
  <si>
    <t>WENDY</t>
  </si>
  <si>
    <t>KOSS</t>
  </si>
  <si>
    <t>JOYCE</t>
  </si>
  <si>
    <t>WILLIAM</t>
  </si>
  <si>
    <t>19278370old</t>
  </si>
  <si>
    <t>ROSE</t>
  </si>
  <si>
    <t>CHARLENE</t>
  </si>
  <si>
    <t>CARDOSI</t>
  </si>
  <si>
    <t>KAREN</t>
  </si>
  <si>
    <t>SZOST</t>
  </si>
  <si>
    <t>PHILIP</t>
  </si>
  <si>
    <t>Humana AD&amp;D 10%</t>
  </si>
  <si>
    <t>PINEAPPLE</t>
  </si>
  <si>
    <t>AUDIO</t>
  </si>
  <si>
    <t>Humana Basic Life 10%</t>
  </si>
  <si>
    <t>Humana Dental &amp; Vision</t>
  </si>
  <si>
    <t>Magana-Gutierrez</t>
  </si>
  <si>
    <t>Israel</t>
  </si>
  <si>
    <t>Adams</t>
  </si>
  <si>
    <t>Felicia</t>
  </si>
  <si>
    <t>Shmikler</t>
  </si>
  <si>
    <t>Michelle</t>
  </si>
  <si>
    <t>Eckmann</t>
  </si>
  <si>
    <t>Bryan</t>
  </si>
  <si>
    <t>Kingdon</t>
  </si>
  <si>
    <t>Deborah</t>
  </si>
  <si>
    <t>Loeffler</t>
  </si>
  <si>
    <t>Debra</t>
  </si>
  <si>
    <t>Dolk</t>
  </si>
  <si>
    <t>Peter</t>
  </si>
  <si>
    <t>Griffin</t>
  </si>
  <si>
    <t>Cheryl</t>
  </si>
  <si>
    <t>Hofmann</t>
  </si>
  <si>
    <t>Kristi</t>
  </si>
  <si>
    <t>Overholt</t>
  </si>
  <si>
    <t>David</t>
  </si>
  <si>
    <t>Dinges</t>
  </si>
  <si>
    <t>Virginia</t>
  </si>
  <si>
    <t>Hancock</t>
  </si>
  <si>
    <t>Penny</t>
  </si>
  <si>
    <t>Proeber</t>
  </si>
  <si>
    <t>Freed</t>
  </si>
  <si>
    <t>Cynthia</t>
  </si>
  <si>
    <t>Priaulx</t>
  </si>
  <si>
    <t>Thomas</t>
  </si>
  <si>
    <t>Rolfs</t>
  </si>
  <si>
    <t>Patrick</t>
  </si>
  <si>
    <t>Quiram</t>
  </si>
  <si>
    <t>Dana</t>
  </si>
  <si>
    <t>Heckmann</t>
  </si>
  <si>
    <t>Hannelore</t>
  </si>
  <si>
    <t>Forbes</t>
  </si>
  <si>
    <t>Linda</t>
  </si>
  <si>
    <t>Swasey</t>
  </si>
  <si>
    <t>Devon</t>
  </si>
  <si>
    <t>Alfrey</t>
  </si>
  <si>
    <t>Jackie</t>
  </si>
  <si>
    <t>Trost</t>
  </si>
  <si>
    <t>James</t>
  </si>
  <si>
    <t>Acuff</t>
  </si>
  <si>
    <t>Emily</t>
  </si>
  <si>
    <t>Fewell</t>
  </si>
  <si>
    <t>Robin</t>
  </si>
  <si>
    <t>18710070N</t>
  </si>
  <si>
    <t>Danley</t>
  </si>
  <si>
    <t>Ryan</t>
  </si>
  <si>
    <t>Sciutto</t>
  </si>
  <si>
    <t>John</t>
  </si>
  <si>
    <t>Kasprzak</t>
  </si>
  <si>
    <t>Kenneth</t>
  </si>
  <si>
    <t>Galloway</t>
  </si>
  <si>
    <t>Jacqueline</t>
  </si>
  <si>
    <t>Stokes</t>
  </si>
  <si>
    <t>Johnson</t>
  </si>
  <si>
    <t>Eric</t>
  </si>
  <si>
    <t>Simmons-Hutson</t>
  </si>
  <si>
    <t>Bond</t>
  </si>
  <si>
    <t>Edward</t>
  </si>
  <si>
    <t>Sharad</t>
  </si>
  <si>
    <t>Shaji</t>
  </si>
  <si>
    <t>Boma</t>
  </si>
  <si>
    <t>Mary</t>
  </si>
  <si>
    <t>Watkins</t>
  </si>
  <si>
    <t>Thompson</t>
  </si>
  <si>
    <t>Dauer</t>
  </si>
  <si>
    <t>Nancy</t>
  </si>
  <si>
    <t>Ferris</t>
  </si>
  <si>
    <t>Ron</t>
  </si>
  <si>
    <t>Shaw</t>
  </si>
  <si>
    <t>Robert</t>
  </si>
  <si>
    <t>Sisco</t>
  </si>
  <si>
    <t>Round</t>
  </si>
  <si>
    <t>Laurie</t>
  </si>
  <si>
    <t>Urish</t>
  </si>
  <si>
    <t>Gerald</t>
  </si>
  <si>
    <t>Gambetti</t>
  </si>
  <si>
    <t>Brianna</t>
  </si>
  <si>
    <t>Taylor</t>
  </si>
  <si>
    <t>Rudden</t>
  </si>
  <si>
    <t>Jon</t>
  </si>
  <si>
    <t>Hanahan</t>
  </si>
  <si>
    <t>Barbara</t>
  </si>
  <si>
    <t>Humana Dental &amp; Vision 15%</t>
  </si>
  <si>
    <t>Deena</t>
  </si>
  <si>
    <t>17528908N</t>
  </si>
  <si>
    <t>McCarrell</t>
  </si>
  <si>
    <t>Suzette</t>
  </si>
  <si>
    <t>Humana Group 2025</t>
  </si>
  <si>
    <t>WHOLE</t>
  </si>
  <si>
    <t>OFFICE</t>
  </si>
  <si>
    <t>Humana MAPD 2026*</t>
  </si>
  <si>
    <t>[%/$=347][prorate=5/12]</t>
  </si>
  <si>
    <t>KAUS</t>
  </si>
  <si>
    <t>DOUGLAS</t>
  </si>
  <si>
    <t>BROMBY</t>
  </si>
  <si>
    <t>DONNA</t>
  </si>
  <si>
    <t>[%/$=347][prorate=7/12]</t>
  </si>
  <si>
    <t>TURNER</t>
  </si>
  <si>
    <t>TONI</t>
  </si>
  <si>
    <t>DUARTE</t>
  </si>
  <si>
    <t>NANCY</t>
  </si>
  <si>
    <t>CLARK</t>
  </si>
  <si>
    <t>MARGERY</t>
  </si>
  <si>
    <t>ERICKSON</t>
  </si>
  <si>
    <t>MICHAEL</t>
  </si>
  <si>
    <t>YOSHIMURA</t>
  </si>
  <si>
    <t>KARA</t>
  </si>
  <si>
    <t>PURDON</t>
  </si>
  <si>
    <t>DAVID</t>
  </si>
  <si>
    <t>KOUVELAS</t>
  </si>
  <si>
    <t>STYLIANOS</t>
  </si>
  <si>
    <t>SIMKIN</t>
  </si>
  <si>
    <t>BARBARA</t>
  </si>
  <si>
    <t>GANFIELD</t>
  </si>
  <si>
    <t>COYNE</t>
  </si>
  <si>
    <t>ROGER</t>
  </si>
  <si>
    <t>[%/$=347][prorate=4/12]</t>
  </si>
  <si>
    <t>STARKS</t>
  </si>
  <si>
    <t>EARNESTINE</t>
  </si>
  <si>
    <t>THOMPSON</t>
  </si>
  <si>
    <t>BEVERLY</t>
  </si>
  <si>
    <t>SULLIVAN</t>
  </si>
  <si>
    <t>RICHARD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</si>
</sst>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" xfId="0" applyFont="1" applyNumberFormat="1"/>
    <xf borderId="0" fillId="0" fontId="2" numFmtId="14" xfId="0" applyFont="1" applyNumberFormat="1"/>
    <xf borderId="0" fillId="0" fontId="2" numFmtId="49" xfId="0" applyAlignment="1" applyFont="1" applyNumberFormat="1">
      <alignment horizontal="left" vertical="top"/>
    </xf>
    <xf borderId="0" fillId="0" fontId="2" numFmtId="2" xfId="0" applyFont="1" applyNumberFormat="1"/>
    <xf borderId="1" fillId="2" fontId="2" numFmtId="49" xfId="0" applyAlignment="1" applyBorder="1" applyFill="1" applyFont="1" applyNumberFormat="1">
      <alignment horizontal="left" vertical="top"/>
    </xf>
    <xf borderId="1" fillId="2" fontId="2" numFmtId="0" xfId="0" applyAlignment="1" applyBorder="1" applyFont="1">
      <alignment horizontal="left"/>
    </xf>
    <xf borderId="1" fillId="2" fontId="2" numFmtId="14" xfId="0" applyBorder="1" applyFont="1" applyNumberFormat="1"/>
    <xf borderId="1" fillId="2" fontId="2" numFmtId="2" xfId="0" applyBorder="1" applyFont="1" applyNumberFormat="1"/>
    <xf borderId="1" fillId="2" fontId="2" numFmtId="0" xfId="0" applyBorder="1" applyFont="1"/>
    <xf borderId="1" fillId="3" fontId="2" numFmtId="49" xfId="0" applyAlignment="1" applyBorder="1" applyFill="1" applyFont="1" applyNumberFormat="1">
      <alignment horizontal="left" vertical="top"/>
    </xf>
    <xf borderId="1" fillId="3" fontId="2" numFmtId="0" xfId="0" applyAlignment="1" applyBorder="1" applyFont="1">
      <alignment horizontal="left"/>
    </xf>
    <xf borderId="1" fillId="3" fontId="2" numFmtId="14" xfId="0" applyBorder="1" applyFont="1" applyNumberFormat="1"/>
    <xf borderId="1" fillId="3" fontId="2" numFmtId="2" xfId="0" applyBorder="1" applyFont="1" applyNumberFormat="1"/>
    <xf borderId="1" fillId="3" fontId="2" numFmtId="0" xfId="0" applyBorder="1" applyFont="1"/>
    <xf borderId="1" fillId="4" fontId="2" numFmtId="49" xfId="0" applyAlignment="1" applyBorder="1" applyFill="1" applyFont="1" applyNumberFormat="1">
      <alignment horizontal="left" vertical="top"/>
    </xf>
    <xf borderId="1" fillId="4" fontId="2" numFmtId="0" xfId="0" applyAlignment="1" applyBorder="1" applyFont="1">
      <alignment horizontal="left"/>
    </xf>
    <xf borderId="1" fillId="4" fontId="2" numFmtId="0" xfId="0" applyAlignment="1" applyBorder="1" applyFont="1">
      <alignment horizontal="left" vertical="top"/>
    </xf>
    <xf borderId="1" fillId="4" fontId="2" numFmtId="14" xfId="0" applyBorder="1" applyFont="1" applyNumberFormat="1"/>
    <xf borderId="1" fillId="4" fontId="2" numFmtId="2" xfId="0" applyBorder="1" applyFont="1" applyNumberFormat="1"/>
    <xf borderId="1" fillId="4" fontId="2" numFmtId="0" xfId="0" applyBorder="1" applyFont="1"/>
    <xf borderId="1" fillId="5" fontId="2" numFmtId="49" xfId="0" applyAlignment="1" applyBorder="1" applyFill="1" applyFont="1" applyNumberFormat="1">
      <alignment horizontal="left" vertical="top"/>
    </xf>
    <xf borderId="1" fillId="5" fontId="2" numFmtId="0" xfId="0" applyAlignment="1" applyBorder="1" applyFont="1">
      <alignment horizontal="left"/>
    </xf>
    <xf borderId="1" fillId="5" fontId="2" numFmtId="0" xfId="0" applyAlignment="1" applyBorder="1" applyFont="1">
      <alignment horizontal="left" vertical="top"/>
    </xf>
    <xf borderId="1" fillId="5" fontId="2" numFmtId="14" xfId="0" applyBorder="1" applyFont="1" applyNumberFormat="1"/>
    <xf borderId="1" fillId="5" fontId="2" numFmtId="2" xfId="0" applyBorder="1" applyFont="1" applyNumberFormat="1"/>
    <xf borderId="1" fillId="5" fontId="2" numFmtId="0" xfId="0" applyBorder="1" applyFont="1"/>
    <xf borderId="1" fillId="6" fontId="2" numFmtId="49" xfId="0" applyAlignment="1" applyBorder="1" applyFill="1" applyFont="1" applyNumberFormat="1">
      <alignment horizontal="left" vertical="top"/>
    </xf>
    <xf borderId="1" fillId="6" fontId="2" numFmtId="0" xfId="0" applyAlignment="1" applyBorder="1" applyFont="1">
      <alignment horizontal="left"/>
    </xf>
    <xf borderId="1" fillId="6" fontId="2" numFmtId="0" xfId="0" applyAlignment="1" applyBorder="1" applyFont="1">
      <alignment horizontal="left" vertical="top"/>
    </xf>
    <xf borderId="1" fillId="6" fontId="2" numFmtId="14" xfId="0" applyBorder="1" applyFont="1" applyNumberFormat="1"/>
    <xf borderId="1" fillId="6" fontId="2" numFmtId="2" xfId="0" applyBorder="1" applyFont="1" applyNumberFormat="1"/>
    <xf borderId="1" fillId="6" fontId="2" numFmtId="0" xfId="0" applyBorder="1" applyFont="1"/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2.0"/>
    <col customWidth="1" min="3" max="3" width="24.13"/>
    <col customWidth="1" min="4" max="4" width="8.38"/>
    <col customWidth="1" min="5" max="5" width="27.75"/>
    <col customWidth="1" min="6" max="6" width="13.0"/>
    <col customWidth="1" min="7" max="7" width="12.0"/>
    <col customWidth="1" min="8" max="8" width="10.25"/>
    <col customWidth="1" min="9" max="10" width="9.25"/>
    <col customWidth="1" min="11" max="11" width="10.25"/>
    <col customWidth="1" min="12" max="14" width="11.13"/>
    <col customWidth="1" min="15" max="16" width="10.25"/>
    <col customWidth="1" min="17" max="17" width="5.5"/>
    <col customWidth="1" min="18" max="20" width="14.75"/>
    <col customWidth="1" min="21" max="21" width="11.13"/>
    <col customWidth="1" min="22" max="22" width="13.38"/>
    <col customWidth="1" min="23" max="23" width="9.25"/>
    <col customWidth="1" min="24" max="24" width="12.0"/>
    <col customWidth="1" min="25" max="25" width="14.75"/>
    <col customWidth="1" min="26" max="26" width="13.38"/>
    <col customWidth="1" min="27" max="27" width="29.63"/>
    <col customWidth="1" min="28" max="28" width="11.13"/>
    <col customWidth="1" min="29" max="29" width="12.25"/>
    <col customWidth="1" min="30" max="30" width="10.38"/>
    <col customWidth="1" min="31" max="31" width="9.5"/>
    <col customWidth="1" min="32" max="32" width="13.38"/>
    <col customWidth="1" min="33" max="33" width="13.0"/>
    <col customWidth="1" min="34" max="34" width="27.75"/>
    <col customWidth="1" min="35" max="35" width="13.0"/>
    <col customWidth="1" min="36" max="36" width="15.75"/>
    <col customWidth="1" min="37" max="37" width="15.5"/>
    <col customWidth="1" min="38" max="38" width="15.38"/>
    <col customWidth="1" min="39" max="39" width="11.13"/>
    <col customWidth="1" min="40" max="43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2.75" customHeight="1">
      <c r="A2" s="2">
        <v>1891456.0</v>
      </c>
      <c r="B2" s="3">
        <v>46169.0</v>
      </c>
      <c r="C2" s="4" t="s">
        <v>43</v>
      </c>
      <c r="D2" s="2">
        <v>1466196.0</v>
      </c>
      <c r="E2" s="4" t="s">
        <v>44</v>
      </c>
      <c r="F2" s="4" t="s">
        <v>45</v>
      </c>
      <c r="G2" s="2">
        <v>9.46469283E8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46174.0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1.0</v>
      </c>
      <c r="R2" s="2">
        <v>17.0</v>
      </c>
      <c r="S2" s="4" t="s">
        <v>52</v>
      </c>
      <c r="T2" s="4" t="s">
        <v>53</v>
      </c>
      <c r="U2" s="4" t="s">
        <v>47</v>
      </c>
      <c r="V2" s="5">
        <v>0.58</v>
      </c>
      <c r="W2" s="5">
        <v>0.0</v>
      </c>
      <c r="X2" s="5">
        <v>100.0</v>
      </c>
      <c r="Y2" s="5">
        <v>202.42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0.0</v>
      </c>
      <c r="AE2" s="4" t="s">
        <v>55</v>
      </c>
      <c r="AF2" s="3">
        <v>46174.0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ht="12.75" customHeight="1">
      <c r="A3" s="2">
        <v>1891456.0</v>
      </c>
      <c r="B3" s="3">
        <v>46169.0</v>
      </c>
      <c r="C3" s="4" t="s">
        <v>43</v>
      </c>
      <c r="D3" s="2">
        <v>1466196.0</v>
      </c>
      <c r="E3" s="4" t="s">
        <v>57</v>
      </c>
      <c r="F3" s="4" t="s">
        <v>58</v>
      </c>
      <c r="G3" s="2">
        <v>9.25019403E8</v>
      </c>
      <c r="H3" s="4" t="s">
        <v>59</v>
      </c>
      <c r="I3" s="4" t="s">
        <v>47</v>
      </c>
      <c r="J3" s="4" t="s">
        <v>48</v>
      </c>
      <c r="K3" s="4" t="s">
        <v>49</v>
      </c>
      <c r="L3" s="3">
        <v>46174.0</v>
      </c>
      <c r="M3" s="4" t="s">
        <v>50</v>
      </c>
      <c r="N3" s="4" t="s">
        <v>47</v>
      </c>
      <c r="O3" s="4" t="s">
        <v>51</v>
      </c>
      <c r="P3" s="4" t="s">
        <v>47</v>
      </c>
      <c r="Q3" s="2">
        <v>1.0</v>
      </c>
      <c r="R3" s="2">
        <v>17.0</v>
      </c>
      <c r="S3" s="4" t="s">
        <v>52</v>
      </c>
      <c r="T3" s="4" t="s">
        <v>53</v>
      </c>
      <c r="U3" s="4" t="s">
        <v>47</v>
      </c>
      <c r="V3" s="5">
        <v>0.58</v>
      </c>
      <c r="W3" s="5">
        <v>0.0</v>
      </c>
      <c r="X3" s="5">
        <v>100.0</v>
      </c>
      <c r="Y3" s="5">
        <v>202.42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0.0</v>
      </c>
      <c r="AE3" s="4" t="s">
        <v>55</v>
      </c>
      <c r="AF3" s="3">
        <v>46174.0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56</v>
      </c>
      <c r="AO3" s="4" t="s">
        <v>47</v>
      </c>
      <c r="AP3" s="4" t="s">
        <v>47</v>
      </c>
      <c r="AQ3" s="4" t="s">
        <v>47</v>
      </c>
    </row>
    <row r="4" ht="12.75" customHeight="1">
      <c r="A4" s="2">
        <v>1891456.0</v>
      </c>
      <c r="B4" s="3">
        <v>46169.0</v>
      </c>
      <c r="C4" s="4" t="s">
        <v>43</v>
      </c>
      <c r="D4" s="2">
        <v>1466196.0</v>
      </c>
      <c r="E4" s="4" t="s">
        <v>60</v>
      </c>
      <c r="F4" s="4" t="s">
        <v>61</v>
      </c>
      <c r="G4" s="2">
        <v>5.5349103E8</v>
      </c>
      <c r="H4" s="4" t="s">
        <v>62</v>
      </c>
      <c r="I4" s="4" t="s">
        <v>47</v>
      </c>
      <c r="J4" s="4" t="s">
        <v>48</v>
      </c>
      <c r="K4" s="4" t="s">
        <v>49</v>
      </c>
      <c r="L4" s="3">
        <v>46174.0</v>
      </c>
      <c r="M4" s="4" t="s">
        <v>50</v>
      </c>
      <c r="N4" s="4" t="s">
        <v>47</v>
      </c>
      <c r="O4" s="4" t="s">
        <v>51</v>
      </c>
      <c r="P4" s="4" t="s">
        <v>47</v>
      </c>
      <c r="Q4" s="2">
        <v>1.0</v>
      </c>
      <c r="R4" s="2">
        <v>17.0</v>
      </c>
      <c r="S4" s="4" t="s">
        <v>52</v>
      </c>
      <c r="T4" s="4" t="s">
        <v>53</v>
      </c>
      <c r="U4" s="4" t="s">
        <v>47</v>
      </c>
      <c r="V4" s="5">
        <v>0.58</v>
      </c>
      <c r="W4" s="5">
        <v>0.0</v>
      </c>
      <c r="X4" s="5">
        <v>100.0</v>
      </c>
      <c r="Y4" s="5">
        <v>202.42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0.0</v>
      </c>
      <c r="AE4" s="4" t="s">
        <v>55</v>
      </c>
      <c r="AF4" s="3">
        <v>46174.0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56</v>
      </c>
      <c r="AO4" s="4" t="s">
        <v>47</v>
      </c>
      <c r="AP4" s="4" t="s">
        <v>47</v>
      </c>
      <c r="AQ4" s="4" t="s">
        <v>47</v>
      </c>
    </row>
    <row r="5" ht="12.75" customHeight="1">
      <c r="A5" s="2">
        <v>1891456.0</v>
      </c>
      <c r="B5" s="3">
        <v>46169.0</v>
      </c>
      <c r="C5" s="4" t="s">
        <v>43</v>
      </c>
      <c r="D5" s="2">
        <v>1466196.0</v>
      </c>
      <c r="E5" s="4" t="s">
        <v>63</v>
      </c>
      <c r="F5" s="4" t="s">
        <v>64</v>
      </c>
      <c r="G5" s="2">
        <v>8.60875554E8</v>
      </c>
      <c r="H5" s="4" t="s">
        <v>65</v>
      </c>
      <c r="I5" s="4" t="s">
        <v>47</v>
      </c>
      <c r="J5" s="4" t="s">
        <v>48</v>
      </c>
      <c r="K5" s="4" t="s">
        <v>49</v>
      </c>
      <c r="L5" s="3">
        <v>46174.0</v>
      </c>
      <c r="M5" s="4" t="s">
        <v>50</v>
      </c>
      <c r="N5" s="4" t="s">
        <v>47</v>
      </c>
      <c r="O5" s="4" t="s">
        <v>51</v>
      </c>
      <c r="P5" s="4" t="s">
        <v>47</v>
      </c>
      <c r="Q5" s="2">
        <v>1.0</v>
      </c>
      <c r="R5" s="2">
        <v>17.0</v>
      </c>
      <c r="S5" s="4" t="s">
        <v>52</v>
      </c>
      <c r="T5" s="4" t="s">
        <v>53</v>
      </c>
      <c r="U5" s="4" t="s">
        <v>47</v>
      </c>
      <c r="V5" s="5">
        <v>0.58</v>
      </c>
      <c r="W5" s="5">
        <v>0.0</v>
      </c>
      <c r="X5" s="5">
        <v>100.0</v>
      </c>
      <c r="Y5" s="5">
        <v>202.42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0.0</v>
      </c>
      <c r="AE5" s="4" t="s">
        <v>55</v>
      </c>
      <c r="AF5" s="3">
        <v>46174.0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56</v>
      </c>
      <c r="AO5" s="4" t="s">
        <v>47</v>
      </c>
      <c r="AP5" s="4" t="s">
        <v>47</v>
      </c>
      <c r="AQ5" s="4" t="s">
        <v>47</v>
      </c>
    </row>
    <row r="6" ht="12.75" customHeight="1">
      <c r="A6" s="2">
        <v>1891456.0</v>
      </c>
      <c r="B6" s="3">
        <v>46169.0</v>
      </c>
      <c r="C6" s="4" t="s">
        <v>66</v>
      </c>
      <c r="D6" s="2">
        <v>1509770.0</v>
      </c>
      <c r="E6" s="4" t="s">
        <v>67</v>
      </c>
      <c r="F6" s="4" t="s">
        <v>68</v>
      </c>
      <c r="G6" s="2">
        <v>2.42650114E8</v>
      </c>
      <c r="H6" s="4" t="s">
        <v>69</v>
      </c>
      <c r="I6" s="4" t="s">
        <v>47</v>
      </c>
      <c r="J6" s="4" t="s">
        <v>48</v>
      </c>
      <c r="K6" s="4" t="s">
        <v>49</v>
      </c>
      <c r="L6" s="3">
        <v>46174.0</v>
      </c>
      <c r="M6" s="4" t="s">
        <v>50</v>
      </c>
      <c r="N6" s="4" t="s">
        <v>47</v>
      </c>
      <c r="O6" s="4" t="s">
        <v>51</v>
      </c>
      <c r="P6" s="4" t="s">
        <v>47</v>
      </c>
      <c r="Q6" s="2">
        <v>1.0</v>
      </c>
      <c r="R6" s="2">
        <v>17.0</v>
      </c>
      <c r="S6" s="4" t="s">
        <v>52</v>
      </c>
      <c r="T6" s="4" t="s">
        <v>53</v>
      </c>
      <c r="U6" s="4" t="s">
        <v>47</v>
      </c>
      <c r="V6" s="5">
        <v>0.58</v>
      </c>
      <c r="W6" s="5">
        <v>0.0</v>
      </c>
      <c r="X6" s="5">
        <v>100.0</v>
      </c>
      <c r="Y6" s="5">
        <v>202.42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0.0</v>
      </c>
      <c r="AE6" s="4" t="s">
        <v>55</v>
      </c>
      <c r="AF6" s="3">
        <v>46174.0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56</v>
      </c>
      <c r="AO6" s="4" t="s">
        <v>47</v>
      </c>
      <c r="AP6" s="4" t="s">
        <v>47</v>
      </c>
      <c r="AQ6" s="4" t="s">
        <v>47</v>
      </c>
    </row>
    <row r="7" ht="12.75" customHeight="1">
      <c r="A7" s="2">
        <v>1891456.0</v>
      </c>
      <c r="B7" s="3">
        <v>46169.0</v>
      </c>
      <c r="C7" s="4" t="s">
        <v>66</v>
      </c>
      <c r="D7" s="2">
        <v>1509770.0</v>
      </c>
      <c r="E7" s="4" t="s">
        <v>70</v>
      </c>
      <c r="F7" s="4" t="s">
        <v>71</v>
      </c>
      <c r="G7" s="2">
        <v>5.18336743E8</v>
      </c>
      <c r="H7" s="4" t="s">
        <v>72</v>
      </c>
      <c r="I7" s="4" t="s">
        <v>47</v>
      </c>
      <c r="J7" s="4" t="s">
        <v>48</v>
      </c>
      <c r="K7" s="4" t="s">
        <v>49</v>
      </c>
      <c r="L7" s="3">
        <v>46235.0</v>
      </c>
      <c r="M7" s="4" t="s">
        <v>73</v>
      </c>
      <c r="N7" s="4" t="s">
        <v>47</v>
      </c>
      <c r="O7" s="4" t="s">
        <v>51</v>
      </c>
      <c r="P7" s="4" t="s">
        <v>47</v>
      </c>
      <c r="Q7" s="2">
        <v>1.0</v>
      </c>
      <c r="R7" s="2">
        <v>17.0</v>
      </c>
      <c r="S7" s="4" t="s">
        <v>52</v>
      </c>
      <c r="T7" s="4" t="s">
        <v>53</v>
      </c>
      <c r="U7" s="4" t="s">
        <v>47</v>
      </c>
      <c r="V7" s="5">
        <v>0.42</v>
      </c>
      <c r="W7" s="5">
        <v>0.0</v>
      </c>
      <c r="X7" s="5">
        <v>100.0</v>
      </c>
      <c r="Y7" s="5">
        <v>144.58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0.0</v>
      </c>
      <c r="AE7" s="4" t="s">
        <v>55</v>
      </c>
      <c r="AF7" s="3">
        <v>46235.0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56</v>
      </c>
      <c r="AO7" s="4" t="s">
        <v>47</v>
      </c>
      <c r="AP7" s="4" t="s">
        <v>47</v>
      </c>
      <c r="AQ7" s="4" t="s">
        <v>47</v>
      </c>
    </row>
    <row r="8" ht="12.75" customHeight="1">
      <c r="A8" s="2">
        <v>1891456.0</v>
      </c>
      <c r="B8" s="3">
        <v>46169.0</v>
      </c>
      <c r="C8" s="4" t="s">
        <v>74</v>
      </c>
      <c r="D8" s="2">
        <v>1545197.0</v>
      </c>
      <c r="E8" s="4" t="s">
        <v>75</v>
      </c>
      <c r="F8" s="4" t="s">
        <v>76</v>
      </c>
      <c r="G8" s="2">
        <v>4.83027013E8</v>
      </c>
      <c r="H8" s="4" t="s">
        <v>77</v>
      </c>
      <c r="I8" s="4" t="s">
        <v>47</v>
      </c>
      <c r="J8" s="4" t="s">
        <v>48</v>
      </c>
      <c r="K8" s="4" t="s">
        <v>49</v>
      </c>
      <c r="L8" s="3">
        <v>46023.0</v>
      </c>
      <c r="M8" s="4" t="s">
        <v>78</v>
      </c>
      <c r="N8" s="4" t="s">
        <v>47</v>
      </c>
      <c r="O8" s="4" t="s">
        <v>51</v>
      </c>
      <c r="P8" s="4" t="s">
        <v>47</v>
      </c>
      <c r="Q8" s="2">
        <v>1.0</v>
      </c>
      <c r="R8" s="2">
        <v>17.0</v>
      </c>
      <c r="S8" s="4" t="s">
        <v>52</v>
      </c>
      <c r="T8" s="4" t="s">
        <v>53</v>
      </c>
      <c r="U8" s="4" t="s">
        <v>47</v>
      </c>
      <c r="V8" s="5">
        <v>-0.58</v>
      </c>
      <c r="W8" s="5">
        <v>0.0</v>
      </c>
      <c r="X8" s="5">
        <v>100.0</v>
      </c>
      <c r="Y8" s="5">
        <v>-202.42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0.0</v>
      </c>
      <c r="AE8" s="4" t="s">
        <v>55</v>
      </c>
      <c r="AF8" s="3">
        <v>46023.0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56</v>
      </c>
      <c r="AO8" s="4" t="s">
        <v>47</v>
      </c>
      <c r="AP8" s="4" t="s">
        <v>47</v>
      </c>
      <c r="AQ8" s="4" t="s">
        <v>47</v>
      </c>
    </row>
    <row r="9" ht="12.75" customHeight="1">
      <c r="A9" s="2">
        <v>1891456.0</v>
      </c>
      <c r="B9" s="3">
        <v>46169.0</v>
      </c>
      <c r="C9" s="4" t="s">
        <v>79</v>
      </c>
      <c r="D9" s="2">
        <v>1555496.0</v>
      </c>
      <c r="E9" s="4" t="s">
        <v>80</v>
      </c>
      <c r="F9" s="4" t="s">
        <v>81</v>
      </c>
      <c r="G9" s="2">
        <v>1.70800503E8</v>
      </c>
      <c r="H9" s="4" t="s">
        <v>82</v>
      </c>
      <c r="I9" s="4" t="s">
        <v>47</v>
      </c>
      <c r="J9" s="4" t="s">
        <v>48</v>
      </c>
      <c r="K9" s="4" t="s">
        <v>49</v>
      </c>
      <c r="L9" s="3">
        <v>46174.0</v>
      </c>
      <c r="M9" s="4" t="s">
        <v>50</v>
      </c>
      <c r="N9" s="4" t="s">
        <v>47</v>
      </c>
      <c r="O9" s="4" t="s">
        <v>51</v>
      </c>
      <c r="P9" s="4" t="s">
        <v>47</v>
      </c>
      <c r="Q9" s="2">
        <v>1.0</v>
      </c>
      <c r="R9" s="2">
        <v>17.0</v>
      </c>
      <c r="S9" s="4" t="s">
        <v>52</v>
      </c>
      <c r="T9" s="4" t="s">
        <v>53</v>
      </c>
      <c r="U9" s="4" t="s">
        <v>47</v>
      </c>
      <c r="V9" s="5">
        <v>0.58</v>
      </c>
      <c r="W9" s="5">
        <v>0.0</v>
      </c>
      <c r="X9" s="5">
        <v>100.0</v>
      </c>
      <c r="Y9" s="5">
        <v>202.42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0.0</v>
      </c>
      <c r="AE9" s="4" t="s">
        <v>55</v>
      </c>
      <c r="AF9" s="3">
        <v>46174.0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56</v>
      </c>
      <c r="AO9" s="4" t="s">
        <v>47</v>
      </c>
      <c r="AP9" s="4" t="s">
        <v>47</v>
      </c>
      <c r="AQ9" s="4" t="s">
        <v>47</v>
      </c>
    </row>
    <row r="10" ht="12.75" customHeight="1">
      <c r="A10" s="2">
        <v>1891456.0</v>
      </c>
      <c r="B10" s="3">
        <v>46169.0</v>
      </c>
      <c r="C10" s="4" t="s">
        <v>83</v>
      </c>
      <c r="D10" s="2">
        <v>1573279.0</v>
      </c>
      <c r="E10" s="4" t="s">
        <v>84</v>
      </c>
      <c r="F10" s="4" t="s">
        <v>85</v>
      </c>
      <c r="G10" s="2">
        <v>9.24712E8</v>
      </c>
      <c r="H10" s="4" t="s">
        <v>86</v>
      </c>
      <c r="I10" s="4" t="s">
        <v>47</v>
      </c>
      <c r="J10" s="4" t="s">
        <v>48</v>
      </c>
      <c r="K10" s="4" t="s">
        <v>49</v>
      </c>
      <c r="L10" s="3">
        <v>46174.0</v>
      </c>
      <c r="M10" s="4" t="s">
        <v>50</v>
      </c>
      <c r="N10" s="4" t="s">
        <v>47</v>
      </c>
      <c r="O10" s="4" t="s">
        <v>51</v>
      </c>
      <c r="P10" s="4" t="s">
        <v>47</v>
      </c>
      <c r="Q10" s="2">
        <v>1.0</v>
      </c>
      <c r="R10" s="2">
        <v>17.0</v>
      </c>
      <c r="S10" s="4" t="s">
        <v>52</v>
      </c>
      <c r="T10" s="4" t="s">
        <v>87</v>
      </c>
      <c r="U10" s="4" t="s">
        <v>47</v>
      </c>
      <c r="V10" s="5">
        <v>0.58</v>
      </c>
      <c r="W10" s="5">
        <v>0.0</v>
      </c>
      <c r="X10" s="5">
        <v>100.0</v>
      </c>
      <c r="Y10" s="5">
        <v>202.42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0.0</v>
      </c>
      <c r="AE10" s="4" t="s">
        <v>55</v>
      </c>
      <c r="AF10" s="3">
        <v>46174.0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88</v>
      </c>
      <c r="AO10" s="4" t="s">
        <v>47</v>
      </c>
      <c r="AP10" s="4" t="s">
        <v>47</v>
      </c>
      <c r="AQ10" s="4" t="s">
        <v>47</v>
      </c>
    </row>
    <row r="11" ht="12.75" customHeight="1">
      <c r="A11" s="2">
        <v>1891456.0</v>
      </c>
      <c r="B11" s="3">
        <v>46169.0</v>
      </c>
      <c r="C11" s="4" t="s">
        <v>83</v>
      </c>
      <c r="D11" s="2">
        <v>1573279.0</v>
      </c>
      <c r="E11" s="4" t="s">
        <v>89</v>
      </c>
      <c r="F11" s="4" t="s">
        <v>90</v>
      </c>
      <c r="G11" s="2">
        <v>2.09674283E8</v>
      </c>
      <c r="H11" s="4" t="s">
        <v>91</v>
      </c>
      <c r="I11" s="4" t="s">
        <v>47</v>
      </c>
      <c r="J11" s="4" t="s">
        <v>48</v>
      </c>
      <c r="K11" s="4" t="s">
        <v>49</v>
      </c>
      <c r="L11" s="3">
        <v>46174.0</v>
      </c>
      <c r="M11" s="4" t="s">
        <v>50</v>
      </c>
      <c r="N11" s="4" t="s">
        <v>47</v>
      </c>
      <c r="O11" s="4" t="s">
        <v>51</v>
      </c>
      <c r="P11" s="4" t="s">
        <v>47</v>
      </c>
      <c r="Q11" s="2">
        <v>1.0</v>
      </c>
      <c r="R11" s="2">
        <v>17.0</v>
      </c>
      <c r="S11" s="4" t="s">
        <v>52</v>
      </c>
      <c r="T11" s="4" t="s">
        <v>53</v>
      </c>
      <c r="U11" s="4" t="s">
        <v>47</v>
      </c>
      <c r="V11" s="5">
        <v>0.58</v>
      </c>
      <c r="W11" s="5">
        <v>0.0</v>
      </c>
      <c r="X11" s="5">
        <v>100.0</v>
      </c>
      <c r="Y11" s="5">
        <v>202.42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0.0</v>
      </c>
      <c r="AE11" s="4" t="s">
        <v>55</v>
      </c>
      <c r="AF11" s="3">
        <v>46174.0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56</v>
      </c>
      <c r="AO11" s="4" t="s">
        <v>47</v>
      </c>
      <c r="AP11" s="4" t="s">
        <v>47</v>
      </c>
      <c r="AQ11" s="4" t="s">
        <v>47</v>
      </c>
    </row>
    <row r="12" ht="12.75" customHeight="1">
      <c r="A12" s="2">
        <v>1891456.0</v>
      </c>
      <c r="B12" s="3">
        <v>46169.0</v>
      </c>
      <c r="C12" s="4" t="s">
        <v>92</v>
      </c>
      <c r="D12" s="2">
        <v>1703942.0</v>
      </c>
      <c r="E12" s="4" t="s">
        <v>93</v>
      </c>
      <c r="F12" s="4" t="s">
        <v>94</v>
      </c>
      <c r="G12" s="2">
        <v>2.53567334E8</v>
      </c>
      <c r="H12" s="4" t="s">
        <v>95</v>
      </c>
      <c r="I12" s="4" t="s">
        <v>47</v>
      </c>
      <c r="J12" s="4" t="s">
        <v>48</v>
      </c>
      <c r="K12" s="4" t="s">
        <v>49</v>
      </c>
      <c r="L12" s="3">
        <v>46235.0</v>
      </c>
      <c r="M12" s="4" t="s">
        <v>73</v>
      </c>
      <c r="N12" s="4" t="s">
        <v>47</v>
      </c>
      <c r="O12" s="4" t="s">
        <v>51</v>
      </c>
      <c r="P12" s="4" t="s">
        <v>47</v>
      </c>
      <c r="Q12" s="2">
        <v>1.0</v>
      </c>
      <c r="R12" s="2">
        <v>17.0</v>
      </c>
      <c r="S12" s="4" t="s">
        <v>52</v>
      </c>
      <c r="T12" s="4" t="s">
        <v>53</v>
      </c>
      <c r="U12" s="4" t="s">
        <v>47</v>
      </c>
      <c r="V12" s="5">
        <v>0.42</v>
      </c>
      <c r="W12" s="5">
        <v>0.0</v>
      </c>
      <c r="X12" s="5">
        <v>100.0</v>
      </c>
      <c r="Y12" s="5">
        <v>144.58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0.0</v>
      </c>
      <c r="AE12" s="4" t="s">
        <v>55</v>
      </c>
      <c r="AF12" s="3">
        <v>46235.0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56</v>
      </c>
      <c r="AO12" s="4" t="s">
        <v>47</v>
      </c>
      <c r="AP12" s="4" t="s">
        <v>47</v>
      </c>
      <c r="AQ12" s="4" t="s">
        <v>47</v>
      </c>
    </row>
    <row r="13" ht="12.75" customHeight="1">
      <c r="A13" s="2">
        <v>1891456.0</v>
      </c>
      <c r="B13" s="3">
        <v>46169.0</v>
      </c>
      <c r="C13" s="4" t="s">
        <v>96</v>
      </c>
      <c r="D13" s="2">
        <v>1800759.0</v>
      </c>
      <c r="E13" s="4" t="s">
        <v>97</v>
      </c>
      <c r="F13" s="4" t="s">
        <v>98</v>
      </c>
      <c r="G13" s="2">
        <v>1.12650114E8</v>
      </c>
      <c r="H13" s="4" t="s">
        <v>99</v>
      </c>
      <c r="I13" s="4" t="s">
        <v>47</v>
      </c>
      <c r="J13" s="4" t="s">
        <v>48</v>
      </c>
      <c r="K13" s="4" t="s">
        <v>49</v>
      </c>
      <c r="L13" s="3">
        <v>46174.0</v>
      </c>
      <c r="M13" s="4" t="s">
        <v>50</v>
      </c>
      <c r="N13" s="4" t="s">
        <v>47</v>
      </c>
      <c r="O13" s="4" t="s">
        <v>51</v>
      </c>
      <c r="P13" s="4" t="s">
        <v>47</v>
      </c>
      <c r="Q13" s="2">
        <v>1.0</v>
      </c>
      <c r="R13" s="2">
        <v>17.0</v>
      </c>
      <c r="S13" s="4" t="s">
        <v>52</v>
      </c>
      <c r="T13" s="4" t="s">
        <v>53</v>
      </c>
      <c r="U13" s="4" t="s">
        <v>47</v>
      </c>
      <c r="V13" s="5">
        <v>0.58</v>
      </c>
      <c r="W13" s="5">
        <v>0.0</v>
      </c>
      <c r="X13" s="5">
        <v>100.0</v>
      </c>
      <c r="Y13" s="5">
        <v>202.42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0.0</v>
      </c>
      <c r="AE13" s="4" t="s">
        <v>55</v>
      </c>
      <c r="AF13" s="3">
        <v>46174.0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56</v>
      </c>
      <c r="AO13" s="4" t="s">
        <v>47</v>
      </c>
      <c r="AP13" s="4" t="s">
        <v>47</v>
      </c>
      <c r="AQ13" s="4" t="s">
        <v>47</v>
      </c>
    </row>
    <row r="14" ht="12.75" customHeight="1">
      <c r="A14" s="2">
        <v>1891456.0</v>
      </c>
      <c r="B14" s="3">
        <v>46169.0</v>
      </c>
      <c r="C14" s="4" t="s">
        <v>96</v>
      </c>
      <c r="D14" s="2">
        <v>1800759.0</v>
      </c>
      <c r="E14" s="4" t="s">
        <v>100</v>
      </c>
      <c r="F14" s="4" t="s">
        <v>101</v>
      </c>
      <c r="G14" s="2">
        <v>9.47801125E8</v>
      </c>
      <c r="H14" s="4" t="s">
        <v>102</v>
      </c>
      <c r="I14" s="4" t="s">
        <v>47</v>
      </c>
      <c r="J14" s="4" t="s">
        <v>48</v>
      </c>
      <c r="K14" s="4" t="s">
        <v>49</v>
      </c>
      <c r="L14" s="3">
        <v>46174.0</v>
      </c>
      <c r="M14" s="4" t="s">
        <v>50</v>
      </c>
      <c r="N14" s="4" t="s">
        <v>47</v>
      </c>
      <c r="O14" s="4" t="s">
        <v>51</v>
      </c>
      <c r="P14" s="4" t="s">
        <v>47</v>
      </c>
      <c r="Q14" s="2">
        <v>1.0</v>
      </c>
      <c r="R14" s="2">
        <v>17.0</v>
      </c>
      <c r="S14" s="4" t="s">
        <v>52</v>
      </c>
      <c r="T14" s="4" t="s">
        <v>53</v>
      </c>
      <c r="U14" s="4" t="s">
        <v>47</v>
      </c>
      <c r="V14" s="5">
        <v>0.58</v>
      </c>
      <c r="W14" s="5">
        <v>0.0</v>
      </c>
      <c r="X14" s="5">
        <v>100.0</v>
      </c>
      <c r="Y14" s="5">
        <v>202.42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0.0</v>
      </c>
      <c r="AE14" s="4" t="s">
        <v>55</v>
      </c>
      <c r="AF14" s="3">
        <v>46174.0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56</v>
      </c>
      <c r="AO14" s="4" t="s">
        <v>47</v>
      </c>
      <c r="AP14" s="4" t="s">
        <v>47</v>
      </c>
      <c r="AQ14" s="4" t="s">
        <v>47</v>
      </c>
    </row>
    <row r="15" ht="12.75" customHeight="1">
      <c r="A15" s="2">
        <v>1891456.0</v>
      </c>
      <c r="B15" s="3">
        <v>46169.0</v>
      </c>
      <c r="C15" s="4" t="s">
        <v>103</v>
      </c>
      <c r="D15" s="2">
        <v>1831491.0</v>
      </c>
      <c r="E15" s="4" t="s">
        <v>104</v>
      </c>
      <c r="F15" s="4" t="s">
        <v>105</v>
      </c>
      <c r="G15" s="2">
        <v>4.35748594E8</v>
      </c>
      <c r="H15" s="4" t="s">
        <v>106</v>
      </c>
      <c r="I15" s="4" t="s">
        <v>47</v>
      </c>
      <c r="J15" s="4" t="s">
        <v>48</v>
      </c>
      <c r="K15" s="4" t="s">
        <v>49</v>
      </c>
      <c r="L15" s="3">
        <v>46143.0</v>
      </c>
      <c r="M15" s="4" t="s">
        <v>107</v>
      </c>
      <c r="N15" s="4" t="s">
        <v>47</v>
      </c>
      <c r="O15" s="4" t="s">
        <v>51</v>
      </c>
      <c r="P15" s="4" t="s">
        <v>47</v>
      </c>
      <c r="Q15" s="2">
        <v>1.0</v>
      </c>
      <c r="R15" s="2">
        <v>17.0</v>
      </c>
      <c r="S15" s="4" t="s">
        <v>52</v>
      </c>
      <c r="T15" s="4" t="s">
        <v>87</v>
      </c>
      <c r="U15" s="4" t="s">
        <v>47</v>
      </c>
      <c r="V15" s="5">
        <v>-0.58</v>
      </c>
      <c r="W15" s="5">
        <v>0.0</v>
      </c>
      <c r="X15" s="5">
        <v>100.0</v>
      </c>
      <c r="Y15" s="5">
        <v>-202.41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0.0</v>
      </c>
      <c r="AE15" s="4" t="s">
        <v>55</v>
      </c>
      <c r="AF15" s="3">
        <v>46143.0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88</v>
      </c>
      <c r="AO15" s="4" t="s">
        <v>47</v>
      </c>
      <c r="AP15" s="4" t="s">
        <v>47</v>
      </c>
      <c r="AQ15" s="4" t="s">
        <v>47</v>
      </c>
    </row>
    <row r="16" ht="12.75" customHeight="1">
      <c r="A16" s="2">
        <v>1891456.0</v>
      </c>
      <c r="B16" s="3">
        <v>46169.0</v>
      </c>
      <c r="C16" s="4" t="s">
        <v>108</v>
      </c>
      <c r="D16" s="2">
        <v>1855975.0</v>
      </c>
      <c r="E16" s="4" t="s">
        <v>109</v>
      </c>
      <c r="F16" s="4" t="s">
        <v>110</v>
      </c>
      <c r="G16" s="2">
        <v>6.2705642E8</v>
      </c>
      <c r="H16" s="4" t="s">
        <v>111</v>
      </c>
      <c r="I16" s="4" t="s">
        <v>47</v>
      </c>
      <c r="J16" s="4" t="s">
        <v>48</v>
      </c>
      <c r="K16" s="4" t="s">
        <v>49</v>
      </c>
      <c r="L16" s="3">
        <v>46113.0</v>
      </c>
      <c r="M16" s="4" t="s">
        <v>112</v>
      </c>
      <c r="N16" s="4" t="s">
        <v>47</v>
      </c>
      <c r="O16" s="4" t="s">
        <v>51</v>
      </c>
      <c r="P16" s="4" t="s">
        <v>47</v>
      </c>
      <c r="Q16" s="2">
        <v>1.0</v>
      </c>
      <c r="R16" s="2">
        <v>17.0</v>
      </c>
      <c r="S16" s="4" t="s">
        <v>52</v>
      </c>
      <c r="T16" s="4" t="s">
        <v>87</v>
      </c>
      <c r="U16" s="4" t="s">
        <v>47</v>
      </c>
      <c r="V16" s="5">
        <v>-0.33</v>
      </c>
      <c r="W16" s="5">
        <v>0.0</v>
      </c>
      <c r="X16" s="5">
        <v>100.0</v>
      </c>
      <c r="Y16" s="5">
        <v>-115.67</v>
      </c>
      <c r="Z16" s="4" t="s">
        <v>47</v>
      </c>
      <c r="AA16" s="5" t="s">
        <v>47</v>
      </c>
      <c r="AB16" s="4" t="s">
        <v>54</v>
      </c>
      <c r="AC16" s="4" t="s">
        <v>47</v>
      </c>
      <c r="AD16" s="5">
        <v>0.0</v>
      </c>
      <c r="AE16" s="4" t="s">
        <v>55</v>
      </c>
      <c r="AF16" s="3">
        <v>46113.0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113</v>
      </c>
      <c r="AO16" s="4" t="s">
        <v>47</v>
      </c>
      <c r="AP16" s="4" t="s">
        <v>47</v>
      </c>
      <c r="AQ16" s="4" t="s">
        <v>47</v>
      </c>
    </row>
    <row r="17" ht="12.75" customHeight="1">
      <c r="A17" s="2">
        <v>1891456.0</v>
      </c>
      <c r="B17" s="3">
        <v>46169.0</v>
      </c>
      <c r="C17" s="4" t="s">
        <v>114</v>
      </c>
      <c r="D17" s="2">
        <v>1989690.0</v>
      </c>
      <c r="E17" s="4" t="s">
        <v>115</v>
      </c>
      <c r="F17" s="4" t="s">
        <v>116</v>
      </c>
      <c r="G17" s="2">
        <v>6.98860594E8</v>
      </c>
      <c r="H17" s="4" t="s">
        <v>117</v>
      </c>
      <c r="I17" s="4" t="s">
        <v>47</v>
      </c>
      <c r="J17" s="4" t="s">
        <v>48</v>
      </c>
      <c r="K17" s="4" t="s">
        <v>49</v>
      </c>
      <c r="L17" s="3">
        <v>46023.0</v>
      </c>
      <c r="M17" s="4" t="s">
        <v>78</v>
      </c>
      <c r="N17" s="4" t="s">
        <v>47</v>
      </c>
      <c r="O17" s="4" t="s">
        <v>51</v>
      </c>
      <c r="P17" s="4" t="s">
        <v>47</v>
      </c>
      <c r="Q17" s="2">
        <v>1.0</v>
      </c>
      <c r="R17" s="2">
        <v>17.0</v>
      </c>
      <c r="S17" s="4" t="s">
        <v>52</v>
      </c>
      <c r="T17" s="4" t="s">
        <v>53</v>
      </c>
      <c r="U17" s="4" t="s">
        <v>47</v>
      </c>
      <c r="V17" s="5">
        <v>-0.58</v>
      </c>
      <c r="W17" s="5">
        <v>0.0</v>
      </c>
      <c r="X17" s="5">
        <v>100.0</v>
      </c>
      <c r="Y17" s="5">
        <v>-202.42</v>
      </c>
      <c r="Z17" s="4" t="s">
        <v>47</v>
      </c>
      <c r="AA17" s="5" t="s">
        <v>47</v>
      </c>
      <c r="AB17" s="4" t="s">
        <v>54</v>
      </c>
      <c r="AC17" s="4" t="s">
        <v>47</v>
      </c>
      <c r="AD17" s="5">
        <v>0.0</v>
      </c>
      <c r="AE17" s="4" t="s">
        <v>55</v>
      </c>
      <c r="AF17" s="3">
        <v>46023.0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56</v>
      </c>
      <c r="AO17" s="4" t="s">
        <v>47</v>
      </c>
      <c r="AP17" s="4" t="s">
        <v>47</v>
      </c>
      <c r="AQ17" s="4" t="s">
        <v>47</v>
      </c>
    </row>
    <row r="18" ht="12.75" customHeight="1">
      <c r="A18" s="2">
        <v>1891456.0</v>
      </c>
      <c r="B18" s="3">
        <v>46169.0</v>
      </c>
      <c r="C18" s="4" t="s">
        <v>118</v>
      </c>
      <c r="D18" s="2">
        <v>1509841.0</v>
      </c>
      <c r="E18" s="4" t="s">
        <v>119</v>
      </c>
      <c r="F18" s="4" t="s">
        <v>120</v>
      </c>
      <c r="G18" s="4" t="s">
        <v>47</v>
      </c>
      <c r="H18" s="4" t="s">
        <v>47</v>
      </c>
      <c r="I18" s="4" t="s">
        <v>47</v>
      </c>
      <c r="J18" s="4" t="s">
        <v>121</v>
      </c>
      <c r="K18" s="4" t="s">
        <v>122</v>
      </c>
      <c r="L18" s="3">
        <v>46143.0</v>
      </c>
      <c r="M18" s="4" t="s">
        <v>107</v>
      </c>
      <c r="N18" s="4" t="s">
        <v>47</v>
      </c>
      <c r="O18" s="4" t="s">
        <v>123</v>
      </c>
      <c r="P18" s="4" t="s">
        <v>123</v>
      </c>
      <c r="Q18" s="2">
        <v>11.0</v>
      </c>
      <c r="R18" s="2">
        <v>3.0</v>
      </c>
      <c r="S18" s="4" t="s">
        <v>124</v>
      </c>
      <c r="T18" s="4" t="s">
        <v>47</v>
      </c>
      <c r="U18" s="4" t="s">
        <v>47</v>
      </c>
      <c r="V18" s="5">
        <v>10.0</v>
      </c>
      <c r="W18" s="5">
        <v>524.09</v>
      </c>
      <c r="X18" s="5">
        <v>100.0</v>
      </c>
      <c r="Y18" s="5">
        <v>52.41</v>
      </c>
      <c r="Z18" s="4" t="s">
        <v>47</v>
      </c>
      <c r="AA18" s="5" t="s">
        <v>47</v>
      </c>
      <c r="AB18" s="4" t="s">
        <v>125</v>
      </c>
      <c r="AC18" s="4" t="s">
        <v>47</v>
      </c>
      <c r="AD18" s="5">
        <v>0.0</v>
      </c>
      <c r="AE18" s="4" t="s">
        <v>126</v>
      </c>
      <c r="AF18" s="3">
        <v>45200.0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47</v>
      </c>
      <c r="AO18" s="4" t="s">
        <v>47</v>
      </c>
      <c r="AP18" s="4" t="s">
        <v>47</v>
      </c>
      <c r="AQ18" s="4" t="s">
        <v>47</v>
      </c>
    </row>
    <row r="19" ht="12.75" customHeight="1">
      <c r="A19" s="2">
        <v>1891456.0</v>
      </c>
      <c r="B19" s="3">
        <v>46169.0</v>
      </c>
      <c r="C19" s="4" t="s">
        <v>118</v>
      </c>
      <c r="D19" s="2">
        <v>1509841.0</v>
      </c>
      <c r="E19" s="4" t="s">
        <v>119</v>
      </c>
      <c r="F19" s="4" t="s">
        <v>120</v>
      </c>
      <c r="G19" s="4" t="s">
        <v>47</v>
      </c>
      <c r="H19" s="4" t="s">
        <v>47</v>
      </c>
      <c r="I19" s="4" t="s">
        <v>47</v>
      </c>
      <c r="J19" s="4" t="s">
        <v>121</v>
      </c>
      <c r="K19" s="4" t="s">
        <v>122</v>
      </c>
      <c r="L19" s="3">
        <v>46143.0</v>
      </c>
      <c r="M19" s="4" t="s">
        <v>107</v>
      </c>
      <c r="N19" s="4" t="s">
        <v>47</v>
      </c>
      <c r="O19" s="4" t="s">
        <v>123</v>
      </c>
      <c r="P19" s="4" t="s">
        <v>123</v>
      </c>
      <c r="Q19" s="2">
        <v>11.0</v>
      </c>
      <c r="R19" s="2">
        <v>5.0</v>
      </c>
      <c r="S19" s="4" t="s">
        <v>127</v>
      </c>
      <c r="T19" s="4" t="s">
        <v>47</v>
      </c>
      <c r="U19" s="4" t="s">
        <v>47</v>
      </c>
      <c r="V19" s="5">
        <v>10.0</v>
      </c>
      <c r="W19" s="5">
        <v>60.5</v>
      </c>
      <c r="X19" s="5">
        <v>100.0</v>
      </c>
      <c r="Y19" s="5">
        <v>6.05</v>
      </c>
      <c r="Z19" s="4" t="s">
        <v>47</v>
      </c>
      <c r="AA19" s="5" t="s">
        <v>47</v>
      </c>
      <c r="AB19" s="4" t="s">
        <v>125</v>
      </c>
      <c r="AC19" s="4" t="s">
        <v>47</v>
      </c>
      <c r="AD19" s="5">
        <v>0.0</v>
      </c>
      <c r="AE19" s="4" t="s">
        <v>126</v>
      </c>
      <c r="AF19" s="3">
        <v>45200.0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47</v>
      </c>
      <c r="AO19" s="4" t="s">
        <v>47</v>
      </c>
      <c r="AP19" s="4" t="s">
        <v>47</v>
      </c>
      <c r="AQ19" s="4" t="s">
        <v>47</v>
      </c>
    </row>
    <row r="20" ht="12.75" customHeight="1">
      <c r="A20" s="2">
        <v>1891456.0</v>
      </c>
      <c r="B20" s="3">
        <v>46169.0</v>
      </c>
      <c r="C20" s="4" t="s">
        <v>118</v>
      </c>
      <c r="D20" s="2">
        <v>1509841.0</v>
      </c>
      <c r="E20" s="4" t="s">
        <v>119</v>
      </c>
      <c r="F20" s="4" t="s">
        <v>120</v>
      </c>
      <c r="G20" s="4" t="s">
        <v>47</v>
      </c>
      <c r="H20" s="4" t="s">
        <v>47</v>
      </c>
      <c r="I20" s="4" t="s">
        <v>47</v>
      </c>
      <c r="J20" s="4" t="s">
        <v>121</v>
      </c>
      <c r="K20" s="4" t="s">
        <v>122</v>
      </c>
      <c r="L20" s="3">
        <v>46143.0</v>
      </c>
      <c r="M20" s="4" t="s">
        <v>107</v>
      </c>
      <c r="N20" s="4" t="s">
        <v>47</v>
      </c>
      <c r="O20" s="4" t="s">
        <v>123</v>
      </c>
      <c r="P20" s="4" t="s">
        <v>123</v>
      </c>
      <c r="Q20" s="2">
        <v>11.0</v>
      </c>
      <c r="R20" s="2">
        <v>10.0</v>
      </c>
      <c r="S20" s="4" t="s">
        <v>128</v>
      </c>
      <c r="T20" s="4" t="s">
        <v>47</v>
      </c>
      <c r="U20" s="4" t="s">
        <v>47</v>
      </c>
      <c r="V20" s="5">
        <v>10.0</v>
      </c>
      <c r="W20" s="5">
        <v>11.0</v>
      </c>
      <c r="X20" s="5">
        <v>100.0</v>
      </c>
      <c r="Y20" s="5">
        <v>1.1</v>
      </c>
      <c r="Z20" s="4" t="s">
        <v>47</v>
      </c>
      <c r="AA20" s="5" t="s">
        <v>47</v>
      </c>
      <c r="AB20" s="4" t="s">
        <v>125</v>
      </c>
      <c r="AC20" s="4" t="s">
        <v>47</v>
      </c>
      <c r="AD20" s="5">
        <v>0.0</v>
      </c>
      <c r="AE20" s="4" t="s">
        <v>126</v>
      </c>
      <c r="AF20" s="3">
        <v>45200.0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47</v>
      </c>
      <c r="AO20" s="4" t="s">
        <v>47</v>
      </c>
      <c r="AP20" s="4" t="s">
        <v>47</v>
      </c>
      <c r="AQ20" s="4" t="s">
        <v>47</v>
      </c>
    </row>
    <row r="21" ht="12.75" customHeight="1">
      <c r="A21" s="2">
        <v>1891456.0</v>
      </c>
      <c r="B21" s="3">
        <v>46169.0</v>
      </c>
      <c r="C21" s="4" t="s">
        <v>118</v>
      </c>
      <c r="D21" s="2">
        <v>1509841.0</v>
      </c>
      <c r="E21" s="4" t="s">
        <v>119</v>
      </c>
      <c r="F21" s="4" t="s">
        <v>120</v>
      </c>
      <c r="G21" s="4" t="s">
        <v>47</v>
      </c>
      <c r="H21" s="4" t="s">
        <v>47</v>
      </c>
      <c r="I21" s="4" t="s">
        <v>47</v>
      </c>
      <c r="J21" s="4" t="s">
        <v>121</v>
      </c>
      <c r="K21" s="4" t="s">
        <v>122</v>
      </c>
      <c r="L21" s="3">
        <v>46143.0</v>
      </c>
      <c r="M21" s="4" t="s">
        <v>107</v>
      </c>
      <c r="N21" s="4" t="s">
        <v>47</v>
      </c>
      <c r="O21" s="4" t="s">
        <v>123</v>
      </c>
      <c r="P21" s="4" t="s">
        <v>123</v>
      </c>
      <c r="Q21" s="2">
        <v>11.0</v>
      </c>
      <c r="R21" s="2">
        <v>60.0</v>
      </c>
      <c r="S21" s="4" t="s">
        <v>129</v>
      </c>
      <c r="T21" s="4" t="s">
        <v>47</v>
      </c>
      <c r="U21" s="4" t="s">
        <v>47</v>
      </c>
      <c r="V21" s="5">
        <v>10.0</v>
      </c>
      <c r="W21" s="5">
        <v>76.83</v>
      </c>
      <c r="X21" s="5">
        <v>100.0</v>
      </c>
      <c r="Y21" s="5">
        <v>7.68</v>
      </c>
      <c r="Z21" s="4" t="s">
        <v>47</v>
      </c>
      <c r="AA21" s="5" t="s">
        <v>47</v>
      </c>
      <c r="AB21" s="4" t="s">
        <v>125</v>
      </c>
      <c r="AC21" s="4" t="s">
        <v>47</v>
      </c>
      <c r="AD21" s="5">
        <v>0.0</v>
      </c>
      <c r="AE21" s="4" t="s">
        <v>126</v>
      </c>
      <c r="AF21" s="3">
        <v>45200.0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47</v>
      </c>
      <c r="AO21" s="4" t="s">
        <v>47</v>
      </c>
      <c r="AP21" s="4" t="s">
        <v>47</v>
      </c>
      <c r="AQ21" s="4" t="s">
        <v>47</v>
      </c>
    </row>
    <row r="22" ht="12.75" customHeight="1">
      <c r="A22" s="2">
        <v>1891456.0</v>
      </c>
      <c r="B22" s="3">
        <v>46169.0</v>
      </c>
      <c r="C22" s="4" t="s">
        <v>118</v>
      </c>
      <c r="D22" s="2">
        <v>1509841.0</v>
      </c>
      <c r="E22" s="4" t="s">
        <v>130</v>
      </c>
      <c r="F22" s="4" t="s">
        <v>131</v>
      </c>
      <c r="G22" s="4" t="s">
        <v>47</v>
      </c>
      <c r="H22" s="4" t="s">
        <v>47</v>
      </c>
      <c r="I22" s="4" t="s">
        <v>47</v>
      </c>
      <c r="J22" s="4" t="s">
        <v>121</v>
      </c>
      <c r="K22" s="4" t="s">
        <v>122</v>
      </c>
      <c r="L22" s="3">
        <v>46113.0</v>
      </c>
      <c r="M22" s="4" t="s">
        <v>112</v>
      </c>
      <c r="N22" s="4" t="s">
        <v>47</v>
      </c>
      <c r="O22" s="4" t="s">
        <v>51</v>
      </c>
      <c r="P22" s="4" t="s">
        <v>123</v>
      </c>
      <c r="Q22" s="2">
        <v>10.0</v>
      </c>
      <c r="R22" s="2">
        <v>3.0</v>
      </c>
      <c r="S22" s="4" t="s">
        <v>124</v>
      </c>
      <c r="T22" s="4" t="s">
        <v>47</v>
      </c>
      <c r="U22" s="4" t="s">
        <v>47</v>
      </c>
      <c r="V22" s="5">
        <v>10.0</v>
      </c>
      <c r="W22" s="5">
        <v>138.3</v>
      </c>
      <c r="X22" s="5">
        <v>100.0</v>
      </c>
      <c r="Y22" s="5">
        <v>13.83</v>
      </c>
      <c r="Z22" s="4" t="s">
        <v>47</v>
      </c>
      <c r="AA22" s="5" t="s">
        <v>47</v>
      </c>
      <c r="AB22" s="4" t="s">
        <v>54</v>
      </c>
      <c r="AC22" s="4" t="s">
        <v>47</v>
      </c>
      <c r="AD22" s="5">
        <v>0.0</v>
      </c>
      <c r="AE22" s="4" t="s">
        <v>55</v>
      </c>
      <c r="AF22" s="3">
        <v>46023.0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47</v>
      </c>
      <c r="AO22" s="4" t="s">
        <v>47</v>
      </c>
      <c r="AP22" s="4" t="s">
        <v>47</v>
      </c>
      <c r="AQ22" s="4" t="s">
        <v>47</v>
      </c>
    </row>
    <row r="23" ht="12.75" customHeight="1">
      <c r="A23" s="2">
        <v>1891456.0</v>
      </c>
      <c r="B23" s="3">
        <v>46169.0</v>
      </c>
      <c r="C23" s="4" t="s">
        <v>118</v>
      </c>
      <c r="D23" s="2">
        <v>1509841.0</v>
      </c>
      <c r="E23" s="4" t="s">
        <v>130</v>
      </c>
      <c r="F23" s="4" t="s">
        <v>131</v>
      </c>
      <c r="G23" s="4" t="s">
        <v>47</v>
      </c>
      <c r="H23" s="4" t="s">
        <v>47</v>
      </c>
      <c r="I23" s="4" t="s">
        <v>47</v>
      </c>
      <c r="J23" s="4" t="s">
        <v>121</v>
      </c>
      <c r="K23" s="4" t="s">
        <v>122</v>
      </c>
      <c r="L23" s="3">
        <v>46143.0</v>
      </c>
      <c r="M23" s="4" t="s">
        <v>107</v>
      </c>
      <c r="N23" s="4" t="s">
        <v>47</v>
      </c>
      <c r="O23" s="4" t="s">
        <v>51</v>
      </c>
      <c r="P23" s="4" t="s">
        <v>123</v>
      </c>
      <c r="Q23" s="2">
        <v>10.0</v>
      </c>
      <c r="R23" s="2">
        <v>3.0</v>
      </c>
      <c r="S23" s="4" t="s">
        <v>124</v>
      </c>
      <c r="T23" s="4" t="s">
        <v>47</v>
      </c>
      <c r="U23" s="4" t="s">
        <v>47</v>
      </c>
      <c r="V23" s="5">
        <v>10.0</v>
      </c>
      <c r="W23" s="5">
        <v>138.3</v>
      </c>
      <c r="X23" s="5">
        <v>100.0</v>
      </c>
      <c r="Y23" s="5">
        <v>13.83</v>
      </c>
      <c r="Z23" s="4" t="s">
        <v>47</v>
      </c>
      <c r="AA23" s="5" t="s">
        <v>47</v>
      </c>
      <c r="AB23" s="4" t="s">
        <v>54</v>
      </c>
      <c r="AC23" s="4" t="s">
        <v>47</v>
      </c>
      <c r="AD23" s="5">
        <v>0.0</v>
      </c>
      <c r="AE23" s="4" t="s">
        <v>55</v>
      </c>
      <c r="AF23" s="3">
        <v>46023.0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47</v>
      </c>
      <c r="AO23" s="4" t="s">
        <v>47</v>
      </c>
      <c r="AP23" s="4" t="s">
        <v>47</v>
      </c>
      <c r="AQ23" s="4" t="s">
        <v>47</v>
      </c>
    </row>
    <row r="24" ht="12.75" customHeight="1">
      <c r="A24" s="2">
        <v>1891456.0</v>
      </c>
      <c r="B24" s="3">
        <v>46169.0</v>
      </c>
      <c r="C24" s="4" t="s">
        <v>118</v>
      </c>
      <c r="D24" s="2">
        <v>1509841.0</v>
      </c>
      <c r="E24" s="4" t="s">
        <v>130</v>
      </c>
      <c r="F24" s="4" t="s">
        <v>131</v>
      </c>
      <c r="G24" s="4" t="s">
        <v>47</v>
      </c>
      <c r="H24" s="4" t="s">
        <v>47</v>
      </c>
      <c r="I24" s="4" t="s">
        <v>47</v>
      </c>
      <c r="J24" s="4" t="s">
        <v>121</v>
      </c>
      <c r="K24" s="4" t="s">
        <v>122</v>
      </c>
      <c r="L24" s="3">
        <v>46174.0</v>
      </c>
      <c r="M24" s="4" t="s">
        <v>50</v>
      </c>
      <c r="N24" s="4" t="s">
        <v>47</v>
      </c>
      <c r="O24" s="4" t="s">
        <v>51</v>
      </c>
      <c r="P24" s="4" t="s">
        <v>123</v>
      </c>
      <c r="Q24" s="2">
        <v>10.0</v>
      </c>
      <c r="R24" s="2">
        <v>3.0</v>
      </c>
      <c r="S24" s="4" t="s">
        <v>124</v>
      </c>
      <c r="T24" s="4" t="s">
        <v>47</v>
      </c>
      <c r="U24" s="4" t="s">
        <v>47</v>
      </c>
      <c r="V24" s="5">
        <v>10.0</v>
      </c>
      <c r="W24" s="5">
        <v>975.74</v>
      </c>
      <c r="X24" s="5">
        <v>100.0</v>
      </c>
      <c r="Y24" s="5">
        <v>97.57</v>
      </c>
      <c r="Z24" s="4" t="s">
        <v>47</v>
      </c>
      <c r="AA24" s="5" t="s">
        <v>47</v>
      </c>
      <c r="AB24" s="4" t="s">
        <v>54</v>
      </c>
      <c r="AC24" s="4" t="s">
        <v>47</v>
      </c>
      <c r="AD24" s="5">
        <v>0.0</v>
      </c>
      <c r="AE24" s="4" t="s">
        <v>55</v>
      </c>
      <c r="AF24" s="3">
        <v>46023.0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47</v>
      </c>
      <c r="AO24" s="4" t="s">
        <v>47</v>
      </c>
      <c r="AP24" s="4" t="s">
        <v>47</v>
      </c>
      <c r="AQ24" s="4" t="s">
        <v>47</v>
      </c>
    </row>
    <row r="25" ht="12.75" customHeight="1">
      <c r="A25" s="2">
        <v>1891456.0</v>
      </c>
      <c r="B25" s="3">
        <v>46169.0</v>
      </c>
      <c r="C25" s="4" t="s">
        <v>118</v>
      </c>
      <c r="D25" s="2">
        <v>1509841.0</v>
      </c>
      <c r="E25" s="4" t="s">
        <v>130</v>
      </c>
      <c r="F25" s="4" t="s">
        <v>131</v>
      </c>
      <c r="G25" s="4" t="s">
        <v>47</v>
      </c>
      <c r="H25" s="4" t="s">
        <v>47</v>
      </c>
      <c r="I25" s="4" t="s">
        <v>47</v>
      </c>
      <c r="J25" s="4" t="s">
        <v>121</v>
      </c>
      <c r="K25" s="4" t="s">
        <v>122</v>
      </c>
      <c r="L25" s="3">
        <v>46113.0</v>
      </c>
      <c r="M25" s="4" t="s">
        <v>112</v>
      </c>
      <c r="N25" s="4" t="s">
        <v>47</v>
      </c>
      <c r="O25" s="4" t="s">
        <v>51</v>
      </c>
      <c r="P25" s="4" t="s">
        <v>123</v>
      </c>
      <c r="Q25" s="2">
        <v>10.0</v>
      </c>
      <c r="R25" s="2">
        <v>60.0</v>
      </c>
      <c r="S25" s="4" t="s">
        <v>129</v>
      </c>
      <c r="T25" s="4" t="s">
        <v>47</v>
      </c>
      <c r="U25" s="4" t="s">
        <v>47</v>
      </c>
      <c r="V25" s="5">
        <v>10.0</v>
      </c>
      <c r="W25" s="5">
        <v>19.95</v>
      </c>
      <c r="X25" s="5">
        <v>100.0</v>
      </c>
      <c r="Y25" s="5">
        <v>2.0</v>
      </c>
      <c r="Z25" s="4" t="s">
        <v>47</v>
      </c>
      <c r="AA25" s="5" t="s">
        <v>47</v>
      </c>
      <c r="AB25" s="4" t="s">
        <v>54</v>
      </c>
      <c r="AC25" s="4" t="s">
        <v>47</v>
      </c>
      <c r="AD25" s="5">
        <v>0.0</v>
      </c>
      <c r="AE25" s="4" t="s">
        <v>55</v>
      </c>
      <c r="AF25" s="3">
        <v>46023.0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47</v>
      </c>
      <c r="AO25" s="4" t="s">
        <v>47</v>
      </c>
      <c r="AP25" s="4" t="s">
        <v>47</v>
      </c>
      <c r="AQ25" s="4" t="s">
        <v>47</v>
      </c>
    </row>
    <row r="26" ht="12.75" customHeight="1">
      <c r="A26" s="2">
        <v>1891456.0</v>
      </c>
      <c r="B26" s="3">
        <v>46169.0</v>
      </c>
      <c r="C26" s="4" t="s">
        <v>118</v>
      </c>
      <c r="D26" s="2">
        <v>1509841.0</v>
      </c>
      <c r="E26" s="4" t="s">
        <v>130</v>
      </c>
      <c r="F26" s="4" t="s">
        <v>131</v>
      </c>
      <c r="G26" s="4" t="s">
        <v>47</v>
      </c>
      <c r="H26" s="4" t="s">
        <v>47</v>
      </c>
      <c r="I26" s="4" t="s">
        <v>47</v>
      </c>
      <c r="J26" s="4" t="s">
        <v>121</v>
      </c>
      <c r="K26" s="4" t="s">
        <v>122</v>
      </c>
      <c r="L26" s="3">
        <v>46143.0</v>
      </c>
      <c r="M26" s="4" t="s">
        <v>107</v>
      </c>
      <c r="N26" s="4" t="s">
        <v>47</v>
      </c>
      <c r="O26" s="4" t="s">
        <v>51</v>
      </c>
      <c r="P26" s="4" t="s">
        <v>123</v>
      </c>
      <c r="Q26" s="2">
        <v>10.0</v>
      </c>
      <c r="R26" s="2">
        <v>60.0</v>
      </c>
      <c r="S26" s="4" t="s">
        <v>129</v>
      </c>
      <c r="T26" s="4" t="s">
        <v>47</v>
      </c>
      <c r="U26" s="4" t="s">
        <v>47</v>
      </c>
      <c r="V26" s="5">
        <v>10.0</v>
      </c>
      <c r="W26" s="5">
        <v>19.95</v>
      </c>
      <c r="X26" s="5">
        <v>100.0</v>
      </c>
      <c r="Y26" s="5">
        <v>2.0</v>
      </c>
      <c r="Z26" s="4" t="s">
        <v>47</v>
      </c>
      <c r="AA26" s="5" t="s">
        <v>47</v>
      </c>
      <c r="AB26" s="4" t="s">
        <v>54</v>
      </c>
      <c r="AC26" s="4" t="s">
        <v>47</v>
      </c>
      <c r="AD26" s="5">
        <v>0.0</v>
      </c>
      <c r="AE26" s="4" t="s">
        <v>55</v>
      </c>
      <c r="AF26" s="3">
        <v>46023.0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47</v>
      </c>
      <c r="AO26" s="4" t="s">
        <v>47</v>
      </c>
      <c r="AP26" s="4" t="s">
        <v>47</v>
      </c>
      <c r="AQ26" s="4" t="s">
        <v>47</v>
      </c>
    </row>
    <row r="27" ht="12.75" customHeight="1">
      <c r="A27" s="2">
        <v>1891456.0</v>
      </c>
      <c r="B27" s="3">
        <v>46169.0</v>
      </c>
      <c r="C27" s="4" t="s">
        <v>118</v>
      </c>
      <c r="D27" s="2">
        <v>1509841.0</v>
      </c>
      <c r="E27" s="4" t="s">
        <v>130</v>
      </c>
      <c r="F27" s="4" t="s">
        <v>131</v>
      </c>
      <c r="G27" s="4" t="s">
        <v>47</v>
      </c>
      <c r="H27" s="4" t="s">
        <v>47</v>
      </c>
      <c r="I27" s="4" t="s">
        <v>47</v>
      </c>
      <c r="J27" s="4" t="s">
        <v>121</v>
      </c>
      <c r="K27" s="4" t="s">
        <v>122</v>
      </c>
      <c r="L27" s="3">
        <v>46174.0</v>
      </c>
      <c r="M27" s="4" t="s">
        <v>50</v>
      </c>
      <c r="N27" s="4" t="s">
        <v>47</v>
      </c>
      <c r="O27" s="4" t="s">
        <v>51</v>
      </c>
      <c r="P27" s="4" t="s">
        <v>123</v>
      </c>
      <c r="Q27" s="2">
        <v>10.0</v>
      </c>
      <c r="R27" s="2">
        <v>60.0</v>
      </c>
      <c r="S27" s="4" t="s">
        <v>129</v>
      </c>
      <c r="T27" s="4" t="s">
        <v>47</v>
      </c>
      <c r="U27" s="4" t="s">
        <v>47</v>
      </c>
      <c r="V27" s="5">
        <v>10.0</v>
      </c>
      <c r="W27" s="5">
        <v>151.05</v>
      </c>
      <c r="X27" s="5">
        <v>100.0</v>
      </c>
      <c r="Y27" s="5">
        <v>15.11</v>
      </c>
      <c r="Z27" s="4" t="s">
        <v>47</v>
      </c>
      <c r="AA27" s="5" t="s">
        <v>47</v>
      </c>
      <c r="AB27" s="4" t="s">
        <v>54</v>
      </c>
      <c r="AC27" s="4" t="s">
        <v>47</v>
      </c>
      <c r="AD27" s="5">
        <v>0.0</v>
      </c>
      <c r="AE27" s="4" t="s">
        <v>55</v>
      </c>
      <c r="AF27" s="3">
        <v>46023.0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47</v>
      </c>
      <c r="AO27" s="4" t="s">
        <v>47</v>
      </c>
      <c r="AP27" s="4" t="s">
        <v>47</v>
      </c>
      <c r="AQ27" s="4" t="s">
        <v>47</v>
      </c>
    </row>
    <row r="28" ht="12.75" customHeight="1">
      <c r="A28" s="2">
        <v>1891456.0</v>
      </c>
      <c r="B28" s="3">
        <v>46169.0</v>
      </c>
      <c r="C28" s="4" t="s">
        <v>132</v>
      </c>
      <c r="D28" s="2">
        <v>1510420.0</v>
      </c>
      <c r="E28" s="4" t="s">
        <v>133</v>
      </c>
      <c r="F28" s="4" t="s">
        <v>134</v>
      </c>
      <c r="G28" s="4" t="s">
        <v>47</v>
      </c>
      <c r="H28" s="4" t="s">
        <v>47</v>
      </c>
      <c r="I28" s="4" t="s">
        <v>47</v>
      </c>
      <c r="J28" s="4" t="s">
        <v>135</v>
      </c>
      <c r="K28" s="4" t="s">
        <v>49</v>
      </c>
      <c r="L28" s="3">
        <v>46174.0</v>
      </c>
      <c r="M28" s="4" t="s">
        <v>50</v>
      </c>
      <c r="N28" s="4" t="s">
        <v>47</v>
      </c>
      <c r="O28" s="4" t="s">
        <v>123</v>
      </c>
      <c r="P28" s="4" t="s">
        <v>123</v>
      </c>
      <c r="Q28" s="2">
        <v>1.0</v>
      </c>
      <c r="R28" s="2">
        <v>17.0</v>
      </c>
      <c r="S28" s="4" t="s">
        <v>52</v>
      </c>
      <c r="T28" s="4" t="s">
        <v>47</v>
      </c>
      <c r="U28" s="4" t="s">
        <v>47</v>
      </c>
      <c r="V28" s="5">
        <v>22.0</v>
      </c>
      <c r="W28" s="5">
        <v>162.66</v>
      </c>
      <c r="X28" s="5">
        <v>100.0</v>
      </c>
      <c r="Y28" s="5">
        <v>35.79</v>
      </c>
      <c r="Z28" s="5">
        <v>0.0</v>
      </c>
      <c r="AA28" s="5">
        <v>0.0</v>
      </c>
      <c r="AB28" s="4" t="s">
        <v>125</v>
      </c>
      <c r="AC28" s="4" t="s">
        <v>47</v>
      </c>
      <c r="AD28" s="5">
        <v>0.0</v>
      </c>
      <c r="AE28" s="4" t="s">
        <v>126</v>
      </c>
      <c r="AF28" s="3">
        <v>45809.0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47</v>
      </c>
      <c r="AO28" s="4" t="s">
        <v>47</v>
      </c>
      <c r="AP28" s="4" t="s">
        <v>47</v>
      </c>
      <c r="AQ28" s="4" t="s">
        <v>136</v>
      </c>
    </row>
    <row r="29" ht="12.75" customHeight="1">
      <c r="A29" s="2">
        <v>1891456.0</v>
      </c>
      <c r="B29" s="3">
        <v>46169.0</v>
      </c>
      <c r="C29" s="4" t="s">
        <v>132</v>
      </c>
      <c r="D29" s="2">
        <v>1510420.0</v>
      </c>
      <c r="E29" s="4" t="s">
        <v>137</v>
      </c>
      <c r="F29" s="4" t="s">
        <v>138</v>
      </c>
      <c r="G29" s="4" t="s">
        <v>47</v>
      </c>
      <c r="H29" s="4" t="s">
        <v>47</v>
      </c>
      <c r="I29" s="4" t="s">
        <v>47</v>
      </c>
      <c r="J29" s="4" t="s">
        <v>135</v>
      </c>
      <c r="K29" s="4" t="s">
        <v>49</v>
      </c>
      <c r="L29" s="3">
        <v>46174.0</v>
      </c>
      <c r="M29" s="4" t="s">
        <v>50</v>
      </c>
      <c r="N29" s="4" t="s">
        <v>47</v>
      </c>
      <c r="O29" s="4" t="s">
        <v>123</v>
      </c>
      <c r="P29" s="4" t="s">
        <v>123</v>
      </c>
      <c r="Q29" s="2">
        <v>1.0</v>
      </c>
      <c r="R29" s="2">
        <v>17.0</v>
      </c>
      <c r="S29" s="4" t="s">
        <v>52</v>
      </c>
      <c r="T29" s="4" t="s">
        <v>47</v>
      </c>
      <c r="U29" s="4" t="s">
        <v>47</v>
      </c>
      <c r="V29" s="5">
        <v>22.0</v>
      </c>
      <c r="W29" s="5">
        <v>177.81</v>
      </c>
      <c r="X29" s="5">
        <v>100.0</v>
      </c>
      <c r="Y29" s="5">
        <v>39.12</v>
      </c>
      <c r="Z29" s="5">
        <v>0.0</v>
      </c>
      <c r="AA29" s="5">
        <v>0.0</v>
      </c>
      <c r="AB29" s="4" t="s">
        <v>125</v>
      </c>
      <c r="AC29" s="4" t="s">
        <v>47</v>
      </c>
      <c r="AD29" s="5">
        <v>0.0</v>
      </c>
      <c r="AE29" s="4" t="s">
        <v>126</v>
      </c>
      <c r="AF29" s="3">
        <v>45809.0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136</v>
      </c>
    </row>
    <row r="30" ht="12.75" customHeight="1">
      <c r="A30" s="2">
        <v>1891456.0</v>
      </c>
      <c r="B30" s="3">
        <v>46169.0</v>
      </c>
      <c r="C30" s="4" t="s">
        <v>132</v>
      </c>
      <c r="D30" s="2">
        <v>1510420.0</v>
      </c>
      <c r="E30" s="4" t="s">
        <v>139</v>
      </c>
      <c r="F30" s="4" t="s">
        <v>140</v>
      </c>
      <c r="G30" s="4" t="s">
        <v>47</v>
      </c>
      <c r="H30" s="4" t="s">
        <v>47</v>
      </c>
      <c r="I30" s="4" t="s">
        <v>47</v>
      </c>
      <c r="J30" s="4" t="s">
        <v>141</v>
      </c>
      <c r="K30" s="4" t="s">
        <v>142</v>
      </c>
      <c r="L30" s="3">
        <v>46174.0</v>
      </c>
      <c r="M30" s="4" t="s">
        <v>50</v>
      </c>
      <c r="N30" s="4" t="s">
        <v>47</v>
      </c>
      <c r="O30" s="4" t="s">
        <v>123</v>
      </c>
      <c r="P30" s="4" t="s">
        <v>123</v>
      </c>
      <c r="Q30" s="2">
        <v>1.0</v>
      </c>
      <c r="R30" s="2">
        <v>3.0</v>
      </c>
      <c r="S30" s="4" t="s">
        <v>124</v>
      </c>
      <c r="T30" s="4" t="s">
        <v>47</v>
      </c>
      <c r="U30" s="4" t="s">
        <v>47</v>
      </c>
      <c r="V30" s="5">
        <v>10.0</v>
      </c>
      <c r="W30" s="5">
        <v>52.78</v>
      </c>
      <c r="X30" s="5">
        <v>100.0</v>
      </c>
      <c r="Y30" s="5">
        <v>5.28</v>
      </c>
      <c r="Z30" s="4" t="s">
        <v>47</v>
      </c>
      <c r="AA30" s="5" t="s">
        <v>47</v>
      </c>
      <c r="AB30" s="4" t="s">
        <v>143</v>
      </c>
      <c r="AC30" s="4" t="s">
        <v>47</v>
      </c>
      <c r="AD30" s="5">
        <v>0.0</v>
      </c>
      <c r="AE30" s="4" t="s">
        <v>144</v>
      </c>
      <c r="AF30" s="3">
        <v>44586.0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47</v>
      </c>
    </row>
    <row r="31" ht="12.75" customHeight="1">
      <c r="A31" s="2">
        <v>1891456.0</v>
      </c>
      <c r="B31" s="3">
        <v>46169.0</v>
      </c>
      <c r="C31" s="4" t="s">
        <v>145</v>
      </c>
      <c r="D31" s="2">
        <v>1673202.0</v>
      </c>
      <c r="E31" s="4" t="s">
        <v>146</v>
      </c>
      <c r="F31" s="4" t="s">
        <v>147</v>
      </c>
      <c r="G31" s="4" t="s">
        <v>47</v>
      </c>
      <c r="H31" s="4" t="s">
        <v>47</v>
      </c>
      <c r="I31" s="4" t="s">
        <v>47</v>
      </c>
      <c r="J31" s="4" t="s">
        <v>135</v>
      </c>
      <c r="K31" s="4" t="s">
        <v>49</v>
      </c>
      <c r="L31" s="3">
        <v>46054.0</v>
      </c>
      <c r="M31" s="4" t="s">
        <v>148</v>
      </c>
      <c r="N31" s="4" t="s">
        <v>47</v>
      </c>
      <c r="O31" s="4" t="s">
        <v>51</v>
      </c>
      <c r="P31" s="4" t="s">
        <v>123</v>
      </c>
      <c r="Q31" s="2">
        <v>1.0</v>
      </c>
      <c r="R31" s="2">
        <v>17.0</v>
      </c>
      <c r="S31" s="4" t="s">
        <v>52</v>
      </c>
      <c r="T31" s="4" t="s">
        <v>47</v>
      </c>
      <c r="U31" s="4" t="s">
        <v>47</v>
      </c>
      <c r="V31" s="5">
        <v>22.0</v>
      </c>
      <c r="W31" s="5">
        <v>-1852.4</v>
      </c>
      <c r="X31" s="5">
        <v>100.0</v>
      </c>
      <c r="Y31" s="5">
        <v>-407.52</v>
      </c>
      <c r="Z31" s="5">
        <v>0.0</v>
      </c>
      <c r="AA31" s="5">
        <v>0.0</v>
      </c>
      <c r="AB31" s="4" t="s">
        <v>149</v>
      </c>
      <c r="AC31" s="4" t="s">
        <v>47</v>
      </c>
      <c r="AD31" s="5">
        <v>0.0</v>
      </c>
      <c r="AE31" s="4" t="s">
        <v>150</v>
      </c>
      <c r="AF31" s="3">
        <v>46054.0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136</v>
      </c>
    </row>
    <row r="32" ht="12.75" customHeight="1">
      <c r="A32" s="2">
        <v>1891456.0</v>
      </c>
      <c r="B32" s="3">
        <v>46169.0</v>
      </c>
      <c r="C32" s="4" t="s">
        <v>151</v>
      </c>
      <c r="D32" s="2">
        <v>1673763.0</v>
      </c>
      <c r="E32" s="4" t="s">
        <v>152</v>
      </c>
      <c r="F32" s="4" t="s">
        <v>153</v>
      </c>
      <c r="G32" s="4" t="s">
        <v>47</v>
      </c>
      <c r="H32" s="4" t="s">
        <v>47</v>
      </c>
      <c r="I32" s="4" t="s">
        <v>47</v>
      </c>
      <c r="J32" s="4" t="s">
        <v>135</v>
      </c>
      <c r="K32" s="4" t="s">
        <v>49</v>
      </c>
      <c r="L32" s="3">
        <v>46174.0</v>
      </c>
      <c r="M32" s="4" t="s">
        <v>50</v>
      </c>
      <c r="N32" s="4" t="s">
        <v>47</v>
      </c>
      <c r="O32" s="4" t="s">
        <v>123</v>
      </c>
      <c r="P32" s="4" t="s">
        <v>123</v>
      </c>
      <c r="Q32" s="2">
        <v>1.0</v>
      </c>
      <c r="R32" s="2">
        <v>17.0</v>
      </c>
      <c r="S32" s="4" t="s">
        <v>52</v>
      </c>
      <c r="T32" s="4" t="s">
        <v>47</v>
      </c>
      <c r="U32" s="4" t="s">
        <v>47</v>
      </c>
      <c r="V32" s="5">
        <v>22.0</v>
      </c>
      <c r="W32" s="5">
        <v>110.73</v>
      </c>
      <c r="X32" s="5">
        <v>100.0</v>
      </c>
      <c r="Y32" s="5">
        <v>24.36</v>
      </c>
      <c r="Z32" s="5">
        <v>0.0</v>
      </c>
      <c r="AA32" s="5">
        <v>0.0</v>
      </c>
      <c r="AB32" s="4" t="s">
        <v>154</v>
      </c>
      <c r="AC32" s="4" t="s">
        <v>47</v>
      </c>
      <c r="AD32" s="5">
        <v>0.0</v>
      </c>
      <c r="AE32" s="4" t="s">
        <v>155</v>
      </c>
      <c r="AF32" s="3">
        <v>45444.0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136</v>
      </c>
    </row>
    <row r="33" ht="12.75" customHeight="1">
      <c r="A33" s="2">
        <v>1891456.0</v>
      </c>
      <c r="B33" s="3">
        <v>46169.0</v>
      </c>
      <c r="C33" s="4" t="s">
        <v>151</v>
      </c>
      <c r="D33" s="2">
        <v>1673763.0</v>
      </c>
      <c r="E33" s="4" t="s">
        <v>156</v>
      </c>
      <c r="F33" s="4" t="s">
        <v>157</v>
      </c>
      <c r="G33" s="4" t="s">
        <v>47</v>
      </c>
      <c r="H33" s="4" t="s">
        <v>47</v>
      </c>
      <c r="I33" s="4" t="s">
        <v>47</v>
      </c>
      <c r="J33" s="4" t="s">
        <v>135</v>
      </c>
      <c r="K33" s="4" t="s">
        <v>49</v>
      </c>
      <c r="L33" s="3">
        <v>46143.0</v>
      </c>
      <c r="M33" s="4" t="s">
        <v>107</v>
      </c>
      <c r="N33" s="4" t="s">
        <v>47</v>
      </c>
      <c r="O33" s="4" t="s">
        <v>123</v>
      </c>
      <c r="P33" s="4" t="s">
        <v>123</v>
      </c>
      <c r="Q33" s="2">
        <v>1.0</v>
      </c>
      <c r="R33" s="2">
        <v>17.0</v>
      </c>
      <c r="S33" s="4" t="s">
        <v>52</v>
      </c>
      <c r="T33" s="4" t="s">
        <v>47</v>
      </c>
      <c r="U33" s="4" t="s">
        <v>47</v>
      </c>
      <c r="V33" s="5">
        <v>22.0</v>
      </c>
      <c r="W33" s="5">
        <v>146.73</v>
      </c>
      <c r="X33" s="5">
        <v>100.0</v>
      </c>
      <c r="Y33" s="5">
        <v>32.28</v>
      </c>
      <c r="Z33" s="5">
        <v>0.0</v>
      </c>
      <c r="AA33" s="5">
        <v>0.0</v>
      </c>
      <c r="AB33" s="4" t="s">
        <v>154</v>
      </c>
      <c r="AC33" s="4" t="s">
        <v>47</v>
      </c>
      <c r="AD33" s="5">
        <v>0.0</v>
      </c>
      <c r="AE33" s="4" t="s">
        <v>155</v>
      </c>
      <c r="AF33" s="3">
        <v>45444.0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136</v>
      </c>
    </row>
    <row r="34" ht="12.75" customHeight="1">
      <c r="A34" s="2">
        <v>1891456.0</v>
      </c>
      <c r="B34" s="3">
        <v>46169.0</v>
      </c>
      <c r="C34" s="4" t="s">
        <v>151</v>
      </c>
      <c r="D34" s="2">
        <v>1673763.0</v>
      </c>
      <c r="E34" s="4" t="s">
        <v>158</v>
      </c>
      <c r="F34" s="4" t="s">
        <v>159</v>
      </c>
      <c r="G34" s="4" t="s">
        <v>47</v>
      </c>
      <c r="H34" s="4" t="s">
        <v>47</v>
      </c>
      <c r="I34" s="4" t="s">
        <v>47</v>
      </c>
      <c r="J34" s="4" t="s">
        <v>141</v>
      </c>
      <c r="K34" s="4" t="s">
        <v>142</v>
      </c>
      <c r="L34" s="3">
        <v>46174.0</v>
      </c>
      <c r="M34" s="4" t="s">
        <v>50</v>
      </c>
      <c r="N34" s="4" t="s">
        <v>47</v>
      </c>
      <c r="O34" s="4" t="s">
        <v>51</v>
      </c>
      <c r="P34" s="4" t="s">
        <v>123</v>
      </c>
      <c r="Q34" s="2">
        <v>2.0</v>
      </c>
      <c r="R34" s="2">
        <v>60.0</v>
      </c>
      <c r="S34" s="4" t="s">
        <v>129</v>
      </c>
      <c r="T34" s="4" t="s">
        <v>47</v>
      </c>
      <c r="U34" s="4" t="s">
        <v>47</v>
      </c>
      <c r="V34" s="5">
        <v>15.0</v>
      </c>
      <c r="W34" s="5">
        <v>0.0</v>
      </c>
      <c r="X34" s="5">
        <v>100.0</v>
      </c>
      <c r="Y34" s="5">
        <v>35.0</v>
      </c>
      <c r="Z34" s="4" t="s">
        <v>47</v>
      </c>
      <c r="AA34" s="5" t="s">
        <v>47</v>
      </c>
      <c r="AB34" s="4" t="s">
        <v>160</v>
      </c>
      <c r="AC34" s="4" t="s">
        <v>47</v>
      </c>
      <c r="AD34" s="5">
        <v>0.0</v>
      </c>
      <c r="AE34" s="4" t="s">
        <v>161</v>
      </c>
      <c r="AF34" s="3">
        <v>46174.0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47</v>
      </c>
    </row>
    <row r="35" ht="12.75" customHeight="1">
      <c r="A35" s="2">
        <v>1891456.0</v>
      </c>
      <c r="B35" s="3">
        <v>46169.0</v>
      </c>
      <c r="C35" s="4" t="s">
        <v>162</v>
      </c>
      <c r="D35" s="2">
        <v>1755893.0</v>
      </c>
      <c r="E35" s="4" t="s">
        <v>163</v>
      </c>
      <c r="F35" s="4" t="s">
        <v>164</v>
      </c>
      <c r="G35" s="4" t="s">
        <v>47</v>
      </c>
      <c r="H35" s="4" t="s">
        <v>47</v>
      </c>
      <c r="I35" s="4" t="s">
        <v>47</v>
      </c>
      <c r="J35" s="4" t="s">
        <v>141</v>
      </c>
      <c r="K35" s="4" t="s">
        <v>142</v>
      </c>
      <c r="L35" s="3">
        <v>46174.0</v>
      </c>
      <c r="M35" s="4" t="s">
        <v>50</v>
      </c>
      <c r="N35" s="4" t="s">
        <v>47</v>
      </c>
      <c r="O35" s="4" t="s">
        <v>51</v>
      </c>
      <c r="P35" s="4" t="s">
        <v>123</v>
      </c>
      <c r="Q35" s="2">
        <v>2.0</v>
      </c>
      <c r="R35" s="2">
        <v>60.0</v>
      </c>
      <c r="S35" s="4" t="s">
        <v>129</v>
      </c>
      <c r="T35" s="4" t="s">
        <v>47</v>
      </c>
      <c r="U35" s="4" t="s">
        <v>47</v>
      </c>
      <c r="V35" s="5">
        <v>10.0</v>
      </c>
      <c r="W35" s="5">
        <v>23.99</v>
      </c>
      <c r="X35" s="5">
        <v>100.0</v>
      </c>
      <c r="Y35" s="5">
        <v>2.4</v>
      </c>
      <c r="Z35" s="4" t="s">
        <v>47</v>
      </c>
      <c r="AA35" s="5" t="s">
        <v>47</v>
      </c>
      <c r="AB35" s="4" t="s">
        <v>160</v>
      </c>
      <c r="AC35" s="4" t="s">
        <v>47</v>
      </c>
      <c r="AD35" s="5">
        <v>0.0</v>
      </c>
      <c r="AE35" s="4" t="s">
        <v>161</v>
      </c>
      <c r="AF35" s="3">
        <v>45871.0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ht="12.75" customHeight="1">
      <c r="A36" s="2">
        <v>1891456.0</v>
      </c>
      <c r="B36" s="3">
        <v>46169.0</v>
      </c>
      <c r="C36" s="4" t="s">
        <v>103</v>
      </c>
      <c r="D36" s="2">
        <v>1831491.0</v>
      </c>
      <c r="E36" s="4" t="s">
        <v>165</v>
      </c>
      <c r="F36" s="4" t="s">
        <v>166</v>
      </c>
      <c r="G36" s="4" t="s">
        <v>47</v>
      </c>
      <c r="H36" s="4" t="s">
        <v>47</v>
      </c>
      <c r="I36" s="4" t="s">
        <v>47</v>
      </c>
      <c r="J36" s="4" t="s">
        <v>135</v>
      </c>
      <c r="K36" s="4" t="s">
        <v>49</v>
      </c>
      <c r="L36" s="3">
        <v>46023.0</v>
      </c>
      <c r="M36" s="4" t="s">
        <v>78</v>
      </c>
      <c r="N36" s="4" t="s">
        <v>47</v>
      </c>
      <c r="O36" s="4" t="s">
        <v>51</v>
      </c>
      <c r="P36" s="4" t="s">
        <v>123</v>
      </c>
      <c r="Q36" s="2">
        <v>1.0</v>
      </c>
      <c r="R36" s="2">
        <v>17.0</v>
      </c>
      <c r="S36" s="4" t="s">
        <v>52</v>
      </c>
      <c r="T36" s="4" t="s">
        <v>47</v>
      </c>
      <c r="U36" s="4" t="s">
        <v>47</v>
      </c>
      <c r="V36" s="5">
        <v>22.0</v>
      </c>
      <c r="W36" s="5">
        <v>-1094.66</v>
      </c>
      <c r="X36" s="5">
        <v>100.0</v>
      </c>
      <c r="Y36" s="5">
        <v>-240.8</v>
      </c>
      <c r="Z36" s="5">
        <v>0.0</v>
      </c>
      <c r="AA36" s="5">
        <v>0.0</v>
      </c>
      <c r="AB36" s="4" t="s">
        <v>149</v>
      </c>
      <c r="AC36" s="4" t="s">
        <v>47</v>
      </c>
      <c r="AD36" s="5">
        <v>0.0</v>
      </c>
      <c r="AE36" s="4" t="s">
        <v>150</v>
      </c>
      <c r="AF36" s="3">
        <v>46023.0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136</v>
      </c>
    </row>
    <row r="37" ht="12.75" customHeight="1">
      <c r="A37" s="2">
        <v>1891456.0</v>
      </c>
      <c r="B37" s="3">
        <v>46169.0</v>
      </c>
      <c r="C37" s="4" t="s">
        <v>103</v>
      </c>
      <c r="D37" s="2">
        <v>1831491.0</v>
      </c>
      <c r="E37" s="4" t="s">
        <v>167</v>
      </c>
      <c r="F37" s="4" t="s">
        <v>168</v>
      </c>
      <c r="G37" s="4" t="s">
        <v>47</v>
      </c>
      <c r="H37" s="4" t="s">
        <v>47</v>
      </c>
      <c r="I37" s="4" t="s">
        <v>47</v>
      </c>
      <c r="J37" s="4" t="s">
        <v>135</v>
      </c>
      <c r="K37" s="4" t="s">
        <v>49</v>
      </c>
      <c r="L37" s="3">
        <v>46113.0</v>
      </c>
      <c r="M37" s="4" t="s">
        <v>112</v>
      </c>
      <c r="N37" s="4" t="s">
        <v>47</v>
      </c>
      <c r="O37" s="4" t="s">
        <v>51</v>
      </c>
      <c r="P37" s="4" t="s">
        <v>123</v>
      </c>
      <c r="Q37" s="2">
        <v>1.0</v>
      </c>
      <c r="R37" s="2">
        <v>17.0</v>
      </c>
      <c r="S37" s="4" t="s">
        <v>52</v>
      </c>
      <c r="T37" s="4" t="s">
        <v>47</v>
      </c>
      <c r="U37" s="4" t="s">
        <v>47</v>
      </c>
      <c r="V37" s="5">
        <v>22.0</v>
      </c>
      <c r="W37" s="5">
        <v>-2113.6</v>
      </c>
      <c r="X37" s="5">
        <v>100.0</v>
      </c>
      <c r="Y37" s="5">
        <v>-465.0</v>
      </c>
      <c r="Z37" s="5">
        <v>0.0</v>
      </c>
      <c r="AA37" s="5">
        <v>0.0</v>
      </c>
      <c r="AB37" s="4" t="s">
        <v>149</v>
      </c>
      <c r="AC37" s="4" t="s">
        <v>47</v>
      </c>
      <c r="AD37" s="5">
        <v>0.0</v>
      </c>
      <c r="AE37" s="4" t="s">
        <v>150</v>
      </c>
      <c r="AF37" s="3">
        <v>46113.0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136</v>
      </c>
    </row>
    <row r="38" ht="12.75" customHeight="1">
      <c r="A38" s="2">
        <v>1891456.0</v>
      </c>
      <c r="B38" s="3">
        <v>46169.0</v>
      </c>
      <c r="C38" s="4" t="s">
        <v>103</v>
      </c>
      <c r="D38" s="2">
        <v>1831491.0</v>
      </c>
      <c r="E38" s="4" t="s">
        <v>169</v>
      </c>
      <c r="F38" s="4" t="s">
        <v>170</v>
      </c>
      <c r="G38" s="4" t="s">
        <v>47</v>
      </c>
      <c r="H38" s="4" t="s">
        <v>47</v>
      </c>
      <c r="I38" s="4" t="s">
        <v>47</v>
      </c>
      <c r="J38" s="4" t="s">
        <v>141</v>
      </c>
      <c r="K38" s="4" t="s">
        <v>142</v>
      </c>
      <c r="L38" s="3">
        <v>46174.0</v>
      </c>
      <c r="M38" s="4" t="s">
        <v>50</v>
      </c>
      <c r="N38" s="4" t="s">
        <v>47</v>
      </c>
      <c r="O38" s="4" t="s">
        <v>51</v>
      </c>
      <c r="P38" s="4" t="s">
        <v>123</v>
      </c>
      <c r="Q38" s="2">
        <v>2.0</v>
      </c>
      <c r="R38" s="2">
        <v>60.0</v>
      </c>
      <c r="S38" s="4" t="s">
        <v>129</v>
      </c>
      <c r="T38" s="4" t="s">
        <v>47</v>
      </c>
      <c r="U38" s="4" t="s">
        <v>47</v>
      </c>
      <c r="V38" s="5">
        <v>10.0</v>
      </c>
      <c r="W38" s="5">
        <v>26.88</v>
      </c>
      <c r="X38" s="5">
        <v>100.0</v>
      </c>
      <c r="Y38" s="5">
        <v>2.69</v>
      </c>
      <c r="Z38" s="4" t="s">
        <v>47</v>
      </c>
      <c r="AA38" s="5" t="s">
        <v>47</v>
      </c>
      <c r="AB38" s="4" t="s">
        <v>160</v>
      </c>
      <c r="AC38" s="4" t="s">
        <v>47</v>
      </c>
      <c r="AD38" s="5">
        <v>0.0</v>
      </c>
      <c r="AE38" s="4" t="s">
        <v>161</v>
      </c>
      <c r="AF38" s="3">
        <v>45808.0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47</v>
      </c>
      <c r="AO38" s="4" t="s">
        <v>47</v>
      </c>
      <c r="AP38" s="4" t="s">
        <v>47</v>
      </c>
      <c r="AQ38" s="4" t="s">
        <v>47</v>
      </c>
    </row>
    <row r="39" ht="12.75" customHeight="1">
      <c r="A39" s="2">
        <v>1891456.0</v>
      </c>
      <c r="B39" s="3">
        <v>46169.0</v>
      </c>
      <c r="C39" s="4" t="s">
        <v>103</v>
      </c>
      <c r="D39" s="2">
        <v>1831491.0</v>
      </c>
      <c r="E39" s="4" t="s">
        <v>171</v>
      </c>
      <c r="F39" s="4" t="s">
        <v>172</v>
      </c>
      <c r="G39" s="4" t="s">
        <v>47</v>
      </c>
      <c r="H39" s="4" t="s">
        <v>47</v>
      </c>
      <c r="I39" s="4" t="s">
        <v>47</v>
      </c>
      <c r="J39" s="4" t="s">
        <v>141</v>
      </c>
      <c r="K39" s="4" t="s">
        <v>142</v>
      </c>
      <c r="L39" s="3">
        <v>46174.0</v>
      </c>
      <c r="M39" s="4" t="s">
        <v>50</v>
      </c>
      <c r="N39" s="4" t="s">
        <v>47</v>
      </c>
      <c r="O39" s="4" t="s">
        <v>51</v>
      </c>
      <c r="P39" s="4" t="s">
        <v>123</v>
      </c>
      <c r="Q39" s="2">
        <v>2.0</v>
      </c>
      <c r="R39" s="2">
        <v>60.0</v>
      </c>
      <c r="S39" s="4" t="s">
        <v>129</v>
      </c>
      <c r="T39" s="4" t="s">
        <v>47</v>
      </c>
      <c r="U39" s="4" t="s">
        <v>47</v>
      </c>
      <c r="V39" s="5">
        <v>10.0</v>
      </c>
      <c r="W39" s="5">
        <v>26.88</v>
      </c>
      <c r="X39" s="5">
        <v>100.0</v>
      </c>
      <c r="Y39" s="5">
        <v>2.69</v>
      </c>
      <c r="Z39" s="4" t="s">
        <v>47</v>
      </c>
      <c r="AA39" s="5" t="s">
        <v>47</v>
      </c>
      <c r="AB39" s="4" t="s">
        <v>160</v>
      </c>
      <c r="AC39" s="4" t="s">
        <v>47</v>
      </c>
      <c r="AD39" s="5">
        <v>0.0</v>
      </c>
      <c r="AE39" s="4" t="s">
        <v>161</v>
      </c>
      <c r="AF39" s="3">
        <v>45808.0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47</v>
      </c>
      <c r="AO39" s="4" t="s">
        <v>47</v>
      </c>
      <c r="AP39" s="4" t="s">
        <v>47</v>
      </c>
      <c r="AQ39" s="4" t="s">
        <v>47</v>
      </c>
    </row>
    <row r="40" ht="12.75" customHeight="1">
      <c r="A40" s="2">
        <v>1891456.0</v>
      </c>
      <c r="B40" s="3">
        <v>46169.0</v>
      </c>
      <c r="C40" s="4" t="s">
        <v>103</v>
      </c>
      <c r="D40" s="2">
        <v>1831491.0</v>
      </c>
      <c r="E40" s="4" t="s">
        <v>173</v>
      </c>
      <c r="F40" s="4" t="s">
        <v>174</v>
      </c>
      <c r="G40" s="4" t="s">
        <v>47</v>
      </c>
      <c r="H40" s="4" t="s">
        <v>47</v>
      </c>
      <c r="I40" s="4" t="s">
        <v>47</v>
      </c>
      <c r="J40" s="4" t="s">
        <v>141</v>
      </c>
      <c r="K40" s="4" t="s">
        <v>142</v>
      </c>
      <c r="L40" s="3">
        <v>46174.0</v>
      </c>
      <c r="M40" s="4" t="s">
        <v>50</v>
      </c>
      <c r="N40" s="4" t="s">
        <v>47</v>
      </c>
      <c r="O40" s="4" t="s">
        <v>51</v>
      </c>
      <c r="P40" s="4" t="s">
        <v>123</v>
      </c>
      <c r="Q40" s="2">
        <v>2.0</v>
      </c>
      <c r="R40" s="2">
        <v>60.0</v>
      </c>
      <c r="S40" s="4" t="s">
        <v>129</v>
      </c>
      <c r="T40" s="4" t="s">
        <v>47</v>
      </c>
      <c r="U40" s="4" t="s">
        <v>47</v>
      </c>
      <c r="V40" s="5">
        <v>10.0</v>
      </c>
      <c r="W40" s="5">
        <v>26.88</v>
      </c>
      <c r="X40" s="5">
        <v>100.0</v>
      </c>
      <c r="Y40" s="5">
        <v>2.69</v>
      </c>
      <c r="Z40" s="4" t="s">
        <v>47</v>
      </c>
      <c r="AA40" s="5" t="s">
        <v>47</v>
      </c>
      <c r="AB40" s="4" t="s">
        <v>160</v>
      </c>
      <c r="AC40" s="4" t="s">
        <v>47</v>
      </c>
      <c r="AD40" s="5">
        <v>0.0</v>
      </c>
      <c r="AE40" s="4" t="s">
        <v>161</v>
      </c>
      <c r="AF40" s="3">
        <v>45808.0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47</v>
      </c>
    </row>
    <row r="41" ht="12.75" customHeight="1">
      <c r="A41" s="2">
        <v>1891456.0</v>
      </c>
      <c r="B41" s="3">
        <v>46169.0</v>
      </c>
      <c r="C41" s="4" t="s">
        <v>103</v>
      </c>
      <c r="D41" s="2">
        <v>1831491.0</v>
      </c>
      <c r="E41" s="4" t="s">
        <v>175</v>
      </c>
      <c r="F41" s="4" t="s">
        <v>176</v>
      </c>
      <c r="G41" s="4" t="s">
        <v>47</v>
      </c>
      <c r="H41" s="4" t="s">
        <v>47</v>
      </c>
      <c r="I41" s="4" t="s">
        <v>47</v>
      </c>
      <c r="J41" s="4" t="s">
        <v>141</v>
      </c>
      <c r="K41" s="4" t="s">
        <v>142</v>
      </c>
      <c r="L41" s="3">
        <v>46174.0</v>
      </c>
      <c r="M41" s="4" t="s">
        <v>50</v>
      </c>
      <c r="N41" s="4" t="s">
        <v>47</v>
      </c>
      <c r="O41" s="4" t="s">
        <v>51</v>
      </c>
      <c r="P41" s="4" t="s">
        <v>123</v>
      </c>
      <c r="Q41" s="2">
        <v>1.0</v>
      </c>
      <c r="R41" s="2">
        <v>60.0</v>
      </c>
      <c r="S41" s="4" t="s">
        <v>129</v>
      </c>
      <c r="T41" s="4" t="s">
        <v>47</v>
      </c>
      <c r="U41" s="4" t="s">
        <v>47</v>
      </c>
      <c r="V41" s="5">
        <v>10.0</v>
      </c>
      <c r="W41" s="5">
        <v>14.93</v>
      </c>
      <c r="X41" s="5">
        <v>100.0</v>
      </c>
      <c r="Y41" s="5">
        <v>1.49</v>
      </c>
      <c r="Z41" s="4" t="s">
        <v>47</v>
      </c>
      <c r="AA41" s="5" t="s">
        <v>47</v>
      </c>
      <c r="AB41" s="4" t="s">
        <v>160</v>
      </c>
      <c r="AC41" s="4" t="s">
        <v>47</v>
      </c>
      <c r="AD41" s="5">
        <v>0.0</v>
      </c>
      <c r="AE41" s="4" t="s">
        <v>161</v>
      </c>
      <c r="AF41" s="3">
        <v>45809.0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47</v>
      </c>
    </row>
    <row r="42" ht="12.75" customHeight="1">
      <c r="A42" s="2">
        <v>1891456.0</v>
      </c>
      <c r="B42" s="3">
        <v>46169.0</v>
      </c>
      <c r="C42" s="4" t="s">
        <v>103</v>
      </c>
      <c r="D42" s="2">
        <v>1831491.0</v>
      </c>
      <c r="E42" s="4" t="s">
        <v>177</v>
      </c>
      <c r="F42" s="4" t="s">
        <v>178</v>
      </c>
      <c r="G42" s="4" t="s">
        <v>47</v>
      </c>
      <c r="H42" s="4" t="s">
        <v>47</v>
      </c>
      <c r="I42" s="4" t="s">
        <v>47</v>
      </c>
      <c r="J42" s="4" t="s">
        <v>141</v>
      </c>
      <c r="K42" s="4" t="s">
        <v>142</v>
      </c>
      <c r="L42" s="3">
        <v>46174.0</v>
      </c>
      <c r="M42" s="4" t="s">
        <v>50</v>
      </c>
      <c r="N42" s="4" t="s">
        <v>47</v>
      </c>
      <c r="O42" s="4" t="s">
        <v>51</v>
      </c>
      <c r="P42" s="4" t="s">
        <v>123</v>
      </c>
      <c r="Q42" s="2">
        <v>6.0</v>
      </c>
      <c r="R42" s="2">
        <v>60.0</v>
      </c>
      <c r="S42" s="4" t="s">
        <v>129</v>
      </c>
      <c r="T42" s="4" t="s">
        <v>47</v>
      </c>
      <c r="U42" s="4" t="s">
        <v>47</v>
      </c>
      <c r="V42" s="5">
        <v>10.0</v>
      </c>
      <c r="W42" s="5">
        <v>46.8</v>
      </c>
      <c r="X42" s="5">
        <v>100.0</v>
      </c>
      <c r="Y42" s="5">
        <v>4.68</v>
      </c>
      <c r="Z42" s="4" t="s">
        <v>47</v>
      </c>
      <c r="AA42" s="5" t="s">
        <v>47</v>
      </c>
      <c r="AB42" s="4" t="s">
        <v>160</v>
      </c>
      <c r="AC42" s="4" t="s">
        <v>47</v>
      </c>
      <c r="AD42" s="5">
        <v>0.0</v>
      </c>
      <c r="AE42" s="4" t="s">
        <v>161</v>
      </c>
      <c r="AF42" s="3">
        <v>45809.0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47</v>
      </c>
    </row>
    <row r="43" ht="12.75" customHeight="1">
      <c r="A43" s="2">
        <v>1891456.0</v>
      </c>
      <c r="B43" s="3">
        <v>46169.0</v>
      </c>
      <c r="C43" s="4" t="s">
        <v>103</v>
      </c>
      <c r="D43" s="2">
        <v>1831491.0</v>
      </c>
      <c r="E43" s="4" t="s">
        <v>179</v>
      </c>
      <c r="F43" s="4" t="s">
        <v>180</v>
      </c>
      <c r="G43" s="4" t="s">
        <v>47</v>
      </c>
      <c r="H43" s="4" t="s">
        <v>47</v>
      </c>
      <c r="I43" s="4" t="s">
        <v>47</v>
      </c>
      <c r="J43" s="4" t="s">
        <v>141</v>
      </c>
      <c r="K43" s="4" t="s">
        <v>142</v>
      </c>
      <c r="L43" s="3">
        <v>46174.0</v>
      </c>
      <c r="M43" s="4" t="s">
        <v>50</v>
      </c>
      <c r="N43" s="4" t="s">
        <v>47</v>
      </c>
      <c r="O43" s="4" t="s">
        <v>51</v>
      </c>
      <c r="P43" s="4" t="s">
        <v>123</v>
      </c>
      <c r="Q43" s="2">
        <v>2.0</v>
      </c>
      <c r="R43" s="2">
        <v>60.0</v>
      </c>
      <c r="S43" s="4" t="s">
        <v>129</v>
      </c>
      <c r="T43" s="4" t="s">
        <v>47</v>
      </c>
      <c r="U43" s="4" t="s">
        <v>47</v>
      </c>
      <c r="V43" s="5">
        <v>10.0</v>
      </c>
      <c r="W43" s="5">
        <v>26.88</v>
      </c>
      <c r="X43" s="5">
        <v>100.0</v>
      </c>
      <c r="Y43" s="5">
        <v>2.69</v>
      </c>
      <c r="Z43" s="4" t="s">
        <v>47</v>
      </c>
      <c r="AA43" s="5" t="s">
        <v>47</v>
      </c>
      <c r="AB43" s="4" t="s">
        <v>160</v>
      </c>
      <c r="AC43" s="4" t="s">
        <v>47</v>
      </c>
      <c r="AD43" s="5">
        <v>0.0</v>
      </c>
      <c r="AE43" s="4" t="s">
        <v>161</v>
      </c>
      <c r="AF43" s="3">
        <v>45809.0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47</v>
      </c>
    </row>
    <row r="44" ht="12.75" customHeight="1">
      <c r="A44" s="2">
        <v>1891456.0</v>
      </c>
      <c r="B44" s="3">
        <v>46169.0</v>
      </c>
      <c r="C44" s="4" t="s">
        <v>103</v>
      </c>
      <c r="D44" s="2">
        <v>1831491.0</v>
      </c>
      <c r="E44" s="4" t="s">
        <v>181</v>
      </c>
      <c r="F44" s="4" t="s">
        <v>182</v>
      </c>
      <c r="G44" s="4" t="s">
        <v>47</v>
      </c>
      <c r="H44" s="4" t="s">
        <v>47</v>
      </c>
      <c r="I44" s="4" t="s">
        <v>47</v>
      </c>
      <c r="J44" s="4" t="s">
        <v>141</v>
      </c>
      <c r="K44" s="4" t="s">
        <v>142</v>
      </c>
      <c r="L44" s="3">
        <v>46174.0</v>
      </c>
      <c r="M44" s="4" t="s">
        <v>50</v>
      </c>
      <c r="N44" s="4" t="s">
        <v>47</v>
      </c>
      <c r="O44" s="4" t="s">
        <v>51</v>
      </c>
      <c r="P44" s="4" t="s">
        <v>123</v>
      </c>
      <c r="Q44" s="2">
        <v>2.0</v>
      </c>
      <c r="R44" s="2">
        <v>60.0</v>
      </c>
      <c r="S44" s="4" t="s">
        <v>129</v>
      </c>
      <c r="T44" s="4" t="s">
        <v>47</v>
      </c>
      <c r="U44" s="4" t="s">
        <v>47</v>
      </c>
      <c r="V44" s="5">
        <v>10.0</v>
      </c>
      <c r="W44" s="5">
        <v>26.88</v>
      </c>
      <c r="X44" s="5">
        <v>100.0</v>
      </c>
      <c r="Y44" s="5">
        <v>2.69</v>
      </c>
      <c r="Z44" s="4" t="s">
        <v>47</v>
      </c>
      <c r="AA44" s="5" t="s">
        <v>47</v>
      </c>
      <c r="AB44" s="4" t="s">
        <v>160</v>
      </c>
      <c r="AC44" s="4" t="s">
        <v>47</v>
      </c>
      <c r="AD44" s="5">
        <v>0.0</v>
      </c>
      <c r="AE44" s="4" t="s">
        <v>161</v>
      </c>
      <c r="AF44" s="3">
        <v>45816.0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ht="12.75" customHeight="1">
      <c r="A45" s="2">
        <v>1891456.0</v>
      </c>
      <c r="B45" s="3">
        <v>46169.0</v>
      </c>
      <c r="C45" s="4" t="s">
        <v>103</v>
      </c>
      <c r="D45" s="2">
        <v>1831491.0</v>
      </c>
      <c r="E45" s="4" t="s">
        <v>183</v>
      </c>
      <c r="F45" s="4" t="s">
        <v>184</v>
      </c>
      <c r="G45" s="4" t="s">
        <v>47</v>
      </c>
      <c r="H45" s="4" t="s">
        <v>47</v>
      </c>
      <c r="I45" s="4" t="s">
        <v>47</v>
      </c>
      <c r="J45" s="4" t="s">
        <v>141</v>
      </c>
      <c r="K45" s="4" t="s">
        <v>142</v>
      </c>
      <c r="L45" s="3">
        <v>46174.0</v>
      </c>
      <c r="M45" s="4" t="s">
        <v>50</v>
      </c>
      <c r="N45" s="4" t="s">
        <v>47</v>
      </c>
      <c r="O45" s="4" t="s">
        <v>51</v>
      </c>
      <c r="P45" s="4" t="s">
        <v>123</v>
      </c>
      <c r="Q45" s="2">
        <v>2.0</v>
      </c>
      <c r="R45" s="2">
        <v>60.0</v>
      </c>
      <c r="S45" s="4" t="s">
        <v>129</v>
      </c>
      <c r="T45" s="4" t="s">
        <v>47</v>
      </c>
      <c r="U45" s="4" t="s">
        <v>47</v>
      </c>
      <c r="V45" s="5">
        <v>10.0</v>
      </c>
      <c r="W45" s="5">
        <v>26.88</v>
      </c>
      <c r="X45" s="5">
        <v>100.0</v>
      </c>
      <c r="Y45" s="5">
        <v>2.69</v>
      </c>
      <c r="Z45" s="4" t="s">
        <v>47</v>
      </c>
      <c r="AA45" s="5" t="s">
        <v>47</v>
      </c>
      <c r="AB45" s="4" t="s">
        <v>160</v>
      </c>
      <c r="AC45" s="4" t="s">
        <v>47</v>
      </c>
      <c r="AD45" s="5">
        <v>0.0</v>
      </c>
      <c r="AE45" s="4" t="s">
        <v>161</v>
      </c>
      <c r="AF45" s="3">
        <v>45839.0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47</v>
      </c>
    </row>
    <row r="46" ht="12.75" customHeight="1">
      <c r="A46" s="2">
        <v>1891456.0</v>
      </c>
      <c r="B46" s="3">
        <v>46169.0</v>
      </c>
      <c r="C46" s="4" t="s">
        <v>103</v>
      </c>
      <c r="D46" s="2">
        <v>1831491.0</v>
      </c>
      <c r="E46" s="4" t="s">
        <v>185</v>
      </c>
      <c r="F46" s="4" t="s">
        <v>186</v>
      </c>
      <c r="G46" s="4" t="s">
        <v>47</v>
      </c>
      <c r="H46" s="4" t="s">
        <v>47</v>
      </c>
      <c r="I46" s="4" t="s">
        <v>47</v>
      </c>
      <c r="J46" s="4" t="s">
        <v>141</v>
      </c>
      <c r="K46" s="4" t="s">
        <v>142</v>
      </c>
      <c r="L46" s="3">
        <v>46174.0</v>
      </c>
      <c r="M46" s="4" t="s">
        <v>50</v>
      </c>
      <c r="N46" s="4" t="s">
        <v>47</v>
      </c>
      <c r="O46" s="4" t="s">
        <v>51</v>
      </c>
      <c r="P46" s="4" t="s">
        <v>123</v>
      </c>
      <c r="Q46" s="2">
        <v>1.0</v>
      </c>
      <c r="R46" s="2">
        <v>60.0</v>
      </c>
      <c r="S46" s="4" t="s">
        <v>129</v>
      </c>
      <c r="T46" s="4" t="s">
        <v>47</v>
      </c>
      <c r="U46" s="4" t="s">
        <v>47</v>
      </c>
      <c r="V46" s="5">
        <v>10.0</v>
      </c>
      <c r="W46" s="5">
        <v>13.93</v>
      </c>
      <c r="X46" s="5">
        <v>100.0</v>
      </c>
      <c r="Y46" s="5">
        <v>1.39</v>
      </c>
      <c r="Z46" s="4" t="s">
        <v>47</v>
      </c>
      <c r="AA46" s="5" t="s">
        <v>47</v>
      </c>
      <c r="AB46" s="4" t="s">
        <v>160</v>
      </c>
      <c r="AC46" s="4" t="s">
        <v>47</v>
      </c>
      <c r="AD46" s="5">
        <v>0.0</v>
      </c>
      <c r="AE46" s="4" t="s">
        <v>161</v>
      </c>
      <c r="AF46" s="3">
        <v>45817.0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ht="12.75" customHeight="1">
      <c r="A47" s="2">
        <v>1891456.0</v>
      </c>
      <c r="B47" s="3">
        <v>46169.0</v>
      </c>
      <c r="C47" s="4" t="s">
        <v>103</v>
      </c>
      <c r="D47" s="2">
        <v>1831491.0</v>
      </c>
      <c r="E47" s="4" t="s">
        <v>187</v>
      </c>
      <c r="F47" s="4" t="s">
        <v>188</v>
      </c>
      <c r="G47" s="4" t="s">
        <v>47</v>
      </c>
      <c r="H47" s="4" t="s">
        <v>47</v>
      </c>
      <c r="I47" s="4" t="s">
        <v>47</v>
      </c>
      <c r="J47" s="4" t="s">
        <v>141</v>
      </c>
      <c r="K47" s="4" t="s">
        <v>142</v>
      </c>
      <c r="L47" s="3">
        <v>46174.0</v>
      </c>
      <c r="M47" s="4" t="s">
        <v>50</v>
      </c>
      <c r="N47" s="4" t="s">
        <v>47</v>
      </c>
      <c r="O47" s="4" t="s">
        <v>51</v>
      </c>
      <c r="P47" s="4" t="s">
        <v>123</v>
      </c>
      <c r="Q47" s="2">
        <v>2.0</v>
      </c>
      <c r="R47" s="2">
        <v>60.0</v>
      </c>
      <c r="S47" s="4" t="s">
        <v>129</v>
      </c>
      <c r="T47" s="4" t="s">
        <v>47</v>
      </c>
      <c r="U47" s="4" t="s">
        <v>47</v>
      </c>
      <c r="V47" s="5">
        <v>10.0</v>
      </c>
      <c r="W47" s="5">
        <v>26.88</v>
      </c>
      <c r="X47" s="5">
        <v>100.0</v>
      </c>
      <c r="Y47" s="5">
        <v>2.69</v>
      </c>
      <c r="Z47" s="4" t="s">
        <v>47</v>
      </c>
      <c r="AA47" s="5" t="s">
        <v>47</v>
      </c>
      <c r="AB47" s="4" t="s">
        <v>160</v>
      </c>
      <c r="AC47" s="4" t="s">
        <v>47</v>
      </c>
      <c r="AD47" s="5">
        <v>0.0</v>
      </c>
      <c r="AE47" s="4" t="s">
        <v>161</v>
      </c>
      <c r="AF47" s="3">
        <v>45817.0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47</v>
      </c>
    </row>
    <row r="48" ht="12.75" customHeight="1">
      <c r="A48" s="2">
        <v>1891456.0</v>
      </c>
      <c r="B48" s="3">
        <v>46169.0</v>
      </c>
      <c r="C48" s="4" t="s">
        <v>103</v>
      </c>
      <c r="D48" s="2">
        <v>1831491.0</v>
      </c>
      <c r="E48" s="4" t="s">
        <v>189</v>
      </c>
      <c r="F48" s="4" t="s">
        <v>190</v>
      </c>
      <c r="G48" s="4" t="s">
        <v>47</v>
      </c>
      <c r="H48" s="4" t="s">
        <v>47</v>
      </c>
      <c r="I48" s="4" t="s">
        <v>47</v>
      </c>
      <c r="J48" s="4" t="s">
        <v>141</v>
      </c>
      <c r="K48" s="4" t="s">
        <v>142</v>
      </c>
      <c r="L48" s="3">
        <v>46174.0</v>
      </c>
      <c r="M48" s="4" t="s">
        <v>50</v>
      </c>
      <c r="N48" s="4" t="s">
        <v>47</v>
      </c>
      <c r="O48" s="4" t="s">
        <v>51</v>
      </c>
      <c r="P48" s="4" t="s">
        <v>123</v>
      </c>
      <c r="Q48" s="2">
        <v>1.0</v>
      </c>
      <c r="R48" s="2">
        <v>60.0</v>
      </c>
      <c r="S48" s="4" t="s">
        <v>129</v>
      </c>
      <c r="T48" s="4" t="s">
        <v>47</v>
      </c>
      <c r="U48" s="4" t="s">
        <v>47</v>
      </c>
      <c r="V48" s="5">
        <v>10.0</v>
      </c>
      <c r="W48" s="5">
        <v>13.93</v>
      </c>
      <c r="X48" s="5">
        <v>100.0</v>
      </c>
      <c r="Y48" s="5">
        <v>1.39</v>
      </c>
      <c r="Z48" s="4" t="s">
        <v>47</v>
      </c>
      <c r="AA48" s="5" t="s">
        <v>47</v>
      </c>
      <c r="AB48" s="4" t="s">
        <v>160</v>
      </c>
      <c r="AC48" s="4" t="s">
        <v>47</v>
      </c>
      <c r="AD48" s="5">
        <v>0.0</v>
      </c>
      <c r="AE48" s="4" t="s">
        <v>161</v>
      </c>
      <c r="AF48" s="3">
        <v>45870.0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ht="12.75" customHeight="1">
      <c r="A49" s="2">
        <v>1891456.0</v>
      </c>
      <c r="B49" s="3">
        <v>46169.0</v>
      </c>
      <c r="C49" s="4" t="s">
        <v>103</v>
      </c>
      <c r="D49" s="2">
        <v>1831491.0</v>
      </c>
      <c r="E49" s="4" t="s">
        <v>191</v>
      </c>
      <c r="F49" s="4" t="s">
        <v>192</v>
      </c>
      <c r="G49" s="4" t="s">
        <v>47</v>
      </c>
      <c r="H49" s="4" t="s">
        <v>47</v>
      </c>
      <c r="I49" s="4" t="s">
        <v>47</v>
      </c>
      <c r="J49" s="4" t="s">
        <v>141</v>
      </c>
      <c r="K49" s="4" t="s">
        <v>142</v>
      </c>
      <c r="L49" s="3">
        <v>46174.0</v>
      </c>
      <c r="M49" s="4" t="s">
        <v>50</v>
      </c>
      <c r="N49" s="4" t="s">
        <v>47</v>
      </c>
      <c r="O49" s="4" t="s">
        <v>51</v>
      </c>
      <c r="P49" s="4" t="s">
        <v>123</v>
      </c>
      <c r="Q49" s="2">
        <v>1.0</v>
      </c>
      <c r="R49" s="2">
        <v>60.0</v>
      </c>
      <c r="S49" s="4" t="s">
        <v>129</v>
      </c>
      <c r="T49" s="4" t="s">
        <v>47</v>
      </c>
      <c r="U49" s="4" t="s">
        <v>47</v>
      </c>
      <c r="V49" s="5">
        <v>10.0</v>
      </c>
      <c r="W49" s="5">
        <v>13.93</v>
      </c>
      <c r="X49" s="5">
        <v>100.0</v>
      </c>
      <c r="Y49" s="5">
        <v>1.39</v>
      </c>
      <c r="Z49" s="4" t="s">
        <v>47</v>
      </c>
      <c r="AA49" s="5" t="s">
        <v>47</v>
      </c>
      <c r="AB49" s="4" t="s">
        <v>160</v>
      </c>
      <c r="AC49" s="4" t="s">
        <v>47</v>
      </c>
      <c r="AD49" s="5">
        <v>0.0</v>
      </c>
      <c r="AE49" s="4" t="s">
        <v>161</v>
      </c>
      <c r="AF49" s="3">
        <v>45839.0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ht="12.75" customHeight="1">
      <c r="A50" s="2">
        <v>1891456.0</v>
      </c>
      <c r="B50" s="3">
        <v>46169.0</v>
      </c>
      <c r="C50" s="4" t="s">
        <v>103</v>
      </c>
      <c r="D50" s="2">
        <v>1831491.0</v>
      </c>
      <c r="E50" s="4" t="s">
        <v>193</v>
      </c>
      <c r="F50" s="4" t="s">
        <v>194</v>
      </c>
      <c r="G50" s="4" t="s">
        <v>47</v>
      </c>
      <c r="H50" s="4" t="s">
        <v>47</v>
      </c>
      <c r="I50" s="4" t="s">
        <v>47</v>
      </c>
      <c r="J50" s="4" t="s">
        <v>141</v>
      </c>
      <c r="K50" s="4" t="s">
        <v>142</v>
      </c>
      <c r="L50" s="3">
        <v>46174.0</v>
      </c>
      <c r="M50" s="4" t="s">
        <v>50</v>
      </c>
      <c r="N50" s="4" t="s">
        <v>47</v>
      </c>
      <c r="O50" s="4" t="s">
        <v>51</v>
      </c>
      <c r="P50" s="4" t="s">
        <v>123</v>
      </c>
      <c r="Q50" s="2">
        <v>2.0</v>
      </c>
      <c r="R50" s="2">
        <v>60.0</v>
      </c>
      <c r="S50" s="4" t="s">
        <v>129</v>
      </c>
      <c r="T50" s="4" t="s">
        <v>47</v>
      </c>
      <c r="U50" s="4" t="s">
        <v>47</v>
      </c>
      <c r="V50" s="5">
        <v>10.0</v>
      </c>
      <c r="W50" s="5">
        <v>26.88</v>
      </c>
      <c r="X50" s="5">
        <v>100.0</v>
      </c>
      <c r="Y50" s="5">
        <v>2.69</v>
      </c>
      <c r="Z50" s="4" t="s">
        <v>47</v>
      </c>
      <c r="AA50" s="5" t="s">
        <v>47</v>
      </c>
      <c r="AB50" s="4" t="s">
        <v>160</v>
      </c>
      <c r="AC50" s="4" t="s">
        <v>47</v>
      </c>
      <c r="AD50" s="5">
        <v>0.0</v>
      </c>
      <c r="AE50" s="4" t="s">
        <v>161</v>
      </c>
      <c r="AF50" s="3">
        <v>45839.0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47</v>
      </c>
    </row>
    <row r="51" ht="12.75" customHeight="1">
      <c r="A51" s="2">
        <v>1891456.0</v>
      </c>
      <c r="B51" s="3">
        <v>46169.0</v>
      </c>
      <c r="C51" s="4" t="s">
        <v>103</v>
      </c>
      <c r="D51" s="2">
        <v>1831491.0</v>
      </c>
      <c r="E51" s="4" t="s">
        <v>195</v>
      </c>
      <c r="F51" s="4" t="s">
        <v>196</v>
      </c>
      <c r="G51" s="4" t="s">
        <v>47</v>
      </c>
      <c r="H51" s="4" t="s">
        <v>47</v>
      </c>
      <c r="I51" s="4" t="s">
        <v>47</v>
      </c>
      <c r="J51" s="4" t="s">
        <v>141</v>
      </c>
      <c r="K51" s="4" t="s">
        <v>142</v>
      </c>
      <c r="L51" s="3">
        <v>46174.0</v>
      </c>
      <c r="M51" s="4" t="s">
        <v>50</v>
      </c>
      <c r="N51" s="4" t="s">
        <v>47</v>
      </c>
      <c r="O51" s="4" t="s">
        <v>51</v>
      </c>
      <c r="P51" s="4" t="s">
        <v>123</v>
      </c>
      <c r="Q51" s="2">
        <v>3.0</v>
      </c>
      <c r="R51" s="2">
        <v>60.0</v>
      </c>
      <c r="S51" s="4" t="s">
        <v>129</v>
      </c>
      <c r="T51" s="4" t="s">
        <v>47</v>
      </c>
      <c r="U51" s="4" t="s">
        <v>47</v>
      </c>
      <c r="V51" s="5">
        <v>10.0</v>
      </c>
      <c r="W51" s="5">
        <v>46.8</v>
      </c>
      <c r="X51" s="5">
        <v>100.0</v>
      </c>
      <c r="Y51" s="5">
        <v>4.68</v>
      </c>
      <c r="Z51" s="4" t="s">
        <v>47</v>
      </c>
      <c r="AA51" s="5" t="s">
        <v>47</v>
      </c>
      <c r="AB51" s="4" t="s">
        <v>160</v>
      </c>
      <c r="AC51" s="4" t="s">
        <v>47</v>
      </c>
      <c r="AD51" s="5">
        <v>0.0</v>
      </c>
      <c r="AE51" s="4" t="s">
        <v>161</v>
      </c>
      <c r="AF51" s="3">
        <v>45839.0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ht="12.75" customHeight="1">
      <c r="A52" s="2">
        <v>1891456.0</v>
      </c>
      <c r="B52" s="3">
        <v>46169.0</v>
      </c>
      <c r="C52" s="4" t="s">
        <v>103</v>
      </c>
      <c r="D52" s="2">
        <v>1831491.0</v>
      </c>
      <c r="E52" s="4" t="s">
        <v>197</v>
      </c>
      <c r="F52" s="4" t="s">
        <v>198</v>
      </c>
      <c r="G52" s="4" t="s">
        <v>47</v>
      </c>
      <c r="H52" s="4" t="s">
        <v>47</v>
      </c>
      <c r="I52" s="4" t="s">
        <v>47</v>
      </c>
      <c r="J52" s="4" t="s">
        <v>141</v>
      </c>
      <c r="K52" s="4" t="s">
        <v>142</v>
      </c>
      <c r="L52" s="3">
        <v>46174.0</v>
      </c>
      <c r="M52" s="4" t="s">
        <v>50</v>
      </c>
      <c r="N52" s="4" t="s">
        <v>47</v>
      </c>
      <c r="O52" s="4" t="s">
        <v>51</v>
      </c>
      <c r="P52" s="4" t="s">
        <v>123</v>
      </c>
      <c r="Q52" s="2">
        <v>1.0</v>
      </c>
      <c r="R52" s="2">
        <v>60.0</v>
      </c>
      <c r="S52" s="4" t="s">
        <v>129</v>
      </c>
      <c r="T52" s="4" t="s">
        <v>47</v>
      </c>
      <c r="U52" s="4" t="s">
        <v>47</v>
      </c>
      <c r="V52" s="5">
        <v>10.0</v>
      </c>
      <c r="W52" s="5">
        <v>13.93</v>
      </c>
      <c r="X52" s="5">
        <v>100.0</v>
      </c>
      <c r="Y52" s="5">
        <v>1.39</v>
      </c>
      <c r="Z52" s="4" t="s">
        <v>47</v>
      </c>
      <c r="AA52" s="5" t="s">
        <v>47</v>
      </c>
      <c r="AB52" s="4" t="s">
        <v>160</v>
      </c>
      <c r="AC52" s="4" t="s">
        <v>47</v>
      </c>
      <c r="AD52" s="5">
        <v>0.0</v>
      </c>
      <c r="AE52" s="4" t="s">
        <v>161</v>
      </c>
      <c r="AF52" s="3">
        <v>45839.0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ht="12.75" customHeight="1">
      <c r="A53" s="2">
        <v>1891456.0</v>
      </c>
      <c r="B53" s="3">
        <v>46169.0</v>
      </c>
      <c r="C53" s="4" t="s">
        <v>103</v>
      </c>
      <c r="D53" s="2">
        <v>1831491.0</v>
      </c>
      <c r="E53" s="4" t="s">
        <v>199</v>
      </c>
      <c r="F53" s="4" t="s">
        <v>200</v>
      </c>
      <c r="G53" s="4" t="s">
        <v>47</v>
      </c>
      <c r="H53" s="4" t="s">
        <v>47</v>
      </c>
      <c r="I53" s="4" t="s">
        <v>47</v>
      </c>
      <c r="J53" s="4" t="s">
        <v>141</v>
      </c>
      <c r="K53" s="4" t="s">
        <v>142</v>
      </c>
      <c r="L53" s="3">
        <v>46174.0</v>
      </c>
      <c r="M53" s="4" t="s">
        <v>50</v>
      </c>
      <c r="N53" s="4" t="s">
        <v>47</v>
      </c>
      <c r="O53" s="4" t="s">
        <v>51</v>
      </c>
      <c r="P53" s="4" t="s">
        <v>123</v>
      </c>
      <c r="Q53" s="2">
        <v>1.0</v>
      </c>
      <c r="R53" s="2">
        <v>60.0</v>
      </c>
      <c r="S53" s="4" t="s">
        <v>129</v>
      </c>
      <c r="T53" s="4" t="s">
        <v>47</v>
      </c>
      <c r="U53" s="4" t="s">
        <v>47</v>
      </c>
      <c r="V53" s="5">
        <v>10.0</v>
      </c>
      <c r="W53" s="5">
        <v>14.93</v>
      </c>
      <c r="X53" s="5">
        <v>100.0</v>
      </c>
      <c r="Y53" s="5">
        <v>1.49</v>
      </c>
      <c r="Z53" s="4" t="s">
        <v>47</v>
      </c>
      <c r="AA53" s="5" t="s">
        <v>47</v>
      </c>
      <c r="AB53" s="4" t="s">
        <v>160</v>
      </c>
      <c r="AC53" s="4" t="s">
        <v>47</v>
      </c>
      <c r="AD53" s="5">
        <v>0.0</v>
      </c>
      <c r="AE53" s="4" t="s">
        <v>161</v>
      </c>
      <c r="AF53" s="3">
        <v>45870.0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ht="12.75" customHeight="1">
      <c r="A54" s="2">
        <v>1891456.0</v>
      </c>
      <c r="B54" s="3">
        <v>46169.0</v>
      </c>
      <c r="C54" s="4" t="s">
        <v>103</v>
      </c>
      <c r="D54" s="2">
        <v>1831491.0</v>
      </c>
      <c r="E54" s="4" t="s">
        <v>201</v>
      </c>
      <c r="F54" s="4" t="s">
        <v>202</v>
      </c>
      <c r="G54" s="4" t="s">
        <v>47</v>
      </c>
      <c r="H54" s="4" t="s">
        <v>47</v>
      </c>
      <c r="I54" s="4" t="s">
        <v>47</v>
      </c>
      <c r="J54" s="4" t="s">
        <v>141</v>
      </c>
      <c r="K54" s="4" t="s">
        <v>142</v>
      </c>
      <c r="L54" s="3">
        <v>46174.0</v>
      </c>
      <c r="M54" s="4" t="s">
        <v>50</v>
      </c>
      <c r="N54" s="4" t="s">
        <v>47</v>
      </c>
      <c r="O54" s="4" t="s">
        <v>51</v>
      </c>
      <c r="P54" s="4" t="s">
        <v>123</v>
      </c>
      <c r="Q54" s="2">
        <v>1.0</v>
      </c>
      <c r="R54" s="2">
        <v>60.0</v>
      </c>
      <c r="S54" s="4" t="s">
        <v>129</v>
      </c>
      <c r="T54" s="4" t="s">
        <v>47</v>
      </c>
      <c r="U54" s="4" t="s">
        <v>47</v>
      </c>
      <c r="V54" s="5">
        <v>10.0</v>
      </c>
      <c r="W54" s="5">
        <v>14.93</v>
      </c>
      <c r="X54" s="5">
        <v>100.0</v>
      </c>
      <c r="Y54" s="5">
        <v>1.49</v>
      </c>
      <c r="Z54" s="4" t="s">
        <v>47</v>
      </c>
      <c r="AA54" s="5" t="s">
        <v>47</v>
      </c>
      <c r="AB54" s="4" t="s">
        <v>160</v>
      </c>
      <c r="AC54" s="4" t="s">
        <v>47</v>
      </c>
      <c r="AD54" s="5">
        <v>0.0</v>
      </c>
      <c r="AE54" s="4" t="s">
        <v>161</v>
      </c>
      <c r="AF54" s="3">
        <v>45870.0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ht="12.75" customHeight="1">
      <c r="A55" s="2">
        <v>1891456.0</v>
      </c>
      <c r="B55" s="3">
        <v>46169.0</v>
      </c>
      <c r="C55" s="4" t="s">
        <v>103</v>
      </c>
      <c r="D55" s="2">
        <v>1831491.0</v>
      </c>
      <c r="E55" s="4" t="s">
        <v>203</v>
      </c>
      <c r="F55" s="4" t="s">
        <v>204</v>
      </c>
      <c r="G55" s="4" t="s">
        <v>47</v>
      </c>
      <c r="H55" s="4" t="s">
        <v>47</v>
      </c>
      <c r="I55" s="4" t="s">
        <v>47</v>
      </c>
      <c r="J55" s="4" t="s">
        <v>141</v>
      </c>
      <c r="K55" s="4" t="s">
        <v>142</v>
      </c>
      <c r="L55" s="3">
        <v>46174.0</v>
      </c>
      <c r="M55" s="4" t="s">
        <v>50</v>
      </c>
      <c r="N55" s="4" t="s">
        <v>47</v>
      </c>
      <c r="O55" s="4" t="s">
        <v>51</v>
      </c>
      <c r="P55" s="4" t="s">
        <v>123</v>
      </c>
      <c r="Q55" s="2">
        <v>1.0</v>
      </c>
      <c r="R55" s="2">
        <v>60.0</v>
      </c>
      <c r="S55" s="4" t="s">
        <v>129</v>
      </c>
      <c r="T55" s="4" t="s">
        <v>47</v>
      </c>
      <c r="U55" s="4" t="s">
        <v>47</v>
      </c>
      <c r="V55" s="5">
        <v>10.0</v>
      </c>
      <c r="W55" s="5">
        <v>14.93</v>
      </c>
      <c r="X55" s="5">
        <v>100.0</v>
      </c>
      <c r="Y55" s="5">
        <v>1.49</v>
      </c>
      <c r="Z55" s="4" t="s">
        <v>47</v>
      </c>
      <c r="AA55" s="5" t="s">
        <v>47</v>
      </c>
      <c r="AB55" s="4" t="s">
        <v>160</v>
      </c>
      <c r="AC55" s="4" t="s">
        <v>47</v>
      </c>
      <c r="AD55" s="5">
        <v>0.0</v>
      </c>
      <c r="AE55" s="4" t="s">
        <v>161</v>
      </c>
      <c r="AF55" s="3">
        <v>45870.0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ht="12.75" customHeight="1">
      <c r="A56" s="2">
        <v>1891456.0</v>
      </c>
      <c r="B56" s="3">
        <v>46169.0</v>
      </c>
      <c r="C56" s="4" t="s">
        <v>103</v>
      </c>
      <c r="D56" s="2">
        <v>1831491.0</v>
      </c>
      <c r="E56" s="4" t="s">
        <v>205</v>
      </c>
      <c r="F56" s="4" t="s">
        <v>206</v>
      </c>
      <c r="G56" s="4" t="s">
        <v>47</v>
      </c>
      <c r="H56" s="4" t="s">
        <v>47</v>
      </c>
      <c r="I56" s="4" t="s">
        <v>47</v>
      </c>
      <c r="J56" s="4" t="s">
        <v>141</v>
      </c>
      <c r="K56" s="4" t="s">
        <v>142</v>
      </c>
      <c r="L56" s="3">
        <v>46174.0</v>
      </c>
      <c r="M56" s="4" t="s">
        <v>50</v>
      </c>
      <c r="N56" s="4" t="s">
        <v>47</v>
      </c>
      <c r="O56" s="4" t="s">
        <v>51</v>
      </c>
      <c r="P56" s="4" t="s">
        <v>123</v>
      </c>
      <c r="Q56" s="2">
        <v>1.0</v>
      </c>
      <c r="R56" s="2">
        <v>60.0</v>
      </c>
      <c r="S56" s="4" t="s">
        <v>129</v>
      </c>
      <c r="T56" s="4" t="s">
        <v>47</v>
      </c>
      <c r="U56" s="4" t="s">
        <v>47</v>
      </c>
      <c r="V56" s="5">
        <v>10.0</v>
      </c>
      <c r="W56" s="5">
        <v>14.93</v>
      </c>
      <c r="X56" s="5">
        <v>100.0</v>
      </c>
      <c r="Y56" s="5">
        <v>1.49</v>
      </c>
      <c r="Z56" s="4" t="s">
        <v>47</v>
      </c>
      <c r="AA56" s="5" t="s">
        <v>47</v>
      </c>
      <c r="AB56" s="4" t="s">
        <v>160</v>
      </c>
      <c r="AC56" s="4" t="s">
        <v>47</v>
      </c>
      <c r="AD56" s="5">
        <v>0.0</v>
      </c>
      <c r="AE56" s="4" t="s">
        <v>161</v>
      </c>
      <c r="AF56" s="3">
        <v>45871.0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ht="12.75" customHeight="1">
      <c r="A57" s="2">
        <v>1891456.0</v>
      </c>
      <c r="B57" s="3">
        <v>46169.0</v>
      </c>
      <c r="C57" s="4" t="s">
        <v>103</v>
      </c>
      <c r="D57" s="2">
        <v>1831491.0</v>
      </c>
      <c r="E57" s="4" t="s">
        <v>207</v>
      </c>
      <c r="F57" s="4" t="s">
        <v>208</v>
      </c>
      <c r="G57" s="4" t="s">
        <v>47</v>
      </c>
      <c r="H57" s="4" t="s">
        <v>47</v>
      </c>
      <c r="I57" s="4" t="s">
        <v>47</v>
      </c>
      <c r="J57" s="4" t="s">
        <v>141</v>
      </c>
      <c r="K57" s="4" t="s">
        <v>142</v>
      </c>
      <c r="L57" s="3">
        <v>46174.0</v>
      </c>
      <c r="M57" s="4" t="s">
        <v>50</v>
      </c>
      <c r="N57" s="4" t="s">
        <v>47</v>
      </c>
      <c r="O57" s="4" t="s">
        <v>51</v>
      </c>
      <c r="P57" s="4" t="s">
        <v>123</v>
      </c>
      <c r="Q57" s="2">
        <v>1.0</v>
      </c>
      <c r="R57" s="2">
        <v>60.0</v>
      </c>
      <c r="S57" s="4" t="s">
        <v>129</v>
      </c>
      <c r="T57" s="4" t="s">
        <v>47</v>
      </c>
      <c r="U57" s="4" t="s">
        <v>47</v>
      </c>
      <c r="V57" s="5">
        <v>10.0</v>
      </c>
      <c r="W57" s="5">
        <v>14.93</v>
      </c>
      <c r="X57" s="5">
        <v>100.0</v>
      </c>
      <c r="Y57" s="5">
        <v>1.49</v>
      </c>
      <c r="Z57" s="4" t="s">
        <v>47</v>
      </c>
      <c r="AA57" s="5" t="s">
        <v>47</v>
      </c>
      <c r="AB57" s="4" t="s">
        <v>160</v>
      </c>
      <c r="AC57" s="4" t="s">
        <v>47</v>
      </c>
      <c r="AD57" s="5">
        <v>0.0</v>
      </c>
      <c r="AE57" s="4" t="s">
        <v>161</v>
      </c>
      <c r="AF57" s="3">
        <v>45962.0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ht="12.75" customHeight="1">
      <c r="A58" s="2">
        <v>1891456.0</v>
      </c>
      <c r="B58" s="3">
        <v>46169.0</v>
      </c>
      <c r="C58" s="4" t="s">
        <v>103</v>
      </c>
      <c r="D58" s="2">
        <v>1831491.0</v>
      </c>
      <c r="E58" s="4" t="s">
        <v>209</v>
      </c>
      <c r="F58" s="4" t="s">
        <v>210</v>
      </c>
      <c r="G58" s="4" t="s">
        <v>47</v>
      </c>
      <c r="H58" s="4" t="s">
        <v>47</v>
      </c>
      <c r="I58" s="4" t="s">
        <v>47</v>
      </c>
      <c r="J58" s="4" t="s">
        <v>141</v>
      </c>
      <c r="K58" s="4" t="s">
        <v>142</v>
      </c>
      <c r="L58" s="3">
        <v>46174.0</v>
      </c>
      <c r="M58" s="4" t="s">
        <v>50</v>
      </c>
      <c r="N58" s="4" t="s">
        <v>47</v>
      </c>
      <c r="O58" s="4" t="s">
        <v>51</v>
      </c>
      <c r="P58" s="4" t="s">
        <v>123</v>
      </c>
      <c r="Q58" s="2">
        <v>2.0</v>
      </c>
      <c r="R58" s="2">
        <v>60.0</v>
      </c>
      <c r="S58" s="4" t="s">
        <v>129</v>
      </c>
      <c r="T58" s="4" t="s">
        <v>47</v>
      </c>
      <c r="U58" s="4" t="s">
        <v>47</v>
      </c>
      <c r="V58" s="5">
        <v>10.0</v>
      </c>
      <c r="W58" s="5">
        <v>26.88</v>
      </c>
      <c r="X58" s="5">
        <v>100.0</v>
      </c>
      <c r="Y58" s="5">
        <v>2.69</v>
      </c>
      <c r="Z58" s="4" t="s">
        <v>47</v>
      </c>
      <c r="AA58" s="5" t="s">
        <v>47</v>
      </c>
      <c r="AB58" s="4" t="s">
        <v>160</v>
      </c>
      <c r="AC58" s="4" t="s">
        <v>47</v>
      </c>
      <c r="AD58" s="5">
        <v>0.0</v>
      </c>
      <c r="AE58" s="4" t="s">
        <v>161</v>
      </c>
      <c r="AF58" s="3">
        <v>45962.0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ht="12.75" customHeight="1">
      <c r="A59" s="2">
        <v>1891456.0</v>
      </c>
      <c r="B59" s="3">
        <v>46169.0</v>
      </c>
      <c r="C59" s="4" t="s">
        <v>103</v>
      </c>
      <c r="D59" s="2">
        <v>1831491.0</v>
      </c>
      <c r="E59" s="4" t="s">
        <v>211</v>
      </c>
      <c r="F59" s="4" t="s">
        <v>212</v>
      </c>
      <c r="G59" s="4" t="s">
        <v>47</v>
      </c>
      <c r="H59" s="4" t="s">
        <v>47</v>
      </c>
      <c r="I59" s="4" t="s">
        <v>47</v>
      </c>
      <c r="J59" s="4" t="s">
        <v>141</v>
      </c>
      <c r="K59" s="4" t="s">
        <v>142</v>
      </c>
      <c r="L59" s="3">
        <v>46174.0</v>
      </c>
      <c r="M59" s="4" t="s">
        <v>50</v>
      </c>
      <c r="N59" s="4" t="s">
        <v>47</v>
      </c>
      <c r="O59" s="4" t="s">
        <v>51</v>
      </c>
      <c r="P59" s="4" t="s">
        <v>123</v>
      </c>
      <c r="Q59" s="2">
        <v>1.0</v>
      </c>
      <c r="R59" s="2">
        <v>60.0</v>
      </c>
      <c r="S59" s="4" t="s">
        <v>129</v>
      </c>
      <c r="T59" s="4" t="s">
        <v>47</v>
      </c>
      <c r="U59" s="4" t="s">
        <v>47</v>
      </c>
      <c r="V59" s="5">
        <v>10.0</v>
      </c>
      <c r="W59" s="5">
        <v>14.93</v>
      </c>
      <c r="X59" s="5">
        <v>100.0</v>
      </c>
      <c r="Y59" s="5">
        <v>1.49</v>
      </c>
      <c r="Z59" s="4" t="s">
        <v>47</v>
      </c>
      <c r="AA59" s="5" t="s">
        <v>47</v>
      </c>
      <c r="AB59" s="4" t="s">
        <v>160</v>
      </c>
      <c r="AC59" s="4" t="s">
        <v>47</v>
      </c>
      <c r="AD59" s="5">
        <v>0.0</v>
      </c>
      <c r="AE59" s="4" t="s">
        <v>161</v>
      </c>
      <c r="AF59" s="3">
        <v>45901.0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ht="12.75" customHeight="1">
      <c r="A60" s="2">
        <v>1891456.0</v>
      </c>
      <c r="B60" s="3">
        <v>46169.0</v>
      </c>
      <c r="C60" s="4" t="s">
        <v>103</v>
      </c>
      <c r="D60" s="2">
        <v>1831491.0</v>
      </c>
      <c r="E60" s="4" t="s">
        <v>213</v>
      </c>
      <c r="F60" s="4" t="s">
        <v>214</v>
      </c>
      <c r="G60" s="4" t="s">
        <v>47</v>
      </c>
      <c r="H60" s="4" t="s">
        <v>47</v>
      </c>
      <c r="I60" s="4" t="s">
        <v>47</v>
      </c>
      <c r="J60" s="4" t="s">
        <v>141</v>
      </c>
      <c r="K60" s="4" t="s">
        <v>142</v>
      </c>
      <c r="L60" s="3">
        <v>46174.0</v>
      </c>
      <c r="M60" s="4" t="s">
        <v>50</v>
      </c>
      <c r="N60" s="4" t="s">
        <v>47</v>
      </c>
      <c r="O60" s="4" t="s">
        <v>51</v>
      </c>
      <c r="P60" s="4" t="s">
        <v>123</v>
      </c>
      <c r="Q60" s="2">
        <v>2.0</v>
      </c>
      <c r="R60" s="2">
        <v>60.0</v>
      </c>
      <c r="S60" s="4" t="s">
        <v>129</v>
      </c>
      <c r="T60" s="4" t="s">
        <v>47</v>
      </c>
      <c r="U60" s="4" t="s">
        <v>47</v>
      </c>
      <c r="V60" s="5">
        <v>10.0</v>
      </c>
      <c r="W60" s="5">
        <v>26.88</v>
      </c>
      <c r="X60" s="5">
        <v>100.0</v>
      </c>
      <c r="Y60" s="5">
        <v>2.69</v>
      </c>
      <c r="Z60" s="4" t="s">
        <v>47</v>
      </c>
      <c r="AA60" s="5" t="s">
        <v>47</v>
      </c>
      <c r="AB60" s="4" t="s">
        <v>160</v>
      </c>
      <c r="AC60" s="4" t="s">
        <v>47</v>
      </c>
      <c r="AD60" s="5">
        <v>0.0</v>
      </c>
      <c r="AE60" s="4" t="s">
        <v>161</v>
      </c>
      <c r="AF60" s="3">
        <v>45901.0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ht="12.75" customHeight="1">
      <c r="A61" s="2">
        <v>1891456.0</v>
      </c>
      <c r="B61" s="3">
        <v>46169.0</v>
      </c>
      <c r="C61" s="4" t="s">
        <v>103</v>
      </c>
      <c r="D61" s="2">
        <v>1831491.0</v>
      </c>
      <c r="E61" s="4" t="s">
        <v>215</v>
      </c>
      <c r="F61" s="4" t="s">
        <v>216</v>
      </c>
      <c r="G61" s="4" t="s">
        <v>47</v>
      </c>
      <c r="H61" s="4" t="s">
        <v>47</v>
      </c>
      <c r="I61" s="4" t="s">
        <v>47</v>
      </c>
      <c r="J61" s="4" t="s">
        <v>141</v>
      </c>
      <c r="K61" s="4" t="s">
        <v>142</v>
      </c>
      <c r="L61" s="3">
        <v>46174.0</v>
      </c>
      <c r="M61" s="4" t="s">
        <v>50</v>
      </c>
      <c r="N61" s="4" t="s">
        <v>47</v>
      </c>
      <c r="O61" s="4" t="s">
        <v>51</v>
      </c>
      <c r="P61" s="4" t="s">
        <v>123</v>
      </c>
      <c r="Q61" s="2">
        <v>1.0</v>
      </c>
      <c r="R61" s="2">
        <v>60.0</v>
      </c>
      <c r="S61" s="4" t="s">
        <v>129</v>
      </c>
      <c r="T61" s="4" t="s">
        <v>47</v>
      </c>
      <c r="U61" s="4" t="s">
        <v>47</v>
      </c>
      <c r="V61" s="5">
        <v>10.0</v>
      </c>
      <c r="W61" s="5">
        <v>14.93</v>
      </c>
      <c r="X61" s="5">
        <v>100.0</v>
      </c>
      <c r="Y61" s="5">
        <v>1.49</v>
      </c>
      <c r="Z61" s="4" t="s">
        <v>47</v>
      </c>
      <c r="AA61" s="5" t="s">
        <v>47</v>
      </c>
      <c r="AB61" s="4" t="s">
        <v>160</v>
      </c>
      <c r="AC61" s="4" t="s">
        <v>47</v>
      </c>
      <c r="AD61" s="5">
        <v>0.0</v>
      </c>
      <c r="AE61" s="4" t="s">
        <v>161</v>
      </c>
      <c r="AF61" s="3">
        <v>45962.0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ht="12.75" customHeight="1">
      <c r="A62" s="2">
        <v>1891456.0</v>
      </c>
      <c r="B62" s="3">
        <v>46169.0</v>
      </c>
      <c r="C62" s="4" t="s">
        <v>103</v>
      </c>
      <c r="D62" s="2">
        <v>1831491.0</v>
      </c>
      <c r="E62" s="4" t="s">
        <v>217</v>
      </c>
      <c r="F62" s="4" t="s">
        <v>218</v>
      </c>
      <c r="G62" s="4" t="s">
        <v>47</v>
      </c>
      <c r="H62" s="4" t="s">
        <v>47</v>
      </c>
      <c r="I62" s="4" t="s">
        <v>47</v>
      </c>
      <c r="J62" s="4" t="s">
        <v>141</v>
      </c>
      <c r="K62" s="4" t="s">
        <v>142</v>
      </c>
      <c r="L62" s="3">
        <v>46174.0</v>
      </c>
      <c r="M62" s="4" t="s">
        <v>50</v>
      </c>
      <c r="N62" s="4" t="s">
        <v>47</v>
      </c>
      <c r="O62" s="4" t="s">
        <v>51</v>
      </c>
      <c r="P62" s="4" t="s">
        <v>123</v>
      </c>
      <c r="Q62" s="2">
        <v>2.0</v>
      </c>
      <c r="R62" s="2">
        <v>60.0</v>
      </c>
      <c r="S62" s="4" t="s">
        <v>129</v>
      </c>
      <c r="T62" s="4" t="s">
        <v>47</v>
      </c>
      <c r="U62" s="4" t="s">
        <v>47</v>
      </c>
      <c r="V62" s="5">
        <v>10.0</v>
      </c>
      <c r="W62" s="5">
        <v>26.88</v>
      </c>
      <c r="X62" s="5">
        <v>100.0</v>
      </c>
      <c r="Y62" s="5">
        <v>2.69</v>
      </c>
      <c r="Z62" s="4" t="s">
        <v>47</v>
      </c>
      <c r="AA62" s="5" t="s">
        <v>47</v>
      </c>
      <c r="AB62" s="4" t="s">
        <v>160</v>
      </c>
      <c r="AC62" s="4" t="s">
        <v>47</v>
      </c>
      <c r="AD62" s="5">
        <v>0.0</v>
      </c>
      <c r="AE62" s="4" t="s">
        <v>161</v>
      </c>
      <c r="AF62" s="3">
        <v>45962.0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ht="12.75" customHeight="1">
      <c r="A63" s="2">
        <v>1891456.0</v>
      </c>
      <c r="B63" s="3">
        <v>46169.0</v>
      </c>
      <c r="C63" s="4" t="s">
        <v>103</v>
      </c>
      <c r="D63" s="2">
        <v>1831491.0</v>
      </c>
      <c r="E63" s="4" t="s">
        <v>219</v>
      </c>
      <c r="F63" s="4" t="s">
        <v>220</v>
      </c>
      <c r="G63" s="4" t="s">
        <v>47</v>
      </c>
      <c r="H63" s="4" t="s">
        <v>47</v>
      </c>
      <c r="I63" s="4" t="s">
        <v>47</v>
      </c>
      <c r="J63" s="4" t="s">
        <v>141</v>
      </c>
      <c r="K63" s="4" t="s">
        <v>142</v>
      </c>
      <c r="L63" s="3">
        <v>46174.0</v>
      </c>
      <c r="M63" s="4" t="s">
        <v>50</v>
      </c>
      <c r="N63" s="4" t="s">
        <v>47</v>
      </c>
      <c r="O63" s="4" t="s">
        <v>51</v>
      </c>
      <c r="P63" s="4" t="s">
        <v>123</v>
      </c>
      <c r="Q63" s="2">
        <v>1.0</v>
      </c>
      <c r="R63" s="2">
        <v>60.0</v>
      </c>
      <c r="S63" s="4" t="s">
        <v>129</v>
      </c>
      <c r="T63" s="4" t="s">
        <v>47</v>
      </c>
      <c r="U63" s="4" t="s">
        <v>47</v>
      </c>
      <c r="V63" s="5">
        <v>10.0</v>
      </c>
      <c r="W63" s="5">
        <v>14.93</v>
      </c>
      <c r="X63" s="5">
        <v>100.0</v>
      </c>
      <c r="Y63" s="5">
        <v>1.49</v>
      </c>
      <c r="Z63" s="4" t="s">
        <v>47</v>
      </c>
      <c r="AA63" s="5" t="s">
        <v>47</v>
      </c>
      <c r="AB63" s="4" t="s">
        <v>160</v>
      </c>
      <c r="AC63" s="4" t="s">
        <v>47</v>
      </c>
      <c r="AD63" s="5">
        <v>0.0</v>
      </c>
      <c r="AE63" s="4" t="s">
        <v>161</v>
      </c>
      <c r="AF63" s="3">
        <v>45992.0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ht="12.75" customHeight="1">
      <c r="A64" s="2">
        <v>1891456.0</v>
      </c>
      <c r="B64" s="3">
        <v>46169.0</v>
      </c>
      <c r="C64" s="4" t="s">
        <v>103</v>
      </c>
      <c r="D64" s="2">
        <v>1831491.0</v>
      </c>
      <c r="E64" s="4" t="s">
        <v>221</v>
      </c>
      <c r="F64" s="4" t="s">
        <v>222</v>
      </c>
      <c r="G64" s="4" t="s">
        <v>47</v>
      </c>
      <c r="H64" s="4" t="s">
        <v>47</v>
      </c>
      <c r="I64" s="4" t="s">
        <v>47</v>
      </c>
      <c r="J64" s="4" t="s">
        <v>141</v>
      </c>
      <c r="K64" s="4" t="s">
        <v>142</v>
      </c>
      <c r="L64" s="3">
        <v>46174.0</v>
      </c>
      <c r="M64" s="4" t="s">
        <v>50</v>
      </c>
      <c r="N64" s="4" t="s">
        <v>47</v>
      </c>
      <c r="O64" s="4" t="s">
        <v>51</v>
      </c>
      <c r="P64" s="4" t="s">
        <v>123</v>
      </c>
      <c r="Q64" s="2">
        <v>2.0</v>
      </c>
      <c r="R64" s="2">
        <v>60.0</v>
      </c>
      <c r="S64" s="4" t="s">
        <v>129</v>
      </c>
      <c r="T64" s="4" t="s">
        <v>47</v>
      </c>
      <c r="U64" s="4" t="s">
        <v>47</v>
      </c>
      <c r="V64" s="5">
        <v>10.0</v>
      </c>
      <c r="W64" s="5">
        <v>26.88</v>
      </c>
      <c r="X64" s="5">
        <v>100.0</v>
      </c>
      <c r="Y64" s="5">
        <v>2.69</v>
      </c>
      <c r="Z64" s="4" t="s">
        <v>47</v>
      </c>
      <c r="AA64" s="5" t="s">
        <v>47</v>
      </c>
      <c r="AB64" s="4" t="s">
        <v>160</v>
      </c>
      <c r="AC64" s="4" t="s">
        <v>47</v>
      </c>
      <c r="AD64" s="5">
        <v>0.0</v>
      </c>
      <c r="AE64" s="4" t="s">
        <v>161</v>
      </c>
      <c r="AF64" s="3">
        <v>45992.0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ht="12.75" customHeight="1">
      <c r="A65" s="2">
        <v>1891456.0</v>
      </c>
      <c r="B65" s="3">
        <v>46169.0</v>
      </c>
      <c r="C65" s="4" t="s">
        <v>103</v>
      </c>
      <c r="D65" s="2">
        <v>1831491.0</v>
      </c>
      <c r="E65" s="4" t="s">
        <v>223</v>
      </c>
      <c r="F65" s="4" t="s">
        <v>224</v>
      </c>
      <c r="G65" s="4" t="s">
        <v>47</v>
      </c>
      <c r="H65" s="4" t="s">
        <v>47</v>
      </c>
      <c r="I65" s="4" t="s">
        <v>47</v>
      </c>
      <c r="J65" s="4" t="s">
        <v>141</v>
      </c>
      <c r="K65" s="4" t="s">
        <v>142</v>
      </c>
      <c r="L65" s="3">
        <v>46174.0</v>
      </c>
      <c r="M65" s="4" t="s">
        <v>50</v>
      </c>
      <c r="N65" s="4" t="s">
        <v>47</v>
      </c>
      <c r="O65" s="4" t="s">
        <v>51</v>
      </c>
      <c r="P65" s="4" t="s">
        <v>123</v>
      </c>
      <c r="Q65" s="2">
        <v>1.0</v>
      </c>
      <c r="R65" s="2">
        <v>60.0</v>
      </c>
      <c r="S65" s="4" t="s">
        <v>129</v>
      </c>
      <c r="T65" s="4" t="s">
        <v>47</v>
      </c>
      <c r="U65" s="4" t="s">
        <v>47</v>
      </c>
      <c r="V65" s="5">
        <v>10.0</v>
      </c>
      <c r="W65" s="5">
        <v>14.93</v>
      </c>
      <c r="X65" s="5">
        <v>100.0</v>
      </c>
      <c r="Y65" s="5">
        <v>1.49</v>
      </c>
      <c r="Z65" s="4" t="s">
        <v>47</v>
      </c>
      <c r="AA65" s="5" t="s">
        <v>47</v>
      </c>
      <c r="AB65" s="4" t="s">
        <v>160</v>
      </c>
      <c r="AC65" s="4" t="s">
        <v>47</v>
      </c>
      <c r="AD65" s="5">
        <v>0.0</v>
      </c>
      <c r="AE65" s="4" t="s">
        <v>161</v>
      </c>
      <c r="AF65" s="3">
        <v>46023.0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ht="12.75" customHeight="1">
      <c r="A66" s="2">
        <v>1891456.0</v>
      </c>
      <c r="B66" s="3">
        <v>46169.0</v>
      </c>
      <c r="C66" s="4" t="s">
        <v>103</v>
      </c>
      <c r="D66" s="2">
        <v>1831491.0</v>
      </c>
      <c r="E66" s="4" t="s">
        <v>225</v>
      </c>
      <c r="F66" s="4" t="s">
        <v>226</v>
      </c>
      <c r="G66" s="4" t="s">
        <v>47</v>
      </c>
      <c r="H66" s="4" t="s">
        <v>47</v>
      </c>
      <c r="I66" s="4" t="s">
        <v>47</v>
      </c>
      <c r="J66" s="4" t="s">
        <v>141</v>
      </c>
      <c r="K66" s="4" t="s">
        <v>142</v>
      </c>
      <c r="L66" s="3">
        <v>46174.0</v>
      </c>
      <c r="M66" s="4" t="s">
        <v>50</v>
      </c>
      <c r="N66" s="4" t="s">
        <v>47</v>
      </c>
      <c r="O66" s="4" t="s">
        <v>51</v>
      </c>
      <c r="P66" s="4" t="s">
        <v>123</v>
      </c>
      <c r="Q66" s="2">
        <v>1.0</v>
      </c>
      <c r="R66" s="2">
        <v>60.0</v>
      </c>
      <c r="S66" s="4" t="s">
        <v>129</v>
      </c>
      <c r="T66" s="4" t="s">
        <v>47</v>
      </c>
      <c r="U66" s="4" t="s">
        <v>47</v>
      </c>
      <c r="V66" s="5">
        <v>10.0</v>
      </c>
      <c r="W66" s="5">
        <v>14.93</v>
      </c>
      <c r="X66" s="5">
        <v>100.0</v>
      </c>
      <c r="Y66" s="5">
        <v>1.49</v>
      </c>
      <c r="Z66" s="4" t="s">
        <v>47</v>
      </c>
      <c r="AA66" s="5" t="s">
        <v>47</v>
      </c>
      <c r="AB66" s="4" t="s">
        <v>160</v>
      </c>
      <c r="AC66" s="4" t="s">
        <v>47</v>
      </c>
      <c r="AD66" s="5">
        <v>0.0</v>
      </c>
      <c r="AE66" s="4" t="s">
        <v>161</v>
      </c>
      <c r="AF66" s="3">
        <v>46023.0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47</v>
      </c>
    </row>
    <row r="67" ht="12.75" customHeight="1">
      <c r="A67" s="2">
        <v>1891456.0</v>
      </c>
      <c r="B67" s="3">
        <v>46169.0</v>
      </c>
      <c r="C67" s="4" t="s">
        <v>103</v>
      </c>
      <c r="D67" s="2">
        <v>1831491.0</v>
      </c>
      <c r="E67" s="4" t="s">
        <v>227</v>
      </c>
      <c r="F67" s="4" t="s">
        <v>228</v>
      </c>
      <c r="G67" s="4" t="s">
        <v>47</v>
      </c>
      <c r="H67" s="4" t="s">
        <v>47</v>
      </c>
      <c r="I67" s="4" t="s">
        <v>47</v>
      </c>
      <c r="J67" s="4" t="s">
        <v>141</v>
      </c>
      <c r="K67" s="4" t="s">
        <v>142</v>
      </c>
      <c r="L67" s="3">
        <v>46174.0</v>
      </c>
      <c r="M67" s="4" t="s">
        <v>50</v>
      </c>
      <c r="N67" s="4" t="s">
        <v>47</v>
      </c>
      <c r="O67" s="4" t="s">
        <v>51</v>
      </c>
      <c r="P67" s="4" t="s">
        <v>123</v>
      </c>
      <c r="Q67" s="2">
        <v>1.0</v>
      </c>
      <c r="R67" s="2">
        <v>60.0</v>
      </c>
      <c r="S67" s="4" t="s">
        <v>129</v>
      </c>
      <c r="T67" s="4" t="s">
        <v>47</v>
      </c>
      <c r="U67" s="4" t="s">
        <v>47</v>
      </c>
      <c r="V67" s="5">
        <v>10.0</v>
      </c>
      <c r="W67" s="5">
        <v>14.93</v>
      </c>
      <c r="X67" s="5">
        <v>100.0</v>
      </c>
      <c r="Y67" s="5">
        <v>1.49</v>
      </c>
      <c r="Z67" s="4" t="s">
        <v>47</v>
      </c>
      <c r="AA67" s="5" t="s">
        <v>47</v>
      </c>
      <c r="AB67" s="4" t="s">
        <v>160</v>
      </c>
      <c r="AC67" s="4" t="s">
        <v>47</v>
      </c>
      <c r="AD67" s="5">
        <v>0.0</v>
      </c>
      <c r="AE67" s="4" t="s">
        <v>161</v>
      </c>
      <c r="AF67" s="3">
        <v>46023.0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47</v>
      </c>
    </row>
    <row r="68" ht="12.75" customHeight="1">
      <c r="A68" s="2">
        <v>1891456.0</v>
      </c>
      <c r="B68" s="3">
        <v>46169.0</v>
      </c>
      <c r="C68" s="4" t="s">
        <v>103</v>
      </c>
      <c r="D68" s="2">
        <v>1831491.0</v>
      </c>
      <c r="E68" s="4" t="s">
        <v>229</v>
      </c>
      <c r="F68" s="4" t="s">
        <v>230</v>
      </c>
      <c r="G68" s="4" t="s">
        <v>47</v>
      </c>
      <c r="H68" s="4" t="s">
        <v>47</v>
      </c>
      <c r="I68" s="4" t="s">
        <v>47</v>
      </c>
      <c r="J68" s="4" t="s">
        <v>141</v>
      </c>
      <c r="K68" s="4" t="s">
        <v>142</v>
      </c>
      <c r="L68" s="3">
        <v>46174.0</v>
      </c>
      <c r="M68" s="4" t="s">
        <v>50</v>
      </c>
      <c r="N68" s="4" t="s">
        <v>47</v>
      </c>
      <c r="O68" s="4" t="s">
        <v>51</v>
      </c>
      <c r="P68" s="4" t="s">
        <v>123</v>
      </c>
      <c r="Q68" s="2">
        <v>1.0</v>
      </c>
      <c r="R68" s="2">
        <v>60.0</v>
      </c>
      <c r="S68" s="4" t="s">
        <v>129</v>
      </c>
      <c r="T68" s="4" t="s">
        <v>47</v>
      </c>
      <c r="U68" s="4" t="s">
        <v>47</v>
      </c>
      <c r="V68" s="5">
        <v>10.0</v>
      </c>
      <c r="W68" s="5">
        <v>14.93</v>
      </c>
      <c r="X68" s="5">
        <v>100.0</v>
      </c>
      <c r="Y68" s="5">
        <v>1.49</v>
      </c>
      <c r="Z68" s="4" t="s">
        <v>47</v>
      </c>
      <c r="AA68" s="5" t="s">
        <v>47</v>
      </c>
      <c r="AB68" s="4" t="s">
        <v>160</v>
      </c>
      <c r="AC68" s="4" t="s">
        <v>47</v>
      </c>
      <c r="AD68" s="5">
        <v>0.0</v>
      </c>
      <c r="AE68" s="4" t="s">
        <v>161</v>
      </c>
      <c r="AF68" s="3">
        <v>46023.0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ht="12.75" customHeight="1">
      <c r="A69" s="2">
        <v>1891456.0</v>
      </c>
      <c r="B69" s="3">
        <v>46169.0</v>
      </c>
      <c r="C69" s="4" t="s">
        <v>103</v>
      </c>
      <c r="D69" s="2">
        <v>1831491.0</v>
      </c>
      <c r="E69" s="4" t="s">
        <v>231</v>
      </c>
      <c r="F69" s="4" t="s">
        <v>232</v>
      </c>
      <c r="G69" s="4" t="s">
        <v>47</v>
      </c>
      <c r="H69" s="4" t="s">
        <v>47</v>
      </c>
      <c r="I69" s="4" t="s">
        <v>47</v>
      </c>
      <c r="J69" s="4" t="s">
        <v>141</v>
      </c>
      <c r="K69" s="4" t="s">
        <v>142</v>
      </c>
      <c r="L69" s="3">
        <v>46174.0</v>
      </c>
      <c r="M69" s="4" t="s">
        <v>50</v>
      </c>
      <c r="N69" s="4" t="s">
        <v>47</v>
      </c>
      <c r="O69" s="4" t="s">
        <v>51</v>
      </c>
      <c r="P69" s="4" t="s">
        <v>123</v>
      </c>
      <c r="Q69" s="2">
        <v>2.0</v>
      </c>
      <c r="R69" s="2">
        <v>60.0</v>
      </c>
      <c r="S69" s="4" t="s">
        <v>129</v>
      </c>
      <c r="T69" s="4" t="s">
        <v>47</v>
      </c>
      <c r="U69" s="4" t="s">
        <v>47</v>
      </c>
      <c r="V69" s="5">
        <v>10.0</v>
      </c>
      <c r="W69" s="5">
        <v>26.88</v>
      </c>
      <c r="X69" s="5">
        <v>100.0</v>
      </c>
      <c r="Y69" s="5">
        <v>2.69</v>
      </c>
      <c r="Z69" s="4" t="s">
        <v>47</v>
      </c>
      <c r="AA69" s="5" t="s">
        <v>47</v>
      </c>
      <c r="AB69" s="4" t="s">
        <v>160</v>
      </c>
      <c r="AC69" s="4" t="s">
        <v>47</v>
      </c>
      <c r="AD69" s="5">
        <v>0.0</v>
      </c>
      <c r="AE69" s="4" t="s">
        <v>161</v>
      </c>
      <c r="AF69" s="3">
        <v>45976.0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47</v>
      </c>
    </row>
    <row r="70" ht="12.75" customHeight="1">
      <c r="A70" s="2">
        <v>1891456.0</v>
      </c>
      <c r="B70" s="3">
        <v>46169.0</v>
      </c>
      <c r="C70" s="4" t="s">
        <v>103</v>
      </c>
      <c r="D70" s="2">
        <v>1831491.0</v>
      </c>
      <c r="E70" s="4" t="s">
        <v>233</v>
      </c>
      <c r="F70" s="4" t="s">
        <v>234</v>
      </c>
      <c r="G70" s="4" t="s">
        <v>47</v>
      </c>
      <c r="H70" s="4" t="s">
        <v>47</v>
      </c>
      <c r="I70" s="4" t="s">
        <v>47</v>
      </c>
      <c r="J70" s="4" t="s">
        <v>141</v>
      </c>
      <c r="K70" s="4" t="s">
        <v>142</v>
      </c>
      <c r="L70" s="3">
        <v>46174.0</v>
      </c>
      <c r="M70" s="4" t="s">
        <v>50</v>
      </c>
      <c r="N70" s="4" t="s">
        <v>47</v>
      </c>
      <c r="O70" s="4" t="s">
        <v>51</v>
      </c>
      <c r="P70" s="4" t="s">
        <v>123</v>
      </c>
      <c r="Q70" s="2">
        <v>1.0</v>
      </c>
      <c r="R70" s="2">
        <v>60.0</v>
      </c>
      <c r="S70" s="4" t="s">
        <v>129</v>
      </c>
      <c r="T70" s="4" t="s">
        <v>47</v>
      </c>
      <c r="U70" s="4" t="s">
        <v>47</v>
      </c>
      <c r="V70" s="5">
        <v>10.0</v>
      </c>
      <c r="W70" s="5">
        <v>14.93</v>
      </c>
      <c r="X70" s="5">
        <v>100.0</v>
      </c>
      <c r="Y70" s="5">
        <v>1.49</v>
      </c>
      <c r="Z70" s="4" t="s">
        <v>47</v>
      </c>
      <c r="AA70" s="5" t="s">
        <v>47</v>
      </c>
      <c r="AB70" s="4" t="s">
        <v>160</v>
      </c>
      <c r="AC70" s="4" t="s">
        <v>47</v>
      </c>
      <c r="AD70" s="5">
        <v>0.0</v>
      </c>
      <c r="AE70" s="4" t="s">
        <v>161</v>
      </c>
      <c r="AF70" s="3">
        <v>45978.0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47</v>
      </c>
    </row>
    <row r="71" ht="12.75" customHeight="1">
      <c r="A71" s="2">
        <v>1891456.0</v>
      </c>
      <c r="B71" s="3">
        <v>46169.0</v>
      </c>
      <c r="C71" s="4" t="s">
        <v>103</v>
      </c>
      <c r="D71" s="2">
        <v>1831491.0</v>
      </c>
      <c r="E71" s="4" t="s">
        <v>235</v>
      </c>
      <c r="F71" s="4" t="s">
        <v>236</v>
      </c>
      <c r="G71" s="4" t="s">
        <v>47</v>
      </c>
      <c r="H71" s="4" t="s">
        <v>47</v>
      </c>
      <c r="I71" s="4" t="s">
        <v>47</v>
      </c>
      <c r="J71" s="4" t="s">
        <v>141</v>
      </c>
      <c r="K71" s="4" t="s">
        <v>142</v>
      </c>
      <c r="L71" s="3">
        <v>46174.0</v>
      </c>
      <c r="M71" s="4" t="s">
        <v>50</v>
      </c>
      <c r="N71" s="4" t="s">
        <v>47</v>
      </c>
      <c r="O71" s="4" t="s">
        <v>51</v>
      </c>
      <c r="P71" s="4" t="s">
        <v>123</v>
      </c>
      <c r="Q71" s="2">
        <v>1.0</v>
      </c>
      <c r="R71" s="2">
        <v>60.0</v>
      </c>
      <c r="S71" s="4" t="s">
        <v>129</v>
      </c>
      <c r="T71" s="4" t="s">
        <v>47</v>
      </c>
      <c r="U71" s="4" t="s">
        <v>47</v>
      </c>
      <c r="V71" s="5">
        <v>10.0</v>
      </c>
      <c r="W71" s="5">
        <v>14.93</v>
      </c>
      <c r="X71" s="5">
        <v>100.0</v>
      </c>
      <c r="Y71" s="5">
        <v>1.49</v>
      </c>
      <c r="Z71" s="4" t="s">
        <v>47</v>
      </c>
      <c r="AA71" s="5" t="s">
        <v>47</v>
      </c>
      <c r="AB71" s="4" t="s">
        <v>160</v>
      </c>
      <c r="AC71" s="4" t="s">
        <v>47</v>
      </c>
      <c r="AD71" s="5">
        <v>0.0</v>
      </c>
      <c r="AE71" s="4" t="s">
        <v>161</v>
      </c>
      <c r="AF71" s="3">
        <v>46023.0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47</v>
      </c>
    </row>
    <row r="72" ht="12.75" customHeight="1">
      <c r="A72" s="2">
        <v>1891456.0</v>
      </c>
      <c r="B72" s="3">
        <v>46169.0</v>
      </c>
      <c r="C72" s="4" t="s">
        <v>103</v>
      </c>
      <c r="D72" s="2">
        <v>1831491.0</v>
      </c>
      <c r="E72" s="4" t="s">
        <v>237</v>
      </c>
      <c r="F72" s="4" t="s">
        <v>238</v>
      </c>
      <c r="G72" s="4" t="s">
        <v>47</v>
      </c>
      <c r="H72" s="4" t="s">
        <v>47</v>
      </c>
      <c r="I72" s="4" t="s">
        <v>47</v>
      </c>
      <c r="J72" s="4" t="s">
        <v>141</v>
      </c>
      <c r="K72" s="4" t="s">
        <v>142</v>
      </c>
      <c r="L72" s="3">
        <v>46174.0</v>
      </c>
      <c r="M72" s="4" t="s">
        <v>50</v>
      </c>
      <c r="N72" s="4" t="s">
        <v>47</v>
      </c>
      <c r="O72" s="4" t="s">
        <v>51</v>
      </c>
      <c r="P72" s="4" t="s">
        <v>123</v>
      </c>
      <c r="Q72" s="2">
        <v>1.0</v>
      </c>
      <c r="R72" s="2">
        <v>60.0</v>
      </c>
      <c r="S72" s="4" t="s">
        <v>129</v>
      </c>
      <c r="T72" s="4" t="s">
        <v>47</v>
      </c>
      <c r="U72" s="4" t="s">
        <v>47</v>
      </c>
      <c r="V72" s="5">
        <v>10.0</v>
      </c>
      <c r="W72" s="5">
        <v>14.93</v>
      </c>
      <c r="X72" s="5">
        <v>100.0</v>
      </c>
      <c r="Y72" s="5">
        <v>1.49</v>
      </c>
      <c r="Z72" s="4" t="s">
        <v>47</v>
      </c>
      <c r="AA72" s="5" t="s">
        <v>47</v>
      </c>
      <c r="AB72" s="4" t="s">
        <v>160</v>
      </c>
      <c r="AC72" s="4" t="s">
        <v>47</v>
      </c>
      <c r="AD72" s="5">
        <v>0.0</v>
      </c>
      <c r="AE72" s="4" t="s">
        <v>161</v>
      </c>
      <c r="AF72" s="3">
        <v>46023.0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47</v>
      </c>
    </row>
    <row r="73" ht="12.75" customHeight="1">
      <c r="A73" s="2">
        <v>1891456.0</v>
      </c>
      <c r="B73" s="3">
        <v>46169.0</v>
      </c>
      <c r="C73" s="4" t="s">
        <v>103</v>
      </c>
      <c r="D73" s="2">
        <v>1831491.0</v>
      </c>
      <c r="E73" s="4" t="s">
        <v>239</v>
      </c>
      <c r="F73" s="4" t="s">
        <v>240</v>
      </c>
      <c r="G73" s="4" t="s">
        <v>47</v>
      </c>
      <c r="H73" s="4" t="s">
        <v>47</v>
      </c>
      <c r="I73" s="4" t="s">
        <v>47</v>
      </c>
      <c r="J73" s="4" t="s">
        <v>141</v>
      </c>
      <c r="K73" s="4" t="s">
        <v>142</v>
      </c>
      <c r="L73" s="3">
        <v>46174.0</v>
      </c>
      <c r="M73" s="4" t="s">
        <v>50</v>
      </c>
      <c r="N73" s="4" t="s">
        <v>47</v>
      </c>
      <c r="O73" s="4" t="s">
        <v>51</v>
      </c>
      <c r="P73" s="4" t="s">
        <v>123</v>
      </c>
      <c r="Q73" s="2">
        <v>1.0</v>
      </c>
      <c r="R73" s="2">
        <v>60.0</v>
      </c>
      <c r="S73" s="4" t="s">
        <v>129</v>
      </c>
      <c r="T73" s="4" t="s">
        <v>47</v>
      </c>
      <c r="U73" s="4" t="s">
        <v>47</v>
      </c>
      <c r="V73" s="5">
        <v>10.0</v>
      </c>
      <c r="W73" s="5">
        <v>14.93</v>
      </c>
      <c r="X73" s="5">
        <v>100.0</v>
      </c>
      <c r="Y73" s="5">
        <v>1.49</v>
      </c>
      <c r="Z73" s="4" t="s">
        <v>47</v>
      </c>
      <c r="AA73" s="5" t="s">
        <v>47</v>
      </c>
      <c r="AB73" s="4" t="s">
        <v>160</v>
      </c>
      <c r="AC73" s="4" t="s">
        <v>47</v>
      </c>
      <c r="AD73" s="5">
        <v>0.0</v>
      </c>
      <c r="AE73" s="4" t="s">
        <v>161</v>
      </c>
      <c r="AF73" s="3">
        <v>46023.0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47</v>
      </c>
    </row>
    <row r="74" ht="12.75" customHeight="1">
      <c r="A74" s="2">
        <v>1891456.0</v>
      </c>
      <c r="B74" s="3">
        <v>46169.0</v>
      </c>
      <c r="C74" s="4" t="s">
        <v>103</v>
      </c>
      <c r="D74" s="2">
        <v>1831491.0</v>
      </c>
      <c r="E74" s="4" t="s">
        <v>241</v>
      </c>
      <c r="F74" s="4" t="s">
        <v>242</v>
      </c>
      <c r="G74" s="4" t="s">
        <v>47</v>
      </c>
      <c r="H74" s="4" t="s">
        <v>47</v>
      </c>
      <c r="I74" s="4" t="s">
        <v>47</v>
      </c>
      <c r="J74" s="4" t="s">
        <v>141</v>
      </c>
      <c r="K74" s="4" t="s">
        <v>142</v>
      </c>
      <c r="L74" s="3">
        <v>46174.0</v>
      </c>
      <c r="M74" s="4" t="s">
        <v>50</v>
      </c>
      <c r="N74" s="4" t="s">
        <v>47</v>
      </c>
      <c r="O74" s="4" t="s">
        <v>51</v>
      </c>
      <c r="P74" s="4" t="s">
        <v>123</v>
      </c>
      <c r="Q74" s="2">
        <v>2.0</v>
      </c>
      <c r="R74" s="2">
        <v>60.0</v>
      </c>
      <c r="S74" s="4" t="s">
        <v>129</v>
      </c>
      <c r="T74" s="4" t="s">
        <v>47</v>
      </c>
      <c r="U74" s="4" t="s">
        <v>47</v>
      </c>
      <c r="V74" s="5">
        <v>10.0</v>
      </c>
      <c r="W74" s="5">
        <v>26.88</v>
      </c>
      <c r="X74" s="5">
        <v>100.0</v>
      </c>
      <c r="Y74" s="5">
        <v>2.69</v>
      </c>
      <c r="Z74" s="4" t="s">
        <v>47</v>
      </c>
      <c r="AA74" s="5" t="s">
        <v>47</v>
      </c>
      <c r="AB74" s="4" t="s">
        <v>160</v>
      </c>
      <c r="AC74" s="4" t="s">
        <v>47</v>
      </c>
      <c r="AD74" s="5">
        <v>0.0</v>
      </c>
      <c r="AE74" s="4" t="s">
        <v>161</v>
      </c>
      <c r="AF74" s="3">
        <v>46023.0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47</v>
      </c>
    </row>
    <row r="75" ht="12.75" customHeight="1">
      <c r="A75" s="2">
        <v>1891456.0</v>
      </c>
      <c r="B75" s="3">
        <v>46169.0</v>
      </c>
      <c r="C75" s="4" t="s">
        <v>103</v>
      </c>
      <c r="D75" s="2">
        <v>1831491.0</v>
      </c>
      <c r="E75" s="4" t="s">
        <v>243</v>
      </c>
      <c r="F75" s="4" t="s">
        <v>244</v>
      </c>
      <c r="G75" s="4" t="s">
        <v>47</v>
      </c>
      <c r="H75" s="4" t="s">
        <v>47</v>
      </c>
      <c r="I75" s="4" t="s">
        <v>47</v>
      </c>
      <c r="J75" s="4" t="s">
        <v>141</v>
      </c>
      <c r="K75" s="4" t="s">
        <v>142</v>
      </c>
      <c r="L75" s="3">
        <v>46174.0</v>
      </c>
      <c r="M75" s="4" t="s">
        <v>50</v>
      </c>
      <c r="N75" s="4" t="s">
        <v>47</v>
      </c>
      <c r="O75" s="4" t="s">
        <v>51</v>
      </c>
      <c r="P75" s="4" t="s">
        <v>123</v>
      </c>
      <c r="Q75" s="2">
        <v>1.0</v>
      </c>
      <c r="R75" s="2">
        <v>60.0</v>
      </c>
      <c r="S75" s="4" t="s">
        <v>129</v>
      </c>
      <c r="T75" s="4" t="s">
        <v>47</v>
      </c>
      <c r="U75" s="4" t="s">
        <v>47</v>
      </c>
      <c r="V75" s="5">
        <v>10.0</v>
      </c>
      <c r="W75" s="5">
        <v>14.93</v>
      </c>
      <c r="X75" s="5">
        <v>100.0</v>
      </c>
      <c r="Y75" s="5">
        <v>1.49</v>
      </c>
      <c r="Z75" s="4" t="s">
        <v>47</v>
      </c>
      <c r="AA75" s="5" t="s">
        <v>47</v>
      </c>
      <c r="AB75" s="4" t="s">
        <v>160</v>
      </c>
      <c r="AC75" s="4" t="s">
        <v>47</v>
      </c>
      <c r="AD75" s="5">
        <v>0.0</v>
      </c>
      <c r="AE75" s="4" t="s">
        <v>161</v>
      </c>
      <c r="AF75" s="3">
        <v>45994.0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47</v>
      </c>
    </row>
    <row r="76" ht="12.75" customHeight="1">
      <c r="A76" s="2">
        <v>1891456.0</v>
      </c>
      <c r="B76" s="3">
        <v>46169.0</v>
      </c>
      <c r="C76" s="4" t="s">
        <v>103</v>
      </c>
      <c r="D76" s="2">
        <v>1831491.0</v>
      </c>
      <c r="E76" s="4" t="s">
        <v>245</v>
      </c>
      <c r="F76" s="4" t="s">
        <v>246</v>
      </c>
      <c r="G76" s="4" t="s">
        <v>47</v>
      </c>
      <c r="H76" s="4" t="s">
        <v>47</v>
      </c>
      <c r="I76" s="4" t="s">
        <v>47</v>
      </c>
      <c r="J76" s="4" t="s">
        <v>141</v>
      </c>
      <c r="K76" s="4" t="s">
        <v>142</v>
      </c>
      <c r="L76" s="3">
        <v>46174.0</v>
      </c>
      <c r="M76" s="4" t="s">
        <v>50</v>
      </c>
      <c r="N76" s="4" t="s">
        <v>47</v>
      </c>
      <c r="O76" s="4" t="s">
        <v>51</v>
      </c>
      <c r="P76" s="4" t="s">
        <v>123</v>
      </c>
      <c r="Q76" s="2">
        <v>1.0</v>
      </c>
      <c r="R76" s="2">
        <v>60.0</v>
      </c>
      <c r="S76" s="4" t="s">
        <v>129</v>
      </c>
      <c r="T76" s="4" t="s">
        <v>47</v>
      </c>
      <c r="U76" s="4" t="s">
        <v>47</v>
      </c>
      <c r="V76" s="5">
        <v>10.0</v>
      </c>
      <c r="W76" s="5">
        <v>13.49</v>
      </c>
      <c r="X76" s="5">
        <v>100.0</v>
      </c>
      <c r="Y76" s="5">
        <v>1.35</v>
      </c>
      <c r="Z76" s="4" t="s">
        <v>47</v>
      </c>
      <c r="AA76" s="5" t="s">
        <v>47</v>
      </c>
      <c r="AB76" s="4" t="s">
        <v>160</v>
      </c>
      <c r="AC76" s="4" t="s">
        <v>47</v>
      </c>
      <c r="AD76" s="5">
        <v>0.0</v>
      </c>
      <c r="AE76" s="4" t="s">
        <v>161</v>
      </c>
      <c r="AF76" s="3">
        <v>46085.0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47</v>
      </c>
    </row>
    <row r="77" ht="12.75" customHeight="1">
      <c r="A77" s="2">
        <v>1891456.0</v>
      </c>
      <c r="B77" s="3">
        <v>46169.0</v>
      </c>
      <c r="C77" s="4" t="s">
        <v>103</v>
      </c>
      <c r="D77" s="2">
        <v>1831491.0</v>
      </c>
      <c r="E77" s="4" t="s">
        <v>247</v>
      </c>
      <c r="F77" s="4" t="s">
        <v>248</v>
      </c>
      <c r="G77" s="4" t="s">
        <v>47</v>
      </c>
      <c r="H77" s="4" t="s">
        <v>47</v>
      </c>
      <c r="I77" s="4" t="s">
        <v>47</v>
      </c>
      <c r="J77" s="4" t="s">
        <v>141</v>
      </c>
      <c r="K77" s="4" t="s">
        <v>142</v>
      </c>
      <c r="L77" s="3">
        <v>46174.0</v>
      </c>
      <c r="M77" s="4" t="s">
        <v>50</v>
      </c>
      <c r="N77" s="4" t="s">
        <v>47</v>
      </c>
      <c r="O77" s="4" t="s">
        <v>51</v>
      </c>
      <c r="P77" s="4" t="s">
        <v>123</v>
      </c>
      <c r="Q77" s="2">
        <v>1.0</v>
      </c>
      <c r="R77" s="2">
        <v>60.0</v>
      </c>
      <c r="S77" s="4" t="s">
        <v>129</v>
      </c>
      <c r="T77" s="4" t="s">
        <v>47</v>
      </c>
      <c r="U77" s="4" t="s">
        <v>47</v>
      </c>
      <c r="V77" s="5">
        <v>10.0</v>
      </c>
      <c r="W77" s="5">
        <v>14.93</v>
      </c>
      <c r="X77" s="5">
        <v>100.0</v>
      </c>
      <c r="Y77" s="5">
        <v>1.49</v>
      </c>
      <c r="Z77" s="4" t="s">
        <v>47</v>
      </c>
      <c r="AA77" s="5" t="s">
        <v>47</v>
      </c>
      <c r="AB77" s="4" t="s">
        <v>160</v>
      </c>
      <c r="AC77" s="4" t="s">
        <v>47</v>
      </c>
      <c r="AD77" s="5">
        <v>0.0</v>
      </c>
      <c r="AE77" s="4" t="s">
        <v>161</v>
      </c>
      <c r="AF77" s="3">
        <v>46137.0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47</v>
      </c>
    </row>
    <row r="78" ht="12.75" customHeight="1">
      <c r="A78" s="2">
        <v>1891456.0</v>
      </c>
      <c r="B78" s="3">
        <v>46169.0</v>
      </c>
      <c r="C78" s="4" t="s">
        <v>103</v>
      </c>
      <c r="D78" s="2">
        <v>1831491.0</v>
      </c>
      <c r="E78" s="4" t="s">
        <v>249</v>
      </c>
      <c r="F78" s="4" t="s">
        <v>250</v>
      </c>
      <c r="G78" s="4" t="s">
        <v>47</v>
      </c>
      <c r="H78" s="4" t="s">
        <v>47</v>
      </c>
      <c r="I78" s="4" t="s">
        <v>47</v>
      </c>
      <c r="J78" s="4" t="s">
        <v>141</v>
      </c>
      <c r="K78" s="4" t="s">
        <v>142</v>
      </c>
      <c r="L78" s="3">
        <v>46174.0</v>
      </c>
      <c r="M78" s="4" t="s">
        <v>50</v>
      </c>
      <c r="N78" s="4" t="s">
        <v>47</v>
      </c>
      <c r="O78" s="4" t="s">
        <v>51</v>
      </c>
      <c r="P78" s="4" t="s">
        <v>123</v>
      </c>
      <c r="Q78" s="2">
        <v>4.0</v>
      </c>
      <c r="R78" s="2">
        <v>60.0</v>
      </c>
      <c r="S78" s="4" t="s">
        <v>129</v>
      </c>
      <c r="T78" s="4" t="s">
        <v>47</v>
      </c>
      <c r="U78" s="4" t="s">
        <v>47</v>
      </c>
      <c r="V78" s="5">
        <v>15.0</v>
      </c>
      <c r="W78" s="5">
        <v>0.0</v>
      </c>
      <c r="X78" s="5">
        <v>100.0</v>
      </c>
      <c r="Y78" s="5">
        <v>35.0</v>
      </c>
      <c r="Z78" s="4" t="s">
        <v>47</v>
      </c>
      <c r="AA78" s="5" t="s">
        <v>47</v>
      </c>
      <c r="AB78" s="4" t="s">
        <v>160</v>
      </c>
      <c r="AC78" s="4" t="s">
        <v>47</v>
      </c>
      <c r="AD78" s="5">
        <v>0.0</v>
      </c>
      <c r="AE78" s="4" t="s">
        <v>161</v>
      </c>
      <c r="AF78" s="3">
        <v>46174.0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ht="12.75" customHeight="1">
      <c r="A79" s="2">
        <v>1891456.0</v>
      </c>
      <c r="B79" s="3">
        <v>46169.0</v>
      </c>
      <c r="C79" s="4" t="s">
        <v>251</v>
      </c>
      <c r="D79" s="2">
        <v>1875462.0</v>
      </c>
      <c r="E79" s="4" t="s">
        <v>252</v>
      </c>
      <c r="F79" s="4" t="s">
        <v>253</v>
      </c>
      <c r="G79" s="4" t="s">
        <v>47</v>
      </c>
      <c r="H79" s="4" t="s">
        <v>47</v>
      </c>
      <c r="I79" s="4" t="s">
        <v>47</v>
      </c>
      <c r="J79" s="4" t="s">
        <v>135</v>
      </c>
      <c r="K79" s="4" t="s">
        <v>49</v>
      </c>
      <c r="L79" s="3">
        <v>46143.0</v>
      </c>
      <c r="M79" s="4" t="s">
        <v>107</v>
      </c>
      <c r="N79" s="4" t="s">
        <v>47</v>
      </c>
      <c r="O79" s="4" t="s">
        <v>123</v>
      </c>
      <c r="P79" s="4" t="s">
        <v>123</v>
      </c>
      <c r="Q79" s="2">
        <v>1.0</v>
      </c>
      <c r="R79" s="2">
        <v>17.0</v>
      </c>
      <c r="S79" s="4" t="s">
        <v>52</v>
      </c>
      <c r="T79" s="4" t="s">
        <v>47</v>
      </c>
      <c r="U79" s="4" t="s">
        <v>47</v>
      </c>
      <c r="V79" s="5">
        <v>22.0</v>
      </c>
      <c r="W79" s="5">
        <v>186.54</v>
      </c>
      <c r="X79" s="5">
        <v>100.0</v>
      </c>
      <c r="Y79" s="5">
        <v>41.04</v>
      </c>
      <c r="Z79" s="5">
        <v>0.0</v>
      </c>
      <c r="AA79" s="5">
        <v>0.0</v>
      </c>
      <c r="AB79" s="4" t="s">
        <v>154</v>
      </c>
      <c r="AC79" s="4" t="s">
        <v>47</v>
      </c>
      <c r="AD79" s="5">
        <v>0.0</v>
      </c>
      <c r="AE79" s="4" t="s">
        <v>155</v>
      </c>
      <c r="AF79" s="3">
        <v>45658.0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136</v>
      </c>
    </row>
    <row r="80" ht="12.75" customHeight="1">
      <c r="A80" s="2">
        <v>1891456.0</v>
      </c>
      <c r="B80" s="3">
        <v>46169.0</v>
      </c>
      <c r="C80" s="4" t="s">
        <v>251</v>
      </c>
      <c r="D80" s="2">
        <v>1875462.0</v>
      </c>
      <c r="E80" s="4" t="s">
        <v>254</v>
      </c>
      <c r="F80" s="4" t="s">
        <v>255</v>
      </c>
      <c r="G80" s="4" t="s">
        <v>47</v>
      </c>
      <c r="H80" s="4" t="s">
        <v>47</v>
      </c>
      <c r="I80" s="4" t="s">
        <v>47</v>
      </c>
      <c r="J80" s="4" t="s">
        <v>141</v>
      </c>
      <c r="K80" s="4" t="s">
        <v>142</v>
      </c>
      <c r="L80" s="3">
        <v>46174.0</v>
      </c>
      <c r="M80" s="4" t="s">
        <v>50</v>
      </c>
      <c r="N80" s="4" t="s">
        <v>47</v>
      </c>
      <c r="O80" s="4" t="s">
        <v>123</v>
      </c>
      <c r="P80" s="4" t="s">
        <v>123</v>
      </c>
      <c r="Q80" s="2">
        <v>2.0</v>
      </c>
      <c r="R80" s="2">
        <v>60.0</v>
      </c>
      <c r="S80" s="4" t="s">
        <v>129</v>
      </c>
      <c r="T80" s="4" t="s">
        <v>47</v>
      </c>
      <c r="U80" s="4" t="s">
        <v>47</v>
      </c>
      <c r="V80" s="5">
        <v>10.0</v>
      </c>
      <c r="W80" s="5">
        <v>23.99</v>
      </c>
      <c r="X80" s="5">
        <v>100.0</v>
      </c>
      <c r="Y80" s="5">
        <v>2.4</v>
      </c>
      <c r="Z80" s="4" t="s">
        <v>47</v>
      </c>
      <c r="AA80" s="5" t="s">
        <v>47</v>
      </c>
      <c r="AB80" s="4" t="s">
        <v>143</v>
      </c>
      <c r="AC80" s="4" t="s">
        <v>47</v>
      </c>
      <c r="AD80" s="5">
        <v>0.0</v>
      </c>
      <c r="AE80" s="4" t="s">
        <v>144</v>
      </c>
      <c r="AF80" s="3">
        <v>45713.0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47</v>
      </c>
    </row>
    <row r="81" ht="12.75" customHeight="1">
      <c r="A81" s="2">
        <v>1891456.0</v>
      </c>
      <c r="B81" s="3">
        <v>46169.0</v>
      </c>
      <c r="C81" s="4" t="s">
        <v>251</v>
      </c>
      <c r="D81" s="2">
        <v>1875462.0</v>
      </c>
      <c r="E81" s="4" t="s">
        <v>256</v>
      </c>
      <c r="F81" s="4" t="s">
        <v>257</v>
      </c>
      <c r="G81" s="4" t="s">
        <v>47</v>
      </c>
      <c r="H81" s="4" t="s">
        <v>47</v>
      </c>
      <c r="I81" s="4" t="s">
        <v>47</v>
      </c>
      <c r="J81" s="4" t="s">
        <v>141</v>
      </c>
      <c r="K81" s="4" t="s">
        <v>142</v>
      </c>
      <c r="L81" s="3">
        <v>46143.0</v>
      </c>
      <c r="M81" s="4" t="s">
        <v>107</v>
      </c>
      <c r="N81" s="4" t="s">
        <v>47</v>
      </c>
      <c r="O81" s="4" t="s">
        <v>51</v>
      </c>
      <c r="P81" s="4" t="s">
        <v>123</v>
      </c>
      <c r="Q81" s="2">
        <v>3.0</v>
      </c>
      <c r="R81" s="2">
        <v>3.0</v>
      </c>
      <c r="S81" s="4" t="s">
        <v>124</v>
      </c>
      <c r="T81" s="4" t="s">
        <v>47</v>
      </c>
      <c r="U81" s="4" t="s">
        <v>47</v>
      </c>
      <c r="V81" s="5">
        <v>10.0</v>
      </c>
      <c r="W81" s="5">
        <v>108.97</v>
      </c>
      <c r="X81" s="5">
        <v>100.0</v>
      </c>
      <c r="Y81" s="5">
        <v>10.9</v>
      </c>
      <c r="Z81" s="4" t="s">
        <v>47</v>
      </c>
      <c r="AA81" s="5" t="s">
        <v>47</v>
      </c>
      <c r="AB81" s="4" t="s">
        <v>160</v>
      </c>
      <c r="AC81" s="4" t="s">
        <v>47</v>
      </c>
      <c r="AD81" s="5">
        <v>0.0</v>
      </c>
      <c r="AE81" s="4" t="s">
        <v>161</v>
      </c>
      <c r="AF81" s="3">
        <v>45902.0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47</v>
      </c>
    </row>
    <row r="82" ht="12.75" customHeight="1">
      <c r="A82" s="2">
        <v>1891456.0</v>
      </c>
      <c r="B82" s="3">
        <v>46169.0</v>
      </c>
      <c r="C82" s="4" t="s">
        <v>251</v>
      </c>
      <c r="D82" s="2">
        <v>1875462.0</v>
      </c>
      <c r="E82" s="4" t="s">
        <v>256</v>
      </c>
      <c r="F82" s="4" t="s">
        <v>257</v>
      </c>
      <c r="G82" s="4" t="s">
        <v>47</v>
      </c>
      <c r="H82" s="4" t="s">
        <v>47</v>
      </c>
      <c r="I82" s="4" t="s">
        <v>47</v>
      </c>
      <c r="J82" s="4" t="s">
        <v>141</v>
      </c>
      <c r="K82" s="4" t="s">
        <v>142</v>
      </c>
      <c r="L82" s="3">
        <v>46174.0</v>
      </c>
      <c r="M82" s="4" t="s">
        <v>50</v>
      </c>
      <c r="N82" s="4" t="s">
        <v>47</v>
      </c>
      <c r="O82" s="4" t="s">
        <v>51</v>
      </c>
      <c r="P82" s="4" t="s">
        <v>123</v>
      </c>
      <c r="Q82" s="2">
        <v>3.0</v>
      </c>
      <c r="R82" s="2">
        <v>3.0</v>
      </c>
      <c r="S82" s="4" t="s">
        <v>124</v>
      </c>
      <c r="T82" s="4" t="s">
        <v>47</v>
      </c>
      <c r="U82" s="4" t="s">
        <v>47</v>
      </c>
      <c r="V82" s="5">
        <v>10.0</v>
      </c>
      <c r="W82" s="5">
        <v>108.97</v>
      </c>
      <c r="X82" s="5">
        <v>100.0</v>
      </c>
      <c r="Y82" s="5">
        <v>10.9</v>
      </c>
      <c r="Z82" s="4" t="s">
        <v>47</v>
      </c>
      <c r="AA82" s="5" t="s">
        <v>47</v>
      </c>
      <c r="AB82" s="4" t="s">
        <v>160</v>
      </c>
      <c r="AC82" s="4" t="s">
        <v>47</v>
      </c>
      <c r="AD82" s="5">
        <v>0.0</v>
      </c>
      <c r="AE82" s="4" t="s">
        <v>161</v>
      </c>
      <c r="AF82" s="3">
        <v>45902.0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47</v>
      </c>
    </row>
    <row r="83" ht="12.75" customHeight="1">
      <c r="A83" s="2">
        <v>1891456.0</v>
      </c>
      <c r="B83" s="3">
        <v>46169.0</v>
      </c>
      <c r="C83" s="4" t="s">
        <v>258</v>
      </c>
      <c r="D83" s="2">
        <v>1875981.0</v>
      </c>
      <c r="E83" s="4" t="s">
        <v>259</v>
      </c>
      <c r="F83" s="4" t="s">
        <v>260</v>
      </c>
      <c r="G83" s="4" t="s">
        <v>47</v>
      </c>
      <c r="H83" s="4" t="s">
        <v>47</v>
      </c>
      <c r="I83" s="4" t="s">
        <v>47</v>
      </c>
      <c r="J83" s="4" t="s">
        <v>141</v>
      </c>
      <c r="K83" s="4" t="s">
        <v>142</v>
      </c>
      <c r="L83" s="3">
        <v>46143.0</v>
      </c>
      <c r="M83" s="4" t="s">
        <v>107</v>
      </c>
      <c r="N83" s="4" t="s">
        <v>47</v>
      </c>
      <c r="O83" s="4" t="s">
        <v>51</v>
      </c>
      <c r="P83" s="4" t="s">
        <v>123</v>
      </c>
      <c r="Q83" s="2">
        <v>2.0</v>
      </c>
      <c r="R83" s="2">
        <v>60.0</v>
      </c>
      <c r="S83" s="4" t="s">
        <v>129</v>
      </c>
      <c r="T83" s="4" t="s">
        <v>47</v>
      </c>
      <c r="U83" s="4" t="s">
        <v>47</v>
      </c>
      <c r="V83" s="5">
        <v>10.0</v>
      </c>
      <c r="W83" s="5">
        <v>25.54</v>
      </c>
      <c r="X83" s="5">
        <v>100.0</v>
      </c>
      <c r="Y83" s="5">
        <v>2.55</v>
      </c>
      <c r="Z83" s="4" t="s">
        <v>47</v>
      </c>
      <c r="AA83" s="5" t="s">
        <v>47</v>
      </c>
      <c r="AB83" s="4" t="s">
        <v>160</v>
      </c>
      <c r="AC83" s="4" t="s">
        <v>47</v>
      </c>
      <c r="AD83" s="5">
        <v>0.0</v>
      </c>
      <c r="AE83" s="4" t="s">
        <v>161</v>
      </c>
      <c r="AF83" s="3">
        <v>45818.0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47</v>
      </c>
      <c r="AO83" s="4" t="s">
        <v>47</v>
      </c>
      <c r="AP83" s="4" t="s">
        <v>47</v>
      </c>
      <c r="AQ83" s="4" t="s">
        <v>47</v>
      </c>
    </row>
    <row r="84" ht="12.75" customHeight="1">
      <c r="A84" s="2">
        <v>1891456.0</v>
      </c>
      <c r="B84" s="3">
        <v>46169.0</v>
      </c>
      <c r="C84" s="4" t="s">
        <v>258</v>
      </c>
      <c r="D84" s="2">
        <v>1875981.0</v>
      </c>
      <c r="E84" s="4" t="s">
        <v>259</v>
      </c>
      <c r="F84" s="4" t="s">
        <v>260</v>
      </c>
      <c r="G84" s="4" t="s">
        <v>47</v>
      </c>
      <c r="H84" s="4" t="s">
        <v>47</v>
      </c>
      <c r="I84" s="4" t="s">
        <v>47</v>
      </c>
      <c r="J84" s="4" t="s">
        <v>141</v>
      </c>
      <c r="K84" s="4" t="s">
        <v>142</v>
      </c>
      <c r="L84" s="3">
        <v>46174.0</v>
      </c>
      <c r="M84" s="4" t="s">
        <v>50</v>
      </c>
      <c r="N84" s="4" t="s">
        <v>47</v>
      </c>
      <c r="O84" s="4" t="s">
        <v>51</v>
      </c>
      <c r="P84" s="4" t="s">
        <v>123</v>
      </c>
      <c r="Q84" s="2">
        <v>2.0</v>
      </c>
      <c r="R84" s="2">
        <v>60.0</v>
      </c>
      <c r="S84" s="4" t="s">
        <v>129</v>
      </c>
      <c r="T84" s="4" t="s">
        <v>47</v>
      </c>
      <c r="U84" s="4" t="s">
        <v>47</v>
      </c>
      <c r="V84" s="5">
        <v>10.0</v>
      </c>
      <c r="W84" s="5">
        <v>25.54</v>
      </c>
      <c r="X84" s="5">
        <v>100.0</v>
      </c>
      <c r="Y84" s="5">
        <v>2.55</v>
      </c>
      <c r="Z84" s="4" t="s">
        <v>47</v>
      </c>
      <c r="AA84" s="5" t="s">
        <v>47</v>
      </c>
      <c r="AB84" s="4" t="s">
        <v>160</v>
      </c>
      <c r="AC84" s="4" t="s">
        <v>47</v>
      </c>
      <c r="AD84" s="5">
        <v>0.0</v>
      </c>
      <c r="AE84" s="4" t="s">
        <v>161</v>
      </c>
      <c r="AF84" s="3">
        <v>45818.0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47</v>
      </c>
      <c r="AO84" s="4" t="s">
        <v>47</v>
      </c>
      <c r="AP84" s="4" t="s">
        <v>47</v>
      </c>
      <c r="AQ84" s="4" t="s">
        <v>47</v>
      </c>
    </row>
    <row r="85" ht="12.75" customHeight="1">
      <c r="A85" s="2">
        <v>1891456.0</v>
      </c>
      <c r="B85" s="3">
        <v>46169.0</v>
      </c>
      <c r="C85" s="4" t="s">
        <v>258</v>
      </c>
      <c r="D85" s="2">
        <v>1875981.0</v>
      </c>
      <c r="E85" s="4" t="s">
        <v>261</v>
      </c>
      <c r="F85" s="4" t="s">
        <v>262</v>
      </c>
      <c r="G85" s="4" t="s">
        <v>47</v>
      </c>
      <c r="H85" s="4" t="s">
        <v>47</v>
      </c>
      <c r="I85" s="4" t="s">
        <v>47</v>
      </c>
      <c r="J85" s="4" t="s">
        <v>141</v>
      </c>
      <c r="K85" s="4" t="s">
        <v>142</v>
      </c>
      <c r="L85" s="3">
        <v>46143.0</v>
      </c>
      <c r="M85" s="4" t="s">
        <v>107</v>
      </c>
      <c r="N85" s="4" t="s">
        <v>47</v>
      </c>
      <c r="O85" s="4" t="s">
        <v>51</v>
      </c>
      <c r="P85" s="4" t="s">
        <v>123</v>
      </c>
      <c r="Q85" s="2">
        <v>1.0</v>
      </c>
      <c r="R85" s="2">
        <v>3.0</v>
      </c>
      <c r="S85" s="4" t="s">
        <v>124</v>
      </c>
      <c r="T85" s="4" t="s">
        <v>47</v>
      </c>
      <c r="U85" s="4" t="s">
        <v>47</v>
      </c>
      <c r="V85" s="5">
        <v>10.0</v>
      </c>
      <c r="W85" s="5">
        <v>25.96</v>
      </c>
      <c r="X85" s="5">
        <v>100.0</v>
      </c>
      <c r="Y85" s="5">
        <v>2.6</v>
      </c>
      <c r="Z85" s="4" t="s">
        <v>47</v>
      </c>
      <c r="AA85" s="5" t="s">
        <v>47</v>
      </c>
      <c r="AB85" s="4" t="s">
        <v>160</v>
      </c>
      <c r="AC85" s="4" t="s">
        <v>47</v>
      </c>
      <c r="AD85" s="5">
        <v>0.0</v>
      </c>
      <c r="AE85" s="4" t="s">
        <v>161</v>
      </c>
      <c r="AF85" s="3">
        <v>45874.0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47</v>
      </c>
      <c r="AO85" s="4" t="s">
        <v>47</v>
      </c>
      <c r="AP85" s="4" t="s">
        <v>47</v>
      </c>
      <c r="AQ85" s="4" t="s">
        <v>47</v>
      </c>
    </row>
    <row r="86" ht="12.75" customHeight="1">
      <c r="A86" s="2">
        <v>1891456.0</v>
      </c>
      <c r="B86" s="3">
        <v>46169.0</v>
      </c>
      <c r="C86" s="4" t="s">
        <v>258</v>
      </c>
      <c r="D86" s="2">
        <v>1875981.0</v>
      </c>
      <c r="E86" s="4" t="s">
        <v>261</v>
      </c>
      <c r="F86" s="4" t="s">
        <v>262</v>
      </c>
      <c r="G86" s="4" t="s">
        <v>47</v>
      </c>
      <c r="H86" s="4" t="s">
        <v>47</v>
      </c>
      <c r="I86" s="4" t="s">
        <v>47</v>
      </c>
      <c r="J86" s="4" t="s">
        <v>141</v>
      </c>
      <c r="K86" s="4" t="s">
        <v>142</v>
      </c>
      <c r="L86" s="3">
        <v>46174.0</v>
      </c>
      <c r="M86" s="4" t="s">
        <v>50</v>
      </c>
      <c r="N86" s="4" t="s">
        <v>47</v>
      </c>
      <c r="O86" s="4" t="s">
        <v>51</v>
      </c>
      <c r="P86" s="4" t="s">
        <v>123</v>
      </c>
      <c r="Q86" s="2">
        <v>1.0</v>
      </c>
      <c r="R86" s="2">
        <v>3.0</v>
      </c>
      <c r="S86" s="4" t="s">
        <v>124</v>
      </c>
      <c r="T86" s="4" t="s">
        <v>47</v>
      </c>
      <c r="U86" s="4" t="s">
        <v>47</v>
      </c>
      <c r="V86" s="5">
        <v>10.0</v>
      </c>
      <c r="W86" s="5">
        <v>25.96</v>
      </c>
      <c r="X86" s="5">
        <v>100.0</v>
      </c>
      <c r="Y86" s="5">
        <v>2.6</v>
      </c>
      <c r="Z86" s="4" t="s">
        <v>47</v>
      </c>
      <c r="AA86" s="5" t="s">
        <v>47</v>
      </c>
      <c r="AB86" s="4" t="s">
        <v>160</v>
      </c>
      <c r="AC86" s="4" t="s">
        <v>47</v>
      </c>
      <c r="AD86" s="5">
        <v>0.0</v>
      </c>
      <c r="AE86" s="4" t="s">
        <v>161</v>
      </c>
      <c r="AF86" s="3">
        <v>45874.0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47</v>
      </c>
      <c r="AO86" s="4" t="s">
        <v>47</v>
      </c>
      <c r="AP86" s="4" t="s">
        <v>47</v>
      </c>
      <c r="AQ86" s="4" t="s">
        <v>47</v>
      </c>
    </row>
    <row r="87" ht="12.75" customHeight="1">
      <c r="A87" s="2">
        <v>1891456.0</v>
      </c>
      <c r="B87" s="3">
        <v>46169.0</v>
      </c>
      <c r="C87" s="4" t="s">
        <v>263</v>
      </c>
      <c r="D87" s="2">
        <v>1982315.0</v>
      </c>
      <c r="E87" s="4" t="s">
        <v>264</v>
      </c>
      <c r="F87" s="4" t="s">
        <v>265</v>
      </c>
      <c r="G87" s="4" t="s">
        <v>47</v>
      </c>
      <c r="H87" s="4" t="s">
        <v>47</v>
      </c>
      <c r="I87" s="4" t="s">
        <v>47</v>
      </c>
      <c r="J87" s="4" t="s">
        <v>135</v>
      </c>
      <c r="K87" s="4" t="s">
        <v>49</v>
      </c>
      <c r="L87" s="3">
        <v>46174.0</v>
      </c>
      <c r="M87" s="4" t="s">
        <v>50</v>
      </c>
      <c r="N87" s="4" t="s">
        <v>47</v>
      </c>
      <c r="O87" s="4" t="s">
        <v>51</v>
      </c>
      <c r="P87" s="4" t="s">
        <v>123</v>
      </c>
      <c r="Q87" s="2">
        <v>1.0</v>
      </c>
      <c r="R87" s="2">
        <v>17.0</v>
      </c>
      <c r="S87" s="4" t="s">
        <v>52</v>
      </c>
      <c r="T87" s="4" t="s">
        <v>47</v>
      </c>
      <c r="U87" s="4" t="s">
        <v>47</v>
      </c>
      <c r="V87" s="5">
        <v>22.0</v>
      </c>
      <c r="W87" s="5">
        <v>2424.36</v>
      </c>
      <c r="X87" s="5">
        <v>100.0</v>
      </c>
      <c r="Y87" s="5">
        <v>533.4</v>
      </c>
      <c r="Z87" s="5">
        <v>0.0</v>
      </c>
      <c r="AA87" s="5">
        <v>0.0</v>
      </c>
      <c r="AB87" s="4" t="s">
        <v>266</v>
      </c>
      <c r="AC87" s="4" t="s">
        <v>47</v>
      </c>
      <c r="AD87" s="5">
        <v>0.0</v>
      </c>
      <c r="AE87" s="4" t="s">
        <v>267</v>
      </c>
      <c r="AF87" s="3">
        <v>46174.0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47</v>
      </c>
      <c r="AO87" s="4" t="s">
        <v>47</v>
      </c>
      <c r="AP87" s="4" t="s">
        <v>47</v>
      </c>
      <c r="AQ87" s="4" t="s">
        <v>136</v>
      </c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7.63"/>
    <col customWidth="1" min="3" max="3" width="27.75"/>
    <col customWidth="1" min="4" max="4" width="13.0"/>
    <col customWidth="1" min="5" max="5" width="13.38"/>
    <col customWidth="1" min="6" max="7" width="11.13"/>
    <col customWidth="1" min="8" max="8" width="14.75"/>
    <col customWidth="1" min="9" max="9" width="10.13"/>
    <col customWidth="1" min="10" max="10" width="10.75"/>
    <col customWidth="1" min="11" max="11" width="9.25"/>
    <col customWidth="1" min="12" max="12" width="14.75"/>
    <col customWidth="1" min="13" max="13" width="17.63"/>
    <col customWidth="1" min="14" max="14" width="19.25"/>
    <col customWidth="1" min="15" max="15" width="22.38"/>
    <col customWidth="1" min="16" max="16" width="13.38"/>
    <col customWidth="1" min="17" max="17" width="15.38"/>
    <col customWidth="1" min="18" max="18" width="19.0"/>
    <col customWidth="1" min="19" max="19" width="12.38"/>
    <col customWidth="1" min="20" max="40" width="8.63"/>
  </cols>
  <sheetData>
    <row r="1" ht="12.7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31</v>
      </c>
      <c r="F1" s="1" t="s">
        <v>11</v>
      </c>
      <c r="G1" s="1" t="s">
        <v>12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</row>
    <row r="2" ht="12.75" customHeight="1">
      <c r="A2" s="6" t="s">
        <v>263</v>
      </c>
      <c r="B2" s="7">
        <v>2.1618313E7</v>
      </c>
      <c r="C2" s="6" t="s">
        <v>264</v>
      </c>
      <c r="D2" s="6" t="s">
        <v>265</v>
      </c>
      <c r="E2" s="8">
        <v>46174.0</v>
      </c>
      <c r="F2" s="8">
        <v>46539.0</v>
      </c>
      <c r="G2" s="6" t="s">
        <v>50</v>
      </c>
      <c r="H2" s="6" t="s">
        <v>52</v>
      </c>
      <c r="I2" s="6" t="s">
        <v>47</v>
      </c>
      <c r="J2" s="9">
        <v>22.0</v>
      </c>
      <c r="K2" s="9">
        <v>2424.36</v>
      </c>
      <c r="L2" s="9">
        <v>533.4</v>
      </c>
      <c r="M2" s="6" t="s">
        <v>266</v>
      </c>
      <c r="N2" s="10" t="s">
        <v>268</v>
      </c>
      <c r="O2" s="10"/>
      <c r="P2" s="6" t="s">
        <v>265</v>
      </c>
      <c r="Q2" s="10" t="str">
        <f t="shared" ref="Q2:Q10" si="1">CONCATENATE(P2,8)</f>
        <v>00001159754A8</v>
      </c>
      <c r="R2" s="6" t="s">
        <v>269</v>
      </c>
      <c r="S2" s="10" t="s">
        <v>270</v>
      </c>
      <c r="T2" s="10" t="str">
        <f t="shared" ref="T2:T63" si="2">CONCATENATE(S2," ",R2)</f>
        <v>RALPH SMITH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ht="12.75" customHeight="1">
      <c r="A3" s="6" t="s">
        <v>103</v>
      </c>
      <c r="B3" s="7">
        <v>1.8828278E7</v>
      </c>
      <c r="C3" s="6" t="s">
        <v>167</v>
      </c>
      <c r="D3" s="6" t="s">
        <v>168</v>
      </c>
      <c r="E3" s="8">
        <v>46113.0</v>
      </c>
      <c r="F3" s="8">
        <v>46113.0</v>
      </c>
      <c r="G3" s="6" t="s">
        <v>112</v>
      </c>
      <c r="H3" s="6" t="s">
        <v>52</v>
      </c>
      <c r="I3" s="6" t="s">
        <v>47</v>
      </c>
      <c r="J3" s="9">
        <v>22.0</v>
      </c>
      <c r="K3" s="9">
        <v>-2113.6</v>
      </c>
      <c r="L3" s="9">
        <v>-465.0</v>
      </c>
      <c r="M3" s="6" t="s">
        <v>149</v>
      </c>
      <c r="N3" s="10" t="s">
        <v>268</v>
      </c>
      <c r="O3" s="10"/>
      <c r="P3" s="6" t="s">
        <v>168</v>
      </c>
      <c r="Q3" s="10" t="str">
        <f t="shared" si="1"/>
        <v>00001154462A8</v>
      </c>
      <c r="R3" s="6" t="s">
        <v>271</v>
      </c>
      <c r="S3" s="10" t="s">
        <v>272</v>
      </c>
      <c r="T3" s="10" t="str">
        <f t="shared" si="2"/>
        <v>KENNETH JACKSON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ht="12.75" customHeight="1">
      <c r="A4" s="6" t="s">
        <v>145</v>
      </c>
      <c r="B4" s="7">
        <v>1.7425766E7</v>
      </c>
      <c r="C4" s="6" t="s">
        <v>146</v>
      </c>
      <c r="D4" s="6" t="s">
        <v>147</v>
      </c>
      <c r="E4" s="8">
        <v>46054.0</v>
      </c>
      <c r="F4" s="8">
        <v>46054.0</v>
      </c>
      <c r="G4" s="6" t="s">
        <v>148</v>
      </c>
      <c r="H4" s="6" t="s">
        <v>52</v>
      </c>
      <c r="I4" s="6" t="s">
        <v>47</v>
      </c>
      <c r="J4" s="9">
        <v>22.0</v>
      </c>
      <c r="K4" s="9">
        <v>-1852.4</v>
      </c>
      <c r="L4" s="9">
        <v>-407.52</v>
      </c>
      <c r="M4" s="6" t="s">
        <v>149</v>
      </c>
      <c r="N4" s="10" t="s">
        <v>268</v>
      </c>
      <c r="O4" s="10"/>
      <c r="P4" s="6" t="s">
        <v>147</v>
      </c>
      <c r="Q4" s="10" t="str">
        <f t="shared" si="1"/>
        <v>00001134699A8</v>
      </c>
      <c r="R4" s="6" t="s">
        <v>273</v>
      </c>
      <c r="S4" s="10" t="s">
        <v>272</v>
      </c>
      <c r="T4" s="10" t="str">
        <f t="shared" si="2"/>
        <v>KENNETH LINDOW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ht="12.75" customHeight="1">
      <c r="A5" s="6" t="s">
        <v>103</v>
      </c>
      <c r="B5" s="7">
        <v>1.8828278E7</v>
      </c>
      <c r="C5" s="6" t="s">
        <v>165</v>
      </c>
      <c r="D5" s="6" t="s">
        <v>166</v>
      </c>
      <c r="E5" s="8">
        <v>46023.0</v>
      </c>
      <c r="F5" s="8">
        <v>46023.0</v>
      </c>
      <c r="G5" s="6" t="s">
        <v>78</v>
      </c>
      <c r="H5" s="6" t="s">
        <v>52</v>
      </c>
      <c r="I5" s="6" t="s">
        <v>47</v>
      </c>
      <c r="J5" s="9">
        <v>22.0</v>
      </c>
      <c r="K5" s="9">
        <v>-1094.66</v>
      </c>
      <c r="L5" s="9">
        <v>-240.8</v>
      </c>
      <c r="M5" s="6" t="s">
        <v>149</v>
      </c>
      <c r="N5" s="10" t="s">
        <v>268</v>
      </c>
      <c r="O5" s="10"/>
      <c r="P5" s="6" t="s">
        <v>166</v>
      </c>
      <c r="Q5" s="10" t="str">
        <f t="shared" si="1"/>
        <v>00001114278A8</v>
      </c>
      <c r="R5" s="6" t="s">
        <v>274</v>
      </c>
      <c r="S5" s="10" t="s">
        <v>275</v>
      </c>
      <c r="T5" s="10" t="str">
        <f t="shared" si="2"/>
        <v>WENDY HINES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ht="12.75" customHeight="1">
      <c r="A6" s="11" t="s">
        <v>132</v>
      </c>
      <c r="B6" s="12">
        <v>7146581.0</v>
      </c>
      <c r="C6" s="11" t="s">
        <v>133</v>
      </c>
      <c r="D6" s="11" t="s">
        <v>134</v>
      </c>
      <c r="E6" s="13">
        <v>45809.0</v>
      </c>
      <c r="F6" s="13">
        <v>46174.0</v>
      </c>
      <c r="G6" s="11" t="s">
        <v>50</v>
      </c>
      <c r="H6" s="11" t="s">
        <v>52</v>
      </c>
      <c r="I6" s="11" t="s">
        <v>47</v>
      </c>
      <c r="J6" s="14">
        <v>22.0</v>
      </c>
      <c r="K6" s="14">
        <v>162.66</v>
      </c>
      <c r="L6" s="14">
        <v>35.79</v>
      </c>
      <c r="M6" s="11" t="s">
        <v>125</v>
      </c>
      <c r="N6" s="15" t="s">
        <v>268</v>
      </c>
      <c r="O6" s="15"/>
      <c r="P6" s="11" t="s">
        <v>134</v>
      </c>
      <c r="Q6" s="15" t="str">
        <f t="shared" si="1"/>
        <v>00001001114A8</v>
      </c>
      <c r="R6" s="11" t="s">
        <v>276</v>
      </c>
      <c r="S6" s="15" t="s">
        <v>277</v>
      </c>
      <c r="T6" s="15" t="str">
        <f t="shared" si="2"/>
        <v>JOYCE KOSS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2.75" customHeight="1">
      <c r="A7" s="11" t="s">
        <v>132</v>
      </c>
      <c r="B7" s="12">
        <v>7146581.0</v>
      </c>
      <c r="C7" s="11" t="s">
        <v>137</v>
      </c>
      <c r="D7" s="11" t="s">
        <v>138</v>
      </c>
      <c r="E7" s="13">
        <v>45809.0</v>
      </c>
      <c r="F7" s="13">
        <v>46174.0</v>
      </c>
      <c r="G7" s="11" t="s">
        <v>50</v>
      </c>
      <c r="H7" s="11" t="s">
        <v>52</v>
      </c>
      <c r="I7" s="11" t="s">
        <v>47</v>
      </c>
      <c r="J7" s="14">
        <v>22.0</v>
      </c>
      <c r="K7" s="14">
        <v>177.81</v>
      </c>
      <c r="L7" s="14">
        <v>39.12</v>
      </c>
      <c r="M7" s="11" t="s">
        <v>125</v>
      </c>
      <c r="N7" s="15" t="s">
        <v>268</v>
      </c>
      <c r="O7" s="15"/>
      <c r="P7" s="11" t="s">
        <v>138</v>
      </c>
      <c r="Q7" s="15" t="str">
        <f t="shared" si="1"/>
        <v>00001001591A8</v>
      </c>
      <c r="R7" s="11" t="s">
        <v>276</v>
      </c>
      <c r="S7" s="15" t="s">
        <v>278</v>
      </c>
      <c r="T7" s="15" t="str">
        <f t="shared" si="2"/>
        <v>WILLIAM KOSS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</row>
    <row r="8" ht="12.75" customHeight="1">
      <c r="A8" s="11" t="s">
        <v>251</v>
      </c>
      <c r="B8" s="12" t="s">
        <v>279</v>
      </c>
      <c r="C8" s="11" t="s">
        <v>252</v>
      </c>
      <c r="D8" s="11" t="s">
        <v>253</v>
      </c>
      <c r="E8" s="13">
        <v>45658.0</v>
      </c>
      <c r="F8" s="13">
        <v>46143.0</v>
      </c>
      <c r="G8" s="11" t="s">
        <v>107</v>
      </c>
      <c r="H8" s="11" t="s">
        <v>52</v>
      </c>
      <c r="I8" s="11" t="s">
        <v>47</v>
      </c>
      <c r="J8" s="14">
        <v>22.0</v>
      </c>
      <c r="K8" s="14">
        <v>186.54</v>
      </c>
      <c r="L8" s="14">
        <v>41.04</v>
      </c>
      <c r="M8" s="11" t="s">
        <v>154</v>
      </c>
      <c r="N8" s="15" t="s">
        <v>268</v>
      </c>
      <c r="O8" s="15"/>
      <c r="P8" s="11" t="s">
        <v>253</v>
      </c>
      <c r="Q8" s="15" t="str">
        <f t="shared" si="1"/>
        <v>00000926201A8</v>
      </c>
      <c r="R8" s="11" t="s">
        <v>280</v>
      </c>
      <c r="S8" s="15" t="s">
        <v>281</v>
      </c>
      <c r="T8" s="15" t="str">
        <f t="shared" si="2"/>
        <v>CHARLENE ROSE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ht="12.75" customHeight="1">
      <c r="A9" s="11" t="s">
        <v>151</v>
      </c>
      <c r="B9" s="12">
        <v>1.7528908E7</v>
      </c>
      <c r="C9" s="11" t="s">
        <v>152</v>
      </c>
      <c r="D9" s="11" t="s">
        <v>153</v>
      </c>
      <c r="E9" s="13">
        <v>45444.0</v>
      </c>
      <c r="F9" s="13">
        <v>46174.0</v>
      </c>
      <c r="G9" s="11" t="s">
        <v>50</v>
      </c>
      <c r="H9" s="11" t="s">
        <v>52</v>
      </c>
      <c r="I9" s="11" t="s">
        <v>47</v>
      </c>
      <c r="J9" s="14">
        <v>22.0</v>
      </c>
      <c r="K9" s="14">
        <v>110.73</v>
      </c>
      <c r="L9" s="14">
        <v>24.36</v>
      </c>
      <c r="M9" s="11" t="s">
        <v>154</v>
      </c>
      <c r="N9" s="15" t="s">
        <v>268</v>
      </c>
      <c r="O9" s="15"/>
      <c r="P9" s="11" t="s">
        <v>153</v>
      </c>
      <c r="Q9" s="15" t="str">
        <f t="shared" si="1"/>
        <v>00000828881A8</v>
      </c>
      <c r="R9" s="11" t="s">
        <v>282</v>
      </c>
      <c r="S9" s="15" t="s">
        <v>283</v>
      </c>
      <c r="T9" s="15" t="str">
        <f t="shared" si="2"/>
        <v>KAREN CARDOSI</v>
      </c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 ht="12.75" customHeight="1">
      <c r="A10" s="11" t="s">
        <v>151</v>
      </c>
      <c r="B10" s="12">
        <v>1.7528908E7</v>
      </c>
      <c r="C10" s="11" t="s">
        <v>156</v>
      </c>
      <c r="D10" s="11" t="s">
        <v>157</v>
      </c>
      <c r="E10" s="13">
        <v>45444.0</v>
      </c>
      <c r="F10" s="13">
        <v>46143.0</v>
      </c>
      <c r="G10" s="11" t="s">
        <v>107</v>
      </c>
      <c r="H10" s="11" t="s">
        <v>52</v>
      </c>
      <c r="I10" s="11" t="s">
        <v>47</v>
      </c>
      <c r="J10" s="14">
        <v>22.0</v>
      </c>
      <c r="K10" s="14">
        <v>146.73</v>
      </c>
      <c r="L10" s="14">
        <v>32.28</v>
      </c>
      <c r="M10" s="11" t="s">
        <v>154</v>
      </c>
      <c r="N10" s="15" t="s">
        <v>268</v>
      </c>
      <c r="O10" s="15"/>
      <c r="P10" s="11" t="s">
        <v>157</v>
      </c>
      <c r="Q10" s="15" t="str">
        <f t="shared" si="1"/>
        <v>00000840020A8</v>
      </c>
      <c r="R10" s="11" t="s">
        <v>284</v>
      </c>
      <c r="S10" s="15" t="s">
        <v>285</v>
      </c>
      <c r="T10" s="15" t="str">
        <f t="shared" si="2"/>
        <v>PHILIP SZOST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 ht="12.75" customHeight="1">
      <c r="A11" s="16" t="s">
        <v>118</v>
      </c>
      <c r="B11" s="17">
        <v>1.4177521E7</v>
      </c>
      <c r="C11" s="16" t="s">
        <v>119</v>
      </c>
      <c r="D11" s="18">
        <v>408719.0</v>
      </c>
      <c r="E11" s="19">
        <v>45200.0</v>
      </c>
      <c r="F11" s="19">
        <v>46143.0</v>
      </c>
      <c r="G11" s="16" t="s">
        <v>107</v>
      </c>
      <c r="H11" s="16" t="s">
        <v>128</v>
      </c>
      <c r="I11" s="16" t="s">
        <v>47</v>
      </c>
      <c r="J11" s="20">
        <v>10.0</v>
      </c>
      <c r="K11" s="20">
        <v>11.0</v>
      </c>
      <c r="L11" s="20">
        <v>1.1</v>
      </c>
      <c r="M11" s="16" t="s">
        <v>125</v>
      </c>
      <c r="N11" s="21" t="s">
        <v>286</v>
      </c>
      <c r="O11" s="21"/>
      <c r="P11" s="18">
        <v>408719.0</v>
      </c>
      <c r="Q11" s="21" t="str">
        <f>CONCATENATE(P11,2223)</f>
        <v>4087192223</v>
      </c>
      <c r="R11" s="16" t="s">
        <v>287</v>
      </c>
      <c r="S11" s="21" t="s">
        <v>288</v>
      </c>
      <c r="T11" s="21" t="str">
        <f t="shared" si="2"/>
        <v>AUDIO PINEAPPLE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ht="12.75" customHeight="1">
      <c r="A12" s="16" t="s">
        <v>118</v>
      </c>
      <c r="B12" s="17">
        <v>1.4177521E7</v>
      </c>
      <c r="C12" s="16" t="s">
        <v>119</v>
      </c>
      <c r="D12" s="18">
        <v>408719.0</v>
      </c>
      <c r="E12" s="19">
        <v>45200.0</v>
      </c>
      <c r="F12" s="19">
        <v>46143.0</v>
      </c>
      <c r="G12" s="16" t="s">
        <v>107</v>
      </c>
      <c r="H12" s="16" t="s">
        <v>127</v>
      </c>
      <c r="I12" s="16" t="s">
        <v>47</v>
      </c>
      <c r="J12" s="20">
        <v>10.0</v>
      </c>
      <c r="K12" s="20">
        <v>60.5</v>
      </c>
      <c r="L12" s="20">
        <v>6.05</v>
      </c>
      <c r="M12" s="16" t="s">
        <v>125</v>
      </c>
      <c r="N12" s="21" t="s">
        <v>289</v>
      </c>
      <c r="O12" s="21"/>
      <c r="P12" s="18">
        <v>408719.0</v>
      </c>
      <c r="Q12" s="21" t="str">
        <f>CONCATENATE(P12,223)</f>
        <v>408719223</v>
      </c>
      <c r="R12" s="16" t="s">
        <v>287</v>
      </c>
      <c r="S12" s="21" t="s">
        <v>288</v>
      </c>
      <c r="T12" s="21" t="str">
        <f t="shared" si="2"/>
        <v>AUDIO PINEAPPLE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ht="12.75" customHeight="1">
      <c r="A13" s="22" t="s">
        <v>103</v>
      </c>
      <c r="B13" s="23">
        <v>1.8828278E7</v>
      </c>
      <c r="C13" s="22" t="s">
        <v>247</v>
      </c>
      <c r="D13" s="24">
        <v>9.03229367E9</v>
      </c>
      <c r="E13" s="25">
        <v>46137.0</v>
      </c>
      <c r="F13" s="25">
        <v>46174.0</v>
      </c>
      <c r="G13" s="22" t="s">
        <v>50</v>
      </c>
      <c r="H13" s="22" t="s">
        <v>129</v>
      </c>
      <c r="I13" s="22" t="s">
        <v>47</v>
      </c>
      <c r="J13" s="26">
        <v>10.0</v>
      </c>
      <c r="K13" s="26">
        <v>14.93</v>
      </c>
      <c r="L13" s="26">
        <v>1.49</v>
      </c>
      <c r="M13" s="22" t="s">
        <v>160</v>
      </c>
      <c r="N13" s="27" t="s">
        <v>290</v>
      </c>
      <c r="O13" s="27"/>
      <c r="P13" s="24">
        <v>9.03229367E9</v>
      </c>
      <c r="Q13" s="27" t="str">
        <f t="shared" ref="Q13:Q61" si="3">CONCATENATE(P13,4)</f>
        <v>90322936704</v>
      </c>
      <c r="R13" s="22" t="s">
        <v>291</v>
      </c>
      <c r="S13" s="27" t="s">
        <v>292</v>
      </c>
      <c r="T13" s="27" t="str">
        <f t="shared" si="2"/>
        <v>Israel Magana-Gutierrez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12.75" customHeight="1">
      <c r="A14" s="22" t="s">
        <v>103</v>
      </c>
      <c r="B14" s="23">
        <v>1.8828278E7</v>
      </c>
      <c r="C14" s="22" t="s">
        <v>245</v>
      </c>
      <c r="D14" s="24">
        <v>9.03203406E9</v>
      </c>
      <c r="E14" s="25">
        <v>46085.0</v>
      </c>
      <c r="F14" s="25">
        <v>46174.0</v>
      </c>
      <c r="G14" s="22" t="s">
        <v>50</v>
      </c>
      <c r="H14" s="22" t="s">
        <v>129</v>
      </c>
      <c r="I14" s="22" t="s">
        <v>47</v>
      </c>
      <c r="J14" s="26">
        <v>10.0</v>
      </c>
      <c r="K14" s="26">
        <v>13.49</v>
      </c>
      <c r="L14" s="26">
        <v>1.35</v>
      </c>
      <c r="M14" s="22" t="s">
        <v>160</v>
      </c>
      <c r="N14" s="27" t="s">
        <v>290</v>
      </c>
      <c r="O14" s="27"/>
      <c r="P14" s="24">
        <v>9.03203406E9</v>
      </c>
      <c r="Q14" s="27" t="str">
        <f t="shared" si="3"/>
        <v>90320340604</v>
      </c>
      <c r="R14" s="22" t="s">
        <v>293</v>
      </c>
      <c r="S14" s="27" t="s">
        <v>294</v>
      </c>
      <c r="T14" s="27" t="str">
        <f t="shared" si="2"/>
        <v>Felicia Adams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ht="12.75" customHeight="1">
      <c r="A15" s="22" t="s">
        <v>103</v>
      </c>
      <c r="B15" s="23">
        <v>1.8828278E7</v>
      </c>
      <c r="C15" s="22" t="s">
        <v>223</v>
      </c>
      <c r="D15" s="24">
        <v>9.03137764E9</v>
      </c>
      <c r="E15" s="25">
        <v>46023.0</v>
      </c>
      <c r="F15" s="25">
        <v>46174.0</v>
      </c>
      <c r="G15" s="22" t="s">
        <v>50</v>
      </c>
      <c r="H15" s="22" t="s">
        <v>129</v>
      </c>
      <c r="I15" s="22" t="s">
        <v>47</v>
      </c>
      <c r="J15" s="26">
        <v>10.0</v>
      </c>
      <c r="K15" s="26">
        <v>14.93</v>
      </c>
      <c r="L15" s="26">
        <v>1.49</v>
      </c>
      <c r="M15" s="22" t="s">
        <v>160</v>
      </c>
      <c r="N15" s="27" t="s">
        <v>290</v>
      </c>
      <c r="O15" s="27"/>
      <c r="P15" s="24">
        <v>9.03137764E9</v>
      </c>
      <c r="Q15" s="27" t="str">
        <f t="shared" si="3"/>
        <v>90313776404</v>
      </c>
      <c r="R15" s="22" t="s">
        <v>295</v>
      </c>
      <c r="S15" s="27" t="s">
        <v>296</v>
      </c>
      <c r="T15" s="27" t="str">
        <f t="shared" si="2"/>
        <v>Michelle Shmikler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2.75" customHeight="1">
      <c r="A16" s="22" t="s">
        <v>103</v>
      </c>
      <c r="B16" s="23">
        <v>1.8828278E7</v>
      </c>
      <c r="C16" s="22" t="s">
        <v>225</v>
      </c>
      <c r="D16" s="24">
        <v>9.03139268E9</v>
      </c>
      <c r="E16" s="25">
        <v>46023.0</v>
      </c>
      <c r="F16" s="25">
        <v>46174.0</v>
      </c>
      <c r="G16" s="22" t="s">
        <v>50</v>
      </c>
      <c r="H16" s="22" t="s">
        <v>129</v>
      </c>
      <c r="I16" s="22" t="s">
        <v>47</v>
      </c>
      <c r="J16" s="26">
        <v>10.0</v>
      </c>
      <c r="K16" s="26">
        <v>14.93</v>
      </c>
      <c r="L16" s="26">
        <v>1.49</v>
      </c>
      <c r="M16" s="22" t="s">
        <v>160</v>
      </c>
      <c r="N16" s="27" t="s">
        <v>290</v>
      </c>
      <c r="O16" s="27"/>
      <c r="P16" s="24">
        <v>9.03139268E9</v>
      </c>
      <c r="Q16" s="27" t="str">
        <f t="shared" si="3"/>
        <v>90313926804</v>
      </c>
      <c r="R16" s="22" t="s">
        <v>297</v>
      </c>
      <c r="S16" s="27" t="s">
        <v>298</v>
      </c>
      <c r="T16" s="27" t="str">
        <f t="shared" si="2"/>
        <v>Bryan Eckmann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2.75" customHeight="1">
      <c r="A17" s="22" t="s">
        <v>103</v>
      </c>
      <c r="B17" s="23">
        <v>1.8828278E7</v>
      </c>
      <c r="C17" s="22" t="s">
        <v>227</v>
      </c>
      <c r="D17" s="24">
        <v>9.03141417E9</v>
      </c>
      <c r="E17" s="25">
        <v>46023.0</v>
      </c>
      <c r="F17" s="25">
        <v>46174.0</v>
      </c>
      <c r="G17" s="22" t="s">
        <v>50</v>
      </c>
      <c r="H17" s="22" t="s">
        <v>129</v>
      </c>
      <c r="I17" s="22" t="s">
        <v>47</v>
      </c>
      <c r="J17" s="26">
        <v>10.0</v>
      </c>
      <c r="K17" s="26">
        <v>14.93</v>
      </c>
      <c r="L17" s="26">
        <v>1.49</v>
      </c>
      <c r="M17" s="22" t="s">
        <v>160</v>
      </c>
      <c r="N17" s="27" t="s">
        <v>290</v>
      </c>
      <c r="O17" s="27"/>
      <c r="P17" s="24">
        <v>9.03141417E9</v>
      </c>
      <c r="Q17" s="27" t="str">
        <f t="shared" si="3"/>
        <v>90314141704</v>
      </c>
      <c r="R17" s="22" t="s">
        <v>299</v>
      </c>
      <c r="S17" s="27" t="s">
        <v>300</v>
      </c>
      <c r="T17" s="27" t="str">
        <f t="shared" si="2"/>
        <v>Deborah Kingdon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2.75" customHeight="1">
      <c r="A18" s="22" t="s">
        <v>103</v>
      </c>
      <c r="B18" s="23">
        <v>1.8828278E7</v>
      </c>
      <c r="C18" s="22" t="s">
        <v>229</v>
      </c>
      <c r="D18" s="24">
        <v>9.03141811E9</v>
      </c>
      <c r="E18" s="25">
        <v>46023.0</v>
      </c>
      <c r="F18" s="25">
        <v>46174.0</v>
      </c>
      <c r="G18" s="22" t="s">
        <v>50</v>
      </c>
      <c r="H18" s="22" t="s">
        <v>129</v>
      </c>
      <c r="I18" s="22" t="s">
        <v>47</v>
      </c>
      <c r="J18" s="26">
        <v>10.0</v>
      </c>
      <c r="K18" s="26">
        <v>14.93</v>
      </c>
      <c r="L18" s="26">
        <v>1.49</v>
      </c>
      <c r="M18" s="22" t="s">
        <v>160</v>
      </c>
      <c r="N18" s="27" t="s">
        <v>290</v>
      </c>
      <c r="O18" s="27"/>
      <c r="P18" s="24">
        <v>9.03141811E9</v>
      </c>
      <c r="Q18" s="27" t="str">
        <f t="shared" si="3"/>
        <v>90314181104</v>
      </c>
      <c r="R18" s="22" t="s">
        <v>301</v>
      </c>
      <c r="S18" s="27" t="s">
        <v>302</v>
      </c>
      <c r="T18" s="27" t="str">
        <f t="shared" si="2"/>
        <v>Debra Loeffler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2.75" customHeight="1">
      <c r="A19" s="22" t="s">
        <v>103</v>
      </c>
      <c r="B19" s="23">
        <v>1.8828278E7</v>
      </c>
      <c r="C19" s="22" t="s">
        <v>235</v>
      </c>
      <c r="D19" s="24">
        <v>9.03149265E9</v>
      </c>
      <c r="E19" s="25">
        <v>46023.0</v>
      </c>
      <c r="F19" s="25">
        <v>46174.0</v>
      </c>
      <c r="G19" s="22" t="s">
        <v>50</v>
      </c>
      <c r="H19" s="22" t="s">
        <v>129</v>
      </c>
      <c r="I19" s="22" t="s">
        <v>47</v>
      </c>
      <c r="J19" s="26">
        <v>10.0</v>
      </c>
      <c r="K19" s="26">
        <v>14.93</v>
      </c>
      <c r="L19" s="26">
        <v>1.49</v>
      </c>
      <c r="M19" s="22" t="s">
        <v>160</v>
      </c>
      <c r="N19" s="27" t="s">
        <v>290</v>
      </c>
      <c r="O19" s="27"/>
      <c r="P19" s="24">
        <v>9.03149265E9</v>
      </c>
      <c r="Q19" s="27" t="str">
        <f t="shared" si="3"/>
        <v>90314926504</v>
      </c>
      <c r="R19" s="22" t="s">
        <v>303</v>
      </c>
      <c r="S19" s="27" t="s">
        <v>304</v>
      </c>
      <c r="T19" s="27" t="str">
        <f t="shared" si="2"/>
        <v>Peter Dolk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2.75" customHeight="1">
      <c r="A20" s="22" t="s">
        <v>103</v>
      </c>
      <c r="B20" s="23">
        <v>1.8828278E7</v>
      </c>
      <c r="C20" s="22" t="s">
        <v>237</v>
      </c>
      <c r="D20" s="24">
        <v>9.03149286E9</v>
      </c>
      <c r="E20" s="25">
        <v>46023.0</v>
      </c>
      <c r="F20" s="25">
        <v>46174.0</v>
      </c>
      <c r="G20" s="22" t="s">
        <v>50</v>
      </c>
      <c r="H20" s="22" t="s">
        <v>129</v>
      </c>
      <c r="I20" s="22" t="s">
        <v>47</v>
      </c>
      <c r="J20" s="26">
        <v>10.0</v>
      </c>
      <c r="K20" s="26">
        <v>14.93</v>
      </c>
      <c r="L20" s="26">
        <v>1.49</v>
      </c>
      <c r="M20" s="22" t="s">
        <v>160</v>
      </c>
      <c r="N20" s="27" t="s">
        <v>290</v>
      </c>
      <c r="O20" s="27"/>
      <c r="P20" s="24">
        <v>9.03149286E9</v>
      </c>
      <c r="Q20" s="27" t="str">
        <f t="shared" si="3"/>
        <v>90314928604</v>
      </c>
      <c r="R20" s="22" t="s">
        <v>305</v>
      </c>
      <c r="S20" s="27" t="s">
        <v>306</v>
      </c>
      <c r="T20" s="27" t="str">
        <f t="shared" si="2"/>
        <v>Cheryl Griffin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2.75" customHeight="1">
      <c r="A21" s="22" t="s">
        <v>103</v>
      </c>
      <c r="B21" s="23">
        <v>1.8828278E7</v>
      </c>
      <c r="C21" s="22" t="s">
        <v>239</v>
      </c>
      <c r="D21" s="24">
        <v>9.03151716E9</v>
      </c>
      <c r="E21" s="25">
        <v>46023.0</v>
      </c>
      <c r="F21" s="25">
        <v>46174.0</v>
      </c>
      <c r="G21" s="22" t="s">
        <v>50</v>
      </c>
      <c r="H21" s="22" t="s">
        <v>129</v>
      </c>
      <c r="I21" s="22" t="s">
        <v>47</v>
      </c>
      <c r="J21" s="26">
        <v>10.0</v>
      </c>
      <c r="K21" s="26">
        <v>14.93</v>
      </c>
      <c r="L21" s="26">
        <v>1.49</v>
      </c>
      <c r="M21" s="22" t="s">
        <v>160</v>
      </c>
      <c r="N21" s="27" t="s">
        <v>290</v>
      </c>
      <c r="O21" s="27"/>
      <c r="P21" s="24">
        <v>9.03151716E9</v>
      </c>
      <c r="Q21" s="27" t="str">
        <f t="shared" si="3"/>
        <v>90315171604</v>
      </c>
      <c r="R21" s="22" t="s">
        <v>307</v>
      </c>
      <c r="S21" s="27" t="s">
        <v>308</v>
      </c>
      <c r="T21" s="27" t="str">
        <f t="shared" si="2"/>
        <v>Kristi Hofmann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2.75" customHeight="1">
      <c r="A22" s="22" t="s">
        <v>103</v>
      </c>
      <c r="B22" s="23">
        <v>1.8828278E7</v>
      </c>
      <c r="C22" s="22" t="s">
        <v>241</v>
      </c>
      <c r="D22" s="24">
        <v>9.0315176E9</v>
      </c>
      <c r="E22" s="25">
        <v>46023.0</v>
      </c>
      <c r="F22" s="25">
        <v>46174.0</v>
      </c>
      <c r="G22" s="22" t="s">
        <v>50</v>
      </c>
      <c r="H22" s="22" t="s">
        <v>129</v>
      </c>
      <c r="I22" s="22" t="s">
        <v>47</v>
      </c>
      <c r="J22" s="26">
        <v>10.0</v>
      </c>
      <c r="K22" s="26">
        <v>26.88</v>
      </c>
      <c r="L22" s="26">
        <v>2.69</v>
      </c>
      <c r="M22" s="22" t="s">
        <v>160</v>
      </c>
      <c r="N22" s="27" t="s">
        <v>290</v>
      </c>
      <c r="O22" s="27"/>
      <c r="P22" s="24">
        <v>9.0315176E9</v>
      </c>
      <c r="Q22" s="27" t="str">
        <f t="shared" si="3"/>
        <v>90315176004</v>
      </c>
      <c r="R22" s="22" t="s">
        <v>309</v>
      </c>
      <c r="S22" s="27" t="s">
        <v>310</v>
      </c>
      <c r="T22" s="27" t="str">
        <f t="shared" si="2"/>
        <v>David Overholt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2.75" customHeight="1">
      <c r="A23" s="22" t="s">
        <v>103</v>
      </c>
      <c r="B23" s="23">
        <v>1.8828278E7</v>
      </c>
      <c r="C23" s="22" t="s">
        <v>243</v>
      </c>
      <c r="D23" s="24">
        <v>9.03152253E9</v>
      </c>
      <c r="E23" s="25">
        <v>45994.0</v>
      </c>
      <c r="F23" s="25">
        <v>46174.0</v>
      </c>
      <c r="G23" s="22" t="s">
        <v>50</v>
      </c>
      <c r="H23" s="22" t="s">
        <v>129</v>
      </c>
      <c r="I23" s="22" t="s">
        <v>47</v>
      </c>
      <c r="J23" s="26">
        <v>10.0</v>
      </c>
      <c r="K23" s="26">
        <v>14.93</v>
      </c>
      <c r="L23" s="26">
        <v>1.49</v>
      </c>
      <c r="M23" s="22" t="s">
        <v>160</v>
      </c>
      <c r="N23" s="27" t="s">
        <v>290</v>
      </c>
      <c r="O23" s="27"/>
      <c r="P23" s="24">
        <v>9.03152253E9</v>
      </c>
      <c r="Q23" s="27" t="str">
        <f t="shared" si="3"/>
        <v>90315225304</v>
      </c>
      <c r="R23" s="22" t="s">
        <v>311</v>
      </c>
      <c r="S23" s="27" t="s">
        <v>312</v>
      </c>
      <c r="T23" s="27" t="str">
        <f t="shared" si="2"/>
        <v>Virginia Dinges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2.75" customHeight="1">
      <c r="A24" s="22" t="s">
        <v>103</v>
      </c>
      <c r="B24" s="23">
        <v>1.8828278E7</v>
      </c>
      <c r="C24" s="22" t="s">
        <v>219</v>
      </c>
      <c r="D24" s="24">
        <v>9.03131702E9</v>
      </c>
      <c r="E24" s="25">
        <v>45992.0</v>
      </c>
      <c r="F24" s="25">
        <v>46174.0</v>
      </c>
      <c r="G24" s="22" t="s">
        <v>50</v>
      </c>
      <c r="H24" s="22" t="s">
        <v>129</v>
      </c>
      <c r="I24" s="22" t="s">
        <v>47</v>
      </c>
      <c r="J24" s="26">
        <v>10.0</v>
      </c>
      <c r="K24" s="26">
        <v>14.93</v>
      </c>
      <c r="L24" s="26">
        <v>1.49</v>
      </c>
      <c r="M24" s="22" t="s">
        <v>160</v>
      </c>
      <c r="N24" s="27" t="s">
        <v>290</v>
      </c>
      <c r="O24" s="27"/>
      <c r="P24" s="24">
        <v>9.03131702E9</v>
      </c>
      <c r="Q24" s="27" t="str">
        <f t="shared" si="3"/>
        <v>90313170204</v>
      </c>
      <c r="R24" s="22" t="s">
        <v>313</v>
      </c>
      <c r="S24" s="27" t="s">
        <v>314</v>
      </c>
      <c r="T24" s="27" t="str">
        <f t="shared" si="2"/>
        <v>Penny Hancock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2.75" customHeight="1">
      <c r="A25" s="22" t="s">
        <v>103</v>
      </c>
      <c r="B25" s="23">
        <v>1.8828278E7</v>
      </c>
      <c r="C25" s="22" t="s">
        <v>221</v>
      </c>
      <c r="D25" s="24">
        <v>9.03132361E9</v>
      </c>
      <c r="E25" s="25">
        <v>45992.0</v>
      </c>
      <c r="F25" s="25">
        <v>46174.0</v>
      </c>
      <c r="G25" s="22" t="s">
        <v>50</v>
      </c>
      <c r="H25" s="22" t="s">
        <v>129</v>
      </c>
      <c r="I25" s="22" t="s">
        <v>47</v>
      </c>
      <c r="J25" s="26">
        <v>10.0</v>
      </c>
      <c r="K25" s="26">
        <v>26.88</v>
      </c>
      <c r="L25" s="26">
        <v>2.69</v>
      </c>
      <c r="M25" s="22" t="s">
        <v>160</v>
      </c>
      <c r="N25" s="27" t="s">
        <v>290</v>
      </c>
      <c r="O25" s="27"/>
      <c r="P25" s="24">
        <v>9.03132361E9</v>
      </c>
      <c r="Q25" s="27" t="str">
        <f t="shared" si="3"/>
        <v>90313236104</v>
      </c>
      <c r="R25" s="22" t="s">
        <v>315</v>
      </c>
      <c r="S25" s="27" t="s">
        <v>310</v>
      </c>
      <c r="T25" s="27" t="str">
        <f t="shared" si="2"/>
        <v>David Proeber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2.75" customHeight="1">
      <c r="A26" s="22" t="s">
        <v>103</v>
      </c>
      <c r="B26" s="23">
        <v>1.8828278E7</v>
      </c>
      <c r="C26" s="22" t="s">
        <v>233</v>
      </c>
      <c r="D26" s="24">
        <v>9.03143176E9</v>
      </c>
      <c r="E26" s="25">
        <v>45978.0</v>
      </c>
      <c r="F26" s="25">
        <v>46174.0</v>
      </c>
      <c r="G26" s="22" t="s">
        <v>50</v>
      </c>
      <c r="H26" s="22" t="s">
        <v>129</v>
      </c>
      <c r="I26" s="22" t="s">
        <v>47</v>
      </c>
      <c r="J26" s="26">
        <v>10.0</v>
      </c>
      <c r="K26" s="26">
        <v>14.93</v>
      </c>
      <c r="L26" s="26">
        <v>1.49</v>
      </c>
      <c r="M26" s="22" t="s">
        <v>160</v>
      </c>
      <c r="N26" s="27" t="s">
        <v>290</v>
      </c>
      <c r="O26" s="27"/>
      <c r="P26" s="24">
        <v>9.03143176E9</v>
      </c>
      <c r="Q26" s="27" t="str">
        <f t="shared" si="3"/>
        <v>90314317604</v>
      </c>
      <c r="R26" s="22" t="s">
        <v>316</v>
      </c>
      <c r="S26" s="27" t="s">
        <v>317</v>
      </c>
      <c r="T26" s="27" t="str">
        <f t="shared" si="2"/>
        <v>Cynthia Freed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ht="12.75" customHeight="1">
      <c r="A27" s="22" t="s">
        <v>103</v>
      </c>
      <c r="B27" s="23">
        <v>1.8828278E7</v>
      </c>
      <c r="C27" s="22" t="s">
        <v>231</v>
      </c>
      <c r="D27" s="24">
        <v>9.03142404E9</v>
      </c>
      <c r="E27" s="25">
        <v>45976.0</v>
      </c>
      <c r="F27" s="25">
        <v>46174.0</v>
      </c>
      <c r="G27" s="22" t="s">
        <v>50</v>
      </c>
      <c r="H27" s="22" t="s">
        <v>129</v>
      </c>
      <c r="I27" s="22" t="s">
        <v>47</v>
      </c>
      <c r="J27" s="26">
        <v>10.0</v>
      </c>
      <c r="K27" s="26">
        <v>26.88</v>
      </c>
      <c r="L27" s="26">
        <v>2.69</v>
      </c>
      <c r="M27" s="22" t="s">
        <v>160</v>
      </c>
      <c r="N27" s="27" t="s">
        <v>290</v>
      </c>
      <c r="O27" s="27"/>
      <c r="P27" s="24">
        <v>9.03142404E9</v>
      </c>
      <c r="Q27" s="27" t="str">
        <f t="shared" si="3"/>
        <v>90314240404</v>
      </c>
      <c r="R27" s="22" t="s">
        <v>318</v>
      </c>
      <c r="S27" s="27" t="s">
        <v>319</v>
      </c>
      <c r="T27" s="27" t="str">
        <f t="shared" si="2"/>
        <v>Thomas Priaulx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2.75" customHeight="1">
      <c r="A28" s="22" t="s">
        <v>103</v>
      </c>
      <c r="B28" s="23">
        <v>1.8828278E7</v>
      </c>
      <c r="C28" s="22" t="s">
        <v>207</v>
      </c>
      <c r="D28" s="24">
        <v>9.03098239E9</v>
      </c>
      <c r="E28" s="25">
        <v>45962.0</v>
      </c>
      <c r="F28" s="25">
        <v>46174.0</v>
      </c>
      <c r="G28" s="22" t="s">
        <v>50</v>
      </c>
      <c r="H28" s="22" t="s">
        <v>129</v>
      </c>
      <c r="I28" s="22" t="s">
        <v>47</v>
      </c>
      <c r="J28" s="26">
        <v>10.0</v>
      </c>
      <c r="K28" s="26">
        <v>14.93</v>
      </c>
      <c r="L28" s="26">
        <v>1.49</v>
      </c>
      <c r="M28" s="22" t="s">
        <v>160</v>
      </c>
      <c r="N28" s="27" t="s">
        <v>290</v>
      </c>
      <c r="O28" s="27"/>
      <c r="P28" s="24">
        <v>9.03098239E9</v>
      </c>
      <c r="Q28" s="27" t="str">
        <f t="shared" si="3"/>
        <v>90309823904</v>
      </c>
      <c r="R28" s="22" t="s">
        <v>320</v>
      </c>
      <c r="S28" s="27" t="s">
        <v>321</v>
      </c>
      <c r="T28" s="27" t="str">
        <f t="shared" si="2"/>
        <v>Patrick Rolfs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2.75" customHeight="1">
      <c r="A29" s="22" t="s">
        <v>103</v>
      </c>
      <c r="B29" s="23">
        <v>1.8828278E7</v>
      </c>
      <c r="C29" s="22" t="s">
        <v>209</v>
      </c>
      <c r="D29" s="24">
        <v>9.030996E9</v>
      </c>
      <c r="E29" s="25">
        <v>45962.0</v>
      </c>
      <c r="F29" s="25">
        <v>46174.0</v>
      </c>
      <c r="G29" s="22" t="s">
        <v>50</v>
      </c>
      <c r="H29" s="22" t="s">
        <v>129</v>
      </c>
      <c r="I29" s="22" t="s">
        <v>47</v>
      </c>
      <c r="J29" s="26">
        <v>10.0</v>
      </c>
      <c r="K29" s="26">
        <v>26.88</v>
      </c>
      <c r="L29" s="26">
        <v>2.69</v>
      </c>
      <c r="M29" s="22" t="s">
        <v>160</v>
      </c>
      <c r="N29" s="27" t="s">
        <v>290</v>
      </c>
      <c r="O29" s="27"/>
      <c r="P29" s="24">
        <v>9.030996E9</v>
      </c>
      <c r="Q29" s="27" t="str">
        <f t="shared" si="3"/>
        <v>90309960004</v>
      </c>
      <c r="R29" s="22" t="s">
        <v>322</v>
      </c>
      <c r="S29" s="27" t="s">
        <v>323</v>
      </c>
      <c r="T29" s="27" t="str">
        <f t="shared" si="2"/>
        <v>Dana Quiram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2.75" customHeight="1">
      <c r="A30" s="22" t="s">
        <v>103</v>
      </c>
      <c r="B30" s="23">
        <v>1.8828278E7</v>
      </c>
      <c r="C30" s="22" t="s">
        <v>215</v>
      </c>
      <c r="D30" s="24">
        <v>9.03124106E9</v>
      </c>
      <c r="E30" s="25">
        <v>45962.0</v>
      </c>
      <c r="F30" s="25">
        <v>46174.0</v>
      </c>
      <c r="G30" s="22" t="s">
        <v>50</v>
      </c>
      <c r="H30" s="22" t="s">
        <v>129</v>
      </c>
      <c r="I30" s="22" t="s">
        <v>47</v>
      </c>
      <c r="J30" s="26">
        <v>10.0</v>
      </c>
      <c r="K30" s="26">
        <v>14.93</v>
      </c>
      <c r="L30" s="26">
        <v>1.49</v>
      </c>
      <c r="M30" s="22" t="s">
        <v>160</v>
      </c>
      <c r="N30" s="27" t="s">
        <v>290</v>
      </c>
      <c r="O30" s="27"/>
      <c r="P30" s="24">
        <v>9.03124106E9</v>
      </c>
      <c r="Q30" s="27" t="str">
        <f t="shared" si="3"/>
        <v>90312410604</v>
      </c>
      <c r="R30" s="22" t="s">
        <v>324</v>
      </c>
      <c r="S30" s="27" t="s">
        <v>325</v>
      </c>
      <c r="T30" s="27" t="str">
        <f t="shared" si="2"/>
        <v>Hannelore Heckmann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2.75" customHeight="1">
      <c r="A31" s="22" t="s">
        <v>103</v>
      </c>
      <c r="B31" s="23">
        <v>1.8828278E7</v>
      </c>
      <c r="C31" s="22" t="s">
        <v>217</v>
      </c>
      <c r="D31" s="24">
        <v>9.0312464E9</v>
      </c>
      <c r="E31" s="25">
        <v>45962.0</v>
      </c>
      <c r="F31" s="25">
        <v>46174.0</v>
      </c>
      <c r="G31" s="22" t="s">
        <v>50</v>
      </c>
      <c r="H31" s="22" t="s">
        <v>129</v>
      </c>
      <c r="I31" s="22" t="s">
        <v>47</v>
      </c>
      <c r="J31" s="26">
        <v>10.0</v>
      </c>
      <c r="K31" s="26">
        <v>26.88</v>
      </c>
      <c r="L31" s="26">
        <v>2.69</v>
      </c>
      <c r="M31" s="22" t="s">
        <v>160</v>
      </c>
      <c r="N31" s="27" t="s">
        <v>290</v>
      </c>
      <c r="O31" s="27"/>
      <c r="P31" s="24">
        <v>9.0312464E9</v>
      </c>
      <c r="Q31" s="27" t="str">
        <f t="shared" si="3"/>
        <v>90312464004</v>
      </c>
      <c r="R31" s="22" t="s">
        <v>326</v>
      </c>
      <c r="S31" s="27" t="s">
        <v>327</v>
      </c>
      <c r="T31" s="27" t="str">
        <f t="shared" si="2"/>
        <v>Linda Forbes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2.75" customHeight="1">
      <c r="A32" s="22" t="s">
        <v>251</v>
      </c>
      <c r="B32" s="23" t="s">
        <v>279</v>
      </c>
      <c r="C32" s="22" t="s">
        <v>256</v>
      </c>
      <c r="D32" s="24">
        <v>9.03108362E9</v>
      </c>
      <c r="E32" s="25">
        <v>45902.0</v>
      </c>
      <c r="F32" s="25">
        <v>46143.0</v>
      </c>
      <c r="G32" s="22" t="s">
        <v>107</v>
      </c>
      <c r="H32" s="22" t="s">
        <v>124</v>
      </c>
      <c r="I32" s="22" t="s">
        <v>47</v>
      </c>
      <c r="J32" s="26">
        <v>10.0</v>
      </c>
      <c r="K32" s="26">
        <v>108.97</v>
      </c>
      <c r="L32" s="26">
        <v>10.9</v>
      </c>
      <c r="M32" s="22" t="s">
        <v>160</v>
      </c>
      <c r="N32" s="27" t="s">
        <v>290</v>
      </c>
      <c r="O32" s="27"/>
      <c r="P32" s="24">
        <v>9.03108362E9</v>
      </c>
      <c r="Q32" s="27" t="str">
        <f t="shared" si="3"/>
        <v>90310836204</v>
      </c>
      <c r="R32" s="22" t="s">
        <v>328</v>
      </c>
      <c r="S32" s="27" t="s">
        <v>329</v>
      </c>
      <c r="T32" s="27" t="str">
        <f t="shared" si="2"/>
        <v>Devon Swasey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2.75" customHeight="1">
      <c r="A33" s="22" t="s">
        <v>251</v>
      </c>
      <c r="B33" s="23" t="s">
        <v>279</v>
      </c>
      <c r="C33" s="22" t="s">
        <v>256</v>
      </c>
      <c r="D33" s="24">
        <v>9.03108362E9</v>
      </c>
      <c r="E33" s="25">
        <v>45902.0</v>
      </c>
      <c r="F33" s="25">
        <v>46174.0</v>
      </c>
      <c r="G33" s="22" t="s">
        <v>50</v>
      </c>
      <c r="H33" s="22" t="s">
        <v>124</v>
      </c>
      <c r="I33" s="22" t="s">
        <v>47</v>
      </c>
      <c r="J33" s="26">
        <v>10.0</v>
      </c>
      <c r="K33" s="26">
        <v>108.97</v>
      </c>
      <c r="L33" s="26">
        <v>10.9</v>
      </c>
      <c r="M33" s="22" t="s">
        <v>160</v>
      </c>
      <c r="N33" s="27" t="s">
        <v>290</v>
      </c>
      <c r="O33" s="27"/>
      <c r="P33" s="24">
        <v>9.03108362E9</v>
      </c>
      <c r="Q33" s="27" t="str">
        <f t="shared" si="3"/>
        <v>90310836204</v>
      </c>
      <c r="R33" s="22" t="s">
        <v>328</v>
      </c>
      <c r="S33" s="27" t="s">
        <v>329</v>
      </c>
      <c r="T33" s="27" t="str">
        <f t="shared" si="2"/>
        <v>Devon Swasey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2.75" customHeight="1">
      <c r="A34" s="22" t="s">
        <v>103</v>
      </c>
      <c r="B34" s="23">
        <v>1.8828278E7</v>
      </c>
      <c r="C34" s="22" t="s">
        <v>211</v>
      </c>
      <c r="D34" s="24">
        <v>9.03104406E9</v>
      </c>
      <c r="E34" s="25">
        <v>45901.0</v>
      </c>
      <c r="F34" s="25">
        <v>46174.0</v>
      </c>
      <c r="G34" s="22" t="s">
        <v>50</v>
      </c>
      <c r="H34" s="22" t="s">
        <v>129</v>
      </c>
      <c r="I34" s="22" t="s">
        <v>47</v>
      </c>
      <c r="J34" s="26">
        <v>10.0</v>
      </c>
      <c r="K34" s="26">
        <v>14.93</v>
      </c>
      <c r="L34" s="26">
        <v>1.49</v>
      </c>
      <c r="M34" s="22" t="s">
        <v>160</v>
      </c>
      <c r="N34" s="27" t="s">
        <v>290</v>
      </c>
      <c r="O34" s="27"/>
      <c r="P34" s="24">
        <v>9.03104406E9</v>
      </c>
      <c r="Q34" s="27" t="str">
        <f t="shared" si="3"/>
        <v>90310440604</v>
      </c>
      <c r="R34" s="22" t="s">
        <v>330</v>
      </c>
      <c r="S34" s="27" t="s">
        <v>331</v>
      </c>
      <c r="T34" s="27" t="str">
        <f t="shared" si="2"/>
        <v>Jackie Alfrey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2.75" customHeight="1">
      <c r="A35" s="22" t="s">
        <v>103</v>
      </c>
      <c r="B35" s="23">
        <v>1.8828278E7</v>
      </c>
      <c r="C35" s="22" t="s">
        <v>213</v>
      </c>
      <c r="D35" s="24">
        <v>9.03107687E9</v>
      </c>
      <c r="E35" s="25">
        <v>45901.0</v>
      </c>
      <c r="F35" s="25">
        <v>46174.0</v>
      </c>
      <c r="G35" s="22" t="s">
        <v>50</v>
      </c>
      <c r="H35" s="22" t="s">
        <v>129</v>
      </c>
      <c r="I35" s="22" t="s">
        <v>47</v>
      </c>
      <c r="J35" s="26">
        <v>10.0</v>
      </c>
      <c r="K35" s="26">
        <v>26.88</v>
      </c>
      <c r="L35" s="26">
        <v>2.69</v>
      </c>
      <c r="M35" s="22" t="s">
        <v>160</v>
      </c>
      <c r="N35" s="27" t="s">
        <v>290</v>
      </c>
      <c r="O35" s="27"/>
      <c r="P35" s="24">
        <v>9.03107687E9</v>
      </c>
      <c r="Q35" s="27" t="str">
        <f t="shared" si="3"/>
        <v>90310768704</v>
      </c>
      <c r="R35" s="22" t="s">
        <v>332</v>
      </c>
      <c r="S35" s="27" t="s">
        <v>333</v>
      </c>
      <c r="T35" s="27" t="str">
        <f t="shared" si="2"/>
        <v>James Trost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2.75" customHeight="1">
      <c r="A36" s="22" t="s">
        <v>258</v>
      </c>
      <c r="B36" s="23">
        <v>1.8709232E7</v>
      </c>
      <c r="C36" s="22" t="s">
        <v>261</v>
      </c>
      <c r="D36" s="24">
        <v>9.03094632E9</v>
      </c>
      <c r="E36" s="25">
        <v>45874.0</v>
      </c>
      <c r="F36" s="25">
        <v>46143.0</v>
      </c>
      <c r="G36" s="22" t="s">
        <v>107</v>
      </c>
      <c r="H36" s="22" t="s">
        <v>124</v>
      </c>
      <c r="I36" s="22" t="s">
        <v>47</v>
      </c>
      <c r="J36" s="26">
        <v>10.0</v>
      </c>
      <c r="K36" s="26">
        <v>25.96</v>
      </c>
      <c r="L36" s="26">
        <v>2.6</v>
      </c>
      <c r="M36" s="22" t="s">
        <v>160</v>
      </c>
      <c r="N36" s="27" t="s">
        <v>290</v>
      </c>
      <c r="O36" s="27"/>
      <c r="P36" s="24">
        <v>9.03094632E9</v>
      </c>
      <c r="Q36" s="27" t="str">
        <f t="shared" si="3"/>
        <v>90309463204</v>
      </c>
      <c r="R36" s="22" t="s">
        <v>334</v>
      </c>
      <c r="S36" s="27" t="s">
        <v>335</v>
      </c>
      <c r="T36" s="27" t="str">
        <f t="shared" si="2"/>
        <v>Emily Acuff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ht="12.75" customHeight="1">
      <c r="A37" s="22" t="s">
        <v>258</v>
      </c>
      <c r="B37" s="23">
        <v>1.8709232E7</v>
      </c>
      <c r="C37" s="22" t="s">
        <v>261</v>
      </c>
      <c r="D37" s="24">
        <v>9.03094632E9</v>
      </c>
      <c r="E37" s="25">
        <v>45874.0</v>
      </c>
      <c r="F37" s="25">
        <v>46174.0</v>
      </c>
      <c r="G37" s="22" t="s">
        <v>50</v>
      </c>
      <c r="H37" s="22" t="s">
        <v>124</v>
      </c>
      <c r="I37" s="22" t="s">
        <v>47</v>
      </c>
      <c r="J37" s="26">
        <v>10.0</v>
      </c>
      <c r="K37" s="26">
        <v>25.96</v>
      </c>
      <c r="L37" s="26">
        <v>2.6</v>
      </c>
      <c r="M37" s="22" t="s">
        <v>160</v>
      </c>
      <c r="N37" s="27" t="s">
        <v>290</v>
      </c>
      <c r="O37" s="27"/>
      <c r="P37" s="24">
        <v>9.03094632E9</v>
      </c>
      <c r="Q37" s="27" t="str">
        <f t="shared" si="3"/>
        <v>90309463204</v>
      </c>
      <c r="R37" s="22" t="s">
        <v>334</v>
      </c>
      <c r="S37" s="27" t="s">
        <v>335</v>
      </c>
      <c r="T37" s="27" t="str">
        <f t="shared" si="2"/>
        <v>Emily Acuff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ht="12.75" customHeight="1">
      <c r="A38" s="22" t="s">
        <v>103</v>
      </c>
      <c r="B38" s="23">
        <v>1.8828278E7</v>
      </c>
      <c r="C38" s="22" t="s">
        <v>205</v>
      </c>
      <c r="D38" s="24">
        <v>9.03092461E9</v>
      </c>
      <c r="E38" s="25">
        <v>45871.0</v>
      </c>
      <c r="F38" s="25">
        <v>46174.0</v>
      </c>
      <c r="G38" s="22" t="s">
        <v>50</v>
      </c>
      <c r="H38" s="22" t="s">
        <v>129</v>
      </c>
      <c r="I38" s="22" t="s">
        <v>47</v>
      </c>
      <c r="J38" s="26">
        <v>10.0</v>
      </c>
      <c r="K38" s="26">
        <v>14.93</v>
      </c>
      <c r="L38" s="26">
        <v>1.49</v>
      </c>
      <c r="M38" s="22" t="s">
        <v>160</v>
      </c>
      <c r="N38" s="27" t="s">
        <v>290</v>
      </c>
      <c r="O38" s="27"/>
      <c r="P38" s="24">
        <v>9.03092461E9</v>
      </c>
      <c r="Q38" s="27" t="str">
        <f t="shared" si="3"/>
        <v>90309246104</v>
      </c>
      <c r="R38" s="22" t="s">
        <v>336</v>
      </c>
      <c r="S38" s="27" t="s">
        <v>337</v>
      </c>
      <c r="T38" s="27" t="str">
        <f t="shared" si="2"/>
        <v>Robin Fewell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ht="12.75" customHeight="1">
      <c r="A39" s="22" t="s">
        <v>162</v>
      </c>
      <c r="B39" s="23" t="s">
        <v>338</v>
      </c>
      <c r="C39" s="22" t="s">
        <v>163</v>
      </c>
      <c r="D39" s="24">
        <v>9.03092508E9</v>
      </c>
      <c r="E39" s="25">
        <v>45871.0</v>
      </c>
      <c r="F39" s="25">
        <v>46174.0</v>
      </c>
      <c r="G39" s="22" t="s">
        <v>50</v>
      </c>
      <c r="H39" s="22" t="s">
        <v>129</v>
      </c>
      <c r="I39" s="22" t="s">
        <v>47</v>
      </c>
      <c r="J39" s="26">
        <v>10.0</v>
      </c>
      <c r="K39" s="26">
        <v>23.99</v>
      </c>
      <c r="L39" s="26">
        <v>2.4</v>
      </c>
      <c r="M39" s="22" t="s">
        <v>160</v>
      </c>
      <c r="N39" s="27" t="s">
        <v>290</v>
      </c>
      <c r="O39" s="27"/>
      <c r="P39" s="24">
        <v>9.03092508E9</v>
      </c>
      <c r="Q39" s="27" t="str">
        <f t="shared" si="3"/>
        <v>90309250804</v>
      </c>
      <c r="R39" s="22" t="s">
        <v>339</v>
      </c>
      <c r="S39" s="27" t="s">
        <v>340</v>
      </c>
      <c r="T39" s="27" t="str">
        <f t="shared" si="2"/>
        <v>Ryan Danley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2.75" customHeight="1">
      <c r="A40" s="22" t="s">
        <v>103</v>
      </c>
      <c r="B40" s="23">
        <v>1.8828278E7</v>
      </c>
      <c r="C40" s="22" t="s">
        <v>189</v>
      </c>
      <c r="D40" s="24">
        <v>9.03065254E9</v>
      </c>
      <c r="E40" s="25">
        <v>45870.0</v>
      </c>
      <c r="F40" s="25">
        <v>46174.0</v>
      </c>
      <c r="G40" s="22" t="s">
        <v>50</v>
      </c>
      <c r="H40" s="22" t="s">
        <v>129</v>
      </c>
      <c r="I40" s="22" t="s">
        <v>47</v>
      </c>
      <c r="J40" s="26">
        <v>10.0</v>
      </c>
      <c r="K40" s="26">
        <v>13.93</v>
      </c>
      <c r="L40" s="26">
        <v>1.39</v>
      </c>
      <c r="M40" s="22" t="s">
        <v>160</v>
      </c>
      <c r="N40" s="27" t="s">
        <v>290</v>
      </c>
      <c r="O40" s="27"/>
      <c r="P40" s="24">
        <v>9.03065254E9</v>
      </c>
      <c r="Q40" s="27" t="str">
        <f t="shared" si="3"/>
        <v>90306525404</v>
      </c>
      <c r="R40" s="22" t="s">
        <v>341</v>
      </c>
      <c r="S40" s="27" t="s">
        <v>342</v>
      </c>
      <c r="T40" s="27" t="str">
        <f t="shared" si="2"/>
        <v>John Sciutto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2.75" customHeight="1">
      <c r="A41" s="22" t="s">
        <v>103</v>
      </c>
      <c r="B41" s="23">
        <v>1.8828278E7</v>
      </c>
      <c r="C41" s="22" t="s">
        <v>199</v>
      </c>
      <c r="D41" s="24">
        <v>9.03078282E9</v>
      </c>
      <c r="E41" s="25">
        <v>45870.0</v>
      </c>
      <c r="F41" s="25">
        <v>46174.0</v>
      </c>
      <c r="G41" s="22" t="s">
        <v>50</v>
      </c>
      <c r="H41" s="22" t="s">
        <v>129</v>
      </c>
      <c r="I41" s="22" t="s">
        <v>47</v>
      </c>
      <c r="J41" s="26">
        <v>10.0</v>
      </c>
      <c r="K41" s="26">
        <v>14.93</v>
      </c>
      <c r="L41" s="26">
        <v>1.49</v>
      </c>
      <c r="M41" s="22" t="s">
        <v>160</v>
      </c>
      <c r="N41" s="27" t="s">
        <v>290</v>
      </c>
      <c r="O41" s="27"/>
      <c r="P41" s="24">
        <v>9.03078282E9</v>
      </c>
      <c r="Q41" s="27" t="str">
        <f t="shared" si="3"/>
        <v>90307828204</v>
      </c>
      <c r="R41" s="22" t="s">
        <v>343</v>
      </c>
      <c r="S41" s="27" t="s">
        <v>344</v>
      </c>
      <c r="T41" s="27" t="str">
        <f t="shared" si="2"/>
        <v>Kenneth Kasprzak</v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ht="12.75" customHeight="1">
      <c r="A42" s="22" t="s">
        <v>103</v>
      </c>
      <c r="B42" s="23">
        <v>1.8828278E7</v>
      </c>
      <c r="C42" s="22" t="s">
        <v>201</v>
      </c>
      <c r="D42" s="24">
        <v>9.03084084E9</v>
      </c>
      <c r="E42" s="25">
        <v>45870.0</v>
      </c>
      <c r="F42" s="25">
        <v>46174.0</v>
      </c>
      <c r="G42" s="22" t="s">
        <v>50</v>
      </c>
      <c r="H42" s="22" t="s">
        <v>129</v>
      </c>
      <c r="I42" s="22" t="s">
        <v>47</v>
      </c>
      <c r="J42" s="26">
        <v>10.0</v>
      </c>
      <c r="K42" s="26">
        <v>14.93</v>
      </c>
      <c r="L42" s="26">
        <v>1.49</v>
      </c>
      <c r="M42" s="22" t="s">
        <v>160</v>
      </c>
      <c r="N42" s="27" t="s">
        <v>290</v>
      </c>
      <c r="O42" s="27"/>
      <c r="P42" s="24">
        <v>9.03084084E9</v>
      </c>
      <c r="Q42" s="27" t="str">
        <f t="shared" si="3"/>
        <v>90308408404</v>
      </c>
      <c r="R42" s="22" t="s">
        <v>345</v>
      </c>
      <c r="S42" s="27" t="s">
        <v>346</v>
      </c>
      <c r="T42" s="27" t="str">
        <f t="shared" si="2"/>
        <v>Jacqueline Galloway</v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2.75" customHeight="1">
      <c r="A43" s="22" t="s">
        <v>103</v>
      </c>
      <c r="B43" s="23">
        <v>1.8828278E7</v>
      </c>
      <c r="C43" s="22" t="s">
        <v>203</v>
      </c>
      <c r="D43" s="24">
        <v>9.0308951E9</v>
      </c>
      <c r="E43" s="25">
        <v>45870.0</v>
      </c>
      <c r="F43" s="25">
        <v>46174.0</v>
      </c>
      <c r="G43" s="22" t="s">
        <v>50</v>
      </c>
      <c r="H43" s="22" t="s">
        <v>129</v>
      </c>
      <c r="I43" s="22" t="s">
        <v>47</v>
      </c>
      <c r="J43" s="26">
        <v>10.0</v>
      </c>
      <c r="K43" s="26">
        <v>14.93</v>
      </c>
      <c r="L43" s="26">
        <v>1.49</v>
      </c>
      <c r="M43" s="22" t="s">
        <v>160</v>
      </c>
      <c r="N43" s="27" t="s">
        <v>290</v>
      </c>
      <c r="O43" s="27"/>
      <c r="P43" s="24">
        <v>9.0308951E9</v>
      </c>
      <c r="Q43" s="27" t="str">
        <f t="shared" si="3"/>
        <v>90308951004</v>
      </c>
      <c r="R43" s="22" t="s">
        <v>347</v>
      </c>
      <c r="S43" s="27" t="s">
        <v>319</v>
      </c>
      <c r="T43" s="27" t="str">
        <f t="shared" si="2"/>
        <v>Thomas Stokes</v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2.75" customHeight="1">
      <c r="A44" s="22" t="s">
        <v>103</v>
      </c>
      <c r="B44" s="23">
        <v>1.8828278E7</v>
      </c>
      <c r="C44" s="22" t="s">
        <v>183</v>
      </c>
      <c r="D44" s="24">
        <v>9.03064555E9</v>
      </c>
      <c r="E44" s="25">
        <v>45839.0</v>
      </c>
      <c r="F44" s="25">
        <v>46174.0</v>
      </c>
      <c r="G44" s="22" t="s">
        <v>50</v>
      </c>
      <c r="H44" s="22" t="s">
        <v>129</v>
      </c>
      <c r="I44" s="22" t="s">
        <v>47</v>
      </c>
      <c r="J44" s="26">
        <v>10.0</v>
      </c>
      <c r="K44" s="26">
        <v>26.88</v>
      </c>
      <c r="L44" s="26">
        <v>2.69</v>
      </c>
      <c r="M44" s="22" t="s">
        <v>160</v>
      </c>
      <c r="N44" s="27" t="s">
        <v>290</v>
      </c>
      <c r="O44" s="27"/>
      <c r="P44" s="24">
        <v>9.03064555E9</v>
      </c>
      <c r="Q44" s="27" t="str">
        <f t="shared" si="3"/>
        <v>90306455504</v>
      </c>
      <c r="R44" s="22" t="s">
        <v>348</v>
      </c>
      <c r="S44" s="27" t="s">
        <v>349</v>
      </c>
      <c r="T44" s="27" t="str">
        <f t="shared" si="2"/>
        <v>Eric Johnson</v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2.75" customHeight="1">
      <c r="A45" s="22" t="s">
        <v>103</v>
      </c>
      <c r="B45" s="23">
        <v>1.8828278E7</v>
      </c>
      <c r="C45" s="22" t="s">
        <v>191</v>
      </c>
      <c r="D45" s="24">
        <v>9.03067555E9</v>
      </c>
      <c r="E45" s="25">
        <v>45839.0</v>
      </c>
      <c r="F45" s="25">
        <v>46174.0</v>
      </c>
      <c r="G45" s="22" t="s">
        <v>50</v>
      </c>
      <c r="H45" s="22" t="s">
        <v>129</v>
      </c>
      <c r="I45" s="22" t="s">
        <v>47</v>
      </c>
      <c r="J45" s="26">
        <v>10.0</v>
      </c>
      <c r="K45" s="26">
        <v>13.93</v>
      </c>
      <c r="L45" s="26">
        <v>1.39</v>
      </c>
      <c r="M45" s="22" t="s">
        <v>160</v>
      </c>
      <c r="N45" s="27" t="s">
        <v>290</v>
      </c>
      <c r="O45" s="27"/>
      <c r="P45" s="24">
        <v>9.03067555E9</v>
      </c>
      <c r="Q45" s="27" t="str">
        <f t="shared" si="3"/>
        <v>90306755504</v>
      </c>
      <c r="R45" s="22" t="s">
        <v>350</v>
      </c>
      <c r="S45" s="27" t="s">
        <v>306</v>
      </c>
      <c r="T45" s="27" t="str">
        <f t="shared" si="2"/>
        <v>Cheryl Simmons-Hutson</v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2.75" customHeight="1">
      <c r="A46" s="22" t="s">
        <v>103</v>
      </c>
      <c r="B46" s="23">
        <v>1.8828278E7</v>
      </c>
      <c r="C46" s="22" t="s">
        <v>193</v>
      </c>
      <c r="D46" s="24">
        <v>9.03068301E9</v>
      </c>
      <c r="E46" s="25">
        <v>45839.0</v>
      </c>
      <c r="F46" s="25">
        <v>46174.0</v>
      </c>
      <c r="G46" s="22" t="s">
        <v>50</v>
      </c>
      <c r="H46" s="22" t="s">
        <v>129</v>
      </c>
      <c r="I46" s="22" t="s">
        <v>47</v>
      </c>
      <c r="J46" s="26">
        <v>10.0</v>
      </c>
      <c r="K46" s="26">
        <v>26.88</v>
      </c>
      <c r="L46" s="26">
        <v>2.69</v>
      </c>
      <c r="M46" s="22" t="s">
        <v>160</v>
      </c>
      <c r="N46" s="27" t="s">
        <v>290</v>
      </c>
      <c r="O46" s="27"/>
      <c r="P46" s="24">
        <v>9.03068301E9</v>
      </c>
      <c r="Q46" s="27" t="str">
        <f t="shared" si="3"/>
        <v>90306830104</v>
      </c>
      <c r="R46" s="22" t="s">
        <v>351</v>
      </c>
      <c r="S46" s="27" t="s">
        <v>352</v>
      </c>
      <c r="T46" s="27" t="str">
        <f t="shared" si="2"/>
        <v>Edward Bond</v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ht="12.75" customHeight="1">
      <c r="A47" s="22" t="s">
        <v>103</v>
      </c>
      <c r="B47" s="23">
        <v>1.8828278E7</v>
      </c>
      <c r="C47" s="22" t="s">
        <v>195</v>
      </c>
      <c r="D47" s="24">
        <v>9.03070331E9</v>
      </c>
      <c r="E47" s="25">
        <v>45839.0</v>
      </c>
      <c r="F47" s="25">
        <v>46174.0</v>
      </c>
      <c r="G47" s="22" t="s">
        <v>50</v>
      </c>
      <c r="H47" s="22" t="s">
        <v>129</v>
      </c>
      <c r="I47" s="22" t="s">
        <v>47</v>
      </c>
      <c r="J47" s="26">
        <v>10.0</v>
      </c>
      <c r="K47" s="26">
        <v>46.8</v>
      </c>
      <c r="L47" s="26">
        <v>4.68</v>
      </c>
      <c r="M47" s="22" t="s">
        <v>160</v>
      </c>
      <c r="N47" s="27" t="s">
        <v>290</v>
      </c>
      <c r="O47" s="27"/>
      <c r="P47" s="24">
        <v>9.03070331E9</v>
      </c>
      <c r="Q47" s="27" t="str">
        <f t="shared" si="3"/>
        <v>90307033104</v>
      </c>
      <c r="R47" s="22" t="s">
        <v>353</v>
      </c>
      <c r="S47" s="27" t="s">
        <v>354</v>
      </c>
      <c r="T47" s="27" t="str">
        <f t="shared" si="2"/>
        <v>Shaji Sharad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2.75" customHeight="1">
      <c r="A48" s="22" t="s">
        <v>103</v>
      </c>
      <c r="B48" s="23">
        <v>1.8828278E7</v>
      </c>
      <c r="C48" s="22" t="s">
        <v>197</v>
      </c>
      <c r="D48" s="24">
        <v>9.03071995E9</v>
      </c>
      <c r="E48" s="25">
        <v>45839.0</v>
      </c>
      <c r="F48" s="25">
        <v>46174.0</v>
      </c>
      <c r="G48" s="22" t="s">
        <v>50</v>
      </c>
      <c r="H48" s="22" t="s">
        <v>129</v>
      </c>
      <c r="I48" s="22" t="s">
        <v>47</v>
      </c>
      <c r="J48" s="26">
        <v>10.0</v>
      </c>
      <c r="K48" s="26">
        <v>13.93</v>
      </c>
      <c r="L48" s="26">
        <v>1.39</v>
      </c>
      <c r="M48" s="22" t="s">
        <v>160</v>
      </c>
      <c r="N48" s="27" t="s">
        <v>290</v>
      </c>
      <c r="O48" s="27"/>
      <c r="P48" s="24">
        <v>9.03071995E9</v>
      </c>
      <c r="Q48" s="27" t="str">
        <f t="shared" si="3"/>
        <v>90307199504</v>
      </c>
      <c r="R48" s="22" t="s">
        <v>355</v>
      </c>
      <c r="S48" s="27" t="s">
        <v>356</v>
      </c>
      <c r="T48" s="27" t="str">
        <f t="shared" si="2"/>
        <v>Mary Boma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2.75" customHeight="1">
      <c r="A49" s="22" t="s">
        <v>258</v>
      </c>
      <c r="B49" s="23">
        <v>1.8709232E7</v>
      </c>
      <c r="C49" s="22" t="s">
        <v>259</v>
      </c>
      <c r="D49" s="24">
        <v>9.03065889E9</v>
      </c>
      <c r="E49" s="25">
        <v>45818.0</v>
      </c>
      <c r="F49" s="25">
        <v>46143.0</v>
      </c>
      <c r="G49" s="22" t="s">
        <v>107</v>
      </c>
      <c r="H49" s="22" t="s">
        <v>129</v>
      </c>
      <c r="I49" s="22" t="s">
        <v>47</v>
      </c>
      <c r="J49" s="26">
        <v>10.0</v>
      </c>
      <c r="K49" s="26">
        <v>25.54</v>
      </c>
      <c r="L49" s="26">
        <v>2.55</v>
      </c>
      <c r="M49" s="22" t="s">
        <v>160</v>
      </c>
      <c r="N49" s="27" t="s">
        <v>290</v>
      </c>
      <c r="O49" s="27"/>
      <c r="P49" s="24">
        <v>9.03065889E9</v>
      </c>
      <c r="Q49" s="27" t="str">
        <f t="shared" si="3"/>
        <v>90306588904</v>
      </c>
      <c r="R49" s="22" t="s">
        <v>357</v>
      </c>
      <c r="S49" s="27" t="s">
        <v>321</v>
      </c>
      <c r="T49" s="27" t="str">
        <f t="shared" si="2"/>
        <v>Patrick Watkins</v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2.75" customHeight="1">
      <c r="A50" s="22" t="s">
        <v>258</v>
      </c>
      <c r="B50" s="23">
        <v>1.8709232E7</v>
      </c>
      <c r="C50" s="22" t="s">
        <v>259</v>
      </c>
      <c r="D50" s="24">
        <v>9.03065889E9</v>
      </c>
      <c r="E50" s="25">
        <v>45818.0</v>
      </c>
      <c r="F50" s="25">
        <v>46174.0</v>
      </c>
      <c r="G50" s="22" t="s">
        <v>50</v>
      </c>
      <c r="H50" s="22" t="s">
        <v>129</v>
      </c>
      <c r="I50" s="22" t="s">
        <v>47</v>
      </c>
      <c r="J50" s="26">
        <v>10.0</v>
      </c>
      <c r="K50" s="26">
        <v>25.54</v>
      </c>
      <c r="L50" s="26">
        <v>2.55</v>
      </c>
      <c r="M50" s="22" t="s">
        <v>160</v>
      </c>
      <c r="N50" s="27" t="s">
        <v>290</v>
      </c>
      <c r="O50" s="27"/>
      <c r="P50" s="24">
        <v>9.03065889E9</v>
      </c>
      <c r="Q50" s="27" t="str">
        <f t="shared" si="3"/>
        <v>90306588904</v>
      </c>
      <c r="R50" s="22" t="s">
        <v>357</v>
      </c>
      <c r="S50" s="27" t="s">
        <v>321</v>
      </c>
      <c r="T50" s="27" t="str">
        <f t="shared" si="2"/>
        <v>Patrick Watkins</v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2.75" customHeight="1">
      <c r="A51" s="22" t="s">
        <v>103</v>
      </c>
      <c r="B51" s="23">
        <v>1.8828278E7</v>
      </c>
      <c r="C51" s="22" t="s">
        <v>185</v>
      </c>
      <c r="D51" s="24">
        <v>9.03065177E9</v>
      </c>
      <c r="E51" s="25">
        <v>45817.0</v>
      </c>
      <c r="F51" s="25">
        <v>46174.0</v>
      </c>
      <c r="G51" s="22" t="s">
        <v>50</v>
      </c>
      <c r="H51" s="22" t="s">
        <v>129</v>
      </c>
      <c r="I51" s="22" t="s">
        <v>47</v>
      </c>
      <c r="J51" s="26">
        <v>10.0</v>
      </c>
      <c r="K51" s="26">
        <v>13.93</v>
      </c>
      <c r="L51" s="26">
        <v>1.39</v>
      </c>
      <c r="M51" s="22" t="s">
        <v>160</v>
      </c>
      <c r="N51" s="27" t="s">
        <v>290</v>
      </c>
      <c r="O51" s="27"/>
      <c r="P51" s="24">
        <v>9.03065177E9</v>
      </c>
      <c r="Q51" s="27" t="str">
        <f t="shared" si="3"/>
        <v>90306517704</v>
      </c>
      <c r="R51" s="22" t="s">
        <v>358</v>
      </c>
      <c r="S51" s="27" t="s">
        <v>319</v>
      </c>
      <c r="T51" s="27" t="str">
        <f t="shared" si="2"/>
        <v>Thomas Thompson</v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ht="12.75" customHeight="1">
      <c r="A52" s="22" t="s">
        <v>103</v>
      </c>
      <c r="B52" s="23">
        <v>1.8828278E7</v>
      </c>
      <c r="C52" s="22" t="s">
        <v>187</v>
      </c>
      <c r="D52" s="24">
        <v>9.03065204E9</v>
      </c>
      <c r="E52" s="25">
        <v>45817.0</v>
      </c>
      <c r="F52" s="25">
        <v>46174.0</v>
      </c>
      <c r="G52" s="22" t="s">
        <v>50</v>
      </c>
      <c r="H52" s="22" t="s">
        <v>129</v>
      </c>
      <c r="I52" s="22" t="s">
        <v>47</v>
      </c>
      <c r="J52" s="26">
        <v>10.0</v>
      </c>
      <c r="K52" s="26">
        <v>26.88</v>
      </c>
      <c r="L52" s="26">
        <v>2.69</v>
      </c>
      <c r="M52" s="22" t="s">
        <v>160</v>
      </c>
      <c r="N52" s="27" t="s">
        <v>290</v>
      </c>
      <c r="O52" s="27"/>
      <c r="P52" s="24">
        <v>9.03065204E9</v>
      </c>
      <c r="Q52" s="27" t="str">
        <f t="shared" si="3"/>
        <v>90306520404</v>
      </c>
      <c r="R52" s="22" t="s">
        <v>359</v>
      </c>
      <c r="S52" s="27" t="s">
        <v>360</v>
      </c>
      <c r="T52" s="27" t="str">
        <f t="shared" si="2"/>
        <v>Nancy Dauer</v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2.75" customHeight="1">
      <c r="A53" s="22" t="s">
        <v>103</v>
      </c>
      <c r="B53" s="23">
        <v>1.8828278E7</v>
      </c>
      <c r="C53" s="22" t="s">
        <v>181</v>
      </c>
      <c r="D53" s="24">
        <v>9.03064514E9</v>
      </c>
      <c r="E53" s="25">
        <v>45816.0</v>
      </c>
      <c r="F53" s="25">
        <v>46174.0</v>
      </c>
      <c r="G53" s="22" t="s">
        <v>50</v>
      </c>
      <c r="H53" s="22" t="s">
        <v>129</v>
      </c>
      <c r="I53" s="22" t="s">
        <v>47</v>
      </c>
      <c r="J53" s="26">
        <v>10.0</v>
      </c>
      <c r="K53" s="26">
        <v>26.88</v>
      </c>
      <c r="L53" s="26">
        <v>2.69</v>
      </c>
      <c r="M53" s="22" t="s">
        <v>160</v>
      </c>
      <c r="N53" s="27" t="s">
        <v>290</v>
      </c>
      <c r="O53" s="27"/>
      <c r="P53" s="24">
        <v>9.03064514E9</v>
      </c>
      <c r="Q53" s="27" t="str">
        <f t="shared" si="3"/>
        <v>90306451404</v>
      </c>
      <c r="R53" s="22" t="s">
        <v>361</v>
      </c>
      <c r="S53" s="27" t="s">
        <v>362</v>
      </c>
      <c r="T53" s="27" t="str">
        <f t="shared" si="2"/>
        <v>Ron Ferris</v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2.75" customHeight="1">
      <c r="A54" s="22" t="s">
        <v>103</v>
      </c>
      <c r="B54" s="23">
        <v>1.8828278E7</v>
      </c>
      <c r="C54" s="22" t="s">
        <v>175</v>
      </c>
      <c r="D54" s="24">
        <v>9.03057246E9</v>
      </c>
      <c r="E54" s="25">
        <v>45809.0</v>
      </c>
      <c r="F54" s="25">
        <v>46174.0</v>
      </c>
      <c r="G54" s="22" t="s">
        <v>50</v>
      </c>
      <c r="H54" s="22" t="s">
        <v>129</v>
      </c>
      <c r="I54" s="22" t="s">
        <v>47</v>
      </c>
      <c r="J54" s="26">
        <v>10.0</v>
      </c>
      <c r="K54" s="26">
        <v>14.93</v>
      </c>
      <c r="L54" s="26">
        <v>1.49</v>
      </c>
      <c r="M54" s="22" t="s">
        <v>160</v>
      </c>
      <c r="N54" s="27" t="s">
        <v>290</v>
      </c>
      <c r="O54" s="27"/>
      <c r="P54" s="24">
        <v>9.03057246E9</v>
      </c>
      <c r="Q54" s="27" t="str">
        <f t="shared" si="3"/>
        <v>90305724604</v>
      </c>
      <c r="R54" s="22" t="s">
        <v>363</v>
      </c>
      <c r="S54" s="27" t="s">
        <v>364</v>
      </c>
      <c r="T54" s="27" t="str">
        <f t="shared" si="2"/>
        <v>Robert Shaw</v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2.75" customHeight="1">
      <c r="A55" s="22" t="s">
        <v>103</v>
      </c>
      <c r="B55" s="23">
        <v>1.8828278E7</v>
      </c>
      <c r="C55" s="22" t="s">
        <v>177</v>
      </c>
      <c r="D55" s="24">
        <v>9.03057777E9</v>
      </c>
      <c r="E55" s="25">
        <v>45809.0</v>
      </c>
      <c r="F55" s="25">
        <v>46174.0</v>
      </c>
      <c r="G55" s="22" t="s">
        <v>50</v>
      </c>
      <c r="H55" s="22" t="s">
        <v>129</v>
      </c>
      <c r="I55" s="22" t="s">
        <v>47</v>
      </c>
      <c r="J55" s="26">
        <v>10.0</v>
      </c>
      <c r="K55" s="26">
        <v>46.8</v>
      </c>
      <c r="L55" s="26">
        <v>4.68</v>
      </c>
      <c r="M55" s="22" t="s">
        <v>160</v>
      </c>
      <c r="N55" s="27" t="s">
        <v>290</v>
      </c>
      <c r="O55" s="27"/>
      <c r="P55" s="24">
        <v>9.03057777E9</v>
      </c>
      <c r="Q55" s="27" t="str">
        <f t="shared" si="3"/>
        <v>90305777704</v>
      </c>
      <c r="R55" s="22" t="s">
        <v>365</v>
      </c>
      <c r="S55" s="27" t="s">
        <v>349</v>
      </c>
      <c r="T55" s="27" t="str">
        <f t="shared" si="2"/>
        <v>Eric Sisco</v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ht="12.75" customHeight="1">
      <c r="A56" s="22" t="s">
        <v>103</v>
      </c>
      <c r="B56" s="23">
        <v>1.8828278E7</v>
      </c>
      <c r="C56" s="22" t="s">
        <v>179</v>
      </c>
      <c r="D56" s="24">
        <v>9.03058243E9</v>
      </c>
      <c r="E56" s="25">
        <v>45809.0</v>
      </c>
      <c r="F56" s="25">
        <v>46174.0</v>
      </c>
      <c r="G56" s="22" t="s">
        <v>50</v>
      </c>
      <c r="H56" s="22" t="s">
        <v>129</v>
      </c>
      <c r="I56" s="22" t="s">
        <v>47</v>
      </c>
      <c r="J56" s="26">
        <v>10.0</v>
      </c>
      <c r="K56" s="26">
        <v>26.88</v>
      </c>
      <c r="L56" s="26">
        <v>2.69</v>
      </c>
      <c r="M56" s="22" t="s">
        <v>160</v>
      </c>
      <c r="N56" s="27" t="s">
        <v>290</v>
      </c>
      <c r="O56" s="27"/>
      <c r="P56" s="24">
        <v>9.03058243E9</v>
      </c>
      <c r="Q56" s="27" t="str">
        <f t="shared" si="3"/>
        <v>90305824304</v>
      </c>
      <c r="R56" s="22" t="s">
        <v>366</v>
      </c>
      <c r="S56" s="27" t="s">
        <v>367</v>
      </c>
      <c r="T56" s="27" t="str">
        <f t="shared" si="2"/>
        <v>Laurie Round</v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2.75" customHeight="1">
      <c r="A57" s="22" t="s">
        <v>103</v>
      </c>
      <c r="B57" s="23">
        <v>1.8828278E7</v>
      </c>
      <c r="C57" s="22" t="s">
        <v>169</v>
      </c>
      <c r="D57" s="24">
        <v>9.03050933E9</v>
      </c>
      <c r="E57" s="25">
        <v>45808.0</v>
      </c>
      <c r="F57" s="25">
        <v>46174.0</v>
      </c>
      <c r="G57" s="22" t="s">
        <v>50</v>
      </c>
      <c r="H57" s="22" t="s">
        <v>129</v>
      </c>
      <c r="I57" s="22" t="s">
        <v>47</v>
      </c>
      <c r="J57" s="26">
        <v>10.0</v>
      </c>
      <c r="K57" s="26">
        <v>26.88</v>
      </c>
      <c r="L57" s="26">
        <v>2.69</v>
      </c>
      <c r="M57" s="22" t="s">
        <v>160</v>
      </c>
      <c r="N57" s="27" t="s">
        <v>290</v>
      </c>
      <c r="O57" s="27"/>
      <c r="P57" s="24">
        <v>9.03050933E9</v>
      </c>
      <c r="Q57" s="27" t="str">
        <f t="shared" si="3"/>
        <v>90305093304</v>
      </c>
      <c r="R57" s="22" t="s">
        <v>368</v>
      </c>
      <c r="S57" s="27" t="s">
        <v>369</v>
      </c>
      <c r="T57" s="27" t="str">
        <f t="shared" si="2"/>
        <v>Gerald Urish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2.75" customHeight="1">
      <c r="A58" s="22" t="s">
        <v>103</v>
      </c>
      <c r="B58" s="23">
        <v>1.8828278E7</v>
      </c>
      <c r="C58" s="22" t="s">
        <v>171</v>
      </c>
      <c r="D58" s="24">
        <v>9.03054433E9</v>
      </c>
      <c r="E58" s="25">
        <v>45808.0</v>
      </c>
      <c r="F58" s="25">
        <v>46174.0</v>
      </c>
      <c r="G58" s="22" t="s">
        <v>50</v>
      </c>
      <c r="H58" s="22" t="s">
        <v>129</v>
      </c>
      <c r="I58" s="22" t="s">
        <v>47</v>
      </c>
      <c r="J58" s="26">
        <v>10.0</v>
      </c>
      <c r="K58" s="26">
        <v>26.88</v>
      </c>
      <c r="L58" s="26">
        <v>2.69</v>
      </c>
      <c r="M58" s="22" t="s">
        <v>160</v>
      </c>
      <c r="N58" s="27" t="s">
        <v>290</v>
      </c>
      <c r="O58" s="27"/>
      <c r="P58" s="24">
        <v>9.03054433E9</v>
      </c>
      <c r="Q58" s="27" t="str">
        <f t="shared" si="3"/>
        <v>90305443304</v>
      </c>
      <c r="R58" s="22" t="s">
        <v>370</v>
      </c>
      <c r="S58" s="27" t="s">
        <v>371</v>
      </c>
      <c r="T58" s="27" t="str">
        <f t="shared" si="2"/>
        <v>Brianna Gambetti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2.75" customHeight="1">
      <c r="A59" s="22" t="s">
        <v>103</v>
      </c>
      <c r="B59" s="23">
        <v>1.8828278E7</v>
      </c>
      <c r="C59" s="22" t="s">
        <v>173</v>
      </c>
      <c r="D59" s="24">
        <v>9.03055833E9</v>
      </c>
      <c r="E59" s="25">
        <v>45808.0</v>
      </c>
      <c r="F59" s="25">
        <v>46174.0</v>
      </c>
      <c r="G59" s="22" t="s">
        <v>50</v>
      </c>
      <c r="H59" s="22" t="s">
        <v>129</v>
      </c>
      <c r="I59" s="22" t="s">
        <v>47</v>
      </c>
      <c r="J59" s="26">
        <v>10.0</v>
      </c>
      <c r="K59" s="26">
        <v>26.88</v>
      </c>
      <c r="L59" s="26">
        <v>2.69</v>
      </c>
      <c r="M59" s="22" t="s">
        <v>160</v>
      </c>
      <c r="N59" s="27" t="s">
        <v>290</v>
      </c>
      <c r="O59" s="27"/>
      <c r="P59" s="24">
        <v>9.03055833E9</v>
      </c>
      <c r="Q59" s="27" t="str">
        <f t="shared" si="3"/>
        <v>90305583304</v>
      </c>
      <c r="R59" s="22" t="s">
        <v>372</v>
      </c>
      <c r="S59" s="27" t="s">
        <v>310</v>
      </c>
      <c r="T59" s="27" t="str">
        <f t="shared" si="2"/>
        <v>David Taylor</v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2.75" customHeight="1">
      <c r="A60" s="22" t="s">
        <v>251</v>
      </c>
      <c r="B60" s="23" t="s">
        <v>279</v>
      </c>
      <c r="C60" s="22" t="s">
        <v>254</v>
      </c>
      <c r="D60" s="24">
        <v>9.03011533E9</v>
      </c>
      <c r="E60" s="25">
        <v>45713.0</v>
      </c>
      <c r="F60" s="25">
        <v>46174.0</v>
      </c>
      <c r="G60" s="22" t="s">
        <v>50</v>
      </c>
      <c r="H60" s="22" t="s">
        <v>129</v>
      </c>
      <c r="I60" s="22" t="s">
        <v>47</v>
      </c>
      <c r="J60" s="26">
        <v>10.0</v>
      </c>
      <c r="K60" s="26">
        <v>23.99</v>
      </c>
      <c r="L60" s="26">
        <v>2.4</v>
      </c>
      <c r="M60" s="22" t="s">
        <v>143</v>
      </c>
      <c r="N60" s="27" t="s">
        <v>290</v>
      </c>
      <c r="O60" s="27"/>
      <c r="P60" s="24">
        <v>9.03011533E9</v>
      </c>
      <c r="Q60" s="27" t="str">
        <f t="shared" si="3"/>
        <v>90301153304</v>
      </c>
      <c r="R60" s="22" t="s">
        <v>373</v>
      </c>
      <c r="S60" s="27" t="s">
        <v>374</v>
      </c>
      <c r="T60" s="27" t="str">
        <f t="shared" si="2"/>
        <v>Jon Rudden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2.75" customHeight="1">
      <c r="A61" s="22" t="s">
        <v>132</v>
      </c>
      <c r="B61" s="23">
        <v>7146581.0</v>
      </c>
      <c r="C61" s="22" t="s">
        <v>139</v>
      </c>
      <c r="D61" s="24">
        <v>9.02522875E9</v>
      </c>
      <c r="E61" s="25">
        <v>44586.0</v>
      </c>
      <c r="F61" s="25">
        <v>46174.0</v>
      </c>
      <c r="G61" s="22" t="s">
        <v>50</v>
      </c>
      <c r="H61" s="22" t="s">
        <v>124</v>
      </c>
      <c r="I61" s="22" t="s">
        <v>47</v>
      </c>
      <c r="J61" s="26">
        <v>10.0</v>
      </c>
      <c r="K61" s="26">
        <v>52.78</v>
      </c>
      <c r="L61" s="26">
        <v>5.28</v>
      </c>
      <c r="M61" s="22" t="s">
        <v>143</v>
      </c>
      <c r="N61" s="27" t="s">
        <v>290</v>
      </c>
      <c r="O61" s="27"/>
      <c r="P61" s="24">
        <v>9.02522875E9</v>
      </c>
      <c r="Q61" s="27" t="str">
        <f t="shared" si="3"/>
        <v>90252287504</v>
      </c>
      <c r="R61" s="22" t="s">
        <v>375</v>
      </c>
      <c r="S61" s="27" t="s">
        <v>376</v>
      </c>
      <c r="T61" s="27" t="str">
        <f t="shared" si="2"/>
        <v>Barbara Hanahan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2.75" customHeight="1">
      <c r="A62" s="22" t="s">
        <v>103</v>
      </c>
      <c r="B62" s="23">
        <v>1.8828278E7</v>
      </c>
      <c r="C62" s="22" t="s">
        <v>249</v>
      </c>
      <c r="D62" s="24">
        <v>9.03245052E9</v>
      </c>
      <c r="E62" s="25">
        <v>46174.0</v>
      </c>
      <c r="F62" s="25">
        <v>46204.0</v>
      </c>
      <c r="G62" s="22" t="s">
        <v>50</v>
      </c>
      <c r="H62" s="22" t="s">
        <v>129</v>
      </c>
      <c r="I62" s="22" t="s">
        <v>47</v>
      </c>
      <c r="J62" s="26">
        <v>15.0</v>
      </c>
      <c r="K62" s="26">
        <v>233.33</v>
      </c>
      <c r="L62" s="26">
        <v>35.0</v>
      </c>
      <c r="M62" s="22" t="s">
        <v>160</v>
      </c>
      <c r="N62" s="27" t="s">
        <v>377</v>
      </c>
      <c r="O62" s="27"/>
      <c r="P62" s="24">
        <v>9.03245052E9</v>
      </c>
      <c r="Q62" s="27" t="str">
        <f t="shared" ref="Q62:Q63" si="4">CONCATENATE(P62,2)</f>
        <v>90324505202</v>
      </c>
      <c r="R62" s="22" t="s">
        <v>348</v>
      </c>
      <c r="S62" s="27" t="s">
        <v>378</v>
      </c>
      <c r="T62" s="27" t="str">
        <f t="shared" si="2"/>
        <v>Deena Johnson</v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2.75" customHeight="1">
      <c r="A63" s="22" t="s">
        <v>151</v>
      </c>
      <c r="B63" s="23" t="s">
        <v>379</v>
      </c>
      <c r="C63" s="22" t="s">
        <v>158</v>
      </c>
      <c r="D63" s="24">
        <v>9.03245709E9</v>
      </c>
      <c r="E63" s="25">
        <v>46174.0</v>
      </c>
      <c r="F63" s="25">
        <v>46204.0</v>
      </c>
      <c r="G63" s="22" t="s">
        <v>50</v>
      </c>
      <c r="H63" s="22" t="s">
        <v>129</v>
      </c>
      <c r="I63" s="22" t="s">
        <v>47</v>
      </c>
      <c r="J63" s="26">
        <v>15.0</v>
      </c>
      <c r="K63" s="26">
        <v>233.33</v>
      </c>
      <c r="L63" s="26">
        <v>35.0</v>
      </c>
      <c r="M63" s="22" t="s">
        <v>160</v>
      </c>
      <c r="N63" s="27" t="s">
        <v>377</v>
      </c>
      <c r="O63" s="27"/>
      <c r="P63" s="24">
        <v>9.03245709E9</v>
      </c>
      <c r="Q63" s="27" t="str">
        <f t="shared" si="4"/>
        <v>90324570902</v>
      </c>
      <c r="R63" s="22" t="s">
        <v>380</v>
      </c>
      <c r="S63" s="27" t="s">
        <v>381</v>
      </c>
      <c r="T63" s="27" t="str">
        <f t="shared" si="2"/>
        <v>Suzette McCarrell</v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2.75" customHeight="1">
      <c r="A64" s="28" t="s">
        <v>118</v>
      </c>
      <c r="B64" s="29">
        <v>1.4177521E7</v>
      </c>
      <c r="C64" s="28" t="s">
        <v>130</v>
      </c>
      <c r="D64" s="30">
        <v>423470.0</v>
      </c>
      <c r="E64" s="31">
        <v>46023.0</v>
      </c>
      <c r="F64" s="31">
        <v>46113.0</v>
      </c>
      <c r="G64" s="28" t="s">
        <v>112</v>
      </c>
      <c r="H64" s="28" t="s">
        <v>124</v>
      </c>
      <c r="I64" s="28" t="s">
        <v>47</v>
      </c>
      <c r="J64" s="32">
        <v>10.0</v>
      </c>
      <c r="K64" s="32">
        <v>138.3</v>
      </c>
      <c r="L64" s="32">
        <v>13.83</v>
      </c>
      <c r="M64" s="28" t="s">
        <v>54</v>
      </c>
      <c r="N64" s="33" t="s">
        <v>382</v>
      </c>
      <c r="O64" s="33"/>
      <c r="P64" s="30">
        <v>423470.0</v>
      </c>
      <c r="Q64" s="33" t="str">
        <f t="shared" ref="Q64:Q71" si="5">CONCATENATE(P64,7)</f>
        <v>4234707</v>
      </c>
      <c r="R64" s="28" t="s">
        <v>383</v>
      </c>
      <c r="S64" s="33" t="s">
        <v>384</v>
      </c>
      <c r="T64" s="28" t="s">
        <v>130</v>
      </c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2.75" customHeight="1">
      <c r="A65" s="28" t="s">
        <v>118</v>
      </c>
      <c r="B65" s="29">
        <v>1.4177521E7</v>
      </c>
      <c r="C65" s="28" t="s">
        <v>130</v>
      </c>
      <c r="D65" s="30">
        <v>423470.0</v>
      </c>
      <c r="E65" s="31">
        <v>46023.0</v>
      </c>
      <c r="F65" s="31">
        <v>46143.0</v>
      </c>
      <c r="G65" s="28" t="s">
        <v>107</v>
      </c>
      <c r="H65" s="28" t="s">
        <v>124</v>
      </c>
      <c r="I65" s="28" t="s">
        <v>47</v>
      </c>
      <c r="J65" s="32">
        <v>10.0</v>
      </c>
      <c r="K65" s="32">
        <v>138.3</v>
      </c>
      <c r="L65" s="32">
        <v>13.83</v>
      </c>
      <c r="M65" s="28" t="s">
        <v>54</v>
      </c>
      <c r="N65" s="33" t="s">
        <v>382</v>
      </c>
      <c r="O65" s="33"/>
      <c r="P65" s="30">
        <v>423470.0</v>
      </c>
      <c r="Q65" s="33" t="str">
        <f t="shared" si="5"/>
        <v>4234707</v>
      </c>
      <c r="R65" s="28" t="s">
        <v>383</v>
      </c>
      <c r="S65" s="33" t="s">
        <v>384</v>
      </c>
      <c r="T65" s="28" t="s">
        <v>130</v>
      </c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2.75" customHeight="1">
      <c r="A66" s="28" t="s">
        <v>118</v>
      </c>
      <c r="B66" s="29">
        <v>1.4177521E7</v>
      </c>
      <c r="C66" s="28" t="s">
        <v>130</v>
      </c>
      <c r="D66" s="30">
        <v>423470.0</v>
      </c>
      <c r="E66" s="31">
        <v>46023.0</v>
      </c>
      <c r="F66" s="31">
        <v>46174.0</v>
      </c>
      <c r="G66" s="28" t="s">
        <v>50</v>
      </c>
      <c r="H66" s="28" t="s">
        <v>124</v>
      </c>
      <c r="I66" s="28" t="s">
        <v>47</v>
      </c>
      <c r="J66" s="32">
        <v>10.0</v>
      </c>
      <c r="K66" s="32">
        <v>975.74</v>
      </c>
      <c r="L66" s="32">
        <v>97.57</v>
      </c>
      <c r="M66" s="28" t="s">
        <v>54</v>
      </c>
      <c r="N66" s="33" t="s">
        <v>382</v>
      </c>
      <c r="O66" s="33"/>
      <c r="P66" s="30">
        <v>423470.0</v>
      </c>
      <c r="Q66" s="33" t="str">
        <f t="shared" si="5"/>
        <v>4234707</v>
      </c>
      <c r="R66" s="28" t="s">
        <v>383</v>
      </c>
      <c r="S66" s="33" t="s">
        <v>384</v>
      </c>
      <c r="T66" s="28" t="s">
        <v>130</v>
      </c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2.75" customHeight="1">
      <c r="A67" s="28" t="s">
        <v>118</v>
      </c>
      <c r="B67" s="29">
        <v>1.4177521E7</v>
      </c>
      <c r="C67" s="28" t="s">
        <v>130</v>
      </c>
      <c r="D67" s="30">
        <v>423470.0</v>
      </c>
      <c r="E67" s="31">
        <v>46023.0</v>
      </c>
      <c r="F67" s="31">
        <v>46113.0</v>
      </c>
      <c r="G67" s="28" t="s">
        <v>112</v>
      </c>
      <c r="H67" s="28" t="s">
        <v>129</v>
      </c>
      <c r="I67" s="28" t="s">
        <v>47</v>
      </c>
      <c r="J67" s="32">
        <v>10.0</v>
      </c>
      <c r="K67" s="32">
        <v>19.95</v>
      </c>
      <c r="L67" s="32">
        <v>2.0</v>
      </c>
      <c r="M67" s="28" t="s">
        <v>54</v>
      </c>
      <c r="N67" s="33" t="s">
        <v>382</v>
      </c>
      <c r="O67" s="33"/>
      <c r="P67" s="30">
        <v>423470.0</v>
      </c>
      <c r="Q67" s="33" t="str">
        <f t="shared" si="5"/>
        <v>4234707</v>
      </c>
      <c r="R67" s="28" t="s">
        <v>383</v>
      </c>
      <c r="S67" s="33" t="s">
        <v>384</v>
      </c>
      <c r="T67" s="28" t="s">
        <v>130</v>
      </c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2.75" customHeight="1">
      <c r="A68" s="28" t="s">
        <v>118</v>
      </c>
      <c r="B68" s="29">
        <v>1.4177521E7</v>
      </c>
      <c r="C68" s="28" t="s">
        <v>130</v>
      </c>
      <c r="D68" s="30">
        <v>423470.0</v>
      </c>
      <c r="E68" s="31">
        <v>46023.0</v>
      </c>
      <c r="F68" s="31">
        <v>46143.0</v>
      </c>
      <c r="G68" s="28" t="s">
        <v>107</v>
      </c>
      <c r="H68" s="28" t="s">
        <v>129</v>
      </c>
      <c r="I68" s="28" t="s">
        <v>47</v>
      </c>
      <c r="J68" s="32">
        <v>10.0</v>
      </c>
      <c r="K68" s="32">
        <v>19.95</v>
      </c>
      <c r="L68" s="32">
        <v>2.0</v>
      </c>
      <c r="M68" s="28" t="s">
        <v>54</v>
      </c>
      <c r="N68" s="33" t="s">
        <v>382</v>
      </c>
      <c r="O68" s="33"/>
      <c r="P68" s="30">
        <v>423470.0</v>
      </c>
      <c r="Q68" s="33" t="str">
        <f t="shared" si="5"/>
        <v>4234707</v>
      </c>
      <c r="R68" s="28" t="s">
        <v>383</v>
      </c>
      <c r="S68" s="33" t="s">
        <v>384</v>
      </c>
      <c r="T68" s="28" t="s">
        <v>130</v>
      </c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2.75" customHeight="1">
      <c r="A69" s="28" t="s">
        <v>118</v>
      </c>
      <c r="B69" s="29">
        <v>1.4177521E7</v>
      </c>
      <c r="C69" s="28" t="s">
        <v>130</v>
      </c>
      <c r="D69" s="30">
        <v>423470.0</v>
      </c>
      <c r="E69" s="31">
        <v>46023.0</v>
      </c>
      <c r="F69" s="31">
        <v>46174.0</v>
      </c>
      <c r="G69" s="28" t="s">
        <v>50</v>
      </c>
      <c r="H69" s="28" t="s">
        <v>129</v>
      </c>
      <c r="I69" s="28" t="s">
        <v>47</v>
      </c>
      <c r="J69" s="32">
        <v>10.0</v>
      </c>
      <c r="K69" s="32">
        <v>151.05</v>
      </c>
      <c r="L69" s="32">
        <v>15.11</v>
      </c>
      <c r="M69" s="28" t="s">
        <v>54</v>
      </c>
      <c r="N69" s="33" t="s">
        <v>382</v>
      </c>
      <c r="O69" s="33"/>
      <c r="P69" s="30">
        <v>423470.0</v>
      </c>
      <c r="Q69" s="33" t="str">
        <f t="shared" si="5"/>
        <v>4234707</v>
      </c>
      <c r="R69" s="28" t="s">
        <v>383</v>
      </c>
      <c r="S69" s="33" t="s">
        <v>384</v>
      </c>
      <c r="T69" s="28" t="s">
        <v>130</v>
      </c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2.75" customHeight="1">
      <c r="A70" s="28" t="s">
        <v>118</v>
      </c>
      <c r="B70" s="29">
        <v>1.4177521E7</v>
      </c>
      <c r="C70" s="28" t="s">
        <v>119</v>
      </c>
      <c r="D70" s="30">
        <v>408719.0</v>
      </c>
      <c r="E70" s="31">
        <v>45200.0</v>
      </c>
      <c r="F70" s="31">
        <v>46143.0</v>
      </c>
      <c r="G70" s="28" t="s">
        <v>107</v>
      </c>
      <c r="H70" s="28" t="s">
        <v>124</v>
      </c>
      <c r="I70" s="28" t="s">
        <v>47</v>
      </c>
      <c r="J70" s="32">
        <v>10.0</v>
      </c>
      <c r="K70" s="32">
        <v>524.09</v>
      </c>
      <c r="L70" s="32">
        <v>52.41</v>
      </c>
      <c r="M70" s="28" t="s">
        <v>125</v>
      </c>
      <c r="N70" s="33" t="s">
        <v>382</v>
      </c>
      <c r="O70" s="33"/>
      <c r="P70" s="30">
        <v>408719.0</v>
      </c>
      <c r="Q70" s="33" t="str">
        <f t="shared" si="5"/>
        <v>4087197</v>
      </c>
      <c r="R70" s="28" t="s">
        <v>287</v>
      </c>
      <c r="S70" s="33" t="s">
        <v>288</v>
      </c>
      <c r="T70" s="28" t="s">
        <v>119</v>
      </c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2.75" customHeight="1">
      <c r="A71" s="28" t="s">
        <v>118</v>
      </c>
      <c r="B71" s="29">
        <v>1.4177521E7</v>
      </c>
      <c r="C71" s="28" t="s">
        <v>119</v>
      </c>
      <c r="D71" s="30">
        <v>408719.0</v>
      </c>
      <c r="E71" s="31">
        <v>45200.0</v>
      </c>
      <c r="F71" s="31">
        <v>46143.0</v>
      </c>
      <c r="G71" s="28" t="s">
        <v>107</v>
      </c>
      <c r="H71" s="28" t="s">
        <v>129</v>
      </c>
      <c r="I71" s="28" t="s">
        <v>47</v>
      </c>
      <c r="J71" s="32">
        <v>10.0</v>
      </c>
      <c r="K71" s="32">
        <v>76.83</v>
      </c>
      <c r="L71" s="32">
        <v>7.68</v>
      </c>
      <c r="M71" s="28" t="s">
        <v>125</v>
      </c>
      <c r="N71" s="33" t="s">
        <v>382</v>
      </c>
      <c r="O71" s="33"/>
      <c r="P71" s="30">
        <v>408719.0</v>
      </c>
      <c r="Q71" s="33" t="str">
        <f t="shared" si="5"/>
        <v>4087197</v>
      </c>
      <c r="R71" s="28" t="s">
        <v>287</v>
      </c>
      <c r="S71" s="33" t="s">
        <v>288</v>
      </c>
      <c r="T71" s="28" t="s">
        <v>119</v>
      </c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2.75" customHeight="1">
      <c r="A72" s="4" t="s">
        <v>92</v>
      </c>
      <c r="B72" s="34">
        <v>9213293.0</v>
      </c>
      <c r="C72" s="4" t="s">
        <v>93</v>
      </c>
      <c r="D72" s="4" t="s">
        <v>94</v>
      </c>
      <c r="E72" s="3">
        <v>46235.0</v>
      </c>
      <c r="F72" s="3">
        <v>46266.0</v>
      </c>
      <c r="G72" s="4" t="s">
        <v>73</v>
      </c>
      <c r="H72" s="4" t="s">
        <v>52</v>
      </c>
      <c r="I72" s="4" t="s">
        <v>53</v>
      </c>
      <c r="J72" s="5">
        <v>0.42</v>
      </c>
      <c r="K72" s="5">
        <v>1.0</v>
      </c>
      <c r="L72" s="5">
        <v>144.58</v>
      </c>
      <c r="M72" s="4" t="s">
        <v>54</v>
      </c>
      <c r="N72" s="35" t="s">
        <v>385</v>
      </c>
      <c r="O72" s="35" t="s">
        <v>386</v>
      </c>
      <c r="P72" s="4" t="s">
        <v>94</v>
      </c>
      <c r="Q72" s="35" t="str">
        <f t="shared" ref="Q72:Q84" si="6">CONCATENATE(P72,67)</f>
        <v>00026531857K67</v>
      </c>
      <c r="R72" s="4" t="s">
        <v>387</v>
      </c>
      <c r="S72" s="35" t="s">
        <v>388</v>
      </c>
      <c r="T72" s="35" t="str">
        <f t="shared" ref="T72:T87" si="7">CONCATENATE(S72," ",R72)</f>
        <v>DOUGLAS KAUS</v>
      </c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</row>
    <row r="73" ht="12.75" customHeight="1">
      <c r="A73" s="4" t="s">
        <v>66</v>
      </c>
      <c r="B73" s="34">
        <v>8307933.0</v>
      </c>
      <c r="C73" s="4" t="s">
        <v>70</v>
      </c>
      <c r="D73" s="4" t="s">
        <v>71</v>
      </c>
      <c r="E73" s="3">
        <v>46235.0</v>
      </c>
      <c r="F73" s="3">
        <v>46266.0</v>
      </c>
      <c r="G73" s="4" t="s">
        <v>73</v>
      </c>
      <c r="H73" s="4" t="s">
        <v>52</v>
      </c>
      <c r="I73" s="4" t="s">
        <v>53</v>
      </c>
      <c r="J73" s="5">
        <v>0.42</v>
      </c>
      <c r="K73" s="5">
        <v>1.0</v>
      </c>
      <c r="L73" s="5">
        <v>144.58</v>
      </c>
      <c r="M73" s="4" t="s">
        <v>54</v>
      </c>
      <c r="N73" s="35" t="s">
        <v>385</v>
      </c>
      <c r="O73" s="35" t="s">
        <v>386</v>
      </c>
      <c r="P73" s="4" t="s">
        <v>71</v>
      </c>
      <c r="Q73" s="35" t="str">
        <f t="shared" si="6"/>
        <v>00026541112K67</v>
      </c>
      <c r="R73" s="4" t="s">
        <v>389</v>
      </c>
      <c r="S73" s="35" t="s">
        <v>390</v>
      </c>
      <c r="T73" s="35" t="str">
        <f t="shared" si="7"/>
        <v>DONNA BROMBY</v>
      </c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</row>
    <row r="74" ht="12.75" customHeight="1">
      <c r="A74" s="4" t="s">
        <v>96</v>
      </c>
      <c r="B74" s="34">
        <v>1.9396223E7</v>
      </c>
      <c r="C74" s="4" t="s">
        <v>97</v>
      </c>
      <c r="D74" s="4" t="s">
        <v>98</v>
      </c>
      <c r="E74" s="3">
        <v>46174.0</v>
      </c>
      <c r="F74" s="3">
        <v>46204.0</v>
      </c>
      <c r="G74" s="4" t="s">
        <v>50</v>
      </c>
      <c r="H74" s="4" t="s">
        <v>52</v>
      </c>
      <c r="I74" s="4" t="s">
        <v>53</v>
      </c>
      <c r="J74" s="5">
        <v>0.58</v>
      </c>
      <c r="K74" s="5">
        <v>1.0</v>
      </c>
      <c r="L74" s="5">
        <v>202.42</v>
      </c>
      <c r="M74" s="4" t="s">
        <v>54</v>
      </c>
      <c r="N74" s="35" t="s">
        <v>385</v>
      </c>
      <c r="O74" s="35" t="s">
        <v>391</v>
      </c>
      <c r="P74" s="4" t="s">
        <v>98</v>
      </c>
      <c r="Q74" s="35" t="str">
        <f t="shared" si="6"/>
        <v>00026531294K67</v>
      </c>
      <c r="R74" s="4" t="s">
        <v>392</v>
      </c>
      <c r="S74" s="35" t="s">
        <v>393</v>
      </c>
      <c r="T74" s="35" t="str">
        <f t="shared" si="7"/>
        <v>TONI TURNER</v>
      </c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</row>
    <row r="75" ht="12.75" customHeight="1">
      <c r="A75" s="4" t="s">
        <v>96</v>
      </c>
      <c r="B75" s="34">
        <v>1.9396223E7</v>
      </c>
      <c r="C75" s="4" t="s">
        <v>100</v>
      </c>
      <c r="D75" s="4" t="s">
        <v>101</v>
      </c>
      <c r="E75" s="3">
        <v>46174.0</v>
      </c>
      <c r="F75" s="3">
        <v>46204.0</v>
      </c>
      <c r="G75" s="4" t="s">
        <v>50</v>
      </c>
      <c r="H75" s="4" t="s">
        <v>52</v>
      </c>
      <c r="I75" s="4" t="s">
        <v>53</v>
      </c>
      <c r="J75" s="5">
        <v>0.58</v>
      </c>
      <c r="K75" s="5">
        <v>1.0</v>
      </c>
      <c r="L75" s="5">
        <v>202.42</v>
      </c>
      <c r="M75" s="4" t="s">
        <v>54</v>
      </c>
      <c r="N75" s="35" t="s">
        <v>385</v>
      </c>
      <c r="O75" s="35" t="s">
        <v>391</v>
      </c>
      <c r="P75" s="4" t="s">
        <v>101</v>
      </c>
      <c r="Q75" s="35" t="str">
        <f t="shared" si="6"/>
        <v>00026543135K67</v>
      </c>
      <c r="R75" s="4" t="s">
        <v>394</v>
      </c>
      <c r="S75" s="35" t="s">
        <v>395</v>
      </c>
      <c r="T75" s="35" t="str">
        <f t="shared" si="7"/>
        <v>NANCY DUARTE</v>
      </c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</row>
    <row r="76" ht="12.75" customHeight="1">
      <c r="A76" s="4" t="s">
        <v>43</v>
      </c>
      <c r="B76" s="34">
        <v>7470776.0</v>
      </c>
      <c r="C76" s="4" t="s">
        <v>44</v>
      </c>
      <c r="D76" s="4" t="s">
        <v>45</v>
      </c>
      <c r="E76" s="3">
        <v>46174.0</v>
      </c>
      <c r="F76" s="3">
        <v>46204.0</v>
      </c>
      <c r="G76" s="4" t="s">
        <v>50</v>
      </c>
      <c r="H76" s="4" t="s">
        <v>52</v>
      </c>
      <c r="I76" s="4" t="s">
        <v>53</v>
      </c>
      <c r="J76" s="5">
        <v>0.58</v>
      </c>
      <c r="K76" s="5">
        <v>1.0</v>
      </c>
      <c r="L76" s="5">
        <v>202.42</v>
      </c>
      <c r="M76" s="4" t="s">
        <v>54</v>
      </c>
      <c r="N76" s="35" t="s">
        <v>385</v>
      </c>
      <c r="O76" s="35" t="s">
        <v>391</v>
      </c>
      <c r="P76" s="4" t="s">
        <v>45</v>
      </c>
      <c r="Q76" s="35" t="str">
        <f t="shared" si="6"/>
        <v>00026530642K67</v>
      </c>
      <c r="R76" s="4" t="s">
        <v>396</v>
      </c>
      <c r="S76" s="35" t="s">
        <v>397</v>
      </c>
      <c r="T76" s="35" t="str">
        <f t="shared" si="7"/>
        <v>MARGERY CLARK</v>
      </c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</row>
    <row r="77" ht="12.75" customHeight="1">
      <c r="A77" s="4" t="s">
        <v>43</v>
      </c>
      <c r="B77" s="34">
        <v>7470776.0</v>
      </c>
      <c r="C77" s="4" t="s">
        <v>57</v>
      </c>
      <c r="D77" s="4" t="s">
        <v>58</v>
      </c>
      <c r="E77" s="3">
        <v>46174.0</v>
      </c>
      <c r="F77" s="3">
        <v>46204.0</v>
      </c>
      <c r="G77" s="4" t="s">
        <v>50</v>
      </c>
      <c r="H77" s="4" t="s">
        <v>52</v>
      </c>
      <c r="I77" s="4" t="s">
        <v>53</v>
      </c>
      <c r="J77" s="5">
        <v>0.58</v>
      </c>
      <c r="K77" s="5">
        <v>1.0</v>
      </c>
      <c r="L77" s="5">
        <v>202.42</v>
      </c>
      <c r="M77" s="4" t="s">
        <v>54</v>
      </c>
      <c r="N77" s="35" t="s">
        <v>385</v>
      </c>
      <c r="O77" s="35" t="s">
        <v>391</v>
      </c>
      <c r="P77" s="4" t="s">
        <v>58</v>
      </c>
      <c r="Q77" s="35" t="str">
        <f t="shared" si="6"/>
        <v>00026538315K67</v>
      </c>
      <c r="R77" s="4" t="s">
        <v>398</v>
      </c>
      <c r="S77" s="35" t="s">
        <v>278</v>
      </c>
      <c r="T77" s="35" t="str">
        <f t="shared" si="7"/>
        <v>WILLIAM ERICKSON</v>
      </c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 ht="12.75" customHeight="1">
      <c r="A78" s="4" t="s">
        <v>43</v>
      </c>
      <c r="B78" s="34">
        <v>7470776.0</v>
      </c>
      <c r="C78" s="4" t="s">
        <v>60</v>
      </c>
      <c r="D78" s="4" t="s">
        <v>61</v>
      </c>
      <c r="E78" s="3">
        <v>46174.0</v>
      </c>
      <c r="F78" s="3">
        <v>46204.0</v>
      </c>
      <c r="G78" s="4" t="s">
        <v>50</v>
      </c>
      <c r="H78" s="4" t="s">
        <v>52</v>
      </c>
      <c r="I78" s="4" t="s">
        <v>53</v>
      </c>
      <c r="J78" s="5">
        <v>0.58</v>
      </c>
      <c r="K78" s="5">
        <v>1.0</v>
      </c>
      <c r="L78" s="5">
        <v>202.42</v>
      </c>
      <c r="M78" s="4" t="s">
        <v>54</v>
      </c>
      <c r="N78" s="35" t="s">
        <v>385</v>
      </c>
      <c r="O78" s="35" t="s">
        <v>391</v>
      </c>
      <c r="P78" s="4" t="s">
        <v>61</v>
      </c>
      <c r="Q78" s="35" t="str">
        <f t="shared" si="6"/>
        <v>00026541287K67</v>
      </c>
      <c r="R78" s="4" t="s">
        <v>396</v>
      </c>
      <c r="S78" s="35" t="s">
        <v>399</v>
      </c>
      <c r="T78" s="35" t="str">
        <f t="shared" si="7"/>
        <v>MICHAEL CLARK</v>
      </c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</row>
    <row r="79" ht="13.5" customHeight="1">
      <c r="A79" s="4" t="s">
        <v>43</v>
      </c>
      <c r="B79" s="34">
        <v>7470776.0</v>
      </c>
      <c r="C79" s="4" t="s">
        <v>63</v>
      </c>
      <c r="D79" s="4" t="s">
        <v>64</v>
      </c>
      <c r="E79" s="3">
        <v>46174.0</v>
      </c>
      <c r="F79" s="3">
        <v>46204.0</v>
      </c>
      <c r="G79" s="4" t="s">
        <v>50</v>
      </c>
      <c r="H79" s="4" t="s">
        <v>52</v>
      </c>
      <c r="I79" s="4" t="s">
        <v>53</v>
      </c>
      <c r="J79" s="5">
        <v>0.58</v>
      </c>
      <c r="K79" s="5">
        <v>1.0</v>
      </c>
      <c r="L79" s="5">
        <v>202.42</v>
      </c>
      <c r="M79" s="4" t="s">
        <v>54</v>
      </c>
      <c r="N79" s="35" t="s">
        <v>385</v>
      </c>
      <c r="O79" s="35" t="s">
        <v>391</v>
      </c>
      <c r="P79" s="4" t="s">
        <v>64</v>
      </c>
      <c r="Q79" s="35" t="str">
        <f t="shared" si="6"/>
        <v>00026542697K67</v>
      </c>
      <c r="R79" s="4" t="s">
        <v>400</v>
      </c>
      <c r="S79" s="35" t="s">
        <v>401</v>
      </c>
      <c r="T79" s="35" t="str">
        <f t="shared" si="7"/>
        <v>KARA YOSHIMURA</v>
      </c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</row>
    <row r="80" ht="12.75" customHeight="1">
      <c r="A80" s="4" t="s">
        <v>79</v>
      </c>
      <c r="B80" s="34">
        <v>1706194.0</v>
      </c>
      <c r="C80" s="4" t="s">
        <v>80</v>
      </c>
      <c r="D80" s="4" t="s">
        <v>81</v>
      </c>
      <c r="E80" s="3">
        <v>46174.0</v>
      </c>
      <c r="F80" s="3">
        <v>46204.0</v>
      </c>
      <c r="G80" s="4" t="s">
        <v>50</v>
      </c>
      <c r="H80" s="4" t="s">
        <v>52</v>
      </c>
      <c r="I80" s="4" t="s">
        <v>53</v>
      </c>
      <c r="J80" s="5">
        <v>0.58</v>
      </c>
      <c r="K80" s="5">
        <v>1.0</v>
      </c>
      <c r="L80" s="5">
        <v>202.42</v>
      </c>
      <c r="M80" s="4" t="s">
        <v>54</v>
      </c>
      <c r="N80" s="35" t="s">
        <v>385</v>
      </c>
      <c r="O80" s="35" t="s">
        <v>391</v>
      </c>
      <c r="P80" s="4" t="s">
        <v>81</v>
      </c>
      <c r="Q80" s="35" t="str">
        <f t="shared" si="6"/>
        <v>00026531514K67</v>
      </c>
      <c r="R80" s="4" t="s">
        <v>402</v>
      </c>
      <c r="S80" s="35" t="s">
        <v>403</v>
      </c>
      <c r="T80" s="35" t="str">
        <f t="shared" si="7"/>
        <v>DAVID PURDON</v>
      </c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</row>
    <row r="81" ht="12.75" customHeight="1">
      <c r="A81" s="4" t="s">
        <v>66</v>
      </c>
      <c r="B81" s="34">
        <v>8307933.0</v>
      </c>
      <c r="C81" s="4" t="s">
        <v>67</v>
      </c>
      <c r="D81" s="4" t="s">
        <v>68</v>
      </c>
      <c r="E81" s="3">
        <v>46174.0</v>
      </c>
      <c r="F81" s="3">
        <v>46204.0</v>
      </c>
      <c r="G81" s="4" t="s">
        <v>50</v>
      </c>
      <c r="H81" s="4" t="s">
        <v>52</v>
      </c>
      <c r="I81" s="4" t="s">
        <v>53</v>
      </c>
      <c r="J81" s="5">
        <v>0.58</v>
      </c>
      <c r="K81" s="5">
        <v>1.0</v>
      </c>
      <c r="L81" s="5">
        <v>202.42</v>
      </c>
      <c r="M81" s="4" t="s">
        <v>54</v>
      </c>
      <c r="N81" s="35" t="s">
        <v>385</v>
      </c>
      <c r="O81" s="35" t="s">
        <v>391</v>
      </c>
      <c r="P81" s="4" t="s">
        <v>68</v>
      </c>
      <c r="Q81" s="35" t="str">
        <f t="shared" si="6"/>
        <v>00026531813K67</v>
      </c>
      <c r="R81" s="4" t="s">
        <v>404</v>
      </c>
      <c r="S81" s="35" t="s">
        <v>405</v>
      </c>
      <c r="T81" s="35" t="str">
        <f t="shared" si="7"/>
        <v>STYLIANOS KOUVELAS</v>
      </c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</row>
    <row r="82" ht="12.75" customHeight="1">
      <c r="A82" s="4" t="s">
        <v>83</v>
      </c>
      <c r="B82" s="34">
        <v>1.6633294E7</v>
      </c>
      <c r="C82" s="4" t="s">
        <v>84</v>
      </c>
      <c r="D82" s="4" t="s">
        <v>85</v>
      </c>
      <c r="E82" s="3">
        <v>46174.0</v>
      </c>
      <c r="F82" s="3">
        <v>46204.0</v>
      </c>
      <c r="G82" s="4" t="s">
        <v>50</v>
      </c>
      <c r="H82" s="4" t="s">
        <v>52</v>
      </c>
      <c r="I82" s="4" t="s">
        <v>87</v>
      </c>
      <c r="J82" s="5">
        <v>0.58</v>
      </c>
      <c r="K82" s="5">
        <v>1.0</v>
      </c>
      <c r="L82" s="5">
        <v>202.42</v>
      </c>
      <c r="M82" s="4" t="s">
        <v>54</v>
      </c>
      <c r="N82" s="35" t="s">
        <v>385</v>
      </c>
      <c r="O82" s="35" t="s">
        <v>391</v>
      </c>
      <c r="P82" s="4" t="s">
        <v>85</v>
      </c>
      <c r="Q82" s="35" t="str">
        <f t="shared" si="6"/>
        <v>00024425940K67</v>
      </c>
      <c r="R82" s="4" t="s">
        <v>406</v>
      </c>
      <c r="S82" s="35" t="s">
        <v>407</v>
      </c>
      <c r="T82" s="35" t="str">
        <f t="shared" si="7"/>
        <v>BARBARA SIMKIN</v>
      </c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</row>
    <row r="83" ht="12.75" customHeight="1">
      <c r="A83" s="4" t="s">
        <v>83</v>
      </c>
      <c r="B83" s="34">
        <v>1.6633294E7</v>
      </c>
      <c r="C83" s="4" t="s">
        <v>89</v>
      </c>
      <c r="D83" s="4" t="s">
        <v>90</v>
      </c>
      <c r="E83" s="3">
        <v>46174.0</v>
      </c>
      <c r="F83" s="3">
        <v>46204.0</v>
      </c>
      <c r="G83" s="4" t="s">
        <v>50</v>
      </c>
      <c r="H83" s="4" t="s">
        <v>52</v>
      </c>
      <c r="I83" s="4" t="s">
        <v>53</v>
      </c>
      <c r="J83" s="5">
        <v>0.58</v>
      </c>
      <c r="K83" s="5">
        <v>1.0</v>
      </c>
      <c r="L83" s="5">
        <v>202.42</v>
      </c>
      <c r="M83" s="4" t="s">
        <v>54</v>
      </c>
      <c r="N83" s="35" t="s">
        <v>385</v>
      </c>
      <c r="O83" s="35" t="s">
        <v>391</v>
      </c>
      <c r="P83" s="4" t="s">
        <v>90</v>
      </c>
      <c r="Q83" s="35" t="str">
        <f t="shared" si="6"/>
        <v>00026527723K67</v>
      </c>
      <c r="R83" s="4" t="s">
        <v>408</v>
      </c>
      <c r="S83" s="35" t="s">
        <v>403</v>
      </c>
      <c r="T83" s="35" t="str">
        <f t="shared" si="7"/>
        <v>DAVID GANFIELD</v>
      </c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</row>
    <row r="84" ht="12.75" customHeight="1">
      <c r="A84" s="4" t="s">
        <v>103</v>
      </c>
      <c r="B84" s="34">
        <v>1.8828278E7</v>
      </c>
      <c r="C84" s="4" t="s">
        <v>104</v>
      </c>
      <c r="D84" s="4" t="s">
        <v>105</v>
      </c>
      <c r="E84" s="3">
        <v>46143.0</v>
      </c>
      <c r="F84" s="3">
        <v>46174.0</v>
      </c>
      <c r="G84" s="4" t="s">
        <v>107</v>
      </c>
      <c r="H84" s="4" t="s">
        <v>52</v>
      </c>
      <c r="I84" s="4" t="s">
        <v>87</v>
      </c>
      <c r="J84" s="5">
        <v>-0.58</v>
      </c>
      <c r="K84" s="5">
        <v>-1.0</v>
      </c>
      <c r="L84" s="5">
        <v>-202.41</v>
      </c>
      <c r="M84" s="4" t="s">
        <v>54</v>
      </c>
      <c r="N84" s="35" t="s">
        <v>385</v>
      </c>
      <c r="O84" s="35" t="s">
        <v>391</v>
      </c>
      <c r="P84" s="4" t="s">
        <v>105</v>
      </c>
      <c r="Q84" s="35" t="str">
        <f t="shared" si="6"/>
        <v>00025375531K67</v>
      </c>
      <c r="R84" s="4" t="s">
        <v>409</v>
      </c>
      <c r="S84" s="35" t="s">
        <v>410</v>
      </c>
      <c r="T84" s="35" t="str">
        <f t="shared" si="7"/>
        <v>ROGER COYNE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</row>
    <row r="85" ht="12.75" customHeight="1">
      <c r="A85" s="4" t="s">
        <v>108</v>
      </c>
      <c r="B85" s="34">
        <v>1.9645587E7</v>
      </c>
      <c r="C85" s="4" t="s">
        <v>109</v>
      </c>
      <c r="D85" s="4" t="s">
        <v>110</v>
      </c>
      <c r="E85" s="3">
        <v>46113.0</v>
      </c>
      <c r="F85" s="3">
        <v>46113.0</v>
      </c>
      <c r="G85" s="4" t="s">
        <v>112</v>
      </c>
      <c r="H85" s="4" t="s">
        <v>52</v>
      </c>
      <c r="I85" s="4" t="s">
        <v>87</v>
      </c>
      <c r="J85" s="5">
        <v>-0.33</v>
      </c>
      <c r="K85" s="5">
        <v>-1.0</v>
      </c>
      <c r="L85" s="5">
        <v>-115.67</v>
      </c>
      <c r="M85" s="4" t="s">
        <v>54</v>
      </c>
      <c r="N85" s="35" t="s">
        <v>385</v>
      </c>
      <c r="O85" s="35" t="s">
        <v>411</v>
      </c>
      <c r="P85" s="4" t="s">
        <v>110</v>
      </c>
      <c r="Q85" s="35" t="str">
        <f t="shared" ref="Q85:Q87" si="8">CONCATENATE(P85,66)</f>
        <v>00026060207K66</v>
      </c>
      <c r="R85" s="4" t="s">
        <v>412</v>
      </c>
      <c r="S85" s="35" t="s">
        <v>413</v>
      </c>
      <c r="T85" s="35" t="str">
        <f t="shared" si="7"/>
        <v>EARNESTINE STARKS</v>
      </c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</row>
    <row r="86" ht="12.75" customHeight="1">
      <c r="A86" s="4" t="s">
        <v>74</v>
      </c>
      <c r="B86" s="34">
        <v>1.6228684E7</v>
      </c>
      <c r="C86" s="4" t="s">
        <v>75</v>
      </c>
      <c r="D86" s="4" t="s">
        <v>76</v>
      </c>
      <c r="E86" s="3">
        <v>46023.0</v>
      </c>
      <c r="F86" s="3">
        <v>46054.0</v>
      </c>
      <c r="G86" s="4" t="s">
        <v>78</v>
      </c>
      <c r="H86" s="4" t="s">
        <v>52</v>
      </c>
      <c r="I86" s="4" t="s">
        <v>53</v>
      </c>
      <c r="J86" s="5">
        <v>-0.58</v>
      </c>
      <c r="K86" s="5">
        <v>-1.0</v>
      </c>
      <c r="L86" s="5">
        <v>-202.42</v>
      </c>
      <c r="M86" s="4" t="s">
        <v>54</v>
      </c>
      <c r="N86" s="35" t="s">
        <v>385</v>
      </c>
      <c r="O86" s="35" t="s">
        <v>391</v>
      </c>
      <c r="P86" s="4" t="s">
        <v>76</v>
      </c>
      <c r="Q86" s="35" t="str">
        <f t="shared" si="8"/>
        <v>00008544872K66</v>
      </c>
      <c r="R86" s="4" t="s">
        <v>414</v>
      </c>
      <c r="S86" s="35" t="s">
        <v>415</v>
      </c>
      <c r="T86" s="35" t="str">
        <f t="shared" si="7"/>
        <v>BEVERLY THOMPSON</v>
      </c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</row>
    <row r="87" ht="12.75" customHeight="1">
      <c r="A87" s="4" t="s">
        <v>114</v>
      </c>
      <c r="B87" s="34">
        <v>1.8142208E7</v>
      </c>
      <c r="C87" s="4" t="s">
        <v>115</v>
      </c>
      <c r="D87" s="4" t="s">
        <v>116</v>
      </c>
      <c r="E87" s="3">
        <v>46023.0</v>
      </c>
      <c r="F87" s="3">
        <v>46054.0</v>
      </c>
      <c r="G87" s="4" t="s">
        <v>78</v>
      </c>
      <c r="H87" s="4" t="s">
        <v>52</v>
      </c>
      <c r="I87" s="4" t="s">
        <v>53</v>
      </c>
      <c r="J87" s="5">
        <v>-0.58</v>
      </c>
      <c r="K87" s="5">
        <v>-1.0</v>
      </c>
      <c r="L87" s="5">
        <v>-202.42</v>
      </c>
      <c r="M87" s="4" t="s">
        <v>54</v>
      </c>
      <c r="N87" s="35" t="s">
        <v>385</v>
      </c>
      <c r="O87" s="35" t="s">
        <v>391</v>
      </c>
      <c r="P87" s="4" t="s">
        <v>116</v>
      </c>
      <c r="Q87" s="35" t="str">
        <f t="shared" si="8"/>
        <v>00006948323K66</v>
      </c>
      <c r="R87" s="4" t="s">
        <v>416</v>
      </c>
      <c r="S87" s="35" t="s">
        <v>417</v>
      </c>
      <c r="T87" s="35" t="str">
        <f t="shared" si="7"/>
        <v>RICHARD SULLIVAN</v>
      </c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>
      <c r="C97" s="35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AN$1000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2026-05-29T09:31:59Z</dcterms:created>
  <dc:creator>Darshan Darji</dc:creator>
</cp:coreProperties>
</file>