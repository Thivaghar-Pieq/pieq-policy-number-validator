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1-28-26\"/>
    </mc:Choice>
  </mc:AlternateContent>
  <xr:revisionPtr revIDLastSave="0" documentId="13_ncr:9_{F1D4170A-1886-46B8-8890-F3F5168994C6}" xr6:coauthVersionLast="47" xr6:coauthVersionMax="47" xr10:uidLastSave="{00000000-0000-0000-0000-000000000000}"/>
  <bookViews>
    <workbookView xWindow="28680" yWindow="-120" windowWidth="29040" windowHeight="16440" activeTab="1" xr2:uid="{6C9AAEEB-7095-4611-B003-581EBE8C2582}"/>
  </bookViews>
  <sheets>
    <sheet name="CommissionData_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T65" i="2" l="1"/>
  <c r="T88" i="2"/>
  <c r="T95" i="2"/>
  <c r="T2" i="2"/>
  <c r="T94" i="2"/>
  <c r="T81" i="2"/>
  <c r="T83" i="2"/>
  <c r="T6" i="2"/>
  <c r="T59" i="2"/>
  <c r="T82" i="2"/>
  <c r="T89" i="2"/>
  <c r="T62" i="2"/>
  <c r="T3" i="2"/>
  <c r="T71" i="2"/>
  <c r="T77" i="2"/>
  <c r="T4" i="2"/>
  <c r="T96" i="2"/>
  <c r="T86" i="2"/>
  <c r="T97" i="2"/>
  <c r="T98" i="2"/>
  <c r="T74" i="2"/>
  <c r="T68" i="2"/>
  <c r="T7" i="2"/>
  <c r="T87" i="2"/>
  <c r="T78" i="2"/>
  <c r="T79" i="2"/>
  <c r="T80" i="2"/>
  <c r="T5" i="2"/>
  <c r="T85" i="2"/>
  <c r="T84" i="2"/>
  <c r="T90" i="2"/>
  <c r="T101" i="2"/>
  <c r="T63" i="2"/>
  <c r="T92" i="2"/>
  <c r="T60" i="2"/>
  <c r="T72" i="2"/>
  <c r="T73" i="2"/>
  <c r="T75" i="2"/>
  <c r="T67" i="2"/>
  <c r="T61" i="2"/>
  <c r="T76" i="2"/>
  <c r="T91" i="2"/>
  <c r="T102" i="2"/>
  <c r="T93" i="2"/>
  <c r="T69" i="2"/>
  <c r="T70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66" i="2"/>
  <c r="T49" i="2"/>
  <c r="T50" i="2"/>
  <c r="T51" i="2"/>
  <c r="T52" i="2"/>
  <c r="T53" i="2"/>
  <c r="T54" i="2"/>
  <c r="T55" i="2"/>
  <c r="T56" i="2"/>
  <c r="T57" i="2"/>
  <c r="T58" i="2"/>
  <c r="T64" i="2"/>
  <c r="Q93" i="2"/>
  <c r="Q102" i="2"/>
  <c r="Q91" i="2"/>
  <c r="Q76" i="2"/>
  <c r="Q61" i="2"/>
  <c r="Q67" i="2"/>
  <c r="Q75" i="2"/>
  <c r="Q73" i="2"/>
  <c r="Q72" i="2"/>
  <c r="Q60" i="2"/>
  <c r="Q92" i="2"/>
  <c r="Q63" i="2"/>
  <c r="Q101" i="2"/>
  <c r="Q90" i="2"/>
  <c r="Q84" i="2"/>
  <c r="Q85" i="2"/>
  <c r="Q5" i="2"/>
  <c r="Q80" i="2"/>
  <c r="Q79" i="2"/>
  <c r="Q78" i="2"/>
  <c r="Q87" i="2"/>
  <c r="Q7" i="2"/>
  <c r="Q68" i="2"/>
  <c r="Q74" i="2"/>
  <c r="Q98" i="2"/>
  <c r="Q97" i="2"/>
  <c r="Q86" i="2"/>
  <c r="Q96" i="2"/>
  <c r="Q4" i="2"/>
  <c r="Q77" i="2"/>
  <c r="Q71" i="2"/>
  <c r="Q3" i="2"/>
  <c r="Q62" i="2"/>
  <c r="Q89" i="2"/>
  <c r="Q6" i="2"/>
  <c r="Q83" i="2"/>
  <c r="Q81" i="2"/>
  <c r="Q94" i="2"/>
  <c r="Q2" i="2"/>
  <c r="Q95" i="2"/>
  <c r="Q88" i="2"/>
  <c r="Q82" i="2"/>
  <c r="Q59" i="2"/>
  <c r="Q65" i="2"/>
  <c r="Q50" i="2"/>
  <c r="Q51" i="2"/>
  <c r="Q52" i="2"/>
  <c r="Q53" i="2"/>
  <c r="Q54" i="2"/>
  <c r="Q55" i="2"/>
  <c r="Q56" i="2"/>
  <c r="Q57" i="2"/>
  <c r="Q58" i="2"/>
  <c r="Q49" i="2"/>
  <c r="Q66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0" i="2"/>
  <c r="Q69" i="2"/>
  <c r="Q100" i="2"/>
  <c r="Q99" i="2"/>
  <c r="Q64" i="2"/>
</calcChain>
</file>

<file path=xl/sharedStrings.xml><?xml version="1.0" encoding="utf-8"?>
<sst xmlns="http://schemas.openxmlformats.org/spreadsheetml/2006/main" count="4125" uniqueCount="548">
  <si>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</si>
  <si>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</si>
  <si>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</si>
  <si>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</si>
  <si>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</si>
  <si>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</si>
  <si>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</si>
  <si>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</si>
  <si>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</si>
  <si>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</si>
  <si>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</si>
  <si>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</si>
  <si>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</si>
  <si>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</si>
  <si>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</si>
  <si>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</si>
  <si>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</si>
  <si>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</si>
  <si>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</si>
  <si>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</si>
  <si>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</si>
  <si>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</si>
  <si>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</si>
  <si>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</si>
  <si>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</si>
  <si>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</si>
  <si>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</si>
  <si>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</si>
  <si>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</si>
  <si>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</si>
  <si>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</si>
  <si>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</si>
  <si>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</si>
  <si>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</si>
  <si>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</si>
  <si>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</si>
  <si>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</si>
  <si>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</si>
  <si>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</si>
  <si>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</si>
  <si>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</si>
  <si>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</si>
  <si>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</si>
  <si>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PHILLIP RUSSELL P</t>
  </si>
  <si>
    <t>00010301628K</t>
  </si>
  <si>
    <t>1E81JA7DR39</t>
  </si>
  <si>
    <t/>
  </si>
  <si>
    <t>MA</t>
  </si>
  <si>
    <t>LV</t>
  </si>
  <si>
    <t>FEB</t>
  </si>
  <si>
    <t>F</t>
  </si>
  <si>
    <t>MEDICARE</t>
  </si>
  <si>
    <t>MEP</t>
  </si>
  <si>
    <t>FIRST YEAR COMMISSIONS</t>
  </si>
  <si>
    <t>ARCF</t>
  </si>
  <si>
    <t>H7617</t>
  </si>
  <si>
    <t>CHOI ANDREW J</t>
  </si>
  <si>
    <t>DITTO NORMA J</t>
  </si>
  <si>
    <t>00025933601K</t>
  </si>
  <si>
    <t>4H23RV8ND02</t>
  </si>
  <si>
    <t>MAR</t>
  </si>
  <si>
    <t>RATH GARY A</t>
  </si>
  <si>
    <t>00026000036K</t>
  </si>
  <si>
    <t>5KM8KT7TP39</t>
  </si>
  <si>
    <t>TEIPEL GREGORY K</t>
  </si>
  <si>
    <t>GILBERT JEFFREY S</t>
  </si>
  <si>
    <t>00022077130K</t>
  </si>
  <si>
    <t>3QP4DC9AP81</t>
  </si>
  <si>
    <t>MYERS DEBORAH K</t>
  </si>
  <si>
    <t>00025991996K</t>
  </si>
  <si>
    <t>5FP0Q35TF24</t>
  </si>
  <si>
    <t>MER</t>
  </si>
  <si>
    <t>H4461</t>
  </si>
  <si>
    <t>WALENGA DALE J</t>
  </si>
  <si>
    <t>ERWIN OLGA G</t>
  </si>
  <si>
    <t>00005161142K</t>
  </si>
  <si>
    <t>2EA9HH8AK37</t>
  </si>
  <si>
    <t>JAN</t>
  </si>
  <si>
    <t>00024961235K</t>
  </si>
  <si>
    <t>CHAFSHINO KAMMY</t>
  </si>
  <si>
    <t>00025992989K</t>
  </si>
  <si>
    <t>6XE2YJ3QP03</t>
  </si>
  <si>
    <t>APR</t>
  </si>
  <si>
    <t>LOWE DONNA M</t>
  </si>
  <si>
    <t>00026010619K</t>
  </si>
  <si>
    <t>7T77CR7DA46</t>
  </si>
  <si>
    <t>H1468</t>
  </si>
  <si>
    <t>ROLLER JASON</t>
  </si>
  <si>
    <t>SCHURING GREGORY A</t>
  </si>
  <si>
    <t>00025999972K</t>
  </si>
  <si>
    <t>9PA5T95PD61</t>
  </si>
  <si>
    <t>POTEMPA JANET E</t>
  </si>
  <si>
    <t>00026001687K</t>
  </si>
  <si>
    <t>6TJ4YC0XQ80</t>
  </si>
  <si>
    <t>CROCKETT DESSIE R</t>
  </si>
  <si>
    <t>00026003640K</t>
  </si>
  <si>
    <t>6MM6EE9HF42</t>
  </si>
  <si>
    <t>OHANIAN LENA B</t>
  </si>
  <si>
    <t>00026008241K</t>
  </si>
  <si>
    <t>8MG8DJ7HY23</t>
  </si>
  <si>
    <t>YALE RICHARD A A</t>
  </si>
  <si>
    <t>DINELLI MICHAEL J</t>
  </si>
  <si>
    <t>00025905887K</t>
  </si>
  <si>
    <t>7V55NK6PF88</t>
  </si>
  <si>
    <t>TORRES MARIA L</t>
  </si>
  <si>
    <t>00025997642K</t>
  </si>
  <si>
    <t>4HD3FT4WX99</t>
  </si>
  <si>
    <t>BERG INES V</t>
  </si>
  <si>
    <t>MCCLAIN LESLIE R</t>
  </si>
  <si>
    <t>00026004114K</t>
  </si>
  <si>
    <t>6YP9N21RU25</t>
  </si>
  <si>
    <t>HARVEY MARY L</t>
  </si>
  <si>
    <t>00026004412K</t>
  </si>
  <si>
    <t>4F93EE7VW15</t>
  </si>
  <si>
    <t>HANSFORD GREGORY</t>
  </si>
  <si>
    <t>YOUNG RAYMOND T</t>
  </si>
  <si>
    <t>00025996277K</t>
  </si>
  <si>
    <t>3GQ1D64ED23</t>
  </si>
  <si>
    <t>HERRERA-LARSEN ESTHER M</t>
  </si>
  <si>
    <t>RODRIGUEZ JESSICA</t>
  </si>
  <si>
    <t>00025993770K</t>
  </si>
  <si>
    <t>1XD7PX3GT35</t>
  </si>
  <si>
    <t>H4329</t>
  </si>
  <si>
    <t>WEITZMAN KENNETH</t>
  </si>
  <si>
    <t>FUGATE JOSHUA L</t>
  </si>
  <si>
    <t>00020275216K</t>
  </si>
  <si>
    <t>2NJ4EY5YP97</t>
  </si>
  <si>
    <t>H1036</t>
  </si>
  <si>
    <t>FOLEY CAROL</t>
  </si>
  <si>
    <t>FRIED DAVID C</t>
  </si>
  <si>
    <t>00007441841K</t>
  </si>
  <si>
    <t>6T07G52FA79</t>
  </si>
  <si>
    <t>WEISSMAN NEIL E</t>
  </si>
  <si>
    <t>00022770126K</t>
  </si>
  <si>
    <t>6EG5EH5FJ61</t>
  </si>
  <si>
    <t>PORTUGAL GARY</t>
  </si>
  <si>
    <t>HOJNACKI VICTORIA M</t>
  </si>
  <si>
    <t>00022818773K</t>
  </si>
  <si>
    <t>1UJ0VT8CC27</t>
  </si>
  <si>
    <t>KORSAK DEBORAH A</t>
  </si>
  <si>
    <t>00026019734K</t>
  </si>
  <si>
    <t>9F70RU4UX14</t>
  </si>
  <si>
    <t>YALE JACOB D</t>
  </si>
  <si>
    <t>MASKE PAUL D</t>
  </si>
  <si>
    <t>00025994876K</t>
  </si>
  <si>
    <t>3Y46VQ2GR46</t>
  </si>
  <si>
    <t>MASKE THERESE M</t>
  </si>
  <si>
    <t>00025995117K</t>
  </si>
  <si>
    <t>4GG2VJ1QF70</t>
  </si>
  <si>
    <t>SCALISI DENISE M</t>
  </si>
  <si>
    <t>00026010194K</t>
  </si>
  <si>
    <t>9UD6MJ7UA71</t>
  </si>
  <si>
    <t>ABDUL SAADIA S</t>
  </si>
  <si>
    <t>THOMPSON LINDA S</t>
  </si>
  <si>
    <t>00010925119K</t>
  </si>
  <si>
    <t>5CY2K54QX96</t>
  </si>
  <si>
    <t>MARCHESE VITO J</t>
  </si>
  <si>
    <t>00025992906K</t>
  </si>
  <si>
    <t>3N30F42JE45</t>
  </si>
  <si>
    <t>WUENSCH RICHARD</t>
  </si>
  <si>
    <t>LOPEZ CANO GRACIELA C</t>
  </si>
  <si>
    <t>00022547161K</t>
  </si>
  <si>
    <t>3X98A99FV34</t>
  </si>
  <si>
    <t>PERKINS PHILIP R</t>
  </si>
  <si>
    <t>00026004105K</t>
  </si>
  <si>
    <t>9DE4NU6UY61</t>
  </si>
  <si>
    <t>YALE CHAD J</t>
  </si>
  <si>
    <t>AMARO JR ADOLFO E</t>
  </si>
  <si>
    <t>00024066949K</t>
  </si>
  <si>
    <t>8AQ2CQ0CF25</t>
  </si>
  <si>
    <t>R5361</t>
  </si>
  <si>
    <t>PORTUGAL STACEY A</t>
  </si>
  <si>
    <t>LACSAMANA ADELWISA L</t>
  </si>
  <si>
    <t>00025072160K</t>
  </si>
  <si>
    <t>9QX8MA2CG32</t>
  </si>
  <si>
    <t>PIERSON MICHAEL K</t>
  </si>
  <si>
    <t>00025994616K</t>
  </si>
  <si>
    <t>6M46XU4QU48</t>
  </si>
  <si>
    <t>MRO</t>
  </si>
  <si>
    <t>H5619</t>
  </si>
  <si>
    <t>GREENFIELD MICHAEL I</t>
  </si>
  <si>
    <t>00025998613K</t>
  </si>
  <si>
    <t>6F27MN6EC52</t>
  </si>
  <si>
    <t>KOZACHECK ANNE MARIE</t>
  </si>
  <si>
    <t>DEITERING DAVID R</t>
  </si>
  <si>
    <t>00014331293K</t>
  </si>
  <si>
    <t>8WW8TX3YQ28</t>
  </si>
  <si>
    <t>CP</t>
  </si>
  <si>
    <t>H1019</t>
  </si>
  <si>
    <t>STROHMAN BRIAN C</t>
  </si>
  <si>
    <t>LANGE MICHAEL T</t>
  </si>
  <si>
    <t>00025996984K</t>
  </si>
  <si>
    <t>8VQ3Y37HR03</t>
  </si>
  <si>
    <t>FUENTES VICTOR</t>
  </si>
  <si>
    <t>MAYES BARBARA J</t>
  </si>
  <si>
    <t>00025988970K</t>
  </si>
  <si>
    <t>8N89GX3DT31</t>
  </si>
  <si>
    <t>NEVAREZ ANTONIA</t>
  </si>
  <si>
    <t>JONES LIBRADA G</t>
  </si>
  <si>
    <t>00025995548K</t>
  </si>
  <si>
    <t>2UW3XK0AY05</t>
  </si>
  <si>
    <t>SHEPARD JILL M</t>
  </si>
  <si>
    <t>VILLIO LINDA M</t>
  </si>
  <si>
    <t>00018036187K</t>
  </si>
  <si>
    <t>3JV8C77XW32</t>
  </si>
  <si>
    <t>H6622</t>
  </si>
  <si>
    <t>JOHNSON NINA L</t>
  </si>
  <si>
    <t>00020151511K</t>
  </si>
  <si>
    <t>9KA1R77VR22</t>
  </si>
  <si>
    <t>HOLLEY LISA J</t>
  </si>
  <si>
    <t>00026019851K</t>
  </si>
  <si>
    <t>6U15EP6CV76</t>
  </si>
  <si>
    <t>ROSE LATESHA A</t>
  </si>
  <si>
    <t>MCKNIGHT ANNIE B</t>
  </si>
  <si>
    <t>00013052842K</t>
  </si>
  <si>
    <t>1VD8DD4DX29</t>
  </si>
  <si>
    <t>H1951</t>
  </si>
  <si>
    <t>HUNSBERGER ANTHONY J</t>
  </si>
  <si>
    <t>Hanahan Barbara</t>
  </si>
  <si>
    <t>9025228750</t>
  </si>
  <si>
    <t>IN</t>
  </si>
  <si>
    <t>CB</t>
  </si>
  <si>
    <t>R</t>
  </si>
  <si>
    <t>DENTAL</t>
  </si>
  <si>
    <t>COMPBENEFITS RENEWAL COMMISSION</t>
  </si>
  <si>
    <t>CRCM</t>
  </si>
  <si>
    <t>GREGORY AUTO GROUP ASM</t>
  </si>
  <si>
    <t>000000419885</t>
  </si>
  <si>
    <t>GR</t>
  </si>
  <si>
    <t>EM</t>
  </si>
  <si>
    <t>VISION</t>
  </si>
  <si>
    <t>MCCORKLE MICHELLE</t>
  </si>
  <si>
    <t>Danley Ryan</t>
  </si>
  <si>
    <t>9030925080</t>
  </si>
  <si>
    <t>COMPBENEFITS FIRST YEAR COMMISSION</t>
  </si>
  <si>
    <t>CRCF</t>
  </si>
  <si>
    <t>Estakhri Hengameh</t>
  </si>
  <si>
    <t>9030969880</t>
  </si>
  <si>
    <t>DUNAVANT MICHAEL</t>
  </si>
  <si>
    <t>Urish Gerald</t>
  </si>
  <si>
    <t>9030509330</t>
  </si>
  <si>
    <t>Gambetti Brianna</t>
  </si>
  <si>
    <t>9030544330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</si>
  <si>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</si>
  <si>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</si>
  <si>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</si>
  <si>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</si>
  <si>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</si>
  <si>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</si>
  <si>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</si>
  <si>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</si>
  <si>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Ferris Ron</t>
  </si>
  <si>
    <t>9030645140</t>
  </si>
  <si>
    <t>Johnson Eric</t>
  </si>
  <si>
    <t>9030645550</t>
  </si>
  <si>
    <t>Shirkey Victoria</t>
  </si>
  <si>
    <t>9030645560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</si>
  <si>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</si>
  <si>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</si>
  <si>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</si>
  <si>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</si>
  <si>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</si>
  <si>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</si>
  <si>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</si>
  <si>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</si>
  <si>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</si>
  <si>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</si>
  <si>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</si>
  <si>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</si>
  <si>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</si>
  <si>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</si>
  <si>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</si>
  <si>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</si>
  <si>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Galloway Jacqueline</t>
  </si>
  <si>
    <t>9030840840</t>
  </si>
  <si>
    <t>Stokes Thomas</t>
  </si>
  <si>
    <t>9030895100</t>
  </si>
  <si>
    <t>Fewell Robin</t>
  </si>
  <si>
    <t>9030924610</t>
  </si>
  <si>
    <t>Quiram Dana</t>
  </si>
  <si>
    <t>9030996000</t>
  </si>
  <si>
    <t>Sleeper Nichole</t>
  </si>
  <si>
    <t>9031050480</t>
  </si>
  <si>
    <t>Trost James</t>
  </si>
  <si>
    <t>9031076870</t>
  </si>
  <si>
    <t>Holtz Michael</t>
  </si>
  <si>
    <t>9031094580</t>
  </si>
  <si>
    <t>Hill Patsy</t>
  </si>
  <si>
    <t>9031198320</t>
  </si>
  <si>
    <t>Heckmann Hannelore</t>
  </si>
  <si>
    <t>9031241060</t>
  </si>
  <si>
    <t>Forbes Linda</t>
  </si>
  <si>
    <t>9031246400</t>
  </si>
  <si>
    <t>Hancock Penny</t>
  </si>
  <si>
    <t>9031317020</t>
  </si>
  <si>
    <t>Proeber David</t>
  </si>
  <si>
    <t>9031323610</t>
  </si>
  <si>
    <t>Shmikler Michelle</t>
  </si>
  <si>
    <t>9031377640</t>
  </si>
  <si>
    <t>Eckmann Bryan</t>
  </si>
  <si>
    <t>9031392680</t>
  </si>
  <si>
    <t>Kingdon Deborah</t>
  </si>
  <si>
    <t>9031414170</t>
  </si>
  <si>
    <t>Loeffler Debra</t>
  </si>
  <si>
    <t>9031418110</t>
  </si>
  <si>
    <t>Priaulx Thomas</t>
  </si>
  <si>
    <t>9031424040</t>
  </si>
  <si>
    <t>Freed Cynthia</t>
  </si>
  <si>
    <t>9031431760</t>
  </si>
  <si>
    <t>Moody Paulette</t>
  </si>
  <si>
    <t>9031456350</t>
  </si>
  <si>
    <t>Dolk Peter</t>
  </si>
  <si>
    <t>9031492650</t>
  </si>
  <si>
    <t>Griffin Cheryl</t>
  </si>
  <si>
    <t>9031492860</t>
  </si>
  <si>
    <t>Hofmann Kristi</t>
  </si>
  <si>
    <t>9031517160</t>
  </si>
  <si>
    <t>Overholt David</t>
  </si>
  <si>
    <t>9031517600</t>
  </si>
  <si>
    <t>Dinges Virginia</t>
  </si>
  <si>
    <t>9031522530</t>
  </si>
  <si>
    <t>Richards Cheryl</t>
  </si>
  <si>
    <t>9031652410</t>
  </si>
  <si>
    <t>Strupek Christina</t>
  </si>
  <si>
    <t>9031659600</t>
  </si>
  <si>
    <t>Yordy Kara</t>
  </si>
  <si>
    <t>9031695860</t>
  </si>
  <si>
    <t>Yoder Judith</t>
  </si>
  <si>
    <t>9031703920</t>
  </si>
  <si>
    <t>Rogers Lucas</t>
  </si>
  <si>
    <t>9031832650</t>
  </si>
  <si>
    <t>Fellers Jeffrey</t>
  </si>
  <si>
    <t>9031833020</t>
  </si>
  <si>
    <t>Hauersperger Danielle</t>
  </si>
  <si>
    <t>9031841280</t>
  </si>
  <si>
    <t>Reis Connor</t>
  </si>
  <si>
    <t>9031841780</t>
  </si>
  <si>
    <t>White Ryleigh</t>
  </si>
  <si>
    <t>9031841850</t>
  </si>
  <si>
    <t>Gardner Jessica</t>
  </si>
  <si>
    <t>9031849520</t>
  </si>
  <si>
    <t>ROSE CHARLENE D</t>
  </si>
  <si>
    <t>00000926201A</t>
  </si>
  <si>
    <t>MS</t>
  </si>
  <si>
    <t>MED SUPP RENEWAL ACHIEVE</t>
  </si>
  <si>
    <t>MSRA</t>
  </si>
  <si>
    <t>Rudden Jon</t>
  </si>
  <si>
    <t>9030115330</t>
  </si>
  <si>
    <t>MED SUPP BONUS</t>
  </si>
  <si>
    <t>MSBN</t>
  </si>
  <si>
    <t>Humana Dental &amp; Vision</t>
  </si>
  <si>
    <t>Humana Group 2025</t>
  </si>
  <si>
    <t>Humana 65-80 AL, AZ, AR, GA, etc. All Except N OE &amp; UW</t>
  </si>
  <si>
    <t>Humana MAPD 2026*</t>
  </si>
  <si>
    <t>[%/$=347][prorate=12/12]</t>
  </si>
  <si>
    <t>[%/$=347][prorate=11/12]</t>
  </si>
  <si>
    <t>[%/$=347][prorate=10/12]</t>
  </si>
  <si>
    <t>2026 Humana like plan changes</t>
  </si>
  <si>
    <t>[%/$=165][prorate=11/12]</t>
  </si>
  <si>
    <t>[%/$=347][prorate=9/12]</t>
  </si>
  <si>
    <t>Humana 2026 CA, NJ*</t>
  </si>
  <si>
    <t>[%/$=432][prorate=11/12]</t>
  </si>
  <si>
    <t>Humana Dental &amp; Vision 15%</t>
  </si>
  <si>
    <t>Hanahan</t>
  </si>
  <si>
    <t>Barbara</t>
  </si>
  <si>
    <t>GREGORY</t>
  </si>
  <si>
    <t>AUTO</t>
  </si>
  <si>
    <t>ROSE</t>
  </si>
  <si>
    <t>CHARLENE</t>
  </si>
  <si>
    <t>ERWIN</t>
  </si>
  <si>
    <t>OLGA</t>
  </si>
  <si>
    <t>AMARO</t>
  </si>
  <si>
    <t>ADOLFO</t>
  </si>
  <si>
    <t>THOMPSON</t>
  </si>
  <si>
    <t>LINDA</t>
  </si>
  <si>
    <t>LOPEZ</t>
  </si>
  <si>
    <t>GRACIELA</t>
  </si>
  <si>
    <t>MCKNIGHT</t>
  </si>
  <si>
    <t>ANNIE</t>
  </si>
  <si>
    <t>VILLIO</t>
  </si>
  <si>
    <t>DITTO</t>
  </si>
  <si>
    <t>NORMA</t>
  </si>
  <si>
    <t>WEISSMAN</t>
  </si>
  <si>
    <t>NEIL</t>
  </si>
  <si>
    <t>JOHNSON</t>
  </si>
  <si>
    <t>NINA</t>
  </si>
  <si>
    <t>CHAFSHINO</t>
  </si>
  <si>
    <t>KAMMY</t>
  </si>
  <si>
    <t>YOUNG</t>
  </si>
  <si>
    <t>RAYMOND</t>
  </si>
  <si>
    <t>MARCHESE</t>
  </si>
  <si>
    <t>VITO</t>
  </si>
  <si>
    <t>JONES</t>
  </si>
  <si>
    <t>LIBRADA</t>
  </si>
  <si>
    <t>OHANIAN</t>
  </si>
  <si>
    <t>LENA</t>
  </si>
  <si>
    <t>HARVEY</t>
  </si>
  <si>
    <t>MARY</t>
  </si>
  <si>
    <t>SCALISI</t>
  </si>
  <si>
    <t>DENISE</t>
  </si>
  <si>
    <t>MYERS</t>
  </si>
  <si>
    <t>DEBORAH</t>
  </si>
  <si>
    <t>MASKE</t>
  </si>
  <si>
    <t>PAUL</t>
  </si>
  <si>
    <t>THERESE</t>
  </si>
  <si>
    <t>GREENFIELD</t>
  </si>
  <si>
    <t>MICHAEL</t>
  </si>
  <si>
    <t>PHILLIP</t>
  </si>
  <si>
    <t>RUSSELL</t>
  </si>
  <si>
    <t>RATH</t>
  </si>
  <si>
    <t>GARY</t>
  </si>
  <si>
    <t>GILBERT</t>
  </si>
  <si>
    <t>JEFFREY</t>
  </si>
  <si>
    <t>SCHURING</t>
  </si>
  <si>
    <t>POTEMPA</t>
  </si>
  <si>
    <t>JANET</t>
  </si>
  <si>
    <t>CROCKETT</t>
  </si>
  <si>
    <t>DESSIE</t>
  </si>
  <si>
    <t>MCCLAIN</t>
  </si>
  <si>
    <t>LESLIE</t>
  </si>
  <si>
    <t>LANGE</t>
  </si>
  <si>
    <t>HOLLEY</t>
  </si>
  <si>
    <t>LISA</t>
  </si>
  <si>
    <t>LOWE</t>
  </si>
  <si>
    <t>DONNA</t>
  </si>
  <si>
    <t>DINELLI</t>
  </si>
  <si>
    <t>RODRIGUEZ</t>
  </si>
  <si>
    <t>JESSICA</t>
  </si>
  <si>
    <t>FUGATE</t>
  </si>
  <si>
    <t>JOSHUA</t>
  </si>
  <si>
    <t>FRIED</t>
  </si>
  <si>
    <t>DAVID</t>
  </si>
  <si>
    <t>HOJNACKI</t>
  </si>
  <si>
    <t>VICTORIA</t>
  </si>
  <si>
    <t>KORSAK</t>
  </si>
  <si>
    <t>LACSAMANA</t>
  </si>
  <si>
    <t>ADELWISA</t>
  </si>
  <si>
    <t>DEITERING</t>
  </si>
  <si>
    <t>MAYES</t>
  </si>
  <si>
    <t>BARBARA</t>
  </si>
  <si>
    <t>PIERSON</t>
  </si>
  <si>
    <t>TORRES</t>
  </si>
  <si>
    <t>MARIA</t>
  </si>
  <si>
    <t>PERKINS</t>
  </si>
  <si>
    <t>PHILIP</t>
  </si>
  <si>
    <t>Danley</t>
  </si>
  <si>
    <t>Ryan</t>
  </si>
  <si>
    <t>Estakhri</t>
  </si>
  <si>
    <t>Hengameh</t>
  </si>
  <si>
    <t>Urish</t>
  </si>
  <si>
    <t>Gerald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</si>
  <si>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</si>
  <si>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</si>
  <si>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</si>
  <si>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</si>
  <si>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</si>
  <si>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</si>
  <si>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</si>
  <si>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</si>
  <si>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Round</t>
  </si>
  <si>
    <t>Laurie</t>
  </si>
  <si>
    <t>Ferris</t>
  </si>
  <si>
    <t>Ron</t>
  </si>
  <si>
    <t>Johnson</t>
  </si>
  <si>
    <t>Shirkey</t>
  </si>
  <si>
    <t>Victoria</t>
  </si>
  <si>
    <t>Thompson</t>
  </si>
  <si>
    <t>Thomas</t>
  </si>
  <si>
    <t>Dauer</t>
  </si>
  <si>
    <t>Nancy</t>
  </si>
  <si>
    <t>Sciutto</t>
  </si>
  <si>
    <t>John</t>
  </si>
  <si>
    <t>Simmons-Hutson</t>
  </si>
  <si>
    <t>Cheryl</t>
  </si>
  <si>
    <t>Bond</t>
  </si>
  <si>
    <t>Edward</t>
  </si>
  <si>
    <t>Sharad</t>
  </si>
  <si>
    <t>Shaji</t>
  </si>
  <si>
    <t>Boma</t>
  </si>
  <si>
    <t>Mary</t>
  </si>
  <si>
    <t>Kasprzak</t>
  </si>
  <si>
    <t>Kenneth</t>
  </si>
  <si>
    <t>Galloway</t>
  </si>
  <si>
    <t>Jacqueline</t>
  </si>
  <si>
    <t>Stokes</t>
  </si>
  <si>
    <t>Fewell</t>
  </si>
  <si>
    <t>Robin</t>
  </si>
  <si>
    <t>Quiram</t>
  </si>
  <si>
    <t>Dana</t>
  </si>
  <si>
    <t>Sleeper</t>
  </si>
  <si>
    <t>Nichole</t>
  </si>
  <si>
    <t>Trost</t>
  </si>
  <si>
    <t>James</t>
  </si>
  <si>
    <t>Holtz</t>
  </si>
  <si>
    <t>Michael</t>
  </si>
  <si>
    <t>Hill</t>
  </si>
  <si>
    <t>Patsy</t>
  </si>
  <si>
    <t>Heckmann</t>
  </si>
  <si>
    <t>Hannelore</t>
  </si>
  <si>
    <t>Forbes</t>
  </si>
  <si>
    <t>Linda</t>
  </si>
  <si>
    <t>Hancock</t>
  </si>
  <si>
    <t>Penny</t>
  </si>
  <si>
    <t>Proeber</t>
  </si>
  <si>
    <t>Shmikler</t>
  </si>
  <si>
    <t>Michelle</t>
  </si>
  <si>
    <t>Eckmann</t>
  </si>
  <si>
    <t>Bryan</t>
  </si>
  <si>
    <t>Kingdon</t>
  </si>
  <si>
    <t>Deborah</t>
  </si>
  <si>
    <t>Loeffler</t>
  </si>
  <si>
    <t>Debra</t>
  </si>
  <si>
    <t>Priaulx</t>
  </si>
  <si>
    <t>Freed</t>
  </si>
  <si>
    <t>Cynthia</t>
  </si>
  <si>
    <t>Moody</t>
  </si>
  <si>
    <t>Paulette</t>
  </si>
  <si>
    <t>Dolk</t>
  </si>
  <si>
    <t>Peter</t>
  </si>
  <si>
    <t>Griffin</t>
  </si>
  <si>
    <t>Hofmann</t>
  </si>
  <si>
    <t>Kristi</t>
  </si>
  <si>
    <t>Overholt</t>
  </si>
  <si>
    <t>Dinges</t>
  </si>
  <si>
    <t>Virginia</t>
  </si>
  <si>
    <t>Rudden</t>
  </si>
  <si>
    <t>Jon</t>
  </si>
  <si>
    <t>Richards</t>
  </si>
  <si>
    <t>Strupek</t>
  </si>
  <si>
    <t>Christina</t>
  </si>
  <si>
    <t>Yordy</t>
  </si>
  <si>
    <t>Kara</t>
  </si>
  <si>
    <t>Yoder</t>
  </si>
  <si>
    <t>Judith</t>
  </si>
  <si>
    <t>Rogers</t>
  </si>
  <si>
    <t>Lucas</t>
  </si>
  <si>
    <t>Fellers</t>
  </si>
  <si>
    <t>Jeffrey</t>
  </si>
  <si>
    <t>Hauersperger</t>
  </si>
  <si>
    <t>Danielle</t>
  </si>
  <si>
    <t>Reis</t>
  </si>
  <si>
    <t>Connor</t>
  </si>
  <si>
    <t>White</t>
  </si>
  <si>
    <t>Ryleigh</t>
  </si>
  <si>
    <t>Gardner</t>
  </si>
  <si>
    <t>Jessica</t>
  </si>
  <si>
    <t>19278370old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</si>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</sst>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20" fillId="33" borderId="0" xfId="0" applyNumberFormat="1" applyFont="1" applyFill="1" applyAlignment="1">
      <alignment horizontal="left" vertical="top"/>
    </xf>
    <xf numFmtId="14" fontId="20" fillId="33" borderId="0" xfId="0" applyNumberFormat="1" applyFont="1" applyFill="1"/>
    <xf numFmtId="2" fontId="20" fillId="33" borderId="0" xfId="0" applyNumberFormat="1" applyFont="1" applyFill="1"/>
    <xf numFmtId="0" fontId="20" fillId="33" borderId="0" xfId="0" applyFont="1" applyFill="1"/>
    <xf numFmtId="0" fontId="0" fillId="33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0" fontId="20" fillId="33" borderId="0" xfId="0" applyNumberFormat="1" applyFon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19" fillId="0" borderId="0" xfId="0" applyFont="1" applyFill="1"/>
    <xf numFmtId="49" fontId="20" fillId="0" borderId="0" xfId="0" applyNumberFormat="1" applyFont="1" applyFill="1" applyAlignment="1">
      <alignment horizontal="left" vertical="top"/>
    </xf>
    <xf numFmtId="14" fontId="20" fillId="0" borderId="0" xfId="0" applyNumberFormat="1" applyFont="1" applyFill="1"/>
    <xf numFmtId="2" fontId="20" fillId="0" borderId="0" xfId="0" applyNumberFormat="1" applyFont="1" applyFill="1"/>
    <xf numFmtId="0" fontId="20" fillId="0" borderId="0" xfId="0" applyFont="1" applyFill="1"/>
    <xf numFmtId="0" fontId="19" fillId="35" borderId="0" xfId="0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8A07-F124-476C-A7AD-BCDAA333019E}">
  <dimension ref="A1:AP103"/>
  <sheetViews>
    <sheetView workbookViewId="0">
      <selection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46050</v>
      </c>
      <c r="C2" s="4" t="s">
        <v>42</v>
      </c>
      <c r="D2" s="2">
        <v>1427681</v>
      </c>
      <c r="E2" s="4" t="s">
        <v>43</v>
      </c>
      <c r="F2" s="4" t="s">
        <v>44</v>
      </c>
      <c r="G2" s="2">
        <v>812085050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46054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0.92</v>
      </c>
      <c r="W2" s="5">
        <v>0</v>
      </c>
      <c r="X2" s="5">
        <v>100</v>
      </c>
      <c r="Y2" s="5">
        <v>318.08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46054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46050</v>
      </c>
      <c r="C3" s="4" t="s">
        <v>56</v>
      </c>
      <c r="D3" s="2">
        <v>1466196</v>
      </c>
      <c r="E3" s="4" t="s">
        <v>57</v>
      </c>
      <c r="F3" s="4" t="s">
        <v>58</v>
      </c>
      <c r="G3" s="2">
        <v>632330070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46082</v>
      </c>
      <c r="M3" s="4" t="s">
        <v>60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-0.83</v>
      </c>
      <c r="W3" s="5">
        <v>0</v>
      </c>
      <c r="X3" s="5">
        <v>100</v>
      </c>
      <c r="Y3" s="5">
        <v>-289.17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46082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46050</v>
      </c>
      <c r="C4" s="4" t="s">
        <v>56</v>
      </c>
      <c r="D4" s="2">
        <v>1466196</v>
      </c>
      <c r="E4" s="4" t="s">
        <v>61</v>
      </c>
      <c r="F4" s="4" t="s">
        <v>62</v>
      </c>
      <c r="G4" s="2">
        <v>497360293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46054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0.92</v>
      </c>
      <c r="W4" s="5">
        <v>0</v>
      </c>
      <c r="X4" s="5">
        <v>100</v>
      </c>
      <c r="Y4" s="5">
        <v>318.08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46054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46050</v>
      </c>
      <c r="C5" s="4" t="s">
        <v>64</v>
      </c>
      <c r="D5" s="2">
        <v>1509770</v>
      </c>
      <c r="E5" s="4" t="s">
        <v>65</v>
      </c>
      <c r="F5" s="4" t="s">
        <v>66</v>
      </c>
      <c r="G5" s="2">
        <v>655623503</v>
      </c>
      <c r="H5" s="4" t="s">
        <v>67</v>
      </c>
      <c r="I5" s="4" t="s">
        <v>46</v>
      </c>
      <c r="J5" s="4" t="s">
        <v>47</v>
      </c>
      <c r="K5" s="4" t="s">
        <v>48</v>
      </c>
      <c r="L5" s="3">
        <v>46054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0.92</v>
      </c>
      <c r="W5" s="5">
        <v>0</v>
      </c>
      <c r="X5" s="5">
        <v>100</v>
      </c>
      <c r="Y5" s="5">
        <v>318.08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46054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46050</v>
      </c>
      <c r="C6" s="4" t="s">
        <v>64</v>
      </c>
      <c r="D6" s="2">
        <v>1509770</v>
      </c>
      <c r="E6" s="4" t="s">
        <v>68</v>
      </c>
      <c r="F6" s="4" t="s">
        <v>69</v>
      </c>
      <c r="G6" s="2">
        <v>411063548</v>
      </c>
      <c r="H6" s="4" t="s">
        <v>70</v>
      </c>
      <c r="I6" s="4" t="s">
        <v>46</v>
      </c>
      <c r="J6" s="4" t="s">
        <v>47</v>
      </c>
      <c r="K6" s="4" t="s">
        <v>48</v>
      </c>
      <c r="L6" s="3">
        <v>46082</v>
      </c>
      <c r="M6" s="4" t="s">
        <v>60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71</v>
      </c>
      <c r="U6" s="4" t="s">
        <v>46</v>
      </c>
      <c r="V6" s="5">
        <v>0.83</v>
      </c>
      <c r="W6" s="5">
        <v>0</v>
      </c>
      <c r="X6" s="5">
        <v>100</v>
      </c>
      <c r="Y6" s="5">
        <v>289.17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46082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72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46050</v>
      </c>
      <c r="C7" s="4" t="s">
        <v>73</v>
      </c>
      <c r="D7" s="2">
        <v>1535078</v>
      </c>
      <c r="E7" s="4" t="s">
        <v>74</v>
      </c>
      <c r="F7" s="4" t="s">
        <v>75</v>
      </c>
      <c r="G7" s="2">
        <v>716712083</v>
      </c>
      <c r="H7" s="4" t="s">
        <v>76</v>
      </c>
      <c r="I7" s="4" t="s">
        <v>46</v>
      </c>
      <c r="J7" s="4" t="s">
        <v>47</v>
      </c>
      <c r="K7" s="4" t="s">
        <v>48</v>
      </c>
      <c r="L7" s="3">
        <v>46023</v>
      </c>
      <c r="M7" s="4" t="s">
        <v>77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1</v>
      </c>
      <c r="W7" s="5">
        <v>0</v>
      </c>
      <c r="X7" s="5">
        <v>100</v>
      </c>
      <c r="Y7" s="5">
        <v>347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46023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46050</v>
      </c>
      <c r="C8" s="4" t="s">
        <v>73</v>
      </c>
      <c r="D8" s="2">
        <v>1535078</v>
      </c>
      <c r="E8" s="4" t="s">
        <v>74</v>
      </c>
      <c r="F8" s="4" t="s">
        <v>78</v>
      </c>
      <c r="G8" s="2">
        <v>59708430</v>
      </c>
      <c r="H8" s="4" t="s">
        <v>76</v>
      </c>
      <c r="I8" s="4" t="s">
        <v>46</v>
      </c>
      <c r="J8" s="4" t="s">
        <v>47</v>
      </c>
      <c r="K8" s="4" t="s">
        <v>48</v>
      </c>
      <c r="L8" s="3">
        <v>46023</v>
      </c>
      <c r="M8" s="4" t="s">
        <v>77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-1</v>
      </c>
      <c r="W8" s="5">
        <v>0</v>
      </c>
      <c r="X8" s="5">
        <v>100</v>
      </c>
      <c r="Y8" s="5">
        <v>-347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46023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46050</v>
      </c>
      <c r="C9" s="4" t="s">
        <v>73</v>
      </c>
      <c r="D9" s="2">
        <v>1535078</v>
      </c>
      <c r="E9" s="4" t="s">
        <v>79</v>
      </c>
      <c r="F9" s="4" t="s">
        <v>80</v>
      </c>
      <c r="G9" s="2">
        <v>520051543</v>
      </c>
      <c r="H9" s="4" t="s">
        <v>81</v>
      </c>
      <c r="I9" s="4" t="s">
        <v>46</v>
      </c>
      <c r="J9" s="4" t="s">
        <v>47</v>
      </c>
      <c r="K9" s="4" t="s">
        <v>48</v>
      </c>
      <c r="L9" s="3">
        <v>46113</v>
      </c>
      <c r="M9" s="4" t="s">
        <v>82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0.75</v>
      </c>
      <c r="W9" s="5">
        <v>0</v>
      </c>
      <c r="X9" s="5">
        <v>100</v>
      </c>
      <c r="Y9" s="5">
        <v>260.25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46113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46050</v>
      </c>
      <c r="C10" s="4" t="s">
        <v>73</v>
      </c>
      <c r="D10" s="2">
        <v>1535078</v>
      </c>
      <c r="E10" s="4" t="s">
        <v>83</v>
      </c>
      <c r="F10" s="4" t="s">
        <v>84</v>
      </c>
      <c r="G10" s="2">
        <v>846510284</v>
      </c>
      <c r="H10" s="4" t="s">
        <v>85</v>
      </c>
      <c r="I10" s="4" t="s">
        <v>46</v>
      </c>
      <c r="J10" s="4" t="s">
        <v>47</v>
      </c>
      <c r="K10" s="4" t="s">
        <v>48</v>
      </c>
      <c r="L10" s="3">
        <v>46054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71</v>
      </c>
      <c r="U10" s="4" t="s">
        <v>46</v>
      </c>
      <c r="V10" s="5">
        <v>0.92</v>
      </c>
      <c r="W10" s="5">
        <v>0</v>
      </c>
      <c r="X10" s="5">
        <v>100</v>
      </c>
      <c r="Y10" s="5">
        <v>318.08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46054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86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46050</v>
      </c>
      <c r="C11" s="4" t="s">
        <v>87</v>
      </c>
      <c r="D11" s="2">
        <v>1545197</v>
      </c>
      <c r="E11" s="4" t="s">
        <v>88</v>
      </c>
      <c r="F11" s="4" t="s">
        <v>89</v>
      </c>
      <c r="G11" s="2">
        <v>486617123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46054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0.92</v>
      </c>
      <c r="W11" s="5">
        <v>0</v>
      </c>
      <c r="X11" s="5">
        <v>100</v>
      </c>
      <c r="Y11" s="5">
        <v>318.08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46054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46050</v>
      </c>
      <c r="C12" s="4" t="s">
        <v>87</v>
      </c>
      <c r="D12" s="2">
        <v>1545197</v>
      </c>
      <c r="E12" s="4" t="s">
        <v>91</v>
      </c>
      <c r="F12" s="4" t="s">
        <v>92</v>
      </c>
      <c r="G12" s="2">
        <v>783252174</v>
      </c>
      <c r="H12" s="4" t="s">
        <v>93</v>
      </c>
      <c r="I12" s="4" t="s">
        <v>46</v>
      </c>
      <c r="J12" s="4" t="s">
        <v>47</v>
      </c>
      <c r="K12" s="4" t="s">
        <v>48</v>
      </c>
      <c r="L12" s="3">
        <v>46054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0.92</v>
      </c>
      <c r="W12" s="5">
        <v>0</v>
      </c>
      <c r="X12" s="5">
        <v>100</v>
      </c>
      <c r="Y12" s="5">
        <v>318.08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46054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46050</v>
      </c>
      <c r="C13" s="4" t="s">
        <v>87</v>
      </c>
      <c r="D13" s="2">
        <v>1545197</v>
      </c>
      <c r="E13" s="4" t="s">
        <v>94</v>
      </c>
      <c r="F13" s="4" t="s">
        <v>95</v>
      </c>
      <c r="G13" s="2">
        <v>68438063</v>
      </c>
      <c r="H13" s="4" t="s">
        <v>96</v>
      </c>
      <c r="I13" s="4" t="s">
        <v>46</v>
      </c>
      <c r="J13" s="4" t="s">
        <v>47</v>
      </c>
      <c r="K13" s="4" t="s">
        <v>48</v>
      </c>
      <c r="L13" s="3">
        <v>46054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0.92</v>
      </c>
      <c r="W13" s="5">
        <v>0</v>
      </c>
      <c r="X13" s="5">
        <v>100</v>
      </c>
      <c r="Y13" s="5">
        <v>318.08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46054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46050</v>
      </c>
      <c r="C14" s="4" t="s">
        <v>87</v>
      </c>
      <c r="D14" s="2">
        <v>1545197</v>
      </c>
      <c r="E14" s="4" t="s">
        <v>97</v>
      </c>
      <c r="F14" s="4" t="s">
        <v>98</v>
      </c>
      <c r="G14" s="2">
        <v>571863064</v>
      </c>
      <c r="H14" s="4" t="s">
        <v>99</v>
      </c>
      <c r="I14" s="4" t="s">
        <v>46</v>
      </c>
      <c r="J14" s="4" t="s">
        <v>47</v>
      </c>
      <c r="K14" s="4" t="s">
        <v>48</v>
      </c>
      <c r="L14" s="3">
        <v>46113</v>
      </c>
      <c r="M14" s="4" t="s">
        <v>82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71</v>
      </c>
      <c r="U14" s="4" t="s">
        <v>46</v>
      </c>
      <c r="V14" s="5">
        <v>0.75</v>
      </c>
      <c r="W14" s="5">
        <v>0</v>
      </c>
      <c r="X14" s="5">
        <v>100</v>
      </c>
      <c r="Y14" s="5">
        <v>260.25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46113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86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46050</v>
      </c>
      <c r="C15" s="4" t="s">
        <v>100</v>
      </c>
      <c r="D15" s="2">
        <v>1573279</v>
      </c>
      <c r="E15" s="4" t="s">
        <v>101</v>
      </c>
      <c r="F15" s="4" t="s">
        <v>102</v>
      </c>
      <c r="G15" s="2">
        <v>992365051</v>
      </c>
      <c r="H15" s="4" t="s">
        <v>103</v>
      </c>
      <c r="I15" s="4" t="s">
        <v>46</v>
      </c>
      <c r="J15" s="4" t="s">
        <v>47</v>
      </c>
      <c r="K15" s="4" t="s">
        <v>48</v>
      </c>
      <c r="L15" s="3">
        <v>46054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71</v>
      </c>
      <c r="U15" s="4" t="s">
        <v>46</v>
      </c>
      <c r="V15" s="5">
        <v>0.92</v>
      </c>
      <c r="W15" s="5">
        <v>0</v>
      </c>
      <c r="X15" s="5">
        <v>100</v>
      </c>
      <c r="Y15" s="5">
        <v>318.08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46054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86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46050</v>
      </c>
      <c r="C16" s="4" t="s">
        <v>100</v>
      </c>
      <c r="D16" s="2">
        <v>1573279</v>
      </c>
      <c r="E16" s="4" t="s">
        <v>104</v>
      </c>
      <c r="F16" s="4" t="s">
        <v>105</v>
      </c>
      <c r="G16" s="2">
        <v>56871334</v>
      </c>
      <c r="H16" s="4" t="s">
        <v>106</v>
      </c>
      <c r="I16" s="4" t="s">
        <v>46</v>
      </c>
      <c r="J16" s="4" t="s">
        <v>47</v>
      </c>
      <c r="K16" s="4" t="s">
        <v>48</v>
      </c>
      <c r="L16" s="3">
        <v>46023</v>
      </c>
      <c r="M16" s="4" t="s">
        <v>77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71</v>
      </c>
      <c r="U16" s="4" t="s">
        <v>46</v>
      </c>
      <c r="V16" s="5">
        <v>1</v>
      </c>
      <c r="W16" s="5">
        <v>0</v>
      </c>
      <c r="X16" s="5">
        <v>100</v>
      </c>
      <c r="Y16" s="5">
        <v>347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46023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86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46050</v>
      </c>
      <c r="C17" s="4" t="s">
        <v>107</v>
      </c>
      <c r="D17" s="2">
        <v>1628831</v>
      </c>
      <c r="E17" s="4" t="s">
        <v>108</v>
      </c>
      <c r="F17" s="4" t="s">
        <v>109</v>
      </c>
      <c r="G17" s="2">
        <v>128838164</v>
      </c>
      <c r="H17" s="4" t="s">
        <v>110</v>
      </c>
      <c r="I17" s="4" t="s">
        <v>46</v>
      </c>
      <c r="J17" s="4" t="s">
        <v>47</v>
      </c>
      <c r="K17" s="4" t="s">
        <v>48</v>
      </c>
      <c r="L17" s="3">
        <v>46054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0.92</v>
      </c>
      <c r="W17" s="5">
        <v>0</v>
      </c>
      <c r="X17" s="5">
        <v>100</v>
      </c>
      <c r="Y17" s="5">
        <v>318.08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46054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46050</v>
      </c>
      <c r="C18" s="4" t="s">
        <v>107</v>
      </c>
      <c r="D18" s="2">
        <v>1628831</v>
      </c>
      <c r="E18" s="4" t="s">
        <v>111</v>
      </c>
      <c r="F18" s="4" t="s">
        <v>112</v>
      </c>
      <c r="G18" s="2">
        <v>166759485</v>
      </c>
      <c r="H18" s="4" t="s">
        <v>113</v>
      </c>
      <c r="I18" s="4" t="s">
        <v>46</v>
      </c>
      <c r="J18" s="4" t="s">
        <v>47</v>
      </c>
      <c r="K18" s="4" t="s">
        <v>48</v>
      </c>
      <c r="L18" s="3">
        <v>46082</v>
      </c>
      <c r="M18" s="4" t="s">
        <v>60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0.83</v>
      </c>
      <c r="W18" s="5">
        <v>0</v>
      </c>
      <c r="X18" s="5">
        <v>100</v>
      </c>
      <c r="Y18" s="5">
        <v>289.17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46082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46050</v>
      </c>
      <c r="C19" s="4" t="s">
        <v>114</v>
      </c>
      <c r="D19" s="2">
        <v>1639670</v>
      </c>
      <c r="E19" s="4" t="s">
        <v>115</v>
      </c>
      <c r="F19" s="4" t="s">
        <v>116</v>
      </c>
      <c r="G19" s="2">
        <v>881461039</v>
      </c>
      <c r="H19" s="4" t="s">
        <v>117</v>
      </c>
      <c r="I19" s="4" t="s">
        <v>46</v>
      </c>
      <c r="J19" s="4" t="s">
        <v>47</v>
      </c>
      <c r="K19" s="4" t="s">
        <v>48</v>
      </c>
      <c r="L19" s="3">
        <v>46113</v>
      </c>
      <c r="M19" s="4" t="s">
        <v>82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0.75</v>
      </c>
      <c r="W19" s="5">
        <v>0</v>
      </c>
      <c r="X19" s="5">
        <v>100</v>
      </c>
      <c r="Y19" s="5">
        <v>260.25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46113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46050</v>
      </c>
      <c r="C20" s="4" t="s">
        <v>118</v>
      </c>
      <c r="D20" s="2">
        <v>1646082</v>
      </c>
      <c r="E20" s="4" t="s">
        <v>119</v>
      </c>
      <c r="F20" s="4" t="s">
        <v>120</v>
      </c>
      <c r="G20" s="2">
        <v>610462262</v>
      </c>
      <c r="H20" s="4" t="s">
        <v>121</v>
      </c>
      <c r="I20" s="4" t="s">
        <v>46</v>
      </c>
      <c r="J20" s="4" t="s">
        <v>47</v>
      </c>
      <c r="K20" s="4" t="s">
        <v>48</v>
      </c>
      <c r="L20" s="3">
        <v>46054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71</v>
      </c>
      <c r="U20" s="4" t="s">
        <v>46</v>
      </c>
      <c r="V20" s="5">
        <v>0.92</v>
      </c>
      <c r="W20" s="5">
        <v>0</v>
      </c>
      <c r="X20" s="5">
        <v>100</v>
      </c>
      <c r="Y20" s="5">
        <v>318.08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46054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122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46050</v>
      </c>
      <c r="C21" s="4" t="s">
        <v>123</v>
      </c>
      <c r="D21" s="2">
        <v>1672758</v>
      </c>
      <c r="E21" s="4" t="s">
        <v>124</v>
      </c>
      <c r="F21" s="4" t="s">
        <v>125</v>
      </c>
      <c r="G21" s="2">
        <v>656761464</v>
      </c>
      <c r="H21" s="4" t="s">
        <v>126</v>
      </c>
      <c r="I21" s="4" t="s">
        <v>46</v>
      </c>
      <c r="J21" s="4" t="s">
        <v>47</v>
      </c>
      <c r="K21" s="4" t="s">
        <v>48</v>
      </c>
      <c r="L21" s="3">
        <v>46054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71</v>
      </c>
      <c r="U21" s="4" t="s">
        <v>46</v>
      </c>
      <c r="V21" s="5">
        <v>0.92</v>
      </c>
      <c r="W21" s="5">
        <v>0</v>
      </c>
      <c r="X21" s="5">
        <v>100</v>
      </c>
      <c r="Y21" s="5">
        <v>318.08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46054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127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46050</v>
      </c>
      <c r="C22" s="4" t="s">
        <v>128</v>
      </c>
      <c r="D22" s="2">
        <v>1673202</v>
      </c>
      <c r="E22" s="4" t="s">
        <v>129</v>
      </c>
      <c r="F22" s="4" t="s">
        <v>130</v>
      </c>
      <c r="G22" s="2">
        <v>567946001</v>
      </c>
      <c r="H22" s="4" t="s">
        <v>131</v>
      </c>
      <c r="I22" s="4" t="s">
        <v>46</v>
      </c>
      <c r="J22" s="4" t="s">
        <v>47</v>
      </c>
      <c r="K22" s="4" t="s">
        <v>48</v>
      </c>
      <c r="L22" s="3">
        <v>46054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71</v>
      </c>
      <c r="U22" s="4" t="s">
        <v>46</v>
      </c>
      <c r="V22" s="5">
        <v>0.92</v>
      </c>
      <c r="W22" s="5">
        <v>0</v>
      </c>
      <c r="X22" s="5">
        <v>100</v>
      </c>
      <c r="Y22" s="5">
        <v>318.08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46054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127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46050</v>
      </c>
      <c r="C23" s="4" t="s">
        <v>128</v>
      </c>
      <c r="D23" s="2">
        <v>1673202</v>
      </c>
      <c r="E23" s="4" t="s">
        <v>132</v>
      </c>
      <c r="F23" s="4" t="s">
        <v>133</v>
      </c>
      <c r="G23" s="2">
        <v>88476371</v>
      </c>
      <c r="H23" s="4" t="s">
        <v>134</v>
      </c>
      <c r="I23" s="4" t="s">
        <v>46</v>
      </c>
      <c r="J23" s="4" t="s">
        <v>47</v>
      </c>
      <c r="K23" s="4" t="s">
        <v>48</v>
      </c>
      <c r="L23" s="3">
        <v>46054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0.92</v>
      </c>
      <c r="W23" s="5">
        <v>0</v>
      </c>
      <c r="X23" s="5">
        <v>100</v>
      </c>
      <c r="Y23" s="5">
        <v>151.25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46054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46050</v>
      </c>
      <c r="C24" s="4" t="s">
        <v>135</v>
      </c>
      <c r="D24" s="2">
        <v>1703942</v>
      </c>
      <c r="E24" s="4" t="s">
        <v>136</v>
      </c>
      <c r="F24" s="4" t="s">
        <v>137</v>
      </c>
      <c r="G24" s="2">
        <v>672794352</v>
      </c>
      <c r="H24" s="4" t="s">
        <v>138</v>
      </c>
      <c r="I24" s="4" t="s">
        <v>46</v>
      </c>
      <c r="J24" s="4" t="s">
        <v>47</v>
      </c>
      <c r="K24" s="4" t="s">
        <v>48</v>
      </c>
      <c r="L24" s="3">
        <v>46054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71</v>
      </c>
      <c r="U24" s="4" t="s">
        <v>46</v>
      </c>
      <c r="V24" s="5">
        <v>0.92</v>
      </c>
      <c r="W24" s="5">
        <v>0</v>
      </c>
      <c r="X24" s="5">
        <v>100</v>
      </c>
      <c r="Y24" s="5">
        <v>318.08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46054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86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46050</v>
      </c>
      <c r="C25" s="4" t="s">
        <v>135</v>
      </c>
      <c r="D25" s="2">
        <v>1703942</v>
      </c>
      <c r="E25" s="4" t="s">
        <v>139</v>
      </c>
      <c r="F25" s="4" t="s">
        <v>140</v>
      </c>
      <c r="G25" s="2">
        <v>615682141</v>
      </c>
      <c r="H25" s="4" t="s">
        <v>141</v>
      </c>
      <c r="I25" s="4" t="s">
        <v>46</v>
      </c>
      <c r="J25" s="4" t="s">
        <v>47</v>
      </c>
      <c r="K25" s="4" t="s">
        <v>48</v>
      </c>
      <c r="L25" s="3">
        <v>46054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71</v>
      </c>
      <c r="U25" s="4" t="s">
        <v>46</v>
      </c>
      <c r="V25" s="5">
        <v>0.92</v>
      </c>
      <c r="W25" s="5">
        <v>0</v>
      </c>
      <c r="X25" s="5">
        <v>100</v>
      </c>
      <c r="Y25" s="5">
        <v>318.08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46054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86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46050</v>
      </c>
      <c r="C26" s="4" t="s">
        <v>142</v>
      </c>
      <c r="D26" s="2">
        <v>1773696</v>
      </c>
      <c r="E26" s="4" t="s">
        <v>143</v>
      </c>
      <c r="F26" s="4" t="s">
        <v>144</v>
      </c>
      <c r="G26" s="2">
        <v>728664545</v>
      </c>
      <c r="H26" s="4" t="s">
        <v>145</v>
      </c>
      <c r="I26" s="4" t="s">
        <v>46</v>
      </c>
      <c r="J26" s="4" t="s">
        <v>47</v>
      </c>
      <c r="K26" s="4" t="s">
        <v>48</v>
      </c>
      <c r="L26" s="3">
        <v>46082</v>
      </c>
      <c r="M26" s="4" t="s">
        <v>60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71</v>
      </c>
      <c r="U26" s="4" t="s">
        <v>46</v>
      </c>
      <c r="V26" s="5">
        <v>0.83</v>
      </c>
      <c r="W26" s="5">
        <v>0</v>
      </c>
      <c r="X26" s="5">
        <v>100</v>
      </c>
      <c r="Y26" s="5">
        <v>289.17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46082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86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46050</v>
      </c>
      <c r="C27" s="4" t="s">
        <v>142</v>
      </c>
      <c r="D27" s="2">
        <v>1773696</v>
      </c>
      <c r="E27" s="4" t="s">
        <v>146</v>
      </c>
      <c r="F27" s="4" t="s">
        <v>147</v>
      </c>
      <c r="G27" s="2">
        <v>754000545</v>
      </c>
      <c r="H27" s="4" t="s">
        <v>148</v>
      </c>
      <c r="I27" s="4" t="s">
        <v>46</v>
      </c>
      <c r="J27" s="4" t="s">
        <v>47</v>
      </c>
      <c r="K27" s="4" t="s">
        <v>48</v>
      </c>
      <c r="L27" s="3">
        <v>46082</v>
      </c>
      <c r="M27" s="4" t="s">
        <v>60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71</v>
      </c>
      <c r="U27" s="4" t="s">
        <v>46</v>
      </c>
      <c r="V27" s="5">
        <v>0.83</v>
      </c>
      <c r="W27" s="5">
        <v>0</v>
      </c>
      <c r="X27" s="5">
        <v>100</v>
      </c>
      <c r="Y27" s="5">
        <v>289.17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46082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86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46050</v>
      </c>
      <c r="C28" s="4" t="s">
        <v>142</v>
      </c>
      <c r="D28" s="2">
        <v>1773696</v>
      </c>
      <c r="E28" s="4" t="s">
        <v>149</v>
      </c>
      <c r="F28" s="4" t="s">
        <v>150</v>
      </c>
      <c r="G28" s="2">
        <v>791141245</v>
      </c>
      <c r="H28" s="4" t="s">
        <v>151</v>
      </c>
      <c r="I28" s="4" t="s">
        <v>46</v>
      </c>
      <c r="J28" s="4" t="s">
        <v>47</v>
      </c>
      <c r="K28" s="4" t="s">
        <v>48</v>
      </c>
      <c r="L28" s="3">
        <v>46082</v>
      </c>
      <c r="M28" s="4" t="s">
        <v>60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0.83</v>
      </c>
      <c r="W28" s="5">
        <v>0</v>
      </c>
      <c r="X28" s="5">
        <v>100</v>
      </c>
      <c r="Y28" s="5">
        <v>289.17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46082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46050</v>
      </c>
      <c r="C29" s="4" t="s">
        <v>152</v>
      </c>
      <c r="D29" s="2">
        <v>1800759</v>
      </c>
      <c r="E29" s="4" t="s">
        <v>153</v>
      </c>
      <c r="F29" s="4" t="s">
        <v>154</v>
      </c>
      <c r="G29" s="2">
        <v>642670093</v>
      </c>
      <c r="H29" s="4" t="s">
        <v>155</v>
      </c>
      <c r="I29" s="4" t="s">
        <v>46</v>
      </c>
      <c r="J29" s="4" t="s">
        <v>47</v>
      </c>
      <c r="K29" s="4" t="s">
        <v>48</v>
      </c>
      <c r="L29" s="3">
        <v>46023</v>
      </c>
      <c r="M29" s="4" t="s">
        <v>77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71</v>
      </c>
      <c r="U29" s="4" t="s">
        <v>46</v>
      </c>
      <c r="V29" s="5">
        <v>-0.92</v>
      </c>
      <c r="W29" s="5">
        <v>0</v>
      </c>
      <c r="X29" s="5">
        <v>100</v>
      </c>
      <c r="Y29" s="5">
        <v>-318.08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46023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86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46050</v>
      </c>
      <c r="C30" s="4" t="s">
        <v>152</v>
      </c>
      <c r="D30" s="2">
        <v>1800759</v>
      </c>
      <c r="E30" s="4" t="s">
        <v>156</v>
      </c>
      <c r="F30" s="4" t="s">
        <v>157</v>
      </c>
      <c r="G30" s="2">
        <v>509872504</v>
      </c>
      <c r="H30" s="4" t="s">
        <v>158</v>
      </c>
      <c r="I30" s="4" t="s">
        <v>46</v>
      </c>
      <c r="J30" s="4" t="s">
        <v>47</v>
      </c>
      <c r="K30" s="4" t="s">
        <v>48</v>
      </c>
      <c r="L30" s="3">
        <v>46113</v>
      </c>
      <c r="M30" s="4" t="s">
        <v>82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0.75</v>
      </c>
      <c r="W30" s="5">
        <v>0</v>
      </c>
      <c r="X30" s="5">
        <v>100</v>
      </c>
      <c r="Y30" s="5">
        <v>260.25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46113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55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46050</v>
      </c>
      <c r="C31" s="4" t="s">
        <v>159</v>
      </c>
      <c r="D31" s="2">
        <v>1820648</v>
      </c>
      <c r="E31" s="4" t="s">
        <v>160</v>
      </c>
      <c r="F31" s="4" t="s">
        <v>161</v>
      </c>
      <c r="G31" s="2">
        <v>366568231</v>
      </c>
      <c r="H31" s="4" t="s">
        <v>162</v>
      </c>
      <c r="I31" s="4" t="s">
        <v>46</v>
      </c>
      <c r="J31" s="4" t="s">
        <v>47</v>
      </c>
      <c r="K31" s="4" t="s">
        <v>48</v>
      </c>
      <c r="L31" s="3">
        <v>46023</v>
      </c>
      <c r="M31" s="4" t="s">
        <v>77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71</v>
      </c>
      <c r="U31" s="4" t="s">
        <v>46</v>
      </c>
      <c r="V31" s="5">
        <v>-0.92</v>
      </c>
      <c r="W31" s="5">
        <v>0</v>
      </c>
      <c r="X31" s="5">
        <v>100</v>
      </c>
      <c r="Y31" s="5">
        <v>-318.08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46023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86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46050</v>
      </c>
      <c r="C32" s="4" t="s">
        <v>159</v>
      </c>
      <c r="D32" s="2">
        <v>1820648</v>
      </c>
      <c r="E32" s="4" t="s">
        <v>163</v>
      </c>
      <c r="F32" s="4" t="s">
        <v>164</v>
      </c>
      <c r="G32" s="2">
        <v>127985484</v>
      </c>
      <c r="H32" s="4" t="s">
        <v>165</v>
      </c>
      <c r="I32" s="4" t="s">
        <v>46</v>
      </c>
      <c r="J32" s="4" t="s">
        <v>47</v>
      </c>
      <c r="K32" s="4" t="s">
        <v>48</v>
      </c>
      <c r="L32" s="3">
        <v>46054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0.92</v>
      </c>
      <c r="W32" s="5">
        <v>0</v>
      </c>
      <c r="X32" s="5">
        <v>100</v>
      </c>
      <c r="Y32" s="5">
        <v>396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46054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46050</v>
      </c>
      <c r="C33" s="4" t="s">
        <v>166</v>
      </c>
      <c r="D33" s="2">
        <v>1853235</v>
      </c>
      <c r="E33" s="4" t="s">
        <v>167</v>
      </c>
      <c r="F33" s="4" t="s">
        <v>168</v>
      </c>
      <c r="G33" s="2">
        <v>336214638</v>
      </c>
      <c r="H33" s="4" t="s">
        <v>169</v>
      </c>
      <c r="I33" s="4" t="s">
        <v>46</v>
      </c>
      <c r="J33" s="4" t="s">
        <v>47</v>
      </c>
      <c r="K33" s="4" t="s">
        <v>48</v>
      </c>
      <c r="L33" s="3">
        <v>46023</v>
      </c>
      <c r="M33" s="4" t="s">
        <v>77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52</v>
      </c>
      <c r="U33" s="4" t="s">
        <v>46</v>
      </c>
      <c r="V33" s="5">
        <v>-0.92</v>
      </c>
      <c r="W33" s="5">
        <v>0</v>
      </c>
      <c r="X33" s="5">
        <v>100</v>
      </c>
      <c r="Y33" s="5">
        <v>-318.08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46023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170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46050</v>
      </c>
      <c r="C34" s="4" t="s">
        <v>171</v>
      </c>
      <c r="D34" s="2">
        <v>1855975</v>
      </c>
      <c r="E34" s="4" t="s">
        <v>172</v>
      </c>
      <c r="F34" s="4" t="s">
        <v>173</v>
      </c>
      <c r="G34" s="2">
        <v>475930130</v>
      </c>
      <c r="H34" s="4" t="s">
        <v>174</v>
      </c>
      <c r="I34" s="4" t="s">
        <v>46</v>
      </c>
      <c r="J34" s="4" t="s">
        <v>47</v>
      </c>
      <c r="K34" s="4" t="s">
        <v>48</v>
      </c>
      <c r="L34" s="3">
        <v>46054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71</v>
      </c>
      <c r="U34" s="4" t="s">
        <v>46</v>
      </c>
      <c r="V34" s="5">
        <v>0.92</v>
      </c>
      <c r="W34" s="5">
        <v>0</v>
      </c>
      <c r="X34" s="5">
        <v>100</v>
      </c>
      <c r="Y34" s="5">
        <v>318.08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46054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122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46050</v>
      </c>
      <c r="C35" s="4" t="s">
        <v>171</v>
      </c>
      <c r="D35" s="2">
        <v>1855975</v>
      </c>
      <c r="E35" s="4" t="s">
        <v>175</v>
      </c>
      <c r="F35" s="4" t="s">
        <v>176</v>
      </c>
      <c r="G35" s="2">
        <v>701985544</v>
      </c>
      <c r="H35" s="4" t="s">
        <v>177</v>
      </c>
      <c r="I35" s="4" t="s">
        <v>46</v>
      </c>
      <c r="J35" s="4" t="s">
        <v>47</v>
      </c>
      <c r="K35" s="4" t="s">
        <v>48</v>
      </c>
      <c r="L35" s="3">
        <v>46054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178</v>
      </c>
      <c r="U35" s="4" t="s">
        <v>46</v>
      </c>
      <c r="V35" s="5">
        <v>0.92</v>
      </c>
      <c r="W35" s="5">
        <v>0</v>
      </c>
      <c r="X35" s="5">
        <v>100</v>
      </c>
      <c r="Y35" s="5">
        <v>318.08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46054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179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46050</v>
      </c>
      <c r="C36" s="4" t="s">
        <v>171</v>
      </c>
      <c r="D36" s="2">
        <v>1855975</v>
      </c>
      <c r="E36" s="4" t="s">
        <v>180</v>
      </c>
      <c r="F36" s="4" t="s">
        <v>181</v>
      </c>
      <c r="G36" s="2">
        <v>238037373</v>
      </c>
      <c r="H36" s="4" t="s">
        <v>182</v>
      </c>
      <c r="I36" s="4" t="s">
        <v>46</v>
      </c>
      <c r="J36" s="4" t="s">
        <v>47</v>
      </c>
      <c r="K36" s="4" t="s">
        <v>48</v>
      </c>
      <c r="L36" s="3">
        <v>46082</v>
      </c>
      <c r="M36" s="4" t="s">
        <v>60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71</v>
      </c>
      <c r="U36" s="4" t="s">
        <v>46</v>
      </c>
      <c r="V36" s="5">
        <v>0.83</v>
      </c>
      <c r="W36" s="5">
        <v>0</v>
      </c>
      <c r="X36" s="5">
        <v>100</v>
      </c>
      <c r="Y36" s="5">
        <v>289.17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46082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122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46050</v>
      </c>
      <c r="C37" s="4" t="s">
        <v>183</v>
      </c>
      <c r="D37" s="2">
        <v>1875462</v>
      </c>
      <c r="E37" s="4" t="s">
        <v>184</v>
      </c>
      <c r="F37" s="4" t="s">
        <v>185</v>
      </c>
      <c r="G37" s="2">
        <v>530856434</v>
      </c>
      <c r="H37" s="4" t="s">
        <v>186</v>
      </c>
      <c r="I37" s="4" t="s">
        <v>46</v>
      </c>
      <c r="J37" s="4" t="s">
        <v>47</v>
      </c>
      <c r="K37" s="4" t="s">
        <v>187</v>
      </c>
      <c r="L37" s="3">
        <v>46054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71</v>
      </c>
      <c r="U37" s="4" t="s">
        <v>46</v>
      </c>
      <c r="V37" s="5">
        <v>0.92</v>
      </c>
      <c r="W37" s="5">
        <v>0</v>
      </c>
      <c r="X37" s="5">
        <v>100</v>
      </c>
      <c r="Y37" s="5">
        <v>318.08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46054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188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46050</v>
      </c>
      <c r="C38" s="4" t="s">
        <v>189</v>
      </c>
      <c r="D38" s="2">
        <v>1953307</v>
      </c>
      <c r="E38" s="4" t="s">
        <v>190</v>
      </c>
      <c r="F38" s="4" t="s">
        <v>191</v>
      </c>
      <c r="G38" s="2">
        <v>961657534</v>
      </c>
      <c r="H38" s="4" t="s">
        <v>192</v>
      </c>
      <c r="I38" s="4" t="s">
        <v>46</v>
      </c>
      <c r="J38" s="4" t="s">
        <v>47</v>
      </c>
      <c r="K38" s="4" t="s">
        <v>48</v>
      </c>
      <c r="L38" s="3">
        <v>46054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0.92</v>
      </c>
      <c r="W38" s="5">
        <v>0</v>
      </c>
      <c r="X38" s="5">
        <v>100</v>
      </c>
      <c r="Y38" s="5">
        <v>318.08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46054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55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46050</v>
      </c>
      <c r="C39" s="4" t="s">
        <v>193</v>
      </c>
      <c r="D39" s="2">
        <v>1969216</v>
      </c>
      <c r="E39" s="4" t="s">
        <v>194</v>
      </c>
      <c r="F39" s="4" t="s">
        <v>195</v>
      </c>
      <c r="G39" s="2">
        <v>44381042</v>
      </c>
      <c r="H39" s="4" t="s">
        <v>196</v>
      </c>
      <c r="I39" s="4" t="s">
        <v>46</v>
      </c>
      <c r="J39" s="4" t="s">
        <v>47</v>
      </c>
      <c r="K39" s="4" t="s">
        <v>48</v>
      </c>
      <c r="L39" s="3">
        <v>46054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71</v>
      </c>
      <c r="U39" s="4" t="s">
        <v>46</v>
      </c>
      <c r="V39" s="5">
        <v>0.92</v>
      </c>
      <c r="W39" s="5">
        <v>0</v>
      </c>
      <c r="X39" s="5">
        <v>100</v>
      </c>
      <c r="Y39" s="5">
        <v>318.08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46054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122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46050</v>
      </c>
      <c r="C40" s="4" t="s">
        <v>197</v>
      </c>
      <c r="D40" s="2">
        <v>1986712</v>
      </c>
      <c r="E40" s="4" t="s">
        <v>198</v>
      </c>
      <c r="F40" s="4" t="s">
        <v>199</v>
      </c>
      <c r="G40" s="2">
        <v>799626555</v>
      </c>
      <c r="H40" s="4" t="s">
        <v>200</v>
      </c>
      <c r="I40" s="4" t="s">
        <v>46</v>
      </c>
      <c r="J40" s="4" t="s">
        <v>47</v>
      </c>
      <c r="K40" s="4" t="s">
        <v>48</v>
      </c>
      <c r="L40" s="3">
        <v>46113</v>
      </c>
      <c r="M40" s="4" t="s">
        <v>82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0.75</v>
      </c>
      <c r="W40" s="5">
        <v>0</v>
      </c>
      <c r="X40" s="5">
        <v>100</v>
      </c>
      <c r="Y40" s="5">
        <v>260.25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46113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46050</v>
      </c>
      <c r="C41" s="4" t="s">
        <v>201</v>
      </c>
      <c r="D41" s="2">
        <v>1989690</v>
      </c>
      <c r="E41" s="4" t="s">
        <v>202</v>
      </c>
      <c r="F41" s="4" t="s">
        <v>203</v>
      </c>
      <c r="G41" s="2">
        <v>222479313</v>
      </c>
      <c r="H41" s="4" t="s">
        <v>204</v>
      </c>
      <c r="I41" s="4" t="s">
        <v>46</v>
      </c>
      <c r="J41" s="4" t="s">
        <v>47</v>
      </c>
      <c r="K41" s="4" t="s">
        <v>48</v>
      </c>
      <c r="L41" s="3">
        <v>46023</v>
      </c>
      <c r="M41" s="4" t="s">
        <v>77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178</v>
      </c>
      <c r="U41" s="4" t="s">
        <v>46</v>
      </c>
      <c r="V41" s="5">
        <v>-0.92</v>
      </c>
      <c r="W41" s="5">
        <v>0</v>
      </c>
      <c r="X41" s="5">
        <v>100</v>
      </c>
      <c r="Y41" s="5">
        <v>-318.08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46023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205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46050</v>
      </c>
      <c r="C42" s="4" t="s">
        <v>201</v>
      </c>
      <c r="D42" s="2">
        <v>1989690</v>
      </c>
      <c r="E42" s="4" t="s">
        <v>206</v>
      </c>
      <c r="F42" s="4" t="s">
        <v>207</v>
      </c>
      <c r="G42" s="2">
        <v>63798525</v>
      </c>
      <c r="H42" s="4" t="s">
        <v>208</v>
      </c>
      <c r="I42" s="4" t="s">
        <v>46</v>
      </c>
      <c r="J42" s="4" t="s">
        <v>47</v>
      </c>
      <c r="K42" s="4" t="s">
        <v>48</v>
      </c>
      <c r="L42" s="3">
        <v>46054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0.92</v>
      </c>
      <c r="W42" s="5">
        <v>0</v>
      </c>
      <c r="X42" s="5">
        <v>100</v>
      </c>
      <c r="Y42" s="5">
        <v>151.25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46054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46050</v>
      </c>
      <c r="C43" s="4" t="s">
        <v>201</v>
      </c>
      <c r="D43" s="2">
        <v>1989690</v>
      </c>
      <c r="E43" s="4" t="s">
        <v>209</v>
      </c>
      <c r="F43" s="4" t="s">
        <v>210</v>
      </c>
      <c r="G43" s="2">
        <v>649072464</v>
      </c>
      <c r="H43" s="4" t="s">
        <v>211</v>
      </c>
      <c r="I43" s="4" t="s">
        <v>46</v>
      </c>
      <c r="J43" s="4" t="s">
        <v>47</v>
      </c>
      <c r="K43" s="4" t="s">
        <v>48</v>
      </c>
      <c r="L43" s="3">
        <v>46054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0.92</v>
      </c>
      <c r="W43" s="5">
        <v>0</v>
      </c>
      <c r="X43" s="5">
        <v>100</v>
      </c>
      <c r="Y43" s="5">
        <v>318.08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46054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46050</v>
      </c>
      <c r="C44" s="4" t="s">
        <v>212</v>
      </c>
      <c r="D44" s="2">
        <v>2004929</v>
      </c>
      <c r="E44" s="4" t="s">
        <v>213</v>
      </c>
      <c r="F44" s="4" t="s">
        <v>214</v>
      </c>
      <c r="G44" s="2">
        <v>502278485</v>
      </c>
      <c r="H44" s="4" t="s">
        <v>215</v>
      </c>
      <c r="I44" s="4" t="s">
        <v>46</v>
      </c>
      <c r="J44" s="4" t="s">
        <v>47</v>
      </c>
      <c r="K44" s="4" t="s">
        <v>48</v>
      </c>
      <c r="L44" s="3">
        <v>46023</v>
      </c>
      <c r="M44" s="4" t="s">
        <v>77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71</v>
      </c>
      <c r="U44" s="4" t="s">
        <v>46</v>
      </c>
      <c r="V44" s="5">
        <v>-0.92</v>
      </c>
      <c r="W44" s="5">
        <v>0</v>
      </c>
      <c r="X44" s="5">
        <v>100</v>
      </c>
      <c r="Y44" s="5">
        <v>-318.08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46023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216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46050</v>
      </c>
      <c r="C45" s="4" t="s">
        <v>217</v>
      </c>
      <c r="D45" s="2">
        <v>1510420</v>
      </c>
      <c r="E45" s="4" t="s">
        <v>218</v>
      </c>
      <c r="F45" s="4" t="s">
        <v>219</v>
      </c>
      <c r="G45" s="4" t="s">
        <v>46</v>
      </c>
      <c r="H45" s="4" t="s">
        <v>46</v>
      </c>
      <c r="I45" s="4" t="s">
        <v>46</v>
      </c>
      <c r="J45" s="4" t="s">
        <v>220</v>
      </c>
      <c r="K45" s="4" t="s">
        <v>221</v>
      </c>
      <c r="L45" s="3">
        <v>46054</v>
      </c>
      <c r="M45" s="4" t="s">
        <v>49</v>
      </c>
      <c r="N45" s="4" t="s">
        <v>46</v>
      </c>
      <c r="O45" s="4" t="s">
        <v>222</v>
      </c>
      <c r="P45" s="4" t="s">
        <v>222</v>
      </c>
      <c r="Q45" s="2">
        <v>1</v>
      </c>
      <c r="R45" s="2">
        <v>3</v>
      </c>
      <c r="S45" s="4" t="s">
        <v>223</v>
      </c>
      <c r="T45" s="4" t="s">
        <v>46</v>
      </c>
      <c r="U45" s="4" t="s">
        <v>46</v>
      </c>
      <c r="V45" s="5">
        <v>10</v>
      </c>
      <c r="W45" s="5">
        <v>52.78</v>
      </c>
      <c r="X45" s="5">
        <v>100</v>
      </c>
      <c r="Y45" s="5">
        <v>5.28</v>
      </c>
      <c r="Z45" s="4" t="s">
        <v>46</v>
      </c>
      <c r="AA45" s="5" t="s">
        <v>46</v>
      </c>
      <c r="AB45" s="4" t="s">
        <v>224</v>
      </c>
      <c r="AC45" s="4" t="s">
        <v>46</v>
      </c>
      <c r="AD45" s="5">
        <v>0</v>
      </c>
      <c r="AE45" s="4" t="s">
        <v>225</v>
      </c>
      <c r="AF45" s="3">
        <v>44586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46050</v>
      </c>
      <c r="C46" s="4" t="s">
        <v>100</v>
      </c>
      <c r="D46" s="2">
        <v>1573279</v>
      </c>
      <c r="E46" s="4" t="s">
        <v>226</v>
      </c>
      <c r="F46" s="4" t="s">
        <v>227</v>
      </c>
      <c r="G46" s="4" t="s">
        <v>46</v>
      </c>
      <c r="H46" s="4" t="s">
        <v>46</v>
      </c>
      <c r="I46" s="4" t="s">
        <v>46</v>
      </c>
      <c r="J46" s="4" t="s">
        <v>228</v>
      </c>
      <c r="K46" s="4" t="s">
        <v>229</v>
      </c>
      <c r="L46" s="3">
        <v>46054</v>
      </c>
      <c r="M46" s="4" t="s">
        <v>49</v>
      </c>
      <c r="N46" s="4" t="s">
        <v>46</v>
      </c>
      <c r="O46" s="4" t="s">
        <v>50</v>
      </c>
      <c r="P46" s="4" t="s">
        <v>222</v>
      </c>
      <c r="Q46" s="2">
        <v>20</v>
      </c>
      <c r="R46" s="2">
        <v>3</v>
      </c>
      <c r="S46" s="4" t="s">
        <v>223</v>
      </c>
      <c r="T46" s="4" t="s">
        <v>46</v>
      </c>
      <c r="U46" s="4" t="s">
        <v>46</v>
      </c>
      <c r="V46" s="5">
        <v>10</v>
      </c>
      <c r="W46" s="5">
        <v>-40.020000000000003</v>
      </c>
      <c r="X46" s="5">
        <v>100</v>
      </c>
      <c r="Y46" s="5">
        <v>-4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45839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46050</v>
      </c>
      <c r="C47" s="4" t="s">
        <v>100</v>
      </c>
      <c r="D47" s="2">
        <v>1573279</v>
      </c>
      <c r="E47" s="4" t="s">
        <v>226</v>
      </c>
      <c r="F47" s="4" t="s">
        <v>227</v>
      </c>
      <c r="G47" s="4" t="s">
        <v>46</v>
      </c>
      <c r="H47" s="4" t="s">
        <v>46</v>
      </c>
      <c r="I47" s="4" t="s">
        <v>46</v>
      </c>
      <c r="J47" s="4" t="s">
        <v>228</v>
      </c>
      <c r="K47" s="4" t="s">
        <v>229</v>
      </c>
      <c r="L47" s="3">
        <v>46054</v>
      </c>
      <c r="M47" s="4" t="s">
        <v>49</v>
      </c>
      <c r="N47" s="4" t="s">
        <v>46</v>
      </c>
      <c r="O47" s="4" t="s">
        <v>50</v>
      </c>
      <c r="P47" s="4" t="s">
        <v>222</v>
      </c>
      <c r="Q47" s="2">
        <v>18</v>
      </c>
      <c r="R47" s="2">
        <v>60</v>
      </c>
      <c r="S47" s="4" t="s">
        <v>230</v>
      </c>
      <c r="T47" s="4" t="s">
        <v>46</v>
      </c>
      <c r="U47" s="4" t="s">
        <v>46</v>
      </c>
      <c r="V47" s="5">
        <v>10</v>
      </c>
      <c r="W47" s="5">
        <v>-11.94</v>
      </c>
      <c r="X47" s="5">
        <v>100</v>
      </c>
      <c r="Y47" s="5">
        <v>-1.19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45839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46050</v>
      </c>
      <c r="C48" s="4" t="s">
        <v>231</v>
      </c>
      <c r="D48" s="2">
        <v>1755893</v>
      </c>
      <c r="E48" s="4" t="s">
        <v>232</v>
      </c>
      <c r="F48" s="4" t="s">
        <v>233</v>
      </c>
      <c r="G48" s="4" t="s">
        <v>46</v>
      </c>
      <c r="H48" s="4" t="s">
        <v>46</v>
      </c>
      <c r="I48" s="4" t="s">
        <v>46</v>
      </c>
      <c r="J48" s="4" t="s">
        <v>220</v>
      </c>
      <c r="K48" s="4" t="s">
        <v>221</v>
      </c>
      <c r="L48" s="3">
        <v>46054</v>
      </c>
      <c r="M48" s="4" t="s">
        <v>49</v>
      </c>
      <c r="N48" s="4" t="s">
        <v>46</v>
      </c>
      <c r="O48" s="4" t="s">
        <v>50</v>
      </c>
      <c r="P48" s="4" t="s">
        <v>222</v>
      </c>
      <c r="Q48" s="2">
        <v>2</v>
      </c>
      <c r="R48" s="2">
        <v>60</v>
      </c>
      <c r="S48" s="4" t="s">
        <v>230</v>
      </c>
      <c r="T48" s="4" t="s">
        <v>46</v>
      </c>
      <c r="U48" s="4" t="s">
        <v>46</v>
      </c>
      <c r="V48" s="5">
        <v>10</v>
      </c>
      <c r="W48" s="5">
        <v>23.99</v>
      </c>
      <c r="X48" s="5">
        <v>100</v>
      </c>
      <c r="Y48" s="5">
        <v>2.4</v>
      </c>
      <c r="Z48" s="4" t="s">
        <v>46</v>
      </c>
      <c r="AA48" s="5" t="s">
        <v>46</v>
      </c>
      <c r="AB48" s="4" t="s">
        <v>234</v>
      </c>
      <c r="AC48" s="4" t="s">
        <v>46</v>
      </c>
      <c r="AD48" s="5">
        <v>0</v>
      </c>
      <c r="AE48" s="4" t="s">
        <v>235</v>
      </c>
      <c r="AF48" s="3">
        <v>45871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46050</v>
      </c>
      <c r="C49" s="4" t="s">
        <v>231</v>
      </c>
      <c r="D49" s="2">
        <v>1755893</v>
      </c>
      <c r="E49" s="4" t="s">
        <v>236</v>
      </c>
      <c r="F49" s="4" t="s">
        <v>237</v>
      </c>
      <c r="G49" s="4" t="s">
        <v>46</v>
      </c>
      <c r="H49" s="4" t="s">
        <v>46</v>
      </c>
      <c r="I49" s="4" t="s">
        <v>46</v>
      </c>
      <c r="J49" s="4" t="s">
        <v>220</v>
      </c>
      <c r="K49" s="4" t="s">
        <v>221</v>
      </c>
      <c r="L49" s="3">
        <v>46054</v>
      </c>
      <c r="M49" s="4" t="s">
        <v>49</v>
      </c>
      <c r="N49" s="4" t="s">
        <v>46</v>
      </c>
      <c r="O49" s="4" t="s">
        <v>50</v>
      </c>
      <c r="P49" s="4" t="s">
        <v>222</v>
      </c>
      <c r="Q49" s="2">
        <v>1</v>
      </c>
      <c r="R49" s="2">
        <v>60</v>
      </c>
      <c r="S49" s="4" t="s">
        <v>230</v>
      </c>
      <c r="T49" s="4" t="s">
        <v>46</v>
      </c>
      <c r="U49" s="4" t="s">
        <v>46</v>
      </c>
      <c r="V49" s="5">
        <v>10</v>
      </c>
      <c r="W49" s="5">
        <v>12.99</v>
      </c>
      <c r="X49" s="5">
        <v>100</v>
      </c>
      <c r="Y49" s="5">
        <v>1.3</v>
      </c>
      <c r="Z49" s="4" t="s">
        <v>46</v>
      </c>
      <c r="AA49" s="5" t="s">
        <v>46</v>
      </c>
      <c r="AB49" s="4" t="s">
        <v>234</v>
      </c>
      <c r="AC49" s="4" t="s">
        <v>46</v>
      </c>
      <c r="AD49" s="5">
        <v>0</v>
      </c>
      <c r="AE49" s="4" t="s">
        <v>235</v>
      </c>
      <c r="AF49" s="3">
        <v>45879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46050</v>
      </c>
      <c r="C50" s="4" t="s">
        <v>238</v>
      </c>
      <c r="D50" s="2">
        <v>1831491</v>
      </c>
      <c r="E50" s="4" t="s">
        <v>239</v>
      </c>
      <c r="F50" s="4" t="s">
        <v>240</v>
      </c>
      <c r="G50" s="4" t="s">
        <v>46</v>
      </c>
      <c r="H50" s="4" t="s">
        <v>46</v>
      </c>
      <c r="I50" s="4" t="s">
        <v>46</v>
      </c>
      <c r="J50" s="4" t="s">
        <v>220</v>
      </c>
      <c r="K50" s="4" t="s">
        <v>221</v>
      </c>
      <c r="L50" s="3">
        <v>46054</v>
      </c>
      <c r="M50" s="4" t="s">
        <v>49</v>
      </c>
      <c r="N50" s="4" t="s">
        <v>46</v>
      </c>
      <c r="O50" s="4" t="s">
        <v>50</v>
      </c>
      <c r="P50" s="4" t="s">
        <v>222</v>
      </c>
      <c r="Q50" s="2">
        <v>2</v>
      </c>
      <c r="R50" s="2">
        <v>60</v>
      </c>
      <c r="S50" s="4" t="s">
        <v>230</v>
      </c>
      <c r="T50" s="4" t="s">
        <v>46</v>
      </c>
      <c r="U50" s="4" t="s">
        <v>46</v>
      </c>
      <c r="V50" s="5">
        <v>10</v>
      </c>
      <c r="W50" s="5">
        <v>26.88</v>
      </c>
      <c r="X50" s="5">
        <v>100</v>
      </c>
      <c r="Y50" s="5">
        <v>2.69</v>
      </c>
      <c r="Z50" s="4" t="s">
        <v>46</v>
      </c>
      <c r="AA50" s="5" t="s">
        <v>46</v>
      </c>
      <c r="AB50" s="4" t="s">
        <v>234</v>
      </c>
      <c r="AC50" s="4" t="s">
        <v>46</v>
      </c>
      <c r="AD50" s="5">
        <v>0</v>
      </c>
      <c r="AE50" s="4" t="s">
        <v>235</v>
      </c>
      <c r="AF50" s="3">
        <v>45808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46050</v>
      </c>
      <c r="C51" s="4" t="s">
        <v>238</v>
      </c>
      <c r="D51" s="2">
        <v>1831491</v>
      </c>
      <c r="E51" s="4" t="s">
        <v>241</v>
      </c>
      <c r="F51" s="4" t="s">
        <v>242</v>
      </c>
      <c r="G51" s="4" t="s">
        <v>46</v>
      </c>
      <c r="H51" s="4" t="s">
        <v>46</v>
      </c>
      <c r="I51" s="4" t="s">
        <v>46</v>
      </c>
      <c r="J51" s="4" t="s">
        <v>220</v>
      </c>
      <c r="K51" s="4" t="s">
        <v>221</v>
      </c>
      <c r="L51" s="3">
        <v>46054</v>
      </c>
      <c r="M51" s="4" t="s">
        <v>49</v>
      </c>
      <c r="N51" s="4" t="s">
        <v>46</v>
      </c>
      <c r="O51" s="4" t="s">
        <v>50</v>
      </c>
      <c r="P51" s="4" t="s">
        <v>222</v>
      </c>
      <c r="Q51" s="2">
        <v>2</v>
      </c>
      <c r="R51" s="2">
        <v>60</v>
      </c>
      <c r="S51" s="4" t="s">
        <v>230</v>
      </c>
      <c r="T51" s="4" t="s">
        <v>46</v>
      </c>
      <c r="U51" s="4" t="s">
        <v>46</v>
      </c>
      <c r="V51" s="5">
        <v>10</v>
      </c>
      <c r="W51" s="5">
        <v>26.88</v>
      </c>
      <c r="X51" s="5">
        <v>100</v>
      </c>
      <c r="Y51" s="5">
        <v>2.69</v>
      </c>
      <c r="Z51" s="4" t="s">
        <v>46</v>
      </c>
      <c r="AA51" s="5" t="s">
        <v>46</v>
      </c>
      <c r="AB51" s="4" t="s">
        <v>234</v>
      </c>
      <c r="AC51" s="4" t="s">
        <v>46</v>
      </c>
      <c r="AD51" s="5">
        <v>0</v>
      </c>
      <c r="AE51" s="4" t="s">
        <v>235</v>
      </c>
      <c r="AF51" s="3">
        <v>45808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46050</v>
      </c>
      <c r="C52" s="4" t="s">
        <v>238</v>
      </c>
      <c r="D52" s="2">
        <v>1831491</v>
      </c>
      <c r="E52" s="4" t="s">
        <v>243</v>
      </c>
      <c r="F52" s="4" t="s">
        <v>244</v>
      </c>
      <c r="G52" s="4" t="s">
        <v>46</v>
      </c>
      <c r="H52" s="4" t="s">
        <v>46</v>
      </c>
      <c r="I52" s="4" t="s">
        <v>46</v>
      </c>
      <c r="J52" s="4" t="s">
        <v>220</v>
      </c>
      <c r="K52" s="4" t="s">
        <v>221</v>
      </c>
      <c r="L52" s="3">
        <v>46054</v>
      </c>
      <c r="M52" s="4" t="s">
        <v>49</v>
      </c>
      <c r="N52" s="4" t="s">
        <v>46</v>
      </c>
      <c r="O52" s="4" t="s">
        <v>50</v>
      </c>
      <c r="P52" s="4" t="s">
        <v>222</v>
      </c>
      <c r="Q52" s="2">
        <v>2</v>
      </c>
      <c r="R52" s="2">
        <v>60</v>
      </c>
      <c r="S52" s="4" t="s">
        <v>230</v>
      </c>
      <c r="T52" s="4" t="s">
        <v>46</v>
      </c>
      <c r="U52" s="4" t="s">
        <v>46</v>
      </c>
      <c r="V52" s="5">
        <v>10</v>
      </c>
      <c r="W52" s="5">
        <v>26.88</v>
      </c>
      <c r="X52" s="5">
        <v>100</v>
      </c>
      <c r="Y52" s="5">
        <v>2.69</v>
      </c>
      <c r="Z52" s="4" t="s">
        <v>46</v>
      </c>
      <c r="AA52" s="5" t="s">
        <v>46</v>
      </c>
      <c r="AB52" s="4" t="s">
        <v>234</v>
      </c>
      <c r="AC52" s="4" t="s">
        <v>46</v>
      </c>
      <c r="AD52" s="5">
        <v>0</v>
      </c>
      <c r="AE52" s="4" t="s">
        <v>235</v>
      </c>
      <c r="AF52" s="3">
        <v>45808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46050</v>
      </c>
      <c r="C53" s="4" t="s">
        <v>238</v>
      </c>
      <c r="D53" s="2">
        <v>1831491</v>
      </c>
      <c r="E53" s="4" t="s">
        <v>245</v>
      </c>
      <c r="F53" s="4" t="s">
        <v>246</v>
      </c>
      <c r="G53" s="4" t="s">
        <v>46</v>
      </c>
      <c r="H53" s="4" t="s">
        <v>46</v>
      </c>
      <c r="I53" s="4" t="s">
        <v>46</v>
      </c>
      <c r="J53" s="4" t="s">
        <v>220</v>
      </c>
      <c r="K53" s="4" t="s">
        <v>221</v>
      </c>
      <c r="L53" s="3">
        <v>46054</v>
      </c>
      <c r="M53" s="4" t="s">
        <v>49</v>
      </c>
      <c r="N53" s="4" t="s">
        <v>46</v>
      </c>
      <c r="O53" s="4" t="s">
        <v>50</v>
      </c>
      <c r="P53" s="4" t="s">
        <v>222</v>
      </c>
      <c r="Q53" s="2">
        <v>1</v>
      </c>
      <c r="R53" s="2">
        <v>60</v>
      </c>
      <c r="S53" s="4" t="s">
        <v>230</v>
      </c>
      <c r="T53" s="4" t="s">
        <v>46</v>
      </c>
      <c r="U53" s="4" t="s">
        <v>46</v>
      </c>
      <c r="V53" s="5">
        <v>10</v>
      </c>
      <c r="W53" s="5">
        <v>13.93</v>
      </c>
      <c r="X53" s="5">
        <v>100</v>
      </c>
      <c r="Y53" s="5">
        <v>1.39</v>
      </c>
      <c r="Z53" s="4" t="s">
        <v>46</v>
      </c>
      <c r="AA53" s="5" t="s">
        <v>46</v>
      </c>
      <c r="AB53" s="4" t="s">
        <v>234</v>
      </c>
      <c r="AC53" s="4" t="s">
        <v>46</v>
      </c>
      <c r="AD53" s="5">
        <v>0</v>
      </c>
      <c r="AE53" s="4" t="s">
        <v>235</v>
      </c>
      <c r="AF53" s="3">
        <v>45809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46050</v>
      </c>
      <c r="C54" s="4" t="s">
        <v>238</v>
      </c>
      <c r="D54" s="2">
        <v>1831491</v>
      </c>
      <c r="E54" s="4" t="s">
        <v>247</v>
      </c>
      <c r="F54" s="4" t="s">
        <v>248</v>
      </c>
      <c r="G54" s="4" t="s">
        <v>46</v>
      </c>
      <c r="H54" s="4" t="s">
        <v>46</v>
      </c>
      <c r="I54" s="4" t="s">
        <v>46</v>
      </c>
      <c r="J54" s="4" t="s">
        <v>220</v>
      </c>
      <c r="K54" s="4" t="s">
        <v>221</v>
      </c>
      <c r="L54" s="3">
        <v>46054</v>
      </c>
      <c r="M54" s="4" t="s">
        <v>49</v>
      </c>
      <c r="N54" s="4" t="s">
        <v>46</v>
      </c>
      <c r="O54" s="4" t="s">
        <v>50</v>
      </c>
      <c r="P54" s="4" t="s">
        <v>222</v>
      </c>
      <c r="Q54" s="2">
        <v>6</v>
      </c>
      <c r="R54" s="2">
        <v>60</v>
      </c>
      <c r="S54" s="4" t="s">
        <v>230</v>
      </c>
      <c r="T54" s="4" t="s">
        <v>46</v>
      </c>
      <c r="U54" s="4" t="s">
        <v>46</v>
      </c>
      <c r="V54" s="5">
        <v>10</v>
      </c>
      <c r="W54" s="5">
        <v>46.8</v>
      </c>
      <c r="X54" s="5">
        <v>100</v>
      </c>
      <c r="Y54" s="5">
        <v>4.68</v>
      </c>
      <c r="Z54" s="4" t="s">
        <v>46</v>
      </c>
      <c r="AA54" s="5" t="s">
        <v>46</v>
      </c>
      <c r="AB54" s="4" t="s">
        <v>234</v>
      </c>
      <c r="AC54" s="4" t="s">
        <v>46</v>
      </c>
      <c r="AD54" s="5">
        <v>0</v>
      </c>
      <c r="AE54" s="4" t="s">
        <v>235</v>
      </c>
      <c r="AF54" s="3">
        <v>45809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46050</v>
      </c>
      <c r="C55" s="4" t="s">
        <v>238</v>
      </c>
      <c r="D55" s="2">
        <v>1831491</v>
      </c>
      <c r="E55" s="4" t="s">
        <v>249</v>
      </c>
      <c r="F55" s="4" t="s">
        <v>250</v>
      </c>
      <c r="G55" s="4" t="s">
        <v>46</v>
      </c>
      <c r="H55" s="4" t="s">
        <v>46</v>
      </c>
      <c r="I55" s="4" t="s">
        <v>46</v>
      </c>
      <c r="J55" s="4" t="s">
        <v>220</v>
      </c>
      <c r="K55" s="4" t="s">
        <v>221</v>
      </c>
      <c r="L55" s="3">
        <v>46054</v>
      </c>
      <c r="M55" s="4" t="s">
        <v>49</v>
      </c>
      <c r="N55" s="4" t="s">
        <v>46</v>
      </c>
      <c r="O55" s="4" t="s">
        <v>50</v>
      </c>
      <c r="P55" s="4" t="s">
        <v>222</v>
      </c>
      <c r="Q55" s="2">
        <v>2</v>
      </c>
      <c r="R55" s="2">
        <v>60</v>
      </c>
      <c r="S55" s="4" t="s">
        <v>230</v>
      </c>
      <c r="T55" s="4" t="s">
        <v>46</v>
      </c>
      <c r="U55" s="4" t="s">
        <v>46</v>
      </c>
      <c r="V55" s="5">
        <v>10</v>
      </c>
      <c r="W55" s="5">
        <v>26.88</v>
      </c>
      <c r="X55" s="5">
        <v>100</v>
      </c>
      <c r="Y55" s="5">
        <v>2.69</v>
      </c>
      <c r="Z55" s="4" t="s">
        <v>46</v>
      </c>
      <c r="AA55" s="5" t="s">
        <v>46</v>
      </c>
      <c r="AB55" s="4" t="s">
        <v>234</v>
      </c>
      <c r="AC55" s="4" t="s">
        <v>46</v>
      </c>
      <c r="AD55" s="5">
        <v>0</v>
      </c>
      <c r="AE55" s="4" t="s">
        <v>235</v>
      </c>
      <c r="AF55" s="3">
        <v>45809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46050</v>
      </c>
      <c r="C56" s="4" t="s">
        <v>238</v>
      </c>
      <c r="D56" s="2">
        <v>1831491</v>
      </c>
      <c r="E56" s="4" t="s">
        <v>251</v>
      </c>
      <c r="F56" s="4" t="s">
        <v>252</v>
      </c>
      <c r="G56" s="4" t="s">
        <v>46</v>
      </c>
      <c r="H56" s="4" t="s">
        <v>46</v>
      </c>
      <c r="I56" s="4" t="s">
        <v>46</v>
      </c>
      <c r="J56" s="4" t="s">
        <v>220</v>
      </c>
      <c r="K56" s="4" t="s">
        <v>221</v>
      </c>
      <c r="L56" s="3">
        <v>46054</v>
      </c>
      <c r="M56" s="4" t="s">
        <v>49</v>
      </c>
      <c r="N56" s="4" t="s">
        <v>46</v>
      </c>
      <c r="O56" s="4" t="s">
        <v>50</v>
      </c>
      <c r="P56" s="4" t="s">
        <v>222</v>
      </c>
      <c r="Q56" s="2">
        <v>2</v>
      </c>
      <c r="R56" s="2">
        <v>60</v>
      </c>
      <c r="S56" s="4" t="s">
        <v>230</v>
      </c>
      <c r="T56" s="4" t="s">
        <v>46</v>
      </c>
      <c r="U56" s="4" t="s">
        <v>46</v>
      </c>
      <c r="V56" s="5">
        <v>10</v>
      </c>
      <c r="W56" s="5">
        <v>26.88</v>
      </c>
      <c r="X56" s="5">
        <v>100</v>
      </c>
      <c r="Y56" s="5">
        <v>2.69</v>
      </c>
      <c r="Z56" s="4" t="s">
        <v>46</v>
      </c>
      <c r="AA56" s="5" t="s">
        <v>46</v>
      </c>
      <c r="AB56" s="4" t="s">
        <v>234</v>
      </c>
      <c r="AC56" s="4" t="s">
        <v>46</v>
      </c>
      <c r="AD56" s="5">
        <v>0</v>
      </c>
      <c r="AE56" s="4" t="s">
        <v>235</v>
      </c>
      <c r="AF56" s="3">
        <v>45816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46050</v>
      </c>
      <c r="C57" s="4" t="s">
        <v>238</v>
      </c>
      <c r="D57" s="2">
        <v>1831491</v>
      </c>
      <c r="E57" s="4" t="s">
        <v>253</v>
      </c>
      <c r="F57" s="4" t="s">
        <v>254</v>
      </c>
      <c r="G57" s="4" t="s">
        <v>46</v>
      </c>
      <c r="H57" s="4" t="s">
        <v>46</v>
      </c>
      <c r="I57" s="4" t="s">
        <v>46</v>
      </c>
      <c r="J57" s="4" t="s">
        <v>220</v>
      </c>
      <c r="K57" s="4" t="s">
        <v>221</v>
      </c>
      <c r="L57" s="3">
        <v>46054</v>
      </c>
      <c r="M57" s="4" t="s">
        <v>49</v>
      </c>
      <c r="N57" s="4" t="s">
        <v>46</v>
      </c>
      <c r="O57" s="4" t="s">
        <v>50</v>
      </c>
      <c r="P57" s="4" t="s">
        <v>222</v>
      </c>
      <c r="Q57" s="2">
        <v>2</v>
      </c>
      <c r="R57" s="2">
        <v>60</v>
      </c>
      <c r="S57" s="4" t="s">
        <v>230</v>
      </c>
      <c r="T57" s="4" t="s">
        <v>46</v>
      </c>
      <c r="U57" s="4" t="s">
        <v>46</v>
      </c>
      <c r="V57" s="5">
        <v>10</v>
      </c>
      <c r="W57" s="5">
        <v>26.88</v>
      </c>
      <c r="X57" s="5">
        <v>100</v>
      </c>
      <c r="Y57" s="5">
        <v>2.69</v>
      </c>
      <c r="Z57" s="4" t="s">
        <v>46</v>
      </c>
      <c r="AA57" s="5" t="s">
        <v>46</v>
      </c>
      <c r="AB57" s="4" t="s">
        <v>234</v>
      </c>
      <c r="AC57" s="4" t="s">
        <v>46</v>
      </c>
      <c r="AD57" s="5">
        <v>0</v>
      </c>
      <c r="AE57" s="4" t="s">
        <v>235</v>
      </c>
      <c r="AF57" s="3">
        <v>45839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46050</v>
      </c>
      <c r="C58" s="4" t="s">
        <v>238</v>
      </c>
      <c r="D58" s="2">
        <v>1831491</v>
      </c>
      <c r="E58" s="4" t="s">
        <v>255</v>
      </c>
      <c r="F58" s="4" t="s">
        <v>256</v>
      </c>
      <c r="G58" s="4" t="s">
        <v>46</v>
      </c>
      <c r="H58" s="4" t="s">
        <v>46</v>
      </c>
      <c r="I58" s="4" t="s">
        <v>46</v>
      </c>
      <c r="J58" s="4" t="s">
        <v>220</v>
      </c>
      <c r="K58" s="4" t="s">
        <v>221</v>
      </c>
      <c r="L58" s="3">
        <v>46054</v>
      </c>
      <c r="M58" s="4" t="s">
        <v>49</v>
      </c>
      <c r="N58" s="4" t="s">
        <v>46</v>
      </c>
      <c r="O58" s="4" t="s">
        <v>50</v>
      </c>
      <c r="P58" s="4" t="s">
        <v>222</v>
      </c>
      <c r="Q58" s="2">
        <v>1</v>
      </c>
      <c r="R58" s="2">
        <v>60</v>
      </c>
      <c r="S58" s="4" t="s">
        <v>230</v>
      </c>
      <c r="T58" s="4" t="s">
        <v>46</v>
      </c>
      <c r="U58" s="4" t="s">
        <v>46</v>
      </c>
      <c r="V58" s="5">
        <v>10</v>
      </c>
      <c r="W58" s="5">
        <v>13.93</v>
      </c>
      <c r="X58" s="5">
        <v>100</v>
      </c>
      <c r="Y58" s="5">
        <v>1.39</v>
      </c>
      <c r="Z58" s="4" t="s">
        <v>46</v>
      </c>
      <c r="AA58" s="5" t="s">
        <v>46</v>
      </c>
      <c r="AB58" s="4" t="s">
        <v>234</v>
      </c>
      <c r="AC58" s="4" t="s">
        <v>46</v>
      </c>
      <c r="AD58" s="5">
        <v>0</v>
      </c>
      <c r="AE58" s="4" t="s">
        <v>235</v>
      </c>
      <c r="AF58" s="3">
        <v>45816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46050</v>
      </c>
      <c r="C59" s="4" t="s">
        <v>238</v>
      </c>
      <c r="D59" s="2">
        <v>1831491</v>
      </c>
      <c r="E59" s="4" t="s">
        <v>257</v>
      </c>
      <c r="F59" s="4" t="s">
        <v>258</v>
      </c>
      <c r="G59" s="4" t="s">
        <v>46</v>
      </c>
      <c r="H59" s="4" t="s">
        <v>46</v>
      </c>
      <c r="I59" s="4" t="s">
        <v>46</v>
      </c>
      <c r="J59" s="4" t="s">
        <v>220</v>
      </c>
      <c r="K59" s="4" t="s">
        <v>221</v>
      </c>
      <c r="L59" s="3">
        <v>46054</v>
      </c>
      <c r="M59" s="4" t="s">
        <v>49</v>
      </c>
      <c r="N59" s="4" t="s">
        <v>46</v>
      </c>
      <c r="O59" s="4" t="s">
        <v>50</v>
      </c>
      <c r="P59" s="4" t="s">
        <v>222</v>
      </c>
      <c r="Q59" s="2">
        <v>1</v>
      </c>
      <c r="R59" s="2">
        <v>60</v>
      </c>
      <c r="S59" s="4" t="s">
        <v>230</v>
      </c>
      <c r="T59" s="4" t="s">
        <v>46</v>
      </c>
      <c r="U59" s="4" t="s">
        <v>46</v>
      </c>
      <c r="V59" s="5">
        <v>10</v>
      </c>
      <c r="W59" s="5">
        <v>13.93</v>
      </c>
      <c r="X59" s="5">
        <v>100</v>
      </c>
      <c r="Y59" s="5">
        <v>1.39</v>
      </c>
      <c r="Z59" s="4" t="s">
        <v>46</v>
      </c>
      <c r="AA59" s="5" t="s">
        <v>46</v>
      </c>
      <c r="AB59" s="4" t="s">
        <v>234</v>
      </c>
      <c r="AC59" s="4" t="s">
        <v>46</v>
      </c>
      <c r="AD59" s="5">
        <v>0</v>
      </c>
      <c r="AE59" s="4" t="s">
        <v>235</v>
      </c>
      <c r="AF59" s="3">
        <v>45817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46050</v>
      </c>
      <c r="C60" s="4" t="s">
        <v>238</v>
      </c>
      <c r="D60" s="2">
        <v>1831491</v>
      </c>
      <c r="E60" s="4" t="s">
        <v>259</v>
      </c>
      <c r="F60" s="4" t="s">
        <v>260</v>
      </c>
      <c r="G60" s="4" t="s">
        <v>46</v>
      </c>
      <c r="H60" s="4" t="s">
        <v>46</v>
      </c>
      <c r="I60" s="4" t="s">
        <v>46</v>
      </c>
      <c r="J60" s="4" t="s">
        <v>220</v>
      </c>
      <c r="K60" s="4" t="s">
        <v>221</v>
      </c>
      <c r="L60" s="3">
        <v>46054</v>
      </c>
      <c r="M60" s="4" t="s">
        <v>49</v>
      </c>
      <c r="N60" s="4" t="s">
        <v>46</v>
      </c>
      <c r="O60" s="4" t="s">
        <v>50</v>
      </c>
      <c r="P60" s="4" t="s">
        <v>222</v>
      </c>
      <c r="Q60" s="2">
        <v>2</v>
      </c>
      <c r="R60" s="2">
        <v>60</v>
      </c>
      <c r="S60" s="4" t="s">
        <v>230</v>
      </c>
      <c r="T60" s="4" t="s">
        <v>46</v>
      </c>
      <c r="U60" s="4" t="s">
        <v>46</v>
      </c>
      <c r="V60" s="5">
        <v>10</v>
      </c>
      <c r="W60" s="5">
        <v>26.88</v>
      </c>
      <c r="X60" s="5">
        <v>100</v>
      </c>
      <c r="Y60" s="5">
        <v>2.69</v>
      </c>
      <c r="Z60" s="4" t="s">
        <v>46</v>
      </c>
      <c r="AA60" s="5" t="s">
        <v>46</v>
      </c>
      <c r="AB60" s="4" t="s">
        <v>234</v>
      </c>
      <c r="AC60" s="4" t="s">
        <v>46</v>
      </c>
      <c r="AD60" s="5">
        <v>0</v>
      </c>
      <c r="AE60" s="4" t="s">
        <v>235</v>
      </c>
      <c r="AF60" s="3">
        <v>45817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46050</v>
      </c>
      <c r="C61" s="4" t="s">
        <v>238</v>
      </c>
      <c r="D61" s="2">
        <v>1831491</v>
      </c>
      <c r="E61" s="4" t="s">
        <v>261</v>
      </c>
      <c r="F61" s="4" t="s">
        <v>262</v>
      </c>
      <c r="G61" s="4" t="s">
        <v>46</v>
      </c>
      <c r="H61" s="4" t="s">
        <v>46</v>
      </c>
      <c r="I61" s="4" t="s">
        <v>46</v>
      </c>
      <c r="J61" s="4" t="s">
        <v>220</v>
      </c>
      <c r="K61" s="4" t="s">
        <v>221</v>
      </c>
      <c r="L61" s="3">
        <v>46054</v>
      </c>
      <c r="M61" s="4" t="s">
        <v>49</v>
      </c>
      <c r="N61" s="4" t="s">
        <v>46</v>
      </c>
      <c r="O61" s="4" t="s">
        <v>50</v>
      </c>
      <c r="P61" s="4" t="s">
        <v>222</v>
      </c>
      <c r="Q61" s="2">
        <v>1</v>
      </c>
      <c r="R61" s="2">
        <v>60</v>
      </c>
      <c r="S61" s="4" t="s">
        <v>230</v>
      </c>
      <c r="T61" s="4" t="s">
        <v>46</v>
      </c>
      <c r="U61" s="4" t="s">
        <v>46</v>
      </c>
      <c r="V61" s="5">
        <v>10</v>
      </c>
      <c r="W61" s="5">
        <v>13.93</v>
      </c>
      <c r="X61" s="5">
        <v>100</v>
      </c>
      <c r="Y61" s="5">
        <v>1.39</v>
      </c>
      <c r="Z61" s="4" t="s">
        <v>46</v>
      </c>
      <c r="AA61" s="5" t="s">
        <v>46</v>
      </c>
      <c r="AB61" s="4" t="s">
        <v>234</v>
      </c>
      <c r="AC61" s="4" t="s">
        <v>46</v>
      </c>
      <c r="AD61" s="5">
        <v>0</v>
      </c>
      <c r="AE61" s="4" t="s">
        <v>235</v>
      </c>
      <c r="AF61" s="3">
        <v>45870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46050</v>
      </c>
      <c r="C62" s="4" t="s">
        <v>238</v>
      </c>
      <c r="D62" s="2">
        <v>1831491</v>
      </c>
      <c r="E62" s="4" t="s">
        <v>263</v>
      </c>
      <c r="F62" s="4" t="s">
        <v>264</v>
      </c>
      <c r="G62" s="4" t="s">
        <v>46</v>
      </c>
      <c r="H62" s="4" t="s">
        <v>46</v>
      </c>
      <c r="I62" s="4" t="s">
        <v>46</v>
      </c>
      <c r="J62" s="4" t="s">
        <v>220</v>
      </c>
      <c r="K62" s="4" t="s">
        <v>221</v>
      </c>
      <c r="L62" s="3">
        <v>46054</v>
      </c>
      <c r="M62" s="4" t="s">
        <v>49</v>
      </c>
      <c r="N62" s="4" t="s">
        <v>46</v>
      </c>
      <c r="O62" s="4" t="s">
        <v>50</v>
      </c>
      <c r="P62" s="4" t="s">
        <v>222</v>
      </c>
      <c r="Q62" s="2">
        <v>1</v>
      </c>
      <c r="R62" s="2">
        <v>60</v>
      </c>
      <c r="S62" s="4" t="s">
        <v>230</v>
      </c>
      <c r="T62" s="4" t="s">
        <v>46</v>
      </c>
      <c r="U62" s="4" t="s">
        <v>46</v>
      </c>
      <c r="V62" s="5">
        <v>10</v>
      </c>
      <c r="W62" s="5">
        <v>13.93</v>
      </c>
      <c r="X62" s="5">
        <v>100</v>
      </c>
      <c r="Y62" s="5">
        <v>1.39</v>
      </c>
      <c r="Z62" s="4" t="s">
        <v>46</v>
      </c>
      <c r="AA62" s="5" t="s">
        <v>46</v>
      </c>
      <c r="AB62" s="4" t="s">
        <v>234</v>
      </c>
      <c r="AC62" s="4" t="s">
        <v>46</v>
      </c>
      <c r="AD62" s="5">
        <v>0</v>
      </c>
      <c r="AE62" s="4" t="s">
        <v>235</v>
      </c>
      <c r="AF62" s="3">
        <v>45839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46050</v>
      </c>
      <c r="C63" s="4" t="s">
        <v>238</v>
      </c>
      <c r="D63" s="2">
        <v>1831491</v>
      </c>
      <c r="E63" s="4" t="s">
        <v>265</v>
      </c>
      <c r="F63" s="4" t="s">
        <v>266</v>
      </c>
      <c r="G63" s="4" t="s">
        <v>46</v>
      </c>
      <c r="H63" s="4" t="s">
        <v>46</v>
      </c>
      <c r="I63" s="4" t="s">
        <v>46</v>
      </c>
      <c r="J63" s="4" t="s">
        <v>220</v>
      </c>
      <c r="K63" s="4" t="s">
        <v>221</v>
      </c>
      <c r="L63" s="3">
        <v>46054</v>
      </c>
      <c r="M63" s="4" t="s">
        <v>49</v>
      </c>
      <c r="N63" s="4" t="s">
        <v>46</v>
      </c>
      <c r="O63" s="4" t="s">
        <v>50</v>
      </c>
      <c r="P63" s="4" t="s">
        <v>222</v>
      </c>
      <c r="Q63" s="2">
        <v>2</v>
      </c>
      <c r="R63" s="2">
        <v>60</v>
      </c>
      <c r="S63" s="4" t="s">
        <v>230</v>
      </c>
      <c r="T63" s="4" t="s">
        <v>46</v>
      </c>
      <c r="U63" s="4" t="s">
        <v>46</v>
      </c>
      <c r="V63" s="5">
        <v>10</v>
      </c>
      <c r="W63" s="5">
        <v>26.88</v>
      </c>
      <c r="X63" s="5">
        <v>100</v>
      </c>
      <c r="Y63" s="5">
        <v>2.69</v>
      </c>
      <c r="Z63" s="4" t="s">
        <v>46</v>
      </c>
      <c r="AA63" s="5" t="s">
        <v>46</v>
      </c>
      <c r="AB63" s="4" t="s">
        <v>234</v>
      </c>
      <c r="AC63" s="4" t="s">
        <v>46</v>
      </c>
      <c r="AD63" s="5">
        <v>0</v>
      </c>
      <c r="AE63" s="4" t="s">
        <v>235</v>
      </c>
      <c r="AF63" s="3">
        <v>45839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46050</v>
      </c>
      <c r="C64" s="4" t="s">
        <v>238</v>
      </c>
      <c r="D64" s="2">
        <v>1831491</v>
      </c>
      <c r="E64" s="4" t="s">
        <v>267</v>
      </c>
      <c r="F64" s="4" t="s">
        <v>268</v>
      </c>
      <c r="G64" s="4" t="s">
        <v>46</v>
      </c>
      <c r="H64" s="4" t="s">
        <v>46</v>
      </c>
      <c r="I64" s="4" t="s">
        <v>46</v>
      </c>
      <c r="J64" s="4" t="s">
        <v>220</v>
      </c>
      <c r="K64" s="4" t="s">
        <v>221</v>
      </c>
      <c r="L64" s="3">
        <v>46054</v>
      </c>
      <c r="M64" s="4" t="s">
        <v>49</v>
      </c>
      <c r="N64" s="4" t="s">
        <v>46</v>
      </c>
      <c r="O64" s="4" t="s">
        <v>50</v>
      </c>
      <c r="P64" s="4" t="s">
        <v>222</v>
      </c>
      <c r="Q64" s="2">
        <v>3</v>
      </c>
      <c r="R64" s="2">
        <v>60</v>
      </c>
      <c r="S64" s="4" t="s">
        <v>230</v>
      </c>
      <c r="T64" s="4" t="s">
        <v>46</v>
      </c>
      <c r="U64" s="4" t="s">
        <v>46</v>
      </c>
      <c r="V64" s="5">
        <v>10</v>
      </c>
      <c r="W64" s="5">
        <v>46.8</v>
      </c>
      <c r="X64" s="5">
        <v>100</v>
      </c>
      <c r="Y64" s="5">
        <v>4.68</v>
      </c>
      <c r="Z64" s="4" t="s">
        <v>46</v>
      </c>
      <c r="AA64" s="5" t="s">
        <v>46</v>
      </c>
      <c r="AB64" s="4" t="s">
        <v>234</v>
      </c>
      <c r="AC64" s="4" t="s">
        <v>46</v>
      </c>
      <c r="AD64" s="5">
        <v>0</v>
      </c>
      <c r="AE64" s="4" t="s">
        <v>235</v>
      </c>
      <c r="AF64" s="3">
        <v>45839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46050</v>
      </c>
      <c r="C65" s="4" t="s">
        <v>238</v>
      </c>
      <c r="D65" s="2">
        <v>1831491</v>
      </c>
      <c r="E65" s="4" t="s">
        <v>269</v>
      </c>
      <c r="F65" s="4" t="s">
        <v>270</v>
      </c>
      <c r="G65" s="4" t="s">
        <v>46</v>
      </c>
      <c r="H65" s="4" t="s">
        <v>46</v>
      </c>
      <c r="I65" s="4" t="s">
        <v>46</v>
      </c>
      <c r="J65" s="4" t="s">
        <v>220</v>
      </c>
      <c r="K65" s="4" t="s">
        <v>221</v>
      </c>
      <c r="L65" s="3">
        <v>46054</v>
      </c>
      <c r="M65" s="4" t="s">
        <v>49</v>
      </c>
      <c r="N65" s="4" t="s">
        <v>46</v>
      </c>
      <c r="O65" s="4" t="s">
        <v>50</v>
      </c>
      <c r="P65" s="4" t="s">
        <v>222</v>
      </c>
      <c r="Q65" s="2">
        <v>1</v>
      </c>
      <c r="R65" s="2">
        <v>60</v>
      </c>
      <c r="S65" s="4" t="s">
        <v>230</v>
      </c>
      <c r="T65" s="4" t="s">
        <v>46</v>
      </c>
      <c r="U65" s="4" t="s">
        <v>46</v>
      </c>
      <c r="V65" s="5">
        <v>10</v>
      </c>
      <c r="W65" s="5">
        <v>13.93</v>
      </c>
      <c r="X65" s="5">
        <v>100</v>
      </c>
      <c r="Y65" s="5">
        <v>1.39</v>
      </c>
      <c r="Z65" s="4" t="s">
        <v>46</v>
      </c>
      <c r="AA65" s="5" t="s">
        <v>46</v>
      </c>
      <c r="AB65" s="4" t="s">
        <v>234</v>
      </c>
      <c r="AC65" s="4" t="s">
        <v>46</v>
      </c>
      <c r="AD65" s="5">
        <v>0</v>
      </c>
      <c r="AE65" s="4" t="s">
        <v>235</v>
      </c>
      <c r="AF65" s="3">
        <v>45839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46050</v>
      </c>
      <c r="C66" s="4" t="s">
        <v>238</v>
      </c>
      <c r="D66" s="2">
        <v>1831491</v>
      </c>
      <c r="E66" s="4" t="s">
        <v>271</v>
      </c>
      <c r="F66" s="4" t="s">
        <v>272</v>
      </c>
      <c r="G66" s="4" t="s">
        <v>46</v>
      </c>
      <c r="H66" s="4" t="s">
        <v>46</v>
      </c>
      <c r="I66" s="4" t="s">
        <v>46</v>
      </c>
      <c r="J66" s="4" t="s">
        <v>220</v>
      </c>
      <c r="K66" s="4" t="s">
        <v>221</v>
      </c>
      <c r="L66" s="3">
        <v>46054</v>
      </c>
      <c r="M66" s="4" t="s">
        <v>49</v>
      </c>
      <c r="N66" s="4" t="s">
        <v>46</v>
      </c>
      <c r="O66" s="4" t="s">
        <v>50</v>
      </c>
      <c r="P66" s="4" t="s">
        <v>222</v>
      </c>
      <c r="Q66" s="2">
        <v>1</v>
      </c>
      <c r="R66" s="2">
        <v>60</v>
      </c>
      <c r="S66" s="4" t="s">
        <v>230</v>
      </c>
      <c r="T66" s="4" t="s">
        <v>46</v>
      </c>
      <c r="U66" s="4" t="s">
        <v>46</v>
      </c>
      <c r="V66" s="5">
        <v>10</v>
      </c>
      <c r="W66" s="5">
        <v>14.93</v>
      </c>
      <c r="X66" s="5">
        <v>100</v>
      </c>
      <c r="Y66" s="5">
        <v>1.49</v>
      </c>
      <c r="Z66" s="4" t="s">
        <v>46</v>
      </c>
      <c r="AA66" s="5" t="s">
        <v>46</v>
      </c>
      <c r="AB66" s="4" t="s">
        <v>234</v>
      </c>
      <c r="AC66" s="4" t="s">
        <v>46</v>
      </c>
      <c r="AD66" s="5">
        <v>0</v>
      </c>
      <c r="AE66" s="4" t="s">
        <v>235</v>
      </c>
      <c r="AF66" s="3">
        <v>45870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46050</v>
      </c>
      <c r="C67" s="4" t="s">
        <v>238</v>
      </c>
      <c r="D67" s="2">
        <v>1831491</v>
      </c>
      <c r="E67" s="4" t="s">
        <v>273</v>
      </c>
      <c r="F67" s="4" t="s">
        <v>274</v>
      </c>
      <c r="G67" s="4" t="s">
        <v>46</v>
      </c>
      <c r="H67" s="4" t="s">
        <v>46</v>
      </c>
      <c r="I67" s="4" t="s">
        <v>46</v>
      </c>
      <c r="J67" s="4" t="s">
        <v>220</v>
      </c>
      <c r="K67" s="4" t="s">
        <v>221</v>
      </c>
      <c r="L67" s="3">
        <v>46054</v>
      </c>
      <c r="M67" s="4" t="s">
        <v>49</v>
      </c>
      <c r="N67" s="4" t="s">
        <v>46</v>
      </c>
      <c r="O67" s="4" t="s">
        <v>50</v>
      </c>
      <c r="P67" s="4" t="s">
        <v>222</v>
      </c>
      <c r="Q67" s="2">
        <v>1</v>
      </c>
      <c r="R67" s="2">
        <v>60</v>
      </c>
      <c r="S67" s="4" t="s">
        <v>230</v>
      </c>
      <c r="T67" s="4" t="s">
        <v>46</v>
      </c>
      <c r="U67" s="4" t="s">
        <v>46</v>
      </c>
      <c r="V67" s="5">
        <v>10</v>
      </c>
      <c r="W67" s="5">
        <v>14.93</v>
      </c>
      <c r="X67" s="5">
        <v>100</v>
      </c>
      <c r="Y67" s="5">
        <v>1.49</v>
      </c>
      <c r="Z67" s="4" t="s">
        <v>46</v>
      </c>
      <c r="AA67" s="5" t="s">
        <v>46</v>
      </c>
      <c r="AB67" s="4" t="s">
        <v>234</v>
      </c>
      <c r="AC67" s="4" t="s">
        <v>46</v>
      </c>
      <c r="AD67" s="5">
        <v>0</v>
      </c>
      <c r="AE67" s="4" t="s">
        <v>235</v>
      </c>
      <c r="AF67" s="3">
        <v>45870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46050</v>
      </c>
      <c r="C68" s="4" t="s">
        <v>238</v>
      </c>
      <c r="D68" s="2">
        <v>1831491</v>
      </c>
      <c r="E68" s="4" t="s">
        <v>275</v>
      </c>
      <c r="F68" s="4" t="s">
        <v>276</v>
      </c>
      <c r="G68" s="4" t="s">
        <v>46</v>
      </c>
      <c r="H68" s="4" t="s">
        <v>46</v>
      </c>
      <c r="I68" s="4" t="s">
        <v>46</v>
      </c>
      <c r="J68" s="4" t="s">
        <v>220</v>
      </c>
      <c r="K68" s="4" t="s">
        <v>221</v>
      </c>
      <c r="L68" s="3">
        <v>46054</v>
      </c>
      <c r="M68" s="4" t="s">
        <v>49</v>
      </c>
      <c r="N68" s="4" t="s">
        <v>46</v>
      </c>
      <c r="O68" s="4" t="s">
        <v>50</v>
      </c>
      <c r="P68" s="4" t="s">
        <v>222</v>
      </c>
      <c r="Q68" s="2">
        <v>1</v>
      </c>
      <c r="R68" s="2">
        <v>60</v>
      </c>
      <c r="S68" s="4" t="s">
        <v>230</v>
      </c>
      <c r="T68" s="4" t="s">
        <v>46</v>
      </c>
      <c r="U68" s="4" t="s">
        <v>46</v>
      </c>
      <c r="V68" s="5">
        <v>10</v>
      </c>
      <c r="W68" s="5">
        <v>14.93</v>
      </c>
      <c r="X68" s="5">
        <v>100</v>
      </c>
      <c r="Y68" s="5">
        <v>1.49</v>
      </c>
      <c r="Z68" s="4" t="s">
        <v>46</v>
      </c>
      <c r="AA68" s="5" t="s">
        <v>46</v>
      </c>
      <c r="AB68" s="4" t="s">
        <v>234</v>
      </c>
      <c r="AC68" s="4" t="s">
        <v>46</v>
      </c>
      <c r="AD68" s="5">
        <v>0</v>
      </c>
      <c r="AE68" s="4" t="s">
        <v>235</v>
      </c>
      <c r="AF68" s="3">
        <v>45870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46050</v>
      </c>
      <c r="C69" s="4" t="s">
        <v>238</v>
      </c>
      <c r="D69" s="2">
        <v>1831491</v>
      </c>
      <c r="E69" s="4" t="s">
        <v>277</v>
      </c>
      <c r="F69" s="4" t="s">
        <v>278</v>
      </c>
      <c r="G69" s="4" t="s">
        <v>46</v>
      </c>
      <c r="H69" s="4" t="s">
        <v>46</v>
      </c>
      <c r="I69" s="4" t="s">
        <v>46</v>
      </c>
      <c r="J69" s="4" t="s">
        <v>220</v>
      </c>
      <c r="K69" s="4" t="s">
        <v>221</v>
      </c>
      <c r="L69" s="3">
        <v>46054</v>
      </c>
      <c r="M69" s="4" t="s">
        <v>49</v>
      </c>
      <c r="N69" s="4" t="s">
        <v>46</v>
      </c>
      <c r="O69" s="4" t="s">
        <v>50</v>
      </c>
      <c r="P69" s="4" t="s">
        <v>222</v>
      </c>
      <c r="Q69" s="2">
        <v>1</v>
      </c>
      <c r="R69" s="2">
        <v>60</v>
      </c>
      <c r="S69" s="4" t="s">
        <v>230</v>
      </c>
      <c r="T69" s="4" t="s">
        <v>46</v>
      </c>
      <c r="U69" s="4" t="s">
        <v>46</v>
      </c>
      <c r="V69" s="5">
        <v>10</v>
      </c>
      <c r="W69" s="5">
        <v>14.93</v>
      </c>
      <c r="X69" s="5">
        <v>100</v>
      </c>
      <c r="Y69" s="5">
        <v>1.49</v>
      </c>
      <c r="Z69" s="4" t="s">
        <v>46</v>
      </c>
      <c r="AA69" s="5" t="s">
        <v>46</v>
      </c>
      <c r="AB69" s="4" t="s">
        <v>234</v>
      </c>
      <c r="AC69" s="4" t="s">
        <v>46</v>
      </c>
      <c r="AD69" s="5">
        <v>0</v>
      </c>
      <c r="AE69" s="4" t="s">
        <v>235</v>
      </c>
      <c r="AF69" s="3">
        <v>45871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46050</v>
      </c>
      <c r="C70" s="4" t="s">
        <v>238</v>
      </c>
      <c r="D70" s="2">
        <v>1831491</v>
      </c>
      <c r="E70" s="4" t="s">
        <v>279</v>
      </c>
      <c r="F70" s="4" t="s">
        <v>280</v>
      </c>
      <c r="G70" s="4" t="s">
        <v>46</v>
      </c>
      <c r="H70" s="4" t="s">
        <v>46</v>
      </c>
      <c r="I70" s="4" t="s">
        <v>46</v>
      </c>
      <c r="J70" s="4" t="s">
        <v>220</v>
      </c>
      <c r="K70" s="4" t="s">
        <v>221</v>
      </c>
      <c r="L70" s="3">
        <v>46054</v>
      </c>
      <c r="M70" s="4" t="s">
        <v>49</v>
      </c>
      <c r="N70" s="4" t="s">
        <v>46</v>
      </c>
      <c r="O70" s="4" t="s">
        <v>50</v>
      </c>
      <c r="P70" s="4" t="s">
        <v>222</v>
      </c>
      <c r="Q70" s="2">
        <v>2</v>
      </c>
      <c r="R70" s="2">
        <v>60</v>
      </c>
      <c r="S70" s="4" t="s">
        <v>230</v>
      </c>
      <c r="T70" s="4" t="s">
        <v>46</v>
      </c>
      <c r="U70" s="4" t="s">
        <v>46</v>
      </c>
      <c r="V70" s="5">
        <v>10</v>
      </c>
      <c r="W70" s="5">
        <v>26.88</v>
      </c>
      <c r="X70" s="5">
        <v>100</v>
      </c>
      <c r="Y70" s="5">
        <v>2.69</v>
      </c>
      <c r="Z70" s="4" t="s">
        <v>46</v>
      </c>
      <c r="AA70" s="5" t="s">
        <v>46</v>
      </c>
      <c r="AB70" s="4" t="s">
        <v>234</v>
      </c>
      <c r="AC70" s="4" t="s">
        <v>46</v>
      </c>
      <c r="AD70" s="5">
        <v>0</v>
      </c>
      <c r="AE70" s="4" t="s">
        <v>235</v>
      </c>
      <c r="AF70" s="3">
        <v>45962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46050</v>
      </c>
      <c r="C71" s="4" t="s">
        <v>238</v>
      </c>
      <c r="D71" s="2">
        <v>1831491</v>
      </c>
      <c r="E71" s="4" t="s">
        <v>281</v>
      </c>
      <c r="F71" s="4" t="s">
        <v>282</v>
      </c>
      <c r="G71" s="4" t="s">
        <v>46</v>
      </c>
      <c r="H71" s="4" t="s">
        <v>46</v>
      </c>
      <c r="I71" s="4" t="s">
        <v>46</v>
      </c>
      <c r="J71" s="4" t="s">
        <v>220</v>
      </c>
      <c r="K71" s="4" t="s">
        <v>221</v>
      </c>
      <c r="L71" s="3">
        <v>46082</v>
      </c>
      <c r="M71" s="4" t="s">
        <v>60</v>
      </c>
      <c r="N71" s="4" t="s">
        <v>46</v>
      </c>
      <c r="O71" s="4" t="s">
        <v>50</v>
      </c>
      <c r="P71" s="4" t="s">
        <v>222</v>
      </c>
      <c r="Q71" s="2">
        <v>1</v>
      </c>
      <c r="R71" s="2">
        <v>60</v>
      </c>
      <c r="S71" s="4" t="s">
        <v>230</v>
      </c>
      <c r="T71" s="4" t="s">
        <v>46</v>
      </c>
      <c r="U71" s="4" t="s">
        <v>46</v>
      </c>
      <c r="V71" s="5">
        <v>10</v>
      </c>
      <c r="W71" s="5">
        <v>-14.93</v>
      </c>
      <c r="X71" s="5">
        <v>100</v>
      </c>
      <c r="Y71" s="5">
        <v>-1.49</v>
      </c>
      <c r="Z71" s="4" t="s">
        <v>46</v>
      </c>
      <c r="AA71" s="5" t="s">
        <v>46</v>
      </c>
      <c r="AB71" s="4" t="s">
        <v>234</v>
      </c>
      <c r="AC71" s="4" t="s">
        <v>46</v>
      </c>
      <c r="AD71" s="5">
        <v>0</v>
      </c>
      <c r="AE71" s="4" t="s">
        <v>235</v>
      </c>
      <c r="AF71" s="3">
        <v>45908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46050</v>
      </c>
      <c r="C72" s="4" t="s">
        <v>238</v>
      </c>
      <c r="D72" s="2">
        <v>1831491</v>
      </c>
      <c r="E72" s="4" t="s">
        <v>283</v>
      </c>
      <c r="F72" s="4" t="s">
        <v>284</v>
      </c>
      <c r="G72" s="4" t="s">
        <v>46</v>
      </c>
      <c r="H72" s="4" t="s">
        <v>46</v>
      </c>
      <c r="I72" s="4" t="s">
        <v>46</v>
      </c>
      <c r="J72" s="4" t="s">
        <v>220</v>
      </c>
      <c r="K72" s="4" t="s">
        <v>221</v>
      </c>
      <c r="L72" s="3">
        <v>46054</v>
      </c>
      <c r="M72" s="4" t="s">
        <v>49</v>
      </c>
      <c r="N72" s="4" t="s">
        <v>46</v>
      </c>
      <c r="O72" s="4" t="s">
        <v>50</v>
      </c>
      <c r="P72" s="4" t="s">
        <v>222</v>
      </c>
      <c r="Q72" s="2">
        <v>2</v>
      </c>
      <c r="R72" s="2">
        <v>60</v>
      </c>
      <c r="S72" s="4" t="s">
        <v>230</v>
      </c>
      <c r="T72" s="4" t="s">
        <v>46</v>
      </c>
      <c r="U72" s="4" t="s">
        <v>46</v>
      </c>
      <c r="V72" s="5">
        <v>10</v>
      </c>
      <c r="W72" s="5">
        <v>26.88</v>
      </c>
      <c r="X72" s="5">
        <v>100</v>
      </c>
      <c r="Y72" s="5">
        <v>2.69</v>
      </c>
      <c r="Z72" s="4" t="s">
        <v>46</v>
      </c>
      <c r="AA72" s="5" t="s">
        <v>46</v>
      </c>
      <c r="AB72" s="4" t="s">
        <v>234</v>
      </c>
      <c r="AC72" s="4" t="s">
        <v>46</v>
      </c>
      <c r="AD72" s="5">
        <v>0</v>
      </c>
      <c r="AE72" s="4" t="s">
        <v>235</v>
      </c>
      <c r="AF72" s="3">
        <v>45901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46050</v>
      </c>
      <c r="C73" s="4" t="s">
        <v>238</v>
      </c>
      <c r="D73" s="2">
        <v>1831491</v>
      </c>
      <c r="E73" s="4" t="s">
        <v>285</v>
      </c>
      <c r="F73" s="4" t="s">
        <v>286</v>
      </c>
      <c r="G73" s="4" t="s">
        <v>46</v>
      </c>
      <c r="H73" s="4" t="s">
        <v>46</v>
      </c>
      <c r="I73" s="4" t="s">
        <v>46</v>
      </c>
      <c r="J73" s="4" t="s">
        <v>220</v>
      </c>
      <c r="K73" s="4" t="s">
        <v>221</v>
      </c>
      <c r="L73" s="3">
        <v>46082</v>
      </c>
      <c r="M73" s="4" t="s">
        <v>60</v>
      </c>
      <c r="N73" s="4" t="s">
        <v>46</v>
      </c>
      <c r="O73" s="4" t="s">
        <v>50</v>
      </c>
      <c r="P73" s="4" t="s">
        <v>222</v>
      </c>
      <c r="Q73" s="2">
        <v>1</v>
      </c>
      <c r="R73" s="2">
        <v>60</v>
      </c>
      <c r="S73" s="4" t="s">
        <v>230</v>
      </c>
      <c r="T73" s="4" t="s">
        <v>46</v>
      </c>
      <c r="U73" s="4" t="s">
        <v>46</v>
      </c>
      <c r="V73" s="5">
        <v>10</v>
      </c>
      <c r="W73" s="5">
        <v>-15.43</v>
      </c>
      <c r="X73" s="5">
        <v>100</v>
      </c>
      <c r="Y73" s="5">
        <v>-1.54</v>
      </c>
      <c r="Z73" s="4" t="s">
        <v>46</v>
      </c>
      <c r="AA73" s="5" t="s">
        <v>46</v>
      </c>
      <c r="AB73" s="4" t="s">
        <v>234</v>
      </c>
      <c r="AC73" s="4" t="s">
        <v>46</v>
      </c>
      <c r="AD73" s="5">
        <v>0</v>
      </c>
      <c r="AE73" s="4" t="s">
        <v>235</v>
      </c>
      <c r="AF73" s="3">
        <v>45991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46050</v>
      </c>
      <c r="C74" s="4" t="s">
        <v>238</v>
      </c>
      <c r="D74" s="2">
        <v>1831491</v>
      </c>
      <c r="E74" s="4" t="s">
        <v>287</v>
      </c>
      <c r="F74" s="4" t="s">
        <v>288</v>
      </c>
      <c r="G74" s="4" t="s">
        <v>46</v>
      </c>
      <c r="H74" s="4" t="s">
        <v>46</v>
      </c>
      <c r="I74" s="4" t="s">
        <v>46</v>
      </c>
      <c r="J74" s="4" t="s">
        <v>220</v>
      </c>
      <c r="K74" s="4" t="s">
        <v>221</v>
      </c>
      <c r="L74" s="3">
        <v>46054</v>
      </c>
      <c r="M74" s="4" t="s">
        <v>49</v>
      </c>
      <c r="N74" s="4" t="s">
        <v>46</v>
      </c>
      <c r="O74" s="4" t="s">
        <v>50</v>
      </c>
      <c r="P74" s="4" t="s">
        <v>222</v>
      </c>
      <c r="Q74" s="2">
        <v>1</v>
      </c>
      <c r="R74" s="2">
        <v>60</v>
      </c>
      <c r="S74" s="4" t="s">
        <v>230</v>
      </c>
      <c r="T74" s="4" t="s">
        <v>46</v>
      </c>
      <c r="U74" s="4" t="s">
        <v>46</v>
      </c>
      <c r="V74" s="5">
        <v>10</v>
      </c>
      <c r="W74" s="5">
        <v>14.93</v>
      </c>
      <c r="X74" s="5">
        <v>100</v>
      </c>
      <c r="Y74" s="5">
        <v>1.49</v>
      </c>
      <c r="Z74" s="4" t="s">
        <v>46</v>
      </c>
      <c r="AA74" s="5" t="s">
        <v>46</v>
      </c>
      <c r="AB74" s="4" t="s">
        <v>234</v>
      </c>
      <c r="AC74" s="4" t="s">
        <v>46</v>
      </c>
      <c r="AD74" s="5">
        <v>0</v>
      </c>
      <c r="AE74" s="4" t="s">
        <v>235</v>
      </c>
      <c r="AF74" s="3">
        <v>45931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46050</v>
      </c>
      <c r="C75" s="4" t="s">
        <v>238</v>
      </c>
      <c r="D75" s="2">
        <v>1831491</v>
      </c>
      <c r="E75" s="4" t="s">
        <v>289</v>
      </c>
      <c r="F75" s="4" t="s">
        <v>290</v>
      </c>
      <c r="G75" s="4" t="s">
        <v>46</v>
      </c>
      <c r="H75" s="4" t="s">
        <v>46</v>
      </c>
      <c r="I75" s="4" t="s">
        <v>46</v>
      </c>
      <c r="J75" s="4" t="s">
        <v>220</v>
      </c>
      <c r="K75" s="4" t="s">
        <v>221</v>
      </c>
      <c r="L75" s="3">
        <v>46054</v>
      </c>
      <c r="M75" s="4" t="s">
        <v>49</v>
      </c>
      <c r="N75" s="4" t="s">
        <v>46</v>
      </c>
      <c r="O75" s="4" t="s">
        <v>50</v>
      </c>
      <c r="P75" s="4" t="s">
        <v>222</v>
      </c>
      <c r="Q75" s="2">
        <v>1</v>
      </c>
      <c r="R75" s="2">
        <v>60</v>
      </c>
      <c r="S75" s="4" t="s">
        <v>230</v>
      </c>
      <c r="T75" s="4" t="s">
        <v>46</v>
      </c>
      <c r="U75" s="4" t="s">
        <v>46</v>
      </c>
      <c r="V75" s="5">
        <v>10</v>
      </c>
      <c r="W75" s="5">
        <v>14.93</v>
      </c>
      <c r="X75" s="5">
        <v>100</v>
      </c>
      <c r="Y75" s="5">
        <v>1.49</v>
      </c>
      <c r="Z75" s="4" t="s">
        <v>46</v>
      </c>
      <c r="AA75" s="5" t="s">
        <v>46</v>
      </c>
      <c r="AB75" s="4" t="s">
        <v>234</v>
      </c>
      <c r="AC75" s="4" t="s">
        <v>46</v>
      </c>
      <c r="AD75" s="5">
        <v>0</v>
      </c>
      <c r="AE75" s="4" t="s">
        <v>235</v>
      </c>
      <c r="AF75" s="3">
        <v>45962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46050</v>
      </c>
      <c r="C76" s="4" t="s">
        <v>238</v>
      </c>
      <c r="D76" s="2">
        <v>1831491</v>
      </c>
      <c r="E76" s="4" t="s">
        <v>291</v>
      </c>
      <c r="F76" s="4" t="s">
        <v>292</v>
      </c>
      <c r="G76" s="4" t="s">
        <v>46</v>
      </c>
      <c r="H76" s="4" t="s">
        <v>46</v>
      </c>
      <c r="I76" s="4" t="s">
        <v>46</v>
      </c>
      <c r="J76" s="4" t="s">
        <v>220</v>
      </c>
      <c r="K76" s="4" t="s">
        <v>221</v>
      </c>
      <c r="L76" s="3">
        <v>46054</v>
      </c>
      <c r="M76" s="4" t="s">
        <v>49</v>
      </c>
      <c r="N76" s="4" t="s">
        <v>46</v>
      </c>
      <c r="O76" s="4" t="s">
        <v>50</v>
      </c>
      <c r="P76" s="4" t="s">
        <v>222</v>
      </c>
      <c r="Q76" s="2">
        <v>2</v>
      </c>
      <c r="R76" s="2">
        <v>60</v>
      </c>
      <c r="S76" s="4" t="s">
        <v>230</v>
      </c>
      <c r="T76" s="4" t="s">
        <v>46</v>
      </c>
      <c r="U76" s="4" t="s">
        <v>46</v>
      </c>
      <c r="V76" s="5">
        <v>10</v>
      </c>
      <c r="W76" s="5">
        <v>26.88</v>
      </c>
      <c r="X76" s="5">
        <v>100</v>
      </c>
      <c r="Y76" s="5">
        <v>2.69</v>
      </c>
      <c r="Z76" s="4" t="s">
        <v>46</v>
      </c>
      <c r="AA76" s="5" t="s">
        <v>46</v>
      </c>
      <c r="AB76" s="4" t="s">
        <v>234</v>
      </c>
      <c r="AC76" s="4" t="s">
        <v>46</v>
      </c>
      <c r="AD76" s="5">
        <v>0</v>
      </c>
      <c r="AE76" s="4" t="s">
        <v>235</v>
      </c>
      <c r="AF76" s="3">
        <v>45962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46050</v>
      </c>
      <c r="C77" s="4" t="s">
        <v>238</v>
      </c>
      <c r="D77" s="2">
        <v>1831491</v>
      </c>
      <c r="E77" s="4" t="s">
        <v>293</v>
      </c>
      <c r="F77" s="4" t="s">
        <v>294</v>
      </c>
      <c r="G77" s="4" t="s">
        <v>46</v>
      </c>
      <c r="H77" s="4" t="s">
        <v>46</v>
      </c>
      <c r="I77" s="4" t="s">
        <v>46</v>
      </c>
      <c r="J77" s="4" t="s">
        <v>220</v>
      </c>
      <c r="K77" s="4" t="s">
        <v>221</v>
      </c>
      <c r="L77" s="3">
        <v>46054</v>
      </c>
      <c r="M77" s="4" t="s">
        <v>49</v>
      </c>
      <c r="N77" s="4" t="s">
        <v>46</v>
      </c>
      <c r="O77" s="4" t="s">
        <v>50</v>
      </c>
      <c r="P77" s="4" t="s">
        <v>222</v>
      </c>
      <c r="Q77" s="2">
        <v>1</v>
      </c>
      <c r="R77" s="2">
        <v>60</v>
      </c>
      <c r="S77" s="4" t="s">
        <v>230</v>
      </c>
      <c r="T77" s="4" t="s">
        <v>46</v>
      </c>
      <c r="U77" s="4" t="s">
        <v>46</v>
      </c>
      <c r="V77" s="5">
        <v>10</v>
      </c>
      <c r="W77" s="5">
        <v>14.93</v>
      </c>
      <c r="X77" s="5">
        <v>100</v>
      </c>
      <c r="Y77" s="5">
        <v>1.49</v>
      </c>
      <c r="Z77" s="4" t="s">
        <v>46</v>
      </c>
      <c r="AA77" s="5" t="s">
        <v>46</v>
      </c>
      <c r="AB77" s="4" t="s">
        <v>234</v>
      </c>
      <c r="AC77" s="4" t="s">
        <v>46</v>
      </c>
      <c r="AD77" s="5">
        <v>0</v>
      </c>
      <c r="AE77" s="4" t="s">
        <v>235</v>
      </c>
      <c r="AF77" s="3">
        <v>45992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46050</v>
      </c>
      <c r="C78" s="4" t="s">
        <v>238</v>
      </c>
      <c r="D78" s="2">
        <v>1831491</v>
      </c>
      <c r="E78" s="4" t="s">
        <v>295</v>
      </c>
      <c r="F78" s="4" t="s">
        <v>296</v>
      </c>
      <c r="G78" s="4" t="s">
        <v>46</v>
      </c>
      <c r="H78" s="4" t="s">
        <v>46</v>
      </c>
      <c r="I78" s="4" t="s">
        <v>46</v>
      </c>
      <c r="J78" s="4" t="s">
        <v>220</v>
      </c>
      <c r="K78" s="4" t="s">
        <v>221</v>
      </c>
      <c r="L78" s="3">
        <v>46054</v>
      </c>
      <c r="M78" s="4" t="s">
        <v>49</v>
      </c>
      <c r="N78" s="4" t="s">
        <v>46</v>
      </c>
      <c r="O78" s="4" t="s">
        <v>50</v>
      </c>
      <c r="P78" s="4" t="s">
        <v>222</v>
      </c>
      <c r="Q78" s="2">
        <v>2</v>
      </c>
      <c r="R78" s="2">
        <v>60</v>
      </c>
      <c r="S78" s="4" t="s">
        <v>230</v>
      </c>
      <c r="T78" s="4" t="s">
        <v>46</v>
      </c>
      <c r="U78" s="4" t="s">
        <v>46</v>
      </c>
      <c r="V78" s="5">
        <v>10</v>
      </c>
      <c r="W78" s="5">
        <v>26.88</v>
      </c>
      <c r="X78" s="5">
        <v>100</v>
      </c>
      <c r="Y78" s="5">
        <v>2.69</v>
      </c>
      <c r="Z78" s="4" t="s">
        <v>46</v>
      </c>
      <c r="AA78" s="5" t="s">
        <v>46</v>
      </c>
      <c r="AB78" s="4" t="s">
        <v>234</v>
      </c>
      <c r="AC78" s="4" t="s">
        <v>46</v>
      </c>
      <c r="AD78" s="5">
        <v>0</v>
      </c>
      <c r="AE78" s="4" t="s">
        <v>235</v>
      </c>
      <c r="AF78" s="3">
        <v>45992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46050</v>
      </c>
      <c r="C79" s="4" t="s">
        <v>238</v>
      </c>
      <c r="D79" s="2">
        <v>1831491</v>
      </c>
      <c r="E79" s="4" t="s">
        <v>297</v>
      </c>
      <c r="F79" s="4" t="s">
        <v>298</v>
      </c>
      <c r="G79" s="4" t="s">
        <v>46</v>
      </c>
      <c r="H79" s="4" t="s">
        <v>46</v>
      </c>
      <c r="I79" s="4" t="s">
        <v>46</v>
      </c>
      <c r="J79" s="4" t="s">
        <v>220</v>
      </c>
      <c r="K79" s="4" t="s">
        <v>221</v>
      </c>
      <c r="L79" s="3">
        <v>46054</v>
      </c>
      <c r="M79" s="4" t="s">
        <v>49</v>
      </c>
      <c r="N79" s="4" t="s">
        <v>46</v>
      </c>
      <c r="O79" s="4" t="s">
        <v>50</v>
      </c>
      <c r="P79" s="4" t="s">
        <v>222</v>
      </c>
      <c r="Q79" s="2">
        <v>1</v>
      </c>
      <c r="R79" s="2">
        <v>60</v>
      </c>
      <c r="S79" s="4" t="s">
        <v>230</v>
      </c>
      <c r="T79" s="4" t="s">
        <v>46</v>
      </c>
      <c r="U79" s="4" t="s">
        <v>46</v>
      </c>
      <c r="V79" s="5">
        <v>10</v>
      </c>
      <c r="W79" s="5">
        <v>14.93</v>
      </c>
      <c r="X79" s="5">
        <v>100</v>
      </c>
      <c r="Y79" s="5">
        <v>1.49</v>
      </c>
      <c r="Z79" s="4" t="s">
        <v>46</v>
      </c>
      <c r="AA79" s="5" t="s">
        <v>46</v>
      </c>
      <c r="AB79" s="4" t="s">
        <v>234</v>
      </c>
      <c r="AC79" s="4" t="s">
        <v>46</v>
      </c>
      <c r="AD79" s="5">
        <v>0</v>
      </c>
      <c r="AE79" s="4" t="s">
        <v>235</v>
      </c>
      <c r="AF79" s="3">
        <v>46023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46050</v>
      </c>
      <c r="C80" s="4" t="s">
        <v>238</v>
      </c>
      <c r="D80" s="2">
        <v>1831491</v>
      </c>
      <c r="E80" s="4" t="s">
        <v>299</v>
      </c>
      <c r="F80" s="4" t="s">
        <v>300</v>
      </c>
      <c r="G80" s="4" t="s">
        <v>46</v>
      </c>
      <c r="H80" s="4" t="s">
        <v>46</v>
      </c>
      <c r="I80" s="4" t="s">
        <v>46</v>
      </c>
      <c r="J80" s="4" t="s">
        <v>220</v>
      </c>
      <c r="K80" s="4" t="s">
        <v>221</v>
      </c>
      <c r="L80" s="3">
        <v>46054</v>
      </c>
      <c r="M80" s="4" t="s">
        <v>49</v>
      </c>
      <c r="N80" s="4" t="s">
        <v>46</v>
      </c>
      <c r="O80" s="4" t="s">
        <v>50</v>
      </c>
      <c r="P80" s="4" t="s">
        <v>222</v>
      </c>
      <c r="Q80" s="2">
        <v>1</v>
      </c>
      <c r="R80" s="2">
        <v>60</v>
      </c>
      <c r="S80" s="4" t="s">
        <v>230</v>
      </c>
      <c r="T80" s="4" t="s">
        <v>46</v>
      </c>
      <c r="U80" s="4" t="s">
        <v>46</v>
      </c>
      <c r="V80" s="5">
        <v>10</v>
      </c>
      <c r="W80" s="5">
        <v>14.93</v>
      </c>
      <c r="X80" s="5">
        <v>100</v>
      </c>
      <c r="Y80" s="5">
        <v>1.49</v>
      </c>
      <c r="Z80" s="4" t="s">
        <v>46</v>
      </c>
      <c r="AA80" s="5" t="s">
        <v>46</v>
      </c>
      <c r="AB80" s="4" t="s">
        <v>234</v>
      </c>
      <c r="AC80" s="4" t="s">
        <v>46</v>
      </c>
      <c r="AD80" s="5">
        <v>0</v>
      </c>
      <c r="AE80" s="4" t="s">
        <v>235</v>
      </c>
      <c r="AF80" s="3">
        <v>46023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46050</v>
      </c>
      <c r="C81" s="4" t="s">
        <v>238</v>
      </c>
      <c r="D81" s="2">
        <v>1831491</v>
      </c>
      <c r="E81" s="4" t="s">
        <v>301</v>
      </c>
      <c r="F81" s="4" t="s">
        <v>302</v>
      </c>
      <c r="G81" s="4" t="s">
        <v>46</v>
      </c>
      <c r="H81" s="4" t="s">
        <v>46</v>
      </c>
      <c r="I81" s="4" t="s">
        <v>46</v>
      </c>
      <c r="J81" s="4" t="s">
        <v>220</v>
      </c>
      <c r="K81" s="4" t="s">
        <v>221</v>
      </c>
      <c r="L81" s="3">
        <v>46054</v>
      </c>
      <c r="M81" s="4" t="s">
        <v>49</v>
      </c>
      <c r="N81" s="4" t="s">
        <v>46</v>
      </c>
      <c r="O81" s="4" t="s">
        <v>50</v>
      </c>
      <c r="P81" s="4" t="s">
        <v>222</v>
      </c>
      <c r="Q81" s="2">
        <v>1</v>
      </c>
      <c r="R81" s="2">
        <v>60</v>
      </c>
      <c r="S81" s="4" t="s">
        <v>230</v>
      </c>
      <c r="T81" s="4" t="s">
        <v>46</v>
      </c>
      <c r="U81" s="4" t="s">
        <v>46</v>
      </c>
      <c r="V81" s="5">
        <v>10</v>
      </c>
      <c r="W81" s="5">
        <v>14.93</v>
      </c>
      <c r="X81" s="5">
        <v>100</v>
      </c>
      <c r="Y81" s="5">
        <v>1.49</v>
      </c>
      <c r="Z81" s="4" t="s">
        <v>46</v>
      </c>
      <c r="AA81" s="5" t="s">
        <v>46</v>
      </c>
      <c r="AB81" s="4" t="s">
        <v>234</v>
      </c>
      <c r="AC81" s="4" t="s">
        <v>46</v>
      </c>
      <c r="AD81" s="5">
        <v>0</v>
      </c>
      <c r="AE81" s="4" t="s">
        <v>235</v>
      </c>
      <c r="AF81" s="3">
        <v>46023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46050</v>
      </c>
      <c r="C82" s="4" t="s">
        <v>238</v>
      </c>
      <c r="D82" s="2">
        <v>1831491</v>
      </c>
      <c r="E82" s="4" t="s">
        <v>303</v>
      </c>
      <c r="F82" s="4" t="s">
        <v>304</v>
      </c>
      <c r="G82" s="4" t="s">
        <v>46</v>
      </c>
      <c r="H82" s="4" t="s">
        <v>46</v>
      </c>
      <c r="I82" s="4" t="s">
        <v>46</v>
      </c>
      <c r="J82" s="4" t="s">
        <v>220</v>
      </c>
      <c r="K82" s="4" t="s">
        <v>221</v>
      </c>
      <c r="L82" s="3">
        <v>46054</v>
      </c>
      <c r="M82" s="4" t="s">
        <v>49</v>
      </c>
      <c r="N82" s="4" t="s">
        <v>46</v>
      </c>
      <c r="O82" s="4" t="s">
        <v>50</v>
      </c>
      <c r="P82" s="4" t="s">
        <v>222</v>
      </c>
      <c r="Q82" s="2">
        <v>1</v>
      </c>
      <c r="R82" s="2">
        <v>60</v>
      </c>
      <c r="S82" s="4" t="s">
        <v>230</v>
      </c>
      <c r="T82" s="4" t="s">
        <v>46</v>
      </c>
      <c r="U82" s="4" t="s">
        <v>46</v>
      </c>
      <c r="V82" s="5">
        <v>10</v>
      </c>
      <c r="W82" s="5">
        <v>14.93</v>
      </c>
      <c r="X82" s="5">
        <v>100</v>
      </c>
      <c r="Y82" s="5">
        <v>1.49</v>
      </c>
      <c r="Z82" s="4" t="s">
        <v>46</v>
      </c>
      <c r="AA82" s="5" t="s">
        <v>46</v>
      </c>
      <c r="AB82" s="4" t="s">
        <v>234</v>
      </c>
      <c r="AC82" s="4" t="s">
        <v>46</v>
      </c>
      <c r="AD82" s="5">
        <v>0</v>
      </c>
      <c r="AE82" s="4" t="s">
        <v>235</v>
      </c>
      <c r="AF82" s="3">
        <v>46023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46050</v>
      </c>
      <c r="C83" s="4" t="s">
        <v>238</v>
      </c>
      <c r="D83" s="2">
        <v>1831491</v>
      </c>
      <c r="E83" s="4" t="s">
        <v>305</v>
      </c>
      <c r="F83" s="4" t="s">
        <v>306</v>
      </c>
      <c r="G83" s="4" t="s">
        <v>46</v>
      </c>
      <c r="H83" s="4" t="s">
        <v>46</v>
      </c>
      <c r="I83" s="4" t="s">
        <v>46</v>
      </c>
      <c r="J83" s="4" t="s">
        <v>220</v>
      </c>
      <c r="K83" s="4" t="s">
        <v>221</v>
      </c>
      <c r="L83" s="3">
        <v>46054</v>
      </c>
      <c r="M83" s="4" t="s">
        <v>49</v>
      </c>
      <c r="N83" s="4" t="s">
        <v>46</v>
      </c>
      <c r="O83" s="4" t="s">
        <v>50</v>
      </c>
      <c r="P83" s="4" t="s">
        <v>222</v>
      </c>
      <c r="Q83" s="2">
        <v>2</v>
      </c>
      <c r="R83" s="2">
        <v>60</v>
      </c>
      <c r="S83" s="4" t="s">
        <v>230</v>
      </c>
      <c r="T83" s="4" t="s">
        <v>46</v>
      </c>
      <c r="U83" s="4" t="s">
        <v>46</v>
      </c>
      <c r="V83" s="5">
        <v>10</v>
      </c>
      <c r="W83" s="5">
        <v>26.88</v>
      </c>
      <c r="X83" s="5">
        <v>100</v>
      </c>
      <c r="Y83" s="5">
        <v>2.69</v>
      </c>
      <c r="Z83" s="4" t="s">
        <v>46</v>
      </c>
      <c r="AA83" s="5" t="s">
        <v>46</v>
      </c>
      <c r="AB83" s="4" t="s">
        <v>234</v>
      </c>
      <c r="AC83" s="4" t="s">
        <v>46</v>
      </c>
      <c r="AD83" s="5">
        <v>0</v>
      </c>
      <c r="AE83" s="4" t="s">
        <v>235</v>
      </c>
      <c r="AF83" s="3">
        <v>45976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46050</v>
      </c>
      <c r="C84" s="4" t="s">
        <v>238</v>
      </c>
      <c r="D84" s="2">
        <v>1831491</v>
      </c>
      <c r="E84" s="4" t="s">
        <v>307</v>
      </c>
      <c r="F84" s="4" t="s">
        <v>308</v>
      </c>
      <c r="G84" s="4" t="s">
        <v>46</v>
      </c>
      <c r="H84" s="4" t="s">
        <v>46</v>
      </c>
      <c r="I84" s="4" t="s">
        <v>46</v>
      </c>
      <c r="J84" s="4" t="s">
        <v>220</v>
      </c>
      <c r="K84" s="4" t="s">
        <v>221</v>
      </c>
      <c r="L84" s="3">
        <v>46054</v>
      </c>
      <c r="M84" s="4" t="s">
        <v>49</v>
      </c>
      <c r="N84" s="4" t="s">
        <v>46</v>
      </c>
      <c r="O84" s="4" t="s">
        <v>50</v>
      </c>
      <c r="P84" s="4" t="s">
        <v>222</v>
      </c>
      <c r="Q84" s="2">
        <v>1</v>
      </c>
      <c r="R84" s="2">
        <v>60</v>
      </c>
      <c r="S84" s="4" t="s">
        <v>230</v>
      </c>
      <c r="T84" s="4" t="s">
        <v>46</v>
      </c>
      <c r="U84" s="4" t="s">
        <v>46</v>
      </c>
      <c r="V84" s="5">
        <v>10</v>
      </c>
      <c r="W84" s="5">
        <v>14.93</v>
      </c>
      <c r="X84" s="5">
        <v>100</v>
      </c>
      <c r="Y84" s="5">
        <v>1.49</v>
      </c>
      <c r="Z84" s="4" t="s">
        <v>46</v>
      </c>
      <c r="AA84" s="5" t="s">
        <v>46</v>
      </c>
      <c r="AB84" s="4" t="s">
        <v>234</v>
      </c>
      <c r="AC84" s="4" t="s">
        <v>46</v>
      </c>
      <c r="AD84" s="5">
        <v>0</v>
      </c>
      <c r="AE84" s="4" t="s">
        <v>235</v>
      </c>
      <c r="AF84" s="3">
        <v>45978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46050</v>
      </c>
      <c r="C85" s="4" t="s">
        <v>238</v>
      </c>
      <c r="D85" s="2">
        <v>1831491</v>
      </c>
      <c r="E85" s="4" t="s">
        <v>309</v>
      </c>
      <c r="F85" s="4" t="s">
        <v>310</v>
      </c>
      <c r="G85" s="4" t="s">
        <v>46</v>
      </c>
      <c r="H85" s="4" t="s">
        <v>46</v>
      </c>
      <c r="I85" s="4" t="s">
        <v>46</v>
      </c>
      <c r="J85" s="4" t="s">
        <v>220</v>
      </c>
      <c r="K85" s="4" t="s">
        <v>221</v>
      </c>
      <c r="L85" s="3">
        <v>46054</v>
      </c>
      <c r="M85" s="4" t="s">
        <v>49</v>
      </c>
      <c r="N85" s="4" t="s">
        <v>46</v>
      </c>
      <c r="O85" s="4" t="s">
        <v>50</v>
      </c>
      <c r="P85" s="4" t="s">
        <v>222</v>
      </c>
      <c r="Q85" s="2">
        <v>1</v>
      </c>
      <c r="R85" s="2">
        <v>60</v>
      </c>
      <c r="S85" s="4" t="s">
        <v>230</v>
      </c>
      <c r="T85" s="4" t="s">
        <v>46</v>
      </c>
      <c r="U85" s="4" t="s">
        <v>46</v>
      </c>
      <c r="V85" s="5">
        <v>10</v>
      </c>
      <c r="W85" s="5">
        <v>14.93</v>
      </c>
      <c r="X85" s="5">
        <v>100</v>
      </c>
      <c r="Y85" s="5">
        <v>1.49</v>
      </c>
      <c r="Z85" s="4" t="s">
        <v>46</v>
      </c>
      <c r="AA85" s="5" t="s">
        <v>46</v>
      </c>
      <c r="AB85" s="4" t="s">
        <v>234</v>
      </c>
      <c r="AC85" s="4" t="s">
        <v>46</v>
      </c>
      <c r="AD85" s="5">
        <v>0</v>
      </c>
      <c r="AE85" s="4" t="s">
        <v>235</v>
      </c>
      <c r="AF85" s="3">
        <v>46023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46050</v>
      </c>
      <c r="C86" s="4" t="s">
        <v>238</v>
      </c>
      <c r="D86" s="2">
        <v>1831491</v>
      </c>
      <c r="E86" s="4" t="s">
        <v>311</v>
      </c>
      <c r="F86" s="4" t="s">
        <v>312</v>
      </c>
      <c r="G86" s="4" t="s">
        <v>46</v>
      </c>
      <c r="H86" s="4" t="s">
        <v>46</v>
      </c>
      <c r="I86" s="4" t="s">
        <v>46</v>
      </c>
      <c r="J86" s="4" t="s">
        <v>220</v>
      </c>
      <c r="K86" s="4" t="s">
        <v>221</v>
      </c>
      <c r="L86" s="3">
        <v>46054</v>
      </c>
      <c r="M86" s="4" t="s">
        <v>49</v>
      </c>
      <c r="N86" s="4" t="s">
        <v>46</v>
      </c>
      <c r="O86" s="4" t="s">
        <v>50</v>
      </c>
      <c r="P86" s="4" t="s">
        <v>222</v>
      </c>
      <c r="Q86" s="2">
        <v>1</v>
      </c>
      <c r="R86" s="2">
        <v>60</v>
      </c>
      <c r="S86" s="4" t="s">
        <v>230</v>
      </c>
      <c r="T86" s="4" t="s">
        <v>46</v>
      </c>
      <c r="U86" s="4" t="s">
        <v>46</v>
      </c>
      <c r="V86" s="5">
        <v>10</v>
      </c>
      <c r="W86" s="5">
        <v>14.93</v>
      </c>
      <c r="X86" s="5">
        <v>100</v>
      </c>
      <c r="Y86" s="5">
        <v>1.49</v>
      </c>
      <c r="Z86" s="4" t="s">
        <v>46</v>
      </c>
      <c r="AA86" s="5" t="s">
        <v>46</v>
      </c>
      <c r="AB86" s="4" t="s">
        <v>234</v>
      </c>
      <c r="AC86" s="4" t="s">
        <v>46</v>
      </c>
      <c r="AD86" s="5">
        <v>0</v>
      </c>
      <c r="AE86" s="4" t="s">
        <v>235</v>
      </c>
      <c r="AF86" s="3">
        <v>46023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46050</v>
      </c>
      <c r="C87" s="4" t="s">
        <v>238</v>
      </c>
      <c r="D87" s="2">
        <v>1831491</v>
      </c>
      <c r="E87" s="4" t="s">
        <v>313</v>
      </c>
      <c r="F87" s="4" t="s">
        <v>314</v>
      </c>
      <c r="G87" s="4" t="s">
        <v>46</v>
      </c>
      <c r="H87" s="4" t="s">
        <v>46</v>
      </c>
      <c r="I87" s="4" t="s">
        <v>46</v>
      </c>
      <c r="J87" s="4" t="s">
        <v>220</v>
      </c>
      <c r="K87" s="4" t="s">
        <v>221</v>
      </c>
      <c r="L87" s="3">
        <v>46054</v>
      </c>
      <c r="M87" s="4" t="s">
        <v>49</v>
      </c>
      <c r="N87" s="4" t="s">
        <v>46</v>
      </c>
      <c r="O87" s="4" t="s">
        <v>50</v>
      </c>
      <c r="P87" s="4" t="s">
        <v>222</v>
      </c>
      <c r="Q87" s="2">
        <v>1</v>
      </c>
      <c r="R87" s="2">
        <v>60</v>
      </c>
      <c r="S87" s="4" t="s">
        <v>230</v>
      </c>
      <c r="T87" s="4" t="s">
        <v>46</v>
      </c>
      <c r="U87" s="4" t="s">
        <v>46</v>
      </c>
      <c r="V87" s="5">
        <v>10</v>
      </c>
      <c r="W87" s="5">
        <v>14.93</v>
      </c>
      <c r="X87" s="5">
        <v>100</v>
      </c>
      <c r="Y87" s="5">
        <v>1.49</v>
      </c>
      <c r="Z87" s="4" t="s">
        <v>46</v>
      </c>
      <c r="AA87" s="5" t="s">
        <v>46</v>
      </c>
      <c r="AB87" s="4" t="s">
        <v>234</v>
      </c>
      <c r="AC87" s="4" t="s">
        <v>46</v>
      </c>
      <c r="AD87" s="5">
        <v>0</v>
      </c>
      <c r="AE87" s="4" t="s">
        <v>235</v>
      </c>
      <c r="AF87" s="3">
        <v>46023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46050</v>
      </c>
      <c r="C88" s="4" t="s">
        <v>238</v>
      </c>
      <c r="D88" s="2">
        <v>1831491</v>
      </c>
      <c r="E88" s="4" t="s">
        <v>315</v>
      </c>
      <c r="F88" s="4" t="s">
        <v>316</v>
      </c>
      <c r="G88" s="4" t="s">
        <v>46</v>
      </c>
      <c r="H88" s="4" t="s">
        <v>46</v>
      </c>
      <c r="I88" s="4" t="s">
        <v>46</v>
      </c>
      <c r="J88" s="4" t="s">
        <v>220</v>
      </c>
      <c r="K88" s="4" t="s">
        <v>221</v>
      </c>
      <c r="L88" s="3">
        <v>46054</v>
      </c>
      <c r="M88" s="4" t="s">
        <v>49</v>
      </c>
      <c r="N88" s="4" t="s">
        <v>46</v>
      </c>
      <c r="O88" s="4" t="s">
        <v>50</v>
      </c>
      <c r="P88" s="4" t="s">
        <v>222</v>
      </c>
      <c r="Q88" s="2">
        <v>1</v>
      </c>
      <c r="R88" s="2">
        <v>60</v>
      </c>
      <c r="S88" s="4" t="s">
        <v>230</v>
      </c>
      <c r="T88" s="4" t="s">
        <v>46</v>
      </c>
      <c r="U88" s="4" t="s">
        <v>46</v>
      </c>
      <c r="V88" s="5">
        <v>10</v>
      </c>
      <c r="W88" s="5">
        <v>14.93</v>
      </c>
      <c r="X88" s="5">
        <v>100</v>
      </c>
      <c r="Y88" s="5">
        <v>1.49</v>
      </c>
      <c r="Z88" s="4" t="s">
        <v>46</v>
      </c>
      <c r="AA88" s="5" t="s">
        <v>46</v>
      </c>
      <c r="AB88" s="4" t="s">
        <v>234</v>
      </c>
      <c r="AC88" s="4" t="s">
        <v>46</v>
      </c>
      <c r="AD88" s="5">
        <v>0</v>
      </c>
      <c r="AE88" s="4" t="s">
        <v>235</v>
      </c>
      <c r="AF88" s="3">
        <v>46023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46050</v>
      </c>
      <c r="C89" s="4" t="s">
        <v>238</v>
      </c>
      <c r="D89" s="2">
        <v>1831491</v>
      </c>
      <c r="E89" s="4" t="s">
        <v>317</v>
      </c>
      <c r="F89" s="4" t="s">
        <v>318</v>
      </c>
      <c r="G89" s="4" t="s">
        <v>46</v>
      </c>
      <c r="H89" s="4" t="s">
        <v>46</v>
      </c>
      <c r="I89" s="4" t="s">
        <v>46</v>
      </c>
      <c r="J89" s="4" t="s">
        <v>220</v>
      </c>
      <c r="K89" s="4" t="s">
        <v>221</v>
      </c>
      <c r="L89" s="3">
        <v>46054</v>
      </c>
      <c r="M89" s="4" t="s">
        <v>49</v>
      </c>
      <c r="N89" s="4" t="s">
        <v>46</v>
      </c>
      <c r="O89" s="4" t="s">
        <v>50</v>
      </c>
      <c r="P89" s="4" t="s">
        <v>222</v>
      </c>
      <c r="Q89" s="2">
        <v>2</v>
      </c>
      <c r="R89" s="2">
        <v>60</v>
      </c>
      <c r="S89" s="4" t="s">
        <v>230</v>
      </c>
      <c r="T89" s="4" t="s">
        <v>46</v>
      </c>
      <c r="U89" s="4" t="s">
        <v>46</v>
      </c>
      <c r="V89" s="5">
        <v>10</v>
      </c>
      <c r="W89" s="5">
        <v>26.88</v>
      </c>
      <c r="X89" s="5">
        <v>100</v>
      </c>
      <c r="Y89" s="5">
        <v>2.69</v>
      </c>
      <c r="Z89" s="4" t="s">
        <v>46</v>
      </c>
      <c r="AA89" s="5" t="s">
        <v>46</v>
      </c>
      <c r="AB89" s="4" t="s">
        <v>234</v>
      </c>
      <c r="AC89" s="4" t="s">
        <v>46</v>
      </c>
      <c r="AD89" s="5">
        <v>0</v>
      </c>
      <c r="AE89" s="4" t="s">
        <v>235</v>
      </c>
      <c r="AF89" s="3">
        <v>46023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46050</v>
      </c>
      <c r="C90" s="4" t="s">
        <v>238</v>
      </c>
      <c r="D90" s="2">
        <v>1831491</v>
      </c>
      <c r="E90" s="4" t="s">
        <v>319</v>
      </c>
      <c r="F90" s="4" t="s">
        <v>320</v>
      </c>
      <c r="G90" s="4" t="s">
        <v>46</v>
      </c>
      <c r="H90" s="4" t="s">
        <v>46</v>
      </c>
      <c r="I90" s="4" t="s">
        <v>46</v>
      </c>
      <c r="J90" s="4" t="s">
        <v>220</v>
      </c>
      <c r="K90" s="4" t="s">
        <v>221</v>
      </c>
      <c r="L90" s="3">
        <v>46054</v>
      </c>
      <c r="M90" s="4" t="s">
        <v>49</v>
      </c>
      <c r="N90" s="4" t="s">
        <v>46</v>
      </c>
      <c r="O90" s="4" t="s">
        <v>50</v>
      </c>
      <c r="P90" s="4" t="s">
        <v>222</v>
      </c>
      <c r="Q90" s="2">
        <v>1</v>
      </c>
      <c r="R90" s="2">
        <v>60</v>
      </c>
      <c r="S90" s="4" t="s">
        <v>230</v>
      </c>
      <c r="T90" s="4" t="s">
        <v>46</v>
      </c>
      <c r="U90" s="4" t="s">
        <v>46</v>
      </c>
      <c r="V90" s="5">
        <v>10</v>
      </c>
      <c r="W90" s="5">
        <v>14.93</v>
      </c>
      <c r="X90" s="5">
        <v>100</v>
      </c>
      <c r="Y90" s="5">
        <v>1.49</v>
      </c>
      <c r="Z90" s="4" t="s">
        <v>46</v>
      </c>
      <c r="AA90" s="5" t="s">
        <v>46</v>
      </c>
      <c r="AB90" s="4" t="s">
        <v>234</v>
      </c>
      <c r="AC90" s="4" t="s">
        <v>46</v>
      </c>
      <c r="AD90" s="5">
        <v>0</v>
      </c>
      <c r="AE90" s="4" t="s">
        <v>235</v>
      </c>
      <c r="AF90" s="3">
        <v>45994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46050</v>
      </c>
      <c r="C91" s="4" t="s">
        <v>238</v>
      </c>
      <c r="D91" s="2">
        <v>1831491</v>
      </c>
      <c r="E91" s="4" t="s">
        <v>321</v>
      </c>
      <c r="F91" s="4" t="s">
        <v>322</v>
      </c>
      <c r="G91" s="4" t="s">
        <v>46</v>
      </c>
      <c r="H91" s="4" t="s">
        <v>46</v>
      </c>
      <c r="I91" s="4" t="s">
        <v>46</v>
      </c>
      <c r="J91" s="4" t="s">
        <v>220</v>
      </c>
      <c r="K91" s="4" t="s">
        <v>221</v>
      </c>
      <c r="L91" s="3">
        <v>46054</v>
      </c>
      <c r="M91" s="4" t="s">
        <v>49</v>
      </c>
      <c r="N91" s="4" t="s">
        <v>46</v>
      </c>
      <c r="O91" s="4" t="s">
        <v>50</v>
      </c>
      <c r="P91" s="4" t="s">
        <v>222</v>
      </c>
      <c r="Q91" s="2">
        <v>1</v>
      </c>
      <c r="R91" s="2">
        <v>60</v>
      </c>
      <c r="S91" s="4" t="s">
        <v>230</v>
      </c>
      <c r="T91" s="4" t="s">
        <v>46</v>
      </c>
      <c r="U91" s="4" t="s">
        <v>46</v>
      </c>
      <c r="V91" s="5">
        <v>15</v>
      </c>
      <c r="W91" s="5">
        <v>14.93</v>
      </c>
      <c r="X91" s="5">
        <v>100</v>
      </c>
      <c r="Y91" s="5">
        <v>2.2400000000000002</v>
      </c>
      <c r="Z91" s="4" t="s">
        <v>46</v>
      </c>
      <c r="AA91" s="5" t="s">
        <v>46</v>
      </c>
      <c r="AB91" s="4" t="s">
        <v>234</v>
      </c>
      <c r="AC91" s="4" t="s">
        <v>46</v>
      </c>
      <c r="AD91" s="5">
        <v>0</v>
      </c>
      <c r="AE91" s="4" t="s">
        <v>235</v>
      </c>
      <c r="AF91" s="3">
        <v>46023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46050</v>
      </c>
      <c r="C92" s="4" t="s">
        <v>238</v>
      </c>
      <c r="D92" s="2">
        <v>1831491</v>
      </c>
      <c r="E92" s="4" t="s">
        <v>323</v>
      </c>
      <c r="F92" s="4" t="s">
        <v>324</v>
      </c>
      <c r="G92" s="4" t="s">
        <v>46</v>
      </c>
      <c r="H92" s="4" t="s">
        <v>46</v>
      </c>
      <c r="I92" s="4" t="s">
        <v>46</v>
      </c>
      <c r="J92" s="4" t="s">
        <v>220</v>
      </c>
      <c r="K92" s="4" t="s">
        <v>221</v>
      </c>
      <c r="L92" s="3">
        <v>46054</v>
      </c>
      <c r="M92" s="4" t="s">
        <v>49</v>
      </c>
      <c r="N92" s="4" t="s">
        <v>46</v>
      </c>
      <c r="O92" s="4" t="s">
        <v>50</v>
      </c>
      <c r="P92" s="4" t="s">
        <v>222</v>
      </c>
      <c r="Q92" s="2">
        <v>2</v>
      </c>
      <c r="R92" s="2">
        <v>60</v>
      </c>
      <c r="S92" s="4" t="s">
        <v>230</v>
      </c>
      <c r="T92" s="4" t="s">
        <v>46</v>
      </c>
      <c r="U92" s="4" t="s">
        <v>46</v>
      </c>
      <c r="V92" s="5">
        <v>15</v>
      </c>
      <c r="W92" s="5">
        <v>26.88</v>
      </c>
      <c r="X92" s="5">
        <v>100</v>
      </c>
      <c r="Y92" s="5">
        <v>4.03</v>
      </c>
      <c r="Z92" s="4" t="s">
        <v>46</v>
      </c>
      <c r="AA92" s="5" t="s">
        <v>46</v>
      </c>
      <c r="AB92" s="4" t="s">
        <v>234</v>
      </c>
      <c r="AC92" s="4" t="s">
        <v>46</v>
      </c>
      <c r="AD92" s="5">
        <v>0</v>
      </c>
      <c r="AE92" s="4" t="s">
        <v>235</v>
      </c>
      <c r="AF92" s="3">
        <v>46023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46050</v>
      </c>
      <c r="C93" s="4" t="s">
        <v>238</v>
      </c>
      <c r="D93" s="2">
        <v>1831491</v>
      </c>
      <c r="E93" s="4" t="s">
        <v>325</v>
      </c>
      <c r="F93" s="4" t="s">
        <v>326</v>
      </c>
      <c r="G93" s="4" t="s">
        <v>46</v>
      </c>
      <c r="H93" s="4" t="s">
        <v>46</v>
      </c>
      <c r="I93" s="4" t="s">
        <v>46</v>
      </c>
      <c r="J93" s="4" t="s">
        <v>220</v>
      </c>
      <c r="K93" s="4" t="s">
        <v>221</v>
      </c>
      <c r="L93" s="3">
        <v>46054</v>
      </c>
      <c r="M93" s="4" t="s">
        <v>49</v>
      </c>
      <c r="N93" s="4" t="s">
        <v>46</v>
      </c>
      <c r="O93" s="4" t="s">
        <v>50</v>
      </c>
      <c r="P93" s="4" t="s">
        <v>222</v>
      </c>
      <c r="Q93" s="2">
        <v>1</v>
      </c>
      <c r="R93" s="2">
        <v>60</v>
      </c>
      <c r="S93" s="4" t="s">
        <v>230</v>
      </c>
      <c r="T93" s="4" t="s">
        <v>46</v>
      </c>
      <c r="U93" s="4" t="s">
        <v>46</v>
      </c>
      <c r="V93" s="5">
        <v>15</v>
      </c>
      <c r="W93" s="5">
        <v>13.49</v>
      </c>
      <c r="X93" s="5">
        <v>100</v>
      </c>
      <c r="Y93" s="5">
        <v>2.02</v>
      </c>
      <c r="Z93" s="4" t="s">
        <v>46</v>
      </c>
      <c r="AA93" s="5" t="s">
        <v>46</v>
      </c>
      <c r="AB93" s="4" t="s">
        <v>234</v>
      </c>
      <c r="AC93" s="4" t="s">
        <v>46</v>
      </c>
      <c r="AD93" s="5">
        <v>0</v>
      </c>
      <c r="AE93" s="4" t="s">
        <v>235</v>
      </c>
      <c r="AF93" s="3">
        <v>46026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46050</v>
      </c>
      <c r="C94" s="4" t="s">
        <v>238</v>
      </c>
      <c r="D94" s="2">
        <v>1831491</v>
      </c>
      <c r="E94" s="4" t="s">
        <v>327</v>
      </c>
      <c r="F94" s="4" t="s">
        <v>328</v>
      </c>
      <c r="G94" s="4" t="s">
        <v>46</v>
      </c>
      <c r="H94" s="4" t="s">
        <v>46</v>
      </c>
      <c r="I94" s="4" t="s">
        <v>46</v>
      </c>
      <c r="J94" s="4" t="s">
        <v>220</v>
      </c>
      <c r="K94" s="4" t="s">
        <v>221</v>
      </c>
      <c r="L94" s="3">
        <v>46054</v>
      </c>
      <c r="M94" s="4" t="s">
        <v>49</v>
      </c>
      <c r="N94" s="4" t="s">
        <v>46</v>
      </c>
      <c r="O94" s="4" t="s">
        <v>50</v>
      </c>
      <c r="P94" s="4" t="s">
        <v>222</v>
      </c>
      <c r="Q94" s="2">
        <v>1</v>
      </c>
      <c r="R94" s="2">
        <v>60</v>
      </c>
      <c r="S94" s="4" t="s">
        <v>230</v>
      </c>
      <c r="T94" s="4" t="s">
        <v>46</v>
      </c>
      <c r="U94" s="4" t="s">
        <v>46</v>
      </c>
      <c r="V94" s="5">
        <v>15</v>
      </c>
      <c r="W94" s="5">
        <v>13.01</v>
      </c>
      <c r="X94" s="5">
        <v>100</v>
      </c>
      <c r="Y94" s="5">
        <v>1.95</v>
      </c>
      <c r="Z94" s="4" t="s">
        <v>46</v>
      </c>
      <c r="AA94" s="5" t="s">
        <v>46</v>
      </c>
      <c r="AB94" s="4" t="s">
        <v>234</v>
      </c>
      <c r="AC94" s="4" t="s">
        <v>46</v>
      </c>
      <c r="AD94" s="5">
        <v>0</v>
      </c>
      <c r="AE94" s="4" t="s">
        <v>235</v>
      </c>
      <c r="AF94" s="3">
        <v>46027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46050</v>
      </c>
      <c r="C95" s="4" t="s">
        <v>238</v>
      </c>
      <c r="D95" s="2">
        <v>1831491</v>
      </c>
      <c r="E95" s="4" t="s">
        <v>329</v>
      </c>
      <c r="F95" s="4" t="s">
        <v>330</v>
      </c>
      <c r="G95" s="4" t="s">
        <v>46</v>
      </c>
      <c r="H95" s="4" t="s">
        <v>46</v>
      </c>
      <c r="I95" s="4" t="s">
        <v>46</v>
      </c>
      <c r="J95" s="4" t="s">
        <v>220</v>
      </c>
      <c r="K95" s="4" t="s">
        <v>221</v>
      </c>
      <c r="L95" s="3">
        <v>46054</v>
      </c>
      <c r="M95" s="4" t="s">
        <v>49</v>
      </c>
      <c r="N95" s="4" t="s">
        <v>46</v>
      </c>
      <c r="O95" s="4" t="s">
        <v>50</v>
      </c>
      <c r="P95" s="4" t="s">
        <v>222</v>
      </c>
      <c r="Q95" s="2">
        <v>2</v>
      </c>
      <c r="R95" s="2">
        <v>60</v>
      </c>
      <c r="S95" s="4" t="s">
        <v>230</v>
      </c>
      <c r="T95" s="4" t="s">
        <v>46</v>
      </c>
      <c r="U95" s="4" t="s">
        <v>46</v>
      </c>
      <c r="V95" s="5">
        <v>15</v>
      </c>
      <c r="W95" s="5">
        <v>26.88</v>
      </c>
      <c r="X95" s="5">
        <v>100</v>
      </c>
      <c r="Y95" s="5">
        <v>39.03</v>
      </c>
      <c r="Z95" s="4" t="s">
        <v>46</v>
      </c>
      <c r="AA95" s="5" t="s">
        <v>46</v>
      </c>
      <c r="AB95" s="4" t="s">
        <v>234</v>
      </c>
      <c r="AC95" s="4" t="s">
        <v>46</v>
      </c>
      <c r="AD95" s="5">
        <v>0</v>
      </c>
      <c r="AE95" s="4" t="s">
        <v>235</v>
      </c>
      <c r="AF95" s="3">
        <v>46054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46050</v>
      </c>
      <c r="C96" s="4" t="s">
        <v>238</v>
      </c>
      <c r="D96" s="2">
        <v>1831491</v>
      </c>
      <c r="E96" s="4" t="s">
        <v>331</v>
      </c>
      <c r="F96" s="4" t="s">
        <v>332</v>
      </c>
      <c r="G96" s="4" t="s">
        <v>46</v>
      </c>
      <c r="H96" s="4" t="s">
        <v>46</v>
      </c>
      <c r="I96" s="4" t="s">
        <v>46</v>
      </c>
      <c r="J96" s="4" t="s">
        <v>220</v>
      </c>
      <c r="K96" s="4" t="s">
        <v>221</v>
      </c>
      <c r="L96" s="3">
        <v>46054</v>
      </c>
      <c r="M96" s="4" t="s">
        <v>49</v>
      </c>
      <c r="N96" s="4" t="s">
        <v>46</v>
      </c>
      <c r="O96" s="4" t="s">
        <v>50</v>
      </c>
      <c r="P96" s="4" t="s">
        <v>222</v>
      </c>
      <c r="Q96" s="2">
        <v>1</v>
      </c>
      <c r="R96" s="2">
        <v>60</v>
      </c>
      <c r="S96" s="4" t="s">
        <v>230</v>
      </c>
      <c r="T96" s="4" t="s">
        <v>46</v>
      </c>
      <c r="U96" s="4" t="s">
        <v>46</v>
      </c>
      <c r="V96" s="5">
        <v>15</v>
      </c>
      <c r="W96" s="5">
        <v>14.93</v>
      </c>
      <c r="X96" s="5">
        <v>100</v>
      </c>
      <c r="Y96" s="5">
        <v>37.24</v>
      </c>
      <c r="Z96" s="4" t="s">
        <v>46</v>
      </c>
      <c r="AA96" s="5" t="s">
        <v>46</v>
      </c>
      <c r="AB96" s="4" t="s">
        <v>234</v>
      </c>
      <c r="AC96" s="4" t="s">
        <v>46</v>
      </c>
      <c r="AD96" s="5">
        <v>0</v>
      </c>
      <c r="AE96" s="4" t="s">
        <v>235</v>
      </c>
      <c r="AF96" s="3">
        <v>46054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46050</v>
      </c>
      <c r="C97" s="4" t="s">
        <v>238</v>
      </c>
      <c r="D97" s="2">
        <v>1831491</v>
      </c>
      <c r="E97" s="4" t="s">
        <v>333</v>
      </c>
      <c r="F97" s="4" t="s">
        <v>334</v>
      </c>
      <c r="G97" s="4" t="s">
        <v>46</v>
      </c>
      <c r="H97" s="4" t="s">
        <v>46</v>
      </c>
      <c r="I97" s="4" t="s">
        <v>46</v>
      </c>
      <c r="J97" s="4" t="s">
        <v>220</v>
      </c>
      <c r="K97" s="4" t="s">
        <v>221</v>
      </c>
      <c r="L97" s="3">
        <v>46054</v>
      </c>
      <c r="M97" s="4" t="s">
        <v>49</v>
      </c>
      <c r="N97" s="4" t="s">
        <v>46</v>
      </c>
      <c r="O97" s="4" t="s">
        <v>50</v>
      </c>
      <c r="P97" s="4" t="s">
        <v>222</v>
      </c>
      <c r="Q97" s="2">
        <v>2</v>
      </c>
      <c r="R97" s="2">
        <v>60</v>
      </c>
      <c r="S97" s="4" t="s">
        <v>230</v>
      </c>
      <c r="T97" s="4" t="s">
        <v>46</v>
      </c>
      <c r="U97" s="4" t="s">
        <v>46</v>
      </c>
      <c r="V97" s="5">
        <v>15</v>
      </c>
      <c r="W97" s="5">
        <v>26.88</v>
      </c>
      <c r="X97" s="5">
        <v>100</v>
      </c>
      <c r="Y97" s="5">
        <v>39.03</v>
      </c>
      <c r="Z97" s="4" t="s">
        <v>46</v>
      </c>
      <c r="AA97" s="5" t="s">
        <v>46</v>
      </c>
      <c r="AB97" s="4" t="s">
        <v>234</v>
      </c>
      <c r="AC97" s="4" t="s">
        <v>46</v>
      </c>
      <c r="AD97" s="5">
        <v>0</v>
      </c>
      <c r="AE97" s="4" t="s">
        <v>235</v>
      </c>
      <c r="AF97" s="3">
        <v>46054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46050</v>
      </c>
      <c r="C98" s="4" t="s">
        <v>238</v>
      </c>
      <c r="D98" s="2">
        <v>1831491</v>
      </c>
      <c r="E98" s="4" t="s">
        <v>335</v>
      </c>
      <c r="F98" s="4" t="s">
        <v>336</v>
      </c>
      <c r="G98" s="4" t="s">
        <v>46</v>
      </c>
      <c r="H98" s="4" t="s">
        <v>46</v>
      </c>
      <c r="I98" s="4" t="s">
        <v>46</v>
      </c>
      <c r="J98" s="4" t="s">
        <v>220</v>
      </c>
      <c r="K98" s="4" t="s">
        <v>221</v>
      </c>
      <c r="L98" s="3">
        <v>46054</v>
      </c>
      <c r="M98" s="4" t="s">
        <v>49</v>
      </c>
      <c r="N98" s="4" t="s">
        <v>46</v>
      </c>
      <c r="O98" s="4" t="s">
        <v>50</v>
      </c>
      <c r="P98" s="4" t="s">
        <v>222</v>
      </c>
      <c r="Q98" s="2">
        <v>1</v>
      </c>
      <c r="R98" s="2">
        <v>60</v>
      </c>
      <c r="S98" s="4" t="s">
        <v>230</v>
      </c>
      <c r="T98" s="4" t="s">
        <v>46</v>
      </c>
      <c r="U98" s="4" t="s">
        <v>46</v>
      </c>
      <c r="V98" s="5">
        <v>15</v>
      </c>
      <c r="W98" s="5">
        <v>14.93</v>
      </c>
      <c r="X98" s="5">
        <v>100</v>
      </c>
      <c r="Y98" s="5">
        <v>37.24</v>
      </c>
      <c r="Z98" s="4" t="s">
        <v>46</v>
      </c>
      <c r="AA98" s="5" t="s">
        <v>46</v>
      </c>
      <c r="AB98" s="4" t="s">
        <v>234</v>
      </c>
      <c r="AC98" s="4" t="s">
        <v>46</v>
      </c>
      <c r="AD98" s="5">
        <v>0</v>
      </c>
      <c r="AE98" s="4" t="s">
        <v>235</v>
      </c>
      <c r="AF98" s="3">
        <v>46054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46050</v>
      </c>
      <c r="C99" s="4" t="s">
        <v>238</v>
      </c>
      <c r="D99" s="2">
        <v>1831491</v>
      </c>
      <c r="E99" s="4" t="s">
        <v>337</v>
      </c>
      <c r="F99" s="4" t="s">
        <v>338</v>
      </c>
      <c r="G99" s="4" t="s">
        <v>46</v>
      </c>
      <c r="H99" s="4" t="s">
        <v>46</v>
      </c>
      <c r="I99" s="4" t="s">
        <v>46</v>
      </c>
      <c r="J99" s="4" t="s">
        <v>220</v>
      </c>
      <c r="K99" s="4" t="s">
        <v>221</v>
      </c>
      <c r="L99" s="3">
        <v>46054</v>
      </c>
      <c r="M99" s="4" t="s">
        <v>49</v>
      </c>
      <c r="N99" s="4" t="s">
        <v>46</v>
      </c>
      <c r="O99" s="4" t="s">
        <v>50</v>
      </c>
      <c r="P99" s="4" t="s">
        <v>222</v>
      </c>
      <c r="Q99" s="2">
        <v>1</v>
      </c>
      <c r="R99" s="2">
        <v>60</v>
      </c>
      <c r="S99" s="4" t="s">
        <v>230</v>
      </c>
      <c r="T99" s="4" t="s">
        <v>46</v>
      </c>
      <c r="U99" s="4" t="s">
        <v>46</v>
      </c>
      <c r="V99" s="5">
        <v>15</v>
      </c>
      <c r="W99" s="5">
        <v>14.93</v>
      </c>
      <c r="X99" s="5">
        <v>100</v>
      </c>
      <c r="Y99" s="5">
        <v>37.24</v>
      </c>
      <c r="Z99" s="4" t="s">
        <v>46</v>
      </c>
      <c r="AA99" s="5" t="s">
        <v>46</v>
      </c>
      <c r="AB99" s="4" t="s">
        <v>234</v>
      </c>
      <c r="AC99" s="4" t="s">
        <v>46</v>
      </c>
      <c r="AD99" s="5">
        <v>0</v>
      </c>
      <c r="AE99" s="4" t="s">
        <v>235</v>
      </c>
      <c r="AF99" s="3">
        <v>46054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46050</v>
      </c>
      <c r="C100" s="4" t="s">
        <v>238</v>
      </c>
      <c r="D100" s="2">
        <v>1831491</v>
      </c>
      <c r="E100" s="4" t="s">
        <v>339</v>
      </c>
      <c r="F100" s="4" t="s">
        <v>340</v>
      </c>
      <c r="G100" s="4" t="s">
        <v>46</v>
      </c>
      <c r="H100" s="4" t="s">
        <v>46</v>
      </c>
      <c r="I100" s="4" t="s">
        <v>46</v>
      </c>
      <c r="J100" s="4" t="s">
        <v>220</v>
      </c>
      <c r="K100" s="4" t="s">
        <v>221</v>
      </c>
      <c r="L100" s="3">
        <v>46054</v>
      </c>
      <c r="M100" s="4" t="s">
        <v>49</v>
      </c>
      <c r="N100" s="4" t="s">
        <v>46</v>
      </c>
      <c r="O100" s="4" t="s">
        <v>50</v>
      </c>
      <c r="P100" s="4" t="s">
        <v>222</v>
      </c>
      <c r="Q100" s="2">
        <v>2</v>
      </c>
      <c r="R100" s="2">
        <v>60</v>
      </c>
      <c r="S100" s="4" t="s">
        <v>230</v>
      </c>
      <c r="T100" s="4" t="s">
        <v>46</v>
      </c>
      <c r="U100" s="4" t="s">
        <v>46</v>
      </c>
      <c r="V100" s="5">
        <v>15</v>
      </c>
      <c r="W100" s="5">
        <v>26.88</v>
      </c>
      <c r="X100" s="5">
        <v>100</v>
      </c>
      <c r="Y100" s="5">
        <v>39.03</v>
      </c>
      <c r="Z100" s="4" t="s">
        <v>46</v>
      </c>
      <c r="AA100" s="5" t="s">
        <v>46</v>
      </c>
      <c r="AB100" s="4" t="s">
        <v>234</v>
      </c>
      <c r="AC100" s="4" t="s">
        <v>46</v>
      </c>
      <c r="AD100" s="5">
        <v>0</v>
      </c>
      <c r="AE100" s="4" t="s">
        <v>235</v>
      </c>
      <c r="AF100" s="3">
        <v>46054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46050</v>
      </c>
      <c r="C101" s="4" t="s">
        <v>183</v>
      </c>
      <c r="D101" s="2">
        <v>1875462</v>
      </c>
      <c r="E101" s="4" t="s">
        <v>341</v>
      </c>
      <c r="F101" s="4" t="s">
        <v>342</v>
      </c>
      <c r="G101" s="4" t="s">
        <v>46</v>
      </c>
      <c r="H101" s="4" t="s">
        <v>46</v>
      </c>
      <c r="I101" s="4" t="s">
        <v>46</v>
      </c>
      <c r="J101" s="4" t="s">
        <v>343</v>
      </c>
      <c r="K101" s="4" t="s">
        <v>48</v>
      </c>
      <c r="L101" s="3">
        <v>46023</v>
      </c>
      <c r="M101" s="4" t="s">
        <v>77</v>
      </c>
      <c r="N101" s="4" t="s">
        <v>46</v>
      </c>
      <c r="O101" s="4" t="s">
        <v>222</v>
      </c>
      <c r="P101" s="4" t="s">
        <v>222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22</v>
      </c>
      <c r="W101" s="5">
        <v>186.54</v>
      </c>
      <c r="X101" s="5">
        <v>100</v>
      </c>
      <c r="Y101" s="5">
        <v>41.04</v>
      </c>
      <c r="Z101" s="5">
        <v>0</v>
      </c>
      <c r="AA101" s="5">
        <v>0</v>
      </c>
      <c r="AB101" s="4" t="s">
        <v>344</v>
      </c>
      <c r="AC101" s="4" t="s">
        <v>46</v>
      </c>
      <c r="AD101" s="5">
        <v>0</v>
      </c>
      <c r="AE101" s="4" t="s">
        <v>345</v>
      </c>
      <c r="AF101" s="3">
        <v>45658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46050</v>
      </c>
      <c r="C102" s="4" t="s">
        <v>183</v>
      </c>
      <c r="D102" s="2">
        <v>1875462</v>
      </c>
      <c r="E102" s="4" t="s">
        <v>346</v>
      </c>
      <c r="F102" s="4" t="s">
        <v>347</v>
      </c>
      <c r="G102" s="4" t="s">
        <v>46</v>
      </c>
      <c r="H102" s="4" t="s">
        <v>46</v>
      </c>
      <c r="I102" s="4" t="s">
        <v>46</v>
      </c>
      <c r="J102" s="4" t="s">
        <v>220</v>
      </c>
      <c r="K102" s="4" t="s">
        <v>221</v>
      </c>
      <c r="L102" s="3">
        <v>46054</v>
      </c>
      <c r="M102" s="4" t="s">
        <v>49</v>
      </c>
      <c r="N102" s="4" t="s">
        <v>46</v>
      </c>
      <c r="O102" s="4" t="s">
        <v>50</v>
      </c>
      <c r="P102" s="4" t="s">
        <v>222</v>
      </c>
      <c r="Q102" s="2">
        <v>2</v>
      </c>
      <c r="R102" s="2">
        <v>60</v>
      </c>
      <c r="S102" s="4" t="s">
        <v>230</v>
      </c>
      <c r="T102" s="4" t="s">
        <v>46</v>
      </c>
      <c r="U102" s="4" t="s">
        <v>46</v>
      </c>
      <c r="V102" s="5">
        <v>10</v>
      </c>
      <c r="W102" s="5">
        <v>23.99</v>
      </c>
      <c r="X102" s="5">
        <v>100</v>
      </c>
      <c r="Y102" s="5">
        <v>2.4</v>
      </c>
      <c r="Z102" s="4" t="s">
        <v>46</v>
      </c>
      <c r="AA102" s="5" t="s">
        <v>46</v>
      </c>
      <c r="AB102" s="4" t="s">
        <v>234</v>
      </c>
      <c r="AC102" s="4" t="s">
        <v>46</v>
      </c>
      <c r="AD102" s="5">
        <v>0</v>
      </c>
      <c r="AE102" s="4" t="s">
        <v>235</v>
      </c>
      <c r="AF102" s="3">
        <v>45713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46050</v>
      </c>
      <c r="C103" s="4" t="s">
        <v>46</v>
      </c>
      <c r="D103" s="2" t="s">
        <v>46</v>
      </c>
      <c r="E103" s="4" t="s">
        <v>46</v>
      </c>
      <c r="F103" s="4" t="s">
        <v>46</v>
      </c>
      <c r="G103" s="4" t="s">
        <v>46</v>
      </c>
      <c r="H103" s="4" t="s">
        <v>46</v>
      </c>
      <c r="I103" s="4" t="s">
        <v>46</v>
      </c>
      <c r="J103" s="4" t="s">
        <v>46</v>
      </c>
      <c r="K103" s="4" t="s">
        <v>46</v>
      </c>
      <c r="L103" s="4" t="s">
        <v>46</v>
      </c>
      <c r="M103" s="4" t="s">
        <v>77</v>
      </c>
      <c r="N103" s="4" t="s">
        <v>46</v>
      </c>
      <c r="O103" s="4" t="s">
        <v>46</v>
      </c>
      <c r="P103" s="4" t="s">
        <v>46</v>
      </c>
      <c r="Q103" s="4" t="s">
        <v>46</v>
      </c>
      <c r="R103" s="4" t="s">
        <v>46</v>
      </c>
      <c r="S103" s="4" t="s">
        <v>46</v>
      </c>
      <c r="T103" s="4" t="s">
        <v>46</v>
      </c>
      <c r="U103" s="4" t="s">
        <v>46</v>
      </c>
      <c r="V103" s="5" t="s">
        <v>46</v>
      </c>
      <c r="W103" s="4" t="s">
        <v>46</v>
      </c>
      <c r="X103" s="5" t="s">
        <v>46</v>
      </c>
      <c r="Y103" s="4" t="s">
        <v>46</v>
      </c>
      <c r="Z103" s="4" t="s">
        <v>46</v>
      </c>
      <c r="AA103" s="5" t="s">
        <v>46</v>
      </c>
      <c r="AB103" s="4" t="s">
        <v>46</v>
      </c>
      <c r="AC103" s="4" t="s">
        <v>348</v>
      </c>
      <c r="AD103" s="5">
        <v>0</v>
      </c>
      <c r="AE103" s="4" t="s">
        <v>349</v>
      </c>
      <c r="AF103" s="4" t="s">
        <v>46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7CA4-D10E-4C8C-AF12-C17800CB2A61}">
  <dimension ref="A1:AP102"/>
  <sheetViews>
    <sheetView tabSelected="1" topLeftCell="A25" workbookViewId="0">
      <selection activeCell="B67" sqref="B67"/>
    </sheetView>
  </sheetViews>
  <sheetFormatPr defaultRowHeight="12.75" x14ac:dyDescent="0.2"/>
  <cols>
    <col min="1" max="1" width="24.7109375" bestFit="1" customWidth="1"/>
    <col min="2" max="2" width="14.5703125" customWidth="1"/>
    <col min="3" max="3" width="28.5703125" bestFit="1" customWidth="1"/>
    <col min="4" max="4" width="13.28515625" bestFit="1" customWidth="1"/>
    <col min="5" max="6" width="11.42578125" bestFit="1" customWidth="1"/>
    <col min="7" max="7" width="15.28515625" bestFit="1" customWidth="1"/>
    <col min="8" max="8" width="9.85546875" customWidth="1"/>
    <col min="9" max="9" width="10.5703125" customWidth="1"/>
    <col min="10" max="10" width="9.5703125" bestFit="1" customWidth="1"/>
    <col min="11" max="11" width="9.5703125" customWidth="1"/>
    <col min="12" max="12" width="11.42578125" bestFit="1" customWidth="1"/>
    <col min="13" max="13" width="13.7109375" bestFit="1" customWidth="1"/>
    <col min="14" max="14" width="21.7109375" customWidth="1"/>
    <col min="15" max="15" width="22.5703125" bestFit="1" customWidth="1"/>
    <col min="16" max="16" width="13.42578125" bestFit="1" customWidth="1"/>
    <col min="17" max="17" width="18.140625" customWidth="1"/>
    <col min="18" max="18" width="15.42578125" bestFit="1" customWidth="1"/>
    <col min="19" max="19" width="11" bestFit="1" customWidth="1"/>
    <col min="20" max="20" width="23.28515625" bestFit="1" customWidth="1"/>
    <col min="21" max="21" width="5.140625" bestFit="1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2" s="9" customFormat="1" x14ac:dyDescent="0.2">
      <c r="A2" s="25" t="s">
        <v>152</v>
      </c>
      <c r="B2" s="28">
        <v>19396223</v>
      </c>
      <c r="C2" s="25" t="s">
        <v>153</v>
      </c>
      <c r="D2" s="25" t="s">
        <v>154</v>
      </c>
      <c r="E2" s="26">
        <v>46023</v>
      </c>
      <c r="F2" s="25" t="s">
        <v>77</v>
      </c>
      <c r="G2" s="25" t="s">
        <v>51</v>
      </c>
      <c r="H2" s="25" t="s">
        <v>71</v>
      </c>
      <c r="I2" s="27">
        <v>-0.92</v>
      </c>
      <c r="J2" s="27">
        <v>-1</v>
      </c>
      <c r="K2" s="27">
        <v>-318.08</v>
      </c>
      <c r="L2" s="25" t="s">
        <v>53</v>
      </c>
      <c r="M2" s="26">
        <v>46023</v>
      </c>
      <c r="N2" s="28" t="s">
        <v>353</v>
      </c>
      <c r="O2" s="29" t="s">
        <v>355</v>
      </c>
      <c r="P2" s="25" t="s">
        <v>154</v>
      </c>
      <c r="Q2" s="28" t="str">
        <f>CONCATENATE(P2,66)</f>
        <v>00010925119K66</v>
      </c>
      <c r="R2" s="25" t="s">
        <v>373</v>
      </c>
      <c r="S2" s="28" t="s">
        <v>374</v>
      </c>
      <c r="T2" s="28" t="str">
        <f>CONCATENATE(S2," ",R2)</f>
        <v>LINDA THOMPSON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spans="1:42" s="13" customFormat="1" x14ac:dyDescent="0.2">
      <c r="A3" s="25" t="s">
        <v>152</v>
      </c>
      <c r="B3" s="28">
        <v>19396223</v>
      </c>
      <c r="C3" s="25" t="s">
        <v>156</v>
      </c>
      <c r="D3" s="25" t="s">
        <v>157</v>
      </c>
      <c r="E3" s="26">
        <v>46113</v>
      </c>
      <c r="F3" s="25" t="s">
        <v>82</v>
      </c>
      <c r="G3" s="25" t="s">
        <v>51</v>
      </c>
      <c r="H3" s="25" t="s">
        <v>52</v>
      </c>
      <c r="I3" s="27">
        <v>0.75</v>
      </c>
      <c r="J3" s="27">
        <v>1</v>
      </c>
      <c r="K3" s="27">
        <v>260.25</v>
      </c>
      <c r="L3" s="25" t="s">
        <v>53</v>
      </c>
      <c r="M3" s="26">
        <v>46113</v>
      </c>
      <c r="N3" s="28" t="s">
        <v>353</v>
      </c>
      <c r="O3" s="29" t="s">
        <v>359</v>
      </c>
      <c r="P3" s="25" t="s">
        <v>157</v>
      </c>
      <c r="Q3" s="28" t="str">
        <f>CONCATENATE(P3,66)</f>
        <v>00025992906K66</v>
      </c>
      <c r="R3" s="25" t="s">
        <v>390</v>
      </c>
      <c r="S3" s="28" t="s">
        <v>391</v>
      </c>
      <c r="T3" s="28" t="str">
        <f>CONCATENATE(S3," ",R3)</f>
        <v>VITO MARCHESE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</row>
    <row r="4" spans="1:42" s="17" customFormat="1" x14ac:dyDescent="0.2">
      <c r="A4" s="25" t="s">
        <v>107</v>
      </c>
      <c r="B4" s="28">
        <v>17117649</v>
      </c>
      <c r="C4" s="25" t="s">
        <v>111</v>
      </c>
      <c r="D4" s="25" t="s">
        <v>112</v>
      </c>
      <c r="E4" s="26">
        <v>46082</v>
      </c>
      <c r="F4" s="25" t="s">
        <v>60</v>
      </c>
      <c r="G4" s="25" t="s">
        <v>51</v>
      </c>
      <c r="H4" s="25" t="s">
        <v>52</v>
      </c>
      <c r="I4" s="27">
        <v>0.83</v>
      </c>
      <c r="J4" s="27">
        <v>1</v>
      </c>
      <c r="K4" s="27">
        <v>289.17</v>
      </c>
      <c r="L4" s="25" t="s">
        <v>53</v>
      </c>
      <c r="M4" s="26">
        <v>46082</v>
      </c>
      <c r="N4" s="28" t="s">
        <v>353</v>
      </c>
      <c r="O4" s="29" t="s">
        <v>356</v>
      </c>
      <c r="P4" s="25" t="s">
        <v>112</v>
      </c>
      <c r="Q4" s="28" t="str">
        <f>CONCATENATE(P4,66)</f>
        <v>00026004412K66</v>
      </c>
      <c r="R4" s="25" t="s">
        <v>396</v>
      </c>
      <c r="S4" s="28" t="s">
        <v>397</v>
      </c>
      <c r="T4" s="28" t="str">
        <f>CONCATENATE(S4," ",R4)</f>
        <v>MARY HARVEY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</row>
    <row r="5" spans="1:42" s="28" customFormat="1" x14ac:dyDescent="0.2">
      <c r="A5" s="25" t="s">
        <v>107</v>
      </c>
      <c r="B5" s="28">
        <v>17117649</v>
      </c>
      <c r="C5" s="25" t="s">
        <v>108</v>
      </c>
      <c r="D5" s="25" t="s">
        <v>109</v>
      </c>
      <c r="E5" s="26">
        <v>46054</v>
      </c>
      <c r="F5" s="25" t="s">
        <v>49</v>
      </c>
      <c r="G5" s="25" t="s">
        <v>51</v>
      </c>
      <c r="H5" s="25" t="s">
        <v>52</v>
      </c>
      <c r="I5" s="27">
        <v>0.92</v>
      </c>
      <c r="J5" s="27">
        <v>1</v>
      </c>
      <c r="K5" s="27">
        <v>318.08</v>
      </c>
      <c r="L5" s="25" t="s">
        <v>53</v>
      </c>
      <c r="M5" s="26">
        <v>46054</v>
      </c>
      <c r="N5" s="28" t="s">
        <v>353</v>
      </c>
      <c r="O5" s="29" t="s">
        <v>355</v>
      </c>
      <c r="P5" s="25" t="s">
        <v>109</v>
      </c>
      <c r="Q5" s="28" t="str">
        <f>CONCATENATE(P5,66)</f>
        <v>00026004114K66</v>
      </c>
      <c r="R5" s="25" t="s">
        <v>418</v>
      </c>
      <c r="S5" s="28" t="s">
        <v>419</v>
      </c>
      <c r="T5" s="28" t="str">
        <f>CONCATENATE(S5," ",R5)</f>
        <v>LESLIE MCCLAIN</v>
      </c>
    </row>
    <row r="6" spans="1:42" s="28" customFormat="1" x14ac:dyDescent="0.2">
      <c r="A6" s="25" t="s">
        <v>56</v>
      </c>
      <c r="B6" s="28">
        <v>7470776</v>
      </c>
      <c r="C6" s="25" t="s">
        <v>57</v>
      </c>
      <c r="D6" s="25" t="s">
        <v>58</v>
      </c>
      <c r="E6" s="26">
        <v>46082</v>
      </c>
      <c r="F6" s="25" t="s">
        <v>60</v>
      </c>
      <c r="G6" s="25" t="s">
        <v>51</v>
      </c>
      <c r="H6" s="25" t="s">
        <v>52</v>
      </c>
      <c r="I6" s="27">
        <v>-0.83</v>
      </c>
      <c r="J6" s="27">
        <v>-1</v>
      </c>
      <c r="K6" s="27">
        <v>-289.17</v>
      </c>
      <c r="L6" s="25" t="s">
        <v>53</v>
      </c>
      <c r="M6" s="26">
        <v>46082</v>
      </c>
      <c r="N6" s="28" t="s">
        <v>353</v>
      </c>
      <c r="O6" s="29" t="s">
        <v>356</v>
      </c>
      <c r="P6" s="25" t="s">
        <v>58</v>
      </c>
      <c r="Q6" s="28" t="str">
        <f>CONCATENATE(P6,66)</f>
        <v>00025933601K66</v>
      </c>
      <c r="R6" s="25" t="s">
        <v>380</v>
      </c>
      <c r="S6" s="28" t="s">
        <v>381</v>
      </c>
      <c r="T6" s="28" t="str">
        <f>CONCATENATE(S6," ",R6)</f>
        <v>NORMA DITTO</v>
      </c>
    </row>
    <row r="7" spans="1:42" s="28" customFormat="1" x14ac:dyDescent="0.2">
      <c r="A7" s="25" t="s">
        <v>56</v>
      </c>
      <c r="B7" s="28">
        <v>7470776</v>
      </c>
      <c r="C7" s="25" t="s">
        <v>61</v>
      </c>
      <c r="D7" s="25" t="s">
        <v>62</v>
      </c>
      <c r="E7" s="26">
        <v>46054</v>
      </c>
      <c r="F7" s="25" t="s">
        <v>49</v>
      </c>
      <c r="G7" s="25" t="s">
        <v>51</v>
      </c>
      <c r="H7" s="25" t="s">
        <v>52</v>
      </c>
      <c r="I7" s="27">
        <v>0.92</v>
      </c>
      <c r="J7" s="27">
        <v>1</v>
      </c>
      <c r="K7" s="27">
        <v>318.08</v>
      </c>
      <c r="L7" s="25" t="s">
        <v>53</v>
      </c>
      <c r="M7" s="26">
        <v>46054</v>
      </c>
      <c r="N7" s="28" t="s">
        <v>353</v>
      </c>
      <c r="O7" s="29" t="s">
        <v>355</v>
      </c>
      <c r="P7" s="25" t="s">
        <v>62</v>
      </c>
      <c r="Q7" s="28" t="str">
        <f>CONCATENATE(P7,66)</f>
        <v>00026000036K66</v>
      </c>
      <c r="R7" s="25" t="s">
        <v>409</v>
      </c>
      <c r="S7" s="28" t="s">
        <v>410</v>
      </c>
      <c r="T7" s="28" t="str">
        <f>CONCATENATE(S7," ",R7)</f>
        <v>GARY RATH</v>
      </c>
    </row>
    <row r="8" spans="1:42" s="28" customFormat="1" x14ac:dyDescent="0.2">
      <c r="A8" s="6" t="s">
        <v>238</v>
      </c>
      <c r="B8" s="9">
        <v>18828278</v>
      </c>
      <c r="C8" s="6" t="s">
        <v>239</v>
      </c>
      <c r="D8" s="22">
        <v>9030509330</v>
      </c>
      <c r="E8" s="7">
        <v>46054</v>
      </c>
      <c r="F8" s="6" t="s">
        <v>49</v>
      </c>
      <c r="G8" s="6" t="s">
        <v>230</v>
      </c>
      <c r="H8" s="6" t="s">
        <v>46</v>
      </c>
      <c r="I8" s="8">
        <v>10</v>
      </c>
      <c r="J8" s="8">
        <v>26.88</v>
      </c>
      <c r="K8" s="8">
        <v>2.69</v>
      </c>
      <c r="L8" s="6" t="s">
        <v>234</v>
      </c>
      <c r="M8" s="7">
        <v>45808</v>
      </c>
      <c r="N8" s="9" t="s">
        <v>350</v>
      </c>
      <c r="O8" s="9"/>
      <c r="P8" s="22">
        <v>9030509330</v>
      </c>
      <c r="Q8" s="9" t="str">
        <f>CONCATENATE(P8,4)</f>
        <v>90305093304</v>
      </c>
      <c r="R8" s="6" t="s">
        <v>449</v>
      </c>
      <c r="S8" s="9" t="s">
        <v>450</v>
      </c>
      <c r="T8" s="9" t="str">
        <f>CONCATENATE(S8," ",R8)</f>
        <v>Gerald Urish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s="28" customFormat="1" x14ac:dyDescent="0.2">
      <c r="A9" s="6" t="s">
        <v>238</v>
      </c>
      <c r="B9" s="9">
        <v>18828278</v>
      </c>
      <c r="C9" s="6" t="s">
        <v>241</v>
      </c>
      <c r="D9" s="22">
        <v>9030544330</v>
      </c>
      <c r="E9" s="7">
        <v>46054</v>
      </c>
      <c r="F9" s="6" t="s">
        <v>49</v>
      </c>
      <c r="G9" s="6" t="s">
        <v>230</v>
      </c>
      <c r="H9" s="6" t="s">
        <v>46</v>
      </c>
      <c r="I9" s="8">
        <v>10</v>
      </c>
      <c r="J9" s="8">
        <v>26.88</v>
      </c>
      <c r="K9" s="8">
        <v>2.69</v>
      </c>
      <c r="L9" s="6" t="s">
        <v>234</v>
      </c>
      <c r="M9" s="7">
        <v>45808</v>
      </c>
      <c r="N9" s="9" t="s">
        <v>350</v>
      </c>
      <c r="O9" s="9"/>
      <c r="P9" s="22">
        <v>9030544330</v>
      </c>
      <c r="Q9" s="9" t="str">
        <f>CONCATENATE(P9,4)</f>
        <v>90305443304</v>
      </c>
      <c r="R9" s="6" t="s">
        <v>451</v>
      </c>
      <c r="S9" s="9" t="s">
        <v>452</v>
      </c>
      <c r="T9" s="9" t="str">
        <f>CONCATENATE(S9," ",R9)</f>
        <v>Brianna Gambetti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s="28" customFormat="1" x14ac:dyDescent="0.2">
      <c r="A10" s="6" t="s">
        <v>238</v>
      </c>
      <c r="B10" s="9">
        <v>18828278</v>
      </c>
      <c r="C10" s="6" t="s">
        <v>243</v>
      </c>
      <c r="D10" s="22">
        <v>9030558330</v>
      </c>
      <c r="E10" s="7">
        <v>46054</v>
      </c>
      <c r="F10" s="6" t="s">
        <v>49</v>
      </c>
      <c r="G10" s="6" t="s">
        <v>230</v>
      </c>
      <c r="H10" s="6" t="s">
        <v>46</v>
      </c>
      <c r="I10" s="8">
        <v>10</v>
      </c>
      <c r="J10" s="8">
        <v>26.88</v>
      </c>
      <c r="K10" s="8">
        <v>2.69</v>
      </c>
      <c r="L10" s="6" t="s">
        <v>234</v>
      </c>
      <c r="M10" s="7">
        <v>45808</v>
      </c>
      <c r="N10" s="9" t="s">
        <v>350</v>
      </c>
      <c r="O10" s="9"/>
      <c r="P10" s="22">
        <v>9030558330</v>
      </c>
      <c r="Q10" s="9" t="str">
        <f>CONCATENATE(P10,4)</f>
        <v>90305583304</v>
      </c>
      <c r="R10" s="6" t="s">
        <v>453</v>
      </c>
      <c r="S10" s="9" t="s">
        <v>454</v>
      </c>
      <c r="T10" s="9" t="str">
        <f>CONCATENATE(S10," ",R10)</f>
        <v>David Taylor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s="28" customFormat="1" x14ac:dyDescent="0.2">
      <c r="A11" s="6" t="s">
        <v>238</v>
      </c>
      <c r="B11" s="9">
        <v>18828278</v>
      </c>
      <c r="C11" s="6" t="s">
        <v>245</v>
      </c>
      <c r="D11" s="22">
        <v>9030572460</v>
      </c>
      <c r="E11" s="7">
        <v>46054</v>
      </c>
      <c r="F11" s="6" t="s">
        <v>49</v>
      </c>
      <c r="G11" s="6" t="s">
        <v>230</v>
      </c>
      <c r="H11" s="6" t="s">
        <v>46</v>
      </c>
      <c r="I11" s="8">
        <v>10</v>
      </c>
      <c r="J11" s="8">
        <v>13.93</v>
      </c>
      <c r="K11" s="8">
        <v>1.39</v>
      </c>
      <c r="L11" s="6" t="s">
        <v>234</v>
      </c>
      <c r="M11" s="7">
        <v>45809</v>
      </c>
      <c r="N11" s="9" t="s">
        <v>350</v>
      </c>
      <c r="O11" s="9"/>
      <c r="P11" s="22">
        <v>9030572460</v>
      </c>
      <c r="Q11" s="9" t="str">
        <f>CONCATENATE(P11,4)</f>
        <v>90305724604</v>
      </c>
      <c r="R11" s="6" t="s">
        <v>455</v>
      </c>
      <c r="S11" s="9" t="s">
        <v>456</v>
      </c>
      <c r="T11" s="9" t="str">
        <f>CONCATENATE(S11," ",R11)</f>
        <v>Robert Shaw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s="33" customFormat="1" x14ac:dyDescent="0.2">
      <c r="A12" s="6" t="s">
        <v>238</v>
      </c>
      <c r="B12" s="9">
        <v>18828278</v>
      </c>
      <c r="C12" s="6" t="s">
        <v>247</v>
      </c>
      <c r="D12" s="22">
        <v>9030577770</v>
      </c>
      <c r="E12" s="7">
        <v>46054</v>
      </c>
      <c r="F12" s="6" t="s">
        <v>49</v>
      </c>
      <c r="G12" s="6" t="s">
        <v>230</v>
      </c>
      <c r="H12" s="6" t="s">
        <v>46</v>
      </c>
      <c r="I12" s="8">
        <v>10</v>
      </c>
      <c r="J12" s="8">
        <v>46.8</v>
      </c>
      <c r="K12" s="8">
        <v>4.68</v>
      </c>
      <c r="L12" s="6" t="s">
        <v>234</v>
      </c>
      <c r="M12" s="7">
        <v>45809</v>
      </c>
      <c r="N12" s="9" t="s">
        <v>350</v>
      </c>
      <c r="O12" s="9"/>
      <c r="P12" s="22">
        <v>9030577770</v>
      </c>
      <c r="Q12" s="9" t="str">
        <f>CONCATENATE(P12,4)</f>
        <v>90305777704</v>
      </c>
      <c r="R12" s="6" t="s">
        <v>457</v>
      </c>
      <c r="S12" s="9" t="s">
        <v>458</v>
      </c>
      <c r="T12" s="9" t="str">
        <f>CONCATENATE(S12," ",R12)</f>
        <v>Eric Sisco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s="33" customFormat="1" x14ac:dyDescent="0.2">
      <c r="A13" s="6" t="s">
        <v>238</v>
      </c>
      <c r="B13" s="9">
        <v>18828278</v>
      </c>
      <c r="C13" s="6" t="s">
        <v>249</v>
      </c>
      <c r="D13" s="22">
        <v>9030582430</v>
      </c>
      <c r="E13" s="7">
        <v>46054</v>
      </c>
      <c r="F13" s="6" t="s">
        <v>49</v>
      </c>
      <c r="G13" s="6" t="s">
        <v>230</v>
      </c>
      <c r="H13" s="6" t="s">
        <v>46</v>
      </c>
      <c r="I13" s="8">
        <v>10</v>
      </c>
      <c r="J13" s="8">
        <v>26.88</v>
      </c>
      <c r="K13" s="8">
        <v>2.69</v>
      </c>
      <c r="L13" s="6" t="s">
        <v>234</v>
      </c>
      <c r="M13" s="7">
        <v>45809</v>
      </c>
      <c r="N13" s="9" t="s">
        <v>350</v>
      </c>
      <c r="O13" s="9"/>
      <c r="P13" s="22">
        <v>9030582430</v>
      </c>
      <c r="Q13" s="9" t="str">
        <f>CONCATENATE(P13,4)</f>
        <v>90305824304</v>
      </c>
      <c r="R13" s="6" t="s">
        <v>459</v>
      </c>
      <c r="S13" s="9" t="s">
        <v>460</v>
      </c>
      <c r="T13" s="9" t="str">
        <f>CONCATENATE(S13," ",R13)</f>
        <v>Laurie Round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s="28" customFormat="1" x14ac:dyDescent="0.2">
      <c r="A14" s="6" t="s">
        <v>238</v>
      </c>
      <c r="B14" s="9">
        <v>18828278</v>
      </c>
      <c r="C14" s="6" t="s">
        <v>251</v>
      </c>
      <c r="D14" s="22">
        <v>9030645140</v>
      </c>
      <c r="E14" s="7">
        <v>46054</v>
      </c>
      <c r="F14" s="6" t="s">
        <v>49</v>
      </c>
      <c r="G14" s="6" t="s">
        <v>230</v>
      </c>
      <c r="H14" s="6" t="s">
        <v>46</v>
      </c>
      <c r="I14" s="8">
        <v>10</v>
      </c>
      <c r="J14" s="8">
        <v>26.88</v>
      </c>
      <c r="K14" s="8">
        <v>2.69</v>
      </c>
      <c r="L14" s="6" t="s">
        <v>234</v>
      </c>
      <c r="M14" s="7">
        <v>45816</v>
      </c>
      <c r="N14" s="9" t="s">
        <v>350</v>
      </c>
      <c r="O14" s="9"/>
      <c r="P14" s="22">
        <v>9030645140</v>
      </c>
      <c r="Q14" s="9" t="str">
        <f>CONCATENATE(P14,4)</f>
        <v>90306451404</v>
      </c>
      <c r="R14" s="6" t="s">
        <v>461</v>
      </c>
      <c r="S14" s="9" t="s">
        <v>462</v>
      </c>
      <c r="T14" s="9" t="str">
        <f>CONCATENATE(S14," ",R14)</f>
        <v>Ron Ferris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s="28" customFormat="1" x14ac:dyDescent="0.2">
      <c r="A15" s="6" t="s">
        <v>238</v>
      </c>
      <c r="B15" s="9">
        <v>18828278</v>
      </c>
      <c r="C15" s="6" t="s">
        <v>253</v>
      </c>
      <c r="D15" s="22">
        <v>9030645550</v>
      </c>
      <c r="E15" s="7">
        <v>46054</v>
      </c>
      <c r="F15" s="6" t="s">
        <v>49</v>
      </c>
      <c r="G15" s="6" t="s">
        <v>230</v>
      </c>
      <c r="H15" s="6" t="s">
        <v>46</v>
      </c>
      <c r="I15" s="8">
        <v>10</v>
      </c>
      <c r="J15" s="8">
        <v>26.88</v>
      </c>
      <c r="K15" s="8">
        <v>2.69</v>
      </c>
      <c r="L15" s="6" t="s">
        <v>234</v>
      </c>
      <c r="M15" s="7">
        <v>45839</v>
      </c>
      <c r="N15" s="9" t="s">
        <v>350</v>
      </c>
      <c r="O15" s="9"/>
      <c r="P15" s="22">
        <v>9030645550</v>
      </c>
      <c r="Q15" s="9" t="str">
        <f>CONCATENATE(P15,4)</f>
        <v>90306455504</v>
      </c>
      <c r="R15" s="6" t="s">
        <v>463</v>
      </c>
      <c r="S15" s="9" t="s">
        <v>458</v>
      </c>
      <c r="T15" s="9" t="str">
        <f>CONCATENATE(S15," ",R15)</f>
        <v>Eric Johnson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s="28" customFormat="1" x14ac:dyDescent="0.2">
      <c r="A16" s="6" t="s">
        <v>238</v>
      </c>
      <c r="B16" s="9">
        <v>18828278</v>
      </c>
      <c r="C16" s="6" t="s">
        <v>255</v>
      </c>
      <c r="D16" s="22">
        <v>9030645560</v>
      </c>
      <c r="E16" s="7">
        <v>46054</v>
      </c>
      <c r="F16" s="6" t="s">
        <v>49</v>
      </c>
      <c r="G16" s="6" t="s">
        <v>230</v>
      </c>
      <c r="H16" s="6" t="s">
        <v>46</v>
      </c>
      <c r="I16" s="8">
        <v>10</v>
      </c>
      <c r="J16" s="8">
        <v>13.93</v>
      </c>
      <c r="K16" s="8">
        <v>1.39</v>
      </c>
      <c r="L16" s="6" t="s">
        <v>234</v>
      </c>
      <c r="M16" s="7">
        <v>45816</v>
      </c>
      <c r="N16" s="9" t="s">
        <v>350</v>
      </c>
      <c r="O16" s="9"/>
      <c r="P16" s="22">
        <v>9030645560</v>
      </c>
      <c r="Q16" s="9" t="str">
        <f>CONCATENATE(P16,4)</f>
        <v>90306455604</v>
      </c>
      <c r="R16" s="6" t="s">
        <v>464</v>
      </c>
      <c r="S16" s="9" t="s">
        <v>465</v>
      </c>
      <c r="T16" s="9" t="str">
        <f>CONCATENATE(S16," ",R16)</f>
        <v>Victoria Shirkey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s="28" customFormat="1" x14ac:dyDescent="0.2">
      <c r="A17" s="6" t="s">
        <v>238</v>
      </c>
      <c r="B17" s="9">
        <v>18828278</v>
      </c>
      <c r="C17" s="6" t="s">
        <v>257</v>
      </c>
      <c r="D17" s="22">
        <v>9030651770</v>
      </c>
      <c r="E17" s="7">
        <v>46054</v>
      </c>
      <c r="F17" s="6" t="s">
        <v>49</v>
      </c>
      <c r="G17" s="6" t="s">
        <v>230</v>
      </c>
      <c r="H17" s="6" t="s">
        <v>46</v>
      </c>
      <c r="I17" s="8">
        <v>10</v>
      </c>
      <c r="J17" s="8">
        <v>13.93</v>
      </c>
      <c r="K17" s="8">
        <v>1.39</v>
      </c>
      <c r="L17" s="6" t="s">
        <v>234</v>
      </c>
      <c r="M17" s="7">
        <v>45817</v>
      </c>
      <c r="N17" s="9" t="s">
        <v>350</v>
      </c>
      <c r="O17" s="9"/>
      <c r="P17" s="22">
        <v>9030651770</v>
      </c>
      <c r="Q17" s="9" t="str">
        <f>CONCATENATE(P17,4)</f>
        <v>90306517704</v>
      </c>
      <c r="R17" s="6" t="s">
        <v>466</v>
      </c>
      <c r="S17" s="9" t="s">
        <v>467</v>
      </c>
      <c r="T17" s="9" t="str">
        <f>CONCATENATE(S17," ",R17)</f>
        <v>Thomas Thompson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1:42" s="28" customFormat="1" x14ac:dyDescent="0.2">
      <c r="A18" s="6" t="s">
        <v>238</v>
      </c>
      <c r="B18" s="9">
        <v>18828278</v>
      </c>
      <c r="C18" s="6" t="s">
        <v>259</v>
      </c>
      <c r="D18" s="22">
        <v>9030652040</v>
      </c>
      <c r="E18" s="7">
        <v>46054</v>
      </c>
      <c r="F18" s="6" t="s">
        <v>49</v>
      </c>
      <c r="G18" s="6" t="s">
        <v>230</v>
      </c>
      <c r="H18" s="6" t="s">
        <v>46</v>
      </c>
      <c r="I18" s="8">
        <v>10</v>
      </c>
      <c r="J18" s="8">
        <v>26.88</v>
      </c>
      <c r="K18" s="8">
        <v>2.69</v>
      </c>
      <c r="L18" s="6" t="s">
        <v>234</v>
      </c>
      <c r="M18" s="7">
        <v>45817</v>
      </c>
      <c r="N18" s="9" t="s">
        <v>350</v>
      </c>
      <c r="O18" s="9"/>
      <c r="P18" s="22">
        <v>9030652040</v>
      </c>
      <c r="Q18" s="9" t="str">
        <f>CONCATENATE(P18,4)</f>
        <v>90306520404</v>
      </c>
      <c r="R18" s="6" t="s">
        <v>468</v>
      </c>
      <c r="S18" s="9" t="s">
        <v>469</v>
      </c>
      <c r="T18" s="9" t="str">
        <f>CONCATENATE(S18," ",R18)</f>
        <v>Nancy Dauer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s="28" customFormat="1" x14ac:dyDescent="0.2">
      <c r="A19" s="6" t="s">
        <v>238</v>
      </c>
      <c r="B19" s="9">
        <v>18828278</v>
      </c>
      <c r="C19" s="6" t="s">
        <v>261</v>
      </c>
      <c r="D19" s="22">
        <v>9030652540</v>
      </c>
      <c r="E19" s="7">
        <v>46054</v>
      </c>
      <c r="F19" s="6" t="s">
        <v>49</v>
      </c>
      <c r="G19" s="6" t="s">
        <v>230</v>
      </c>
      <c r="H19" s="6" t="s">
        <v>46</v>
      </c>
      <c r="I19" s="8">
        <v>10</v>
      </c>
      <c r="J19" s="8">
        <v>13.93</v>
      </c>
      <c r="K19" s="8">
        <v>1.39</v>
      </c>
      <c r="L19" s="6" t="s">
        <v>234</v>
      </c>
      <c r="M19" s="7">
        <v>45870</v>
      </c>
      <c r="N19" s="9" t="s">
        <v>350</v>
      </c>
      <c r="O19" s="9"/>
      <c r="P19" s="22">
        <v>9030652540</v>
      </c>
      <c r="Q19" s="9" t="str">
        <f>CONCATENATE(P19,4)</f>
        <v>90306525404</v>
      </c>
      <c r="R19" s="6" t="s">
        <v>470</v>
      </c>
      <c r="S19" s="9" t="s">
        <v>471</v>
      </c>
      <c r="T19" s="9" t="str">
        <f>CONCATENATE(S19," ",R19)</f>
        <v>John Sciutto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spans="1:42" s="28" customFormat="1" x14ac:dyDescent="0.2">
      <c r="A20" s="6" t="s">
        <v>238</v>
      </c>
      <c r="B20" s="9">
        <v>18828278</v>
      </c>
      <c r="C20" s="6" t="s">
        <v>263</v>
      </c>
      <c r="D20" s="22">
        <v>9030675550</v>
      </c>
      <c r="E20" s="7">
        <v>46054</v>
      </c>
      <c r="F20" s="6" t="s">
        <v>49</v>
      </c>
      <c r="G20" s="6" t="s">
        <v>230</v>
      </c>
      <c r="H20" s="6" t="s">
        <v>46</v>
      </c>
      <c r="I20" s="8">
        <v>10</v>
      </c>
      <c r="J20" s="8">
        <v>13.93</v>
      </c>
      <c r="K20" s="8">
        <v>1.39</v>
      </c>
      <c r="L20" s="6" t="s">
        <v>234</v>
      </c>
      <c r="M20" s="7">
        <v>45839</v>
      </c>
      <c r="N20" s="9" t="s">
        <v>350</v>
      </c>
      <c r="O20" s="9"/>
      <c r="P20" s="22">
        <v>9030675550</v>
      </c>
      <c r="Q20" s="9" t="str">
        <f>CONCATENATE(P20,4)</f>
        <v>90306755504</v>
      </c>
      <c r="R20" s="6" t="s">
        <v>472</v>
      </c>
      <c r="S20" s="9" t="s">
        <v>473</v>
      </c>
      <c r="T20" s="9" t="str">
        <f>CONCATENATE(S20," ",R20)</f>
        <v>Cheryl Simmons-Hutson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s="28" customFormat="1" x14ac:dyDescent="0.2">
      <c r="A21" s="6" t="s">
        <v>238</v>
      </c>
      <c r="B21" s="9">
        <v>18828278</v>
      </c>
      <c r="C21" s="6" t="s">
        <v>265</v>
      </c>
      <c r="D21" s="22">
        <v>9030683010</v>
      </c>
      <c r="E21" s="7">
        <v>46054</v>
      </c>
      <c r="F21" s="6" t="s">
        <v>49</v>
      </c>
      <c r="G21" s="6" t="s">
        <v>230</v>
      </c>
      <c r="H21" s="6" t="s">
        <v>46</v>
      </c>
      <c r="I21" s="8">
        <v>10</v>
      </c>
      <c r="J21" s="8">
        <v>26.88</v>
      </c>
      <c r="K21" s="8">
        <v>2.69</v>
      </c>
      <c r="L21" s="6" t="s">
        <v>234</v>
      </c>
      <c r="M21" s="7">
        <v>45839</v>
      </c>
      <c r="N21" s="9" t="s">
        <v>350</v>
      </c>
      <c r="O21" s="9"/>
      <c r="P21" s="22">
        <v>9030683010</v>
      </c>
      <c r="Q21" s="9" t="str">
        <f>CONCATENATE(P21,4)</f>
        <v>90306830104</v>
      </c>
      <c r="R21" s="6" t="s">
        <v>474</v>
      </c>
      <c r="S21" s="9" t="s">
        <v>475</v>
      </c>
      <c r="T21" s="9" t="str">
        <f>CONCATENATE(S21," ",R21)</f>
        <v>Edward Bond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s="28" customFormat="1" x14ac:dyDescent="0.2">
      <c r="A22" s="6" t="s">
        <v>238</v>
      </c>
      <c r="B22" s="9">
        <v>18828278</v>
      </c>
      <c r="C22" s="6" t="s">
        <v>267</v>
      </c>
      <c r="D22" s="22">
        <v>9030703310</v>
      </c>
      <c r="E22" s="7">
        <v>46054</v>
      </c>
      <c r="F22" s="6" t="s">
        <v>49</v>
      </c>
      <c r="G22" s="6" t="s">
        <v>230</v>
      </c>
      <c r="H22" s="6" t="s">
        <v>46</v>
      </c>
      <c r="I22" s="8">
        <v>10</v>
      </c>
      <c r="J22" s="8">
        <v>46.8</v>
      </c>
      <c r="K22" s="8">
        <v>4.68</v>
      </c>
      <c r="L22" s="6" t="s">
        <v>234</v>
      </c>
      <c r="M22" s="7">
        <v>45839</v>
      </c>
      <c r="N22" s="9" t="s">
        <v>350</v>
      </c>
      <c r="O22" s="9"/>
      <c r="P22" s="22">
        <v>9030703310</v>
      </c>
      <c r="Q22" s="9" t="str">
        <f>CONCATENATE(P22,4)</f>
        <v>90307033104</v>
      </c>
      <c r="R22" s="6" t="s">
        <v>476</v>
      </c>
      <c r="S22" s="9" t="s">
        <v>477</v>
      </c>
      <c r="T22" s="9" t="str">
        <f>CONCATENATE(S22," ",R22)</f>
        <v>Shaji Sharad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s="28" customFormat="1" x14ac:dyDescent="0.2">
      <c r="A23" s="6" t="s">
        <v>238</v>
      </c>
      <c r="B23" s="9">
        <v>18828278</v>
      </c>
      <c r="C23" s="6" t="s">
        <v>269</v>
      </c>
      <c r="D23" s="22">
        <v>9030719950</v>
      </c>
      <c r="E23" s="7">
        <v>46054</v>
      </c>
      <c r="F23" s="6" t="s">
        <v>49</v>
      </c>
      <c r="G23" s="6" t="s">
        <v>230</v>
      </c>
      <c r="H23" s="6" t="s">
        <v>46</v>
      </c>
      <c r="I23" s="8">
        <v>10</v>
      </c>
      <c r="J23" s="8">
        <v>13.93</v>
      </c>
      <c r="K23" s="8">
        <v>1.39</v>
      </c>
      <c r="L23" s="6" t="s">
        <v>234</v>
      </c>
      <c r="M23" s="7">
        <v>45839</v>
      </c>
      <c r="N23" s="9" t="s">
        <v>350</v>
      </c>
      <c r="O23" s="9"/>
      <c r="P23" s="22">
        <v>9030719950</v>
      </c>
      <c r="Q23" s="9" t="str">
        <f>CONCATENATE(P23,4)</f>
        <v>90307199504</v>
      </c>
      <c r="R23" s="6" t="s">
        <v>478</v>
      </c>
      <c r="S23" s="9" t="s">
        <v>479</v>
      </c>
      <c r="T23" s="9" t="str">
        <f>CONCATENATE(S23," ",R23)</f>
        <v>Mary Boma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s="28" customFormat="1" x14ac:dyDescent="0.2">
      <c r="A24" s="6" t="s">
        <v>238</v>
      </c>
      <c r="B24" s="9">
        <v>18828278</v>
      </c>
      <c r="C24" s="6" t="s">
        <v>271</v>
      </c>
      <c r="D24" s="22">
        <v>9030782820</v>
      </c>
      <c r="E24" s="7">
        <v>46054</v>
      </c>
      <c r="F24" s="6" t="s">
        <v>49</v>
      </c>
      <c r="G24" s="6" t="s">
        <v>230</v>
      </c>
      <c r="H24" s="6" t="s">
        <v>46</v>
      </c>
      <c r="I24" s="8">
        <v>10</v>
      </c>
      <c r="J24" s="8">
        <v>14.93</v>
      </c>
      <c r="K24" s="8">
        <v>1.49</v>
      </c>
      <c r="L24" s="6" t="s">
        <v>234</v>
      </c>
      <c r="M24" s="7">
        <v>45870</v>
      </c>
      <c r="N24" s="9" t="s">
        <v>350</v>
      </c>
      <c r="O24" s="9"/>
      <c r="P24" s="22">
        <v>9030782820</v>
      </c>
      <c r="Q24" s="9" t="str">
        <f>CONCATENATE(P24,4)</f>
        <v>90307828204</v>
      </c>
      <c r="R24" s="6" t="s">
        <v>480</v>
      </c>
      <c r="S24" s="9" t="s">
        <v>481</v>
      </c>
      <c r="T24" s="9" t="str">
        <f>CONCATENATE(S24," ",R24)</f>
        <v>Kenneth Kasprzak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s="28" customFormat="1" x14ac:dyDescent="0.2">
      <c r="A25" s="6" t="s">
        <v>238</v>
      </c>
      <c r="B25" s="9">
        <v>18828278</v>
      </c>
      <c r="C25" s="6" t="s">
        <v>273</v>
      </c>
      <c r="D25" s="22">
        <v>9030840840</v>
      </c>
      <c r="E25" s="7">
        <v>46054</v>
      </c>
      <c r="F25" s="6" t="s">
        <v>49</v>
      </c>
      <c r="G25" s="6" t="s">
        <v>230</v>
      </c>
      <c r="H25" s="6" t="s">
        <v>46</v>
      </c>
      <c r="I25" s="8">
        <v>10</v>
      </c>
      <c r="J25" s="8">
        <v>14.93</v>
      </c>
      <c r="K25" s="8">
        <v>1.49</v>
      </c>
      <c r="L25" s="6" t="s">
        <v>234</v>
      </c>
      <c r="M25" s="7">
        <v>45870</v>
      </c>
      <c r="N25" s="9" t="s">
        <v>350</v>
      </c>
      <c r="O25" s="9"/>
      <c r="P25" s="22">
        <v>9030840840</v>
      </c>
      <c r="Q25" s="9" t="str">
        <f>CONCATENATE(P25,4)</f>
        <v>90308408404</v>
      </c>
      <c r="R25" s="6" t="s">
        <v>482</v>
      </c>
      <c r="S25" s="9" t="s">
        <v>483</v>
      </c>
      <c r="T25" s="9" t="str">
        <f>CONCATENATE(S25," ",R25)</f>
        <v>Jacqueline Galloway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s="28" customFormat="1" x14ac:dyDescent="0.2">
      <c r="A26" s="6" t="s">
        <v>238</v>
      </c>
      <c r="B26" s="9">
        <v>18828278</v>
      </c>
      <c r="C26" s="6" t="s">
        <v>275</v>
      </c>
      <c r="D26" s="22">
        <v>9030895100</v>
      </c>
      <c r="E26" s="7">
        <v>46054</v>
      </c>
      <c r="F26" s="6" t="s">
        <v>49</v>
      </c>
      <c r="G26" s="6" t="s">
        <v>230</v>
      </c>
      <c r="H26" s="6" t="s">
        <v>46</v>
      </c>
      <c r="I26" s="8">
        <v>10</v>
      </c>
      <c r="J26" s="8">
        <v>14.93</v>
      </c>
      <c r="K26" s="8">
        <v>1.49</v>
      </c>
      <c r="L26" s="6" t="s">
        <v>234</v>
      </c>
      <c r="M26" s="7">
        <v>45870</v>
      </c>
      <c r="N26" s="9" t="s">
        <v>350</v>
      </c>
      <c r="O26" s="9"/>
      <c r="P26" s="22">
        <v>9030895100</v>
      </c>
      <c r="Q26" s="9" t="str">
        <f>CONCATENATE(P26,4)</f>
        <v>90308951004</v>
      </c>
      <c r="R26" s="6" t="s">
        <v>484</v>
      </c>
      <c r="S26" s="9" t="s">
        <v>467</v>
      </c>
      <c r="T26" s="9" t="str">
        <f>CONCATENATE(S26," ",R26)</f>
        <v>Thomas Stokes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s="28" customFormat="1" x14ac:dyDescent="0.2">
      <c r="A27" s="6" t="s">
        <v>238</v>
      </c>
      <c r="B27" s="9">
        <v>18828278</v>
      </c>
      <c r="C27" s="6" t="s">
        <v>277</v>
      </c>
      <c r="D27" s="22">
        <v>9030924610</v>
      </c>
      <c r="E27" s="7">
        <v>46054</v>
      </c>
      <c r="F27" s="6" t="s">
        <v>49</v>
      </c>
      <c r="G27" s="6" t="s">
        <v>230</v>
      </c>
      <c r="H27" s="6" t="s">
        <v>46</v>
      </c>
      <c r="I27" s="8">
        <v>10</v>
      </c>
      <c r="J27" s="8">
        <v>14.93</v>
      </c>
      <c r="K27" s="8">
        <v>1.49</v>
      </c>
      <c r="L27" s="6" t="s">
        <v>234</v>
      </c>
      <c r="M27" s="7">
        <v>45871</v>
      </c>
      <c r="N27" s="9" t="s">
        <v>350</v>
      </c>
      <c r="O27" s="9"/>
      <c r="P27" s="22">
        <v>9030924610</v>
      </c>
      <c r="Q27" s="9" t="str">
        <f>CONCATENATE(P27,4)</f>
        <v>90309246104</v>
      </c>
      <c r="R27" s="6" t="s">
        <v>485</v>
      </c>
      <c r="S27" s="9" t="s">
        <v>486</v>
      </c>
      <c r="T27" s="9" t="str">
        <f>CONCATENATE(S27," ",R27)</f>
        <v>Robin Fewell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s="28" customFormat="1" x14ac:dyDescent="0.2">
      <c r="A28" s="6" t="s">
        <v>238</v>
      </c>
      <c r="B28" s="9">
        <v>18828278</v>
      </c>
      <c r="C28" s="6" t="s">
        <v>279</v>
      </c>
      <c r="D28" s="22">
        <v>9030996000</v>
      </c>
      <c r="E28" s="7">
        <v>46054</v>
      </c>
      <c r="F28" s="6" t="s">
        <v>49</v>
      </c>
      <c r="G28" s="6" t="s">
        <v>230</v>
      </c>
      <c r="H28" s="6" t="s">
        <v>46</v>
      </c>
      <c r="I28" s="8">
        <v>10</v>
      </c>
      <c r="J28" s="8">
        <v>26.88</v>
      </c>
      <c r="K28" s="8">
        <v>2.69</v>
      </c>
      <c r="L28" s="6" t="s">
        <v>234</v>
      </c>
      <c r="M28" s="7">
        <v>45962</v>
      </c>
      <c r="N28" s="9" t="s">
        <v>350</v>
      </c>
      <c r="O28" s="9"/>
      <c r="P28" s="22">
        <v>9030996000</v>
      </c>
      <c r="Q28" s="9" t="str">
        <f>CONCATENATE(P28,4)</f>
        <v>90309960004</v>
      </c>
      <c r="R28" s="6" t="s">
        <v>487</v>
      </c>
      <c r="S28" s="9" t="s">
        <v>488</v>
      </c>
      <c r="T28" s="9" t="str">
        <f>CONCATENATE(S28," ",R28)</f>
        <v>Dana Quiram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s="28" customFormat="1" x14ac:dyDescent="0.2">
      <c r="A29" s="6" t="s">
        <v>238</v>
      </c>
      <c r="B29" s="9">
        <v>18828278</v>
      </c>
      <c r="C29" s="6" t="s">
        <v>281</v>
      </c>
      <c r="D29" s="22">
        <v>9031050480</v>
      </c>
      <c r="E29" s="7">
        <v>46082</v>
      </c>
      <c r="F29" s="6" t="s">
        <v>60</v>
      </c>
      <c r="G29" s="6" t="s">
        <v>230</v>
      </c>
      <c r="H29" s="6" t="s">
        <v>46</v>
      </c>
      <c r="I29" s="8">
        <v>10</v>
      </c>
      <c r="J29" s="8">
        <v>-14.93</v>
      </c>
      <c r="K29" s="8">
        <v>-1.49</v>
      </c>
      <c r="L29" s="6" t="s">
        <v>234</v>
      </c>
      <c r="M29" s="7">
        <v>45908</v>
      </c>
      <c r="N29" s="9" t="s">
        <v>350</v>
      </c>
      <c r="O29" s="9"/>
      <c r="P29" s="22">
        <v>9031050480</v>
      </c>
      <c r="Q29" s="9" t="str">
        <f>CONCATENATE(P29,4)</f>
        <v>90310504804</v>
      </c>
      <c r="R29" s="6" t="s">
        <v>489</v>
      </c>
      <c r="S29" s="9" t="s">
        <v>490</v>
      </c>
      <c r="T29" s="9" t="str">
        <f>CONCATENATE(S29," ",R29)</f>
        <v>Nichole Sleeper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s="28" customFormat="1" x14ac:dyDescent="0.2">
      <c r="A30" s="6" t="s">
        <v>238</v>
      </c>
      <c r="B30" s="9">
        <v>18828278</v>
      </c>
      <c r="C30" s="6" t="s">
        <v>283</v>
      </c>
      <c r="D30" s="22">
        <v>9031076870</v>
      </c>
      <c r="E30" s="7">
        <v>46054</v>
      </c>
      <c r="F30" s="6" t="s">
        <v>49</v>
      </c>
      <c r="G30" s="6" t="s">
        <v>230</v>
      </c>
      <c r="H30" s="6" t="s">
        <v>46</v>
      </c>
      <c r="I30" s="8">
        <v>10</v>
      </c>
      <c r="J30" s="8">
        <v>26.88</v>
      </c>
      <c r="K30" s="8">
        <v>2.69</v>
      </c>
      <c r="L30" s="6" t="s">
        <v>234</v>
      </c>
      <c r="M30" s="7">
        <v>45901</v>
      </c>
      <c r="N30" s="9" t="s">
        <v>350</v>
      </c>
      <c r="O30" s="9"/>
      <c r="P30" s="22">
        <v>9031076870</v>
      </c>
      <c r="Q30" s="9" t="str">
        <f>CONCATENATE(P30,4)</f>
        <v>90310768704</v>
      </c>
      <c r="R30" s="6" t="s">
        <v>491</v>
      </c>
      <c r="S30" s="9" t="s">
        <v>492</v>
      </c>
      <c r="T30" s="9" t="str">
        <f>CONCATENATE(S30," ",R30)</f>
        <v>James Trost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s="28" customFormat="1" x14ac:dyDescent="0.2">
      <c r="A31" s="6" t="s">
        <v>238</v>
      </c>
      <c r="B31" s="9">
        <v>18828278</v>
      </c>
      <c r="C31" s="6" t="s">
        <v>285</v>
      </c>
      <c r="D31" s="22">
        <v>9031094580</v>
      </c>
      <c r="E31" s="7">
        <v>46082</v>
      </c>
      <c r="F31" s="6" t="s">
        <v>60</v>
      </c>
      <c r="G31" s="6" t="s">
        <v>230</v>
      </c>
      <c r="H31" s="6" t="s">
        <v>46</v>
      </c>
      <c r="I31" s="8">
        <v>10</v>
      </c>
      <c r="J31" s="8">
        <v>-15.43</v>
      </c>
      <c r="K31" s="8">
        <v>-1.54</v>
      </c>
      <c r="L31" s="6" t="s">
        <v>234</v>
      </c>
      <c r="M31" s="7">
        <v>45991</v>
      </c>
      <c r="N31" s="9" t="s">
        <v>350</v>
      </c>
      <c r="O31" s="9"/>
      <c r="P31" s="22">
        <v>9031094580</v>
      </c>
      <c r="Q31" s="9" t="str">
        <f>CONCATENATE(P31,4)</f>
        <v>90310945804</v>
      </c>
      <c r="R31" s="6" t="s">
        <v>493</v>
      </c>
      <c r="S31" s="9" t="s">
        <v>494</v>
      </c>
      <c r="T31" s="9" t="str">
        <f>CONCATENATE(S31," ",R31)</f>
        <v>Michael Holtz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s="28" customFormat="1" x14ac:dyDescent="0.2">
      <c r="A32" s="6" t="s">
        <v>238</v>
      </c>
      <c r="B32" s="9">
        <v>18828278</v>
      </c>
      <c r="C32" s="6" t="s">
        <v>287</v>
      </c>
      <c r="D32" s="22">
        <v>9031198320</v>
      </c>
      <c r="E32" s="7">
        <v>46054</v>
      </c>
      <c r="F32" s="6" t="s">
        <v>49</v>
      </c>
      <c r="G32" s="6" t="s">
        <v>230</v>
      </c>
      <c r="H32" s="6" t="s">
        <v>46</v>
      </c>
      <c r="I32" s="8">
        <v>10</v>
      </c>
      <c r="J32" s="8">
        <v>14.93</v>
      </c>
      <c r="K32" s="8">
        <v>1.49</v>
      </c>
      <c r="L32" s="6" t="s">
        <v>234</v>
      </c>
      <c r="M32" s="7">
        <v>45931</v>
      </c>
      <c r="N32" s="9" t="s">
        <v>350</v>
      </c>
      <c r="O32" s="9"/>
      <c r="P32" s="22">
        <v>9031198320</v>
      </c>
      <c r="Q32" s="9" t="str">
        <f>CONCATENATE(P32,4)</f>
        <v>90311983204</v>
      </c>
      <c r="R32" s="6" t="s">
        <v>495</v>
      </c>
      <c r="S32" s="9" t="s">
        <v>496</v>
      </c>
      <c r="T32" s="9" t="str">
        <f>CONCATENATE(S32," ",R32)</f>
        <v>Patsy Hill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s="28" customFormat="1" x14ac:dyDescent="0.2">
      <c r="A33" s="6" t="s">
        <v>238</v>
      </c>
      <c r="B33" s="9">
        <v>18828278</v>
      </c>
      <c r="C33" s="6" t="s">
        <v>289</v>
      </c>
      <c r="D33" s="22">
        <v>9031241060</v>
      </c>
      <c r="E33" s="7">
        <v>46054</v>
      </c>
      <c r="F33" s="6" t="s">
        <v>49</v>
      </c>
      <c r="G33" s="6" t="s">
        <v>230</v>
      </c>
      <c r="H33" s="6" t="s">
        <v>46</v>
      </c>
      <c r="I33" s="8">
        <v>10</v>
      </c>
      <c r="J33" s="8">
        <v>14.93</v>
      </c>
      <c r="K33" s="8">
        <v>1.49</v>
      </c>
      <c r="L33" s="6" t="s">
        <v>234</v>
      </c>
      <c r="M33" s="7">
        <v>45962</v>
      </c>
      <c r="N33" s="9" t="s">
        <v>350</v>
      </c>
      <c r="O33" s="9"/>
      <c r="P33" s="22">
        <v>9031241060</v>
      </c>
      <c r="Q33" s="9" t="str">
        <f>CONCATENATE(P33,4)</f>
        <v>90312410604</v>
      </c>
      <c r="R33" s="6" t="s">
        <v>497</v>
      </c>
      <c r="S33" s="9" t="s">
        <v>498</v>
      </c>
      <c r="T33" s="9" t="str">
        <f>CONCATENATE(S33," ",R33)</f>
        <v>Hannelore Heckmann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s="28" customFormat="1" x14ac:dyDescent="0.2">
      <c r="A34" s="6" t="s">
        <v>238</v>
      </c>
      <c r="B34" s="9">
        <v>18828278</v>
      </c>
      <c r="C34" s="6" t="s">
        <v>291</v>
      </c>
      <c r="D34" s="22">
        <v>9031246400</v>
      </c>
      <c r="E34" s="7">
        <v>46054</v>
      </c>
      <c r="F34" s="6" t="s">
        <v>49</v>
      </c>
      <c r="G34" s="6" t="s">
        <v>230</v>
      </c>
      <c r="H34" s="6" t="s">
        <v>46</v>
      </c>
      <c r="I34" s="8">
        <v>10</v>
      </c>
      <c r="J34" s="8">
        <v>26.88</v>
      </c>
      <c r="K34" s="8">
        <v>2.69</v>
      </c>
      <c r="L34" s="6" t="s">
        <v>234</v>
      </c>
      <c r="M34" s="7">
        <v>45962</v>
      </c>
      <c r="N34" s="9" t="s">
        <v>350</v>
      </c>
      <c r="O34" s="9"/>
      <c r="P34" s="22">
        <v>9031246400</v>
      </c>
      <c r="Q34" s="9" t="str">
        <f>CONCATENATE(P34,4)</f>
        <v>90312464004</v>
      </c>
      <c r="R34" s="6" t="s">
        <v>499</v>
      </c>
      <c r="S34" s="9" t="s">
        <v>500</v>
      </c>
      <c r="T34" s="9" t="str">
        <f>CONCATENATE(S34," ",R34)</f>
        <v>Linda Forbes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s="28" customFormat="1" x14ac:dyDescent="0.2">
      <c r="A35" s="6" t="s">
        <v>238</v>
      </c>
      <c r="B35" s="9">
        <v>18828278</v>
      </c>
      <c r="C35" s="6" t="s">
        <v>293</v>
      </c>
      <c r="D35" s="22">
        <v>9031317020</v>
      </c>
      <c r="E35" s="7">
        <v>46054</v>
      </c>
      <c r="F35" s="6" t="s">
        <v>49</v>
      </c>
      <c r="G35" s="6" t="s">
        <v>230</v>
      </c>
      <c r="H35" s="6" t="s">
        <v>46</v>
      </c>
      <c r="I35" s="8">
        <v>10</v>
      </c>
      <c r="J35" s="8">
        <v>14.93</v>
      </c>
      <c r="K35" s="8">
        <v>1.49</v>
      </c>
      <c r="L35" s="6" t="s">
        <v>234</v>
      </c>
      <c r="M35" s="7">
        <v>45992</v>
      </c>
      <c r="N35" s="9" t="s">
        <v>350</v>
      </c>
      <c r="O35" s="9"/>
      <c r="P35" s="22">
        <v>9031317020</v>
      </c>
      <c r="Q35" s="9" t="str">
        <f>CONCATENATE(P35,4)</f>
        <v>90313170204</v>
      </c>
      <c r="R35" s="6" t="s">
        <v>501</v>
      </c>
      <c r="S35" s="9" t="s">
        <v>502</v>
      </c>
      <c r="T35" s="9" t="str">
        <f>CONCATENATE(S35," ",R35)</f>
        <v>Penny Hancock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s="28" customFormat="1" x14ac:dyDescent="0.2">
      <c r="A36" s="6" t="s">
        <v>238</v>
      </c>
      <c r="B36" s="9">
        <v>18828278</v>
      </c>
      <c r="C36" s="6" t="s">
        <v>295</v>
      </c>
      <c r="D36" s="22">
        <v>9031323610</v>
      </c>
      <c r="E36" s="7">
        <v>46054</v>
      </c>
      <c r="F36" s="6" t="s">
        <v>49</v>
      </c>
      <c r="G36" s="6" t="s">
        <v>230</v>
      </c>
      <c r="H36" s="6" t="s">
        <v>46</v>
      </c>
      <c r="I36" s="8">
        <v>10</v>
      </c>
      <c r="J36" s="8">
        <v>26.88</v>
      </c>
      <c r="K36" s="8">
        <v>2.69</v>
      </c>
      <c r="L36" s="6" t="s">
        <v>234</v>
      </c>
      <c r="M36" s="7">
        <v>45992</v>
      </c>
      <c r="N36" s="9" t="s">
        <v>350</v>
      </c>
      <c r="O36" s="9"/>
      <c r="P36" s="22">
        <v>9031323610</v>
      </c>
      <c r="Q36" s="9" t="str">
        <f>CONCATENATE(P36,4)</f>
        <v>90313236104</v>
      </c>
      <c r="R36" s="6" t="s">
        <v>503</v>
      </c>
      <c r="S36" s="9" t="s">
        <v>454</v>
      </c>
      <c r="T36" s="9" t="str">
        <f>CONCATENATE(S36," ",R36)</f>
        <v>David Proeber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s="28" customFormat="1" x14ac:dyDescent="0.2">
      <c r="A37" s="6" t="s">
        <v>238</v>
      </c>
      <c r="B37" s="9">
        <v>18828278</v>
      </c>
      <c r="C37" s="6" t="s">
        <v>297</v>
      </c>
      <c r="D37" s="22">
        <v>9031377640</v>
      </c>
      <c r="E37" s="7">
        <v>46054</v>
      </c>
      <c r="F37" s="6" t="s">
        <v>49</v>
      </c>
      <c r="G37" s="6" t="s">
        <v>230</v>
      </c>
      <c r="H37" s="6" t="s">
        <v>46</v>
      </c>
      <c r="I37" s="8">
        <v>10</v>
      </c>
      <c r="J37" s="8">
        <v>14.93</v>
      </c>
      <c r="K37" s="8">
        <v>1.49</v>
      </c>
      <c r="L37" s="6" t="s">
        <v>234</v>
      </c>
      <c r="M37" s="7">
        <v>46023</v>
      </c>
      <c r="N37" s="9" t="s">
        <v>350</v>
      </c>
      <c r="O37" s="9"/>
      <c r="P37" s="22">
        <v>9031377640</v>
      </c>
      <c r="Q37" s="9" t="str">
        <f>CONCATENATE(P37,4)</f>
        <v>90313776404</v>
      </c>
      <c r="R37" s="6" t="s">
        <v>504</v>
      </c>
      <c r="S37" s="9" t="s">
        <v>505</v>
      </c>
      <c r="T37" s="9" t="str">
        <f>CONCATENATE(S37," ",R37)</f>
        <v>Michelle Shmikler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s="28" customFormat="1" x14ac:dyDescent="0.2">
      <c r="A38" s="6" t="s">
        <v>238</v>
      </c>
      <c r="B38" s="9">
        <v>18828278</v>
      </c>
      <c r="C38" s="6" t="s">
        <v>299</v>
      </c>
      <c r="D38" s="22">
        <v>9031392680</v>
      </c>
      <c r="E38" s="7">
        <v>46054</v>
      </c>
      <c r="F38" s="6" t="s">
        <v>49</v>
      </c>
      <c r="G38" s="6" t="s">
        <v>230</v>
      </c>
      <c r="H38" s="6" t="s">
        <v>46</v>
      </c>
      <c r="I38" s="8">
        <v>10</v>
      </c>
      <c r="J38" s="8">
        <v>14.93</v>
      </c>
      <c r="K38" s="8">
        <v>1.49</v>
      </c>
      <c r="L38" s="6" t="s">
        <v>234</v>
      </c>
      <c r="M38" s="7">
        <v>46023</v>
      </c>
      <c r="N38" s="9" t="s">
        <v>350</v>
      </c>
      <c r="O38" s="9"/>
      <c r="P38" s="22">
        <v>9031392680</v>
      </c>
      <c r="Q38" s="9" t="str">
        <f>CONCATENATE(P38,4)</f>
        <v>90313926804</v>
      </c>
      <c r="R38" s="6" t="s">
        <v>506</v>
      </c>
      <c r="S38" s="9" t="s">
        <v>507</v>
      </c>
      <c r="T38" s="9" t="str">
        <f>CONCATENATE(S38," ",R38)</f>
        <v>Bryan Eckmann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s="28" customFormat="1" x14ac:dyDescent="0.2">
      <c r="A39" s="6" t="s">
        <v>238</v>
      </c>
      <c r="B39" s="9">
        <v>18828278</v>
      </c>
      <c r="C39" s="6" t="s">
        <v>301</v>
      </c>
      <c r="D39" s="22">
        <v>9031414170</v>
      </c>
      <c r="E39" s="7">
        <v>46054</v>
      </c>
      <c r="F39" s="6" t="s">
        <v>49</v>
      </c>
      <c r="G39" s="6" t="s">
        <v>230</v>
      </c>
      <c r="H39" s="6" t="s">
        <v>46</v>
      </c>
      <c r="I39" s="8">
        <v>10</v>
      </c>
      <c r="J39" s="8">
        <v>14.93</v>
      </c>
      <c r="K39" s="8">
        <v>1.49</v>
      </c>
      <c r="L39" s="6" t="s">
        <v>234</v>
      </c>
      <c r="M39" s="7">
        <v>46023</v>
      </c>
      <c r="N39" s="9" t="s">
        <v>350</v>
      </c>
      <c r="O39" s="9"/>
      <c r="P39" s="22">
        <v>9031414170</v>
      </c>
      <c r="Q39" s="9" t="str">
        <f>CONCATENATE(P39,4)</f>
        <v>90314141704</v>
      </c>
      <c r="R39" s="6" t="s">
        <v>508</v>
      </c>
      <c r="S39" s="9" t="s">
        <v>509</v>
      </c>
      <c r="T39" s="9" t="str">
        <f>CONCATENATE(S39," ",R39)</f>
        <v>Deborah Kingdon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s="28" customFormat="1" x14ac:dyDescent="0.2">
      <c r="A40" s="6" t="s">
        <v>238</v>
      </c>
      <c r="B40" s="9">
        <v>18828278</v>
      </c>
      <c r="C40" s="6" t="s">
        <v>303</v>
      </c>
      <c r="D40" s="22">
        <v>9031418110</v>
      </c>
      <c r="E40" s="7">
        <v>46054</v>
      </c>
      <c r="F40" s="6" t="s">
        <v>49</v>
      </c>
      <c r="G40" s="6" t="s">
        <v>230</v>
      </c>
      <c r="H40" s="6" t="s">
        <v>46</v>
      </c>
      <c r="I40" s="8">
        <v>10</v>
      </c>
      <c r="J40" s="8">
        <v>14.93</v>
      </c>
      <c r="K40" s="8">
        <v>1.49</v>
      </c>
      <c r="L40" s="6" t="s">
        <v>234</v>
      </c>
      <c r="M40" s="7">
        <v>46023</v>
      </c>
      <c r="N40" s="9" t="s">
        <v>350</v>
      </c>
      <c r="O40" s="9"/>
      <c r="P40" s="22">
        <v>9031418110</v>
      </c>
      <c r="Q40" s="9" t="str">
        <f>CONCATENATE(P40,4)</f>
        <v>90314181104</v>
      </c>
      <c r="R40" s="6" t="s">
        <v>510</v>
      </c>
      <c r="S40" s="9" t="s">
        <v>511</v>
      </c>
      <c r="T40" s="9" t="str">
        <f>CONCATENATE(S40," ",R40)</f>
        <v>Debra Loeffler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s="28" customFormat="1" x14ac:dyDescent="0.2">
      <c r="A41" s="6" t="s">
        <v>238</v>
      </c>
      <c r="B41" s="9">
        <v>18828278</v>
      </c>
      <c r="C41" s="6" t="s">
        <v>305</v>
      </c>
      <c r="D41" s="22">
        <v>9031424040</v>
      </c>
      <c r="E41" s="7">
        <v>46054</v>
      </c>
      <c r="F41" s="6" t="s">
        <v>49</v>
      </c>
      <c r="G41" s="6" t="s">
        <v>230</v>
      </c>
      <c r="H41" s="6" t="s">
        <v>46</v>
      </c>
      <c r="I41" s="8">
        <v>10</v>
      </c>
      <c r="J41" s="8">
        <v>26.88</v>
      </c>
      <c r="K41" s="8">
        <v>2.69</v>
      </c>
      <c r="L41" s="6" t="s">
        <v>234</v>
      </c>
      <c r="M41" s="7">
        <v>45976</v>
      </c>
      <c r="N41" s="9" t="s">
        <v>350</v>
      </c>
      <c r="O41" s="9"/>
      <c r="P41" s="22">
        <v>9031424040</v>
      </c>
      <c r="Q41" s="9" t="str">
        <f>CONCATENATE(P41,4)</f>
        <v>90314240404</v>
      </c>
      <c r="R41" s="6" t="s">
        <v>512</v>
      </c>
      <c r="S41" s="9" t="s">
        <v>467</v>
      </c>
      <c r="T41" s="9" t="str">
        <f>CONCATENATE(S41," ",R41)</f>
        <v>Thomas Priaulx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s="28" customFormat="1" x14ac:dyDescent="0.2">
      <c r="A42" s="6" t="s">
        <v>238</v>
      </c>
      <c r="B42" s="9">
        <v>18828278</v>
      </c>
      <c r="C42" s="6" t="s">
        <v>307</v>
      </c>
      <c r="D42" s="22">
        <v>9031431760</v>
      </c>
      <c r="E42" s="7">
        <v>46054</v>
      </c>
      <c r="F42" s="6" t="s">
        <v>49</v>
      </c>
      <c r="G42" s="6" t="s">
        <v>230</v>
      </c>
      <c r="H42" s="6" t="s">
        <v>46</v>
      </c>
      <c r="I42" s="8">
        <v>10</v>
      </c>
      <c r="J42" s="8">
        <v>14.93</v>
      </c>
      <c r="K42" s="8">
        <v>1.49</v>
      </c>
      <c r="L42" s="6" t="s">
        <v>234</v>
      </c>
      <c r="M42" s="7">
        <v>45978</v>
      </c>
      <c r="N42" s="9" t="s">
        <v>350</v>
      </c>
      <c r="O42" s="9"/>
      <c r="P42" s="22">
        <v>9031431760</v>
      </c>
      <c r="Q42" s="9" t="str">
        <f>CONCATENATE(P42,4)</f>
        <v>90314317604</v>
      </c>
      <c r="R42" s="6" t="s">
        <v>513</v>
      </c>
      <c r="S42" s="9" t="s">
        <v>514</v>
      </c>
      <c r="T42" s="9" t="str">
        <f>CONCATENATE(S42," ",R42)</f>
        <v>Cynthia Freed</v>
      </c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s="28" customFormat="1" x14ac:dyDescent="0.2">
      <c r="A43" s="6" t="s">
        <v>238</v>
      </c>
      <c r="B43" s="9">
        <v>18828278</v>
      </c>
      <c r="C43" s="6" t="s">
        <v>309</v>
      </c>
      <c r="D43" s="22">
        <v>9031456350</v>
      </c>
      <c r="E43" s="7">
        <v>46054</v>
      </c>
      <c r="F43" s="6" t="s">
        <v>49</v>
      </c>
      <c r="G43" s="6" t="s">
        <v>230</v>
      </c>
      <c r="H43" s="6" t="s">
        <v>46</v>
      </c>
      <c r="I43" s="8">
        <v>10</v>
      </c>
      <c r="J43" s="8">
        <v>14.93</v>
      </c>
      <c r="K43" s="8">
        <v>1.49</v>
      </c>
      <c r="L43" s="6" t="s">
        <v>234</v>
      </c>
      <c r="M43" s="7">
        <v>46023</v>
      </c>
      <c r="N43" s="9" t="s">
        <v>350</v>
      </c>
      <c r="O43" s="9"/>
      <c r="P43" s="22">
        <v>9031456350</v>
      </c>
      <c r="Q43" s="9" t="str">
        <f>CONCATENATE(P43,4)</f>
        <v>90314563504</v>
      </c>
      <c r="R43" s="6" t="s">
        <v>515</v>
      </c>
      <c r="S43" s="9" t="s">
        <v>516</v>
      </c>
      <c r="T43" s="9" t="str">
        <f>CONCATENATE(S43," ",R43)</f>
        <v>Paulette Moody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s="28" customFormat="1" x14ac:dyDescent="0.2">
      <c r="A44" s="6" t="s">
        <v>238</v>
      </c>
      <c r="B44" s="9">
        <v>18828278</v>
      </c>
      <c r="C44" s="6" t="s">
        <v>311</v>
      </c>
      <c r="D44" s="22">
        <v>9031492650</v>
      </c>
      <c r="E44" s="7">
        <v>46054</v>
      </c>
      <c r="F44" s="6" t="s">
        <v>49</v>
      </c>
      <c r="G44" s="6" t="s">
        <v>230</v>
      </c>
      <c r="H44" s="6" t="s">
        <v>46</v>
      </c>
      <c r="I44" s="8">
        <v>10</v>
      </c>
      <c r="J44" s="8">
        <v>14.93</v>
      </c>
      <c r="K44" s="8">
        <v>1.49</v>
      </c>
      <c r="L44" s="6" t="s">
        <v>234</v>
      </c>
      <c r="M44" s="7">
        <v>46023</v>
      </c>
      <c r="N44" s="9" t="s">
        <v>350</v>
      </c>
      <c r="O44" s="9"/>
      <c r="P44" s="22">
        <v>9031492650</v>
      </c>
      <c r="Q44" s="9" t="str">
        <f>CONCATENATE(P44,4)</f>
        <v>90314926504</v>
      </c>
      <c r="R44" s="6" t="s">
        <v>517</v>
      </c>
      <c r="S44" s="9" t="s">
        <v>518</v>
      </c>
      <c r="T44" s="9" t="str">
        <f>CONCATENATE(S44," ",R44)</f>
        <v>Peter Dolk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s="28" customFormat="1" x14ac:dyDescent="0.2">
      <c r="A45" s="6" t="s">
        <v>238</v>
      </c>
      <c r="B45" s="9">
        <v>18828278</v>
      </c>
      <c r="C45" s="6" t="s">
        <v>313</v>
      </c>
      <c r="D45" s="22">
        <v>9031492860</v>
      </c>
      <c r="E45" s="7">
        <v>46054</v>
      </c>
      <c r="F45" s="6" t="s">
        <v>49</v>
      </c>
      <c r="G45" s="6" t="s">
        <v>230</v>
      </c>
      <c r="H45" s="6" t="s">
        <v>46</v>
      </c>
      <c r="I45" s="8">
        <v>10</v>
      </c>
      <c r="J45" s="8">
        <v>14.93</v>
      </c>
      <c r="K45" s="8">
        <v>1.49</v>
      </c>
      <c r="L45" s="6" t="s">
        <v>234</v>
      </c>
      <c r="M45" s="7">
        <v>46023</v>
      </c>
      <c r="N45" s="9" t="s">
        <v>350</v>
      </c>
      <c r="O45" s="9"/>
      <c r="P45" s="22">
        <v>9031492860</v>
      </c>
      <c r="Q45" s="9" t="str">
        <f>CONCATENATE(P45,4)</f>
        <v>90314928604</v>
      </c>
      <c r="R45" s="6" t="s">
        <v>519</v>
      </c>
      <c r="S45" s="9" t="s">
        <v>473</v>
      </c>
      <c r="T45" s="9" t="str">
        <f>CONCATENATE(S45," ",R45)</f>
        <v>Cheryl Griffin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s="28" customFormat="1" x14ac:dyDescent="0.2">
      <c r="A46" s="6" t="s">
        <v>238</v>
      </c>
      <c r="B46" s="9">
        <v>18828278</v>
      </c>
      <c r="C46" s="6" t="s">
        <v>315</v>
      </c>
      <c r="D46" s="22">
        <v>9031517160</v>
      </c>
      <c r="E46" s="7">
        <v>46054</v>
      </c>
      <c r="F46" s="6" t="s">
        <v>49</v>
      </c>
      <c r="G46" s="6" t="s">
        <v>230</v>
      </c>
      <c r="H46" s="6" t="s">
        <v>46</v>
      </c>
      <c r="I46" s="8">
        <v>10</v>
      </c>
      <c r="J46" s="8">
        <v>14.93</v>
      </c>
      <c r="K46" s="8">
        <v>1.49</v>
      </c>
      <c r="L46" s="6" t="s">
        <v>234</v>
      </c>
      <c r="M46" s="7">
        <v>46023</v>
      </c>
      <c r="N46" s="9" t="s">
        <v>350</v>
      </c>
      <c r="O46" s="9"/>
      <c r="P46" s="22">
        <v>9031517160</v>
      </c>
      <c r="Q46" s="9" t="str">
        <f>CONCATENATE(P46,4)</f>
        <v>90315171604</v>
      </c>
      <c r="R46" s="6" t="s">
        <v>520</v>
      </c>
      <c r="S46" s="9" t="s">
        <v>521</v>
      </c>
      <c r="T46" s="9" t="str">
        <f>CONCATENATE(S46," ",R46)</f>
        <v>Kristi Hofmann</v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s="28" customFormat="1" x14ac:dyDescent="0.2">
      <c r="A47" s="6" t="s">
        <v>238</v>
      </c>
      <c r="B47" s="9">
        <v>18828278</v>
      </c>
      <c r="C47" s="6" t="s">
        <v>317</v>
      </c>
      <c r="D47" s="22">
        <v>9031517600</v>
      </c>
      <c r="E47" s="7">
        <v>46054</v>
      </c>
      <c r="F47" s="6" t="s">
        <v>49</v>
      </c>
      <c r="G47" s="6" t="s">
        <v>230</v>
      </c>
      <c r="H47" s="6" t="s">
        <v>46</v>
      </c>
      <c r="I47" s="8">
        <v>10</v>
      </c>
      <c r="J47" s="8">
        <v>26.88</v>
      </c>
      <c r="K47" s="8">
        <v>2.69</v>
      </c>
      <c r="L47" s="6" t="s">
        <v>234</v>
      </c>
      <c r="M47" s="7">
        <v>46023</v>
      </c>
      <c r="N47" s="9" t="s">
        <v>350</v>
      </c>
      <c r="O47" s="9"/>
      <c r="P47" s="22">
        <v>9031517600</v>
      </c>
      <c r="Q47" s="9" t="str">
        <f>CONCATENATE(P47,4)</f>
        <v>90315176004</v>
      </c>
      <c r="R47" s="6" t="s">
        <v>522</v>
      </c>
      <c r="S47" s="9" t="s">
        <v>454</v>
      </c>
      <c r="T47" s="9" t="str">
        <f>CONCATENATE(S47," ",R47)</f>
        <v>David Overholt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s="13" customFormat="1" x14ac:dyDescent="0.2">
      <c r="A48" s="6" t="s">
        <v>238</v>
      </c>
      <c r="B48" s="9">
        <v>18828278</v>
      </c>
      <c r="C48" s="6" t="s">
        <v>319</v>
      </c>
      <c r="D48" s="22">
        <v>9031522530</v>
      </c>
      <c r="E48" s="7">
        <v>46054</v>
      </c>
      <c r="F48" s="6" t="s">
        <v>49</v>
      </c>
      <c r="G48" s="6" t="s">
        <v>230</v>
      </c>
      <c r="H48" s="6" t="s">
        <v>46</v>
      </c>
      <c r="I48" s="8">
        <v>10</v>
      </c>
      <c r="J48" s="8">
        <v>14.93</v>
      </c>
      <c r="K48" s="8">
        <v>1.49</v>
      </c>
      <c r="L48" s="6" t="s">
        <v>234</v>
      </c>
      <c r="M48" s="7">
        <v>45994</v>
      </c>
      <c r="N48" s="9" t="s">
        <v>350</v>
      </c>
      <c r="O48" s="9"/>
      <c r="P48" s="22">
        <v>9031522530</v>
      </c>
      <c r="Q48" s="9" t="str">
        <f>CONCATENATE(P48,4)</f>
        <v>90315225304</v>
      </c>
      <c r="R48" s="6" t="s">
        <v>523</v>
      </c>
      <c r="S48" s="9" t="s">
        <v>524</v>
      </c>
      <c r="T48" s="9" t="str">
        <f>CONCATENATE(S48," ",R48)</f>
        <v>Virginia Dinges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s="9" customFormat="1" x14ac:dyDescent="0.2">
      <c r="A49" s="18" t="s">
        <v>238</v>
      </c>
      <c r="B49" s="21">
        <v>18828278</v>
      </c>
      <c r="C49" s="18" t="s">
        <v>321</v>
      </c>
      <c r="D49" s="24">
        <v>9031652410</v>
      </c>
      <c r="E49" s="19">
        <v>46054</v>
      </c>
      <c r="F49" s="18" t="s">
        <v>49</v>
      </c>
      <c r="G49" s="18" t="s">
        <v>230</v>
      </c>
      <c r="H49" s="18" t="s">
        <v>46</v>
      </c>
      <c r="I49" s="20">
        <v>15</v>
      </c>
      <c r="J49" s="20">
        <v>14.93</v>
      </c>
      <c r="K49" s="20">
        <v>2.2400000000000002</v>
      </c>
      <c r="L49" s="18" t="s">
        <v>234</v>
      </c>
      <c r="M49" s="19">
        <v>46023</v>
      </c>
      <c r="N49" s="21" t="s">
        <v>362</v>
      </c>
      <c r="O49" s="20"/>
      <c r="P49" s="24">
        <v>9031652410</v>
      </c>
      <c r="Q49" s="21" t="str">
        <f>CONCATENATE(P49,2)</f>
        <v>90316524102</v>
      </c>
      <c r="R49" s="18" t="s">
        <v>527</v>
      </c>
      <c r="S49" s="21" t="s">
        <v>473</v>
      </c>
      <c r="T49" s="9" t="str">
        <f>CONCATENATE(S49," ",R49)</f>
        <v>Cheryl Richards</v>
      </c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</row>
    <row r="50" spans="1:42" s="9" customFormat="1" x14ac:dyDescent="0.2">
      <c r="A50" s="18" t="s">
        <v>238</v>
      </c>
      <c r="B50" s="21">
        <v>18828278</v>
      </c>
      <c r="C50" s="18" t="s">
        <v>323</v>
      </c>
      <c r="D50" s="24">
        <v>9031659600</v>
      </c>
      <c r="E50" s="19">
        <v>46054</v>
      </c>
      <c r="F50" s="18" t="s">
        <v>49</v>
      </c>
      <c r="G50" s="18" t="s">
        <v>230</v>
      </c>
      <c r="H50" s="18" t="s">
        <v>46</v>
      </c>
      <c r="I50" s="20">
        <v>15</v>
      </c>
      <c r="J50" s="20">
        <v>26.88</v>
      </c>
      <c r="K50" s="20">
        <v>4.03</v>
      </c>
      <c r="L50" s="18" t="s">
        <v>234</v>
      </c>
      <c r="M50" s="19">
        <v>46023</v>
      </c>
      <c r="N50" s="21" t="s">
        <v>362</v>
      </c>
      <c r="O50" s="20"/>
      <c r="P50" s="24">
        <v>9031659600</v>
      </c>
      <c r="Q50" s="21" t="str">
        <f>CONCATENATE(P50,2)</f>
        <v>90316596002</v>
      </c>
      <c r="R50" s="18" t="s">
        <v>528</v>
      </c>
      <c r="S50" s="21" t="s">
        <v>529</v>
      </c>
      <c r="T50" s="9" t="str">
        <f>CONCATENATE(S50," ",R50)</f>
        <v>Christina Strupek</v>
      </c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</row>
    <row r="51" spans="1:42" s="9" customFormat="1" x14ac:dyDescent="0.2">
      <c r="A51" s="18" t="s">
        <v>238</v>
      </c>
      <c r="B51" s="21">
        <v>18828278</v>
      </c>
      <c r="C51" s="18" t="s">
        <v>325</v>
      </c>
      <c r="D51" s="24">
        <v>9031695860</v>
      </c>
      <c r="E51" s="19">
        <v>46054</v>
      </c>
      <c r="F51" s="18" t="s">
        <v>49</v>
      </c>
      <c r="G51" s="18" t="s">
        <v>230</v>
      </c>
      <c r="H51" s="18" t="s">
        <v>46</v>
      </c>
      <c r="I51" s="20">
        <v>15</v>
      </c>
      <c r="J51" s="20">
        <v>13.49</v>
      </c>
      <c r="K51" s="20">
        <v>2.02</v>
      </c>
      <c r="L51" s="18" t="s">
        <v>234</v>
      </c>
      <c r="M51" s="19">
        <v>46026</v>
      </c>
      <c r="N51" s="21" t="s">
        <v>362</v>
      </c>
      <c r="O51" s="20"/>
      <c r="P51" s="24">
        <v>9031695860</v>
      </c>
      <c r="Q51" s="21" t="str">
        <f>CONCATENATE(P51,2)</f>
        <v>90316958602</v>
      </c>
      <c r="R51" s="18" t="s">
        <v>530</v>
      </c>
      <c r="S51" s="21" t="s">
        <v>531</v>
      </c>
      <c r="T51" s="9" t="str">
        <f>CONCATENATE(S51," ",R51)</f>
        <v>Kara Yordy</v>
      </c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</row>
    <row r="52" spans="1:42" s="9" customFormat="1" x14ac:dyDescent="0.2">
      <c r="A52" s="18" t="s">
        <v>238</v>
      </c>
      <c r="B52" s="21">
        <v>18828278</v>
      </c>
      <c r="C52" s="18" t="s">
        <v>327</v>
      </c>
      <c r="D52" s="24">
        <v>9031703920</v>
      </c>
      <c r="E52" s="19">
        <v>46054</v>
      </c>
      <c r="F52" s="18" t="s">
        <v>49</v>
      </c>
      <c r="G52" s="18" t="s">
        <v>230</v>
      </c>
      <c r="H52" s="18" t="s">
        <v>46</v>
      </c>
      <c r="I52" s="20">
        <v>15</v>
      </c>
      <c r="J52" s="20">
        <v>13.01</v>
      </c>
      <c r="K52" s="20">
        <v>1.95</v>
      </c>
      <c r="L52" s="18" t="s">
        <v>234</v>
      </c>
      <c r="M52" s="19">
        <v>46027</v>
      </c>
      <c r="N52" s="21" t="s">
        <v>362</v>
      </c>
      <c r="O52" s="20"/>
      <c r="P52" s="24">
        <v>9031703920</v>
      </c>
      <c r="Q52" s="21" t="str">
        <f>CONCATENATE(P52,2)</f>
        <v>90317039202</v>
      </c>
      <c r="R52" s="18" t="s">
        <v>532</v>
      </c>
      <c r="S52" s="21" t="s">
        <v>533</v>
      </c>
      <c r="T52" s="9" t="str">
        <f>CONCATENATE(S52," ",R52)</f>
        <v>Judith Yoder</v>
      </c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</row>
    <row r="53" spans="1:42" s="9" customFormat="1" x14ac:dyDescent="0.2">
      <c r="A53" s="18" t="s">
        <v>238</v>
      </c>
      <c r="B53" s="21">
        <v>18828278</v>
      </c>
      <c r="C53" s="18" t="s">
        <v>329</v>
      </c>
      <c r="D53" s="24">
        <v>9031832650</v>
      </c>
      <c r="E53" s="19">
        <v>46054</v>
      </c>
      <c r="F53" s="18" t="s">
        <v>49</v>
      </c>
      <c r="G53" s="18" t="s">
        <v>230</v>
      </c>
      <c r="H53" s="18" t="s">
        <v>46</v>
      </c>
      <c r="I53" s="20">
        <v>15</v>
      </c>
      <c r="J53" s="20">
        <v>260.20000000000005</v>
      </c>
      <c r="K53" s="20">
        <v>39.03</v>
      </c>
      <c r="L53" s="18" t="s">
        <v>234</v>
      </c>
      <c r="M53" s="19">
        <v>46054</v>
      </c>
      <c r="N53" s="21" t="s">
        <v>362</v>
      </c>
      <c r="O53" s="20"/>
      <c r="P53" s="24">
        <v>9031832650</v>
      </c>
      <c r="Q53" s="21" t="str">
        <f>CONCATENATE(P53,2)</f>
        <v>90318326502</v>
      </c>
      <c r="R53" s="18" t="s">
        <v>534</v>
      </c>
      <c r="S53" s="21" t="s">
        <v>535</v>
      </c>
      <c r="T53" s="9" t="str">
        <f>CONCATENATE(S53," ",R53)</f>
        <v>Lucas Rogers</v>
      </c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</row>
    <row r="54" spans="1:42" s="9" customFormat="1" x14ac:dyDescent="0.2">
      <c r="A54" s="18" t="s">
        <v>238</v>
      </c>
      <c r="B54" s="21">
        <v>18828278</v>
      </c>
      <c r="C54" s="18" t="s">
        <v>331</v>
      </c>
      <c r="D54" s="24">
        <v>9031833020</v>
      </c>
      <c r="E54" s="19">
        <v>46054</v>
      </c>
      <c r="F54" s="18" t="s">
        <v>49</v>
      </c>
      <c r="G54" s="18" t="s">
        <v>230</v>
      </c>
      <c r="H54" s="18" t="s">
        <v>46</v>
      </c>
      <c r="I54" s="20">
        <v>15</v>
      </c>
      <c r="J54" s="20">
        <v>248.26666666666668</v>
      </c>
      <c r="K54" s="20">
        <v>37.24</v>
      </c>
      <c r="L54" s="18" t="s">
        <v>234</v>
      </c>
      <c r="M54" s="19">
        <v>46054</v>
      </c>
      <c r="N54" s="21" t="s">
        <v>362</v>
      </c>
      <c r="O54" s="20"/>
      <c r="P54" s="24">
        <v>9031833020</v>
      </c>
      <c r="Q54" s="21" t="str">
        <f>CONCATENATE(P54,2)</f>
        <v>90318330202</v>
      </c>
      <c r="R54" s="18" t="s">
        <v>536</v>
      </c>
      <c r="S54" s="21" t="s">
        <v>537</v>
      </c>
      <c r="T54" s="9" t="str">
        <f>CONCATENATE(S54," ",R54)</f>
        <v>Jeffrey Fellers</v>
      </c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</row>
    <row r="55" spans="1:42" s="9" customFormat="1" x14ac:dyDescent="0.2">
      <c r="A55" s="18" t="s">
        <v>238</v>
      </c>
      <c r="B55" s="21">
        <v>18828278</v>
      </c>
      <c r="C55" s="18" t="s">
        <v>333</v>
      </c>
      <c r="D55" s="24">
        <v>9031841280</v>
      </c>
      <c r="E55" s="19">
        <v>46054</v>
      </c>
      <c r="F55" s="18" t="s">
        <v>49</v>
      </c>
      <c r="G55" s="18" t="s">
        <v>230</v>
      </c>
      <c r="H55" s="18" t="s">
        <v>46</v>
      </c>
      <c r="I55" s="20">
        <v>15</v>
      </c>
      <c r="J55" s="20">
        <v>260.20000000000005</v>
      </c>
      <c r="K55" s="20">
        <v>39.03</v>
      </c>
      <c r="L55" s="18" t="s">
        <v>234</v>
      </c>
      <c r="M55" s="19">
        <v>46054</v>
      </c>
      <c r="N55" s="21" t="s">
        <v>362</v>
      </c>
      <c r="O55" s="20"/>
      <c r="P55" s="24">
        <v>9031841280</v>
      </c>
      <c r="Q55" s="21" t="str">
        <f>CONCATENATE(P55,2)</f>
        <v>90318412802</v>
      </c>
      <c r="R55" s="18" t="s">
        <v>538</v>
      </c>
      <c r="S55" s="21" t="s">
        <v>539</v>
      </c>
      <c r="T55" s="9" t="str">
        <f>CONCATENATE(S55," ",R55)</f>
        <v>Danielle Hauersperger</v>
      </c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</row>
    <row r="56" spans="1:42" s="9" customFormat="1" x14ac:dyDescent="0.2">
      <c r="A56" s="18" t="s">
        <v>238</v>
      </c>
      <c r="B56" s="21">
        <v>18828278</v>
      </c>
      <c r="C56" s="18" t="s">
        <v>335</v>
      </c>
      <c r="D56" s="24">
        <v>9031841780</v>
      </c>
      <c r="E56" s="19">
        <v>46054</v>
      </c>
      <c r="F56" s="18" t="s">
        <v>49</v>
      </c>
      <c r="G56" s="18" t="s">
        <v>230</v>
      </c>
      <c r="H56" s="18" t="s">
        <v>46</v>
      </c>
      <c r="I56" s="20">
        <v>15</v>
      </c>
      <c r="J56" s="20">
        <v>248.26666666666668</v>
      </c>
      <c r="K56" s="20">
        <v>37.24</v>
      </c>
      <c r="L56" s="18" t="s">
        <v>234</v>
      </c>
      <c r="M56" s="19">
        <v>46054</v>
      </c>
      <c r="N56" s="21" t="s">
        <v>362</v>
      </c>
      <c r="O56" s="20"/>
      <c r="P56" s="24">
        <v>9031841780</v>
      </c>
      <c r="Q56" s="21" t="str">
        <f>CONCATENATE(P56,2)</f>
        <v>90318417802</v>
      </c>
      <c r="R56" s="18" t="s">
        <v>540</v>
      </c>
      <c r="S56" s="21" t="s">
        <v>541</v>
      </c>
      <c r="T56" s="9" t="str">
        <f>CONCATENATE(S56," ",R56)</f>
        <v>Connor Reis</v>
      </c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</row>
    <row r="57" spans="1:42" s="9" customFormat="1" x14ac:dyDescent="0.2">
      <c r="A57" s="18" t="s">
        <v>238</v>
      </c>
      <c r="B57" s="21">
        <v>18828278</v>
      </c>
      <c r="C57" s="18" t="s">
        <v>337</v>
      </c>
      <c r="D57" s="24">
        <v>9031841850</v>
      </c>
      <c r="E57" s="19">
        <v>46054</v>
      </c>
      <c r="F57" s="18" t="s">
        <v>49</v>
      </c>
      <c r="G57" s="18" t="s">
        <v>230</v>
      </c>
      <c r="H57" s="18" t="s">
        <v>46</v>
      </c>
      <c r="I57" s="20">
        <v>15</v>
      </c>
      <c r="J57" s="20">
        <v>248.26666666666668</v>
      </c>
      <c r="K57" s="20">
        <v>37.24</v>
      </c>
      <c r="L57" s="18" t="s">
        <v>234</v>
      </c>
      <c r="M57" s="19">
        <v>46054</v>
      </c>
      <c r="N57" s="21" t="s">
        <v>362</v>
      </c>
      <c r="O57" s="20"/>
      <c r="P57" s="24">
        <v>9031841850</v>
      </c>
      <c r="Q57" s="21" t="str">
        <f>CONCATENATE(P57,2)</f>
        <v>90318418502</v>
      </c>
      <c r="R57" s="18" t="s">
        <v>542</v>
      </c>
      <c r="S57" s="21" t="s">
        <v>543</v>
      </c>
      <c r="T57" s="9" t="str">
        <f>CONCATENATE(S57," ",R57)</f>
        <v>Ryleigh White</v>
      </c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</row>
    <row r="58" spans="1:42" s="9" customFormat="1" x14ac:dyDescent="0.2">
      <c r="A58" s="18" t="s">
        <v>238</v>
      </c>
      <c r="B58" s="21">
        <v>18828278</v>
      </c>
      <c r="C58" s="18" t="s">
        <v>339</v>
      </c>
      <c r="D58" s="24">
        <v>9031849520</v>
      </c>
      <c r="E58" s="19">
        <v>46054</v>
      </c>
      <c r="F58" s="18" t="s">
        <v>49</v>
      </c>
      <c r="G58" s="18" t="s">
        <v>230</v>
      </c>
      <c r="H58" s="18" t="s">
        <v>46</v>
      </c>
      <c r="I58" s="20">
        <v>15</v>
      </c>
      <c r="J58" s="20">
        <v>260.20000000000005</v>
      </c>
      <c r="K58" s="20">
        <v>39.03</v>
      </c>
      <c r="L58" s="18" t="s">
        <v>234</v>
      </c>
      <c r="M58" s="19">
        <v>46054</v>
      </c>
      <c r="N58" s="21" t="s">
        <v>362</v>
      </c>
      <c r="O58" s="20"/>
      <c r="P58" s="24">
        <v>9031849520</v>
      </c>
      <c r="Q58" s="21" t="str">
        <f>CONCATENATE(P58,2)</f>
        <v>90318495202</v>
      </c>
      <c r="R58" s="18" t="s">
        <v>544</v>
      </c>
      <c r="S58" s="21" t="s">
        <v>545</v>
      </c>
      <c r="T58" s="9" t="str">
        <f>CONCATENATE(S58," ",R58)</f>
        <v>Jessica Gardner</v>
      </c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</row>
    <row r="59" spans="1:42" s="9" customFormat="1" x14ac:dyDescent="0.2">
      <c r="A59" s="30" t="s">
        <v>128</v>
      </c>
      <c r="B59" s="33">
        <v>17425766</v>
      </c>
      <c r="C59" s="30" t="s">
        <v>132</v>
      </c>
      <c r="D59" s="30" t="s">
        <v>133</v>
      </c>
      <c r="E59" s="31">
        <v>46054</v>
      </c>
      <c r="F59" s="30" t="s">
        <v>49</v>
      </c>
      <c r="G59" s="30" t="s">
        <v>51</v>
      </c>
      <c r="H59" s="30" t="s">
        <v>52</v>
      </c>
      <c r="I59" s="32">
        <v>0.92</v>
      </c>
      <c r="J59" s="32">
        <v>1</v>
      </c>
      <c r="K59" s="32">
        <v>151.25</v>
      </c>
      <c r="L59" s="30" t="s">
        <v>53</v>
      </c>
      <c r="M59" s="31">
        <v>46054</v>
      </c>
      <c r="N59" s="33" t="s">
        <v>357</v>
      </c>
      <c r="O59" s="33" t="s">
        <v>358</v>
      </c>
      <c r="P59" s="30" t="s">
        <v>133</v>
      </c>
      <c r="Q59" s="33" t="str">
        <f>CONCATENATE(P59,26)</f>
        <v>00022770126K26</v>
      </c>
      <c r="R59" s="30" t="s">
        <v>382</v>
      </c>
      <c r="S59" s="33" t="s">
        <v>383</v>
      </c>
      <c r="T59" s="28" t="str">
        <f>CONCATENATE(S59," ",R59)</f>
        <v>NEIL WEISSMAN</v>
      </c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</row>
    <row r="60" spans="1:42" s="9" customFormat="1" x14ac:dyDescent="0.2">
      <c r="A60" s="25" t="s">
        <v>128</v>
      </c>
      <c r="B60" s="28">
        <v>17425766</v>
      </c>
      <c r="C60" s="25" t="s">
        <v>129</v>
      </c>
      <c r="D60" s="25" t="s">
        <v>130</v>
      </c>
      <c r="E60" s="26">
        <v>46054</v>
      </c>
      <c r="F60" s="25" t="s">
        <v>49</v>
      </c>
      <c r="G60" s="25" t="s">
        <v>51</v>
      </c>
      <c r="H60" s="25" t="s">
        <v>71</v>
      </c>
      <c r="I60" s="27">
        <v>0.92</v>
      </c>
      <c r="J60" s="27">
        <v>1</v>
      </c>
      <c r="K60" s="27">
        <v>318.08</v>
      </c>
      <c r="L60" s="25" t="s">
        <v>53</v>
      </c>
      <c r="M60" s="26">
        <v>46054</v>
      </c>
      <c r="N60" s="28" t="s">
        <v>353</v>
      </c>
      <c r="O60" s="29" t="s">
        <v>355</v>
      </c>
      <c r="P60" s="25" t="s">
        <v>130</v>
      </c>
      <c r="Q60" s="28" t="str">
        <f>CONCATENATE(P60,66)</f>
        <v>00007441841K66</v>
      </c>
      <c r="R60" s="25" t="s">
        <v>430</v>
      </c>
      <c r="S60" s="28" t="s">
        <v>431</v>
      </c>
      <c r="T60" s="28" t="str">
        <f>CONCATENATE(S60," ",R60)</f>
        <v>DAVID FRIED</v>
      </c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 spans="1:42" s="9" customFormat="1" x14ac:dyDescent="0.2">
      <c r="A61" s="25" t="s">
        <v>193</v>
      </c>
      <c r="B61" s="28">
        <v>21283956</v>
      </c>
      <c r="C61" s="25" t="s">
        <v>194</v>
      </c>
      <c r="D61" s="25" t="s">
        <v>195</v>
      </c>
      <c r="E61" s="26">
        <v>46054</v>
      </c>
      <c r="F61" s="25" t="s">
        <v>49</v>
      </c>
      <c r="G61" s="25" t="s">
        <v>51</v>
      </c>
      <c r="H61" s="25" t="s">
        <v>71</v>
      </c>
      <c r="I61" s="27">
        <v>0.92</v>
      </c>
      <c r="J61" s="27">
        <v>1</v>
      </c>
      <c r="K61" s="27">
        <v>318.08</v>
      </c>
      <c r="L61" s="25" t="s">
        <v>53</v>
      </c>
      <c r="M61" s="26">
        <v>46054</v>
      </c>
      <c r="N61" s="28" t="s">
        <v>353</v>
      </c>
      <c r="O61" s="29" t="s">
        <v>355</v>
      </c>
      <c r="P61" s="25" t="s">
        <v>195</v>
      </c>
      <c r="Q61" s="28" t="str">
        <f>CONCATENATE(P61,66)</f>
        <v>00025988970K66</v>
      </c>
      <c r="R61" s="25" t="s">
        <v>438</v>
      </c>
      <c r="S61" s="28" t="s">
        <v>439</v>
      </c>
      <c r="T61" s="28" t="str">
        <f>CONCATENATE(S61," ",R61)</f>
        <v>BARBARA MAYES</v>
      </c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 spans="1:42" s="9" customFormat="1" x14ac:dyDescent="0.2">
      <c r="A62" s="25" t="s">
        <v>114</v>
      </c>
      <c r="B62" s="28">
        <v>17094718</v>
      </c>
      <c r="C62" s="25" t="s">
        <v>115</v>
      </c>
      <c r="D62" s="25" t="s">
        <v>116</v>
      </c>
      <c r="E62" s="26">
        <v>46113</v>
      </c>
      <c r="F62" s="25" t="s">
        <v>82</v>
      </c>
      <c r="G62" s="25" t="s">
        <v>51</v>
      </c>
      <c r="H62" s="25" t="s">
        <v>52</v>
      </c>
      <c r="I62" s="27">
        <v>0.75</v>
      </c>
      <c r="J62" s="27">
        <v>1</v>
      </c>
      <c r="K62" s="27">
        <v>260.25</v>
      </c>
      <c r="L62" s="25" t="s">
        <v>53</v>
      </c>
      <c r="M62" s="26">
        <v>46113</v>
      </c>
      <c r="N62" s="28" t="s">
        <v>353</v>
      </c>
      <c r="O62" s="29" t="s">
        <v>359</v>
      </c>
      <c r="P62" s="25" t="s">
        <v>116</v>
      </c>
      <c r="Q62" s="28" t="str">
        <f>CONCATENATE(P62,66)</f>
        <v>00025996277K66</v>
      </c>
      <c r="R62" s="25" t="s">
        <v>388</v>
      </c>
      <c r="S62" s="28" t="s">
        <v>389</v>
      </c>
      <c r="T62" s="28" t="str">
        <f>CONCATENATE(S62," ",R62)</f>
        <v>RAYMOND YOUNG</v>
      </c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 spans="1:42" s="9" customFormat="1" x14ac:dyDescent="0.2">
      <c r="A63" s="25" t="s">
        <v>118</v>
      </c>
      <c r="B63" s="28">
        <v>17301495</v>
      </c>
      <c r="C63" s="25" t="s">
        <v>119</v>
      </c>
      <c r="D63" s="25" t="s">
        <v>120</v>
      </c>
      <c r="E63" s="26">
        <v>46054</v>
      </c>
      <c r="F63" s="25" t="s">
        <v>49</v>
      </c>
      <c r="G63" s="25" t="s">
        <v>51</v>
      </c>
      <c r="H63" s="25" t="s">
        <v>71</v>
      </c>
      <c r="I63" s="27">
        <v>0.92</v>
      </c>
      <c r="J63" s="27">
        <v>1</v>
      </c>
      <c r="K63" s="27">
        <v>318.08</v>
      </c>
      <c r="L63" s="25" t="s">
        <v>53</v>
      </c>
      <c r="M63" s="26">
        <v>46054</v>
      </c>
      <c r="N63" s="28" t="s">
        <v>353</v>
      </c>
      <c r="O63" s="29" t="s">
        <v>355</v>
      </c>
      <c r="P63" s="25" t="s">
        <v>120</v>
      </c>
      <c r="Q63" s="28" t="str">
        <f>CONCATENATE(P63,66)</f>
        <v>00025993770K66</v>
      </c>
      <c r="R63" s="25" t="s">
        <v>426</v>
      </c>
      <c r="S63" s="28" t="s">
        <v>427</v>
      </c>
      <c r="T63" s="28" t="str">
        <f>CONCATENATE(S63," ",R63)</f>
        <v>JESSICA RODRIGUEZ</v>
      </c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 spans="1:42" s="9" customFormat="1" x14ac:dyDescent="0.2">
      <c r="A64" s="6" t="s">
        <v>217</v>
      </c>
      <c r="B64" s="9">
        <v>7146581</v>
      </c>
      <c r="C64" s="6" t="s">
        <v>218</v>
      </c>
      <c r="D64" s="22">
        <v>9025228750</v>
      </c>
      <c r="E64" s="7">
        <v>46054</v>
      </c>
      <c r="F64" s="6" t="s">
        <v>49</v>
      </c>
      <c r="G64" s="6" t="s">
        <v>223</v>
      </c>
      <c r="H64" s="6" t="s">
        <v>46</v>
      </c>
      <c r="I64" s="8">
        <v>10</v>
      </c>
      <c r="J64" s="8">
        <v>52.78</v>
      </c>
      <c r="K64" s="8">
        <v>5.28</v>
      </c>
      <c r="L64" s="6" t="s">
        <v>224</v>
      </c>
      <c r="M64" s="7">
        <v>44586</v>
      </c>
      <c r="N64" s="9" t="s">
        <v>350</v>
      </c>
      <c r="P64" s="22">
        <v>9025228750</v>
      </c>
      <c r="Q64" s="9" t="str">
        <f>CONCATENATE(P64,4)</f>
        <v>90252287504</v>
      </c>
      <c r="R64" s="6" t="s">
        <v>363</v>
      </c>
      <c r="S64" s="9" t="s">
        <v>364</v>
      </c>
      <c r="T64" s="9" t="str">
        <f>CONCATENATE(S64," ",R64)</f>
        <v>Barbara Hanahan</v>
      </c>
    </row>
    <row r="65" spans="1:42" s="9" customFormat="1" x14ac:dyDescent="0.2">
      <c r="A65" s="14" t="s">
        <v>183</v>
      </c>
      <c r="B65" s="34" t="s">
        <v>546</v>
      </c>
      <c r="C65" s="14" t="s">
        <v>341</v>
      </c>
      <c r="D65" s="14" t="s">
        <v>342</v>
      </c>
      <c r="E65" s="15">
        <v>46023</v>
      </c>
      <c r="F65" s="14" t="s">
        <v>77</v>
      </c>
      <c r="G65" s="14" t="s">
        <v>51</v>
      </c>
      <c r="H65" s="14" t="s">
        <v>46</v>
      </c>
      <c r="I65" s="16">
        <v>22</v>
      </c>
      <c r="J65" s="16">
        <v>186.54</v>
      </c>
      <c r="K65" s="16">
        <v>41.04</v>
      </c>
      <c r="L65" s="14" t="s">
        <v>344</v>
      </c>
      <c r="M65" s="15">
        <v>45658</v>
      </c>
      <c r="N65" s="17" t="s">
        <v>352</v>
      </c>
      <c r="O65" s="17"/>
      <c r="P65" s="14" t="s">
        <v>342</v>
      </c>
      <c r="Q65" s="17" t="str">
        <f>CONCATENATE(P65,8)</f>
        <v>00000926201A8</v>
      </c>
      <c r="R65" s="14" t="s">
        <v>367</v>
      </c>
      <c r="S65" s="17" t="s">
        <v>368</v>
      </c>
      <c r="T65" s="17" t="str">
        <f>CONCATENATE(S65," ",R65)</f>
        <v>CHARLENE ROSE</v>
      </c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</row>
    <row r="66" spans="1:42" s="9" customFormat="1" x14ac:dyDescent="0.2">
      <c r="A66" s="6" t="s">
        <v>183</v>
      </c>
      <c r="B66" s="35" t="s">
        <v>546</v>
      </c>
      <c r="C66" s="6" t="s">
        <v>346</v>
      </c>
      <c r="D66" s="22">
        <v>9030115330</v>
      </c>
      <c r="E66" s="7">
        <v>46054</v>
      </c>
      <c r="F66" s="6" t="s">
        <v>49</v>
      </c>
      <c r="G66" s="6" t="s">
        <v>230</v>
      </c>
      <c r="H66" s="6" t="s">
        <v>46</v>
      </c>
      <c r="I66" s="8">
        <v>10</v>
      </c>
      <c r="J66" s="8">
        <v>23.99</v>
      </c>
      <c r="K66" s="8">
        <v>2.4</v>
      </c>
      <c r="L66" s="6" t="s">
        <v>234</v>
      </c>
      <c r="M66" s="7">
        <v>45713</v>
      </c>
      <c r="N66" s="9" t="s">
        <v>350</v>
      </c>
      <c r="P66" s="22">
        <v>9030115330</v>
      </c>
      <c r="Q66" s="9" t="str">
        <f>CONCATENATE(P66,4)</f>
        <v>90301153304</v>
      </c>
      <c r="R66" s="6" t="s">
        <v>525</v>
      </c>
      <c r="S66" s="9" t="s">
        <v>526</v>
      </c>
      <c r="T66" s="9" t="str">
        <f>CONCATENATE(S66," ",R66)</f>
        <v>Jon Rudden</v>
      </c>
    </row>
    <row r="67" spans="1:42" s="9" customFormat="1" x14ac:dyDescent="0.2">
      <c r="A67" s="25" t="s">
        <v>183</v>
      </c>
      <c r="B67" s="28">
        <v>19278370</v>
      </c>
      <c r="C67" s="25" t="s">
        <v>184</v>
      </c>
      <c r="D67" s="25" t="s">
        <v>185</v>
      </c>
      <c r="E67" s="26">
        <v>46054</v>
      </c>
      <c r="F67" s="25" t="s">
        <v>49</v>
      </c>
      <c r="G67" s="25" t="s">
        <v>51</v>
      </c>
      <c r="H67" s="25" t="s">
        <v>71</v>
      </c>
      <c r="I67" s="27">
        <v>0.92</v>
      </c>
      <c r="J67" s="27">
        <v>1</v>
      </c>
      <c r="K67" s="27">
        <v>318.08</v>
      </c>
      <c r="L67" s="25" t="s">
        <v>53</v>
      </c>
      <c r="M67" s="26">
        <v>46054</v>
      </c>
      <c r="N67" s="28" t="s">
        <v>353</v>
      </c>
      <c r="O67" s="29" t="s">
        <v>355</v>
      </c>
      <c r="P67" s="25" t="s">
        <v>185</v>
      </c>
      <c r="Q67" s="28" t="str">
        <f>CONCATENATE(P67,66)</f>
        <v>00014331293K66</v>
      </c>
      <c r="R67" s="25" t="s">
        <v>437</v>
      </c>
      <c r="S67" s="28" t="s">
        <v>431</v>
      </c>
      <c r="T67" s="28" t="str">
        <f>CONCATENATE(S67," ",R67)</f>
        <v>DAVID DEITERING</v>
      </c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 spans="1:42" s="9" customFormat="1" x14ac:dyDescent="0.2">
      <c r="A68" s="25" t="s">
        <v>42</v>
      </c>
      <c r="B68" s="28">
        <v>8814784</v>
      </c>
      <c r="C68" s="25" t="s">
        <v>43</v>
      </c>
      <c r="D68" s="25" t="s">
        <v>44</v>
      </c>
      <c r="E68" s="26">
        <v>46054</v>
      </c>
      <c r="F68" s="25" t="s">
        <v>49</v>
      </c>
      <c r="G68" s="25" t="s">
        <v>51</v>
      </c>
      <c r="H68" s="25" t="s">
        <v>52</v>
      </c>
      <c r="I68" s="27">
        <v>0.92</v>
      </c>
      <c r="J68" s="27">
        <v>1</v>
      </c>
      <c r="K68" s="27">
        <v>318.08</v>
      </c>
      <c r="L68" s="25" t="s">
        <v>53</v>
      </c>
      <c r="M68" s="26">
        <v>46054</v>
      </c>
      <c r="N68" s="28" t="s">
        <v>353</v>
      </c>
      <c r="O68" s="29" t="s">
        <v>355</v>
      </c>
      <c r="P68" s="25" t="s">
        <v>44</v>
      </c>
      <c r="Q68" s="28" t="str">
        <f>CONCATENATE(P68,66)</f>
        <v>00010301628K66</v>
      </c>
      <c r="R68" s="25" t="s">
        <v>407</v>
      </c>
      <c r="S68" s="28" t="s">
        <v>408</v>
      </c>
      <c r="T68" s="28" t="str">
        <f>CONCATENATE(S68," ",R68)</f>
        <v>RUSSELL PHILLIP</v>
      </c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 spans="1:42" s="9" customFormat="1" x14ac:dyDescent="0.2">
      <c r="A69" s="6" t="s">
        <v>231</v>
      </c>
      <c r="B69" s="35" t="s">
        <v>547</v>
      </c>
      <c r="C69" s="6" t="s">
        <v>232</v>
      </c>
      <c r="D69" s="22">
        <v>9030925080</v>
      </c>
      <c r="E69" s="7">
        <v>46054</v>
      </c>
      <c r="F69" s="6" t="s">
        <v>49</v>
      </c>
      <c r="G69" s="6" t="s">
        <v>230</v>
      </c>
      <c r="H69" s="6" t="s">
        <v>46</v>
      </c>
      <c r="I69" s="8">
        <v>10</v>
      </c>
      <c r="J69" s="8">
        <v>23.99</v>
      </c>
      <c r="K69" s="8">
        <v>2.4</v>
      </c>
      <c r="L69" s="6" t="s">
        <v>234</v>
      </c>
      <c r="M69" s="7">
        <v>45871</v>
      </c>
      <c r="N69" s="9" t="s">
        <v>350</v>
      </c>
      <c r="P69" s="22">
        <v>9030925080</v>
      </c>
      <c r="Q69" s="9" t="str">
        <f>CONCATENATE(P69,4)</f>
        <v>90309250804</v>
      </c>
      <c r="R69" s="6" t="s">
        <v>445</v>
      </c>
      <c r="S69" s="9" t="s">
        <v>446</v>
      </c>
      <c r="T69" s="9" t="str">
        <f>CONCATENATE(S69," ",R69)</f>
        <v>Ryan Danley</v>
      </c>
    </row>
    <row r="70" spans="1:42" s="9" customFormat="1" x14ac:dyDescent="0.2">
      <c r="A70" s="6" t="s">
        <v>231</v>
      </c>
      <c r="B70" s="35" t="s">
        <v>547</v>
      </c>
      <c r="C70" s="6" t="s">
        <v>236</v>
      </c>
      <c r="D70" s="22">
        <v>9030969880</v>
      </c>
      <c r="E70" s="7">
        <v>46054</v>
      </c>
      <c r="F70" s="6" t="s">
        <v>49</v>
      </c>
      <c r="G70" s="6" t="s">
        <v>230</v>
      </c>
      <c r="H70" s="6" t="s">
        <v>46</v>
      </c>
      <c r="I70" s="8">
        <v>10</v>
      </c>
      <c r="J70" s="8">
        <v>12.99</v>
      </c>
      <c r="K70" s="8">
        <v>1.3</v>
      </c>
      <c r="L70" s="6" t="s">
        <v>234</v>
      </c>
      <c r="M70" s="7">
        <v>45879</v>
      </c>
      <c r="N70" s="9" t="s">
        <v>350</v>
      </c>
      <c r="P70" s="22">
        <v>9030969880</v>
      </c>
      <c r="Q70" s="9" t="str">
        <f>CONCATENATE(P70,4)</f>
        <v>90309698804</v>
      </c>
      <c r="R70" s="6" t="s">
        <v>447</v>
      </c>
      <c r="S70" s="9" t="s">
        <v>448</v>
      </c>
      <c r="T70" s="9" t="str">
        <f>CONCATENATE(S70," ",R70)</f>
        <v>Hengameh Estakhri</v>
      </c>
    </row>
    <row r="71" spans="1:42" s="9" customFormat="1" x14ac:dyDescent="0.2">
      <c r="A71" s="25" t="s">
        <v>197</v>
      </c>
      <c r="B71" s="28">
        <v>21646325</v>
      </c>
      <c r="C71" s="25" t="s">
        <v>198</v>
      </c>
      <c r="D71" s="25" t="s">
        <v>199</v>
      </c>
      <c r="E71" s="26">
        <v>46113</v>
      </c>
      <c r="F71" s="25" t="s">
        <v>82</v>
      </c>
      <c r="G71" s="25" t="s">
        <v>51</v>
      </c>
      <c r="H71" s="25" t="s">
        <v>52</v>
      </c>
      <c r="I71" s="27">
        <v>0.75</v>
      </c>
      <c r="J71" s="27">
        <v>1</v>
      </c>
      <c r="K71" s="27">
        <v>260.25</v>
      </c>
      <c r="L71" s="25" t="s">
        <v>53</v>
      </c>
      <c r="M71" s="26">
        <v>46113</v>
      </c>
      <c r="N71" s="28" t="s">
        <v>353</v>
      </c>
      <c r="O71" s="29" t="s">
        <v>359</v>
      </c>
      <c r="P71" s="25" t="s">
        <v>199</v>
      </c>
      <c r="Q71" s="28" t="str">
        <f>CONCATENATE(P71,66)</f>
        <v>00025995548K66</v>
      </c>
      <c r="R71" s="25" t="s">
        <v>392</v>
      </c>
      <c r="S71" s="28" t="s">
        <v>393</v>
      </c>
      <c r="T71" s="28" t="str">
        <f>CONCATENATE(S71," ",R71)</f>
        <v>LIBRADA JONES</v>
      </c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 spans="1:42" s="9" customFormat="1" x14ac:dyDescent="0.2">
      <c r="A72" s="25" t="s">
        <v>135</v>
      </c>
      <c r="B72" s="28">
        <v>9213293</v>
      </c>
      <c r="C72" s="25" t="s">
        <v>136</v>
      </c>
      <c r="D72" s="25" t="s">
        <v>137</v>
      </c>
      <c r="E72" s="26">
        <v>46054</v>
      </c>
      <c r="F72" s="25" t="s">
        <v>49</v>
      </c>
      <c r="G72" s="25" t="s">
        <v>51</v>
      </c>
      <c r="H72" s="25" t="s">
        <v>71</v>
      </c>
      <c r="I72" s="27">
        <v>0.92</v>
      </c>
      <c r="J72" s="27">
        <v>1</v>
      </c>
      <c r="K72" s="27">
        <v>318.08</v>
      </c>
      <c r="L72" s="25" t="s">
        <v>53</v>
      </c>
      <c r="M72" s="26">
        <v>46054</v>
      </c>
      <c r="N72" s="28" t="s">
        <v>353</v>
      </c>
      <c r="O72" s="29" t="s">
        <v>355</v>
      </c>
      <c r="P72" s="25" t="s">
        <v>137</v>
      </c>
      <c r="Q72" s="28" t="str">
        <f>CONCATENATE(P72,66)</f>
        <v>00022818773K66</v>
      </c>
      <c r="R72" s="25" t="s">
        <v>432</v>
      </c>
      <c r="S72" s="28" t="s">
        <v>433</v>
      </c>
      <c r="T72" s="28" t="str">
        <f>CONCATENATE(S72," ",R72)</f>
        <v>VICTORIA HOJNACKI</v>
      </c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 spans="1:42" s="9" customFormat="1" x14ac:dyDescent="0.2">
      <c r="A73" s="25" t="s">
        <v>135</v>
      </c>
      <c r="B73" s="28">
        <v>9213293</v>
      </c>
      <c r="C73" s="25" t="s">
        <v>139</v>
      </c>
      <c r="D73" s="25" t="s">
        <v>140</v>
      </c>
      <c r="E73" s="26">
        <v>46054</v>
      </c>
      <c r="F73" s="25" t="s">
        <v>49</v>
      </c>
      <c r="G73" s="25" t="s">
        <v>51</v>
      </c>
      <c r="H73" s="25" t="s">
        <v>71</v>
      </c>
      <c r="I73" s="27">
        <v>0.92</v>
      </c>
      <c r="J73" s="27">
        <v>1</v>
      </c>
      <c r="K73" s="27">
        <v>318.08</v>
      </c>
      <c r="L73" s="25" t="s">
        <v>53</v>
      </c>
      <c r="M73" s="26">
        <v>46054</v>
      </c>
      <c r="N73" s="28" t="s">
        <v>353</v>
      </c>
      <c r="O73" s="29" t="s">
        <v>355</v>
      </c>
      <c r="P73" s="25" t="s">
        <v>140</v>
      </c>
      <c r="Q73" s="28" t="str">
        <f>CONCATENATE(P73,66)</f>
        <v>00026019734K66</v>
      </c>
      <c r="R73" s="25" t="s">
        <v>434</v>
      </c>
      <c r="S73" s="28" t="s">
        <v>401</v>
      </c>
      <c r="T73" s="28" t="str">
        <f>CONCATENATE(S73," ",R73)</f>
        <v>DEBORAH KORSAK</v>
      </c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 spans="1:42" s="9" customFormat="1" x14ac:dyDescent="0.2">
      <c r="A74" s="25" t="s">
        <v>171</v>
      </c>
      <c r="B74" s="28">
        <v>19645587</v>
      </c>
      <c r="C74" s="25" t="s">
        <v>180</v>
      </c>
      <c r="D74" s="25" t="s">
        <v>181</v>
      </c>
      <c r="E74" s="26">
        <v>46082</v>
      </c>
      <c r="F74" s="25" t="s">
        <v>60</v>
      </c>
      <c r="G74" s="25" t="s">
        <v>51</v>
      </c>
      <c r="H74" s="25" t="s">
        <v>71</v>
      </c>
      <c r="I74" s="27">
        <v>0.83</v>
      </c>
      <c r="J74" s="27">
        <v>1</v>
      </c>
      <c r="K74" s="27">
        <v>289.17</v>
      </c>
      <c r="L74" s="25" t="s">
        <v>53</v>
      </c>
      <c r="M74" s="26">
        <v>46082</v>
      </c>
      <c r="N74" s="28" t="s">
        <v>353</v>
      </c>
      <c r="O74" s="29" t="s">
        <v>356</v>
      </c>
      <c r="P74" s="25" t="s">
        <v>181</v>
      </c>
      <c r="Q74" s="28" t="str">
        <f>CONCATENATE(P74,66)</f>
        <v>00025998613K66</v>
      </c>
      <c r="R74" s="25" t="s">
        <v>405</v>
      </c>
      <c r="S74" s="28" t="s">
        <v>406</v>
      </c>
      <c r="T74" s="28" t="str">
        <f>CONCATENATE(S74," ",R74)</f>
        <v>MICHAEL GREENFIELD</v>
      </c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 spans="1:42" s="9" customFormat="1" x14ac:dyDescent="0.2">
      <c r="A75" s="25" t="s">
        <v>171</v>
      </c>
      <c r="B75" s="28">
        <v>19645587</v>
      </c>
      <c r="C75" s="25" t="s">
        <v>172</v>
      </c>
      <c r="D75" s="25" t="s">
        <v>173</v>
      </c>
      <c r="E75" s="26">
        <v>46054</v>
      </c>
      <c r="F75" s="25" t="s">
        <v>49</v>
      </c>
      <c r="G75" s="25" t="s">
        <v>51</v>
      </c>
      <c r="H75" s="25" t="s">
        <v>71</v>
      </c>
      <c r="I75" s="27">
        <v>0.92</v>
      </c>
      <c r="J75" s="27">
        <v>1</v>
      </c>
      <c r="K75" s="27">
        <v>318.08</v>
      </c>
      <c r="L75" s="25" t="s">
        <v>53</v>
      </c>
      <c r="M75" s="26">
        <v>46054</v>
      </c>
      <c r="N75" s="28" t="s">
        <v>353</v>
      </c>
      <c r="O75" s="29" t="s">
        <v>355</v>
      </c>
      <c r="P75" s="25" t="s">
        <v>173</v>
      </c>
      <c r="Q75" s="28" t="str">
        <f>CONCATENATE(P75,66)</f>
        <v>00025072160K66</v>
      </c>
      <c r="R75" s="25" t="s">
        <v>435</v>
      </c>
      <c r="S75" s="28" t="s">
        <v>436</v>
      </c>
      <c r="T75" s="28" t="str">
        <f>CONCATENATE(S75," ",R75)</f>
        <v>ADELWISA LACSAMANA</v>
      </c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 spans="1:42" s="9" customFormat="1" x14ac:dyDescent="0.2">
      <c r="A76" s="25" t="s">
        <v>171</v>
      </c>
      <c r="B76" s="28">
        <v>19645587</v>
      </c>
      <c r="C76" s="25" t="s">
        <v>175</v>
      </c>
      <c r="D76" s="25" t="s">
        <v>176</v>
      </c>
      <c r="E76" s="26">
        <v>46054</v>
      </c>
      <c r="F76" s="25" t="s">
        <v>49</v>
      </c>
      <c r="G76" s="25" t="s">
        <v>51</v>
      </c>
      <c r="H76" s="25" t="s">
        <v>178</v>
      </c>
      <c r="I76" s="27">
        <v>0.92</v>
      </c>
      <c r="J76" s="27">
        <v>1</v>
      </c>
      <c r="K76" s="27">
        <v>318.08</v>
      </c>
      <c r="L76" s="25" t="s">
        <v>53</v>
      </c>
      <c r="M76" s="26">
        <v>46054</v>
      </c>
      <c r="N76" s="28" t="s">
        <v>353</v>
      </c>
      <c r="O76" s="29" t="s">
        <v>355</v>
      </c>
      <c r="P76" s="25" t="s">
        <v>176</v>
      </c>
      <c r="Q76" s="28" t="str">
        <f>CONCATENATE(P76,66)</f>
        <v>00025994616K66</v>
      </c>
      <c r="R76" s="25" t="s">
        <v>440</v>
      </c>
      <c r="S76" s="28" t="s">
        <v>406</v>
      </c>
      <c r="T76" s="28" t="str">
        <f>CONCATENATE(S76," ",R76)</f>
        <v>MICHAEL PIERSON</v>
      </c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 spans="1:42" s="9" customFormat="1" x14ac:dyDescent="0.2">
      <c r="A77" s="25" t="s">
        <v>87</v>
      </c>
      <c r="B77" s="28">
        <v>16228684</v>
      </c>
      <c r="C77" s="25" t="s">
        <v>97</v>
      </c>
      <c r="D77" s="25" t="s">
        <v>98</v>
      </c>
      <c r="E77" s="26">
        <v>46113</v>
      </c>
      <c r="F77" s="25" t="s">
        <v>82</v>
      </c>
      <c r="G77" s="25" t="s">
        <v>51</v>
      </c>
      <c r="H77" s="25" t="s">
        <v>71</v>
      </c>
      <c r="I77" s="27">
        <v>0.75</v>
      </c>
      <c r="J77" s="27">
        <v>1</v>
      </c>
      <c r="K77" s="27">
        <v>260.25</v>
      </c>
      <c r="L77" s="25" t="s">
        <v>53</v>
      </c>
      <c r="M77" s="26">
        <v>46113</v>
      </c>
      <c r="N77" s="28" t="s">
        <v>353</v>
      </c>
      <c r="O77" s="29" t="s">
        <v>359</v>
      </c>
      <c r="P77" s="25" t="s">
        <v>98</v>
      </c>
      <c r="Q77" s="28" t="str">
        <f>CONCATENATE(P77,66)</f>
        <v>00026008241K66</v>
      </c>
      <c r="R77" s="25" t="s">
        <v>394</v>
      </c>
      <c r="S77" s="28" t="s">
        <v>395</v>
      </c>
      <c r="T77" s="28" t="str">
        <f>CONCATENATE(S77," ",R77)</f>
        <v>LENA OHANIAN</v>
      </c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 spans="1:42" s="9" customFormat="1" x14ac:dyDescent="0.2">
      <c r="A78" s="25" t="s">
        <v>87</v>
      </c>
      <c r="B78" s="28">
        <v>16228684</v>
      </c>
      <c r="C78" s="25" t="s">
        <v>88</v>
      </c>
      <c r="D78" s="25" t="s">
        <v>89</v>
      </c>
      <c r="E78" s="26">
        <v>46054</v>
      </c>
      <c r="F78" s="25" t="s">
        <v>49</v>
      </c>
      <c r="G78" s="25" t="s">
        <v>51</v>
      </c>
      <c r="H78" s="25" t="s">
        <v>52</v>
      </c>
      <c r="I78" s="27">
        <v>0.92</v>
      </c>
      <c r="J78" s="27">
        <v>1</v>
      </c>
      <c r="K78" s="27">
        <v>318.08</v>
      </c>
      <c r="L78" s="25" t="s">
        <v>53</v>
      </c>
      <c r="M78" s="26">
        <v>46054</v>
      </c>
      <c r="N78" s="28" t="s">
        <v>353</v>
      </c>
      <c r="O78" s="29" t="s">
        <v>355</v>
      </c>
      <c r="P78" s="25" t="s">
        <v>89</v>
      </c>
      <c r="Q78" s="28" t="str">
        <f>CONCATENATE(P78,66)</f>
        <v>00025999972K66</v>
      </c>
      <c r="R78" s="25" t="s">
        <v>413</v>
      </c>
      <c r="S78" s="28" t="s">
        <v>365</v>
      </c>
      <c r="T78" s="28" t="str">
        <f>CONCATENATE(S78," ",R78)</f>
        <v>GREGORY SCHURING</v>
      </c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 spans="1:42" s="9" customFormat="1" x14ac:dyDescent="0.2">
      <c r="A79" s="25" t="s">
        <v>87</v>
      </c>
      <c r="B79" s="28">
        <v>16228684</v>
      </c>
      <c r="C79" s="25" t="s">
        <v>91</v>
      </c>
      <c r="D79" s="25" t="s">
        <v>92</v>
      </c>
      <c r="E79" s="26">
        <v>46054</v>
      </c>
      <c r="F79" s="25" t="s">
        <v>49</v>
      </c>
      <c r="G79" s="25" t="s">
        <v>51</v>
      </c>
      <c r="H79" s="25" t="s">
        <v>52</v>
      </c>
      <c r="I79" s="27">
        <v>0.92</v>
      </c>
      <c r="J79" s="27">
        <v>1</v>
      </c>
      <c r="K79" s="27">
        <v>318.08</v>
      </c>
      <c r="L79" s="25" t="s">
        <v>53</v>
      </c>
      <c r="M79" s="26">
        <v>46054</v>
      </c>
      <c r="N79" s="28" t="s">
        <v>353</v>
      </c>
      <c r="O79" s="29" t="s">
        <v>355</v>
      </c>
      <c r="P79" s="25" t="s">
        <v>92</v>
      </c>
      <c r="Q79" s="28" t="str">
        <f>CONCATENATE(P79,66)</f>
        <v>00026001687K66</v>
      </c>
      <c r="R79" s="25" t="s">
        <v>414</v>
      </c>
      <c r="S79" s="28" t="s">
        <v>415</v>
      </c>
      <c r="T79" s="28" t="str">
        <f>CONCATENATE(S79," ",R79)</f>
        <v>JANET POTEMPA</v>
      </c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 spans="1:42" s="9" customFormat="1" x14ac:dyDescent="0.2">
      <c r="A80" s="25" t="s">
        <v>87</v>
      </c>
      <c r="B80" s="28">
        <v>16228684</v>
      </c>
      <c r="C80" s="25" t="s">
        <v>94</v>
      </c>
      <c r="D80" s="25" t="s">
        <v>95</v>
      </c>
      <c r="E80" s="26">
        <v>46054</v>
      </c>
      <c r="F80" s="25" t="s">
        <v>49</v>
      </c>
      <c r="G80" s="25" t="s">
        <v>51</v>
      </c>
      <c r="H80" s="25" t="s">
        <v>52</v>
      </c>
      <c r="I80" s="27">
        <v>0.92</v>
      </c>
      <c r="J80" s="27">
        <v>1</v>
      </c>
      <c r="K80" s="27">
        <v>318.08</v>
      </c>
      <c r="L80" s="25" t="s">
        <v>53</v>
      </c>
      <c r="M80" s="26">
        <v>46054</v>
      </c>
      <c r="N80" s="28" t="s">
        <v>353</v>
      </c>
      <c r="O80" s="29" t="s">
        <v>355</v>
      </c>
      <c r="P80" s="25" t="s">
        <v>95</v>
      </c>
      <c r="Q80" s="28" t="str">
        <f>CONCATENATE(P80,66)</f>
        <v>00026003640K66</v>
      </c>
      <c r="R80" s="25" t="s">
        <v>416</v>
      </c>
      <c r="S80" s="28" t="s">
        <v>417</v>
      </c>
      <c r="T80" s="28" t="str">
        <f>CONCATENATE(S80," ",R80)</f>
        <v>DESSIE CROCKETT</v>
      </c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 spans="1:42" s="9" customFormat="1" x14ac:dyDescent="0.2">
      <c r="A81" s="25" t="s">
        <v>212</v>
      </c>
      <c r="B81" s="28">
        <v>21436172</v>
      </c>
      <c r="C81" s="25" t="s">
        <v>213</v>
      </c>
      <c r="D81" s="25" t="s">
        <v>214</v>
      </c>
      <c r="E81" s="26">
        <v>46023</v>
      </c>
      <c r="F81" s="25" t="s">
        <v>77</v>
      </c>
      <c r="G81" s="25" t="s">
        <v>51</v>
      </c>
      <c r="H81" s="25" t="s">
        <v>71</v>
      </c>
      <c r="I81" s="27">
        <v>-0.92</v>
      </c>
      <c r="J81" s="27">
        <v>-1</v>
      </c>
      <c r="K81" s="27">
        <v>-318.08</v>
      </c>
      <c r="L81" s="25" t="s">
        <v>53</v>
      </c>
      <c r="M81" s="26">
        <v>46023</v>
      </c>
      <c r="N81" s="28" t="s">
        <v>353</v>
      </c>
      <c r="O81" s="29" t="s">
        <v>355</v>
      </c>
      <c r="P81" s="25" t="s">
        <v>214</v>
      </c>
      <c r="Q81" s="28" t="str">
        <f>CONCATENATE(P81,66)</f>
        <v>00013052842K66</v>
      </c>
      <c r="R81" s="25" t="s">
        <v>377</v>
      </c>
      <c r="S81" s="28" t="s">
        <v>378</v>
      </c>
      <c r="T81" s="28" t="str">
        <f>CONCATENATE(S81," ",R81)</f>
        <v>ANNIE MCKNIGHT</v>
      </c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 spans="1:42" s="9" customFormat="1" x14ac:dyDescent="0.2">
      <c r="A82" s="30" t="s">
        <v>201</v>
      </c>
      <c r="B82" s="33">
        <v>18142208</v>
      </c>
      <c r="C82" s="30" t="s">
        <v>206</v>
      </c>
      <c r="D82" s="30" t="s">
        <v>207</v>
      </c>
      <c r="E82" s="31">
        <v>46054</v>
      </c>
      <c r="F82" s="30" t="s">
        <v>49</v>
      </c>
      <c r="G82" s="30" t="s">
        <v>51</v>
      </c>
      <c r="H82" s="30" t="s">
        <v>52</v>
      </c>
      <c r="I82" s="32">
        <v>0.92</v>
      </c>
      <c r="J82" s="32">
        <v>1</v>
      </c>
      <c r="K82" s="32">
        <v>151.25</v>
      </c>
      <c r="L82" s="30" t="s">
        <v>53</v>
      </c>
      <c r="M82" s="31">
        <v>46054</v>
      </c>
      <c r="N82" s="33" t="s">
        <v>357</v>
      </c>
      <c r="O82" s="33" t="s">
        <v>358</v>
      </c>
      <c r="P82" s="30" t="s">
        <v>207</v>
      </c>
      <c r="Q82" s="33" t="str">
        <f>CONCATENATE(P82,26)</f>
        <v>00020151511K26</v>
      </c>
      <c r="R82" s="30" t="s">
        <v>384</v>
      </c>
      <c r="S82" s="33" t="s">
        <v>385</v>
      </c>
      <c r="T82" s="28" t="str">
        <f>CONCATENATE(S82," ",R82)</f>
        <v>NINA JOHNSON</v>
      </c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spans="1:42" s="9" customFormat="1" x14ac:dyDescent="0.2">
      <c r="A83" s="25" t="s">
        <v>201</v>
      </c>
      <c r="B83" s="28">
        <v>18142208</v>
      </c>
      <c r="C83" s="25" t="s">
        <v>202</v>
      </c>
      <c r="D83" s="25" t="s">
        <v>203</v>
      </c>
      <c r="E83" s="26">
        <v>46023</v>
      </c>
      <c r="F83" s="25" t="s">
        <v>77</v>
      </c>
      <c r="G83" s="25" t="s">
        <v>51</v>
      </c>
      <c r="H83" s="25" t="s">
        <v>178</v>
      </c>
      <c r="I83" s="27">
        <v>-0.92</v>
      </c>
      <c r="J83" s="27">
        <v>-1</v>
      </c>
      <c r="K83" s="27">
        <v>-318.08</v>
      </c>
      <c r="L83" s="25" t="s">
        <v>53</v>
      </c>
      <c r="M83" s="26">
        <v>46023</v>
      </c>
      <c r="N83" s="28" t="s">
        <v>353</v>
      </c>
      <c r="O83" s="29" t="s">
        <v>355</v>
      </c>
      <c r="P83" s="25" t="s">
        <v>203</v>
      </c>
      <c r="Q83" s="28" t="str">
        <f>CONCATENATE(P83,66)</f>
        <v>00018036187K66</v>
      </c>
      <c r="R83" s="25" t="s">
        <v>379</v>
      </c>
      <c r="S83" s="28" t="s">
        <v>374</v>
      </c>
      <c r="T83" s="28" t="str">
        <f>CONCATENATE(S83," ",R83)</f>
        <v>LINDA VILLIO</v>
      </c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 spans="1:42" s="9" customFormat="1" x14ac:dyDescent="0.2">
      <c r="A84" s="25" t="s">
        <v>201</v>
      </c>
      <c r="B84" s="28">
        <v>18142208</v>
      </c>
      <c r="C84" s="25" t="s">
        <v>209</v>
      </c>
      <c r="D84" s="25" t="s">
        <v>210</v>
      </c>
      <c r="E84" s="26">
        <v>46054</v>
      </c>
      <c r="F84" s="25" t="s">
        <v>49</v>
      </c>
      <c r="G84" s="25" t="s">
        <v>51</v>
      </c>
      <c r="H84" s="25" t="s">
        <v>52</v>
      </c>
      <c r="I84" s="27">
        <v>0.92</v>
      </c>
      <c r="J84" s="27">
        <v>1</v>
      </c>
      <c r="K84" s="27">
        <v>318.08</v>
      </c>
      <c r="L84" s="25" t="s">
        <v>53</v>
      </c>
      <c r="M84" s="26">
        <v>46054</v>
      </c>
      <c r="N84" s="28" t="s">
        <v>353</v>
      </c>
      <c r="O84" s="29" t="s">
        <v>355</v>
      </c>
      <c r="P84" s="25" t="s">
        <v>210</v>
      </c>
      <c r="Q84" s="28" t="str">
        <f>CONCATENATE(P84,66)</f>
        <v>00026019851K66</v>
      </c>
      <c r="R84" s="25" t="s">
        <v>421</v>
      </c>
      <c r="S84" s="28" t="s">
        <v>422</v>
      </c>
      <c r="T84" s="28" t="str">
        <f>CONCATENATE(S84," ",R84)</f>
        <v>LISA HOLLEY</v>
      </c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 spans="1:42" s="9" customFormat="1" x14ac:dyDescent="0.2">
      <c r="A85" s="25" t="s">
        <v>189</v>
      </c>
      <c r="B85" s="28">
        <v>21104854</v>
      </c>
      <c r="C85" s="25" t="s">
        <v>190</v>
      </c>
      <c r="D85" s="25" t="s">
        <v>191</v>
      </c>
      <c r="E85" s="26">
        <v>46054</v>
      </c>
      <c r="F85" s="25" t="s">
        <v>49</v>
      </c>
      <c r="G85" s="25" t="s">
        <v>51</v>
      </c>
      <c r="H85" s="25" t="s">
        <v>52</v>
      </c>
      <c r="I85" s="27">
        <v>0.92</v>
      </c>
      <c r="J85" s="27">
        <v>1</v>
      </c>
      <c r="K85" s="27">
        <v>318.08</v>
      </c>
      <c r="L85" s="25" t="s">
        <v>53</v>
      </c>
      <c r="M85" s="26">
        <v>46054</v>
      </c>
      <c r="N85" s="28" t="s">
        <v>353</v>
      </c>
      <c r="O85" s="29" t="s">
        <v>355</v>
      </c>
      <c r="P85" s="25" t="s">
        <v>191</v>
      </c>
      <c r="Q85" s="28" t="str">
        <f>CONCATENATE(P85,66)</f>
        <v>00025996984K66</v>
      </c>
      <c r="R85" s="25" t="s">
        <v>420</v>
      </c>
      <c r="S85" s="28" t="s">
        <v>406</v>
      </c>
      <c r="T85" s="28" t="str">
        <f>CONCATENATE(S85," ",R85)</f>
        <v>MICHAEL LANGE</v>
      </c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 spans="1:42" s="9" customFormat="1" x14ac:dyDescent="0.2">
      <c r="A86" s="25" t="s">
        <v>64</v>
      </c>
      <c r="B86" s="28">
        <v>8307933</v>
      </c>
      <c r="C86" s="25" t="s">
        <v>68</v>
      </c>
      <c r="D86" s="25" t="s">
        <v>69</v>
      </c>
      <c r="E86" s="26">
        <v>46082</v>
      </c>
      <c r="F86" s="25" t="s">
        <v>60</v>
      </c>
      <c r="G86" s="25" t="s">
        <v>51</v>
      </c>
      <c r="H86" s="25" t="s">
        <v>71</v>
      </c>
      <c r="I86" s="27">
        <v>0.83</v>
      </c>
      <c r="J86" s="27">
        <v>1</v>
      </c>
      <c r="K86" s="27">
        <v>289.17</v>
      </c>
      <c r="L86" s="25" t="s">
        <v>53</v>
      </c>
      <c r="M86" s="26">
        <v>46082</v>
      </c>
      <c r="N86" s="28" t="s">
        <v>353</v>
      </c>
      <c r="O86" s="29" t="s">
        <v>356</v>
      </c>
      <c r="P86" s="25" t="s">
        <v>69</v>
      </c>
      <c r="Q86" s="28" t="str">
        <f>CONCATENATE(P86,66)</f>
        <v>00025991996K66</v>
      </c>
      <c r="R86" s="25" t="s">
        <v>400</v>
      </c>
      <c r="S86" s="28" t="s">
        <v>401</v>
      </c>
      <c r="T86" s="28" t="str">
        <f>CONCATENATE(S86," ",R86)</f>
        <v>DEBORAH MYERS</v>
      </c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 spans="1:42" s="9" customFormat="1" x14ac:dyDescent="0.2">
      <c r="A87" s="25" t="s">
        <v>64</v>
      </c>
      <c r="B87" s="28">
        <v>8307933</v>
      </c>
      <c r="C87" s="25" t="s">
        <v>65</v>
      </c>
      <c r="D87" s="25" t="s">
        <v>66</v>
      </c>
      <c r="E87" s="26">
        <v>46054</v>
      </c>
      <c r="F87" s="25" t="s">
        <v>49</v>
      </c>
      <c r="G87" s="25" t="s">
        <v>51</v>
      </c>
      <c r="H87" s="25" t="s">
        <v>52</v>
      </c>
      <c r="I87" s="27">
        <v>0.92</v>
      </c>
      <c r="J87" s="27">
        <v>1</v>
      </c>
      <c r="K87" s="27">
        <v>318.08</v>
      </c>
      <c r="L87" s="25" t="s">
        <v>53</v>
      </c>
      <c r="M87" s="26">
        <v>46054</v>
      </c>
      <c r="N87" s="28" t="s">
        <v>353</v>
      </c>
      <c r="O87" s="29" t="s">
        <v>355</v>
      </c>
      <c r="P87" s="25" t="s">
        <v>66</v>
      </c>
      <c r="Q87" s="28" t="str">
        <f>CONCATENATE(P87,66)</f>
        <v>00022077130K66</v>
      </c>
      <c r="R87" s="25" t="s">
        <v>411</v>
      </c>
      <c r="S87" s="28" t="s">
        <v>412</v>
      </c>
      <c r="T87" s="28" t="str">
        <f>CONCATENATE(S87," ",R87)</f>
        <v>JEFFREY GILBERT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 spans="1:42" s="9" customFormat="1" x14ac:dyDescent="0.2">
      <c r="A88" s="25" t="s">
        <v>73</v>
      </c>
      <c r="B88" s="28">
        <v>8325282</v>
      </c>
      <c r="C88" s="25" t="s">
        <v>74</v>
      </c>
      <c r="D88" s="25" t="s">
        <v>78</v>
      </c>
      <c r="E88" s="26">
        <v>46023</v>
      </c>
      <c r="F88" s="25" t="s">
        <v>77</v>
      </c>
      <c r="G88" s="25" t="s">
        <v>51</v>
      </c>
      <c r="H88" s="25" t="s">
        <v>52</v>
      </c>
      <c r="I88" s="27">
        <v>-1</v>
      </c>
      <c r="J88" s="27">
        <v>-1</v>
      </c>
      <c r="K88" s="27">
        <v>-347</v>
      </c>
      <c r="L88" s="25" t="s">
        <v>53</v>
      </c>
      <c r="M88" s="26">
        <v>46023</v>
      </c>
      <c r="N88" s="28" t="s">
        <v>353</v>
      </c>
      <c r="O88" s="28" t="s">
        <v>354</v>
      </c>
      <c r="P88" s="25" t="s">
        <v>78</v>
      </c>
      <c r="Q88" s="28" t="str">
        <f>CONCATENATE(P88,66)</f>
        <v>00024961235K66</v>
      </c>
      <c r="R88" s="25" t="s">
        <v>369</v>
      </c>
      <c r="S88" s="28" t="s">
        <v>370</v>
      </c>
      <c r="T88" s="28" t="str">
        <f>CONCATENATE(S88," ",R88)</f>
        <v>OLGA ERWIN</v>
      </c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 spans="1:42" s="9" customFormat="1" x14ac:dyDescent="0.2">
      <c r="A89" s="25" t="s">
        <v>73</v>
      </c>
      <c r="B89" s="28">
        <v>8325282</v>
      </c>
      <c r="C89" s="25" t="s">
        <v>79</v>
      </c>
      <c r="D89" s="25" t="s">
        <v>80</v>
      </c>
      <c r="E89" s="26">
        <v>46113</v>
      </c>
      <c r="F89" s="25" t="s">
        <v>82</v>
      </c>
      <c r="G89" s="25" t="s">
        <v>51</v>
      </c>
      <c r="H89" s="25" t="s">
        <v>52</v>
      </c>
      <c r="I89" s="27">
        <v>0.75</v>
      </c>
      <c r="J89" s="27">
        <v>1</v>
      </c>
      <c r="K89" s="27">
        <v>260.25</v>
      </c>
      <c r="L89" s="25" t="s">
        <v>53</v>
      </c>
      <c r="M89" s="26">
        <v>46113</v>
      </c>
      <c r="N89" s="28" t="s">
        <v>353</v>
      </c>
      <c r="O89" s="29" t="s">
        <v>359</v>
      </c>
      <c r="P89" s="25" t="s">
        <v>80</v>
      </c>
      <c r="Q89" s="28" t="str">
        <f>CONCATENATE(P89,66)</f>
        <v>00025992989K66</v>
      </c>
      <c r="R89" s="25" t="s">
        <v>386</v>
      </c>
      <c r="S89" s="28" t="s">
        <v>387</v>
      </c>
      <c r="T89" s="28" t="str">
        <f>CONCATENATE(S89," ",R89)</f>
        <v>KAMMY CHAFSHINO</v>
      </c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 spans="1:42" s="9" customFormat="1" x14ac:dyDescent="0.2">
      <c r="A90" s="25" t="s">
        <v>73</v>
      </c>
      <c r="B90" s="28">
        <v>8325282</v>
      </c>
      <c r="C90" s="25" t="s">
        <v>83</v>
      </c>
      <c r="D90" s="25" t="s">
        <v>84</v>
      </c>
      <c r="E90" s="26">
        <v>46054</v>
      </c>
      <c r="F90" s="25" t="s">
        <v>49</v>
      </c>
      <c r="G90" s="25" t="s">
        <v>51</v>
      </c>
      <c r="H90" s="25" t="s">
        <v>71</v>
      </c>
      <c r="I90" s="27">
        <v>0.92</v>
      </c>
      <c r="J90" s="27">
        <v>1</v>
      </c>
      <c r="K90" s="27">
        <v>318.08</v>
      </c>
      <c r="L90" s="25" t="s">
        <v>53</v>
      </c>
      <c r="M90" s="26">
        <v>46054</v>
      </c>
      <c r="N90" s="28" t="s">
        <v>353</v>
      </c>
      <c r="O90" s="29" t="s">
        <v>355</v>
      </c>
      <c r="P90" s="25" t="s">
        <v>84</v>
      </c>
      <c r="Q90" s="28" t="str">
        <f>CONCATENATE(P90,66)</f>
        <v>00026010619K66</v>
      </c>
      <c r="R90" s="25" t="s">
        <v>423</v>
      </c>
      <c r="S90" s="28" t="s">
        <v>424</v>
      </c>
      <c r="T90" s="28" t="str">
        <f>CONCATENATE(S90," ",R90)</f>
        <v>DONNA LOWE</v>
      </c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 spans="1:42" s="9" customFormat="1" x14ac:dyDescent="0.2">
      <c r="A91" s="25" t="s">
        <v>73</v>
      </c>
      <c r="B91" s="28">
        <v>8325282</v>
      </c>
      <c r="C91" s="25" t="s">
        <v>74</v>
      </c>
      <c r="D91" s="25" t="s">
        <v>75</v>
      </c>
      <c r="E91" s="26">
        <v>46023</v>
      </c>
      <c r="F91" s="25" t="s">
        <v>77</v>
      </c>
      <c r="G91" s="25" t="s">
        <v>51</v>
      </c>
      <c r="H91" s="25" t="s">
        <v>52</v>
      </c>
      <c r="I91" s="27">
        <v>1</v>
      </c>
      <c r="J91" s="27">
        <v>1</v>
      </c>
      <c r="K91" s="27">
        <v>347</v>
      </c>
      <c r="L91" s="25" t="s">
        <v>53</v>
      </c>
      <c r="M91" s="26">
        <v>46023</v>
      </c>
      <c r="N91" s="28" t="s">
        <v>353</v>
      </c>
      <c r="O91" s="28" t="s">
        <v>354</v>
      </c>
      <c r="P91" s="25" t="s">
        <v>75</v>
      </c>
      <c r="Q91" s="28" t="str">
        <f>CONCATENATE(P91,66)</f>
        <v>00005161142K66</v>
      </c>
      <c r="R91" s="25" t="s">
        <v>369</v>
      </c>
      <c r="S91" s="28" t="s">
        <v>370</v>
      </c>
      <c r="T91" s="28" t="str">
        <f>CONCATENATE(S91," ",R91)</f>
        <v>OLGA ERWIN</v>
      </c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 spans="1:42" s="9" customFormat="1" x14ac:dyDescent="0.2">
      <c r="A92" s="25" t="s">
        <v>123</v>
      </c>
      <c r="B92" s="28">
        <v>17516272</v>
      </c>
      <c r="C92" s="25" t="s">
        <v>124</v>
      </c>
      <c r="D92" s="25" t="s">
        <v>125</v>
      </c>
      <c r="E92" s="26">
        <v>46054</v>
      </c>
      <c r="F92" s="25" t="s">
        <v>49</v>
      </c>
      <c r="G92" s="25" t="s">
        <v>51</v>
      </c>
      <c r="H92" s="25" t="s">
        <v>71</v>
      </c>
      <c r="I92" s="27">
        <v>0.92</v>
      </c>
      <c r="J92" s="27">
        <v>1</v>
      </c>
      <c r="K92" s="27">
        <v>318.08</v>
      </c>
      <c r="L92" s="25" t="s">
        <v>53</v>
      </c>
      <c r="M92" s="26">
        <v>46054</v>
      </c>
      <c r="N92" s="28" t="s">
        <v>353</v>
      </c>
      <c r="O92" s="29" t="s">
        <v>355</v>
      </c>
      <c r="P92" s="25" t="s">
        <v>125</v>
      </c>
      <c r="Q92" s="28" t="str">
        <f>CONCATENATE(P92,66)</f>
        <v>00020275216K66</v>
      </c>
      <c r="R92" s="25" t="s">
        <v>428</v>
      </c>
      <c r="S92" s="28" t="s">
        <v>429</v>
      </c>
      <c r="T92" s="28" t="str">
        <f>CONCATENATE(S92," ",R92)</f>
        <v>JOSHUA FUGATE</v>
      </c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 spans="1:42" s="21" customFormat="1" x14ac:dyDescent="0.2">
      <c r="A93" s="25" t="s">
        <v>159</v>
      </c>
      <c r="B93" s="28">
        <v>19615078</v>
      </c>
      <c r="C93" s="25" t="s">
        <v>163</v>
      </c>
      <c r="D93" s="25" t="s">
        <v>164</v>
      </c>
      <c r="E93" s="26">
        <v>46054</v>
      </c>
      <c r="F93" s="25" t="s">
        <v>49</v>
      </c>
      <c r="G93" s="25" t="s">
        <v>51</v>
      </c>
      <c r="H93" s="25" t="s">
        <v>52</v>
      </c>
      <c r="I93" s="27">
        <v>0.92</v>
      </c>
      <c r="J93" s="27">
        <v>1</v>
      </c>
      <c r="K93" s="27">
        <v>396</v>
      </c>
      <c r="L93" s="25" t="s">
        <v>53</v>
      </c>
      <c r="M93" s="26">
        <v>46054</v>
      </c>
      <c r="N93" s="28" t="s">
        <v>360</v>
      </c>
      <c r="O93" s="29" t="s">
        <v>361</v>
      </c>
      <c r="P93" s="25" t="s">
        <v>164</v>
      </c>
      <c r="Q93" s="28" t="str">
        <f>CONCATENATE(P93,66)</f>
        <v>00026004105K66</v>
      </c>
      <c r="R93" s="25" t="s">
        <v>443</v>
      </c>
      <c r="S93" s="28" t="s">
        <v>444</v>
      </c>
      <c r="T93" s="28" t="str">
        <f>CONCATENATE(S93," ",R93)</f>
        <v>PHILIP PERKINS</v>
      </c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 spans="1:42" s="21" customFormat="1" x14ac:dyDescent="0.2">
      <c r="A94" s="25" t="s">
        <v>159</v>
      </c>
      <c r="B94" s="28">
        <v>19615078</v>
      </c>
      <c r="C94" s="25" t="s">
        <v>160</v>
      </c>
      <c r="D94" s="25" t="s">
        <v>161</v>
      </c>
      <c r="E94" s="26">
        <v>46023</v>
      </c>
      <c r="F94" s="25" t="s">
        <v>77</v>
      </c>
      <c r="G94" s="25" t="s">
        <v>51</v>
      </c>
      <c r="H94" s="25" t="s">
        <v>71</v>
      </c>
      <c r="I94" s="27">
        <v>-0.92</v>
      </c>
      <c r="J94" s="27">
        <v>-1</v>
      </c>
      <c r="K94" s="27">
        <v>-318.08</v>
      </c>
      <c r="L94" s="25" t="s">
        <v>53</v>
      </c>
      <c r="M94" s="26">
        <v>46023</v>
      </c>
      <c r="N94" s="28" t="s">
        <v>353</v>
      </c>
      <c r="O94" s="29" t="s">
        <v>355</v>
      </c>
      <c r="P94" s="25" t="s">
        <v>161</v>
      </c>
      <c r="Q94" s="28" t="str">
        <f>CONCATENATE(P94,66)</f>
        <v>00022547161K66</v>
      </c>
      <c r="R94" s="25" t="s">
        <v>375</v>
      </c>
      <c r="S94" s="28" t="s">
        <v>376</v>
      </c>
      <c r="T94" s="28" t="str">
        <f>CONCATENATE(S94," ",R94)</f>
        <v>GRACIELA LOPEZ</v>
      </c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 spans="1:42" s="21" customFormat="1" x14ac:dyDescent="0.2">
      <c r="A95" s="25" t="s">
        <v>166</v>
      </c>
      <c r="B95" s="28">
        <v>20003537</v>
      </c>
      <c r="C95" s="25" t="s">
        <v>167</v>
      </c>
      <c r="D95" s="25" t="s">
        <v>168</v>
      </c>
      <c r="E95" s="26">
        <v>46023</v>
      </c>
      <c r="F95" s="25" t="s">
        <v>77</v>
      </c>
      <c r="G95" s="25" t="s">
        <v>51</v>
      </c>
      <c r="H95" s="25" t="s">
        <v>52</v>
      </c>
      <c r="I95" s="27">
        <v>-0.92</v>
      </c>
      <c r="J95" s="27">
        <v>-1</v>
      </c>
      <c r="K95" s="27">
        <v>-318.08</v>
      </c>
      <c r="L95" s="25" t="s">
        <v>53</v>
      </c>
      <c r="M95" s="26">
        <v>46023</v>
      </c>
      <c r="N95" s="28" t="s">
        <v>353</v>
      </c>
      <c r="O95" s="29" t="s">
        <v>355</v>
      </c>
      <c r="P95" s="25" t="s">
        <v>168</v>
      </c>
      <c r="Q95" s="28" t="str">
        <f>CONCATENATE(P95,66)</f>
        <v>00024066949K66</v>
      </c>
      <c r="R95" s="25" t="s">
        <v>371</v>
      </c>
      <c r="S95" s="28" t="s">
        <v>372</v>
      </c>
      <c r="T95" s="28" t="str">
        <f>CONCATENATE(S95," ",R95)</f>
        <v>ADOLFO AMARO</v>
      </c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 spans="1:42" s="21" customFormat="1" x14ac:dyDescent="0.2">
      <c r="A96" s="25" t="s">
        <v>142</v>
      </c>
      <c r="B96" s="28">
        <v>18754354</v>
      </c>
      <c r="C96" s="25" t="s">
        <v>149</v>
      </c>
      <c r="D96" s="25" t="s">
        <v>150</v>
      </c>
      <c r="E96" s="26">
        <v>46082</v>
      </c>
      <c r="F96" s="25" t="s">
        <v>60</v>
      </c>
      <c r="G96" s="25" t="s">
        <v>51</v>
      </c>
      <c r="H96" s="25" t="s">
        <v>52</v>
      </c>
      <c r="I96" s="27">
        <v>0.83</v>
      </c>
      <c r="J96" s="27">
        <v>1</v>
      </c>
      <c r="K96" s="27">
        <v>289.17</v>
      </c>
      <c r="L96" s="25" t="s">
        <v>53</v>
      </c>
      <c r="M96" s="26">
        <v>46082</v>
      </c>
      <c r="N96" s="28" t="s">
        <v>353</v>
      </c>
      <c r="O96" s="29" t="s">
        <v>356</v>
      </c>
      <c r="P96" s="25" t="s">
        <v>150</v>
      </c>
      <c r="Q96" s="28" t="str">
        <f>CONCATENATE(P96,66)</f>
        <v>00026010194K66</v>
      </c>
      <c r="R96" s="25" t="s">
        <v>398</v>
      </c>
      <c r="S96" s="28" t="s">
        <v>399</v>
      </c>
      <c r="T96" s="28" t="str">
        <f>CONCATENATE(S96," ",R96)</f>
        <v>DENISE SCALISI</v>
      </c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 spans="1:42" s="21" customFormat="1" x14ac:dyDescent="0.2">
      <c r="A97" s="25" t="s">
        <v>142</v>
      </c>
      <c r="B97" s="28">
        <v>18754354</v>
      </c>
      <c r="C97" s="25" t="s">
        <v>143</v>
      </c>
      <c r="D97" s="25" t="s">
        <v>144</v>
      </c>
      <c r="E97" s="26">
        <v>46082</v>
      </c>
      <c r="F97" s="25" t="s">
        <v>60</v>
      </c>
      <c r="G97" s="25" t="s">
        <v>51</v>
      </c>
      <c r="H97" s="25" t="s">
        <v>71</v>
      </c>
      <c r="I97" s="27">
        <v>0.83</v>
      </c>
      <c r="J97" s="27">
        <v>1</v>
      </c>
      <c r="K97" s="27">
        <v>289.17</v>
      </c>
      <c r="L97" s="25" t="s">
        <v>53</v>
      </c>
      <c r="M97" s="26">
        <v>46082</v>
      </c>
      <c r="N97" s="28" t="s">
        <v>353</v>
      </c>
      <c r="O97" s="29" t="s">
        <v>356</v>
      </c>
      <c r="P97" s="25" t="s">
        <v>144</v>
      </c>
      <c r="Q97" s="28" t="str">
        <f>CONCATENATE(P97,66)</f>
        <v>00025994876K66</v>
      </c>
      <c r="R97" s="25" t="s">
        <v>402</v>
      </c>
      <c r="S97" s="28" t="s">
        <v>403</v>
      </c>
      <c r="T97" s="28" t="str">
        <f>CONCATENATE(S97," ",R97)</f>
        <v>PAUL MASKE</v>
      </c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 spans="1:42" s="21" customFormat="1" x14ac:dyDescent="0.2">
      <c r="A98" s="25" t="s">
        <v>142</v>
      </c>
      <c r="B98" s="28">
        <v>18754354</v>
      </c>
      <c r="C98" s="25" t="s">
        <v>146</v>
      </c>
      <c r="D98" s="25" t="s">
        <v>147</v>
      </c>
      <c r="E98" s="26">
        <v>46082</v>
      </c>
      <c r="F98" s="25" t="s">
        <v>60</v>
      </c>
      <c r="G98" s="25" t="s">
        <v>51</v>
      </c>
      <c r="H98" s="25" t="s">
        <v>71</v>
      </c>
      <c r="I98" s="27">
        <v>0.83</v>
      </c>
      <c r="J98" s="27">
        <v>1</v>
      </c>
      <c r="K98" s="27">
        <v>289.17</v>
      </c>
      <c r="L98" s="25" t="s">
        <v>53</v>
      </c>
      <c r="M98" s="26">
        <v>46082</v>
      </c>
      <c r="N98" s="28" t="s">
        <v>353</v>
      </c>
      <c r="O98" s="29" t="s">
        <v>356</v>
      </c>
      <c r="P98" s="25" t="s">
        <v>147</v>
      </c>
      <c r="Q98" s="28" t="str">
        <f>CONCATENATE(P98,66)</f>
        <v>00025995117K66</v>
      </c>
      <c r="R98" s="25" t="s">
        <v>402</v>
      </c>
      <c r="S98" s="28" t="s">
        <v>404</v>
      </c>
      <c r="T98" s="28" t="str">
        <f>CONCATENATE(S98," ",R98)</f>
        <v>THERESE MASKE</v>
      </c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 spans="1:42" s="21" customFormat="1" x14ac:dyDescent="0.2">
      <c r="A99" s="10" t="s">
        <v>100</v>
      </c>
      <c r="B99" s="13">
        <v>16633294</v>
      </c>
      <c r="C99" s="10" t="s">
        <v>226</v>
      </c>
      <c r="D99" s="23">
        <v>419885</v>
      </c>
      <c r="E99" s="11">
        <v>46054</v>
      </c>
      <c r="F99" s="10" t="s">
        <v>49</v>
      </c>
      <c r="G99" s="10" t="s">
        <v>223</v>
      </c>
      <c r="H99" s="10" t="s">
        <v>46</v>
      </c>
      <c r="I99" s="12">
        <v>10</v>
      </c>
      <c r="J99" s="12">
        <v>-40.020000000000003</v>
      </c>
      <c r="K99" s="12">
        <v>-4</v>
      </c>
      <c r="L99" s="10" t="s">
        <v>53</v>
      </c>
      <c r="M99" s="11">
        <v>45839</v>
      </c>
      <c r="N99" s="13" t="s">
        <v>351</v>
      </c>
      <c r="O99" s="13"/>
      <c r="P99" s="23">
        <v>419885</v>
      </c>
      <c r="Q99" s="13" t="str">
        <f>CONCATENATE(P99,7)</f>
        <v>4198857</v>
      </c>
      <c r="R99" s="10" t="s">
        <v>365</v>
      </c>
      <c r="S99" s="13" t="s">
        <v>366</v>
      </c>
      <c r="T99" s="10" t="s">
        <v>226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</row>
    <row r="100" spans="1:42" s="21" customFormat="1" x14ac:dyDescent="0.2">
      <c r="A100" s="10" t="s">
        <v>100</v>
      </c>
      <c r="B100" s="13">
        <v>16633294</v>
      </c>
      <c r="C100" s="10" t="s">
        <v>226</v>
      </c>
      <c r="D100" s="23">
        <v>419885</v>
      </c>
      <c r="E100" s="11">
        <v>46054</v>
      </c>
      <c r="F100" s="10" t="s">
        <v>49</v>
      </c>
      <c r="G100" s="10" t="s">
        <v>230</v>
      </c>
      <c r="H100" s="10" t="s">
        <v>46</v>
      </c>
      <c r="I100" s="12">
        <v>10</v>
      </c>
      <c r="J100" s="12">
        <v>-11.94</v>
      </c>
      <c r="K100" s="12">
        <v>-1.19</v>
      </c>
      <c r="L100" s="10" t="s">
        <v>53</v>
      </c>
      <c r="M100" s="11">
        <v>45839</v>
      </c>
      <c r="N100" s="13" t="s">
        <v>351</v>
      </c>
      <c r="O100" s="13"/>
      <c r="P100" s="23">
        <v>419885</v>
      </c>
      <c r="Q100" s="13" t="str">
        <f>CONCATENATE(P100,7)</f>
        <v>4198857</v>
      </c>
      <c r="R100" s="10" t="s">
        <v>365</v>
      </c>
      <c r="S100" s="13" t="s">
        <v>366</v>
      </c>
      <c r="T100" s="10" t="s">
        <v>226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spans="1:42" s="21" customFormat="1" x14ac:dyDescent="0.2">
      <c r="A101" s="25" t="s">
        <v>100</v>
      </c>
      <c r="B101" s="28">
        <v>16633294</v>
      </c>
      <c r="C101" s="25" t="s">
        <v>101</v>
      </c>
      <c r="D101" s="25" t="s">
        <v>102</v>
      </c>
      <c r="E101" s="26">
        <v>46054</v>
      </c>
      <c r="F101" s="25" t="s">
        <v>49</v>
      </c>
      <c r="G101" s="25" t="s">
        <v>51</v>
      </c>
      <c r="H101" s="25" t="s">
        <v>71</v>
      </c>
      <c r="I101" s="27">
        <v>0.92</v>
      </c>
      <c r="J101" s="27">
        <v>1</v>
      </c>
      <c r="K101" s="27">
        <v>318.08</v>
      </c>
      <c r="L101" s="25" t="s">
        <v>53</v>
      </c>
      <c r="M101" s="26">
        <v>46054</v>
      </c>
      <c r="N101" s="28" t="s">
        <v>353</v>
      </c>
      <c r="O101" s="29" t="s">
        <v>355</v>
      </c>
      <c r="P101" s="25" t="s">
        <v>102</v>
      </c>
      <c r="Q101" s="28" t="str">
        <f>CONCATENATE(P101,66)</f>
        <v>00025905887K66</v>
      </c>
      <c r="R101" s="25" t="s">
        <v>425</v>
      </c>
      <c r="S101" s="28" t="s">
        <v>406</v>
      </c>
      <c r="T101" s="28" t="str">
        <f>CONCATENATE(S101," ",R101)</f>
        <v>MICHAEL DINELLI</v>
      </c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 spans="1:42" s="21" customFormat="1" x14ac:dyDescent="0.2">
      <c r="A102" s="25" t="s">
        <v>100</v>
      </c>
      <c r="B102" s="28">
        <v>16633294</v>
      </c>
      <c r="C102" s="25" t="s">
        <v>104</v>
      </c>
      <c r="D102" s="25" t="s">
        <v>105</v>
      </c>
      <c r="E102" s="26">
        <v>46023</v>
      </c>
      <c r="F102" s="25" t="s">
        <v>77</v>
      </c>
      <c r="G102" s="25" t="s">
        <v>51</v>
      </c>
      <c r="H102" s="25" t="s">
        <v>71</v>
      </c>
      <c r="I102" s="27">
        <v>1</v>
      </c>
      <c r="J102" s="27">
        <v>1</v>
      </c>
      <c r="K102" s="27">
        <v>347</v>
      </c>
      <c r="L102" s="25" t="s">
        <v>53</v>
      </c>
      <c r="M102" s="26">
        <v>46023</v>
      </c>
      <c r="N102" s="28" t="s">
        <v>353</v>
      </c>
      <c r="O102" s="28" t="s">
        <v>354</v>
      </c>
      <c r="P102" s="25" t="s">
        <v>105</v>
      </c>
      <c r="Q102" s="28" t="str">
        <f>CONCATENATE(P102,66)</f>
        <v>00025997642K66</v>
      </c>
      <c r="R102" s="25" t="s">
        <v>441</v>
      </c>
      <c r="S102" s="28" t="s">
        <v>442</v>
      </c>
      <c r="T102" s="28" t="str">
        <f>CONCATENATE(S102," ",R102)</f>
        <v>MARIA TORRES</v>
      </c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</sheetData>
  <sortState xmlns:xlrd2="http://schemas.microsoft.com/office/spreadsheetml/2017/richdata2" ref="A2:AP102">
    <sortCondition ref="A2:A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2026-02-03T13:38:48Z</dcterms:created>
  <dcterms:modified xsi:type="dcterms:W3CDTF">2026-02-03T14:28:43Z</dcterms:modified>
</cp:coreProperties>
</file>