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umana\2026\2026-02-11\"/>
    </mc:Choice>
  </mc:AlternateContent>
  <xr:revisionPtr revIDLastSave="0" documentId="13_ncr:1_{49620D46-F7A0-49DD-B3D9-593D0242FBA9}" xr6:coauthVersionLast="47" xr6:coauthVersionMax="47" xr10:uidLastSave="{00000000-0000-0000-0000-000000000000}"/>
  <bookViews>
    <workbookView xWindow="-120" yWindow="-120" windowWidth="29040" windowHeight="15720" xr2:uid="{FB55075F-08AD-4487-A362-0AFA85F12BD4}"/>
  </bookViews>
  <sheets>
    <sheet name="CommissionData_1" sheetId="1" r:id="rId1"/>
    <sheet name="Sheet1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2" l="1"/>
  <c r="U5" i="2"/>
  <c r="U4" i="2"/>
  <c r="U12" i="2"/>
  <c r="U8" i="2"/>
  <c r="U9" i="2"/>
  <c r="U10" i="2"/>
  <c r="U6" i="2"/>
  <c r="U7" i="2"/>
  <c r="U11" i="2"/>
  <c r="U13" i="2"/>
  <c r="U14" i="2"/>
  <c r="U15" i="2"/>
  <c r="U18" i="2"/>
  <c r="U16" i="2"/>
  <c r="U17" i="2"/>
  <c r="U26" i="2"/>
  <c r="U23" i="2"/>
  <c r="U24" i="2"/>
  <c r="U25" i="2"/>
  <c r="U19" i="2"/>
  <c r="U20" i="2"/>
  <c r="U21" i="2"/>
  <c r="U22" i="2"/>
  <c r="U48" i="2"/>
  <c r="U49" i="2"/>
  <c r="U71" i="2"/>
  <c r="U72" i="2"/>
  <c r="U112" i="2"/>
  <c r="U91" i="2"/>
  <c r="U92" i="2"/>
  <c r="U41" i="2"/>
  <c r="U113" i="2"/>
  <c r="U58" i="2"/>
  <c r="U67" i="2"/>
  <c r="U101" i="2"/>
  <c r="U33" i="2"/>
  <c r="U34" i="2"/>
  <c r="U60" i="2"/>
  <c r="U61" i="2"/>
  <c r="U62" i="2"/>
  <c r="U63" i="2"/>
  <c r="U64" i="2"/>
  <c r="U39" i="2"/>
  <c r="U55" i="2"/>
  <c r="U56" i="2"/>
  <c r="U74" i="2"/>
  <c r="U75" i="2"/>
  <c r="U76" i="2"/>
  <c r="U77" i="2"/>
  <c r="U117" i="2"/>
  <c r="U29" i="2"/>
  <c r="U30" i="2"/>
  <c r="U93" i="2"/>
  <c r="U106" i="2"/>
  <c r="U42" i="2"/>
  <c r="U43" i="2"/>
  <c r="U44" i="2"/>
  <c r="U45" i="2"/>
  <c r="U68" i="2"/>
  <c r="U69" i="2"/>
  <c r="U108" i="2"/>
  <c r="U109" i="2"/>
  <c r="U65" i="2"/>
  <c r="U66" i="2"/>
  <c r="U111" i="2"/>
  <c r="U120" i="2"/>
  <c r="U121" i="2"/>
  <c r="U40" i="2"/>
  <c r="U53" i="2"/>
  <c r="U57" i="2"/>
  <c r="U78" i="2"/>
  <c r="U79" i="2"/>
  <c r="U80" i="2"/>
  <c r="U118" i="2"/>
  <c r="U119" i="2"/>
  <c r="U94" i="2"/>
  <c r="U95" i="2"/>
  <c r="U98" i="2"/>
  <c r="U99" i="2"/>
  <c r="U100" i="2"/>
  <c r="U89" i="2"/>
  <c r="U73" i="2"/>
  <c r="U114" i="2"/>
  <c r="U70" i="2"/>
  <c r="U102" i="2"/>
  <c r="U32" i="2"/>
  <c r="U107" i="2"/>
  <c r="U90" i="2"/>
  <c r="U96" i="2"/>
  <c r="U46" i="2"/>
  <c r="U104" i="2"/>
  <c r="U59" i="2"/>
  <c r="U35" i="2"/>
  <c r="U36" i="2"/>
  <c r="U122" i="2"/>
  <c r="U52" i="2"/>
  <c r="U54" i="2"/>
  <c r="U81" i="2"/>
  <c r="U82" i="2"/>
  <c r="U83" i="2"/>
  <c r="U31" i="2"/>
  <c r="U51" i="2"/>
  <c r="U103" i="2"/>
  <c r="U84" i="2"/>
  <c r="U85" i="2"/>
  <c r="U86" i="2"/>
  <c r="U97" i="2"/>
  <c r="U105" i="2"/>
  <c r="U50" i="2"/>
  <c r="U87" i="2"/>
  <c r="U115" i="2"/>
  <c r="U47" i="2"/>
  <c r="U110" i="2"/>
  <c r="U88" i="2"/>
  <c r="U116" i="2"/>
  <c r="U37" i="2"/>
  <c r="U38" i="2"/>
  <c r="U123" i="2"/>
  <c r="U2" i="2"/>
  <c r="R123" i="2"/>
  <c r="R38" i="2"/>
  <c r="R37" i="2"/>
  <c r="R116" i="2"/>
  <c r="R88" i="2"/>
  <c r="R110" i="2"/>
  <c r="R47" i="2"/>
  <c r="R115" i="2"/>
  <c r="R87" i="2"/>
  <c r="R50" i="2"/>
  <c r="R105" i="2"/>
  <c r="R97" i="2"/>
  <c r="R86" i="2"/>
  <c r="R85" i="2"/>
  <c r="R84" i="2"/>
  <c r="R103" i="2"/>
  <c r="R51" i="2"/>
  <c r="R31" i="2"/>
  <c r="R83" i="2"/>
  <c r="R82" i="2"/>
  <c r="R81" i="2"/>
  <c r="R54" i="2"/>
  <c r="R52" i="2"/>
  <c r="R122" i="2"/>
  <c r="R36" i="2"/>
  <c r="R35" i="2"/>
  <c r="R59" i="2"/>
  <c r="R104" i="2"/>
  <c r="R46" i="2"/>
  <c r="R96" i="2"/>
  <c r="R90" i="2"/>
  <c r="R107" i="2"/>
  <c r="R32" i="2"/>
  <c r="R102" i="2"/>
  <c r="R70" i="2"/>
  <c r="R114" i="2"/>
  <c r="R73" i="2"/>
  <c r="R89" i="2"/>
  <c r="R100" i="2"/>
  <c r="R99" i="2"/>
  <c r="R98" i="2"/>
  <c r="R95" i="2"/>
  <c r="R94" i="2"/>
  <c r="R119" i="2"/>
  <c r="R118" i="2"/>
  <c r="R80" i="2"/>
  <c r="R79" i="2"/>
  <c r="R78" i="2"/>
  <c r="R57" i="2"/>
  <c r="R53" i="2"/>
  <c r="R40" i="2"/>
  <c r="R121" i="2"/>
  <c r="R120" i="2"/>
  <c r="R111" i="2"/>
  <c r="R66" i="2"/>
  <c r="R65" i="2"/>
  <c r="R109" i="2"/>
  <c r="R108" i="2"/>
  <c r="R69" i="2"/>
  <c r="R68" i="2"/>
  <c r="R45" i="2"/>
  <c r="R44" i="2"/>
  <c r="R43" i="2"/>
  <c r="R42" i="2"/>
  <c r="R106" i="2"/>
  <c r="R93" i="2"/>
  <c r="R30" i="2"/>
  <c r="R29" i="2"/>
  <c r="R117" i="2"/>
  <c r="R77" i="2"/>
  <c r="R76" i="2"/>
  <c r="R75" i="2"/>
  <c r="R74" i="2"/>
  <c r="R56" i="2"/>
  <c r="R55" i="2"/>
  <c r="R39" i="2"/>
  <c r="R64" i="2"/>
  <c r="R63" i="2"/>
  <c r="R62" i="2"/>
  <c r="R61" i="2"/>
  <c r="R60" i="2"/>
  <c r="R34" i="2"/>
  <c r="R33" i="2"/>
  <c r="R101" i="2"/>
  <c r="R67" i="2"/>
  <c r="R58" i="2"/>
  <c r="R113" i="2"/>
  <c r="R41" i="2"/>
  <c r="R92" i="2"/>
  <c r="R91" i="2"/>
  <c r="R112" i="2"/>
  <c r="R72" i="2"/>
  <c r="R71" i="2"/>
  <c r="R49" i="2"/>
  <c r="R48" i="2"/>
  <c r="R28" i="2"/>
  <c r="R27" i="2"/>
  <c r="R22" i="2"/>
  <c r="R21" i="2"/>
  <c r="R20" i="2"/>
  <c r="R19" i="2"/>
  <c r="R25" i="2"/>
  <c r="R24" i="2"/>
  <c r="R23" i="2"/>
  <c r="R26" i="2"/>
  <c r="R17" i="2"/>
  <c r="R16" i="2"/>
  <c r="R18" i="2"/>
  <c r="R15" i="2"/>
  <c r="R13" i="2"/>
  <c r="R14" i="2"/>
  <c r="R11" i="2"/>
  <c r="R7" i="2"/>
  <c r="R6" i="2"/>
  <c r="R10" i="2"/>
  <c r="R9" i="2"/>
  <c r="R8" i="2"/>
  <c r="R12" i="2"/>
  <c r="R4" i="2"/>
  <c r="R5" i="2"/>
  <c r="R3" i="2"/>
  <c r="R2" i="2"/>
</calcChain>
</file>

<file path=xl/sharedStrings.xml><?xml version="1.0" encoding="utf-8"?>
<sst xmlns="http://schemas.openxmlformats.org/spreadsheetml/2006/main" count="5141" uniqueCount="673">
  <si>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</si>
  <si>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</si>
  <si>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</si>
  <si>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</si>
  <si>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</si>
  <si>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</si>
  <si>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</si>
  <si>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</si>
  <si>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</si>
  <si>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</si>
  <si>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</si>
  <si>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</si>
  <si>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</si>
  <si>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</si>
  <si>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</si>
  <si>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</si>
  <si>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</si>
  <si>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</si>
  <si>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</si>
  <si>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</si>
  <si>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</si>
  <si>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</si>
  <si>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</si>
  <si>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</si>
  <si>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</si>
  <si>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</si>
  <si>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</si>
  <si>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</si>
  <si>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</si>
  <si>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</si>
  <si>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</si>
  <si>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</si>
  <si>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</si>
  <si>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</si>
  <si>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</si>
  <si>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</si>
  <si>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</si>
  <si>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</si>
  <si>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</si>
  <si>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</si>
  <si>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</si>
  <si>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</si>
  <si>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</si>
  <si>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GAGE SHIRLEY J</t>
  </si>
  <si>
    <t>00012091926K</t>
  </si>
  <si>
    <t>6X11NU6DD92</t>
  </si>
  <si>
    <t/>
  </si>
  <si>
    <t>MA</t>
  </si>
  <si>
    <t>LV</t>
  </si>
  <si>
    <t>JAN</t>
  </si>
  <si>
    <t>F</t>
  </si>
  <si>
    <t>MEDICARE</t>
  </si>
  <si>
    <t>MEP</t>
  </si>
  <si>
    <t>FIRST YEAR COMMISSIONS</t>
  </si>
  <si>
    <t>ARCF</t>
  </si>
  <si>
    <t>H7617</t>
  </si>
  <si>
    <t>PITTMAN JOYCE X</t>
  </si>
  <si>
    <t>00025715339K</t>
  </si>
  <si>
    <t>5XV8C22DJ32</t>
  </si>
  <si>
    <t>H5216</t>
  </si>
  <si>
    <t>HORN JEFFREY E</t>
  </si>
  <si>
    <t>STRNAD PAUL G</t>
  </si>
  <si>
    <t>00018991718K</t>
  </si>
  <si>
    <t>9FW7GX0VM45</t>
  </si>
  <si>
    <t>FEB</t>
  </si>
  <si>
    <t>LEANDER KEITH O</t>
  </si>
  <si>
    <t>00022816751K</t>
  </si>
  <si>
    <t>5Q67RG4NR30</t>
  </si>
  <si>
    <t>R</t>
  </si>
  <si>
    <t>RENEWAL COMMISSIONS</t>
  </si>
  <si>
    <t>ARCM</t>
  </si>
  <si>
    <t>DESMOND JOHN E</t>
  </si>
  <si>
    <t>00026086364K</t>
  </si>
  <si>
    <t>9GF6P67EC54</t>
  </si>
  <si>
    <t>MAR</t>
  </si>
  <si>
    <t>R0110</t>
  </si>
  <si>
    <t>LISKOVEC FRANK E</t>
  </si>
  <si>
    <t>SULLIVAN THOMAS M</t>
  </si>
  <si>
    <t>00015624010K</t>
  </si>
  <si>
    <t>7UR4R27XD83</t>
  </si>
  <si>
    <t>MER</t>
  </si>
  <si>
    <t>H1468</t>
  </si>
  <si>
    <t>PAVLOVIC DRAGISA</t>
  </si>
  <si>
    <t>00022107554K</t>
  </si>
  <si>
    <t>5YE4JM0UG87</t>
  </si>
  <si>
    <t>H1036</t>
  </si>
  <si>
    <t>SWITZER ANTHONY C</t>
  </si>
  <si>
    <t>00022586091K</t>
  </si>
  <si>
    <t>5X47GN1XG38</t>
  </si>
  <si>
    <t>SEMPREVIVO MICHAEL A</t>
  </si>
  <si>
    <t>HOOPS KENT E</t>
  </si>
  <si>
    <t>00022853960K</t>
  </si>
  <si>
    <t>9HP3G83PF94</t>
  </si>
  <si>
    <t>CHOI ANDREW J</t>
  </si>
  <si>
    <t>LIPPOLD HEATHER L</t>
  </si>
  <si>
    <t>00019251322K</t>
  </si>
  <si>
    <t>5RK3RJ6AV73</t>
  </si>
  <si>
    <t>YREZABAL MARIA R</t>
  </si>
  <si>
    <t>00022190839K</t>
  </si>
  <si>
    <t>4E55QK4GM63</t>
  </si>
  <si>
    <t>DUBOIS CAROL A</t>
  </si>
  <si>
    <t>00024259596K</t>
  </si>
  <si>
    <t>4HJ2KK4AJ83</t>
  </si>
  <si>
    <t>RODAK DAVID H</t>
  </si>
  <si>
    <t>00025205339K</t>
  </si>
  <si>
    <t>9N57ER8YF47</t>
  </si>
  <si>
    <t>MEDICARE 2ND HALF FIRST YEAR COMM</t>
  </si>
  <si>
    <t>MED2</t>
  </si>
  <si>
    <t>DELABAR KURT G</t>
  </si>
  <si>
    <t>00026083796K</t>
  </si>
  <si>
    <t>5T97X87TA58</t>
  </si>
  <si>
    <t>CONFORTI THOMAS F</t>
  </si>
  <si>
    <t>00026103538K</t>
  </si>
  <si>
    <t>8V73E49XY85</t>
  </si>
  <si>
    <t>TEIPEL GREGORY K</t>
  </si>
  <si>
    <t>DOLL CAMMY L</t>
  </si>
  <si>
    <t>00014035131K</t>
  </si>
  <si>
    <t>4NK9Q26WM36</t>
  </si>
  <si>
    <t>SANCHEZ MARCO A</t>
  </si>
  <si>
    <t>00022094137K</t>
  </si>
  <si>
    <t>5JM5JU2QX76</t>
  </si>
  <si>
    <t>FRANKLIN JR ALVIN A</t>
  </si>
  <si>
    <t>00023582058K</t>
  </si>
  <si>
    <t>7EG8TY8XE56</t>
  </si>
  <si>
    <t>H4461</t>
  </si>
  <si>
    <t>HUNSBERGER ANTHONY J</t>
  </si>
  <si>
    <t>NELSON LINDSEY T</t>
  </si>
  <si>
    <t>00008644730K</t>
  </si>
  <si>
    <t>3DC1HF8KT24</t>
  </si>
  <si>
    <t>CHARAPATA AMANDA L</t>
  </si>
  <si>
    <t>00019218902K</t>
  </si>
  <si>
    <t>4V76TN3TQ70</t>
  </si>
  <si>
    <t>JOHNSON JANET S</t>
  </si>
  <si>
    <t>00021686045K</t>
  </si>
  <si>
    <t>1PX8KG5KQ68</t>
  </si>
  <si>
    <t>ROTH RONNIE L</t>
  </si>
  <si>
    <t>00022255618K</t>
  </si>
  <si>
    <t>1NT6H23GP83</t>
  </si>
  <si>
    <t>SANCHEZ THOMAS A</t>
  </si>
  <si>
    <t>00022678316K</t>
  </si>
  <si>
    <t>6XF2C10CM82</t>
  </si>
  <si>
    <t>ZINTL THOMAS M</t>
  </si>
  <si>
    <t>00022780699K</t>
  </si>
  <si>
    <t>5QM8V94PT42</t>
  </si>
  <si>
    <t>PINN VANETTA L</t>
  </si>
  <si>
    <t>00023242232K</t>
  </si>
  <si>
    <t>1Q97RU6VA67</t>
  </si>
  <si>
    <t>WALENGA DALE J</t>
  </si>
  <si>
    <t>BORGMAN JOHN R</t>
  </si>
  <si>
    <t>00022413054K</t>
  </si>
  <si>
    <t>2X45V85JF67</t>
  </si>
  <si>
    <t>YALE RICHARD A A</t>
  </si>
  <si>
    <t>NORIEGA GARCIA EDMUNDO M</t>
  </si>
  <si>
    <t>00022982390K</t>
  </si>
  <si>
    <t>2DV3TN1VF00</t>
  </si>
  <si>
    <t>FRAZIER STEPHAN W</t>
  </si>
  <si>
    <t>00023713473K</t>
  </si>
  <si>
    <t>1Y83X25AG72</t>
  </si>
  <si>
    <t>KUHNS COLLEEN A</t>
  </si>
  <si>
    <t>00026088711K</t>
  </si>
  <si>
    <t>9ND7KA5EP72</t>
  </si>
  <si>
    <t>GREEN DANNA</t>
  </si>
  <si>
    <t>JONES JOHN D</t>
  </si>
  <si>
    <t>00018138098K</t>
  </si>
  <si>
    <t>7RH0NW9UE18</t>
  </si>
  <si>
    <t>DRAPAC STEPHANIE E</t>
  </si>
  <si>
    <t>CECHOTA EILEEN E</t>
  </si>
  <si>
    <t>00007672778K</t>
  </si>
  <si>
    <t>2UE6TX6YE45</t>
  </si>
  <si>
    <t>AL AZMAH AMJAD</t>
  </si>
  <si>
    <t>00018501512K</t>
  </si>
  <si>
    <t>1P41R18EN13</t>
  </si>
  <si>
    <t>HANSFORD GREGORY</t>
  </si>
  <si>
    <t>TAHILIANI DEENU</t>
  </si>
  <si>
    <t>00010502769K</t>
  </si>
  <si>
    <t>5P06K72DM40</t>
  </si>
  <si>
    <t>RAMIS ROBERT M</t>
  </si>
  <si>
    <t>00016402117K</t>
  </si>
  <si>
    <t>2CN0X13XE02</t>
  </si>
  <si>
    <t>HERRERA-LARSEN ESTHER M</t>
  </si>
  <si>
    <t>HAMILTON DONNIE L</t>
  </si>
  <si>
    <t>00001672119K</t>
  </si>
  <si>
    <t>2MV7WD4KY34</t>
  </si>
  <si>
    <t>CASTRO LOPEZ MARIO</t>
  </si>
  <si>
    <t>00010609758K</t>
  </si>
  <si>
    <t>2C27G23JJ20</t>
  </si>
  <si>
    <t>ELIGIO VIANEY</t>
  </si>
  <si>
    <t>00023554373K</t>
  </si>
  <si>
    <t>8MG6DU8HY43</t>
  </si>
  <si>
    <t>FOLEY CAROL</t>
  </si>
  <si>
    <t>GOFMAN FRUMA</t>
  </si>
  <si>
    <t>00025866840K</t>
  </si>
  <si>
    <t>3VM0K96UT12</t>
  </si>
  <si>
    <t>PORTUGAL GARY</t>
  </si>
  <si>
    <t>EXCONDE LAGRIMAS A</t>
  </si>
  <si>
    <t>00003832422K</t>
  </si>
  <si>
    <t>9X00FX8QE22</t>
  </si>
  <si>
    <t>JOHNSON EDWARD L</t>
  </si>
  <si>
    <t>00004155102K</t>
  </si>
  <si>
    <t>9EH4H19FH91</t>
  </si>
  <si>
    <t>MCCAIN JAMES J</t>
  </si>
  <si>
    <t>00007470034K</t>
  </si>
  <si>
    <t>1F53FM7VC05</t>
  </si>
  <si>
    <t>MAHONEY KATHLEEN C</t>
  </si>
  <si>
    <t>00015387580K</t>
  </si>
  <si>
    <t>1QY8MC9QG33</t>
  </si>
  <si>
    <t>JOHNSON DEBORAH L</t>
  </si>
  <si>
    <t>00016375265K</t>
  </si>
  <si>
    <t>2NW1K32RH31</t>
  </si>
  <si>
    <t>LEWIS AUDREY V</t>
  </si>
  <si>
    <t>00017232908K</t>
  </si>
  <si>
    <t>6XF3QX3RP84</t>
  </si>
  <si>
    <t>WILSON ILENE P</t>
  </si>
  <si>
    <t>00018142972K</t>
  </si>
  <si>
    <t>2KH1PV4XM14</t>
  </si>
  <si>
    <t>CRAIG K D</t>
  </si>
  <si>
    <t>00019368907K</t>
  </si>
  <si>
    <t>6A14Q06CF64</t>
  </si>
  <si>
    <t>H4329</t>
  </si>
  <si>
    <t>WISE SUSAN M</t>
  </si>
  <si>
    <t>00021864890K</t>
  </si>
  <si>
    <t>4KP7JK4WK40</t>
  </si>
  <si>
    <t>MONTES JR FAUSTINO</t>
  </si>
  <si>
    <t>00022976801K</t>
  </si>
  <si>
    <t>1AP6A90YK30</t>
  </si>
  <si>
    <t>TRIEU TRINH LE M</t>
  </si>
  <si>
    <t>00023140342K</t>
  </si>
  <si>
    <t>8F87CP5UW44</t>
  </si>
  <si>
    <t>CARR MARK T</t>
  </si>
  <si>
    <t>00023244763K</t>
  </si>
  <si>
    <t>4FA7EV9YY68</t>
  </si>
  <si>
    <t>LIN EMILY M</t>
  </si>
  <si>
    <t>00026062967K</t>
  </si>
  <si>
    <t>2XM4W78YP89</t>
  </si>
  <si>
    <t>HARRIS BRENDA Y</t>
  </si>
  <si>
    <t>00026103178K</t>
  </si>
  <si>
    <t>6XK4K85TK95</t>
  </si>
  <si>
    <t>YALE JACOB D</t>
  </si>
  <si>
    <t>ARNOLD PAUL T</t>
  </si>
  <si>
    <t>00021961080K</t>
  </si>
  <si>
    <t>3HN7W64RJ36</t>
  </si>
  <si>
    <t>HOLLAND MARIA F</t>
  </si>
  <si>
    <t>00022816075K</t>
  </si>
  <si>
    <t>1KY1NC4JF92</t>
  </si>
  <si>
    <t>ZARDESKAS JAMES M</t>
  </si>
  <si>
    <t>00023334479K</t>
  </si>
  <si>
    <t>8EJ1HP2AD18</t>
  </si>
  <si>
    <t>BENDER CHAD</t>
  </si>
  <si>
    <t>COHILL MARYANN</t>
  </si>
  <si>
    <t>00026083549K</t>
  </si>
  <si>
    <t>4NA8DX2JV55</t>
  </si>
  <si>
    <t>APR</t>
  </si>
  <si>
    <t>ABDUL SAADIA S</t>
  </si>
  <si>
    <t>NESTEROWICZ CHERYL L</t>
  </si>
  <si>
    <t>00023146640K</t>
  </si>
  <si>
    <t>9GA7R23DM50</t>
  </si>
  <si>
    <t>NESTEROWICZ JOHN F</t>
  </si>
  <si>
    <t>00023146818K</t>
  </si>
  <si>
    <t>1UC5CY9HD82</t>
  </si>
  <si>
    <t>TOULON KATHLEEN S</t>
  </si>
  <si>
    <t>00026099968K</t>
  </si>
  <si>
    <t>6QD0HF4QR24</t>
  </si>
  <si>
    <t>SANTOS RICARDO D</t>
  </si>
  <si>
    <t>GALICIO MITOV DOLORES A</t>
  </si>
  <si>
    <t>00010645900K</t>
  </si>
  <si>
    <t>3TP8EJ8GM29</t>
  </si>
  <si>
    <t>UMALI REYNALDO N</t>
  </si>
  <si>
    <t>00014525232K</t>
  </si>
  <si>
    <t>8TF3T27DR76</t>
  </si>
  <si>
    <t>COCHRANE VALERIE</t>
  </si>
  <si>
    <t>00015813603K</t>
  </si>
  <si>
    <t>4K45H90HU40</t>
  </si>
  <si>
    <t>RINI DAVID F</t>
  </si>
  <si>
    <t>00023195200K</t>
  </si>
  <si>
    <t>1KM9YQ2FQ49</t>
  </si>
  <si>
    <t>H6622</t>
  </si>
  <si>
    <t>AUXIER ERRIN D</t>
  </si>
  <si>
    <t>00026104690K</t>
  </si>
  <si>
    <t>6PC6X30EK30</t>
  </si>
  <si>
    <t>SCHUMANN BARRY L</t>
  </si>
  <si>
    <t>CLARK ELIZABETH</t>
  </si>
  <si>
    <t>00002095651K</t>
  </si>
  <si>
    <t>5EN7TX4CA49</t>
  </si>
  <si>
    <t>HILL JAMES E</t>
  </si>
  <si>
    <t>00022601947K</t>
  </si>
  <si>
    <t>8F72T33GX94</t>
  </si>
  <si>
    <t>HADLEY NORMAN K</t>
  </si>
  <si>
    <t>00025088253K</t>
  </si>
  <si>
    <t>6HU4NP8CN93</t>
  </si>
  <si>
    <t>GONZALEZ LENSIE</t>
  </si>
  <si>
    <t>DAVIS JUDY A</t>
  </si>
  <si>
    <t>00026098831K</t>
  </si>
  <si>
    <t>6NH1X94PT09</t>
  </si>
  <si>
    <t>TAUGNER CHRISTIAN</t>
  </si>
  <si>
    <t>MEDYNSKYJ DARLENE J</t>
  </si>
  <si>
    <t>00019606018K</t>
  </si>
  <si>
    <t>9JG7NT7VG49</t>
  </si>
  <si>
    <t>GINTER LAURIE J</t>
  </si>
  <si>
    <t>00026076610K</t>
  </si>
  <si>
    <t>2A27FR9DG75</t>
  </si>
  <si>
    <t>DUNAVANT MICHAEL</t>
  </si>
  <si>
    <t>AHRENS CHARLES R</t>
  </si>
  <si>
    <t>00010607898K</t>
  </si>
  <si>
    <t>1X21QW2PX10</t>
  </si>
  <si>
    <t>HARDER CORRIE A</t>
  </si>
  <si>
    <t>00020892173K</t>
  </si>
  <si>
    <t>6P30AJ7VR45</t>
  </si>
  <si>
    <t>BLAIR DONALD A</t>
  </si>
  <si>
    <t>00021745138K</t>
  </si>
  <si>
    <t>6A77C27GD38</t>
  </si>
  <si>
    <t>CLOWES LINDA C</t>
  </si>
  <si>
    <t>00023769198K</t>
  </si>
  <si>
    <t>8CG3YT3XA03</t>
  </si>
  <si>
    <t>MARTIN RICHARD L</t>
  </si>
  <si>
    <t>00024137824K</t>
  </si>
  <si>
    <t>2PU4C80FY73</t>
  </si>
  <si>
    <t>JONES VESTER L</t>
  </si>
  <si>
    <t>00026030304K</t>
  </si>
  <si>
    <t>8PD2UA9WH17</t>
  </si>
  <si>
    <t>YALE CHAD J</t>
  </si>
  <si>
    <t>JOHNSON DAVID G</t>
  </si>
  <si>
    <t>00010858562K</t>
  </si>
  <si>
    <t>6T53U92WT80</t>
  </si>
  <si>
    <t>BROWNLEE TODD B</t>
  </si>
  <si>
    <t>00023536079K</t>
  </si>
  <si>
    <t>1V61F56VX93</t>
  </si>
  <si>
    <t>RICHEY THERESA A</t>
  </si>
  <si>
    <t>00025471647K</t>
  </si>
  <si>
    <t>4N07Y37VG44</t>
  </si>
  <si>
    <t>BOKROS KEVIN</t>
  </si>
  <si>
    <t>00026089661K</t>
  </si>
  <si>
    <t>8GM5PU6XC99</t>
  </si>
  <si>
    <t>MAY</t>
  </si>
  <si>
    <t>PORTUGAL STACEY A</t>
  </si>
  <si>
    <t>COMOLLI DAVID M</t>
  </si>
  <si>
    <t>00023011457K</t>
  </si>
  <si>
    <t>6PH4P88EK92</t>
  </si>
  <si>
    <t>STOKES JOHN D</t>
  </si>
  <si>
    <t>00024289280K</t>
  </si>
  <si>
    <t>3PC4X33GG75</t>
  </si>
  <si>
    <t>PDP</t>
  </si>
  <si>
    <t>S5884</t>
  </si>
  <si>
    <t>WOMACK JR EDWARD L</t>
  </si>
  <si>
    <t>00026092563K</t>
  </si>
  <si>
    <t>8FA8TT3CQ61</t>
  </si>
  <si>
    <t>PETRUNGARO ANDREA</t>
  </si>
  <si>
    <t>KARAMAN MAHER A</t>
  </si>
  <si>
    <t>00023767756K</t>
  </si>
  <si>
    <t>3XJ0F75PU01</t>
  </si>
  <si>
    <t>SHAPIRO ROBERT A</t>
  </si>
  <si>
    <t>BRADFORD PATRICIA L</t>
  </si>
  <si>
    <t>00025236228K</t>
  </si>
  <si>
    <t>6A25XQ1RG76</t>
  </si>
  <si>
    <t>STROHMAN BRIAN C</t>
  </si>
  <si>
    <t>SULSKI STEPHEN G</t>
  </si>
  <si>
    <t>00026078794K</t>
  </si>
  <si>
    <t>7AN5HE5VN59</t>
  </si>
  <si>
    <t>PRUENTE WILLIAM F</t>
  </si>
  <si>
    <t>00026092673K</t>
  </si>
  <si>
    <t>3J63U18GF89</t>
  </si>
  <si>
    <t>FUENTES VICTOR</t>
  </si>
  <si>
    <t>STOERY JESS M</t>
  </si>
  <si>
    <t>00026091935K</t>
  </si>
  <si>
    <t>1CT4N91QT97</t>
  </si>
  <si>
    <t>SENTMAN SANDRA</t>
  </si>
  <si>
    <t>CUBIC SANIJA</t>
  </si>
  <si>
    <t>00026073567K</t>
  </si>
  <si>
    <t>7UY7ET5PX36</t>
  </si>
  <si>
    <t>SIEVEWRIGHT ROBERT G</t>
  </si>
  <si>
    <t>O BRIEN MEEGAN M</t>
  </si>
  <si>
    <t>00026066370K</t>
  </si>
  <si>
    <t>3EN6DV5NY48</t>
  </si>
  <si>
    <t>NEVAREZ ANTONIA</t>
  </si>
  <si>
    <t>ESCARPITA SOCORRO</t>
  </si>
  <si>
    <t>00026061723K</t>
  </si>
  <si>
    <t>7CW4RT7CN96</t>
  </si>
  <si>
    <t>ROSE LATESHA A</t>
  </si>
  <si>
    <t>LAWRENCE JIMMY L</t>
  </si>
  <si>
    <t>00025761939K</t>
  </si>
  <si>
    <t>3ND2AA9KU86</t>
  </si>
  <si>
    <t>LUSE ALISON L</t>
  </si>
  <si>
    <t>MILLER MARTIN C</t>
  </si>
  <si>
    <t>00000853696A</t>
  </si>
  <si>
    <t>MS</t>
  </si>
  <si>
    <t>MED SUPP RENEWAL ACHIEVE</t>
  </si>
  <si>
    <t>MSRA</t>
  </si>
  <si>
    <t>DEATON PAMELA S</t>
  </si>
  <si>
    <t>Young Joanna</t>
  </si>
  <si>
    <t>9028406240</t>
  </si>
  <si>
    <t>IN</t>
  </si>
  <si>
    <t>CB</t>
  </si>
  <si>
    <t>VISION</t>
  </si>
  <si>
    <t>COMPBENEFITS RENEWAL COMMISSION</t>
  </si>
  <si>
    <t>CRCM</t>
  </si>
  <si>
    <t>Dornbierer Christie</t>
  </si>
  <si>
    <t>9029611520</t>
  </si>
  <si>
    <t>HOFFMANN JASON R</t>
  </si>
  <si>
    <t>TRAINOR JACQUELINE M</t>
  </si>
  <si>
    <t>00000106089A</t>
  </si>
  <si>
    <t>DOCTOR PRANAVA J</t>
  </si>
  <si>
    <t>00001140312A</t>
  </si>
  <si>
    <t>MED SUPP ANNUALIZED ACHIEVE</t>
  </si>
  <si>
    <t>MSAA</t>
  </si>
  <si>
    <t>INSKIPT DEBORAH L</t>
  </si>
  <si>
    <t>MILLER DEBRA L</t>
  </si>
  <si>
    <t>00000839470A</t>
  </si>
  <si>
    <t>COHAN KATHY L</t>
  </si>
  <si>
    <t>00000911304A</t>
  </si>
  <si>
    <t>OLIVER BRITTANY</t>
  </si>
  <si>
    <t>Johnson Crystal</t>
  </si>
  <si>
    <t>9030503940</t>
  </si>
  <si>
    <t>COMPBENEFITS FIRST YEAR COMMISSION</t>
  </si>
  <si>
    <t>CRCF</t>
  </si>
  <si>
    <t>MCCORKLE MICHELLE</t>
  </si>
  <si>
    <t>Hudock Beth</t>
  </si>
  <si>
    <t>9030645400</t>
  </si>
  <si>
    <t>Daube Tyler</t>
  </si>
  <si>
    <t>9030982010</t>
  </si>
  <si>
    <t>Yates Hanna R</t>
  </si>
  <si>
    <t>9031089540</t>
  </si>
  <si>
    <t>NC CAPITAL PARTERS LLC</t>
  </si>
  <si>
    <t>000000413180</t>
  </si>
  <si>
    <t>GR</t>
  </si>
  <si>
    <t>EM</t>
  </si>
  <si>
    <t>DENTAL</t>
  </si>
  <si>
    <t>BASIC LIFE</t>
  </si>
  <si>
    <t>BASIC AD&amp;D</t>
  </si>
  <si>
    <t>TOMES JERRY W</t>
  </si>
  <si>
    <t>00001139358A</t>
  </si>
  <si>
    <t>MED SUPP ANNUALIZED STANDARD</t>
  </si>
  <si>
    <t>MSAS</t>
  </si>
  <si>
    <t>CUSTER PEGGY M</t>
  </si>
  <si>
    <t>00001141035A</t>
  </si>
  <si>
    <t>Green Patti</t>
  </si>
  <si>
    <t>9029455080</t>
  </si>
  <si>
    <t>Rolfs Patrick</t>
  </si>
  <si>
    <t>9030982390</t>
  </si>
  <si>
    <t>KOZACHECK ANNE MARIE</t>
  </si>
  <si>
    <t>JARDINE PAMELA M</t>
  </si>
  <si>
    <t>00001022473A</t>
  </si>
  <si>
    <t>MED SUPP FIRST YEAR ACHIEVE</t>
  </si>
  <si>
    <t>MSFA</t>
  </si>
  <si>
    <t>MANZO ANTHONY</t>
  </si>
  <si>
    <t>00001142201A</t>
  </si>
  <si>
    <t>Ferrari Massimo</t>
  </si>
  <si>
    <t>9030047190</t>
  </si>
  <si>
    <t>Breedy Patrick</t>
  </si>
  <si>
    <t>9030450680</t>
  </si>
  <si>
    <t>Sajed Amer</t>
  </si>
  <si>
    <t>9030658860</t>
  </si>
  <si>
    <t>ROCCIA MARK</t>
  </si>
  <si>
    <t>POLLACK RONALD A</t>
  </si>
  <si>
    <t>00001142667A</t>
  </si>
  <si>
    <t>MEMBER ACTIVATION INITIATIVE</t>
  </si>
  <si>
    <t>MCAP</t>
  </si>
  <si>
    <t>Humana AD&amp;D</t>
  </si>
  <si>
    <t>Humana Basic Life</t>
  </si>
  <si>
    <t>Humana Dental &amp; Vision</t>
  </si>
  <si>
    <t>Humana Group 2025</t>
  </si>
  <si>
    <t>Humana 65-80 AL, AZ, AR, GA, etc. All Except N OE &amp; UW</t>
  </si>
  <si>
    <t>Humana AL, AZ, AR, GA, etc. Plan N OE &amp; UW</t>
  </si>
  <si>
    <t>Humana MAPD 2026*</t>
  </si>
  <si>
    <t>Humana PDP</t>
  </si>
  <si>
    <t>2026 Humana like plan changes</t>
  </si>
  <si>
    <t>[%/$=165][prorate=1/12]</t>
  </si>
  <si>
    <t>[%/$=165][prorate=11/12]</t>
  </si>
  <si>
    <t>[%/$=347][prorate=11/12]</t>
  </si>
  <si>
    <t>[%/$=347][prorate=10/12]</t>
  </si>
  <si>
    <t>[%/$=347][prorate=1/12]</t>
  </si>
  <si>
    <t>[%/$=347][prorate=8/12]</t>
  </si>
  <si>
    <t>[%/$=347][prorate=9/12]</t>
  </si>
  <si>
    <t>[%/$=347][prorate=12/12]</t>
  </si>
  <si>
    <t>LIPPOLD</t>
  </si>
  <si>
    <t>HEATHER</t>
  </si>
  <si>
    <t>STRNAD</t>
  </si>
  <si>
    <t>PAUL</t>
  </si>
  <si>
    <t>RICHEY</t>
  </si>
  <si>
    <t>THERESA</t>
  </si>
  <si>
    <t>BRADFORD</t>
  </si>
  <si>
    <t>PATRICIA</t>
  </si>
  <si>
    <t>MILLER</t>
  </si>
  <si>
    <t>MARTIN</t>
  </si>
  <si>
    <t>DOCTOR</t>
  </si>
  <si>
    <t>PRANAVA</t>
  </si>
  <si>
    <t>DEBRA</t>
  </si>
  <si>
    <t>COHAN</t>
  </si>
  <si>
    <t>KATHY</t>
  </si>
  <si>
    <t>TOMES</t>
  </si>
  <si>
    <t>JERRY</t>
  </si>
  <si>
    <t>CUSTER</t>
  </si>
  <si>
    <t>PEGGY</t>
  </si>
  <si>
    <t>JARDINE</t>
  </si>
  <si>
    <t>PAMELA</t>
  </si>
  <si>
    <t>NC</t>
  </si>
  <si>
    <t>CAPITAL</t>
  </si>
  <si>
    <t>TRAINOR</t>
  </si>
  <si>
    <t>JACQUELINE</t>
  </si>
  <si>
    <t>Green</t>
  </si>
  <si>
    <t>Patti</t>
  </si>
  <si>
    <t>Young</t>
  </si>
  <si>
    <t>Joanna</t>
  </si>
  <si>
    <t>Dornbierer</t>
  </si>
  <si>
    <t>Christie</t>
  </si>
  <si>
    <t>Johnson</t>
  </si>
  <si>
    <t>Crystal</t>
  </si>
  <si>
    <t>Hudock</t>
  </si>
  <si>
    <t>Beth</t>
  </si>
  <si>
    <t>Daube</t>
  </si>
  <si>
    <t>Tyler</t>
  </si>
  <si>
    <t>Yates</t>
  </si>
  <si>
    <t>Hanna</t>
  </si>
  <si>
    <t>Rolfs</t>
  </si>
  <si>
    <t>Patrick</t>
  </si>
  <si>
    <t>Ferrari</t>
  </si>
  <si>
    <t>Massimo</t>
  </si>
  <si>
    <t>Breedy</t>
  </si>
  <si>
    <t>Sajed</t>
  </si>
  <si>
    <t>Amer</t>
  </si>
  <si>
    <t>GOFMAN</t>
  </si>
  <si>
    <t>FRUMA</t>
  </si>
  <si>
    <t>GAGE</t>
  </si>
  <si>
    <t>SHIRLEY</t>
  </si>
  <si>
    <t>PITTMAN</t>
  </si>
  <si>
    <t>JOYCE</t>
  </si>
  <si>
    <t>JOHNSON</t>
  </si>
  <si>
    <t>DAVID</t>
  </si>
  <si>
    <t>LAWRENCE</t>
  </si>
  <si>
    <t>JIMMY</t>
  </si>
  <si>
    <t>UMALI</t>
  </si>
  <si>
    <t>REYNALDO</t>
  </si>
  <si>
    <t>RICHARD</t>
  </si>
  <si>
    <t>LEANDER</t>
  </si>
  <si>
    <t>KEITH</t>
  </si>
  <si>
    <t>SWITZER</t>
  </si>
  <si>
    <t>ANTHONY</t>
  </si>
  <si>
    <t>HOOPS</t>
  </si>
  <si>
    <t>KENT</t>
  </si>
  <si>
    <t>YREZABAL</t>
  </si>
  <si>
    <t>MARIA</t>
  </si>
  <si>
    <t>DUBOIS</t>
  </si>
  <si>
    <t>CAROL</t>
  </si>
  <si>
    <t>NELSON</t>
  </si>
  <si>
    <t>LINDSEY</t>
  </si>
  <si>
    <t>CHARAPATA</t>
  </si>
  <si>
    <t>AMANDA</t>
  </si>
  <si>
    <t>JANET</t>
  </si>
  <si>
    <t>ROTH</t>
  </si>
  <si>
    <t>RONNIE</t>
  </si>
  <si>
    <t>ZINTL</t>
  </si>
  <si>
    <t>THOMAS</t>
  </si>
  <si>
    <t>CECHOTA</t>
  </si>
  <si>
    <t>EILEEN</t>
  </si>
  <si>
    <t>HAMILTON</t>
  </si>
  <si>
    <t>DONNIE</t>
  </si>
  <si>
    <t>ELIGIO</t>
  </si>
  <si>
    <t>VIANEY</t>
  </si>
  <si>
    <t>EXCONDE</t>
  </si>
  <si>
    <t>LAGRIMAS</t>
  </si>
  <si>
    <t>MAHONEY</t>
  </si>
  <si>
    <t>KATHLEEN</t>
  </si>
  <si>
    <t>WISE</t>
  </si>
  <si>
    <t>SUSAN</t>
  </si>
  <si>
    <t>TRIEU</t>
  </si>
  <si>
    <t>TRINH</t>
  </si>
  <si>
    <t>ZARDESKAS</t>
  </si>
  <si>
    <t>JAMES</t>
  </si>
  <si>
    <t>NESTEROWICZ</t>
  </si>
  <si>
    <t>CHERYL</t>
  </si>
  <si>
    <t>JOHN</t>
  </si>
  <si>
    <t>COCHRANE</t>
  </si>
  <si>
    <t>VALERIE</t>
  </si>
  <si>
    <t>MEDYNSKYJ</t>
  </si>
  <si>
    <t>DARLENE</t>
  </si>
  <si>
    <t>AHRENS</t>
  </si>
  <si>
    <t>CHARLES</t>
  </si>
  <si>
    <t>HARDER</t>
  </si>
  <si>
    <t>CORRIE</t>
  </si>
  <si>
    <t>BLAIR</t>
  </si>
  <si>
    <t>DONALD</t>
  </si>
  <si>
    <t>CLOWES</t>
  </si>
  <si>
    <t>LINDA</t>
  </si>
  <si>
    <t>SULLIVAN</t>
  </si>
  <si>
    <t>PAVLOVIC</t>
  </si>
  <si>
    <t>DRAGISA</t>
  </si>
  <si>
    <t>DOLL</t>
  </si>
  <si>
    <t>CAMMY</t>
  </si>
  <si>
    <t>FRANKLIN</t>
  </si>
  <si>
    <t>ALVIN</t>
  </si>
  <si>
    <t>SANCHEZ</t>
  </si>
  <si>
    <t>PINN</t>
  </si>
  <si>
    <t>VANETTA</t>
  </si>
  <si>
    <t>BORGMAN</t>
  </si>
  <si>
    <t>NORIEGA</t>
  </si>
  <si>
    <t>EDMUNDO</t>
  </si>
  <si>
    <t>FRAZIER</t>
  </si>
  <si>
    <t>STEPHAN</t>
  </si>
  <si>
    <t>AMJAD</t>
  </si>
  <si>
    <t>TAHILIANI</t>
  </si>
  <si>
    <t>DEENU</t>
  </si>
  <si>
    <t>CASTRO</t>
  </si>
  <si>
    <t>MARIO</t>
  </si>
  <si>
    <t>LEWIS</t>
  </si>
  <si>
    <t>AUDREY</t>
  </si>
  <si>
    <t>MONTES</t>
  </si>
  <si>
    <t>FAUSTINO</t>
  </si>
  <si>
    <t>CARR</t>
  </si>
  <si>
    <t>MARK</t>
  </si>
  <si>
    <t>ARNOLD</t>
  </si>
  <si>
    <t>HOLLAND</t>
  </si>
  <si>
    <t>GALICIO</t>
  </si>
  <si>
    <t>DOLORES</t>
  </si>
  <si>
    <t>RINI</t>
  </si>
  <si>
    <t>CLARK</t>
  </si>
  <si>
    <t>ELIZABETH</t>
  </si>
  <si>
    <t>HILL</t>
  </si>
  <si>
    <t>HADLEY</t>
  </si>
  <si>
    <t>NORMAN</t>
  </si>
  <si>
    <t>K</t>
  </si>
  <si>
    <t>COMOLLI</t>
  </si>
  <si>
    <t>KARAMAN</t>
  </si>
  <si>
    <t>MAHER</t>
  </si>
  <si>
    <t>BOKROS</t>
  </si>
  <si>
    <t>KEVIN</t>
  </si>
  <si>
    <t>ESCARPITA</t>
  </si>
  <si>
    <t>SOCORRO</t>
  </si>
  <si>
    <t>CUBIC</t>
  </si>
  <si>
    <t>SANIJA</t>
  </si>
  <si>
    <t>COHILL</t>
  </si>
  <si>
    <t>MARYANN</t>
  </si>
  <si>
    <t>GINTER</t>
  </si>
  <si>
    <t>LAURIE</t>
  </si>
  <si>
    <t>WOMACK</t>
  </si>
  <si>
    <t>EDWARD</t>
  </si>
  <si>
    <t>AUXIER</t>
  </si>
  <si>
    <t>ERRIN</t>
  </si>
  <si>
    <t>JONES</t>
  </si>
  <si>
    <t>VESTER</t>
  </si>
  <si>
    <t>PRUENTE</t>
  </si>
  <si>
    <t>WILLIAM</t>
  </si>
  <si>
    <t>DESMOND</t>
  </si>
  <si>
    <t>DELABAR</t>
  </si>
  <si>
    <t>KURT</t>
  </si>
  <si>
    <t>CONFORTI</t>
  </si>
  <si>
    <t>KUHNS</t>
  </si>
  <si>
    <t>COLLEEN</t>
  </si>
  <si>
    <t>RAMIS</t>
  </si>
  <si>
    <t>ROBERT</t>
  </si>
  <si>
    <t>DEBORAH</t>
  </si>
  <si>
    <t>HARRIS</t>
  </si>
  <si>
    <t>BRENDA</t>
  </si>
  <si>
    <t>TOULON</t>
  </si>
  <si>
    <t>DAVIS</t>
  </si>
  <si>
    <t>JUDY</t>
  </si>
  <si>
    <t>MEEGAN</t>
  </si>
  <si>
    <t>MCCAIN</t>
  </si>
  <si>
    <t>CRAIG</t>
  </si>
  <si>
    <t>LIN</t>
  </si>
  <si>
    <t>EMILY</t>
  </si>
  <si>
    <t>SULSKI</t>
  </si>
  <si>
    <t>STEPHEN</t>
  </si>
  <si>
    <t>STOERY</t>
  </si>
  <si>
    <t>JESS</t>
  </si>
  <si>
    <t>WILSON</t>
  </si>
  <si>
    <t>ILENE</t>
  </si>
  <si>
    <t>BROWNLEE</t>
  </si>
  <si>
    <t>TODD</t>
  </si>
  <si>
    <t>MARCO</t>
  </si>
  <si>
    <t>RODAK</t>
  </si>
  <si>
    <t>STOKES</t>
  </si>
  <si>
    <t>AL AZMAH</t>
  </si>
  <si>
    <t>O BRIEN</t>
  </si>
  <si>
    <t>19278370old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</si>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</sst>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36" borderId="0" xfId="0" applyFont="1" applyFill="1"/>
    <xf numFmtId="0" fontId="19" fillId="0" borderId="0" xfId="0" applyFont="1"/>
    <xf numFmtId="0" fontId="0" fillId="0" borderId="0" xfId="0" applyAlignment="1">
      <alignment horizontal="left" vertical="top"/>
    </xf>
    <xf numFmtId="0" fontId="0" fillId="34" borderId="0" xfId="0" applyFill="1" applyAlignment="1">
      <alignment horizontal="left" vertical="top"/>
    </xf>
    <xf numFmtId="0" fontId="0" fillId="33" borderId="0" xfId="0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9" fillId="33" borderId="0" xfId="0" applyFont="1" applyFill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7B7F-159F-4BA5-9BBE-1F7F51B97C94}">
  <dimension ref="A1:AP126"/>
  <sheetViews>
    <sheetView tabSelected="1" topLeftCell="I34" workbookViewId="0">
      <selection activeCell="Y57" sqref="Y57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46064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416118052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46023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-0.83</v>
      </c>
      <c r="W2" s="5">
        <v>0</v>
      </c>
      <c r="X2" s="5">
        <v>100</v>
      </c>
      <c r="Y2" s="5">
        <v>-289.17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46023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46064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814084424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46023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-0.83</v>
      </c>
      <c r="W3" s="5">
        <v>0</v>
      </c>
      <c r="X3" s="5">
        <v>100</v>
      </c>
      <c r="Y3" s="5">
        <v>-289.17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46023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46064</v>
      </c>
      <c r="C4" s="4" t="s">
        <v>60</v>
      </c>
      <c r="D4" s="2">
        <v>1267028</v>
      </c>
      <c r="E4" s="4" t="s">
        <v>61</v>
      </c>
      <c r="F4" s="4" t="s">
        <v>62</v>
      </c>
      <c r="G4" s="2">
        <v>763461263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46054</v>
      </c>
      <c r="M4" s="4" t="s">
        <v>64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0.92</v>
      </c>
      <c r="W4" s="5">
        <v>0</v>
      </c>
      <c r="X4" s="5">
        <v>100</v>
      </c>
      <c r="Y4" s="5">
        <v>151.25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46054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46064</v>
      </c>
      <c r="C5" s="4" t="s">
        <v>60</v>
      </c>
      <c r="D5" s="2">
        <v>1267028</v>
      </c>
      <c r="E5" s="4" t="s">
        <v>65</v>
      </c>
      <c r="F5" s="4" t="s">
        <v>66</v>
      </c>
      <c r="G5" s="2">
        <v>616704392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46054</v>
      </c>
      <c r="M5" s="4" t="s">
        <v>64</v>
      </c>
      <c r="N5" s="4" t="s">
        <v>46</v>
      </c>
      <c r="O5" s="4" t="s">
        <v>68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69</v>
      </c>
      <c r="AC5" s="4" t="s">
        <v>46</v>
      </c>
      <c r="AD5" s="5">
        <v>0</v>
      </c>
      <c r="AE5" s="4" t="s">
        <v>70</v>
      </c>
      <c r="AF5" s="3">
        <v>45689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59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46064</v>
      </c>
      <c r="C6" s="4" t="s">
        <v>60</v>
      </c>
      <c r="D6" s="2">
        <v>1267028</v>
      </c>
      <c r="E6" s="4" t="s">
        <v>71</v>
      </c>
      <c r="F6" s="4" t="s">
        <v>72</v>
      </c>
      <c r="G6" s="2">
        <v>173788324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46082</v>
      </c>
      <c r="M6" s="4" t="s">
        <v>74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0.83</v>
      </c>
      <c r="W6" s="5">
        <v>0</v>
      </c>
      <c r="X6" s="5">
        <v>100</v>
      </c>
      <c r="Y6" s="5">
        <v>289.17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46082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46064</v>
      </c>
      <c r="C7" s="4" t="s">
        <v>76</v>
      </c>
      <c r="D7" s="2">
        <v>1427681</v>
      </c>
      <c r="E7" s="4" t="s">
        <v>77</v>
      </c>
      <c r="F7" s="4" t="s">
        <v>78</v>
      </c>
      <c r="G7" s="2">
        <v>348268508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46054</v>
      </c>
      <c r="M7" s="4" t="s">
        <v>64</v>
      </c>
      <c r="N7" s="4" t="s">
        <v>46</v>
      </c>
      <c r="O7" s="4" t="s">
        <v>68</v>
      </c>
      <c r="P7" s="4" t="s">
        <v>46</v>
      </c>
      <c r="Q7" s="2">
        <v>1</v>
      </c>
      <c r="R7" s="2">
        <v>17</v>
      </c>
      <c r="S7" s="4" t="s">
        <v>51</v>
      </c>
      <c r="T7" s="4" t="s">
        <v>80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69</v>
      </c>
      <c r="AC7" s="4" t="s">
        <v>46</v>
      </c>
      <c r="AD7" s="5">
        <v>0</v>
      </c>
      <c r="AE7" s="4" t="s">
        <v>70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81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46064</v>
      </c>
      <c r="C8" s="4" t="s">
        <v>76</v>
      </c>
      <c r="D8" s="2">
        <v>1427681</v>
      </c>
      <c r="E8" s="4" t="s">
        <v>82</v>
      </c>
      <c r="F8" s="4" t="s">
        <v>83</v>
      </c>
      <c r="G8" s="2">
        <v>352146470</v>
      </c>
      <c r="H8" s="4" t="s">
        <v>84</v>
      </c>
      <c r="I8" s="4" t="s">
        <v>46</v>
      </c>
      <c r="J8" s="4" t="s">
        <v>47</v>
      </c>
      <c r="K8" s="4" t="s">
        <v>48</v>
      </c>
      <c r="L8" s="3">
        <v>46054</v>
      </c>
      <c r="M8" s="4" t="s">
        <v>64</v>
      </c>
      <c r="N8" s="4" t="s">
        <v>46</v>
      </c>
      <c r="O8" s="4" t="s">
        <v>68</v>
      </c>
      <c r="P8" s="4" t="s">
        <v>46</v>
      </c>
      <c r="Q8" s="2">
        <v>1</v>
      </c>
      <c r="R8" s="2">
        <v>17</v>
      </c>
      <c r="S8" s="4" t="s">
        <v>51</v>
      </c>
      <c r="T8" s="4" t="s">
        <v>80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69</v>
      </c>
      <c r="AC8" s="4" t="s">
        <v>46</v>
      </c>
      <c r="AD8" s="5">
        <v>0</v>
      </c>
      <c r="AE8" s="4" t="s">
        <v>70</v>
      </c>
      <c r="AF8" s="3">
        <v>45566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46064</v>
      </c>
      <c r="C9" s="4" t="s">
        <v>76</v>
      </c>
      <c r="D9" s="2">
        <v>1427681</v>
      </c>
      <c r="E9" s="4" t="s">
        <v>86</v>
      </c>
      <c r="F9" s="4" t="s">
        <v>87</v>
      </c>
      <c r="G9" s="2">
        <v>39029591</v>
      </c>
      <c r="H9" s="4" t="s">
        <v>88</v>
      </c>
      <c r="I9" s="4" t="s">
        <v>46</v>
      </c>
      <c r="J9" s="4" t="s">
        <v>47</v>
      </c>
      <c r="K9" s="4" t="s">
        <v>48</v>
      </c>
      <c r="L9" s="3">
        <v>46054</v>
      </c>
      <c r="M9" s="4" t="s">
        <v>64</v>
      </c>
      <c r="N9" s="4" t="s">
        <v>46</v>
      </c>
      <c r="O9" s="4" t="s">
        <v>68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69</v>
      </c>
      <c r="AC9" s="4" t="s">
        <v>46</v>
      </c>
      <c r="AD9" s="5">
        <v>0</v>
      </c>
      <c r="AE9" s="4" t="s">
        <v>70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59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46064</v>
      </c>
      <c r="C10" s="4" t="s">
        <v>89</v>
      </c>
      <c r="D10" s="2">
        <v>1433949</v>
      </c>
      <c r="E10" s="4" t="s">
        <v>90</v>
      </c>
      <c r="F10" s="4" t="s">
        <v>91</v>
      </c>
      <c r="G10" s="2">
        <v>382054280</v>
      </c>
      <c r="H10" s="4" t="s">
        <v>92</v>
      </c>
      <c r="I10" s="4" t="s">
        <v>46</v>
      </c>
      <c r="J10" s="4" t="s">
        <v>47</v>
      </c>
      <c r="K10" s="4" t="s">
        <v>48</v>
      </c>
      <c r="L10" s="3">
        <v>46054</v>
      </c>
      <c r="M10" s="4" t="s">
        <v>64</v>
      </c>
      <c r="N10" s="4" t="s">
        <v>46</v>
      </c>
      <c r="O10" s="4" t="s">
        <v>68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69</v>
      </c>
      <c r="AC10" s="4" t="s">
        <v>46</v>
      </c>
      <c r="AD10" s="5">
        <v>0</v>
      </c>
      <c r="AE10" s="4" t="s">
        <v>70</v>
      </c>
      <c r="AF10" s="3">
        <v>45658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59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46064</v>
      </c>
      <c r="C11" s="4" t="s">
        <v>93</v>
      </c>
      <c r="D11" s="2">
        <v>1466196</v>
      </c>
      <c r="E11" s="4" t="s">
        <v>94</v>
      </c>
      <c r="F11" s="4" t="s">
        <v>95</v>
      </c>
      <c r="G11" s="2">
        <v>683987424</v>
      </c>
      <c r="H11" s="4" t="s">
        <v>96</v>
      </c>
      <c r="I11" s="4" t="s">
        <v>46</v>
      </c>
      <c r="J11" s="4" t="s">
        <v>47</v>
      </c>
      <c r="K11" s="4" t="s">
        <v>48</v>
      </c>
      <c r="L11" s="3">
        <v>46054</v>
      </c>
      <c r="M11" s="4" t="s">
        <v>64</v>
      </c>
      <c r="N11" s="4" t="s">
        <v>46</v>
      </c>
      <c r="O11" s="4" t="s">
        <v>68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1</v>
      </c>
      <c r="W11" s="5">
        <v>0</v>
      </c>
      <c r="X11" s="5">
        <v>100</v>
      </c>
      <c r="Y11" s="5">
        <v>13.75</v>
      </c>
      <c r="Z11" s="4" t="s">
        <v>46</v>
      </c>
      <c r="AA11" s="5" t="s">
        <v>46</v>
      </c>
      <c r="AB11" s="4" t="s">
        <v>69</v>
      </c>
      <c r="AC11" s="4" t="s">
        <v>46</v>
      </c>
      <c r="AD11" s="5">
        <v>0</v>
      </c>
      <c r="AE11" s="4" t="s">
        <v>70</v>
      </c>
      <c r="AF11" s="3">
        <v>44927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46064</v>
      </c>
      <c r="C12" s="4" t="s">
        <v>93</v>
      </c>
      <c r="D12" s="2">
        <v>1466196</v>
      </c>
      <c r="E12" s="4" t="s">
        <v>97</v>
      </c>
      <c r="F12" s="4" t="s">
        <v>98</v>
      </c>
      <c r="G12" s="2">
        <v>933463261</v>
      </c>
      <c r="H12" s="4" t="s">
        <v>99</v>
      </c>
      <c r="I12" s="4" t="s">
        <v>46</v>
      </c>
      <c r="J12" s="4" t="s">
        <v>47</v>
      </c>
      <c r="K12" s="4" t="s">
        <v>48</v>
      </c>
      <c r="L12" s="3">
        <v>46054</v>
      </c>
      <c r="M12" s="4" t="s">
        <v>64</v>
      </c>
      <c r="N12" s="4" t="s">
        <v>46</v>
      </c>
      <c r="O12" s="4" t="s">
        <v>68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69</v>
      </c>
      <c r="AC12" s="4" t="s">
        <v>46</v>
      </c>
      <c r="AD12" s="5">
        <v>0</v>
      </c>
      <c r="AE12" s="4" t="s">
        <v>70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59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46064</v>
      </c>
      <c r="C13" s="4" t="s">
        <v>93</v>
      </c>
      <c r="D13" s="2">
        <v>1466196</v>
      </c>
      <c r="E13" s="4" t="s">
        <v>100</v>
      </c>
      <c r="F13" s="4" t="s">
        <v>101</v>
      </c>
      <c r="G13" s="2">
        <v>825822012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46054</v>
      </c>
      <c r="M13" s="4" t="s">
        <v>64</v>
      </c>
      <c r="N13" s="4" t="s">
        <v>46</v>
      </c>
      <c r="O13" s="4" t="s">
        <v>68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1</v>
      </c>
      <c r="W13" s="5">
        <v>0</v>
      </c>
      <c r="X13" s="5">
        <v>100</v>
      </c>
      <c r="Y13" s="5">
        <v>28.91</v>
      </c>
      <c r="Z13" s="4" t="s">
        <v>46</v>
      </c>
      <c r="AA13" s="5" t="s">
        <v>46</v>
      </c>
      <c r="AB13" s="4" t="s">
        <v>69</v>
      </c>
      <c r="AC13" s="4" t="s">
        <v>46</v>
      </c>
      <c r="AD13" s="5">
        <v>0</v>
      </c>
      <c r="AE13" s="4" t="s">
        <v>70</v>
      </c>
      <c r="AF13" s="3">
        <v>45962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59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46064</v>
      </c>
      <c r="C14" s="4" t="s">
        <v>93</v>
      </c>
      <c r="D14" s="2">
        <v>1466196</v>
      </c>
      <c r="E14" s="4" t="s">
        <v>103</v>
      </c>
      <c r="F14" s="4" t="s">
        <v>104</v>
      </c>
      <c r="G14" s="2">
        <v>742591162</v>
      </c>
      <c r="H14" s="4" t="s">
        <v>105</v>
      </c>
      <c r="I14" s="4" t="s">
        <v>46</v>
      </c>
      <c r="J14" s="4" t="s">
        <v>47</v>
      </c>
      <c r="K14" s="4" t="s">
        <v>48</v>
      </c>
      <c r="L14" s="3">
        <v>46023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80</v>
      </c>
      <c r="U14" s="4" t="s">
        <v>46</v>
      </c>
      <c r="V14" s="5">
        <v>0</v>
      </c>
      <c r="W14" s="5">
        <v>0</v>
      </c>
      <c r="X14" s="5">
        <v>100</v>
      </c>
      <c r="Y14" s="5">
        <v>347</v>
      </c>
      <c r="Z14" s="4" t="s">
        <v>46</v>
      </c>
      <c r="AA14" s="5" t="s">
        <v>46</v>
      </c>
      <c r="AB14" s="4" t="s">
        <v>106</v>
      </c>
      <c r="AC14" s="4" t="s">
        <v>46</v>
      </c>
      <c r="AD14" s="5">
        <v>0</v>
      </c>
      <c r="AE14" s="4" t="s">
        <v>107</v>
      </c>
      <c r="AF14" s="3">
        <v>46023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81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46064</v>
      </c>
      <c r="C15" s="4" t="s">
        <v>93</v>
      </c>
      <c r="D15" s="2">
        <v>1466196</v>
      </c>
      <c r="E15" s="4" t="s">
        <v>103</v>
      </c>
      <c r="F15" s="4" t="s">
        <v>104</v>
      </c>
      <c r="G15" s="2">
        <v>742591162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46023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80</v>
      </c>
      <c r="U15" s="4" t="s">
        <v>46</v>
      </c>
      <c r="V15" s="5">
        <v>1</v>
      </c>
      <c r="W15" s="5">
        <v>0</v>
      </c>
      <c r="X15" s="5">
        <v>100</v>
      </c>
      <c r="Y15" s="5">
        <v>347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46023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81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46064</v>
      </c>
      <c r="C16" s="4" t="s">
        <v>93</v>
      </c>
      <c r="D16" s="2">
        <v>1466196</v>
      </c>
      <c r="E16" s="4" t="s">
        <v>108</v>
      </c>
      <c r="F16" s="4" t="s">
        <v>109</v>
      </c>
      <c r="G16" s="2">
        <v>829963263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46082</v>
      </c>
      <c r="M16" s="4" t="s">
        <v>74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0.83</v>
      </c>
      <c r="W16" s="5">
        <v>0</v>
      </c>
      <c r="X16" s="5">
        <v>100</v>
      </c>
      <c r="Y16" s="5">
        <v>289.17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46082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46064</v>
      </c>
      <c r="C17" s="4" t="s">
        <v>93</v>
      </c>
      <c r="D17" s="2">
        <v>1466196</v>
      </c>
      <c r="E17" s="4" t="s">
        <v>111</v>
      </c>
      <c r="F17" s="4" t="s">
        <v>112</v>
      </c>
      <c r="G17" s="2">
        <v>133941280</v>
      </c>
      <c r="H17" s="4" t="s">
        <v>113</v>
      </c>
      <c r="I17" s="4" t="s">
        <v>46</v>
      </c>
      <c r="J17" s="4" t="s">
        <v>47</v>
      </c>
      <c r="K17" s="4" t="s">
        <v>48</v>
      </c>
      <c r="L17" s="3">
        <v>46082</v>
      </c>
      <c r="M17" s="4" t="s">
        <v>74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0.83</v>
      </c>
      <c r="W17" s="5">
        <v>0</v>
      </c>
      <c r="X17" s="5">
        <v>100</v>
      </c>
      <c r="Y17" s="5">
        <v>289.17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46082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46064</v>
      </c>
      <c r="C18" s="4" t="s">
        <v>114</v>
      </c>
      <c r="D18" s="2">
        <v>1509770</v>
      </c>
      <c r="E18" s="4" t="s">
        <v>115</v>
      </c>
      <c r="F18" s="4" t="s">
        <v>116</v>
      </c>
      <c r="G18" s="2">
        <v>875331574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46054</v>
      </c>
      <c r="M18" s="4" t="s">
        <v>64</v>
      </c>
      <c r="N18" s="4" t="s">
        <v>46</v>
      </c>
      <c r="O18" s="4" t="s">
        <v>68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80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69</v>
      </c>
      <c r="AC18" s="4" t="s">
        <v>46</v>
      </c>
      <c r="AD18" s="5">
        <v>0</v>
      </c>
      <c r="AE18" s="4" t="s">
        <v>70</v>
      </c>
      <c r="AF18" s="3">
        <v>45809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81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46064</v>
      </c>
      <c r="C19" s="4" t="s">
        <v>114</v>
      </c>
      <c r="D19" s="2">
        <v>1509770</v>
      </c>
      <c r="E19" s="4" t="s">
        <v>118</v>
      </c>
      <c r="F19" s="4" t="s">
        <v>119</v>
      </c>
      <c r="G19" s="2">
        <v>267261363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46023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80</v>
      </c>
      <c r="U19" s="4" t="s">
        <v>46</v>
      </c>
      <c r="V19" s="5">
        <v>0.92</v>
      </c>
      <c r="W19" s="5">
        <v>0</v>
      </c>
      <c r="X19" s="5">
        <v>100</v>
      </c>
      <c r="Y19" s="5">
        <v>318.08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46023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81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46064</v>
      </c>
      <c r="C20" s="4" t="s">
        <v>114</v>
      </c>
      <c r="D20" s="2">
        <v>1509770</v>
      </c>
      <c r="E20" s="4" t="s">
        <v>121</v>
      </c>
      <c r="F20" s="4" t="s">
        <v>122</v>
      </c>
      <c r="G20" s="2">
        <v>512364274</v>
      </c>
      <c r="H20" s="4" t="s">
        <v>123</v>
      </c>
      <c r="I20" s="4" t="s">
        <v>46</v>
      </c>
      <c r="J20" s="4" t="s">
        <v>47</v>
      </c>
      <c r="K20" s="4" t="s">
        <v>48</v>
      </c>
      <c r="L20" s="3">
        <v>46054</v>
      </c>
      <c r="M20" s="4" t="s">
        <v>64</v>
      </c>
      <c r="N20" s="4" t="s">
        <v>46</v>
      </c>
      <c r="O20" s="4" t="s">
        <v>68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80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69</v>
      </c>
      <c r="AC20" s="4" t="s">
        <v>46</v>
      </c>
      <c r="AD20" s="5">
        <v>0</v>
      </c>
      <c r="AE20" s="4" t="s">
        <v>70</v>
      </c>
      <c r="AF20" s="3">
        <v>45901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124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46064</v>
      </c>
      <c r="C21" s="4" t="s">
        <v>125</v>
      </c>
      <c r="D21" s="2">
        <v>1510420</v>
      </c>
      <c r="E21" s="4" t="s">
        <v>126</v>
      </c>
      <c r="F21" s="4" t="s">
        <v>127</v>
      </c>
      <c r="G21" s="2">
        <v>180792503</v>
      </c>
      <c r="H21" s="4" t="s">
        <v>128</v>
      </c>
      <c r="I21" s="4" t="s">
        <v>46</v>
      </c>
      <c r="J21" s="4" t="s">
        <v>47</v>
      </c>
      <c r="K21" s="4" t="s">
        <v>48</v>
      </c>
      <c r="L21" s="3">
        <v>46054</v>
      </c>
      <c r="M21" s="4" t="s">
        <v>64</v>
      </c>
      <c r="N21" s="4" t="s">
        <v>46</v>
      </c>
      <c r="O21" s="4" t="s">
        <v>68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69</v>
      </c>
      <c r="AC21" s="4" t="s">
        <v>46</v>
      </c>
      <c r="AD21" s="5">
        <v>0</v>
      </c>
      <c r="AE21" s="4" t="s">
        <v>70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59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46064</v>
      </c>
      <c r="C22" s="4" t="s">
        <v>125</v>
      </c>
      <c r="D22" s="2">
        <v>1510420</v>
      </c>
      <c r="E22" s="4" t="s">
        <v>129</v>
      </c>
      <c r="F22" s="4" t="s">
        <v>130</v>
      </c>
      <c r="G22" s="2">
        <v>484512523</v>
      </c>
      <c r="H22" s="4" t="s">
        <v>131</v>
      </c>
      <c r="I22" s="4" t="s">
        <v>46</v>
      </c>
      <c r="J22" s="4" t="s">
        <v>47</v>
      </c>
      <c r="K22" s="4" t="s">
        <v>48</v>
      </c>
      <c r="L22" s="3">
        <v>46054</v>
      </c>
      <c r="M22" s="4" t="s">
        <v>64</v>
      </c>
      <c r="N22" s="4" t="s">
        <v>46</v>
      </c>
      <c r="O22" s="4" t="s">
        <v>68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69</v>
      </c>
      <c r="AC22" s="4" t="s">
        <v>46</v>
      </c>
      <c r="AD22" s="5">
        <v>0</v>
      </c>
      <c r="AE22" s="4" t="s">
        <v>70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59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46064</v>
      </c>
      <c r="C23" s="4" t="s">
        <v>125</v>
      </c>
      <c r="D23" s="2">
        <v>1510420</v>
      </c>
      <c r="E23" s="4" t="s">
        <v>132</v>
      </c>
      <c r="F23" s="4" t="s">
        <v>133</v>
      </c>
      <c r="G23" s="2">
        <v>648514474</v>
      </c>
      <c r="H23" s="4" t="s">
        <v>134</v>
      </c>
      <c r="I23" s="4" t="s">
        <v>46</v>
      </c>
      <c r="J23" s="4" t="s">
        <v>47</v>
      </c>
      <c r="K23" s="4" t="s">
        <v>48</v>
      </c>
      <c r="L23" s="3">
        <v>46054</v>
      </c>
      <c r="M23" s="4" t="s">
        <v>64</v>
      </c>
      <c r="N23" s="4" t="s">
        <v>46</v>
      </c>
      <c r="O23" s="4" t="s">
        <v>68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69</v>
      </c>
      <c r="AC23" s="4" t="s">
        <v>46</v>
      </c>
      <c r="AD23" s="5">
        <v>0</v>
      </c>
      <c r="AE23" s="4" t="s">
        <v>70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59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46064</v>
      </c>
      <c r="C24" s="4" t="s">
        <v>125</v>
      </c>
      <c r="D24" s="2">
        <v>1510420</v>
      </c>
      <c r="E24" s="4" t="s">
        <v>135</v>
      </c>
      <c r="F24" s="4" t="s">
        <v>136</v>
      </c>
      <c r="G24" s="2">
        <v>695663240</v>
      </c>
      <c r="H24" s="4" t="s">
        <v>137</v>
      </c>
      <c r="I24" s="4" t="s">
        <v>46</v>
      </c>
      <c r="J24" s="4" t="s">
        <v>47</v>
      </c>
      <c r="K24" s="4" t="s">
        <v>48</v>
      </c>
      <c r="L24" s="3">
        <v>46054</v>
      </c>
      <c r="M24" s="4" t="s">
        <v>64</v>
      </c>
      <c r="N24" s="4" t="s">
        <v>46</v>
      </c>
      <c r="O24" s="4" t="s">
        <v>68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69</v>
      </c>
      <c r="AC24" s="4" t="s">
        <v>46</v>
      </c>
      <c r="AD24" s="5">
        <v>0</v>
      </c>
      <c r="AE24" s="4" t="s">
        <v>70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59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46064</v>
      </c>
      <c r="C25" s="4" t="s">
        <v>125</v>
      </c>
      <c r="D25" s="2">
        <v>1510420</v>
      </c>
      <c r="E25" s="4" t="s">
        <v>138</v>
      </c>
      <c r="F25" s="4" t="s">
        <v>139</v>
      </c>
      <c r="G25" s="2">
        <v>561813514</v>
      </c>
      <c r="H25" s="4" t="s">
        <v>140</v>
      </c>
      <c r="I25" s="4" t="s">
        <v>46</v>
      </c>
      <c r="J25" s="4" t="s">
        <v>47</v>
      </c>
      <c r="K25" s="4" t="s">
        <v>48</v>
      </c>
      <c r="L25" s="3">
        <v>46054</v>
      </c>
      <c r="M25" s="4" t="s">
        <v>64</v>
      </c>
      <c r="N25" s="4" t="s">
        <v>46</v>
      </c>
      <c r="O25" s="4" t="s">
        <v>68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80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69</v>
      </c>
      <c r="AC25" s="4" t="s">
        <v>46</v>
      </c>
      <c r="AD25" s="5">
        <v>0</v>
      </c>
      <c r="AE25" s="4" t="s">
        <v>70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81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46064</v>
      </c>
      <c r="C26" s="4" t="s">
        <v>125</v>
      </c>
      <c r="D26" s="2">
        <v>1510420</v>
      </c>
      <c r="E26" s="4" t="s">
        <v>141</v>
      </c>
      <c r="F26" s="4" t="s">
        <v>142</v>
      </c>
      <c r="G26" s="2">
        <v>474701385</v>
      </c>
      <c r="H26" s="4" t="s">
        <v>143</v>
      </c>
      <c r="I26" s="4" t="s">
        <v>46</v>
      </c>
      <c r="J26" s="4" t="s">
        <v>47</v>
      </c>
      <c r="K26" s="4" t="s">
        <v>48</v>
      </c>
      <c r="L26" s="3">
        <v>46054</v>
      </c>
      <c r="M26" s="4" t="s">
        <v>64</v>
      </c>
      <c r="N26" s="4" t="s">
        <v>46</v>
      </c>
      <c r="O26" s="4" t="s">
        <v>68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69</v>
      </c>
      <c r="AC26" s="4" t="s">
        <v>46</v>
      </c>
      <c r="AD26" s="5">
        <v>0</v>
      </c>
      <c r="AE26" s="4" t="s">
        <v>70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59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46064</v>
      </c>
      <c r="C27" s="4" t="s">
        <v>125</v>
      </c>
      <c r="D27" s="2">
        <v>1510420</v>
      </c>
      <c r="E27" s="4" t="s">
        <v>144</v>
      </c>
      <c r="F27" s="4" t="s">
        <v>145</v>
      </c>
      <c r="G27" s="2">
        <v>373633122</v>
      </c>
      <c r="H27" s="4" t="s">
        <v>146</v>
      </c>
      <c r="I27" s="4" t="s">
        <v>46</v>
      </c>
      <c r="J27" s="4" t="s">
        <v>47</v>
      </c>
      <c r="K27" s="4" t="s">
        <v>48</v>
      </c>
      <c r="L27" s="3">
        <v>46054</v>
      </c>
      <c r="M27" s="4" t="s">
        <v>64</v>
      </c>
      <c r="N27" s="4" t="s">
        <v>46</v>
      </c>
      <c r="O27" s="4" t="s">
        <v>68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80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69</v>
      </c>
      <c r="AC27" s="4" t="s">
        <v>46</v>
      </c>
      <c r="AD27" s="5">
        <v>0</v>
      </c>
      <c r="AE27" s="4" t="s">
        <v>70</v>
      </c>
      <c r="AF27" s="3">
        <v>45748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81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46064</v>
      </c>
      <c r="C28" s="4" t="s">
        <v>147</v>
      </c>
      <c r="D28" s="2">
        <v>1535078</v>
      </c>
      <c r="E28" s="4" t="s">
        <v>148</v>
      </c>
      <c r="F28" s="4" t="s">
        <v>149</v>
      </c>
      <c r="G28" s="2">
        <v>846845512</v>
      </c>
      <c r="H28" s="4" t="s">
        <v>150</v>
      </c>
      <c r="I28" s="4" t="s">
        <v>46</v>
      </c>
      <c r="J28" s="4" t="s">
        <v>47</v>
      </c>
      <c r="K28" s="4" t="s">
        <v>48</v>
      </c>
      <c r="L28" s="3">
        <v>46054</v>
      </c>
      <c r="M28" s="4" t="s">
        <v>64</v>
      </c>
      <c r="N28" s="4" t="s">
        <v>46</v>
      </c>
      <c r="O28" s="4" t="s">
        <v>68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80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69</v>
      </c>
      <c r="AC28" s="4" t="s">
        <v>46</v>
      </c>
      <c r="AD28" s="5">
        <v>0</v>
      </c>
      <c r="AE28" s="4" t="s">
        <v>70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81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46064</v>
      </c>
      <c r="C29" s="4" t="s">
        <v>151</v>
      </c>
      <c r="D29" s="2">
        <v>1573279</v>
      </c>
      <c r="E29" s="4" t="s">
        <v>152</v>
      </c>
      <c r="F29" s="4" t="s">
        <v>153</v>
      </c>
      <c r="G29" s="2">
        <v>503711112</v>
      </c>
      <c r="H29" s="4" t="s">
        <v>154</v>
      </c>
      <c r="I29" s="4" t="s">
        <v>46</v>
      </c>
      <c r="J29" s="4" t="s">
        <v>47</v>
      </c>
      <c r="K29" s="4" t="s">
        <v>48</v>
      </c>
      <c r="L29" s="3">
        <v>46054</v>
      </c>
      <c r="M29" s="4" t="s">
        <v>64</v>
      </c>
      <c r="N29" s="4" t="s">
        <v>46</v>
      </c>
      <c r="O29" s="4" t="s">
        <v>68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80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69</v>
      </c>
      <c r="AC29" s="4" t="s">
        <v>46</v>
      </c>
      <c r="AD29" s="5">
        <v>0</v>
      </c>
      <c r="AE29" s="4" t="s">
        <v>70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81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46064</v>
      </c>
      <c r="C30" s="4" t="s">
        <v>151</v>
      </c>
      <c r="D30" s="2">
        <v>1573279</v>
      </c>
      <c r="E30" s="4" t="s">
        <v>155</v>
      </c>
      <c r="F30" s="4" t="s">
        <v>156</v>
      </c>
      <c r="G30" s="2">
        <v>157849064</v>
      </c>
      <c r="H30" s="4" t="s">
        <v>157</v>
      </c>
      <c r="I30" s="4" t="s">
        <v>46</v>
      </c>
      <c r="J30" s="4" t="s">
        <v>47</v>
      </c>
      <c r="K30" s="4" t="s">
        <v>48</v>
      </c>
      <c r="L30" s="3">
        <v>46054</v>
      </c>
      <c r="M30" s="4" t="s">
        <v>64</v>
      </c>
      <c r="N30" s="4" t="s">
        <v>46</v>
      </c>
      <c r="O30" s="4" t="s">
        <v>68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80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69</v>
      </c>
      <c r="AC30" s="4" t="s">
        <v>46</v>
      </c>
      <c r="AD30" s="5">
        <v>0</v>
      </c>
      <c r="AE30" s="4" t="s">
        <v>70</v>
      </c>
      <c r="AF30" s="3">
        <v>45931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81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46064</v>
      </c>
      <c r="C31" s="4" t="s">
        <v>151</v>
      </c>
      <c r="D31" s="2">
        <v>1573279</v>
      </c>
      <c r="E31" s="4" t="s">
        <v>158</v>
      </c>
      <c r="F31" s="4" t="s">
        <v>159</v>
      </c>
      <c r="G31" s="2">
        <v>526050153</v>
      </c>
      <c r="H31" s="4" t="s">
        <v>160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74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0.83</v>
      </c>
      <c r="W31" s="5">
        <v>0</v>
      </c>
      <c r="X31" s="5">
        <v>100</v>
      </c>
      <c r="Y31" s="5">
        <v>289.17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46082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46064</v>
      </c>
      <c r="C32" s="4" t="s">
        <v>161</v>
      </c>
      <c r="D32" s="2">
        <v>1593325</v>
      </c>
      <c r="E32" s="4" t="s">
        <v>162</v>
      </c>
      <c r="F32" s="4" t="s">
        <v>163</v>
      </c>
      <c r="G32" s="2">
        <v>733689064</v>
      </c>
      <c r="H32" s="4" t="s">
        <v>164</v>
      </c>
      <c r="I32" s="4" t="s">
        <v>46</v>
      </c>
      <c r="J32" s="4" t="s">
        <v>47</v>
      </c>
      <c r="K32" s="4" t="s">
        <v>48</v>
      </c>
      <c r="L32" s="3">
        <v>46082</v>
      </c>
      <c r="M32" s="4" t="s">
        <v>74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0.83</v>
      </c>
      <c r="W32" s="5">
        <v>0</v>
      </c>
      <c r="X32" s="5">
        <v>100</v>
      </c>
      <c r="Y32" s="5">
        <v>289.17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46082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46064</v>
      </c>
      <c r="C33" s="4" t="s">
        <v>165</v>
      </c>
      <c r="D33" s="2">
        <v>1626475</v>
      </c>
      <c r="E33" s="4" t="s">
        <v>166</v>
      </c>
      <c r="F33" s="4" t="s">
        <v>167</v>
      </c>
      <c r="G33" s="2">
        <v>664472343</v>
      </c>
      <c r="H33" s="4" t="s">
        <v>168</v>
      </c>
      <c r="I33" s="4" t="s">
        <v>46</v>
      </c>
      <c r="J33" s="4" t="s">
        <v>47</v>
      </c>
      <c r="K33" s="4" t="s">
        <v>48</v>
      </c>
      <c r="L33" s="3">
        <v>46054</v>
      </c>
      <c r="M33" s="4" t="s">
        <v>64</v>
      </c>
      <c r="N33" s="4" t="s">
        <v>46</v>
      </c>
      <c r="O33" s="4" t="s">
        <v>68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1</v>
      </c>
      <c r="W33" s="5">
        <v>0</v>
      </c>
      <c r="X33" s="5">
        <v>100</v>
      </c>
      <c r="Y33" s="5">
        <v>28.91</v>
      </c>
      <c r="Z33" s="4" t="s">
        <v>46</v>
      </c>
      <c r="AA33" s="5" t="s">
        <v>46</v>
      </c>
      <c r="AB33" s="4" t="s">
        <v>69</v>
      </c>
      <c r="AC33" s="4" t="s">
        <v>46</v>
      </c>
      <c r="AD33" s="5">
        <v>0</v>
      </c>
      <c r="AE33" s="4" t="s">
        <v>70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59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46064</v>
      </c>
      <c r="C34" s="4" t="s">
        <v>165</v>
      </c>
      <c r="D34" s="2">
        <v>1626475</v>
      </c>
      <c r="E34" s="4" t="s">
        <v>169</v>
      </c>
      <c r="F34" s="4" t="s">
        <v>170</v>
      </c>
      <c r="G34" s="2">
        <v>318733013</v>
      </c>
      <c r="H34" s="4" t="s">
        <v>171</v>
      </c>
      <c r="I34" s="4" t="s">
        <v>46</v>
      </c>
      <c r="J34" s="4" t="s">
        <v>47</v>
      </c>
      <c r="K34" s="4" t="s">
        <v>48</v>
      </c>
      <c r="L34" s="3">
        <v>46054</v>
      </c>
      <c r="M34" s="4" t="s">
        <v>64</v>
      </c>
      <c r="N34" s="4" t="s">
        <v>46</v>
      </c>
      <c r="O34" s="4" t="s">
        <v>68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80</v>
      </c>
      <c r="U34" s="4" t="s">
        <v>46</v>
      </c>
      <c r="V34" s="5">
        <v>1</v>
      </c>
      <c r="W34" s="5">
        <v>0</v>
      </c>
      <c r="X34" s="5">
        <v>100</v>
      </c>
      <c r="Y34" s="5">
        <v>28.91</v>
      </c>
      <c r="Z34" s="4" t="s">
        <v>46</v>
      </c>
      <c r="AA34" s="5" t="s">
        <v>46</v>
      </c>
      <c r="AB34" s="4" t="s">
        <v>69</v>
      </c>
      <c r="AC34" s="4" t="s">
        <v>46</v>
      </c>
      <c r="AD34" s="5">
        <v>0</v>
      </c>
      <c r="AE34" s="4" t="s">
        <v>70</v>
      </c>
      <c r="AF34" s="3">
        <v>45689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81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46064</v>
      </c>
      <c r="C35" s="4" t="s">
        <v>172</v>
      </c>
      <c r="D35" s="2">
        <v>1639670</v>
      </c>
      <c r="E35" s="4" t="s">
        <v>173</v>
      </c>
      <c r="F35" s="4" t="s">
        <v>174</v>
      </c>
      <c r="G35" s="2">
        <v>467436173</v>
      </c>
      <c r="H35" s="4" t="s">
        <v>175</v>
      </c>
      <c r="I35" s="4" t="s">
        <v>46</v>
      </c>
      <c r="J35" s="4" t="s">
        <v>47</v>
      </c>
      <c r="K35" s="4" t="s">
        <v>48</v>
      </c>
      <c r="L35" s="3">
        <v>46054</v>
      </c>
      <c r="M35" s="4" t="s">
        <v>64</v>
      </c>
      <c r="N35" s="4" t="s">
        <v>46</v>
      </c>
      <c r="O35" s="4" t="s">
        <v>68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80</v>
      </c>
      <c r="U35" s="4" t="s">
        <v>46</v>
      </c>
      <c r="V35" s="5">
        <v>1</v>
      </c>
      <c r="W35" s="5">
        <v>0</v>
      </c>
      <c r="X35" s="5">
        <v>100</v>
      </c>
      <c r="Y35" s="5">
        <v>28.91</v>
      </c>
      <c r="Z35" s="4" t="s">
        <v>46</v>
      </c>
      <c r="AA35" s="5" t="s">
        <v>46</v>
      </c>
      <c r="AB35" s="4" t="s">
        <v>69</v>
      </c>
      <c r="AC35" s="4" t="s">
        <v>46</v>
      </c>
      <c r="AD35" s="5">
        <v>0</v>
      </c>
      <c r="AE35" s="4" t="s">
        <v>70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81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46064</v>
      </c>
      <c r="C36" s="4" t="s">
        <v>172</v>
      </c>
      <c r="D36" s="2">
        <v>1639670</v>
      </c>
      <c r="E36" s="4" t="s">
        <v>176</v>
      </c>
      <c r="F36" s="4" t="s">
        <v>177</v>
      </c>
      <c r="G36" s="2">
        <v>466008042</v>
      </c>
      <c r="H36" s="4" t="s">
        <v>178</v>
      </c>
      <c r="I36" s="4" t="s">
        <v>46</v>
      </c>
      <c r="J36" s="4" t="s">
        <v>47</v>
      </c>
      <c r="K36" s="4" t="s">
        <v>48</v>
      </c>
      <c r="L36" s="3">
        <v>46082</v>
      </c>
      <c r="M36" s="4" t="s">
        <v>74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0.83</v>
      </c>
      <c r="W36" s="5">
        <v>0</v>
      </c>
      <c r="X36" s="5">
        <v>100</v>
      </c>
      <c r="Y36" s="5">
        <v>289.17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46082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46064</v>
      </c>
      <c r="C37" s="4" t="s">
        <v>179</v>
      </c>
      <c r="D37" s="2">
        <v>1646082</v>
      </c>
      <c r="E37" s="4" t="s">
        <v>180</v>
      </c>
      <c r="F37" s="4" t="s">
        <v>181</v>
      </c>
      <c r="G37" s="2">
        <v>685205553</v>
      </c>
      <c r="H37" s="4" t="s">
        <v>182</v>
      </c>
      <c r="I37" s="4" t="s">
        <v>46</v>
      </c>
      <c r="J37" s="4" t="s">
        <v>47</v>
      </c>
      <c r="K37" s="4" t="s">
        <v>48</v>
      </c>
      <c r="L37" s="3">
        <v>46054</v>
      </c>
      <c r="M37" s="4" t="s">
        <v>64</v>
      </c>
      <c r="N37" s="4" t="s">
        <v>46</v>
      </c>
      <c r="O37" s="4" t="s">
        <v>68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1</v>
      </c>
      <c r="W37" s="5">
        <v>0</v>
      </c>
      <c r="X37" s="5">
        <v>100</v>
      </c>
      <c r="Y37" s="5">
        <v>28.91</v>
      </c>
      <c r="Z37" s="4" t="s">
        <v>46</v>
      </c>
      <c r="AA37" s="5" t="s">
        <v>46</v>
      </c>
      <c r="AB37" s="4" t="s">
        <v>69</v>
      </c>
      <c r="AC37" s="4" t="s">
        <v>46</v>
      </c>
      <c r="AD37" s="5">
        <v>0</v>
      </c>
      <c r="AE37" s="4" t="s">
        <v>70</v>
      </c>
      <c r="AF37" s="3">
        <v>45536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59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46064</v>
      </c>
      <c r="C38" s="4" t="s">
        <v>179</v>
      </c>
      <c r="D38" s="2">
        <v>1646082</v>
      </c>
      <c r="E38" s="4" t="s">
        <v>183</v>
      </c>
      <c r="F38" s="4" t="s">
        <v>184</v>
      </c>
      <c r="G38" s="2">
        <v>707343471</v>
      </c>
      <c r="H38" s="4" t="s">
        <v>185</v>
      </c>
      <c r="I38" s="4" t="s">
        <v>46</v>
      </c>
      <c r="J38" s="4" t="s">
        <v>47</v>
      </c>
      <c r="K38" s="4" t="s">
        <v>48</v>
      </c>
      <c r="L38" s="3">
        <v>46054</v>
      </c>
      <c r="M38" s="4" t="s">
        <v>64</v>
      </c>
      <c r="N38" s="4" t="s">
        <v>46</v>
      </c>
      <c r="O38" s="4" t="s">
        <v>68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80</v>
      </c>
      <c r="U38" s="4" t="s">
        <v>46</v>
      </c>
      <c r="V38" s="5">
        <v>1</v>
      </c>
      <c r="W38" s="5">
        <v>0</v>
      </c>
      <c r="X38" s="5">
        <v>100</v>
      </c>
      <c r="Y38" s="5">
        <v>28.91</v>
      </c>
      <c r="Z38" s="4" t="s">
        <v>46</v>
      </c>
      <c r="AA38" s="5" t="s">
        <v>46</v>
      </c>
      <c r="AB38" s="4" t="s">
        <v>69</v>
      </c>
      <c r="AC38" s="4" t="s">
        <v>46</v>
      </c>
      <c r="AD38" s="5">
        <v>0</v>
      </c>
      <c r="AE38" s="4" t="s">
        <v>70</v>
      </c>
      <c r="AF38" s="3">
        <v>45809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81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46064</v>
      </c>
      <c r="C39" s="4" t="s">
        <v>179</v>
      </c>
      <c r="D39" s="2">
        <v>1646082</v>
      </c>
      <c r="E39" s="4" t="s">
        <v>186</v>
      </c>
      <c r="F39" s="4" t="s">
        <v>187</v>
      </c>
      <c r="G39" s="2">
        <v>748697192</v>
      </c>
      <c r="H39" s="4" t="s">
        <v>188</v>
      </c>
      <c r="I39" s="4" t="s">
        <v>46</v>
      </c>
      <c r="J39" s="4" t="s">
        <v>47</v>
      </c>
      <c r="K39" s="4" t="s">
        <v>48</v>
      </c>
      <c r="L39" s="3">
        <v>46054</v>
      </c>
      <c r="M39" s="4" t="s">
        <v>64</v>
      </c>
      <c r="N39" s="4" t="s">
        <v>46</v>
      </c>
      <c r="O39" s="4" t="s">
        <v>68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1</v>
      </c>
      <c r="W39" s="5">
        <v>0</v>
      </c>
      <c r="X39" s="5">
        <v>100</v>
      </c>
      <c r="Y39" s="5">
        <v>28.91</v>
      </c>
      <c r="Z39" s="4" t="s">
        <v>46</v>
      </c>
      <c r="AA39" s="5" t="s">
        <v>46</v>
      </c>
      <c r="AB39" s="4" t="s">
        <v>69</v>
      </c>
      <c r="AC39" s="4" t="s">
        <v>46</v>
      </c>
      <c r="AD39" s="5">
        <v>0</v>
      </c>
      <c r="AE39" s="4" t="s">
        <v>70</v>
      </c>
      <c r="AF39" s="3">
        <v>45901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59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46064</v>
      </c>
      <c r="C40" s="4" t="s">
        <v>189</v>
      </c>
      <c r="D40" s="2">
        <v>1673202</v>
      </c>
      <c r="E40" s="4" t="s">
        <v>190</v>
      </c>
      <c r="F40" s="4" t="s">
        <v>191</v>
      </c>
      <c r="G40" s="2">
        <v>997195544</v>
      </c>
      <c r="H40" s="4" t="s">
        <v>192</v>
      </c>
      <c r="I40" s="4" t="s">
        <v>46</v>
      </c>
      <c r="J40" s="4" t="s">
        <v>47</v>
      </c>
      <c r="K40" s="4" t="s">
        <v>48</v>
      </c>
      <c r="L40" s="3">
        <v>46023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</v>
      </c>
      <c r="W40" s="5">
        <v>0</v>
      </c>
      <c r="X40" s="5">
        <v>100</v>
      </c>
      <c r="Y40" s="5">
        <v>-318.08999999999997</v>
      </c>
      <c r="Z40" s="4" t="s">
        <v>46</v>
      </c>
      <c r="AA40" s="5" t="s">
        <v>46</v>
      </c>
      <c r="AB40" s="4" t="s">
        <v>106</v>
      </c>
      <c r="AC40" s="4" t="s">
        <v>46</v>
      </c>
      <c r="AD40" s="5">
        <v>0</v>
      </c>
      <c r="AE40" s="4" t="s">
        <v>107</v>
      </c>
      <c r="AF40" s="3">
        <v>46023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46064</v>
      </c>
      <c r="C41" s="4" t="s">
        <v>189</v>
      </c>
      <c r="D41" s="2">
        <v>1673202</v>
      </c>
      <c r="E41" s="4" t="s">
        <v>190</v>
      </c>
      <c r="F41" s="4" t="s">
        <v>191</v>
      </c>
      <c r="G41" s="2">
        <v>997195544</v>
      </c>
      <c r="H41" s="4" t="s">
        <v>192</v>
      </c>
      <c r="I41" s="4" t="s">
        <v>46</v>
      </c>
      <c r="J41" s="4" t="s">
        <v>47</v>
      </c>
      <c r="K41" s="4" t="s">
        <v>48</v>
      </c>
      <c r="L41" s="3">
        <v>46023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-0.92</v>
      </c>
      <c r="W41" s="5">
        <v>0</v>
      </c>
      <c r="X41" s="5">
        <v>100</v>
      </c>
      <c r="Y41" s="5">
        <v>-318.08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46064</v>
      </c>
      <c r="C42" s="4" t="s">
        <v>193</v>
      </c>
      <c r="D42" s="2">
        <v>1703942</v>
      </c>
      <c r="E42" s="4" t="s">
        <v>194</v>
      </c>
      <c r="F42" s="4" t="s">
        <v>195</v>
      </c>
      <c r="G42" s="2">
        <v>465058051</v>
      </c>
      <c r="H42" s="4" t="s">
        <v>196</v>
      </c>
      <c r="I42" s="4" t="s">
        <v>46</v>
      </c>
      <c r="J42" s="4" t="s">
        <v>47</v>
      </c>
      <c r="K42" s="4" t="s">
        <v>48</v>
      </c>
      <c r="L42" s="3">
        <v>46054</v>
      </c>
      <c r="M42" s="4" t="s">
        <v>64</v>
      </c>
      <c r="N42" s="4" t="s">
        <v>46</v>
      </c>
      <c r="O42" s="4" t="s">
        <v>68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1</v>
      </c>
      <c r="W42" s="5">
        <v>0</v>
      </c>
      <c r="X42" s="5">
        <v>100</v>
      </c>
      <c r="Y42" s="5">
        <v>28.91</v>
      </c>
      <c r="Z42" s="4" t="s">
        <v>46</v>
      </c>
      <c r="AA42" s="5" t="s">
        <v>46</v>
      </c>
      <c r="AB42" s="4" t="s">
        <v>69</v>
      </c>
      <c r="AC42" s="4" t="s">
        <v>46</v>
      </c>
      <c r="AD42" s="5">
        <v>0</v>
      </c>
      <c r="AE42" s="4" t="s">
        <v>70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59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46064</v>
      </c>
      <c r="C43" s="4" t="s">
        <v>193</v>
      </c>
      <c r="D43" s="2">
        <v>1703942</v>
      </c>
      <c r="E43" s="4" t="s">
        <v>197</v>
      </c>
      <c r="F43" s="4" t="s">
        <v>198</v>
      </c>
      <c r="G43" s="2">
        <v>474886235</v>
      </c>
      <c r="H43" s="4" t="s">
        <v>199</v>
      </c>
      <c r="I43" s="4" t="s">
        <v>46</v>
      </c>
      <c r="J43" s="4" t="s">
        <v>47</v>
      </c>
      <c r="K43" s="4" t="s">
        <v>48</v>
      </c>
      <c r="L43" s="3">
        <v>46082</v>
      </c>
      <c r="M43" s="4" t="s">
        <v>74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0.83</v>
      </c>
      <c r="W43" s="5">
        <v>0</v>
      </c>
      <c r="X43" s="5">
        <v>100</v>
      </c>
      <c r="Y43" s="5">
        <v>289.17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46082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46064</v>
      </c>
      <c r="C44" s="4" t="s">
        <v>193</v>
      </c>
      <c r="D44" s="2">
        <v>1703942</v>
      </c>
      <c r="E44" s="4" t="s">
        <v>200</v>
      </c>
      <c r="F44" s="4" t="s">
        <v>201</v>
      </c>
      <c r="G44" s="2">
        <v>736201404</v>
      </c>
      <c r="H44" s="4" t="s">
        <v>202</v>
      </c>
      <c r="I44" s="4" t="s">
        <v>46</v>
      </c>
      <c r="J44" s="4" t="s">
        <v>47</v>
      </c>
      <c r="K44" s="4" t="s">
        <v>48</v>
      </c>
      <c r="L44" s="3">
        <v>46082</v>
      </c>
      <c r="M44" s="4" t="s">
        <v>74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80</v>
      </c>
      <c r="U44" s="4" t="s">
        <v>46</v>
      </c>
      <c r="V44" s="5">
        <v>0.83</v>
      </c>
      <c r="W44" s="5">
        <v>0</v>
      </c>
      <c r="X44" s="5">
        <v>100</v>
      </c>
      <c r="Y44" s="5">
        <v>289.17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46082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85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46064</v>
      </c>
      <c r="C45" s="4" t="s">
        <v>193</v>
      </c>
      <c r="D45" s="2">
        <v>1703942</v>
      </c>
      <c r="E45" s="4" t="s">
        <v>203</v>
      </c>
      <c r="F45" s="4" t="s">
        <v>204</v>
      </c>
      <c r="G45" s="2">
        <v>833483165</v>
      </c>
      <c r="H45" s="4" t="s">
        <v>205</v>
      </c>
      <c r="I45" s="4" t="s">
        <v>46</v>
      </c>
      <c r="J45" s="4" t="s">
        <v>47</v>
      </c>
      <c r="K45" s="4" t="s">
        <v>48</v>
      </c>
      <c r="L45" s="3">
        <v>46054</v>
      </c>
      <c r="M45" s="4" t="s">
        <v>64</v>
      </c>
      <c r="N45" s="4" t="s">
        <v>46</v>
      </c>
      <c r="O45" s="4" t="s">
        <v>68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69</v>
      </c>
      <c r="AC45" s="4" t="s">
        <v>46</v>
      </c>
      <c r="AD45" s="5">
        <v>0</v>
      </c>
      <c r="AE45" s="4" t="s">
        <v>70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59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46064</v>
      </c>
      <c r="C46" s="4" t="s">
        <v>193</v>
      </c>
      <c r="D46" s="2">
        <v>1703942</v>
      </c>
      <c r="E46" s="4" t="s">
        <v>206</v>
      </c>
      <c r="F46" s="4" t="s">
        <v>207</v>
      </c>
      <c r="G46" s="2">
        <v>978091275</v>
      </c>
      <c r="H46" s="4" t="s">
        <v>208</v>
      </c>
      <c r="I46" s="4" t="s">
        <v>46</v>
      </c>
      <c r="J46" s="4" t="s">
        <v>47</v>
      </c>
      <c r="K46" s="4" t="s">
        <v>48</v>
      </c>
      <c r="L46" s="3">
        <v>46082</v>
      </c>
      <c r="M46" s="4" t="s">
        <v>74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52</v>
      </c>
      <c r="U46" s="4" t="s">
        <v>46</v>
      </c>
      <c r="V46" s="5">
        <v>0.83</v>
      </c>
      <c r="W46" s="5">
        <v>0</v>
      </c>
      <c r="X46" s="5">
        <v>100</v>
      </c>
      <c r="Y46" s="5">
        <v>289.17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46082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55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46064</v>
      </c>
      <c r="C47" s="4" t="s">
        <v>193</v>
      </c>
      <c r="D47" s="2">
        <v>1703942</v>
      </c>
      <c r="E47" s="4" t="s">
        <v>209</v>
      </c>
      <c r="F47" s="4" t="s">
        <v>210</v>
      </c>
      <c r="G47" s="2">
        <v>742126163</v>
      </c>
      <c r="H47" s="4" t="s">
        <v>211</v>
      </c>
      <c r="I47" s="4" t="s">
        <v>46</v>
      </c>
      <c r="J47" s="4" t="s">
        <v>47</v>
      </c>
      <c r="K47" s="4" t="s">
        <v>48</v>
      </c>
      <c r="L47" s="3">
        <v>46054</v>
      </c>
      <c r="M47" s="4" t="s">
        <v>64</v>
      </c>
      <c r="N47" s="4" t="s">
        <v>46</v>
      </c>
      <c r="O47" s="4" t="s">
        <v>68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80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69</v>
      </c>
      <c r="AC47" s="4" t="s">
        <v>46</v>
      </c>
      <c r="AD47" s="5">
        <v>0</v>
      </c>
      <c r="AE47" s="4" t="s">
        <v>70</v>
      </c>
      <c r="AF47" s="3">
        <v>45748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81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46064</v>
      </c>
      <c r="C48" s="4" t="s">
        <v>193</v>
      </c>
      <c r="D48" s="2">
        <v>1703942</v>
      </c>
      <c r="E48" s="4" t="s">
        <v>212</v>
      </c>
      <c r="F48" s="4" t="s">
        <v>213</v>
      </c>
      <c r="G48" s="2">
        <v>61538483</v>
      </c>
      <c r="H48" s="4" t="s">
        <v>214</v>
      </c>
      <c r="I48" s="4" t="s">
        <v>46</v>
      </c>
      <c r="J48" s="4" t="s">
        <v>47</v>
      </c>
      <c r="K48" s="4" t="s">
        <v>48</v>
      </c>
      <c r="L48" s="3">
        <v>46023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0</v>
      </c>
      <c r="W48" s="5">
        <v>0</v>
      </c>
      <c r="X48" s="5">
        <v>100</v>
      </c>
      <c r="Y48" s="5">
        <v>318.08999999999997</v>
      </c>
      <c r="Z48" s="4" t="s">
        <v>46</v>
      </c>
      <c r="AA48" s="5" t="s">
        <v>46</v>
      </c>
      <c r="AB48" s="4" t="s">
        <v>106</v>
      </c>
      <c r="AC48" s="4" t="s">
        <v>46</v>
      </c>
      <c r="AD48" s="5">
        <v>0</v>
      </c>
      <c r="AE48" s="4" t="s">
        <v>107</v>
      </c>
      <c r="AF48" s="3">
        <v>46023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55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46064</v>
      </c>
      <c r="C49" s="4" t="s">
        <v>193</v>
      </c>
      <c r="D49" s="2">
        <v>1703942</v>
      </c>
      <c r="E49" s="4" t="s">
        <v>212</v>
      </c>
      <c r="F49" s="4" t="s">
        <v>213</v>
      </c>
      <c r="G49" s="2">
        <v>61538483</v>
      </c>
      <c r="H49" s="4" t="s">
        <v>214</v>
      </c>
      <c r="I49" s="4" t="s">
        <v>46</v>
      </c>
      <c r="J49" s="4" t="s">
        <v>47</v>
      </c>
      <c r="K49" s="4" t="s">
        <v>48</v>
      </c>
      <c r="L49" s="3">
        <v>46023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0.92</v>
      </c>
      <c r="W49" s="5">
        <v>0</v>
      </c>
      <c r="X49" s="5">
        <v>100</v>
      </c>
      <c r="Y49" s="5">
        <v>318.08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46023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46064</v>
      </c>
      <c r="C50" s="4" t="s">
        <v>193</v>
      </c>
      <c r="D50" s="2">
        <v>1703942</v>
      </c>
      <c r="E50" s="4" t="s">
        <v>215</v>
      </c>
      <c r="F50" s="4" t="s">
        <v>216</v>
      </c>
      <c r="G50" s="2">
        <v>757715430</v>
      </c>
      <c r="H50" s="4" t="s">
        <v>217</v>
      </c>
      <c r="I50" s="4" t="s">
        <v>46</v>
      </c>
      <c r="J50" s="4" t="s">
        <v>47</v>
      </c>
      <c r="K50" s="4" t="s">
        <v>48</v>
      </c>
      <c r="L50" s="3">
        <v>46082</v>
      </c>
      <c r="M50" s="4" t="s">
        <v>74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80</v>
      </c>
      <c r="U50" s="4" t="s">
        <v>46</v>
      </c>
      <c r="V50" s="5">
        <v>0.83</v>
      </c>
      <c r="W50" s="5">
        <v>0</v>
      </c>
      <c r="X50" s="5">
        <v>100</v>
      </c>
      <c r="Y50" s="5">
        <v>289.17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46082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218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46064</v>
      </c>
      <c r="C51" s="4" t="s">
        <v>193</v>
      </c>
      <c r="D51" s="2">
        <v>1703942</v>
      </c>
      <c r="E51" s="4" t="s">
        <v>219</v>
      </c>
      <c r="F51" s="4" t="s">
        <v>220</v>
      </c>
      <c r="G51" s="2">
        <v>470289504</v>
      </c>
      <c r="H51" s="4" t="s">
        <v>221</v>
      </c>
      <c r="I51" s="4" t="s">
        <v>46</v>
      </c>
      <c r="J51" s="4" t="s">
        <v>47</v>
      </c>
      <c r="K51" s="4" t="s">
        <v>48</v>
      </c>
      <c r="L51" s="3">
        <v>46054</v>
      </c>
      <c r="M51" s="4" t="s">
        <v>64</v>
      </c>
      <c r="N51" s="4" t="s">
        <v>46</v>
      </c>
      <c r="O51" s="4" t="s">
        <v>68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69</v>
      </c>
      <c r="AC51" s="4" t="s">
        <v>46</v>
      </c>
      <c r="AD51" s="5">
        <v>0</v>
      </c>
      <c r="AE51" s="4" t="s">
        <v>70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59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46064</v>
      </c>
      <c r="C52" s="4" t="s">
        <v>193</v>
      </c>
      <c r="D52" s="2">
        <v>1703942</v>
      </c>
      <c r="E52" s="4" t="s">
        <v>222</v>
      </c>
      <c r="F52" s="4" t="s">
        <v>223</v>
      </c>
      <c r="G52" s="2">
        <v>52085454</v>
      </c>
      <c r="H52" s="4" t="s">
        <v>224</v>
      </c>
      <c r="I52" s="4" t="s">
        <v>46</v>
      </c>
      <c r="J52" s="4" t="s">
        <v>47</v>
      </c>
      <c r="K52" s="4" t="s">
        <v>48</v>
      </c>
      <c r="L52" s="3">
        <v>46054</v>
      </c>
      <c r="M52" s="4" t="s">
        <v>64</v>
      </c>
      <c r="N52" s="4" t="s">
        <v>46</v>
      </c>
      <c r="O52" s="4" t="s">
        <v>68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80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69</v>
      </c>
      <c r="AC52" s="4" t="s">
        <v>46</v>
      </c>
      <c r="AD52" s="5">
        <v>0</v>
      </c>
      <c r="AE52" s="4" t="s">
        <v>70</v>
      </c>
      <c r="AF52" s="3">
        <v>45689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81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46064</v>
      </c>
      <c r="C53" s="4" t="s">
        <v>193</v>
      </c>
      <c r="D53" s="2">
        <v>1703942</v>
      </c>
      <c r="E53" s="4" t="s">
        <v>225</v>
      </c>
      <c r="F53" s="4" t="s">
        <v>226</v>
      </c>
      <c r="G53" s="2">
        <v>241042545</v>
      </c>
      <c r="H53" s="4" t="s">
        <v>227</v>
      </c>
      <c r="I53" s="4" t="s">
        <v>46</v>
      </c>
      <c r="J53" s="4" t="s">
        <v>47</v>
      </c>
      <c r="K53" s="4" t="s">
        <v>48</v>
      </c>
      <c r="L53" s="3">
        <v>46054</v>
      </c>
      <c r="M53" s="4" t="s">
        <v>64</v>
      </c>
      <c r="N53" s="4" t="s">
        <v>46</v>
      </c>
      <c r="O53" s="4" t="s">
        <v>68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69</v>
      </c>
      <c r="AC53" s="4" t="s">
        <v>46</v>
      </c>
      <c r="AD53" s="5">
        <v>0</v>
      </c>
      <c r="AE53" s="4" t="s">
        <v>70</v>
      </c>
      <c r="AF53" s="3">
        <v>45717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59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46064</v>
      </c>
      <c r="C54" s="4" t="s">
        <v>193</v>
      </c>
      <c r="D54" s="2">
        <v>1703942</v>
      </c>
      <c r="E54" s="4" t="s">
        <v>228</v>
      </c>
      <c r="F54" s="4" t="s">
        <v>229</v>
      </c>
      <c r="G54" s="2">
        <v>7267285</v>
      </c>
      <c r="H54" s="4" t="s">
        <v>230</v>
      </c>
      <c r="I54" s="4" t="s">
        <v>46</v>
      </c>
      <c r="J54" s="4" t="s">
        <v>47</v>
      </c>
      <c r="K54" s="4" t="s">
        <v>48</v>
      </c>
      <c r="L54" s="3">
        <v>46054</v>
      </c>
      <c r="M54" s="4" t="s">
        <v>64</v>
      </c>
      <c r="N54" s="4" t="s">
        <v>46</v>
      </c>
      <c r="O54" s="4" t="s">
        <v>68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80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69</v>
      </c>
      <c r="AC54" s="4" t="s">
        <v>46</v>
      </c>
      <c r="AD54" s="5">
        <v>0</v>
      </c>
      <c r="AE54" s="4" t="s">
        <v>70</v>
      </c>
      <c r="AF54" s="3">
        <v>45839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81</v>
      </c>
      <c r="AO54" s="4" t="s">
        <v>46</v>
      </c>
      <c r="AP54" s="4" t="s">
        <v>46</v>
      </c>
    </row>
    <row r="55" spans="1:42" s="33" customFormat="1" x14ac:dyDescent="0.2">
      <c r="A55" s="30">
        <v>1891456</v>
      </c>
      <c r="B55" s="31">
        <v>46064</v>
      </c>
      <c r="C55" s="29" t="s">
        <v>193</v>
      </c>
      <c r="D55" s="30">
        <v>1703942</v>
      </c>
      <c r="E55" s="29" t="s">
        <v>231</v>
      </c>
      <c r="F55" s="29" t="s">
        <v>232</v>
      </c>
      <c r="G55" s="30">
        <v>82836211</v>
      </c>
      <c r="H55" s="29" t="s">
        <v>233</v>
      </c>
      <c r="I55" s="29" t="s">
        <v>46</v>
      </c>
      <c r="J55" s="29" t="s">
        <v>47</v>
      </c>
      <c r="K55" s="29" t="s">
        <v>48</v>
      </c>
      <c r="L55" s="31">
        <v>46082</v>
      </c>
      <c r="M55" s="29" t="s">
        <v>74</v>
      </c>
      <c r="N55" s="29" t="s">
        <v>46</v>
      </c>
      <c r="O55" s="29" t="s">
        <v>50</v>
      </c>
      <c r="P55" s="29" t="s">
        <v>46</v>
      </c>
      <c r="Q55" s="30">
        <v>1</v>
      </c>
      <c r="R55" s="30">
        <v>17</v>
      </c>
      <c r="S55" s="29" t="s">
        <v>51</v>
      </c>
      <c r="T55" s="29" t="s">
        <v>80</v>
      </c>
      <c r="U55" s="29" t="s">
        <v>46</v>
      </c>
      <c r="V55" s="32">
        <v>0.83</v>
      </c>
      <c r="W55" s="32">
        <v>0</v>
      </c>
      <c r="X55" s="32">
        <v>100</v>
      </c>
      <c r="Y55" s="32">
        <v>289.17</v>
      </c>
      <c r="Z55" s="29" t="s">
        <v>46</v>
      </c>
      <c r="AA55" s="32" t="s">
        <v>46</v>
      </c>
      <c r="AB55" s="29" t="s">
        <v>53</v>
      </c>
      <c r="AC55" s="29" t="s">
        <v>46</v>
      </c>
      <c r="AD55" s="32">
        <v>0</v>
      </c>
      <c r="AE55" s="29" t="s">
        <v>54</v>
      </c>
      <c r="AF55" s="31">
        <v>46082</v>
      </c>
      <c r="AG55" s="29" t="s">
        <v>46</v>
      </c>
      <c r="AH55" s="29" t="s">
        <v>46</v>
      </c>
      <c r="AI55" s="29" t="s">
        <v>46</v>
      </c>
      <c r="AJ55" s="29" t="s">
        <v>46</v>
      </c>
      <c r="AK55" s="29" t="s">
        <v>46</v>
      </c>
      <c r="AL55" s="29" t="s">
        <v>46</v>
      </c>
      <c r="AM55" s="29" t="s">
        <v>46</v>
      </c>
      <c r="AN55" s="29" t="s">
        <v>218</v>
      </c>
      <c r="AO55" s="29" t="s">
        <v>46</v>
      </c>
      <c r="AP55" s="29" t="s">
        <v>46</v>
      </c>
    </row>
    <row r="56" spans="1:42" x14ac:dyDescent="0.2">
      <c r="A56" s="2">
        <v>1891456</v>
      </c>
      <c r="B56" s="3">
        <v>46064</v>
      </c>
      <c r="C56" s="4" t="s">
        <v>193</v>
      </c>
      <c r="D56" s="2">
        <v>1703942</v>
      </c>
      <c r="E56" s="4" t="s">
        <v>234</v>
      </c>
      <c r="F56" s="4" t="s">
        <v>235</v>
      </c>
      <c r="G56" s="2">
        <v>19913541</v>
      </c>
      <c r="H56" s="4" t="s">
        <v>236</v>
      </c>
      <c r="I56" s="4" t="s">
        <v>46</v>
      </c>
      <c r="J56" s="4" t="s">
        <v>47</v>
      </c>
      <c r="K56" s="4" t="s">
        <v>48</v>
      </c>
      <c r="L56" s="3">
        <v>46082</v>
      </c>
      <c r="M56" s="4" t="s">
        <v>74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0.83</v>
      </c>
      <c r="W56" s="5">
        <v>0</v>
      </c>
      <c r="X56" s="5">
        <v>100</v>
      </c>
      <c r="Y56" s="5">
        <v>289.17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46082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46064</v>
      </c>
      <c r="C57" s="4" t="s">
        <v>237</v>
      </c>
      <c r="D57" s="2">
        <v>1773696</v>
      </c>
      <c r="E57" s="4" t="s">
        <v>238</v>
      </c>
      <c r="F57" s="4" t="s">
        <v>239</v>
      </c>
      <c r="G57" s="2">
        <v>380382221</v>
      </c>
      <c r="H57" s="4" t="s">
        <v>240</v>
      </c>
      <c r="I57" s="4" t="s">
        <v>46</v>
      </c>
      <c r="J57" s="4" t="s">
        <v>47</v>
      </c>
      <c r="K57" s="4" t="s">
        <v>48</v>
      </c>
      <c r="L57" s="3">
        <v>46054</v>
      </c>
      <c r="M57" s="4" t="s">
        <v>64</v>
      </c>
      <c r="N57" s="4" t="s">
        <v>46</v>
      </c>
      <c r="O57" s="4" t="s">
        <v>68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80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69</v>
      </c>
      <c r="AC57" s="4" t="s">
        <v>46</v>
      </c>
      <c r="AD57" s="5">
        <v>0</v>
      </c>
      <c r="AE57" s="4" t="s">
        <v>70</v>
      </c>
      <c r="AF57" s="3">
        <v>45505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81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46064</v>
      </c>
      <c r="C58" s="4" t="s">
        <v>237</v>
      </c>
      <c r="D58" s="2">
        <v>1773696</v>
      </c>
      <c r="E58" s="4" t="s">
        <v>241</v>
      </c>
      <c r="F58" s="4" t="s">
        <v>242</v>
      </c>
      <c r="G58" s="2">
        <v>597024272</v>
      </c>
      <c r="H58" s="4" t="s">
        <v>243</v>
      </c>
      <c r="I58" s="4" t="s">
        <v>46</v>
      </c>
      <c r="J58" s="4" t="s">
        <v>47</v>
      </c>
      <c r="K58" s="4" t="s">
        <v>48</v>
      </c>
      <c r="L58" s="3">
        <v>46054</v>
      </c>
      <c r="M58" s="4" t="s">
        <v>64</v>
      </c>
      <c r="N58" s="4" t="s">
        <v>46</v>
      </c>
      <c r="O58" s="4" t="s">
        <v>68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80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69</v>
      </c>
      <c r="AC58" s="4" t="s">
        <v>46</v>
      </c>
      <c r="AD58" s="5">
        <v>0</v>
      </c>
      <c r="AE58" s="4" t="s">
        <v>70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81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46064</v>
      </c>
      <c r="C59" s="4" t="s">
        <v>237</v>
      </c>
      <c r="D59" s="2">
        <v>1773696</v>
      </c>
      <c r="E59" s="4" t="s">
        <v>244</v>
      </c>
      <c r="F59" s="4" t="s">
        <v>245</v>
      </c>
      <c r="G59" s="2">
        <v>612657485</v>
      </c>
      <c r="H59" s="4" t="s">
        <v>246</v>
      </c>
      <c r="I59" s="4" t="s">
        <v>46</v>
      </c>
      <c r="J59" s="4" t="s">
        <v>47</v>
      </c>
      <c r="K59" s="4" t="s">
        <v>48</v>
      </c>
      <c r="L59" s="3">
        <v>46054</v>
      </c>
      <c r="M59" s="4" t="s">
        <v>64</v>
      </c>
      <c r="N59" s="4" t="s">
        <v>46</v>
      </c>
      <c r="O59" s="4" t="s">
        <v>68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69</v>
      </c>
      <c r="AC59" s="4" t="s">
        <v>46</v>
      </c>
      <c r="AD59" s="5">
        <v>0</v>
      </c>
      <c r="AE59" s="4" t="s">
        <v>70</v>
      </c>
      <c r="AF59" s="3">
        <v>45809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59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46064</v>
      </c>
      <c r="C60" s="4" t="s">
        <v>247</v>
      </c>
      <c r="D60" s="2">
        <v>1795772</v>
      </c>
      <c r="E60" s="4" t="s">
        <v>248</v>
      </c>
      <c r="F60" s="4" t="s">
        <v>249</v>
      </c>
      <c r="G60" s="2">
        <v>795770384</v>
      </c>
      <c r="H60" s="4" t="s">
        <v>250</v>
      </c>
      <c r="I60" s="4" t="s">
        <v>46</v>
      </c>
      <c r="J60" s="4" t="s">
        <v>47</v>
      </c>
      <c r="K60" s="4" t="s">
        <v>48</v>
      </c>
      <c r="L60" s="3">
        <v>46113</v>
      </c>
      <c r="M60" s="4" t="s">
        <v>251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0.75</v>
      </c>
      <c r="W60" s="5">
        <v>0</v>
      </c>
      <c r="X60" s="5">
        <v>100</v>
      </c>
      <c r="Y60" s="5">
        <v>260.25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46113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55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46064</v>
      </c>
      <c r="C61" s="4" t="s">
        <v>252</v>
      </c>
      <c r="D61" s="2">
        <v>1800759</v>
      </c>
      <c r="E61" s="4" t="s">
        <v>253</v>
      </c>
      <c r="F61" s="4" t="s">
        <v>254</v>
      </c>
      <c r="G61" s="2">
        <v>442967065</v>
      </c>
      <c r="H61" s="4" t="s">
        <v>255</v>
      </c>
      <c r="I61" s="4" t="s">
        <v>46</v>
      </c>
      <c r="J61" s="4" t="s">
        <v>47</v>
      </c>
      <c r="K61" s="4" t="s">
        <v>48</v>
      </c>
      <c r="L61" s="3">
        <v>46054</v>
      </c>
      <c r="M61" s="4" t="s">
        <v>64</v>
      </c>
      <c r="N61" s="4" t="s">
        <v>46</v>
      </c>
      <c r="O61" s="4" t="s">
        <v>68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69</v>
      </c>
      <c r="AC61" s="4" t="s">
        <v>46</v>
      </c>
      <c r="AD61" s="5">
        <v>0</v>
      </c>
      <c r="AE61" s="4" t="s">
        <v>70</v>
      </c>
      <c r="AF61" s="3">
        <v>45717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59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46064</v>
      </c>
      <c r="C62" s="4" t="s">
        <v>252</v>
      </c>
      <c r="D62" s="2">
        <v>1800759</v>
      </c>
      <c r="E62" s="4" t="s">
        <v>256</v>
      </c>
      <c r="F62" s="4" t="s">
        <v>257</v>
      </c>
      <c r="G62" s="2">
        <v>491137065</v>
      </c>
      <c r="H62" s="4" t="s">
        <v>258</v>
      </c>
      <c r="I62" s="4" t="s">
        <v>46</v>
      </c>
      <c r="J62" s="4" t="s">
        <v>47</v>
      </c>
      <c r="K62" s="4" t="s">
        <v>48</v>
      </c>
      <c r="L62" s="3">
        <v>46054</v>
      </c>
      <c r="M62" s="4" t="s">
        <v>64</v>
      </c>
      <c r="N62" s="4" t="s">
        <v>46</v>
      </c>
      <c r="O62" s="4" t="s">
        <v>68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69</v>
      </c>
      <c r="AC62" s="4" t="s">
        <v>46</v>
      </c>
      <c r="AD62" s="5">
        <v>0</v>
      </c>
      <c r="AE62" s="4" t="s">
        <v>70</v>
      </c>
      <c r="AF62" s="3">
        <v>45717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59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46064</v>
      </c>
      <c r="C63" s="4" t="s">
        <v>252</v>
      </c>
      <c r="D63" s="2">
        <v>1800759</v>
      </c>
      <c r="E63" s="4" t="s">
        <v>259</v>
      </c>
      <c r="F63" s="4" t="s">
        <v>260</v>
      </c>
      <c r="G63" s="2">
        <v>297265474</v>
      </c>
      <c r="H63" s="4" t="s">
        <v>261</v>
      </c>
      <c r="I63" s="4" t="s">
        <v>46</v>
      </c>
      <c r="J63" s="4" t="s">
        <v>47</v>
      </c>
      <c r="K63" s="4" t="s">
        <v>48</v>
      </c>
      <c r="L63" s="3">
        <v>46082</v>
      </c>
      <c r="M63" s="4" t="s">
        <v>74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0.83</v>
      </c>
      <c r="W63" s="5">
        <v>0</v>
      </c>
      <c r="X63" s="5">
        <v>100</v>
      </c>
      <c r="Y63" s="5">
        <v>289.17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46082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46064</v>
      </c>
      <c r="C64" s="4" t="s">
        <v>262</v>
      </c>
      <c r="D64" s="2">
        <v>1800776</v>
      </c>
      <c r="E64" s="4" t="s">
        <v>263</v>
      </c>
      <c r="F64" s="4" t="s">
        <v>264</v>
      </c>
      <c r="G64" s="2">
        <v>186655292</v>
      </c>
      <c r="H64" s="4" t="s">
        <v>265</v>
      </c>
      <c r="I64" s="4" t="s">
        <v>46</v>
      </c>
      <c r="J64" s="4" t="s">
        <v>47</v>
      </c>
      <c r="K64" s="4" t="s">
        <v>48</v>
      </c>
      <c r="L64" s="3">
        <v>46054</v>
      </c>
      <c r="M64" s="4" t="s">
        <v>64</v>
      </c>
      <c r="N64" s="4" t="s">
        <v>46</v>
      </c>
      <c r="O64" s="4" t="s">
        <v>68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80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69</v>
      </c>
      <c r="AC64" s="4" t="s">
        <v>46</v>
      </c>
      <c r="AD64" s="5">
        <v>0</v>
      </c>
      <c r="AE64" s="4" t="s">
        <v>70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81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46064</v>
      </c>
      <c r="C65" s="4" t="s">
        <v>262</v>
      </c>
      <c r="D65" s="2">
        <v>1800776</v>
      </c>
      <c r="E65" s="4" t="s">
        <v>266</v>
      </c>
      <c r="F65" s="4" t="s">
        <v>267</v>
      </c>
      <c r="G65" s="2">
        <v>107530083</v>
      </c>
      <c r="H65" s="4" t="s">
        <v>268</v>
      </c>
      <c r="I65" s="4" t="s">
        <v>46</v>
      </c>
      <c r="J65" s="4" t="s">
        <v>47</v>
      </c>
      <c r="K65" s="4" t="s">
        <v>48</v>
      </c>
      <c r="L65" s="3">
        <v>46082</v>
      </c>
      <c r="M65" s="4" t="s">
        <v>74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80</v>
      </c>
      <c r="U65" s="4" t="s">
        <v>46</v>
      </c>
      <c r="V65" s="5">
        <v>0.83</v>
      </c>
      <c r="W65" s="5">
        <v>0</v>
      </c>
      <c r="X65" s="5">
        <v>100</v>
      </c>
      <c r="Y65" s="5">
        <v>289.17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46082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81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46064</v>
      </c>
      <c r="C66" s="4" t="s">
        <v>262</v>
      </c>
      <c r="D66" s="2">
        <v>1800776</v>
      </c>
      <c r="E66" s="4" t="s">
        <v>266</v>
      </c>
      <c r="F66" s="4" t="s">
        <v>267</v>
      </c>
      <c r="G66" s="2">
        <v>107530083</v>
      </c>
      <c r="H66" s="4" t="s">
        <v>268</v>
      </c>
      <c r="I66" s="4" t="s">
        <v>46</v>
      </c>
      <c r="J66" s="4" t="s">
        <v>47</v>
      </c>
      <c r="K66" s="4" t="s">
        <v>48</v>
      </c>
      <c r="L66" s="3">
        <v>46023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80</v>
      </c>
      <c r="U66" s="4" t="s">
        <v>46</v>
      </c>
      <c r="V66" s="5">
        <v>-0.83</v>
      </c>
      <c r="W66" s="5">
        <v>0</v>
      </c>
      <c r="X66" s="5">
        <v>100</v>
      </c>
      <c r="Y66" s="5">
        <v>-289.17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46023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81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46064</v>
      </c>
      <c r="C67" s="4" t="s">
        <v>262</v>
      </c>
      <c r="D67" s="2">
        <v>1800776</v>
      </c>
      <c r="E67" s="4" t="s">
        <v>269</v>
      </c>
      <c r="F67" s="4" t="s">
        <v>270</v>
      </c>
      <c r="G67" s="2">
        <v>734910411</v>
      </c>
      <c r="H67" s="4" t="s">
        <v>271</v>
      </c>
      <c r="I67" s="4" t="s">
        <v>46</v>
      </c>
      <c r="J67" s="4" t="s">
        <v>47</v>
      </c>
      <c r="K67" s="4" t="s">
        <v>48</v>
      </c>
      <c r="L67" s="3">
        <v>46054</v>
      </c>
      <c r="M67" s="4" t="s">
        <v>64</v>
      </c>
      <c r="N67" s="4" t="s">
        <v>46</v>
      </c>
      <c r="O67" s="4" t="s">
        <v>68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69</v>
      </c>
      <c r="AC67" s="4" t="s">
        <v>46</v>
      </c>
      <c r="AD67" s="5">
        <v>0</v>
      </c>
      <c r="AE67" s="4" t="s">
        <v>70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59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46064</v>
      </c>
      <c r="C68" s="4" t="s">
        <v>262</v>
      </c>
      <c r="D68" s="2">
        <v>1800776</v>
      </c>
      <c r="E68" s="4" t="s">
        <v>272</v>
      </c>
      <c r="F68" s="4" t="s">
        <v>273</v>
      </c>
      <c r="G68" s="2">
        <v>318492015</v>
      </c>
      <c r="H68" s="4" t="s">
        <v>274</v>
      </c>
      <c r="I68" s="4" t="s">
        <v>46</v>
      </c>
      <c r="J68" s="4" t="s">
        <v>47</v>
      </c>
      <c r="K68" s="4" t="s">
        <v>48</v>
      </c>
      <c r="L68" s="3">
        <v>46054</v>
      </c>
      <c r="M68" s="4" t="s">
        <v>64</v>
      </c>
      <c r="N68" s="4" t="s">
        <v>46</v>
      </c>
      <c r="O68" s="4" t="s">
        <v>68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80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69</v>
      </c>
      <c r="AC68" s="4" t="s">
        <v>46</v>
      </c>
      <c r="AD68" s="5">
        <v>0</v>
      </c>
      <c r="AE68" s="4" t="s">
        <v>70</v>
      </c>
      <c r="AF68" s="3">
        <v>45748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275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46064</v>
      </c>
      <c r="C69" s="4" t="s">
        <v>262</v>
      </c>
      <c r="D69" s="2">
        <v>1800776</v>
      </c>
      <c r="E69" s="4" t="s">
        <v>276</v>
      </c>
      <c r="F69" s="4" t="s">
        <v>277</v>
      </c>
      <c r="G69" s="2">
        <v>518475105</v>
      </c>
      <c r="H69" s="4" t="s">
        <v>278</v>
      </c>
      <c r="I69" s="4" t="s">
        <v>46</v>
      </c>
      <c r="J69" s="4" t="s">
        <v>47</v>
      </c>
      <c r="K69" s="4" t="s">
        <v>48</v>
      </c>
      <c r="L69" s="3">
        <v>46113</v>
      </c>
      <c r="M69" s="4" t="s">
        <v>251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80</v>
      </c>
      <c r="U69" s="4" t="s">
        <v>46</v>
      </c>
      <c r="V69" s="5">
        <v>0.75</v>
      </c>
      <c r="W69" s="5">
        <v>0</v>
      </c>
      <c r="X69" s="5">
        <v>100</v>
      </c>
      <c r="Y69" s="5">
        <v>260.25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46113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218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46064</v>
      </c>
      <c r="C70" s="4" t="s">
        <v>279</v>
      </c>
      <c r="D70" s="2">
        <v>1815594</v>
      </c>
      <c r="E70" s="4" t="s">
        <v>280</v>
      </c>
      <c r="F70" s="4" t="s">
        <v>281</v>
      </c>
      <c r="G70" s="2">
        <v>23347210</v>
      </c>
      <c r="H70" s="4" t="s">
        <v>282</v>
      </c>
      <c r="I70" s="4" t="s">
        <v>46</v>
      </c>
      <c r="J70" s="4" t="s">
        <v>47</v>
      </c>
      <c r="K70" s="4" t="s">
        <v>48</v>
      </c>
      <c r="L70" s="3">
        <v>46054</v>
      </c>
      <c r="M70" s="4" t="s">
        <v>64</v>
      </c>
      <c r="N70" s="4" t="s">
        <v>46</v>
      </c>
      <c r="O70" s="4" t="s">
        <v>68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80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69</v>
      </c>
      <c r="AC70" s="4" t="s">
        <v>46</v>
      </c>
      <c r="AD70" s="5">
        <v>0</v>
      </c>
      <c r="AE70" s="4" t="s">
        <v>70</v>
      </c>
      <c r="AF70" s="3">
        <v>45839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81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46064</v>
      </c>
      <c r="C71" s="4" t="s">
        <v>279</v>
      </c>
      <c r="D71" s="2">
        <v>1815594</v>
      </c>
      <c r="E71" s="4" t="s">
        <v>283</v>
      </c>
      <c r="F71" s="4" t="s">
        <v>284</v>
      </c>
      <c r="G71" s="2">
        <v>19491940</v>
      </c>
      <c r="H71" s="4" t="s">
        <v>285</v>
      </c>
      <c r="I71" s="4" t="s">
        <v>46</v>
      </c>
      <c r="J71" s="4" t="s">
        <v>47</v>
      </c>
      <c r="K71" s="4" t="s">
        <v>48</v>
      </c>
      <c r="L71" s="3">
        <v>46054</v>
      </c>
      <c r="M71" s="4" t="s">
        <v>64</v>
      </c>
      <c r="N71" s="4" t="s">
        <v>46</v>
      </c>
      <c r="O71" s="4" t="s">
        <v>68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80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69</v>
      </c>
      <c r="AC71" s="4" t="s">
        <v>46</v>
      </c>
      <c r="AD71" s="5">
        <v>0</v>
      </c>
      <c r="AE71" s="4" t="s">
        <v>70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81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46064</v>
      </c>
      <c r="C72" s="4" t="s">
        <v>279</v>
      </c>
      <c r="D72" s="2">
        <v>1815594</v>
      </c>
      <c r="E72" s="4" t="s">
        <v>286</v>
      </c>
      <c r="F72" s="4" t="s">
        <v>287</v>
      </c>
      <c r="G72" s="2">
        <v>839424330</v>
      </c>
      <c r="H72" s="4" t="s">
        <v>288</v>
      </c>
      <c r="I72" s="4" t="s">
        <v>46</v>
      </c>
      <c r="J72" s="4" t="s">
        <v>47</v>
      </c>
      <c r="K72" s="4" t="s">
        <v>48</v>
      </c>
      <c r="L72" s="3">
        <v>46054</v>
      </c>
      <c r="M72" s="4" t="s">
        <v>64</v>
      </c>
      <c r="N72" s="4" t="s">
        <v>46</v>
      </c>
      <c r="O72" s="4" t="s">
        <v>68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80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69</v>
      </c>
      <c r="AC72" s="4" t="s">
        <v>46</v>
      </c>
      <c r="AD72" s="5">
        <v>0</v>
      </c>
      <c r="AE72" s="4" t="s">
        <v>70</v>
      </c>
      <c r="AF72" s="3">
        <v>45992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81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46064</v>
      </c>
      <c r="C73" s="4" t="s">
        <v>289</v>
      </c>
      <c r="D73" s="2">
        <v>1829636</v>
      </c>
      <c r="E73" s="4" t="s">
        <v>290</v>
      </c>
      <c r="F73" s="4" t="s">
        <v>291</v>
      </c>
      <c r="G73" s="2">
        <v>55681171</v>
      </c>
      <c r="H73" s="4" t="s">
        <v>292</v>
      </c>
      <c r="I73" s="4" t="s">
        <v>46</v>
      </c>
      <c r="J73" s="4" t="s">
        <v>47</v>
      </c>
      <c r="K73" s="4" t="s">
        <v>48</v>
      </c>
      <c r="L73" s="3">
        <v>46082</v>
      </c>
      <c r="M73" s="4" t="s">
        <v>74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52</v>
      </c>
      <c r="U73" s="4" t="s">
        <v>46</v>
      </c>
      <c r="V73" s="5">
        <v>0.83</v>
      </c>
      <c r="W73" s="5">
        <v>0</v>
      </c>
      <c r="X73" s="5">
        <v>100</v>
      </c>
      <c r="Y73" s="5">
        <v>289.17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46082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55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46064</v>
      </c>
      <c r="C74" s="4" t="s">
        <v>293</v>
      </c>
      <c r="D74" s="2">
        <v>1831320</v>
      </c>
      <c r="E74" s="4" t="s">
        <v>294</v>
      </c>
      <c r="F74" s="4" t="s">
        <v>295</v>
      </c>
      <c r="G74" s="2">
        <v>285387228</v>
      </c>
      <c r="H74" s="4" t="s">
        <v>296</v>
      </c>
      <c r="I74" s="4" t="s">
        <v>46</v>
      </c>
      <c r="J74" s="4" t="s">
        <v>47</v>
      </c>
      <c r="K74" s="4" t="s">
        <v>48</v>
      </c>
      <c r="L74" s="3">
        <v>46054</v>
      </c>
      <c r="M74" s="4" t="s">
        <v>64</v>
      </c>
      <c r="N74" s="4" t="s">
        <v>46</v>
      </c>
      <c r="O74" s="4" t="s">
        <v>68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52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69</v>
      </c>
      <c r="AC74" s="4" t="s">
        <v>46</v>
      </c>
      <c r="AD74" s="5">
        <v>0</v>
      </c>
      <c r="AE74" s="4" t="s">
        <v>70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59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46064</v>
      </c>
      <c r="C75" s="4" t="s">
        <v>293</v>
      </c>
      <c r="D75" s="2">
        <v>1831320</v>
      </c>
      <c r="E75" s="4" t="s">
        <v>297</v>
      </c>
      <c r="F75" s="4" t="s">
        <v>298</v>
      </c>
      <c r="G75" s="2">
        <v>923626835</v>
      </c>
      <c r="H75" s="4" t="s">
        <v>299</v>
      </c>
      <c r="I75" s="4" t="s">
        <v>46</v>
      </c>
      <c r="J75" s="4" t="s">
        <v>47</v>
      </c>
      <c r="K75" s="4" t="s">
        <v>48</v>
      </c>
      <c r="L75" s="3">
        <v>46113</v>
      </c>
      <c r="M75" s="4" t="s">
        <v>251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52</v>
      </c>
      <c r="U75" s="4" t="s">
        <v>46</v>
      </c>
      <c r="V75" s="5">
        <v>0.75</v>
      </c>
      <c r="W75" s="5">
        <v>0</v>
      </c>
      <c r="X75" s="5">
        <v>100</v>
      </c>
      <c r="Y75" s="5">
        <v>260.25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46113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55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46064</v>
      </c>
      <c r="C76" s="4" t="s">
        <v>300</v>
      </c>
      <c r="D76" s="2">
        <v>1831491</v>
      </c>
      <c r="E76" s="4" t="s">
        <v>301</v>
      </c>
      <c r="F76" s="4" t="s">
        <v>302</v>
      </c>
      <c r="G76" s="2">
        <v>124514070</v>
      </c>
      <c r="H76" s="4" t="s">
        <v>303</v>
      </c>
      <c r="I76" s="4" t="s">
        <v>46</v>
      </c>
      <c r="J76" s="4" t="s">
        <v>47</v>
      </c>
      <c r="K76" s="4" t="s">
        <v>48</v>
      </c>
      <c r="L76" s="3">
        <v>46054</v>
      </c>
      <c r="M76" s="4" t="s">
        <v>64</v>
      </c>
      <c r="N76" s="4" t="s">
        <v>46</v>
      </c>
      <c r="O76" s="4" t="s">
        <v>68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52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69</v>
      </c>
      <c r="AC76" s="4" t="s">
        <v>46</v>
      </c>
      <c r="AD76" s="5">
        <v>0</v>
      </c>
      <c r="AE76" s="4" t="s">
        <v>70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59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46064</v>
      </c>
      <c r="C77" s="4" t="s">
        <v>300</v>
      </c>
      <c r="D77" s="2">
        <v>1831491</v>
      </c>
      <c r="E77" s="4" t="s">
        <v>304</v>
      </c>
      <c r="F77" s="4" t="s">
        <v>305</v>
      </c>
      <c r="G77" s="2">
        <v>504768204</v>
      </c>
      <c r="H77" s="4" t="s">
        <v>306</v>
      </c>
      <c r="I77" s="4" t="s">
        <v>46</v>
      </c>
      <c r="J77" s="4" t="s">
        <v>47</v>
      </c>
      <c r="K77" s="4" t="s">
        <v>48</v>
      </c>
      <c r="L77" s="3">
        <v>46054</v>
      </c>
      <c r="M77" s="4" t="s">
        <v>64</v>
      </c>
      <c r="N77" s="4" t="s">
        <v>46</v>
      </c>
      <c r="O77" s="4" t="s">
        <v>68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52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69</v>
      </c>
      <c r="AC77" s="4" t="s">
        <v>46</v>
      </c>
      <c r="AD77" s="5">
        <v>0</v>
      </c>
      <c r="AE77" s="4" t="s">
        <v>70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59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46064</v>
      </c>
      <c r="C78" s="4" t="s">
        <v>300</v>
      </c>
      <c r="D78" s="2">
        <v>1831491</v>
      </c>
      <c r="E78" s="4" t="s">
        <v>307</v>
      </c>
      <c r="F78" s="4" t="s">
        <v>308</v>
      </c>
      <c r="G78" s="2">
        <v>125534043</v>
      </c>
      <c r="H78" s="4" t="s">
        <v>309</v>
      </c>
      <c r="I78" s="4" t="s">
        <v>46</v>
      </c>
      <c r="J78" s="4" t="s">
        <v>47</v>
      </c>
      <c r="K78" s="4" t="s">
        <v>48</v>
      </c>
      <c r="L78" s="3">
        <v>46054</v>
      </c>
      <c r="M78" s="4" t="s">
        <v>64</v>
      </c>
      <c r="N78" s="4" t="s">
        <v>46</v>
      </c>
      <c r="O78" s="4" t="s">
        <v>68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52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69</v>
      </c>
      <c r="AC78" s="4" t="s">
        <v>46</v>
      </c>
      <c r="AD78" s="5">
        <v>0</v>
      </c>
      <c r="AE78" s="4" t="s">
        <v>70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59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46064</v>
      </c>
      <c r="C79" s="4" t="s">
        <v>300</v>
      </c>
      <c r="D79" s="2">
        <v>1831491</v>
      </c>
      <c r="E79" s="4" t="s">
        <v>310</v>
      </c>
      <c r="F79" s="4" t="s">
        <v>311</v>
      </c>
      <c r="G79" s="2">
        <v>35210164</v>
      </c>
      <c r="H79" s="4" t="s">
        <v>312</v>
      </c>
      <c r="I79" s="4" t="s">
        <v>46</v>
      </c>
      <c r="J79" s="4" t="s">
        <v>47</v>
      </c>
      <c r="K79" s="4" t="s">
        <v>48</v>
      </c>
      <c r="L79" s="3">
        <v>46054</v>
      </c>
      <c r="M79" s="4" t="s">
        <v>64</v>
      </c>
      <c r="N79" s="4" t="s">
        <v>46</v>
      </c>
      <c r="O79" s="4" t="s">
        <v>68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69</v>
      </c>
      <c r="AC79" s="4" t="s">
        <v>46</v>
      </c>
      <c r="AD79" s="5">
        <v>0</v>
      </c>
      <c r="AE79" s="4" t="s">
        <v>70</v>
      </c>
      <c r="AF79" s="3">
        <v>45931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59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46064</v>
      </c>
      <c r="C80" s="4" t="s">
        <v>300</v>
      </c>
      <c r="D80" s="2">
        <v>1831491</v>
      </c>
      <c r="E80" s="4" t="s">
        <v>313</v>
      </c>
      <c r="F80" s="4" t="s">
        <v>314</v>
      </c>
      <c r="G80" s="2">
        <v>495090253</v>
      </c>
      <c r="H80" s="4" t="s">
        <v>315</v>
      </c>
      <c r="I80" s="4" t="s">
        <v>46</v>
      </c>
      <c r="J80" s="4" t="s">
        <v>47</v>
      </c>
      <c r="K80" s="4" t="s">
        <v>48</v>
      </c>
      <c r="L80" s="3">
        <v>46023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80</v>
      </c>
      <c r="U80" s="4" t="s">
        <v>46</v>
      </c>
      <c r="V80" s="5">
        <v>-0.83</v>
      </c>
      <c r="W80" s="5">
        <v>0</v>
      </c>
      <c r="X80" s="5">
        <v>100</v>
      </c>
      <c r="Y80" s="5">
        <v>-289.17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46023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81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46064</v>
      </c>
      <c r="C81" s="4" t="s">
        <v>300</v>
      </c>
      <c r="D81" s="2">
        <v>1831491</v>
      </c>
      <c r="E81" s="4" t="s">
        <v>316</v>
      </c>
      <c r="F81" s="4" t="s">
        <v>317</v>
      </c>
      <c r="G81" s="2">
        <v>479080095</v>
      </c>
      <c r="H81" s="4" t="s">
        <v>318</v>
      </c>
      <c r="I81" s="4" t="s">
        <v>46</v>
      </c>
      <c r="J81" s="4" t="s">
        <v>47</v>
      </c>
      <c r="K81" s="4" t="s">
        <v>48</v>
      </c>
      <c r="L81" s="3">
        <v>46054</v>
      </c>
      <c r="M81" s="4" t="s">
        <v>64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80</v>
      </c>
      <c r="U81" s="4" t="s">
        <v>46</v>
      </c>
      <c r="V81" s="5">
        <v>0</v>
      </c>
      <c r="W81" s="5">
        <v>0</v>
      </c>
      <c r="X81" s="5">
        <v>100</v>
      </c>
      <c r="Y81" s="5">
        <v>318.08</v>
      </c>
      <c r="Z81" s="4" t="s">
        <v>46</v>
      </c>
      <c r="AA81" s="5" t="s">
        <v>46</v>
      </c>
      <c r="AB81" s="4" t="s">
        <v>106</v>
      </c>
      <c r="AC81" s="4" t="s">
        <v>46</v>
      </c>
      <c r="AD81" s="5">
        <v>0</v>
      </c>
      <c r="AE81" s="4" t="s">
        <v>107</v>
      </c>
      <c r="AF81" s="3">
        <v>46054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81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46064</v>
      </c>
      <c r="C82" s="4" t="s">
        <v>300</v>
      </c>
      <c r="D82" s="2">
        <v>1831491</v>
      </c>
      <c r="E82" s="4" t="s">
        <v>316</v>
      </c>
      <c r="F82" s="4" t="s">
        <v>317</v>
      </c>
      <c r="G82" s="2">
        <v>479080095</v>
      </c>
      <c r="H82" s="4" t="s">
        <v>318</v>
      </c>
      <c r="I82" s="4" t="s">
        <v>46</v>
      </c>
      <c r="J82" s="4" t="s">
        <v>47</v>
      </c>
      <c r="K82" s="4" t="s">
        <v>48</v>
      </c>
      <c r="L82" s="3">
        <v>46054</v>
      </c>
      <c r="M82" s="4" t="s">
        <v>64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80</v>
      </c>
      <c r="U82" s="4" t="s">
        <v>46</v>
      </c>
      <c r="V82" s="5">
        <v>0.75</v>
      </c>
      <c r="W82" s="5">
        <v>0</v>
      </c>
      <c r="X82" s="5">
        <v>100</v>
      </c>
      <c r="Y82" s="5">
        <v>260.25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46054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81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46064</v>
      </c>
      <c r="C83" s="4" t="s">
        <v>319</v>
      </c>
      <c r="D83" s="2">
        <v>1853235</v>
      </c>
      <c r="E83" s="4" t="s">
        <v>320</v>
      </c>
      <c r="F83" s="4" t="s">
        <v>321</v>
      </c>
      <c r="G83" s="2">
        <v>419514164</v>
      </c>
      <c r="H83" s="4" t="s">
        <v>322</v>
      </c>
      <c r="I83" s="4" t="s">
        <v>46</v>
      </c>
      <c r="J83" s="4" t="s">
        <v>47</v>
      </c>
      <c r="K83" s="4" t="s">
        <v>48</v>
      </c>
      <c r="L83" s="3">
        <v>46023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52</v>
      </c>
      <c r="U83" s="4" t="s">
        <v>46</v>
      </c>
      <c r="V83" s="5">
        <v>0</v>
      </c>
      <c r="W83" s="5">
        <v>0</v>
      </c>
      <c r="X83" s="5">
        <v>100</v>
      </c>
      <c r="Y83" s="5">
        <v>-289.16000000000003</v>
      </c>
      <c r="Z83" s="4" t="s">
        <v>46</v>
      </c>
      <c r="AA83" s="5" t="s">
        <v>46</v>
      </c>
      <c r="AB83" s="4" t="s">
        <v>106</v>
      </c>
      <c r="AC83" s="4" t="s">
        <v>46</v>
      </c>
      <c r="AD83" s="5">
        <v>0</v>
      </c>
      <c r="AE83" s="4" t="s">
        <v>107</v>
      </c>
      <c r="AF83" s="3">
        <v>46023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55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46064</v>
      </c>
      <c r="C84" s="4" t="s">
        <v>319</v>
      </c>
      <c r="D84" s="2">
        <v>1853235</v>
      </c>
      <c r="E84" s="4" t="s">
        <v>320</v>
      </c>
      <c r="F84" s="4" t="s">
        <v>321</v>
      </c>
      <c r="G84" s="2">
        <v>419514164</v>
      </c>
      <c r="H84" s="4" t="s">
        <v>322</v>
      </c>
      <c r="I84" s="4" t="s">
        <v>46</v>
      </c>
      <c r="J84" s="4" t="s">
        <v>47</v>
      </c>
      <c r="K84" s="4" t="s">
        <v>48</v>
      </c>
      <c r="L84" s="3">
        <v>46023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52</v>
      </c>
      <c r="U84" s="4" t="s">
        <v>46</v>
      </c>
      <c r="V84" s="5">
        <v>-0.83</v>
      </c>
      <c r="W84" s="5">
        <v>0</v>
      </c>
      <c r="X84" s="5">
        <v>100</v>
      </c>
      <c r="Y84" s="5">
        <v>-289.17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46023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55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46064</v>
      </c>
      <c r="C85" s="4" t="s">
        <v>319</v>
      </c>
      <c r="D85" s="2">
        <v>1853235</v>
      </c>
      <c r="E85" s="4" t="s">
        <v>323</v>
      </c>
      <c r="F85" s="4" t="s">
        <v>324</v>
      </c>
      <c r="G85" s="2">
        <v>959426294</v>
      </c>
      <c r="H85" s="4" t="s">
        <v>325</v>
      </c>
      <c r="I85" s="4" t="s">
        <v>46</v>
      </c>
      <c r="J85" s="4" t="s">
        <v>47</v>
      </c>
      <c r="K85" s="4" t="s">
        <v>48</v>
      </c>
      <c r="L85" s="3">
        <v>46023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52</v>
      </c>
      <c r="U85" s="4" t="s">
        <v>46</v>
      </c>
      <c r="V85" s="5">
        <v>0</v>
      </c>
      <c r="W85" s="5">
        <v>0</v>
      </c>
      <c r="X85" s="5">
        <v>100</v>
      </c>
      <c r="Y85" s="5">
        <v>318.08999999999997</v>
      </c>
      <c r="Z85" s="4" t="s">
        <v>46</v>
      </c>
      <c r="AA85" s="5" t="s">
        <v>46</v>
      </c>
      <c r="AB85" s="4" t="s">
        <v>106</v>
      </c>
      <c r="AC85" s="4" t="s">
        <v>46</v>
      </c>
      <c r="AD85" s="5">
        <v>0</v>
      </c>
      <c r="AE85" s="4" t="s">
        <v>107</v>
      </c>
      <c r="AF85" s="3">
        <v>46023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55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46064</v>
      </c>
      <c r="C86" s="4" t="s">
        <v>319</v>
      </c>
      <c r="D86" s="2">
        <v>1853235</v>
      </c>
      <c r="E86" s="4" t="s">
        <v>323</v>
      </c>
      <c r="F86" s="4" t="s">
        <v>324</v>
      </c>
      <c r="G86" s="2">
        <v>959426294</v>
      </c>
      <c r="H86" s="4" t="s">
        <v>325</v>
      </c>
      <c r="I86" s="4" t="s">
        <v>46</v>
      </c>
      <c r="J86" s="4" t="s">
        <v>47</v>
      </c>
      <c r="K86" s="4" t="s">
        <v>48</v>
      </c>
      <c r="L86" s="3">
        <v>46023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52</v>
      </c>
      <c r="U86" s="4" t="s">
        <v>46</v>
      </c>
      <c r="V86" s="5">
        <v>0.92</v>
      </c>
      <c r="W86" s="5">
        <v>0</v>
      </c>
      <c r="X86" s="5">
        <v>100</v>
      </c>
      <c r="Y86" s="5">
        <v>318.08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46023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55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46064</v>
      </c>
      <c r="C87" s="4" t="s">
        <v>319</v>
      </c>
      <c r="D87" s="2">
        <v>1853235</v>
      </c>
      <c r="E87" s="4" t="s">
        <v>326</v>
      </c>
      <c r="F87" s="4" t="s">
        <v>327</v>
      </c>
      <c r="G87" s="2">
        <v>412741074</v>
      </c>
      <c r="H87" s="4" t="s">
        <v>328</v>
      </c>
      <c r="I87" s="4" t="s">
        <v>46</v>
      </c>
      <c r="J87" s="4" t="s">
        <v>47</v>
      </c>
      <c r="K87" s="4" t="s">
        <v>48</v>
      </c>
      <c r="L87" s="3">
        <v>46054</v>
      </c>
      <c r="M87" s="4" t="s">
        <v>64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52</v>
      </c>
      <c r="U87" s="4" t="s">
        <v>46</v>
      </c>
      <c r="V87" s="5">
        <v>0.92</v>
      </c>
      <c r="W87" s="5">
        <v>0</v>
      </c>
      <c r="X87" s="5">
        <v>100</v>
      </c>
      <c r="Y87" s="5">
        <v>151.25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46054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55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46064</v>
      </c>
      <c r="C88" s="4" t="s">
        <v>319</v>
      </c>
      <c r="D88" s="2">
        <v>1853235</v>
      </c>
      <c r="E88" s="4" t="s">
        <v>329</v>
      </c>
      <c r="F88" s="4" t="s">
        <v>330</v>
      </c>
      <c r="G88" s="2">
        <v>649621164</v>
      </c>
      <c r="H88" s="4" t="s">
        <v>331</v>
      </c>
      <c r="I88" s="4" t="s">
        <v>46</v>
      </c>
      <c r="J88" s="4" t="s">
        <v>47</v>
      </c>
      <c r="K88" s="4" t="s">
        <v>48</v>
      </c>
      <c r="L88" s="3">
        <v>46143</v>
      </c>
      <c r="M88" s="4" t="s">
        <v>332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52</v>
      </c>
      <c r="U88" s="4" t="s">
        <v>46</v>
      </c>
      <c r="V88" s="5">
        <v>0.67</v>
      </c>
      <c r="W88" s="5">
        <v>0</v>
      </c>
      <c r="X88" s="5">
        <v>100</v>
      </c>
      <c r="Y88" s="5">
        <v>231.33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46143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55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46064</v>
      </c>
      <c r="C89" s="4" t="s">
        <v>333</v>
      </c>
      <c r="D89" s="2">
        <v>1855975</v>
      </c>
      <c r="E89" s="4" t="s">
        <v>334</v>
      </c>
      <c r="F89" s="4" t="s">
        <v>335</v>
      </c>
      <c r="G89" s="2">
        <v>57218445</v>
      </c>
      <c r="H89" s="4" t="s">
        <v>336</v>
      </c>
      <c r="I89" s="4" t="s">
        <v>46</v>
      </c>
      <c r="J89" s="4" t="s">
        <v>47</v>
      </c>
      <c r="K89" s="4" t="s">
        <v>48</v>
      </c>
      <c r="L89" s="3">
        <v>46054</v>
      </c>
      <c r="M89" s="4" t="s">
        <v>64</v>
      </c>
      <c r="N89" s="4" t="s">
        <v>46</v>
      </c>
      <c r="O89" s="4" t="s">
        <v>68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80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69</v>
      </c>
      <c r="AC89" s="4" t="s">
        <v>46</v>
      </c>
      <c r="AD89" s="5">
        <v>0</v>
      </c>
      <c r="AE89" s="4" t="s">
        <v>70</v>
      </c>
      <c r="AF89" s="3">
        <v>45689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85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46064</v>
      </c>
      <c r="C90" s="4" t="s">
        <v>333</v>
      </c>
      <c r="D90" s="2">
        <v>1855975</v>
      </c>
      <c r="E90" s="4" t="s">
        <v>337</v>
      </c>
      <c r="F90" s="4" t="s">
        <v>338</v>
      </c>
      <c r="G90" s="2">
        <v>632016112</v>
      </c>
      <c r="H90" s="4" t="s">
        <v>339</v>
      </c>
      <c r="I90" s="4" t="s">
        <v>46</v>
      </c>
      <c r="J90" s="4" t="s">
        <v>47</v>
      </c>
      <c r="K90" s="4" t="s">
        <v>48</v>
      </c>
      <c r="L90" s="3">
        <v>46023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340</v>
      </c>
      <c r="U90" s="4" t="s">
        <v>46</v>
      </c>
      <c r="V90" s="5">
        <v>-0.92</v>
      </c>
      <c r="W90" s="5">
        <v>0</v>
      </c>
      <c r="X90" s="5">
        <v>100</v>
      </c>
      <c r="Y90" s="5">
        <v>-52.25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46023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341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46064</v>
      </c>
      <c r="C91" s="4" t="s">
        <v>333</v>
      </c>
      <c r="D91" s="2">
        <v>1855975</v>
      </c>
      <c r="E91" s="4" t="s">
        <v>342</v>
      </c>
      <c r="F91" s="4" t="s">
        <v>343</v>
      </c>
      <c r="G91" s="2">
        <v>71870095</v>
      </c>
      <c r="H91" s="4" t="s">
        <v>344</v>
      </c>
      <c r="I91" s="4" t="s">
        <v>46</v>
      </c>
      <c r="J91" s="4" t="s">
        <v>47</v>
      </c>
      <c r="K91" s="4" t="s">
        <v>48</v>
      </c>
      <c r="L91" s="3">
        <v>46113</v>
      </c>
      <c r="M91" s="4" t="s">
        <v>251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52</v>
      </c>
      <c r="U91" s="4" t="s">
        <v>46</v>
      </c>
      <c r="V91" s="5">
        <v>0.75</v>
      </c>
      <c r="W91" s="5">
        <v>0</v>
      </c>
      <c r="X91" s="5">
        <v>100</v>
      </c>
      <c r="Y91" s="5">
        <v>260.25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46113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55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46064</v>
      </c>
      <c r="C92" s="4" t="s">
        <v>345</v>
      </c>
      <c r="D92" s="2">
        <v>1863964</v>
      </c>
      <c r="E92" s="4" t="s">
        <v>346</v>
      </c>
      <c r="F92" s="4" t="s">
        <v>347</v>
      </c>
      <c r="G92" s="2">
        <v>734153463</v>
      </c>
      <c r="H92" s="4" t="s">
        <v>348</v>
      </c>
      <c r="I92" s="4" t="s">
        <v>46</v>
      </c>
      <c r="J92" s="4" t="s">
        <v>47</v>
      </c>
      <c r="K92" s="4" t="s">
        <v>48</v>
      </c>
      <c r="L92" s="3">
        <v>46054</v>
      </c>
      <c r="M92" s="4" t="s">
        <v>64</v>
      </c>
      <c r="N92" s="4" t="s">
        <v>46</v>
      </c>
      <c r="O92" s="4" t="s">
        <v>68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80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69</v>
      </c>
      <c r="AC92" s="4" t="s">
        <v>46</v>
      </c>
      <c r="AD92" s="5">
        <v>0</v>
      </c>
      <c r="AE92" s="4" t="s">
        <v>70</v>
      </c>
      <c r="AF92" s="3">
        <v>45931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81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46064</v>
      </c>
      <c r="C93" s="4" t="s">
        <v>349</v>
      </c>
      <c r="D93" s="2">
        <v>1913090</v>
      </c>
      <c r="E93" s="4" t="s">
        <v>350</v>
      </c>
      <c r="F93" s="4" t="s">
        <v>351</v>
      </c>
      <c r="G93" s="2">
        <v>93468595</v>
      </c>
      <c r="H93" s="4" t="s">
        <v>352</v>
      </c>
      <c r="I93" s="4" t="s">
        <v>46</v>
      </c>
      <c r="J93" s="4" t="s">
        <v>47</v>
      </c>
      <c r="K93" s="4" t="s">
        <v>48</v>
      </c>
      <c r="L93" s="3">
        <v>46054</v>
      </c>
      <c r="M93" s="4" t="s">
        <v>64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52</v>
      </c>
      <c r="U93" s="4" t="s">
        <v>46</v>
      </c>
      <c r="V93" s="5">
        <v>0.92</v>
      </c>
      <c r="W93" s="5">
        <v>0</v>
      </c>
      <c r="X93" s="5">
        <v>100</v>
      </c>
      <c r="Y93" s="5">
        <v>151.25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46054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55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46064</v>
      </c>
      <c r="C94" s="4" t="s">
        <v>353</v>
      </c>
      <c r="D94" s="2">
        <v>1953307</v>
      </c>
      <c r="E94" s="4" t="s">
        <v>354</v>
      </c>
      <c r="F94" s="4" t="s">
        <v>355</v>
      </c>
      <c r="G94" s="2">
        <v>122333053</v>
      </c>
      <c r="H94" s="4" t="s">
        <v>356</v>
      </c>
      <c r="I94" s="4" t="s">
        <v>46</v>
      </c>
      <c r="J94" s="4" t="s">
        <v>47</v>
      </c>
      <c r="K94" s="4" t="s">
        <v>48</v>
      </c>
      <c r="L94" s="3">
        <v>46082</v>
      </c>
      <c r="M94" s="4" t="s">
        <v>74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80</v>
      </c>
      <c r="U94" s="4" t="s">
        <v>46</v>
      </c>
      <c r="V94" s="5">
        <v>0.83</v>
      </c>
      <c r="W94" s="5">
        <v>0</v>
      </c>
      <c r="X94" s="5">
        <v>100</v>
      </c>
      <c r="Y94" s="5">
        <v>289.17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46082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81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46064</v>
      </c>
      <c r="C95" s="4" t="s">
        <v>353</v>
      </c>
      <c r="D95" s="2">
        <v>1953307</v>
      </c>
      <c r="E95" s="4" t="s">
        <v>357</v>
      </c>
      <c r="F95" s="4" t="s">
        <v>358</v>
      </c>
      <c r="G95" s="2">
        <v>89043494</v>
      </c>
      <c r="H95" s="4" t="s">
        <v>359</v>
      </c>
      <c r="I95" s="4" t="s">
        <v>46</v>
      </c>
      <c r="J95" s="4" t="s">
        <v>47</v>
      </c>
      <c r="K95" s="4" t="s">
        <v>48</v>
      </c>
      <c r="L95" s="3">
        <v>46113</v>
      </c>
      <c r="M95" s="4" t="s">
        <v>251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80</v>
      </c>
      <c r="U95" s="4" t="s">
        <v>46</v>
      </c>
      <c r="V95" s="5">
        <v>0.75</v>
      </c>
      <c r="W95" s="5">
        <v>0</v>
      </c>
      <c r="X95" s="5">
        <v>100</v>
      </c>
      <c r="Y95" s="5">
        <v>260.25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46113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81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46064</v>
      </c>
      <c r="C96" s="4" t="s">
        <v>360</v>
      </c>
      <c r="D96" s="2">
        <v>1969216</v>
      </c>
      <c r="E96" s="4" t="s">
        <v>361</v>
      </c>
      <c r="F96" s="4" t="s">
        <v>362</v>
      </c>
      <c r="G96" s="2">
        <v>970361732</v>
      </c>
      <c r="H96" s="4" t="s">
        <v>363</v>
      </c>
      <c r="I96" s="4" t="s">
        <v>46</v>
      </c>
      <c r="J96" s="4" t="s">
        <v>47</v>
      </c>
      <c r="K96" s="4" t="s">
        <v>48</v>
      </c>
      <c r="L96" s="3">
        <v>46082</v>
      </c>
      <c r="M96" s="4" t="s">
        <v>74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80</v>
      </c>
      <c r="U96" s="4" t="s">
        <v>46</v>
      </c>
      <c r="V96" s="5">
        <v>0.83</v>
      </c>
      <c r="W96" s="5">
        <v>0</v>
      </c>
      <c r="X96" s="5">
        <v>100</v>
      </c>
      <c r="Y96" s="5">
        <v>289.17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46082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81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46064</v>
      </c>
      <c r="C97" s="4" t="s">
        <v>364</v>
      </c>
      <c r="D97" s="2">
        <v>1975294</v>
      </c>
      <c r="E97" s="4" t="s">
        <v>365</v>
      </c>
      <c r="F97" s="4" t="s">
        <v>366</v>
      </c>
      <c r="G97" s="2">
        <v>745739545</v>
      </c>
      <c r="H97" s="4" t="s">
        <v>367</v>
      </c>
      <c r="I97" s="4" t="s">
        <v>46</v>
      </c>
      <c r="J97" s="4" t="s">
        <v>47</v>
      </c>
      <c r="K97" s="4" t="s">
        <v>48</v>
      </c>
      <c r="L97" s="3">
        <v>46143</v>
      </c>
      <c r="M97" s="4" t="s">
        <v>332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80</v>
      </c>
      <c r="U97" s="4" t="s">
        <v>46</v>
      </c>
      <c r="V97" s="5">
        <v>0.67</v>
      </c>
      <c r="W97" s="5">
        <v>0</v>
      </c>
      <c r="X97" s="5">
        <v>100</v>
      </c>
      <c r="Y97" s="5">
        <v>231.33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46143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81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46064</v>
      </c>
      <c r="C98" s="4" t="s">
        <v>368</v>
      </c>
      <c r="D98" s="2">
        <v>1985182</v>
      </c>
      <c r="E98" s="4" t="s">
        <v>369</v>
      </c>
      <c r="F98" s="4" t="s">
        <v>370</v>
      </c>
      <c r="G98" s="2">
        <v>297603560</v>
      </c>
      <c r="H98" s="4" t="s">
        <v>371</v>
      </c>
      <c r="I98" s="4" t="s">
        <v>46</v>
      </c>
      <c r="J98" s="4" t="s">
        <v>47</v>
      </c>
      <c r="K98" s="4" t="s">
        <v>48</v>
      </c>
      <c r="L98" s="3">
        <v>46082</v>
      </c>
      <c r="M98" s="4" t="s">
        <v>74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52</v>
      </c>
      <c r="U98" s="4" t="s">
        <v>46</v>
      </c>
      <c r="V98" s="5">
        <v>0.83</v>
      </c>
      <c r="W98" s="5">
        <v>0</v>
      </c>
      <c r="X98" s="5">
        <v>100</v>
      </c>
      <c r="Y98" s="5">
        <v>289.17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46082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55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46064</v>
      </c>
      <c r="C99" s="4" t="s">
        <v>372</v>
      </c>
      <c r="D99" s="2">
        <v>1986712</v>
      </c>
      <c r="E99" s="4" t="s">
        <v>373</v>
      </c>
      <c r="F99" s="4" t="s">
        <v>374</v>
      </c>
      <c r="G99" s="2">
        <v>7310344</v>
      </c>
      <c r="H99" s="4" t="s">
        <v>375</v>
      </c>
      <c r="I99" s="4" t="s">
        <v>46</v>
      </c>
      <c r="J99" s="4" t="s">
        <v>47</v>
      </c>
      <c r="K99" s="4" t="s">
        <v>48</v>
      </c>
      <c r="L99" s="3">
        <v>46143</v>
      </c>
      <c r="M99" s="4" t="s">
        <v>332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52</v>
      </c>
      <c r="U99" s="4" t="s">
        <v>46</v>
      </c>
      <c r="V99" s="5">
        <v>0.67</v>
      </c>
      <c r="W99" s="5">
        <v>0</v>
      </c>
      <c r="X99" s="5">
        <v>100</v>
      </c>
      <c r="Y99" s="5">
        <v>231.33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46143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55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46064</v>
      </c>
      <c r="C100" s="4" t="s">
        <v>376</v>
      </c>
      <c r="D100" s="2">
        <v>2004929</v>
      </c>
      <c r="E100" s="4" t="s">
        <v>377</v>
      </c>
      <c r="F100" s="4" t="s">
        <v>378</v>
      </c>
      <c r="G100" s="2">
        <v>367403584</v>
      </c>
      <c r="H100" s="4" t="s">
        <v>379</v>
      </c>
      <c r="I100" s="4" t="s">
        <v>46</v>
      </c>
      <c r="J100" s="4" t="s">
        <v>47</v>
      </c>
      <c r="K100" s="4" t="s">
        <v>48</v>
      </c>
      <c r="L100" s="3">
        <v>46023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52</v>
      </c>
      <c r="U100" s="4" t="s">
        <v>46</v>
      </c>
      <c r="V100" s="5">
        <v>-0.83</v>
      </c>
      <c r="W100" s="5">
        <v>0</v>
      </c>
      <c r="X100" s="5">
        <v>100</v>
      </c>
      <c r="Y100" s="5">
        <v>-289.17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46023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55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46064</v>
      </c>
      <c r="C101" s="4" t="s">
        <v>380</v>
      </c>
      <c r="D101" s="2">
        <v>1418187</v>
      </c>
      <c r="E101" s="4" t="s">
        <v>381</v>
      </c>
      <c r="F101" s="4" t="s">
        <v>382</v>
      </c>
      <c r="G101" s="4" t="s">
        <v>46</v>
      </c>
      <c r="H101" s="4" t="s">
        <v>46</v>
      </c>
      <c r="I101" s="4" t="s">
        <v>46</v>
      </c>
      <c r="J101" s="4" t="s">
        <v>383</v>
      </c>
      <c r="K101" s="4" t="s">
        <v>48</v>
      </c>
      <c r="L101" s="3">
        <v>46054</v>
      </c>
      <c r="M101" s="4" t="s">
        <v>64</v>
      </c>
      <c r="N101" s="4" t="s">
        <v>46</v>
      </c>
      <c r="O101" s="4" t="s">
        <v>68</v>
      </c>
      <c r="P101" s="4" t="s">
        <v>68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22</v>
      </c>
      <c r="W101" s="5">
        <v>129.12</v>
      </c>
      <c r="X101" s="5">
        <v>100</v>
      </c>
      <c r="Y101" s="5">
        <v>28.41</v>
      </c>
      <c r="Z101" s="5">
        <v>0</v>
      </c>
      <c r="AA101" s="5">
        <v>0</v>
      </c>
      <c r="AB101" s="4" t="s">
        <v>384</v>
      </c>
      <c r="AC101" s="4" t="s">
        <v>46</v>
      </c>
      <c r="AD101" s="5">
        <v>0</v>
      </c>
      <c r="AE101" s="4" t="s">
        <v>385</v>
      </c>
      <c r="AF101" s="3">
        <v>45505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46064</v>
      </c>
      <c r="C102" s="4" t="s">
        <v>386</v>
      </c>
      <c r="D102" s="2">
        <v>1509744</v>
      </c>
      <c r="E102" s="4" t="s">
        <v>387</v>
      </c>
      <c r="F102" s="4" t="s">
        <v>388</v>
      </c>
      <c r="G102" s="4" t="s">
        <v>46</v>
      </c>
      <c r="H102" s="4" t="s">
        <v>46</v>
      </c>
      <c r="I102" s="4" t="s">
        <v>46</v>
      </c>
      <c r="J102" s="4" t="s">
        <v>389</v>
      </c>
      <c r="K102" s="4" t="s">
        <v>390</v>
      </c>
      <c r="L102" s="3">
        <v>46082</v>
      </c>
      <c r="M102" s="4" t="s">
        <v>74</v>
      </c>
      <c r="N102" s="4" t="s">
        <v>46</v>
      </c>
      <c r="O102" s="4" t="s">
        <v>68</v>
      </c>
      <c r="P102" s="4" t="s">
        <v>68</v>
      </c>
      <c r="Q102" s="2">
        <v>2</v>
      </c>
      <c r="R102" s="2">
        <v>60</v>
      </c>
      <c r="S102" s="4" t="s">
        <v>391</v>
      </c>
      <c r="T102" s="4" t="s">
        <v>46</v>
      </c>
      <c r="U102" s="4" t="s">
        <v>46</v>
      </c>
      <c r="V102" s="5">
        <v>10</v>
      </c>
      <c r="W102" s="5">
        <v>26.88</v>
      </c>
      <c r="X102" s="5">
        <v>100</v>
      </c>
      <c r="Y102" s="5">
        <v>2.69</v>
      </c>
      <c r="Z102" s="4" t="s">
        <v>46</v>
      </c>
      <c r="AA102" s="5" t="s">
        <v>46</v>
      </c>
      <c r="AB102" s="4" t="s">
        <v>392</v>
      </c>
      <c r="AC102" s="4" t="s">
        <v>46</v>
      </c>
      <c r="AD102" s="5">
        <v>0</v>
      </c>
      <c r="AE102" s="4" t="s">
        <v>393</v>
      </c>
      <c r="AF102" s="3">
        <v>45323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46064</v>
      </c>
      <c r="C103" s="4" t="s">
        <v>386</v>
      </c>
      <c r="D103" s="2">
        <v>1509744</v>
      </c>
      <c r="E103" s="4" t="s">
        <v>394</v>
      </c>
      <c r="F103" s="4" t="s">
        <v>395</v>
      </c>
      <c r="G103" s="4" t="s">
        <v>46</v>
      </c>
      <c r="H103" s="4" t="s">
        <v>46</v>
      </c>
      <c r="I103" s="4" t="s">
        <v>46</v>
      </c>
      <c r="J103" s="4" t="s">
        <v>389</v>
      </c>
      <c r="K103" s="4" t="s">
        <v>390</v>
      </c>
      <c r="L103" s="3">
        <v>46082</v>
      </c>
      <c r="M103" s="4" t="s">
        <v>74</v>
      </c>
      <c r="N103" s="4" t="s">
        <v>46</v>
      </c>
      <c r="O103" s="4" t="s">
        <v>68</v>
      </c>
      <c r="P103" s="4" t="s">
        <v>68</v>
      </c>
      <c r="Q103" s="2">
        <v>1</v>
      </c>
      <c r="R103" s="2">
        <v>60</v>
      </c>
      <c r="S103" s="4" t="s">
        <v>391</v>
      </c>
      <c r="T103" s="4" t="s">
        <v>46</v>
      </c>
      <c r="U103" s="4" t="s">
        <v>46</v>
      </c>
      <c r="V103" s="5">
        <v>10</v>
      </c>
      <c r="W103" s="5">
        <v>14.93</v>
      </c>
      <c r="X103" s="5">
        <v>100</v>
      </c>
      <c r="Y103" s="5">
        <v>1.49</v>
      </c>
      <c r="Z103" s="4" t="s">
        <v>46</v>
      </c>
      <c r="AA103" s="5" t="s">
        <v>46</v>
      </c>
      <c r="AB103" s="4" t="s">
        <v>392</v>
      </c>
      <c r="AC103" s="4" t="s">
        <v>46</v>
      </c>
      <c r="AD103" s="5">
        <v>0</v>
      </c>
      <c r="AE103" s="4" t="s">
        <v>393</v>
      </c>
      <c r="AF103" s="3">
        <v>45622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46064</v>
      </c>
      <c r="C104" s="4" t="s">
        <v>396</v>
      </c>
      <c r="D104" s="2">
        <v>1524629</v>
      </c>
      <c r="E104" s="4" t="s">
        <v>397</v>
      </c>
      <c r="F104" s="4" t="s">
        <v>398</v>
      </c>
      <c r="G104" s="4" t="s">
        <v>46</v>
      </c>
      <c r="H104" s="4" t="s">
        <v>46</v>
      </c>
      <c r="I104" s="4" t="s">
        <v>46</v>
      </c>
      <c r="J104" s="4" t="s">
        <v>383</v>
      </c>
      <c r="K104" s="4" t="s">
        <v>48</v>
      </c>
      <c r="L104" s="3">
        <v>46054</v>
      </c>
      <c r="M104" s="4" t="s">
        <v>64</v>
      </c>
      <c r="N104" s="4" t="s">
        <v>46</v>
      </c>
      <c r="O104" s="4" t="s">
        <v>68</v>
      </c>
      <c r="P104" s="4" t="s">
        <v>68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26</v>
      </c>
      <c r="W104" s="5">
        <v>147.1</v>
      </c>
      <c r="X104" s="5">
        <v>100</v>
      </c>
      <c r="Y104" s="5">
        <v>38.25</v>
      </c>
      <c r="Z104" s="5">
        <v>0</v>
      </c>
      <c r="AA104" s="5">
        <v>0</v>
      </c>
      <c r="AB104" s="4" t="s">
        <v>384</v>
      </c>
      <c r="AC104" s="4" t="s">
        <v>46</v>
      </c>
      <c r="AD104" s="5">
        <v>0</v>
      </c>
      <c r="AE104" s="4" t="s">
        <v>385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46064</v>
      </c>
      <c r="C105" s="4" t="s">
        <v>189</v>
      </c>
      <c r="D105" s="2">
        <v>1673202</v>
      </c>
      <c r="E105" s="4" t="s">
        <v>399</v>
      </c>
      <c r="F105" s="4" t="s">
        <v>400</v>
      </c>
      <c r="G105" s="4" t="s">
        <v>46</v>
      </c>
      <c r="H105" s="4" t="s">
        <v>46</v>
      </c>
      <c r="I105" s="4" t="s">
        <v>46</v>
      </c>
      <c r="J105" s="4" t="s">
        <v>383</v>
      </c>
      <c r="K105" s="4" t="s">
        <v>48</v>
      </c>
      <c r="L105" s="3">
        <v>46054</v>
      </c>
      <c r="M105" s="4" t="s">
        <v>64</v>
      </c>
      <c r="N105" s="4" t="s">
        <v>46</v>
      </c>
      <c r="O105" s="4" t="s">
        <v>50</v>
      </c>
      <c r="P105" s="4" t="s">
        <v>68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2778.6</v>
      </c>
      <c r="X105" s="5">
        <v>100</v>
      </c>
      <c r="Y105" s="5">
        <v>611.28</v>
      </c>
      <c r="Z105" s="5">
        <v>0</v>
      </c>
      <c r="AA105" s="5">
        <v>0</v>
      </c>
      <c r="AB105" s="4" t="s">
        <v>401</v>
      </c>
      <c r="AC105" s="4" t="s">
        <v>46</v>
      </c>
      <c r="AD105" s="5">
        <v>0</v>
      </c>
      <c r="AE105" s="4" t="s">
        <v>402</v>
      </c>
      <c r="AF105" s="3">
        <v>46054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46064</v>
      </c>
      <c r="C106" s="4" t="s">
        <v>403</v>
      </c>
      <c r="D106" s="2">
        <v>1673763</v>
      </c>
      <c r="E106" s="4" t="s">
        <v>404</v>
      </c>
      <c r="F106" s="4" t="s">
        <v>405</v>
      </c>
      <c r="G106" s="4" t="s">
        <v>46</v>
      </c>
      <c r="H106" s="4" t="s">
        <v>46</v>
      </c>
      <c r="I106" s="4" t="s">
        <v>46</v>
      </c>
      <c r="J106" s="4" t="s">
        <v>383</v>
      </c>
      <c r="K106" s="4" t="s">
        <v>48</v>
      </c>
      <c r="L106" s="3">
        <v>46054</v>
      </c>
      <c r="M106" s="4" t="s">
        <v>64</v>
      </c>
      <c r="N106" s="4" t="s">
        <v>46</v>
      </c>
      <c r="O106" s="4" t="s">
        <v>68</v>
      </c>
      <c r="P106" s="4" t="s">
        <v>68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130.08000000000001</v>
      </c>
      <c r="X106" s="5">
        <v>100</v>
      </c>
      <c r="Y106" s="5">
        <v>28.62</v>
      </c>
      <c r="Z106" s="5">
        <v>0</v>
      </c>
      <c r="AA106" s="5">
        <v>0</v>
      </c>
      <c r="AB106" s="4" t="s">
        <v>384</v>
      </c>
      <c r="AC106" s="4" t="s">
        <v>46</v>
      </c>
      <c r="AD106" s="5">
        <v>0</v>
      </c>
      <c r="AE106" s="4" t="s">
        <v>385</v>
      </c>
      <c r="AF106" s="3">
        <v>45444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46064</v>
      </c>
      <c r="C107" s="4" t="s">
        <v>403</v>
      </c>
      <c r="D107" s="2">
        <v>1673763</v>
      </c>
      <c r="E107" s="4" t="s">
        <v>406</v>
      </c>
      <c r="F107" s="4" t="s">
        <v>407</v>
      </c>
      <c r="G107" s="4" t="s">
        <v>46</v>
      </c>
      <c r="H107" s="4" t="s">
        <v>46</v>
      </c>
      <c r="I107" s="4" t="s">
        <v>46</v>
      </c>
      <c r="J107" s="4" t="s">
        <v>383</v>
      </c>
      <c r="K107" s="4" t="s">
        <v>48</v>
      </c>
      <c r="L107" s="3">
        <v>46054</v>
      </c>
      <c r="M107" s="4" t="s">
        <v>64</v>
      </c>
      <c r="N107" s="4" t="s">
        <v>46</v>
      </c>
      <c r="O107" s="4" t="s">
        <v>68</v>
      </c>
      <c r="P107" s="4" t="s">
        <v>68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107.48</v>
      </c>
      <c r="X107" s="5">
        <v>100</v>
      </c>
      <c r="Y107" s="5">
        <v>23.65</v>
      </c>
      <c r="Z107" s="5">
        <v>0</v>
      </c>
      <c r="AA107" s="5">
        <v>0</v>
      </c>
      <c r="AB107" s="4" t="s">
        <v>384</v>
      </c>
      <c r="AC107" s="4" t="s">
        <v>46</v>
      </c>
      <c r="AD107" s="5">
        <v>0</v>
      </c>
      <c r="AE107" s="4" t="s">
        <v>385</v>
      </c>
      <c r="AF107" s="3">
        <v>45627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46064</v>
      </c>
      <c r="C108" s="4" t="s">
        <v>408</v>
      </c>
      <c r="D108" s="2">
        <v>1737425</v>
      </c>
      <c r="E108" s="4" t="s">
        <v>409</v>
      </c>
      <c r="F108" s="4" t="s">
        <v>410</v>
      </c>
      <c r="G108" s="4" t="s">
        <v>46</v>
      </c>
      <c r="H108" s="4" t="s">
        <v>46</v>
      </c>
      <c r="I108" s="4" t="s">
        <v>46</v>
      </c>
      <c r="J108" s="4" t="s">
        <v>389</v>
      </c>
      <c r="K108" s="4" t="s">
        <v>390</v>
      </c>
      <c r="L108" s="3">
        <v>46082</v>
      </c>
      <c r="M108" s="4" t="s">
        <v>74</v>
      </c>
      <c r="N108" s="4" t="s">
        <v>46</v>
      </c>
      <c r="O108" s="4" t="s">
        <v>50</v>
      </c>
      <c r="P108" s="4" t="s">
        <v>68</v>
      </c>
      <c r="Q108" s="2">
        <v>3</v>
      </c>
      <c r="R108" s="2">
        <v>60</v>
      </c>
      <c r="S108" s="4" t="s">
        <v>391</v>
      </c>
      <c r="T108" s="4" t="s">
        <v>46</v>
      </c>
      <c r="U108" s="4" t="s">
        <v>46</v>
      </c>
      <c r="V108" s="5">
        <v>10</v>
      </c>
      <c r="W108" s="5">
        <v>38.21</v>
      </c>
      <c r="X108" s="5">
        <v>100</v>
      </c>
      <c r="Y108" s="5">
        <v>3.82</v>
      </c>
      <c r="Z108" s="4" t="s">
        <v>46</v>
      </c>
      <c r="AA108" s="5" t="s">
        <v>46</v>
      </c>
      <c r="AB108" s="4" t="s">
        <v>411</v>
      </c>
      <c r="AC108" s="4" t="s">
        <v>46</v>
      </c>
      <c r="AD108" s="5">
        <v>0</v>
      </c>
      <c r="AE108" s="4" t="s">
        <v>412</v>
      </c>
      <c r="AF108" s="3">
        <v>45786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46064</v>
      </c>
      <c r="C109" s="4" t="s">
        <v>413</v>
      </c>
      <c r="D109" s="2">
        <v>1755893</v>
      </c>
      <c r="E109" s="4" t="s">
        <v>414</v>
      </c>
      <c r="F109" s="4" t="s">
        <v>415</v>
      </c>
      <c r="G109" s="4" t="s">
        <v>46</v>
      </c>
      <c r="H109" s="4" t="s">
        <v>46</v>
      </c>
      <c r="I109" s="4" t="s">
        <v>46</v>
      </c>
      <c r="J109" s="4" t="s">
        <v>389</v>
      </c>
      <c r="K109" s="4" t="s">
        <v>390</v>
      </c>
      <c r="L109" s="3">
        <v>46082</v>
      </c>
      <c r="M109" s="4" t="s">
        <v>74</v>
      </c>
      <c r="N109" s="4" t="s">
        <v>46</v>
      </c>
      <c r="O109" s="4" t="s">
        <v>50</v>
      </c>
      <c r="P109" s="4" t="s">
        <v>68</v>
      </c>
      <c r="Q109" s="2">
        <v>1</v>
      </c>
      <c r="R109" s="2">
        <v>60</v>
      </c>
      <c r="S109" s="4" t="s">
        <v>391</v>
      </c>
      <c r="T109" s="4" t="s">
        <v>46</v>
      </c>
      <c r="U109" s="4" t="s">
        <v>46</v>
      </c>
      <c r="V109" s="5">
        <v>10</v>
      </c>
      <c r="W109" s="5">
        <v>12.99</v>
      </c>
      <c r="X109" s="5">
        <v>100</v>
      </c>
      <c r="Y109" s="5">
        <v>1.3</v>
      </c>
      <c r="Z109" s="4" t="s">
        <v>46</v>
      </c>
      <c r="AA109" s="5" t="s">
        <v>46</v>
      </c>
      <c r="AB109" s="4" t="s">
        <v>411</v>
      </c>
      <c r="AC109" s="4" t="s">
        <v>46</v>
      </c>
      <c r="AD109" s="5">
        <v>0</v>
      </c>
      <c r="AE109" s="4" t="s">
        <v>412</v>
      </c>
      <c r="AF109" s="3">
        <v>45839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46064</v>
      </c>
      <c r="C110" s="4" t="s">
        <v>413</v>
      </c>
      <c r="D110" s="2">
        <v>1755893</v>
      </c>
      <c r="E110" s="4" t="s">
        <v>416</v>
      </c>
      <c r="F110" s="4" t="s">
        <v>417</v>
      </c>
      <c r="G110" s="4" t="s">
        <v>46</v>
      </c>
      <c r="H110" s="4" t="s">
        <v>46</v>
      </c>
      <c r="I110" s="4" t="s">
        <v>46</v>
      </c>
      <c r="J110" s="4" t="s">
        <v>389</v>
      </c>
      <c r="K110" s="4" t="s">
        <v>390</v>
      </c>
      <c r="L110" s="3">
        <v>46082</v>
      </c>
      <c r="M110" s="4" t="s">
        <v>74</v>
      </c>
      <c r="N110" s="4" t="s">
        <v>46</v>
      </c>
      <c r="O110" s="4" t="s">
        <v>50</v>
      </c>
      <c r="P110" s="4" t="s">
        <v>68</v>
      </c>
      <c r="Q110" s="2">
        <v>1</v>
      </c>
      <c r="R110" s="2">
        <v>60</v>
      </c>
      <c r="S110" s="4" t="s">
        <v>391</v>
      </c>
      <c r="T110" s="4" t="s">
        <v>46</v>
      </c>
      <c r="U110" s="4" t="s">
        <v>46</v>
      </c>
      <c r="V110" s="5">
        <v>10</v>
      </c>
      <c r="W110" s="5">
        <v>12.99</v>
      </c>
      <c r="X110" s="5">
        <v>100</v>
      </c>
      <c r="Y110" s="5">
        <v>1.3</v>
      </c>
      <c r="Z110" s="4" t="s">
        <v>46</v>
      </c>
      <c r="AA110" s="5" t="s">
        <v>46</v>
      </c>
      <c r="AB110" s="4" t="s">
        <v>411</v>
      </c>
      <c r="AC110" s="4" t="s">
        <v>46</v>
      </c>
      <c r="AD110" s="5">
        <v>0</v>
      </c>
      <c r="AE110" s="4" t="s">
        <v>412</v>
      </c>
      <c r="AF110" s="3">
        <v>45880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46064</v>
      </c>
      <c r="C111" s="4" t="s">
        <v>413</v>
      </c>
      <c r="D111" s="2">
        <v>1755893</v>
      </c>
      <c r="E111" s="4" t="s">
        <v>418</v>
      </c>
      <c r="F111" s="4" t="s">
        <v>419</v>
      </c>
      <c r="G111" s="4" t="s">
        <v>46</v>
      </c>
      <c r="H111" s="4" t="s">
        <v>46</v>
      </c>
      <c r="I111" s="4" t="s">
        <v>46</v>
      </c>
      <c r="J111" s="4" t="s">
        <v>389</v>
      </c>
      <c r="K111" s="4" t="s">
        <v>390</v>
      </c>
      <c r="L111" s="3">
        <v>46082</v>
      </c>
      <c r="M111" s="4" t="s">
        <v>74</v>
      </c>
      <c r="N111" s="4" t="s">
        <v>46</v>
      </c>
      <c r="O111" s="4" t="s">
        <v>50</v>
      </c>
      <c r="P111" s="4" t="s">
        <v>68</v>
      </c>
      <c r="Q111" s="2">
        <v>1</v>
      </c>
      <c r="R111" s="2">
        <v>60</v>
      </c>
      <c r="S111" s="4" t="s">
        <v>391</v>
      </c>
      <c r="T111" s="4" t="s">
        <v>46</v>
      </c>
      <c r="U111" s="4" t="s">
        <v>46</v>
      </c>
      <c r="V111" s="5">
        <v>10</v>
      </c>
      <c r="W111" s="5">
        <v>12.99</v>
      </c>
      <c r="X111" s="5">
        <v>100</v>
      </c>
      <c r="Y111" s="5">
        <v>1.3</v>
      </c>
      <c r="Z111" s="4" t="s">
        <v>46</v>
      </c>
      <c r="AA111" s="5" t="s">
        <v>46</v>
      </c>
      <c r="AB111" s="4" t="s">
        <v>411</v>
      </c>
      <c r="AC111" s="4" t="s">
        <v>46</v>
      </c>
      <c r="AD111" s="5">
        <v>0</v>
      </c>
      <c r="AE111" s="4" t="s">
        <v>412</v>
      </c>
      <c r="AF111" s="3">
        <v>45903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46064</v>
      </c>
      <c r="C112" s="4" t="s">
        <v>237</v>
      </c>
      <c r="D112" s="2">
        <v>1773696</v>
      </c>
      <c r="E112" s="4" t="s">
        <v>420</v>
      </c>
      <c r="F112" s="4" t="s">
        <v>421</v>
      </c>
      <c r="G112" s="4" t="s">
        <v>46</v>
      </c>
      <c r="H112" s="4" t="s">
        <v>46</v>
      </c>
      <c r="I112" s="4" t="s">
        <v>46</v>
      </c>
      <c r="J112" s="4" t="s">
        <v>422</v>
      </c>
      <c r="K112" s="4" t="s">
        <v>423</v>
      </c>
      <c r="L112" s="3">
        <v>46054</v>
      </c>
      <c r="M112" s="4" t="s">
        <v>64</v>
      </c>
      <c r="N112" s="4" t="s">
        <v>46</v>
      </c>
      <c r="O112" s="4" t="s">
        <v>68</v>
      </c>
      <c r="P112" s="4" t="s">
        <v>68</v>
      </c>
      <c r="Q112" s="2">
        <v>31</v>
      </c>
      <c r="R112" s="2">
        <v>3</v>
      </c>
      <c r="S112" s="4" t="s">
        <v>424</v>
      </c>
      <c r="T112" s="4" t="s">
        <v>46</v>
      </c>
      <c r="U112" s="4" t="s">
        <v>46</v>
      </c>
      <c r="V112" s="5">
        <v>10</v>
      </c>
      <c r="W112" s="5">
        <v>959.08</v>
      </c>
      <c r="X112" s="5">
        <v>100</v>
      </c>
      <c r="Y112" s="5">
        <v>95.91</v>
      </c>
      <c r="Z112" s="4" t="s">
        <v>46</v>
      </c>
      <c r="AA112" s="5" t="s">
        <v>46</v>
      </c>
      <c r="AB112" s="4" t="s">
        <v>69</v>
      </c>
      <c r="AC112" s="4" t="s">
        <v>46</v>
      </c>
      <c r="AD112" s="5">
        <v>0</v>
      </c>
      <c r="AE112" s="4" t="s">
        <v>70</v>
      </c>
      <c r="AF112" s="3">
        <v>45474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46064</v>
      </c>
      <c r="C113" s="4" t="s">
        <v>237</v>
      </c>
      <c r="D113" s="2">
        <v>1773696</v>
      </c>
      <c r="E113" s="4" t="s">
        <v>420</v>
      </c>
      <c r="F113" s="4" t="s">
        <v>421</v>
      </c>
      <c r="G113" s="4" t="s">
        <v>46</v>
      </c>
      <c r="H113" s="4" t="s">
        <v>46</v>
      </c>
      <c r="I113" s="4" t="s">
        <v>46</v>
      </c>
      <c r="J113" s="4" t="s">
        <v>422</v>
      </c>
      <c r="K113" s="4" t="s">
        <v>423</v>
      </c>
      <c r="L113" s="3">
        <v>46054</v>
      </c>
      <c r="M113" s="4" t="s">
        <v>64</v>
      </c>
      <c r="N113" s="4" t="s">
        <v>46</v>
      </c>
      <c r="O113" s="4" t="s">
        <v>68</v>
      </c>
      <c r="P113" s="4" t="s">
        <v>68</v>
      </c>
      <c r="Q113" s="2">
        <v>67</v>
      </c>
      <c r="R113" s="2">
        <v>5</v>
      </c>
      <c r="S113" s="4" t="s">
        <v>425</v>
      </c>
      <c r="T113" s="4" t="s">
        <v>46</v>
      </c>
      <c r="U113" s="4" t="s">
        <v>46</v>
      </c>
      <c r="V113" s="5">
        <v>15</v>
      </c>
      <c r="W113" s="5">
        <v>127.34</v>
      </c>
      <c r="X113" s="5">
        <v>100</v>
      </c>
      <c r="Y113" s="5">
        <v>19.100000000000001</v>
      </c>
      <c r="Z113" s="4" t="s">
        <v>46</v>
      </c>
      <c r="AA113" s="5" t="s">
        <v>46</v>
      </c>
      <c r="AB113" s="4" t="s">
        <v>69</v>
      </c>
      <c r="AC113" s="4" t="s">
        <v>46</v>
      </c>
      <c r="AD113" s="5">
        <v>0</v>
      </c>
      <c r="AE113" s="4" t="s">
        <v>70</v>
      </c>
      <c r="AF113" s="3">
        <v>45474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46064</v>
      </c>
      <c r="C114" s="4" t="s">
        <v>237</v>
      </c>
      <c r="D114" s="2">
        <v>1773696</v>
      </c>
      <c r="E114" s="4" t="s">
        <v>420</v>
      </c>
      <c r="F114" s="4" t="s">
        <v>421</v>
      </c>
      <c r="G114" s="4" t="s">
        <v>46</v>
      </c>
      <c r="H114" s="4" t="s">
        <v>46</v>
      </c>
      <c r="I114" s="4" t="s">
        <v>46</v>
      </c>
      <c r="J114" s="4" t="s">
        <v>422</v>
      </c>
      <c r="K114" s="4" t="s">
        <v>423</v>
      </c>
      <c r="L114" s="3">
        <v>46054</v>
      </c>
      <c r="M114" s="4" t="s">
        <v>64</v>
      </c>
      <c r="N114" s="4" t="s">
        <v>46</v>
      </c>
      <c r="O114" s="4" t="s">
        <v>68</v>
      </c>
      <c r="P114" s="4" t="s">
        <v>68</v>
      </c>
      <c r="Q114" s="2">
        <v>67</v>
      </c>
      <c r="R114" s="2">
        <v>10</v>
      </c>
      <c r="S114" s="4" t="s">
        <v>426</v>
      </c>
      <c r="T114" s="4" t="s">
        <v>46</v>
      </c>
      <c r="U114" s="4" t="s">
        <v>46</v>
      </c>
      <c r="V114" s="5">
        <v>15</v>
      </c>
      <c r="W114" s="5">
        <v>29.38</v>
      </c>
      <c r="X114" s="5">
        <v>100</v>
      </c>
      <c r="Y114" s="5">
        <v>4.41</v>
      </c>
      <c r="Z114" s="4" t="s">
        <v>46</v>
      </c>
      <c r="AA114" s="5" t="s">
        <v>46</v>
      </c>
      <c r="AB114" s="4" t="s">
        <v>69</v>
      </c>
      <c r="AC114" s="4" t="s">
        <v>46</v>
      </c>
      <c r="AD114" s="5">
        <v>0</v>
      </c>
      <c r="AE114" s="4" t="s">
        <v>70</v>
      </c>
      <c r="AF114" s="3">
        <v>45474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46064</v>
      </c>
      <c r="C115" s="4" t="s">
        <v>237</v>
      </c>
      <c r="D115" s="2">
        <v>1773696</v>
      </c>
      <c r="E115" s="4" t="s">
        <v>420</v>
      </c>
      <c r="F115" s="4" t="s">
        <v>421</v>
      </c>
      <c r="G115" s="4" t="s">
        <v>46</v>
      </c>
      <c r="H115" s="4" t="s">
        <v>46</v>
      </c>
      <c r="I115" s="4" t="s">
        <v>46</v>
      </c>
      <c r="J115" s="4" t="s">
        <v>422</v>
      </c>
      <c r="K115" s="4" t="s">
        <v>423</v>
      </c>
      <c r="L115" s="3">
        <v>46054</v>
      </c>
      <c r="M115" s="4" t="s">
        <v>64</v>
      </c>
      <c r="N115" s="4" t="s">
        <v>46</v>
      </c>
      <c r="O115" s="4" t="s">
        <v>68</v>
      </c>
      <c r="P115" s="4" t="s">
        <v>68</v>
      </c>
      <c r="Q115" s="2">
        <v>30</v>
      </c>
      <c r="R115" s="2">
        <v>60</v>
      </c>
      <c r="S115" s="4" t="s">
        <v>391</v>
      </c>
      <c r="T115" s="4" t="s">
        <v>46</v>
      </c>
      <c r="U115" s="4" t="s">
        <v>46</v>
      </c>
      <c r="V115" s="5">
        <v>10</v>
      </c>
      <c r="W115" s="5">
        <v>177.23</v>
      </c>
      <c r="X115" s="5">
        <v>100</v>
      </c>
      <c r="Y115" s="5">
        <v>17.72</v>
      </c>
      <c r="Z115" s="4" t="s">
        <v>46</v>
      </c>
      <c r="AA115" s="5" t="s">
        <v>46</v>
      </c>
      <c r="AB115" s="4" t="s">
        <v>69</v>
      </c>
      <c r="AC115" s="4" t="s">
        <v>46</v>
      </c>
      <c r="AD115" s="5">
        <v>0</v>
      </c>
      <c r="AE115" s="4" t="s">
        <v>70</v>
      </c>
      <c r="AF115" s="3">
        <v>45474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46064</v>
      </c>
      <c r="C116" s="4" t="s">
        <v>300</v>
      </c>
      <c r="D116" s="2">
        <v>1831491</v>
      </c>
      <c r="E116" s="4" t="s">
        <v>427</v>
      </c>
      <c r="F116" s="4" t="s">
        <v>428</v>
      </c>
      <c r="G116" s="4" t="s">
        <v>46</v>
      </c>
      <c r="H116" s="4" t="s">
        <v>46</v>
      </c>
      <c r="I116" s="4" t="s">
        <v>46</v>
      </c>
      <c r="J116" s="4" t="s">
        <v>383</v>
      </c>
      <c r="K116" s="4" t="s">
        <v>48</v>
      </c>
      <c r="L116" s="3">
        <v>46054</v>
      </c>
      <c r="M116" s="4" t="s">
        <v>64</v>
      </c>
      <c r="N116" s="4" t="s">
        <v>46</v>
      </c>
      <c r="O116" s="4" t="s">
        <v>50</v>
      </c>
      <c r="P116" s="4" t="s">
        <v>68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2117.2800000000002</v>
      </c>
      <c r="X116" s="5">
        <v>100</v>
      </c>
      <c r="Y116" s="5">
        <v>465.84</v>
      </c>
      <c r="Z116" s="5">
        <v>0</v>
      </c>
      <c r="AA116" s="5">
        <v>0</v>
      </c>
      <c r="AB116" s="4" t="s">
        <v>429</v>
      </c>
      <c r="AC116" s="4" t="s">
        <v>46</v>
      </c>
      <c r="AD116" s="5">
        <v>0</v>
      </c>
      <c r="AE116" s="4" t="s">
        <v>430</v>
      </c>
      <c r="AF116" s="3">
        <v>46054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46064</v>
      </c>
      <c r="C117" s="4" t="s">
        <v>300</v>
      </c>
      <c r="D117" s="2">
        <v>1831491</v>
      </c>
      <c r="E117" s="4" t="s">
        <v>431</v>
      </c>
      <c r="F117" s="4" t="s">
        <v>432</v>
      </c>
      <c r="G117" s="4" t="s">
        <v>46</v>
      </c>
      <c r="H117" s="4" t="s">
        <v>46</v>
      </c>
      <c r="I117" s="4" t="s">
        <v>46</v>
      </c>
      <c r="J117" s="4" t="s">
        <v>383</v>
      </c>
      <c r="K117" s="4" t="s">
        <v>48</v>
      </c>
      <c r="L117" s="3">
        <v>46054</v>
      </c>
      <c r="M117" s="4" t="s">
        <v>64</v>
      </c>
      <c r="N117" s="4" t="s">
        <v>46</v>
      </c>
      <c r="O117" s="4" t="s">
        <v>50</v>
      </c>
      <c r="P117" s="4" t="s">
        <v>68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1651.32</v>
      </c>
      <c r="X117" s="5">
        <v>100</v>
      </c>
      <c r="Y117" s="5">
        <v>363.24</v>
      </c>
      <c r="Z117" s="5">
        <v>0</v>
      </c>
      <c r="AA117" s="5">
        <v>0</v>
      </c>
      <c r="AB117" s="4" t="s">
        <v>429</v>
      </c>
      <c r="AC117" s="4" t="s">
        <v>46</v>
      </c>
      <c r="AD117" s="5">
        <v>0</v>
      </c>
      <c r="AE117" s="4" t="s">
        <v>430</v>
      </c>
      <c r="AF117" s="3">
        <v>46054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46064</v>
      </c>
      <c r="C118" s="4" t="s">
        <v>300</v>
      </c>
      <c r="D118" s="2">
        <v>1831491</v>
      </c>
      <c r="E118" s="4" t="s">
        <v>433</v>
      </c>
      <c r="F118" s="4" t="s">
        <v>434</v>
      </c>
      <c r="G118" s="4" t="s">
        <v>46</v>
      </c>
      <c r="H118" s="4" t="s">
        <v>46</v>
      </c>
      <c r="I118" s="4" t="s">
        <v>46</v>
      </c>
      <c r="J118" s="4" t="s">
        <v>389</v>
      </c>
      <c r="K118" s="4" t="s">
        <v>390</v>
      </c>
      <c r="L118" s="3">
        <v>46082</v>
      </c>
      <c r="M118" s="4" t="s">
        <v>74</v>
      </c>
      <c r="N118" s="4" t="s">
        <v>46</v>
      </c>
      <c r="O118" s="4" t="s">
        <v>68</v>
      </c>
      <c r="P118" s="4" t="s">
        <v>68</v>
      </c>
      <c r="Q118" s="2">
        <v>1</v>
      </c>
      <c r="R118" s="2">
        <v>3</v>
      </c>
      <c r="S118" s="4" t="s">
        <v>424</v>
      </c>
      <c r="T118" s="4" t="s">
        <v>46</v>
      </c>
      <c r="U118" s="4" t="s">
        <v>46</v>
      </c>
      <c r="V118" s="5">
        <v>10</v>
      </c>
      <c r="W118" s="5">
        <v>41.82</v>
      </c>
      <c r="X118" s="5">
        <v>100</v>
      </c>
      <c r="Y118" s="5">
        <v>4.18</v>
      </c>
      <c r="Z118" s="4" t="s">
        <v>46</v>
      </c>
      <c r="AA118" s="5" t="s">
        <v>46</v>
      </c>
      <c r="AB118" s="4" t="s">
        <v>392</v>
      </c>
      <c r="AC118" s="4" t="s">
        <v>46</v>
      </c>
      <c r="AD118" s="5">
        <v>0</v>
      </c>
      <c r="AE118" s="4" t="s">
        <v>393</v>
      </c>
      <c r="AF118" s="3">
        <v>45658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46064</v>
      </c>
      <c r="C119" s="4" t="s">
        <v>300</v>
      </c>
      <c r="D119" s="2">
        <v>1831491</v>
      </c>
      <c r="E119" s="4" t="s">
        <v>435</v>
      </c>
      <c r="F119" s="4" t="s">
        <v>436</v>
      </c>
      <c r="G119" s="4" t="s">
        <v>46</v>
      </c>
      <c r="H119" s="4" t="s">
        <v>46</v>
      </c>
      <c r="I119" s="4" t="s">
        <v>46</v>
      </c>
      <c r="J119" s="4" t="s">
        <v>389</v>
      </c>
      <c r="K119" s="4" t="s">
        <v>390</v>
      </c>
      <c r="L119" s="3">
        <v>46054</v>
      </c>
      <c r="M119" s="4" t="s">
        <v>64</v>
      </c>
      <c r="N119" s="4" t="s">
        <v>46</v>
      </c>
      <c r="O119" s="4" t="s">
        <v>50</v>
      </c>
      <c r="P119" s="4" t="s">
        <v>68</v>
      </c>
      <c r="Q119" s="2">
        <v>1</v>
      </c>
      <c r="R119" s="2">
        <v>60</v>
      </c>
      <c r="S119" s="4" t="s">
        <v>391</v>
      </c>
      <c r="T119" s="4" t="s">
        <v>46</v>
      </c>
      <c r="U119" s="4" t="s">
        <v>46</v>
      </c>
      <c r="V119" s="5">
        <v>10</v>
      </c>
      <c r="W119" s="5">
        <v>14.93</v>
      </c>
      <c r="X119" s="5">
        <v>100</v>
      </c>
      <c r="Y119" s="5">
        <v>1.49</v>
      </c>
      <c r="Z119" s="4" t="s">
        <v>46</v>
      </c>
      <c r="AA119" s="5" t="s">
        <v>46</v>
      </c>
      <c r="AB119" s="4" t="s">
        <v>411</v>
      </c>
      <c r="AC119" s="4" t="s">
        <v>46</v>
      </c>
      <c r="AD119" s="5">
        <v>0</v>
      </c>
      <c r="AE119" s="4" t="s">
        <v>412</v>
      </c>
      <c r="AF119" s="3">
        <v>45962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46064</v>
      </c>
      <c r="C120" s="4" t="s">
        <v>437</v>
      </c>
      <c r="D120" s="2">
        <v>1875462</v>
      </c>
      <c r="E120" s="4" t="s">
        <v>438</v>
      </c>
      <c r="F120" s="4" t="s">
        <v>439</v>
      </c>
      <c r="G120" s="4" t="s">
        <v>46</v>
      </c>
      <c r="H120" s="4" t="s">
        <v>46</v>
      </c>
      <c r="I120" s="4" t="s">
        <v>46</v>
      </c>
      <c r="J120" s="4" t="s">
        <v>383</v>
      </c>
      <c r="K120" s="4" t="s">
        <v>48</v>
      </c>
      <c r="L120" s="3">
        <v>46054</v>
      </c>
      <c r="M120" s="4" t="s">
        <v>64</v>
      </c>
      <c r="N120" s="4" t="s">
        <v>46</v>
      </c>
      <c r="O120" s="4" t="s">
        <v>50</v>
      </c>
      <c r="P120" s="4" t="s">
        <v>68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132.11000000000001</v>
      </c>
      <c r="X120" s="5">
        <v>100</v>
      </c>
      <c r="Y120" s="5">
        <v>29.06</v>
      </c>
      <c r="Z120" s="5">
        <v>0</v>
      </c>
      <c r="AA120" s="5">
        <v>0</v>
      </c>
      <c r="AB120" s="4" t="s">
        <v>440</v>
      </c>
      <c r="AC120" s="4" t="s">
        <v>46</v>
      </c>
      <c r="AD120" s="5">
        <v>0</v>
      </c>
      <c r="AE120" s="4" t="s">
        <v>441</v>
      </c>
      <c r="AF120" s="3">
        <v>45870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46064</v>
      </c>
      <c r="C121" s="4" t="s">
        <v>437</v>
      </c>
      <c r="D121" s="2">
        <v>1875462</v>
      </c>
      <c r="E121" s="4" t="s">
        <v>442</v>
      </c>
      <c r="F121" s="4" t="s">
        <v>443</v>
      </c>
      <c r="G121" s="4" t="s">
        <v>46</v>
      </c>
      <c r="H121" s="4" t="s">
        <v>46</v>
      </c>
      <c r="I121" s="4" t="s">
        <v>46</v>
      </c>
      <c r="J121" s="4" t="s">
        <v>383</v>
      </c>
      <c r="K121" s="4" t="s">
        <v>48</v>
      </c>
      <c r="L121" s="3">
        <v>46023</v>
      </c>
      <c r="M121" s="4" t="s">
        <v>49</v>
      </c>
      <c r="N121" s="4" t="s">
        <v>46</v>
      </c>
      <c r="O121" s="4" t="s">
        <v>50</v>
      </c>
      <c r="P121" s="4" t="s">
        <v>68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0</v>
      </c>
      <c r="W121" s="5">
        <v>2225.2800000000002</v>
      </c>
      <c r="X121" s="5">
        <v>100</v>
      </c>
      <c r="Y121" s="5">
        <v>50.04</v>
      </c>
      <c r="Z121" s="5">
        <v>0</v>
      </c>
      <c r="AA121" s="5">
        <v>0</v>
      </c>
      <c r="AB121" s="4" t="s">
        <v>429</v>
      </c>
      <c r="AC121" s="4" t="s">
        <v>46</v>
      </c>
      <c r="AD121" s="5">
        <v>0</v>
      </c>
      <c r="AE121" s="4" t="s">
        <v>430</v>
      </c>
      <c r="AF121" s="3">
        <v>46023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46064</v>
      </c>
      <c r="C122" s="4" t="s">
        <v>437</v>
      </c>
      <c r="D122" s="2">
        <v>1875462</v>
      </c>
      <c r="E122" s="4" t="s">
        <v>444</v>
      </c>
      <c r="F122" s="4" t="s">
        <v>445</v>
      </c>
      <c r="G122" s="4" t="s">
        <v>46</v>
      </c>
      <c r="H122" s="4" t="s">
        <v>46</v>
      </c>
      <c r="I122" s="4" t="s">
        <v>46</v>
      </c>
      <c r="J122" s="4" t="s">
        <v>389</v>
      </c>
      <c r="K122" s="4" t="s">
        <v>390</v>
      </c>
      <c r="L122" s="3">
        <v>46082</v>
      </c>
      <c r="M122" s="4" t="s">
        <v>74</v>
      </c>
      <c r="N122" s="4" t="s">
        <v>46</v>
      </c>
      <c r="O122" s="4" t="s">
        <v>50</v>
      </c>
      <c r="P122" s="4" t="s">
        <v>68</v>
      </c>
      <c r="Q122" s="2">
        <v>4</v>
      </c>
      <c r="R122" s="2">
        <v>60</v>
      </c>
      <c r="S122" s="4" t="s">
        <v>391</v>
      </c>
      <c r="T122" s="4" t="s">
        <v>46</v>
      </c>
      <c r="U122" s="4" t="s">
        <v>46</v>
      </c>
      <c r="V122" s="5">
        <v>10</v>
      </c>
      <c r="W122" s="5">
        <v>36.99</v>
      </c>
      <c r="X122" s="5">
        <v>100</v>
      </c>
      <c r="Y122" s="5">
        <v>3.7</v>
      </c>
      <c r="Z122" s="4" t="s">
        <v>46</v>
      </c>
      <c r="AA122" s="5" t="s">
        <v>46</v>
      </c>
      <c r="AB122" s="4" t="s">
        <v>411</v>
      </c>
      <c r="AC122" s="4" t="s">
        <v>46</v>
      </c>
      <c r="AD122" s="5">
        <v>0</v>
      </c>
      <c r="AE122" s="4" t="s">
        <v>412</v>
      </c>
      <c r="AF122" s="3">
        <v>45700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46064</v>
      </c>
      <c r="C123" s="4" t="s">
        <v>437</v>
      </c>
      <c r="D123" s="2">
        <v>1875462</v>
      </c>
      <c r="E123" s="4" t="s">
        <v>446</v>
      </c>
      <c r="F123" s="4" t="s">
        <v>447</v>
      </c>
      <c r="G123" s="4" t="s">
        <v>46</v>
      </c>
      <c r="H123" s="4" t="s">
        <v>46</v>
      </c>
      <c r="I123" s="4" t="s">
        <v>46</v>
      </c>
      <c r="J123" s="4" t="s">
        <v>389</v>
      </c>
      <c r="K123" s="4" t="s">
        <v>390</v>
      </c>
      <c r="L123" s="3">
        <v>46082</v>
      </c>
      <c r="M123" s="4" t="s">
        <v>74</v>
      </c>
      <c r="N123" s="4" t="s">
        <v>46</v>
      </c>
      <c r="O123" s="4" t="s">
        <v>50</v>
      </c>
      <c r="P123" s="4" t="s">
        <v>68</v>
      </c>
      <c r="Q123" s="2">
        <v>2</v>
      </c>
      <c r="R123" s="2">
        <v>60</v>
      </c>
      <c r="S123" s="4" t="s">
        <v>391</v>
      </c>
      <c r="T123" s="4" t="s">
        <v>46</v>
      </c>
      <c r="U123" s="4" t="s">
        <v>46</v>
      </c>
      <c r="V123" s="5">
        <v>10</v>
      </c>
      <c r="W123" s="5">
        <v>23.99</v>
      </c>
      <c r="X123" s="5">
        <v>100</v>
      </c>
      <c r="Y123" s="5">
        <v>2.4</v>
      </c>
      <c r="Z123" s="4" t="s">
        <v>46</v>
      </c>
      <c r="AA123" s="5" t="s">
        <v>46</v>
      </c>
      <c r="AB123" s="4" t="s">
        <v>411</v>
      </c>
      <c r="AC123" s="4" t="s">
        <v>46</v>
      </c>
      <c r="AD123" s="5">
        <v>0</v>
      </c>
      <c r="AE123" s="4" t="s">
        <v>412</v>
      </c>
      <c r="AF123" s="3">
        <v>45776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46064</v>
      </c>
      <c r="C124" s="4" t="s">
        <v>437</v>
      </c>
      <c r="D124" s="2">
        <v>1875462</v>
      </c>
      <c r="E124" s="4" t="s">
        <v>448</v>
      </c>
      <c r="F124" s="4" t="s">
        <v>449</v>
      </c>
      <c r="G124" s="4" t="s">
        <v>46</v>
      </c>
      <c r="H124" s="4" t="s">
        <v>46</v>
      </c>
      <c r="I124" s="4" t="s">
        <v>46</v>
      </c>
      <c r="J124" s="4" t="s">
        <v>389</v>
      </c>
      <c r="K124" s="4" t="s">
        <v>390</v>
      </c>
      <c r="L124" s="3">
        <v>46082</v>
      </c>
      <c r="M124" s="4" t="s">
        <v>74</v>
      </c>
      <c r="N124" s="4" t="s">
        <v>46</v>
      </c>
      <c r="O124" s="4" t="s">
        <v>50</v>
      </c>
      <c r="P124" s="4" t="s">
        <v>68</v>
      </c>
      <c r="Q124" s="2">
        <v>2</v>
      </c>
      <c r="R124" s="2">
        <v>60</v>
      </c>
      <c r="S124" s="4" t="s">
        <v>391</v>
      </c>
      <c r="T124" s="4" t="s">
        <v>46</v>
      </c>
      <c r="U124" s="4" t="s">
        <v>46</v>
      </c>
      <c r="V124" s="5">
        <v>10</v>
      </c>
      <c r="W124" s="5">
        <v>23.99</v>
      </c>
      <c r="X124" s="5">
        <v>100</v>
      </c>
      <c r="Y124" s="5">
        <v>2.4</v>
      </c>
      <c r="Z124" s="4" t="s">
        <v>46</v>
      </c>
      <c r="AA124" s="5" t="s">
        <v>46</v>
      </c>
      <c r="AB124" s="4" t="s">
        <v>411</v>
      </c>
      <c r="AC124" s="4" t="s">
        <v>46</v>
      </c>
      <c r="AD124" s="5">
        <v>0</v>
      </c>
      <c r="AE124" s="4" t="s">
        <v>412</v>
      </c>
      <c r="AF124" s="3">
        <v>45818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46064</v>
      </c>
      <c r="C125" s="4" t="s">
        <v>450</v>
      </c>
      <c r="D125" s="2">
        <v>1982315</v>
      </c>
      <c r="E125" s="4" t="s">
        <v>451</v>
      </c>
      <c r="F125" s="4" t="s">
        <v>452</v>
      </c>
      <c r="G125" s="4" t="s">
        <v>46</v>
      </c>
      <c r="H125" s="4" t="s">
        <v>46</v>
      </c>
      <c r="I125" s="4" t="s">
        <v>46</v>
      </c>
      <c r="J125" s="4" t="s">
        <v>383</v>
      </c>
      <c r="K125" s="4" t="s">
        <v>48</v>
      </c>
      <c r="L125" s="3">
        <v>46023</v>
      </c>
      <c r="M125" s="4" t="s">
        <v>49</v>
      </c>
      <c r="N125" s="4" t="s">
        <v>46</v>
      </c>
      <c r="O125" s="4" t="s">
        <v>50</v>
      </c>
      <c r="P125" s="4" t="s">
        <v>68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0</v>
      </c>
      <c r="W125" s="5">
        <v>3348.72</v>
      </c>
      <c r="X125" s="5">
        <v>100</v>
      </c>
      <c r="Y125" s="5">
        <v>50.04</v>
      </c>
      <c r="Z125" s="5">
        <v>0</v>
      </c>
      <c r="AA125" s="5">
        <v>0</v>
      </c>
      <c r="AB125" s="4" t="s">
        <v>429</v>
      </c>
      <c r="AC125" s="4" t="s">
        <v>46</v>
      </c>
      <c r="AD125" s="5">
        <v>0</v>
      </c>
      <c r="AE125" s="4" t="s">
        <v>430</v>
      </c>
      <c r="AF125" s="3">
        <v>46023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46064</v>
      </c>
      <c r="C126" s="4" t="s">
        <v>46</v>
      </c>
      <c r="D126" s="2" t="s">
        <v>46</v>
      </c>
      <c r="E126" s="4" t="s">
        <v>46</v>
      </c>
      <c r="F126" s="4" t="s">
        <v>46</v>
      </c>
      <c r="G126" s="4" t="s">
        <v>46</v>
      </c>
      <c r="H126" s="4" t="s">
        <v>46</v>
      </c>
      <c r="I126" s="4" t="s">
        <v>46</v>
      </c>
      <c r="J126" s="4" t="s">
        <v>46</v>
      </c>
      <c r="K126" s="4" t="s">
        <v>46</v>
      </c>
      <c r="L126" s="4" t="s">
        <v>46</v>
      </c>
      <c r="M126" s="4" t="s">
        <v>64</v>
      </c>
      <c r="N126" s="4" t="s">
        <v>46</v>
      </c>
      <c r="O126" s="4" t="s">
        <v>46</v>
      </c>
      <c r="P126" s="4" t="s">
        <v>46</v>
      </c>
      <c r="Q126" s="4" t="s">
        <v>46</v>
      </c>
      <c r="R126" s="4" t="s">
        <v>46</v>
      </c>
      <c r="S126" s="4" t="s">
        <v>46</v>
      </c>
      <c r="T126" s="4" t="s">
        <v>46</v>
      </c>
      <c r="U126" s="4" t="s">
        <v>46</v>
      </c>
      <c r="V126" s="5" t="s">
        <v>46</v>
      </c>
      <c r="W126" s="4" t="s">
        <v>46</v>
      </c>
      <c r="X126" s="5" t="s">
        <v>46</v>
      </c>
      <c r="Y126" s="4" t="s">
        <v>46</v>
      </c>
      <c r="Z126" s="4" t="s">
        <v>46</v>
      </c>
      <c r="AA126" s="5" t="s">
        <v>46</v>
      </c>
      <c r="AB126" s="4" t="s">
        <v>46</v>
      </c>
      <c r="AC126" s="4" t="s">
        <v>453</v>
      </c>
      <c r="AD126" s="5">
        <v>0</v>
      </c>
      <c r="AE126" s="4" t="s">
        <v>454</v>
      </c>
      <c r="AF126" s="4" t="s">
        <v>46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C514-295B-4A13-BA45-B2A76BF3B856}">
  <dimension ref="A1:AP123"/>
  <sheetViews>
    <sheetView topLeftCell="C122" workbookViewId="0">
      <selection activeCell="O2" sqref="O2:O122"/>
    </sheetView>
  </sheetViews>
  <sheetFormatPr defaultRowHeight="12.75" x14ac:dyDescent="0.2"/>
  <cols>
    <col min="1" max="1" width="24.7109375" bestFit="1" customWidth="1"/>
    <col min="2" max="2" width="9" bestFit="1" customWidth="1"/>
    <col min="3" max="3" width="28.5703125" bestFit="1" customWidth="1"/>
    <col min="4" max="4" width="13.28515625" bestFit="1" customWidth="1"/>
    <col min="5" max="6" width="11.42578125" bestFit="1" customWidth="1"/>
    <col min="7" max="7" width="10.5703125" customWidth="1"/>
    <col min="8" max="8" width="6.85546875" customWidth="1"/>
    <col min="9" max="9" width="7.7109375" customWidth="1"/>
    <col min="10" max="10" width="9.5703125" bestFit="1" customWidth="1"/>
    <col min="11" max="11" width="9" customWidth="1"/>
    <col min="12" max="12" width="11.42578125" bestFit="1" customWidth="1"/>
    <col min="13" max="13" width="13.7109375" bestFit="1" customWidth="1"/>
    <col min="14" max="14" width="19.5703125" customWidth="1"/>
    <col min="15" max="15" width="22.5703125" bestFit="1" customWidth="1"/>
    <col min="16" max="16" width="13.5703125" customWidth="1"/>
    <col min="17" max="17" width="13.42578125" bestFit="1" customWidth="1"/>
    <col min="18" max="18" width="15.42578125" bestFit="1" customWidth="1"/>
    <col min="19" max="19" width="14.5703125" bestFit="1" customWidth="1"/>
    <col min="20" max="20" width="12.42578125" bestFit="1" customWidth="1"/>
    <col min="21" max="21" width="10.4257812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x14ac:dyDescent="0.2">
      <c r="A2" s="18" t="s">
        <v>93</v>
      </c>
      <c r="B2" s="21">
        <v>7470776</v>
      </c>
      <c r="C2" s="18" t="s">
        <v>94</v>
      </c>
      <c r="D2" s="18" t="s">
        <v>95</v>
      </c>
      <c r="E2" s="19">
        <v>46054</v>
      </c>
      <c r="F2" s="18" t="s">
        <v>64</v>
      </c>
      <c r="G2" s="18" t="s">
        <v>51</v>
      </c>
      <c r="H2" s="18" t="s">
        <v>52</v>
      </c>
      <c r="I2" s="20">
        <v>1</v>
      </c>
      <c r="J2" s="20">
        <v>0</v>
      </c>
      <c r="K2" s="20">
        <v>13.75</v>
      </c>
      <c r="L2" s="18" t="s">
        <v>69</v>
      </c>
      <c r="M2" s="19">
        <v>44927</v>
      </c>
      <c r="N2" s="21" t="s">
        <v>463</v>
      </c>
      <c r="O2" s="21" t="s">
        <v>464</v>
      </c>
      <c r="P2" s="21"/>
      <c r="Q2" s="18" t="s">
        <v>95</v>
      </c>
      <c r="R2" s="21" t="str">
        <f>CONCATENATE(Q2,26)</f>
        <v>00019251322K26</v>
      </c>
      <c r="S2" s="18" t="s">
        <v>472</v>
      </c>
      <c r="T2" s="21" t="s">
        <v>473</v>
      </c>
      <c r="U2" s="21" t="str">
        <f t="shared" ref="U2:U26" si="0">CONCATENATE(T2," ",S2)</f>
        <v>HEATHER LIPPOLD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x14ac:dyDescent="0.2">
      <c r="A3" s="18" t="s">
        <v>60</v>
      </c>
      <c r="B3" s="21">
        <v>2158366</v>
      </c>
      <c r="C3" s="18" t="s">
        <v>61</v>
      </c>
      <c r="D3" s="18" t="s">
        <v>62</v>
      </c>
      <c r="E3" s="19">
        <v>46054</v>
      </c>
      <c r="F3" s="18" t="s">
        <v>64</v>
      </c>
      <c r="G3" s="18" t="s">
        <v>51</v>
      </c>
      <c r="H3" s="18" t="s">
        <v>52</v>
      </c>
      <c r="I3" s="20">
        <v>0.92</v>
      </c>
      <c r="J3" s="20">
        <v>0</v>
      </c>
      <c r="K3" s="20">
        <v>151.25</v>
      </c>
      <c r="L3" s="18" t="s">
        <v>53</v>
      </c>
      <c r="M3" s="19">
        <v>46054</v>
      </c>
      <c r="N3" s="21" t="s">
        <v>463</v>
      </c>
      <c r="O3" s="22" t="s">
        <v>465</v>
      </c>
      <c r="P3" s="21"/>
      <c r="Q3" s="18" t="s">
        <v>62</v>
      </c>
      <c r="R3" s="21" t="str">
        <f>CONCATENATE(Q3,26)</f>
        <v>00018991718K26</v>
      </c>
      <c r="S3" s="18" t="s">
        <v>474</v>
      </c>
      <c r="T3" s="21" t="s">
        <v>475</v>
      </c>
      <c r="U3" s="21" t="str">
        <f t="shared" si="0"/>
        <v>PAUL STRNAD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 s="13" customFormat="1" x14ac:dyDescent="0.2">
      <c r="A4" s="18" t="s">
        <v>349</v>
      </c>
      <c r="B4" s="21">
        <v>7565575</v>
      </c>
      <c r="C4" s="18" t="s">
        <v>350</v>
      </c>
      <c r="D4" s="18" t="s">
        <v>351</v>
      </c>
      <c r="E4" s="19">
        <v>46054</v>
      </c>
      <c r="F4" s="18" t="s">
        <v>64</v>
      </c>
      <c r="G4" s="18" t="s">
        <v>51</v>
      </c>
      <c r="H4" s="18" t="s">
        <v>52</v>
      </c>
      <c r="I4" s="20">
        <v>0.92</v>
      </c>
      <c r="J4" s="20">
        <v>0</v>
      </c>
      <c r="K4" s="20">
        <v>151.25</v>
      </c>
      <c r="L4" s="18" t="s">
        <v>53</v>
      </c>
      <c r="M4" s="19">
        <v>46054</v>
      </c>
      <c r="N4" s="21" t="s">
        <v>463</v>
      </c>
      <c r="O4" s="22" t="s">
        <v>465</v>
      </c>
      <c r="P4" s="21"/>
      <c r="Q4" s="18" t="s">
        <v>351</v>
      </c>
      <c r="R4" s="21" t="str">
        <f>CONCATENATE(Q4,26)</f>
        <v>00025236228K26</v>
      </c>
      <c r="S4" s="18" t="s">
        <v>478</v>
      </c>
      <c r="T4" s="21" t="s">
        <v>479</v>
      </c>
      <c r="U4" s="21" t="str">
        <f t="shared" si="0"/>
        <v>PATRICIA BRADFORD</v>
      </c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2" s="9" customFormat="1" x14ac:dyDescent="0.2">
      <c r="A5" s="18" t="s">
        <v>319</v>
      </c>
      <c r="B5" s="21">
        <v>20003537</v>
      </c>
      <c r="C5" s="18" t="s">
        <v>326</v>
      </c>
      <c r="D5" s="18" t="s">
        <v>327</v>
      </c>
      <c r="E5" s="19">
        <v>46054</v>
      </c>
      <c r="F5" s="18" t="s">
        <v>64</v>
      </c>
      <c r="G5" s="18" t="s">
        <v>51</v>
      </c>
      <c r="H5" s="18" t="s">
        <v>52</v>
      </c>
      <c r="I5" s="20">
        <v>0.92</v>
      </c>
      <c r="J5" s="20">
        <v>0</v>
      </c>
      <c r="K5" s="20">
        <v>151.25</v>
      </c>
      <c r="L5" s="18" t="s">
        <v>53</v>
      </c>
      <c r="M5" s="19">
        <v>46054</v>
      </c>
      <c r="N5" s="21" t="s">
        <v>463</v>
      </c>
      <c r="O5" s="22" t="s">
        <v>465</v>
      </c>
      <c r="P5" s="21"/>
      <c r="Q5" s="18" t="s">
        <v>327</v>
      </c>
      <c r="R5" s="21" t="str">
        <f>CONCATENATE(Q5,26)</f>
        <v>00025471647K26</v>
      </c>
      <c r="S5" s="18" t="s">
        <v>476</v>
      </c>
      <c r="T5" s="21" t="s">
        <v>477</v>
      </c>
      <c r="U5" s="21" t="str">
        <f t="shared" si="0"/>
        <v>THERESA RICHEY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42" x14ac:dyDescent="0.2">
      <c r="A6" s="4" t="s">
        <v>300</v>
      </c>
      <c r="B6">
        <v>18828278</v>
      </c>
      <c r="C6" s="4" t="s">
        <v>427</v>
      </c>
      <c r="D6" s="4" t="s">
        <v>428</v>
      </c>
      <c r="E6" s="3">
        <v>46054</v>
      </c>
      <c r="F6" s="4" t="s">
        <v>64</v>
      </c>
      <c r="G6" s="4" t="s">
        <v>51</v>
      </c>
      <c r="H6" s="4" t="s">
        <v>46</v>
      </c>
      <c r="I6" s="5">
        <v>22</v>
      </c>
      <c r="J6" s="5">
        <v>2117.2800000000002</v>
      </c>
      <c r="K6" s="5">
        <v>465.84</v>
      </c>
      <c r="L6" s="4" t="s">
        <v>429</v>
      </c>
      <c r="M6" s="3">
        <v>46054</v>
      </c>
      <c r="N6" t="s">
        <v>459</v>
      </c>
      <c r="Q6" s="4" t="s">
        <v>428</v>
      </c>
      <c r="R6" t="str">
        <f t="shared" ref="R6:R12" si="1">CONCATENATE(Q6,8)</f>
        <v>00001139358A8</v>
      </c>
      <c r="S6" s="4" t="s">
        <v>487</v>
      </c>
      <c r="T6" t="s">
        <v>488</v>
      </c>
      <c r="U6" s="21" t="str">
        <f t="shared" si="0"/>
        <v>JERRY TOMES</v>
      </c>
    </row>
    <row r="7" spans="1:42" x14ac:dyDescent="0.2">
      <c r="A7" s="4" t="s">
        <v>300</v>
      </c>
      <c r="B7">
        <v>18828278</v>
      </c>
      <c r="C7" s="4" t="s">
        <v>431</v>
      </c>
      <c r="D7" s="4" t="s">
        <v>432</v>
      </c>
      <c r="E7" s="3">
        <v>46054</v>
      </c>
      <c r="F7" s="4" t="s">
        <v>64</v>
      </c>
      <c r="G7" s="4" t="s">
        <v>51</v>
      </c>
      <c r="H7" s="4" t="s">
        <v>46</v>
      </c>
      <c r="I7" s="5">
        <v>22</v>
      </c>
      <c r="J7" s="5">
        <v>1651.32</v>
      </c>
      <c r="K7" s="5">
        <v>363.24</v>
      </c>
      <c r="L7" s="4" t="s">
        <v>429</v>
      </c>
      <c r="M7" s="3">
        <v>46054</v>
      </c>
      <c r="N7" t="s">
        <v>459</v>
      </c>
      <c r="Q7" s="4" t="s">
        <v>432</v>
      </c>
      <c r="R7" t="str">
        <f t="shared" si="1"/>
        <v>00001141035A8</v>
      </c>
      <c r="S7" s="4" t="s">
        <v>489</v>
      </c>
      <c r="T7" t="s">
        <v>490</v>
      </c>
      <c r="U7" s="21" t="str">
        <f t="shared" si="0"/>
        <v>PEGGY CUSTER</v>
      </c>
    </row>
    <row r="8" spans="1:42" x14ac:dyDescent="0.2">
      <c r="A8" s="4" t="s">
        <v>189</v>
      </c>
      <c r="B8">
        <v>17425766</v>
      </c>
      <c r="C8" s="4" t="s">
        <v>399</v>
      </c>
      <c r="D8" s="4" t="s">
        <v>400</v>
      </c>
      <c r="E8" s="3">
        <v>46054</v>
      </c>
      <c r="F8" s="4" t="s">
        <v>64</v>
      </c>
      <c r="G8" s="4" t="s">
        <v>51</v>
      </c>
      <c r="H8" s="4" t="s">
        <v>46</v>
      </c>
      <c r="I8" s="5">
        <v>22</v>
      </c>
      <c r="J8" s="5">
        <v>2778.6</v>
      </c>
      <c r="K8" s="5">
        <v>611.28</v>
      </c>
      <c r="L8" s="4" t="s">
        <v>401</v>
      </c>
      <c r="M8" s="3">
        <v>46054</v>
      </c>
      <c r="N8" t="s">
        <v>459</v>
      </c>
      <c r="Q8" s="4" t="s">
        <v>400</v>
      </c>
      <c r="R8" t="str">
        <f t="shared" si="1"/>
        <v>00001140312A8</v>
      </c>
      <c r="S8" s="4" t="s">
        <v>482</v>
      </c>
      <c r="T8" t="s">
        <v>483</v>
      </c>
      <c r="U8" s="21" t="str">
        <f t="shared" si="0"/>
        <v>PRANAVA DOCTOR</v>
      </c>
    </row>
    <row r="9" spans="1:42" x14ac:dyDescent="0.2">
      <c r="A9" s="4" t="s">
        <v>403</v>
      </c>
      <c r="B9">
        <v>17528908</v>
      </c>
      <c r="C9" s="4" t="s">
        <v>404</v>
      </c>
      <c r="D9" s="4" t="s">
        <v>405</v>
      </c>
      <c r="E9" s="3">
        <v>46054</v>
      </c>
      <c r="F9" s="4" t="s">
        <v>64</v>
      </c>
      <c r="G9" s="4" t="s">
        <v>51</v>
      </c>
      <c r="H9" s="4" t="s">
        <v>46</v>
      </c>
      <c r="I9" s="5">
        <v>22</v>
      </c>
      <c r="J9" s="5">
        <v>130.08000000000001</v>
      </c>
      <c r="K9" s="5">
        <v>28.62</v>
      </c>
      <c r="L9" s="4" t="s">
        <v>384</v>
      </c>
      <c r="M9" s="3">
        <v>45444</v>
      </c>
      <c r="N9" t="s">
        <v>459</v>
      </c>
      <c r="Q9" s="4" t="s">
        <v>405</v>
      </c>
      <c r="R9" t="str">
        <f t="shared" si="1"/>
        <v>00000839470A8</v>
      </c>
      <c r="S9" s="4" t="s">
        <v>480</v>
      </c>
      <c r="T9" t="s">
        <v>484</v>
      </c>
      <c r="U9" s="21" t="str">
        <f t="shared" si="0"/>
        <v>DEBRA MILLER</v>
      </c>
    </row>
    <row r="10" spans="1:42" x14ac:dyDescent="0.2">
      <c r="A10" s="4" t="s">
        <v>403</v>
      </c>
      <c r="B10">
        <v>17528908</v>
      </c>
      <c r="C10" s="4" t="s">
        <v>406</v>
      </c>
      <c r="D10" s="4" t="s">
        <v>407</v>
      </c>
      <c r="E10" s="3">
        <v>46054</v>
      </c>
      <c r="F10" s="4" t="s">
        <v>64</v>
      </c>
      <c r="G10" s="4" t="s">
        <v>51</v>
      </c>
      <c r="H10" s="4" t="s">
        <v>46</v>
      </c>
      <c r="I10" s="5">
        <v>22</v>
      </c>
      <c r="J10" s="5">
        <v>107.48</v>
      </c>
      <c r="K10" s="5">
        <v>23.65</v>
      </c>
      <c r="L10" s="4" t="s">
        <v>384</v>
      </c>
      <c r="M10" s="3">
        <v>45627</v>
      </c>
      <c r="N10" t="s">
        <v>459</v>
      </c>
      <c r="Q10" s="4" t="s">
        <v>407</v>
      </c>
      <c r="R10" t="str">
        <f t="shared" si="1"/>
        <v>00000911304A8</v>
      </c>
      <c r="S10" s="4" t="s">
        <v>485</v>
      </c>
      <c r="T10" t="s">
        <v>486</v>
      </c>
      <c r="U10" s="21" t="str">
        <f t="shared" si="0"/>
        <v>KATHY COHAN</v>
      </c>
    </row>
    <row r="11" spans="1:42" x14ac:dyDescent="0.2">
      <c r="A11" s="4" t="s">
        <v>437</v>
      </c>
      <c r="B11" s="23" t="s">
        <v>671</v>
      </c>
      <c r="C11" s="4" t="s">
        <v>438</v>
      </c>
      <c r="D11" s="4" t="s">
        <v>439</v>
      </c>
      <c r="E11" s="3">
        <v>46054</v>
      </c>
      <c r="F11" s="4" t="s">
        <v>64</v>
      </c>
      <c r="G11" s="4" t="s">
        <v>51</v>
      </c>
      <c r="H11" s="4" t="s">
        <v>46</v>
      </c>
      <c r="I11" s="5">
        <v>22</v>
      </c>
      <c r="J11" s="5">
        <v>132.11000000000001</v>
      </c>
      <c r="K11" s="5">
        <v>29.06</v>
      </c>
      <c r="L11" s="4" t="s">
        <v>440</v>
      </c>
      <c r="M11" s="3">
        <v>45870</v>
      </c>
      <c r="N11" t="s">
        <v>459</v>
      </c>
      <c r="Q11" s="4" t="s">
        <v>439</v>
      </c>
      <c r="R11" t="str">
        <f t="shared" si="1"/>
        <v>00001022473A8</v>
      </c>
      <c r="S11" s="4" t="s">
        <v>491</v>
      </c>
      <c r="T11" t="s">
        <v>492</v>
      </c>
      <c r="U11" s="21" t="str">
        <f t="shared" si="0"/>
        <v>PAMELA JARDINE</v>
      </c>
    </row>
    <row r="12" spans="1:42" x14ac:dyDescent="0.2">
      <c r="A12" s="4" t="s">
        <v>380</v>
      </c>
      <c r="B12">
        <v>9254978</v>
      </c>
      <c r="C12" s="4" t="s">
        <v>381</v>
      </c>
      <c r="D12" s="4" t="s">
        <v>382</v>
      </c>
      <c r="E12" s="3">
        <v>46054</v>
      </c>
      <c r="F12" s="4" t="s">
        <v>64</v>
      </c>
      <c r="G12" s="4" t="s">
        <v>51</v>
      </c>
      <c r="H12" s="4" t="s">
        <v>46</v>
      </c>
      <c r="I12" s="5">
        <v>22</v>
      </c>
      <c r="J12" s="5">
        <v>129.12</v>
      </c>
      <c r="K12" s="5">
        <v>28.41</v>
      </c>
      <c r="L12" s="4" t="s">
        <v>384</v>
      </c>
      <c r="M12" s="3">
        <v>45505</v>
      </c>
      <c r="N12" t="s">
        <v>459</v>
      </c>
      <c r="Q12" s="4" t="s">
        <v>382</v>
      </c>
      <c r="R12" t="str">
        <f t="shared" si="1"/>
        <v>00000853696A8</v>
      </c>
      <c r="S12" s="4" t="s">
        <v>480</v>
      </c>
      <c r="T12" t="s">
        <v>481</v>
      </c>
      <c r="U12" s="21" t="str">
        <f t="shared" si="0"/>
        <v>MARTIN MILLER</v>
      </c>
    </row>
    <row r="13" spans="1:42" x14ac:dyDescent="0.2">
      <c r="A13" s="4" t="s">
        <v>237</v>
      </c>
      <c r="B13">
        <v>18754354</v>
      </c>
      <c r="C13" s="4" t="s">
        <v>420</v>
      </c>
      <c r="D13" s="24">
        <v>413180</v>
      </c>
      <c r="E13" s="3">
        <v>46054</v>
      </c>
      <c r="F13" s="4" t="s">
        <v>64</v>
      </c>
      <c r="G13" s="4" t="s">
        <v>426</v>
      </c>
      <c r="H13" s="4" t="s">
        <v>46</v>
      </c>
      <c r="I13" s="5">
        <v>15</v>
      </c>
      <c r="J13" s="5">
        <v>29.38</v>
      </c>
      <c r="K13" s="5">
        <v>4.41</v>
      </c>
      <c r="L13" s="4" t="s">
        <v>69</v>
      </c>
      <c r="M13" s="3">
        <v>45474</v>
      </c>
      <c r="N13" t="s">
        <v>455</v>
      </c>
      <c r="Q13" s="24">
        <v>413180</v>
      </c>
      <c r="R13" t="str">
        <f>CONCATENATE(Q13,222)</f>
        <v>413180222</v>
      </c>
      <c r="S13" s="4" t="s">
        <v>493</v>
      </c>
      <c r="T13" t="s">
        <v>494</v>
      </c>
      <c r="U13" s="21" t="str">
        <f t="shared" si="0"/>
        <v>CAPITAL NC</v>
      </c>
    </row>
    <row r="14" spans="1:42" x14ac:dyDescent="0.2">
      <c r="A14" s="4" t="s">
        <v>396</v>
      </c>
      <c r="B14">
        <v>15278437</v>
      </c>
      <c r="C14" s="4" t="s">
        <v>397</v>
      </c>
      <c r="D14" s="4" t="s">
        <v>398</v>
      </c>
      <c r="E14" s="3">
        <v>46054</v>
      </c>
      <c r="F14" s="4" t="s">
        <v>64</v>
      </c>
      <c r="G14" s="4" t="s">
        <v>51</v>
      </c>
      <c r="H14" s="4" t="s">
        <v>46</v>
      </c>
      <c r="I14" s="5">
        <v>26</v>
      </c>
      <c r="J14" s="5">
        <v>147.1</v>
      </c>
      <c r="K14" s="5">
        <v>38.25</v>
      </c>
      <c r="L14" s="4" t="s">
        <v>384</v>
      </c>
      <c r="M14" s="3">
        <v>45292</v>
      </c>
      <c r="N14" t="s">
        <v>460</v>
      </c>
      <c r="Q14" s="4" t="s">
        <v>398</v>
      </c>
      <c r="R14" t="str">
        <f>CONCATENATE(Q14,8)</f>
        <v>00000106089A8</v>
      </c>
      <c r="S14" s="4" t="s">
        <v>495</v>
      </c>
      <c r="T14" t="s">
        <v>496</v>
      </c>
      <c r="U14" s="21" t="str">
        <f t="shared" si="0"/>
        <v>JACQUELINE TRAINOR</v>
      </c>
    </row>
    <row r="15" spans="1:42" x14ac:dyDescent="0.2">
      <c r="A15" s="4" t="s">
        <v>237</v>
      </c>
      <c r="B15">
        <v>18754354</v>
      </c>
      <c r="C15" s="4" t="s">
        <v>420</v>
      </c>
      <c r="D15" s="24">
        <v>413180</v>
      </c>
      <c r="E15" s="3">
        <v>46054</v>
      </c>
      <c r="F15" s="4" t="s">
        <v>64</v>
      </c>
      <c r="G15" s="4" t="s">
        <v>425</v>
      </c>
      <c r="H15" s="4" t="s">
        <v>46</v>
      </c>
      <c r="I15" s="5">
        <v>15</v>
      </c>
      <c r="J15" s="5">
        <v>127.34</v>
      </c>
      <c r="K15" s="5">
        <v>19.100000000000001</v>
      </c>
      <c r="L15" s="4" t="s">
        <v>69</v>
      </c>
      <c r="M15" s="3">
        <v>45474</v>
      </c>
      <c r="N15" t="s">
        <v>456</v>
      </c>
      <c r="Q15" s="24">
        <v>413180</v>
      </c>
      <c r="R15" t="str">
        <f>CONCATENATE(Q15,22)</f>
        <v>41318022</v>
      </c>
      <c r="S15" s="4" t="s">
        <v>493</v>
      </c>
      <c r="T15" t="s">
        <v>494</v>
      </c>
      <c r="U15" s="21" t="str">
        <f t="shared" si="0"/>
        <v>CAPITAL NC</v>
      </c>
    </row>
    <row r="16" spans="1:42" x14ac:dyDescent="0.2">
      <c r="A16" s="6" t="s">
        <v>386</v>
      </c>
      <c r="B16" s="9">
        <v>8244481</v>
      </c>
      <c r="C16" s="6" t="s">
        <v>387</v>
      </c>
      <c r="D16" s="26">
        <v>9028406240</v>
      </c>
      <c r="E16" s="7">
        <v>46082</v>
      </c>
      <c r="F16" s="6" t="s">
        <v>74</v>
      </c>
      <c r="G16" s="6" t="s">
        <v>391</v>
      </c>
      <c r="H16" s="6" t="s">
        <v>46</v>
      </c>
      <c r="I16" s="8">
        <v>10</v>
      </c>
      <c r="J16" s="8">
        <v>26.88</v>
      </c>
      <c r="K16" s="8">
        <v>2.69</v>
      </c>
      <c r="L16" s="6" t="s">
        <v>392</v>
      </c>
      <c r="M16" s="7">
        <v>45323</v>
      </c>
      <c r="N16" s="9" t="s">
        <v>457</v>
      </c>
      <c r="O16" s="9"/>
      <c r="P16" s="9"/>
      <c r="Q16" s="26">
        <v>9028406240</v>
      </c>
      <c r="R16" s="9" t="str">
        <f t="shared" ref="R16:R26" si="2">CONCATENATE(Q16,4)</f>
        <v>90284062404</v>
      </c>
      <c r="S16" s="6" t="s">
        <v>499</v>
      </c>
      <c r="T16" s="9" t="s">
        <v>500</v>
      </c>
      <c r="U16" s="21" t="str">
        <f t="shared" si="0"/>
        <v>Joanna Young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x14ac:dyDescent="0.2">
      <c r="A17" s="6" t="s">
        <v>386</v>
      </c>
      <c r="B17" s="9">
        <v>8244481</v>
      </c>
      <c r="C17" s="6" t="s">
        <v>394</v>
      </c>
      <c r="D17" s="26">
        <v>9029611520</v>
      </c>
      <c r="E17" s="7">
        <v>46082</v>
      </c>
      <c r="F17" s="6" t="s">
        <v>74</v>
      </c>
      <c r="G17" s="6" t="s">
        <v>391</v>
      </c>
      <c r="H17" s="6" t="s">
        <v>46</v>
      </c>
      <c r="I17" s="8">
        <v>10</v>
      </c>
      <c r="J17" s="8">
        <v>14.93</v>
      </c>
      <c r="K17" s="8">
        <v>1.49</v>
      </c>
      <c r="L17" s="6" t="s">
        <v>392</v>
      </c>
      <c r="M17" s="7">
        <v>45622</v>
      </c>
      <c r="N17" s="9" t="s">
        <v>457</v>
      </c>
      <c r="O17" s="9"/>
      <c r="P17" s="9"/>
      <c r="Q17" s="26">
        <v>9029611520</v>
      </c>
      <c r="R17" s="9" t="str">
        <f t="shared" si="2"/>
        <v>90296115204</v>
      </c>
      <c r="S17" s="6" t="s">
        <v>501</v>
      </c>
      <c r="T17" s="9" t="s">
        <v>502</v>
      </c>
      <c r="U17" s="21" t="str">
        <f t="shared" si="0"/>
        <v>Christie Dornbierer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x14ac:dyDescent="0.2">
      <c r="A18" s="6" t="s">
        <v>300</v>
      </c>
      <c r="B18" s="9">
        <v>18828278</v>
      </c>
      <c r="C18" s="6" t="s">
        <v>433</v>
      </c>
      <c r="D18" s="26">
        <v>9029455080</v>
      </c>
      <c r="E18" s="7">
        <v>46082</v>
      </c>
      <c r="F18" s="6" t="s">
        <v>74</v>
      </c>
      <c r="G18" s="6" t="s">
        <v>424</v>
      </c>
      <c r="H18" s="6" t="s">
        <v>46</v>
      </c>
      <c r="I18" s="8">
        <v>10</v>
      </c>
      <c r="J18" s="8">
        <v>41.82</v>
      </c>
      <c r="K18" s="8">
        <v>4.18</v>
      </c>
      <c r="L18" s="6" t="s">
        <v>392</v>
      </c>
      <c r="M18" s="7">
        <v>45658</v>
      </c>
      <c r="N18" s="9" t="s">
        <v>457</v>
      </c>
      <c r="O18" s="9"/>
      <c r="P18" s="9"/>
      <c r="Q18" s="26">
        <v>9029455080</v>
      </c>
      <c r="R18" s="9" t="str">
        <f t="shared" si="2"/>
        <v>90294550804</v>
      </c>
      <c r="S18" s="6" t="s">
        <v>497</v>
      </c>
      <c r="T18" s="9" t="s">
        <v>498</v>
      </c>
      <c r="U18" s="21" t="str">
        <f t="shared" si="0"/>
        <v>Patti Green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x14ac:dyDescent="0.2">
      <c r="A19" s="6" t="s">
        <v>300</v>
      </c>
      <c r="B19" s="9">
        <v>18828278</v>
      </c>
      <c r="C19" s="6" t="s">
        <v>435</v>
      </c>
      <c r="D19" s="26">
        <v>9030982390</v>
      </c>
      <c r="E19" s="7">
        <v>46054</v>
      </c>
      <c r="F19" s="6" t="s">
        <v>64</v>
      </c>
      <c r="G19" s="6" t="s">
        <v>391</v>
      </c>
      <c r="H19" s="6" t="s">
        <v>46</v>
      </c>
      <c r="I19" s="8">
        <v>10</v>
      </c>
      <c r="J19" s="8">
        <v>14.93</v>
      </c>
      <c r="K19" s="8">
        <v>1.49</v>
      </c>
      <c r="L19" s="6" t="s">
        <v>411</v>
      </c>
      <c r="M19" s="7">
        <v>45962</v>
      </c>
      <c r="N19" s="9" t="s">
        <v>457</v>
      </c>
      <c r="O19" s="9"/>
      <c r="P19" s="9"/>
      <c r="Q19" s="26">
        <v>9030982390</v>
      </c>
      <c r="R19" s="9" t="str">
        <f t="shared" si="2"/>
        <v>90309823904</v>
      </c>
      <c r="S19" s="6" t="s">
        <v>511</v>
      </c>
      <c r="T19" s="9" t="s">
        <v>512</v>
      </c>
      <c r="U19" s="21" t="str">
        <f t="shared" si="0"/>
        <v>Patrick Rolfs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x14ac:dyDescent="0.2">
      <c r="A20" s="6" t="s">
        <v>437</v>
      </c>
      <c r="B20" s="9" t="s">
        <v>671</v>
      </c>
      <c r="C20" s="6" t="s">
        <v>444</v>
      </c>
      <c r="D20" s="26">
        <v>9030047190</v>
      </c>
      <c r="E20" s="7">
        <v>46082</v>
      </c>
      <c r="F20" s="6" t="s">
        <v>74</v>
      </c>
      <c r="G20" s="6" t="s">
        <v>391</v>
      </c>
      <c r="H20" s="6" t="s">
        <v>46</v>
      </c>
      <c r="I20" s="8">
        <v>10</v>
      </c>
      <c r="J20" s="8">
        <v>36.99</v>
      </c>
      <c r="K20" s="8">
        <v>3.7</v>
      </c>
      <c r="L20" s="6" t="s">
        <v>411</v>
      </c>
      <c r="M20" s="7">
        <v>45700</v>
      </c>
      <c r="N20" s="9" t="s">
        <v>457</v>
      </c>
      <c r="O20" s="9"/>
      <c r="P20" s="9"/>
      <c r="Q20" s="26">
        <v>9030047190</v>
      </c>
      <c r="R20" s="9" t="str">
        <f t="shared" si="2"/>
        <v>90300471904</v>
      </c>
      <c r="S20" s="6" t="s">
        <v>513</v>
      </c>
      <c r="T20" s="9" t="s">
        <v>514</v>
      </c>
      <c r="U20" s="21" t="str">
        <f t="shared" si="0"/>
        <v>Massimo Ferrari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x14ac:dyDescent="0.2">
      <c r="A21" s="6" t="s">
        <v>437</v>
      </c>
      <c r="B21" s="9" t="s">
        <v>671</v>
      </c>
      <c r="C21" s="6" t="s">
        <v>446</v>
      </c>
      <c r="D21" s="26">
        <v>9030450680</v>
      </c>
      <c r="E21" s="7">
        <v>46082</v>
      </c>
      <c r="F21" s="6" t="s">
        <v>74</v>
      </c>
      <c r="G21" s="6" t="s">
        <v>391</v>
      </c>
      <c r="H21" s="6" t="s">
        <v>46</v>
      </c>
      <c r="I21" s="8">
        <v>10</v>
      </c>
      <c r="J21" s="8">
        <v>23.99</v>
      </c>
      <c r="K21" s="8">
        <v>2.4</v>
      </c>
      <c r="L21" s="6" t="s">
        <v>411</v>
      </c>
      <c r="M21" s="7">
        <v>45776</v>
      </c>
      <c r="N21" s="9" t="s">
        <v>457</v>
      </c>
      <c r="O21" s="9"/>
      <c r="P21" s="9"/>
      <c r="Q21" s="26">
        <v>9030450680</v>
      </c>
      <c r="R21" s="9" t="str">
        <f t="shared" si="2"/>
        <v>90304506804</v>
      </c>
      <c r="S21" s="6" t="s">
        <v>515</v>
      </c>
      <c r="T21" s="9" t="s">
        <v>512</v>
      </c>
      <c r="U21" s="21" t="str">
        <f t="shared" si="0"/>
        <v>Patrick Breedy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x14ac:dyDescent="0.2">
      <c r="A22" s="6" t="s">
        <v>437</v>
      </c>
      <c r="B22" s="9" t="s">
        <v>671</v>
      </c>
      <c r="C22" s="6" t="s">
        <v>448</v>
      </c>
      <c r="D22" s="26">
        <v>9030658860</v>
      </c>
      <c r="E22" s="7">
        <v>46082</v>
      </c>
      <c r="F22" s="6" t="s">
        <v>74</v>
      </c>
      <c r="G22" s="6" t="s">
        <v>391</v>
      </c>
      <c r="H22" s="6" t="s">
        <v>46</v>
      </c>
      <c r="I22" s="8">
        <v>10</v>
      </c>
      <c r="J22" s="8">
        <v>23.99</v>
      </c>
      <c r="K22" s="8">
        <v>2.4</v>
      </c>
      <c r="L22" s="6" t="s">
        <v>411</v>
      </c>
      <c r="M22" s="7">
        <v>45818</v>
      </c>
      <c r="N22" s="9" t="s">
        <v>457</v>
      </c>
      <c r="O22" s="9"/>
      <c r="P22" s="9"/>
      <c r="Q22" s="26">
        <v>9030658860</v>
      </c>
      <c r="R22" s="9" t="str">
        <f t="shared" si="2"/>
        <v>90306588604</v>
      </c>
      <c r="S22" s="6" t="s">
        <v>516</v>
      </c>
      <c r="T22" s="9" t="s">
        <v>517</v>
      </c>
      <c r="U22" s="21" t="str">
        <f t="shared" si="0"/>
        <v>Amer Sajed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s="17" customFormat="1" x14ac:dyDescent="0.2">
      <c r="A23" s="6" t="s">
        <v>413</v>
      </c>
      <c r="B23" s="28" t="s">
        <v>672</v>
      </c>
      <c r="C23" s="6" t="s">
        <v>414</v>
      </c>
      <c r="D23" s="26">
        <v>9030645400</v>
      </c>
      <c r="E23" s="7">
        <v>46082</v>
      </c>
      <c r="F23" s="6" t="s">
        <v>74</v>
      </c>
      <c r="G23" s="6" t="s">
        <v>391</v>
      </c>
      <c r="H23" s="6" t="s">
        <v>46</v>
      </c>
      <c r="I23" s="8">
        <v>10</v>
      </c>
      <c r="J23" s="8">
        <v>12.99</v>
      </c>
      <c r="K23" s="8">
        <v>1.3</v>
      </c>
      <c r="L23" s="6" t="s">
        <v>411</v>
      </c>
      <c r="M23" s="7">
        <v>45839</v>
      </c>
      <c r="N23" s="9" t="s">
        <v>457</v>
      </c>
      <c r="O23" s="9"/>
      <c r="P23" s="9"/>
      <c r="Q23" s="26">
        <v>9030645400</v>
      </c>
      <c r="R23" s="9" t="str">
        <f t="shared" si="2"/>
        <v>90306454004</v>
      </c>
      <c r="S23" s="6" t="s">
        <v>505</v>
      </c>
      <c r="T23" s="9" t="s">
        <v>506</v>
      </c>
      <c r="U23" s="21" t="str">
        <f t="shared" si="0"/>
        <v>Beth Hudock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s="21" customFormat="1" x14ac:dyDescent="0.2">
      <c r="A24" s="6" t="s">
        <v>413</v>
      </c>
      <c r="B24" s="28" t="s">
        <v>672</v>
      </c>
      <c r="C24" s="6" t="s">
        <v>416</v>
      </c>
      <c r="D24" s="26">
        <v>9030982010</v>
      </c>
      <c r="E24" s="7">
        <v>46082</v>
      </c>
      <c r="F24" s="6" t="s">
        <v>74</v>
      </c>
      <c r="G24" s="6" t="s">
        <v>391</v>
      </c>
      <c r="H24" s="6" t="s">
        <v>46</v>
      </c>
      <c r="I24" s="8">
        <v>10</v>
      </c>
      <c r="J24" s="8">
        <v>12.99</v>
      </c>
      <c r="K24" s="8">
        <v>1.3</v>
      </c>
      <c r="L24" s="6" t="s">
        <v>411</v>
      </c>
      <c r="M24" s="7">
        <v>45880</v>
      </c>
      <c r="N24" s="9" t="s">
        <v>457</v>
      </c>
      <c r="O24" s="9"/>
      <c r="P24" s="9"/>
      <c r="Q24" s="26">
        <v>9030982010</v>
      </c>
      <c r="R24" s="9" t="str">
        <f t="shared" si="2"/>
        <v>90309820104</v>
      </c>
      <c r="S24" s="6" t="s">
        <v>507</v>
      </c>
      <c r="T24" s="9" t="s">
        <v>508</v>
      </c>
      <c r="U24" s="21" t="str">
        <f t="shared" si="0"/>
        <v>Tyler Daube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2">
      <c r="A25" s="6" t="s">
        <v>413</v>
      </c>
      <c r="B25" s="28" t="s">
        <v>672</v>
      </c>
      <c r="C25" s="6" t="s">
        <v>418</v>
      </c>
      <c r="D25" s="26">
        <v>9031089540</v>
      </c>
      <c r="E25" s="7">
        <v>46082</v>
      </c>
      <c r="F25" s="6" t="s">
        <v>74</v>
      </c>
      <c r="G25" s="6" t="s">
        <v>391</v>
      </c>
      <c r="H25" s="6" t="s">
        <v>46</v>
      </c>
      <c r="I25" s="8">
        <v>10</v>
      </c>
      <c r="J25" s="8">
        <v>12.99</v>
      </c>
      <c r="K25" s="8">
        <v>1.3</v>
      </c>
      <c r="L25" s="6" t="s">
        <v>411</v>
      </c>
      <c r="M25" s="7">
        <v>45903</v>
      </c>
      <c r="N25" s="9" t="s">
        <v>457</v>
      </c>
      <c r="O25" s="9"/>
      <c r="P25" s="9"/>
      <c r="Q25" s="26">
        <v>9031089540</v>
      </c>
      <c r="R25" s="9" t="str">
        <f t="shared" si="2"/>
        <v>90310895404</v>
      </c>
      <c r="S25" s="6" t="s">
        <v>509</v>
      </c>
      <c r="T25" s="9" t="s">
        <v>510</v>
      </c>
      <c r="U25" s="21" t="str">
        <f t="shared" si="0"/>
        <v>Hanna Yates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2">
      <c r="A26" s="6" t="s">
        <v>408</v>
      </c>
      <c r="B26" s="9">
        <v>17554531</v>
      </c>
      <c r="C26" s="6" t="s">
        <v>409</v>
      </c>
      <c r="D26" s="26">
        <v>9030503940</v>
      </c>
      <c r="E26" s="7">
        <v>46082</v>
      </c>
      <c r="F26" s="6" t="s">
        <v>74</v>
      </c>
      <c r="G26" s="6" t="s">
        <v>391</v>
      </c>
      <c r="H26" s="6" t="s">
        <v>46</v>
      </c>
      <c r="I26" s="8">
        <v>10</v>
      </c>
      <c r="J26" s="8">
        <v>38.21</v>
      </c>
      <c r="K26" s="8">
        <v>3.82</v>
      </c>
      <c r="L26" s="6" t="s">
        <v>411</v>
      </c>
      <c r="M26" s="7">
        <v>45786</v>
      </c>
      <c r="N26" s="9" t="s">
        <v>457</v>
      </c>
      <c r="O26" s="9"/>
      <c r="P26" s="9"/>
      <c r="Q26" s="26">
        <v>9030503940</v>
      </c>
      <c r="R26" s="9" t="str">
        <f t="shared" si="2"/>
        <v>90305039404</v>
      </c>
      <c r="S26" s="6" t="s">
        <v>503</v>
      </c>
      <c r="T26" s="9" t="s">
        <v>504</v>
      </c>
      <c r="U26" s="21" t="str">
        <f t="shared" si="0"/>
        <v>Crystal Johnson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x14ac:dyDescent="0.2">
      <c r="A27" s="10" t="s">
        <v>237</v>
      </c>
      <c r="B27" s="13">
        <v>18754354</v>
      </c>
      <c r="C27" s="10" t="s">
        <v>420</v>
      </c>
      <c r="D27" s="25">
        <v>413180</v>
      </c>
      <c r="E27" s="11">
        <v>46054</v>
      </c>
      <c r="F27" s="10" t="s">
        <v>64</v>
      </c>
      <c r="G27" s="10" t="s">
        <v>424</v>
      </c>
      <c r="H27" s="10" t="s">
        <v>46</v>
      </c>
      <c r="I27" s="12">
        <v>10</v>
      </c>
      <c r="J27" s="12">
        <v>959.08</v>
      </c>
      <c r="K27" s="12">
        <v>95.91</v>
      </c>
      <c r="L27" s="10" t="s">
        <v>69</v>
      </c>
      <c r="M27" s="11">
        <v>45474</v>
      </c>
      <c r="N27" s="13" t="s">
        <v>458</v>
      </c>
      <c r="O27" s="13"/>
      <c r="P27" s="13"/>
      <c r="Q27" s="25">
        <v>413180</v>
      </c>
      <c r="R27" s="13" t="str">
        <f>CONCATENATE(Q27,7)</f>
        <v>4131807</v>
      </c>
      <c r="S27" s="10" t="s">
        <v>493</v>
      </c>
      <c r="T27" s="13" t="s">
        <v>494</v>
      </c>
      <c r="U27" s="10" t="s">
        <v>420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pans="1:42" x14ac:dyDescent="0.2">
      <c r="A28" s="10" t="s">
        <v>237</v>
      </c>
      <c r="B28" s="13">
        <v>18754354</v>
      </c>
      <c r="C28" s="10" t="s">
        <v>420</v>
      </c>
      <c r="D28" s="25">
        <v>413180</v>
      </c>
      <c r="E28" s="11">
        <v>46054</v>
      </c>
      <c r="F28" s="10" t="s">
        <v>64</v>
      </c>
      <c r="G28" s="10" t="s">
        <v>391</v>
      </c>
      <c r="H28" s="10" t="s">
        <v>46</v>
      </c>
      <c r="I28" s="12">
        <v>10</v>
      </c>
      <c r="J28" s="12">
        <v>177.23</v>
      </c>
      <c r="K28" s="12">
        <v>17.72</v>
      </c>
      <c r="L28" s="10" t="s">
        <v>69</v>
      </c>
      <c r="M28" s="11">
        <v>45474</v>
      </c>
      <c r="N28" s="13" t="s">
        <v>458</v>
      </c>
      <c r="O28" s="13"/>
      <c r="P28" s="13"/>
      <c r="Q28" s="25">
        <v>413180</v>
      </c>
      <c r="R28" s="13" t="str">
        <f>CONCATENATE(Q28,7)</f>
        <v>4131807</v>
      </c>
      <c r="S28" s="10" t="s">
        <v>493</v>
      </c>
      <c r="T28" s="13" t="s">
        <v>494</v>
      </c>
      <c r="U28" s="10" t="s">
        <v>420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pans="1:42" x14ac:dyDescent="0.2">
      <c r="A29" s="4" t="s">
        <v>252</v>
      </c>
      <c r="B29">
        <v>19396223</v>
      </c>
      <c r="C29" s="4" t="s">
        <v>253</v>
      </c>
      <c r="D29" s="4" t="s">
        <v>254</v>
      </c>
      <c r="E29" s="3">
        <v>46054</v>
      </c>
      <c r="F29" s="4" t="s">
        <v>64</v>
      </c>
      <c r="G29" s="4" t="s">
        <v>51</v>
      </c>
      <c r="H29" s="4" t="s">
        <v>52</v>
      </c>
      <c r="I29" s="5">
        <v>1</v>
      </c>
      <c r="J29" s="5">
        <v>0</v>
      </c>
      <c r="K29" s="5">
        <v>28.91</v>
      </c>
      <c r="L29" s="4" t="s">
        <v>69</v>
      </c>
      <c r="M29" s="3">
        <v>45717</v>
      </c>
      <c r="N29" t="s">
        <v>461</v>
      </c>
      <c r="O29" s="23" t="s">
        <v>468</v>
      </c>
      <c r="Q29" s="4" t="s">
        <v>254</v>
      </c>
      <c r="R29" t="str">
        <f t="shared" ref="R29:R60" si="3">CONCATENATE(Q29,66)</f>
        <v>00023146640K66</v>
      </c>
      <c r="S29" s="4" t="s">
        <v>566</v>
      </c>
      <c r="T29" t="s">
        <v>567</v>
      </c>
      <c r="U29" s="21" t="str">
        <f t="shared" ref="U29:U60" si="4">CONCATENATE(T29," ",S29)</f>
        <v>CHERYL NESTEROWICZ</v>
      </c>
    </row>
    <row r="30" spans="1:42" x14ac:dyDescent="0.2">
      <c r="A30" s="4" t="s">
        <v>252</v>
      </c>
      <c r="B30">
        <v>19396223</v>
      </c>
      <c r="C30" s="4" t="s">
        <v>256</v>
      </c>
      <c r="D30" s="4" t="s">
        <v>257</v>
      </c>
      <c r="E30" s="3">
        <v>46054</v>
      </c>
      <c r="F30" s="4" t="s">
        <v>64</v>
      </c>
      <c r="G30" s="4" t="s">
        <v>51</v>
      </c>
      <c r="H30" s="4" t="s">
        <v>52</v>
      </c>
      <c r="I30" s="5">
        <v>1</v>
      </c>
      <c r="J30" s="5">
        <v>0</v>
      </c>
      <c r="K30" s="5">
        <v>28.91</v>
      </c>
      <c r="L30" s="4" t="s">
        <v>69</v>
      </c>
      <c r="M30" s="3">
        <v>45717</v>
      </c>
      <c r="N30" t="s">
        <v>461</v>
      </c>
      <c r="O30" s="23" t="s">
        <v>468</v>
      </c>
      <c r="Q30" s="4" t="s">
        <v>257</v>
      </c>
      <c r="R30" t="str">
        <f t="shared" si="3"/>
        <v>00023146818K66</v>
      </c>
      <c r="S30" s="4" t="s">
        <v>566</v>
      </c>
      <c r="T30" t="s">
        <v>568</v>
      </c>
      <c r="U30" s="21" t="str">
        <f t="shared" si="4"/>
        <v>JOHN NESTEROWICZ</v>
      </c>
    </row>
    <row r="31" spans="1:42" x14ac:dyDescent="0.2">
      <c r="A31" s="4" t="s">
        <v>252</v>
      </c>
      <c r="B31">
        <v>19396223</v>
      </c>
      <c r="C31" s="4" t="s">
        <v>259</v>
      </c>
      <c r="D31" s="4" t="s">
        <v>260</v>
      </c>
      <c r="E31" s="3">
        <v>46082</v>
      </c>
      <c r="F31" s="4" t="s">
        <v>74</v>
      </c>
      <c r="G31" s="4" t="s">
        <v>51</v>
      </c>
      <c r="H31" s="4" t="s">
        <v>52</v>
      </c>
      <c r="I31" s="5">
        <v>0.83</v>
      </c>
      <c r="J31" s="5">
        <v>0</v>
      </c>
      <c r="K31" s="5">
        <v>289.17</v>
      </c>
      <c r="L31" s="4" t="s">
        <v>53</v>
      </c>
      <c r="M31" s="3">
        <v>46082</v>
      </c>
      <c r="N31" t="s">
        <v>461</v>
      </c>
      <c r="O31" s="23" t="s">
        <v>467</v>
      </c>
      <c r="Q31" s="4" t="s">
        <v>260</v>
      </c>
      <c r="R31" t="str">
        <f t="shared" si="3"/>
        <v>00026099968K66</v>
      </c>
      <c r="S31" s="4" t="s">
        <v>650</v>
      </c>
      <c r="T31" t="s">
        <v>559</v>
      </c>
      <c r="U31" s="21" t="str">
        <f t="shared" si="4"/>
        <v>KATHLEEN TOULON</v>
      </c>
    </row>
    <row r="32" spans="1:42" x14ac:dyDescent="0.2">
      <c r="A32" s="4" t="s">
        <v>247</v>
      </c>
      <c r="B32">
        <v>18598357</v>
      </c>
      <c r="C32" s="4" t="s">
        <v>248</v>
      </c>
      <c r="D32" s="4" t="s">
        <v>249</v>
      </c>
      <c r="E32" s="3">
        <v>46113</v>
      </c>
      <c r="F32" s="4" t="s">
        <v>251</v>
      </c>
      <c r="G32" s="4" t="s">
        <v>51</v>
      </c>
      <c r="H32" s="4" t="s">
        <v>52</v>
      </c>
      <c r="I32" s="5">
        <v>0.75</v>
      </c>
      <c r="J32" s="5">
        <v>0</v>
      </c>
      <c r="K32" s="5">
        <v>260.25</v>
      </c>
      <c r="L32" s="4" t="s">
        <v>53</v>
      </c>
      <c r="M32" s="3">
        <v>46113</v>
      </c>
      <c r="N32" t="s">
        <v>461</v>
      </c>
      <c r="O32" s="23" t="s">
        <v>470</v>
      </c>
      <c r="Q32" s="4" t="s">
        <v>249</v>
      </c>
      <c r="R32" t="str">
        <f t="shared" si="3"/>
        <v>00026083549K66</v>
      </c>
      <c r="S32" s="4" t="s">
        <v>627</v>
      </c>
      <c r="T32" t="s">
        <v>628</v>
      </c>
      <c r="U32" s="21" t="str">
        <f t="shared" si="4"/>
        <v>MARYANN COHILL</v>
      </c>
    </row>
    <row r="33" spans="1:21" x14ac:dyDescent="0.2">
      <c r="A33" s="4" t="s">
        <v>93</v>
      </c>
      <c r="B33">
        <v>7470776</v>
      </c>
      <c r="C33" s="4" t="s">
        <v>97</v>
      </c>
      <c r="D33" s="4" t="s">
        <v>98</v>
      </c>
      <c r="E33" s="3">
        <v>46054</v>
      </c>
      <c r="F33" s="4" t="s">
        <v>64</v>
      </c>
      <c r="G33" s="4" t="s">
        <v>51</v>
      </c>
      <c r="H33" s="4" t="s">
        <v>52</v>
      </c>
      <c r="I33" s="5">
        <v>1</v>
      </c>
      <c r="J33" s="5">
        <v>0</v>
      </c>
      <c r="K33" s="5">
        <v>28.91</v>
      </c>
      <c r="L33" s="4" t="s">
        <v>69</v>
      </c>
      <c r="M33" s="3">
        <v>45658</v>
      </c>
      <c r="N33" t="s">
        <v>461</v>
      </c>
      <c r="O33" s="23" t="s">
        <v>468</v>
      </c>
      <c r="Q33" s="4" t="s">
        <v>98</v>
      </c>
      <c r="R33" t="str">
        <f t="shared" si="3"/>
        <v>00022190839K66</v>
      </c>
      <c r="S33" s="4" t="s">
        <v>537</v>
      </c>
      <c r="T33" t="s">
        <v>538</v>
      </c>
      <c r="U33" s="21" t="str">
        <f t="shared" si="4"/>
        <v>MARIA YREZABAL</v>
      </c>
    </row>
    <row r="34" spans="1:21" x14ac:dyDescent="0.2">
      <c r="A34" s="4" t="s">
        <v>93</v>
      </c>
      <c r="B34">
        <v>7470776</v>
      </c>
      <c r="C34" s="4" t="s">
        <v>100</v>
      </c>
      <c r="D34" s="4" t="s">
        <v>101</v>
      </c>
      <c r="E34" s="3">
        <v>46054</v>
      </c>
      <c r="F34" s="4" t="s">
        <v>64</v>
      </c>
      <c r="G34" s="4" t="s">
        <v>51</v>
      </c>
      <c r="H34" s="4" t="s">
        <v>52</v>
      </c>
      <c r="I34" s="5">
        <v>1</v>
      </c>
      <c r="J34" s="5">
        <v>0</v>
      </c>
      <c r="K34" s="5">
        <v>28.91</v>
      </c>
      <c r="L34" s="4" t="s">
        <v>69</v>
      </c>
      <c r="M34" s="3">
        <v>45962</v>
      </c>
      <c r="N34" t="s">
        <v>461</v>
      </c>
      <c r="O34" s="23" t="s">
        <v>468</v>
      </c>
      <c r="Q34" s="4" t="s">
        <v>101</v>
      </c>
      <c r="R34" t="str">
        <f t="shared" si="3"/>
        <v>00024259596K66</v>
      </c>
      <c r="S34" s="4" t="s">
        <v>539</v>
      </c>
      <c r="T34" t="s">
        <v>540</v>
      </c>
      <c r="U34" s="21" t="str">
        <f t="shared" si="4"/>
        <v>CAROL DUBOIS</v>
      </c>
    </row>
    <row r="35" spans="1:21" x14ac:dyDescent="0.2">
      <c r="A35" s="4" t="s">
        <v>93</v>
      </c>
      <c r="B35">
        <v>7470776</v>
      </c>
      <c r="C35" s="4" t="s">
        <v>108</v>
      </c>
      <c r="D35" s="4" t="s">
        <v>109</v>
      </c>
      <c r="E35" s="3">
        <v>46082</v>
      </c>
      <c r="F35" s="4" t="s">
        <v>74</v>
      </c>
      <c r="G35" s="4" t="s">
        <v>51</v>
      </c>
      <c r="H35" s="4" t="s">
        <v>52</v>
      </c>
      <c r="I35" s="5">
        <v>0.83</v>
      </c>
      <c r="J35" s="5">
        <v>0</v>
      </c>
      <c r="K35" s="5">
        <v>289.17</v>
      </c>
      <c r="L35" s="4" t="s">
        <v>53</v>
      </c>
      <c r="M35" s="3">
        <v>46082</v>
      </c>
      <c r="N35" t="s">
        <v>461</v>
      </c>
      <c r="O35" s="23" t="s">
        <v>467</v>
      </c>
      <c r="Q35" s="4" t="s">
        <v>109</v>
      </c>
      <c r="R35" t="str">
        <f t="shared" si="3"/>
        <v>00026083796K66</v>
      </c>
      <c r="S35" s="4" t="s">
        <v>640</v>
      </c>
      <c r="T35" t="s">
        <v>641</v>
      </c>
      <c r="U35" s="21" t="str">
        <f t="shared" si="4"/>
        <v>KURT DELABAR</v>
      </c>
    </row>
    <row r="36" spans="1:21" x14ac:dyDescent="0.2">
      <c r="A36" s="4" t="s">
        <v>93</v>
      </c>
      <c r="B36">
        <v>7470776</v>
      </c>
      <c r="C36" s="4" t="s">
        <v>111</v>
      </c>
      <c r="D36" s="4" t="s">
        <v>112</v>
      </c>
      <c r="E36" s="3">
        <v>46082</v>
      </c>
      <c r="F36" s="4" t="s">
        <v>74</v>
      </c>
      <c r="G36" s="4" t="s">
        <v>51</v>
      </c>
      <c r="H36" s="4" t="s">
        <v>52</v>
      </c>
      <c r="I36" s="5">
        <v>0.83</v>
      </c>
      <c r="J36" s="5">
        <v>0</v>
      </c>
      <c r="K36" s="5">
        <v>289.17</v>
      </c>
      <c r="L36" s="4" t="s">
        <v>53</v>
      </c>
      <c r="M36" s="3">
        <v>46082</v>
      </c>
      <c r="N36" t="s">
        <v>461</v>
      </c>
      <c r="O36" s="23" t="s">
        <v>467</v>
      </c>
      <c r="Q36" s="4" t="s">
        <v>112</v>
      </c>
      <c r="R36" t="str">
        <f t="shared" si="3"/>
        <v>00026103538K66</v>
      </c>
      <c r="S36" s="4" t="s">
        <v>642</v>
      </c>
      <c r="T36" t="s">
        <v>549</v>
      </c>
      <c r="U36" s="21" t="str">
        <f t="shared" si="4"/>
        <v>THOMAS CONFORTI</v>
      </c>
    </row>
    <row r="37" spans="1:21" x14ac:dyDescent="0.2">
      <c r="A37" s="4" t="s">
        <v>93</v>
      </c>
      <c r="B37">
        <v>7470776</v>
      </c>
      <c r="C37" s="4" t="s">
        <v>103</v>
      </c>
      <c r="D37" s="4" t="s">
        <v>104</v>
      </c>
      <c r="E37" s="3">
        <v>46023</v>
      </c>
      <c r="F37" s="4" t="s">
        <v>49</v>
      </c>
      <c r="G37" s="4" t="s">
        <v>51</v>
      </c>
      <c r="H37" s="4" t="s">
        <v>80</v>
      </c>
      <c r="I37" s="5">
        <v>0</v>
      </c>
      <c r="J37" s="5">
        <v>0</v>
      </c>
      <c r="K37" s="5">
        <v>347</v>
      </c>
      <c r="L37" s="4" t="s">
        <v>106</v>
      </c>
      <c r="M37" s="3">
        <v>46023</v>
      </c>
      <c r="N37" t="s">
        <v>461</v>
      </c>
      <c r="O37" s="23" t="s">
        <v>471</v>
      </c>
      <c r="Q37" s="4" t="s">
        <v>104</v>
      </c>
      <c r="R37" t="str">
        <f t="shared" si="3"/>
        <v>00025205339K66</v>
      </c>
      <c r="S37" s="4" t="s">
        <v>667</v>
      </c>
      <c r="T37" t="s">
        <v>525</v>
      </c>
      <c r="U37" s="21" t="str">
        <f t="shared" si="4"/>
        <v>DAVID RODAK</v>
      </c>
    </row>
    <row r="38" spans="1:21" x14ac:dyDescent="0.2">
      <c r="A38" s="4" t="s">
        <v>93</v>
      </c>
      <c r="B38">
        <v>7470776</v>
      </c>
      <c r="C38" s="4" t="s">
        <v>103</v>
      </c>
      <c r="D38" s="4" t="s">
        <v>104</v>
      </c>
      <c r="E38" s="3">
        <v>46023</v>
      </c>
      <c r="F38" s="4" t="s">
        <v>49</v>
      </c>
      <c r="G38" s="4" t="s">
        <v>51</v>
      </c>
      <c r="H38" s="4" t="s">
        <v>80</v>
      </c>
      <c r="I38" s="5">
        <v>1</v>
      </c>
      <c r="J38" s="5">
        <v>0</v>
      </c>
      <c r="K38" s="5">
        <v>347</v>
      </c>
      <c r="L38" s="4" t="s">
        <v>53</v>
      </c>
      <c r="M38" s="3">
        <v>46023</v>
      </c>
      <c r="N38" t="s">
        <v>461</v>
      </c>
      <c r="O38" s="23" t="s">
        <v>471</v>
      </c>
      <c r="Q38" s="4" t="s">
        <v>104</v>
      </c>
      <c r="R38" t="str">
        <f t="shared" si="3"/>
        <v>00025205339K66</v>
      </c>
      <c r="S38" s="4" t="s">
        <v>667</v>
      </c>
      <c r="T38" t="s">
        <v>525</v>
      </c>
      <c r="U38" s="21" t="str">
        <f t="shared" si="4"/>
        <v>DAVID RODAK</v>
      </c>
    </row>
    <row r="39" spans="1:21" x14ac:dyDescent="0.2">
      <c r="A39" s="4" t="s">
        <v>165</v>
      </c>
      <c r="B39">
        <v>17126004</v>
      </c>
      <c r="C39" s="4" t="s">
        <v>166</v>
      </c>
      <c r="D39" s="4" t="s">
        <v>167</v>
      </c>
      <c r="E39" s="3">
        <v>46054</v>
      </c>
      <c r="F39" s="4" t="s">
        <v>64</v>
      </c>
      <c r="G39" s="4" t="s">
        <v>51</v>
      </c>
      <c r="H39" s="4" t="s">
        <v>52</v>
      </c>
      <c r="I39" s="5">
        <v>1</v>
      </c>
      <c r="J39" s="5">
        <v>0</v>
      </c>
      <c r="K39" s="5">
        <v>28.91</v>
      </c>
      <c r="L39" s="4" t="s">
        <v>69</v>
      </c>
      <c r="M39" s="3">
        <v>45717</v>
      </c>
      <c r="N39" t="s">
        <v>461</v>
      </c>
      <c r="O39" s="23" t="s">
        <v>468</v>
      </c>
      <c r="Q39" s="4" t="s">
        <v>167</v>
      </c>
      <c r="R39" t="str">
        <f t="shared" si="3"/>
        <v>00007672778K66</v>
      </c>
      <c r="S39" s="4" t="s">
        <v>550</v>
      </c>
      <c r="T39" t="s">
        <v>551</v>
      </c>
      <c r="U39" s="21" t="str">
        <f t="shared" si="4"/>
        <v>EILEEN CECHOTA</v>
      </c>
    </row>
    <row r="40" spans="1:21" x14ac:dyDescent="0.2">
      <c r="A40" s="4" t="s">
        <v>165</v>
      </c>
      <c r="B40">
        <v>17126004</v>
      </c>
      <c r="C40" s="4" t="s">
        <v>169</v>
      </c>
      <c r="D40" s="4" t="s">
        <v>170</v>
      </c>
      <c r="E40" s="3">
        <v>46054</v>
      </c>
      <c r="F40" s="4" t="s">
        <v>64</v>
      </c>
      <c r="G40" s="4" t="s">
        <v>51</v>
      </c>
      <c r="H40" s="4" t="s">
        <v>80</v>
      </c>
      <c r="I40" s="5">
        <v>1</v>
      </c>
      <c r="J40" s="5">
        <v>0</v>
      </c>
      <c r="K40" s="5">
        <v>28.91</v>
      </c>
      <c r="L40" s="4" t="s">
        <v>69</v>
      </c>
      <c r="M40" s="3">
        <v>45689</v>
      </c>
      <c r="N40" t="s">
        <v>461</v>
      </c>
      <c r="O40" s="23" t="s">
        <v>468</v>
      </c>
      <c r="Q40" s="4" t="s">
        <v>170</v>
      </c>
      <c r="R40" t="str">
        <f t="shared" si="3"/>
        <v>00018501512K66</v>
      </c>
      <c r="S40" s="27" t="s">
        <v>669</v>
      </c>
      <c r="T40" t="s">
        <v>596</v>
      </c>
      <c r="U40" s="21" t="str">
        <f t="shared" si="4"/>
        <v>AMJAD AL AZMAH</v>
      </c>
    </row>
    <row r="41" spans="1:21" x14ac:dyDescent="0.2">
      <c r="A41" s="4" t="s">
        <v>300</v>
      </c>
      <c r="B41">
        <v>18828278</v>
      </c>
      <c r="C41" s="4" t="s">
        <v>313</v>
      </c>
      <c r="D41" s="4" t="s">
        <v>314</v>
      </c>
      <c r="E41" s="3">
        <v>46023</v>
      </c>
      <c r="F41" s="4" t="s">
        <v>49</v>
      </c>
      <c r="G41" s="4" t="s">
        <v>51</v>
      </c>
      <c r="H41" s="4" t="s">
        <v>80</v>
      </c>
      <c r="I41" s="5">
        <v>-0.83</v>
      </c>
      <c r="J41" s="5">
        <v>0</v>
      </c>
      <c r="K41" s="5">
        <v>-289.17</v>
      </c>
      <c r="L41" s="4" t="s">
        <v>53</v>
      </c>
      <c r="M41" s="3">
        <v>46023</v>
      </c>
      <c r="N41" t="s">
        <v>461</v>
      </c>
      <c r="O41" s="23" t="s">
        <v>467</v>
      </c>
      <c r="Q41" s="4" t="s">
        <v>314</v>
      </c>
      <c r="R41" t="str">
        <f t="shared" si="3"/>
        <v>00024137824K66</v>
      </c>
      <c r="S41" s="4" t="s">
        <v>481</v>
      </c>
      <c r="T41" t="s">
        <v>530</v>
      </c>
      <c r="U41" s="21" t="str">
        <f t="shared" si="4"/>
        <v>RICHARD MARTIN</v>
      </c>
    </row>
    <row r="42" spans="1:21" x14ac:dyDescent="0.2">
      <c r="A42" s="4" t="s">
        <v>300</v>
      </c>
      <c r="B42">
        <v>18828278</v>
      </c>
      <c r="C42" s="4" t="s">
        <v>301</v>
      </c>
      <c r="D42" s="4" t="s">
        <v>302</v>
      </c>
      <c r="E42" s="3">
        <v>46054</v>
      </c>
      <c r="F42" s="4" t="s">
        <v>64</v>
      </c>
      <c r="G42" s="4" t="s">
        <v>51</v>
      </c>
      <c r="H42" s="4" t="s">
        <v>52</v>
      </c>
      <c r="I42" s="5">
        <v>1</v>
      </c>
      <c r="J42" s="5">
        <v>0</v>
      </c>
      <c r="K42" s="5">
        <v>28.91</v>
      </c>
      <c r="L42" s="4" t="s">
        <v>69</v>
      </c>
      <c r="M42" s="3">
        <v>45658</v>
      </c>
      <c r="N42" t="s">
        <v>461</v>
      </c>
      <c r="O42" s="23" t="s">
        <v>468</v>
      </c>
      <c r="Q42" s="4" t="s">
        <v>302</v>
      </c>
      <c r="R42" t="str">
        <f t="shared" si="3"/>
        <v>00010607898K66</v>
      </c>
      <c r="S42" s="4" t="s">
        <v>573</v>
      </c>
      <c r="T42" t="s">
        <v>574</v>
      </c>
      <c r="U42" s="21" t="str">
        <f t="shared" si="4"/>
        <v>CHARLES AHRENS</v>
      </c>
    </row>
    <row r="43" spans="1:21" x14ac:dyDescent="0.2">
      <c r="A43" s="4" t="s">
        <v>300</v>
      </c>
      <c r="B43">
        <v>18828278</v>
      </c>
      <c r="C43" s="4" t="s">
        <v>304</v>
      </c>
      <c r="D43" s="4" t="s">
        <v>305</v>
      </c>
      <c r="E43" s="3">
        <v>46054</v>
      </c>
      <c r="F43" s="4" t="s">
        <v>64</v>
      </c>
      <c r="G43" s="4" t="s">
        <v>51</v>
      </c>
      <c r="H43" s="4" t="s">
        <v>52</v>
      </c>
      <c r="I43" s="5">
        <v>1</v>
      </c>
      <c r="J43" s="5">
        <v>0</v>
      </c>
      <c r="K43" s="5">
        <v>28.91</v>
      </c>
      <c r="L43" s="4" t="s">
        <v>69</v>
      </c>
      <c r="M43" s="3">
        <v>45658</v>
      </c>
      <c r="N43" t="s">
        <v>461</v>
      </c>
      <c r="O43" s="23" t="s">
        <v>468</v>
      </c>
      <c r="Q43" s="4" t="s">
        <v>305</v>
      </c>
      <c r="R43" t="str">
        <f t="shared" si="3"/>
        <v>00020892173K66</v>
      </c>
      <c r="S43" s="4" t="s">
        <v>575</v>
      </c>
      <c r="T43" t="s">
        <v>576</v>
      </c>
      <c r="U43" s="21" t="str">
        <f t="shared" si="4"/>
        <v>CORRIE HARDER</v>
      </c>
    </row>
    <row r="44" spans="1:21" x14ac:dyDescent="0.2">
      <c r="A44" s="4" t="s">
        <v>300</v>
      </c>
      <c r="B44">
        <v>18828278</v>
      </c>
      <c r="C44" s="4" t="s">
        <v>307</v>
      </c>
      <c r="D44" s="4" t="s">
        <v>308</v>
      </c>
      <c r="E44" s="3">
        <v>46054</v>
      </c>
      <c r="F44" s="4" t="s">
        <v>64</v>
      </c>
      <c r="G44" s="4" t="s">
        <v>51</v>
      </c>
      <c r="H44" s="4" t="s">
        <v>52</v>
      </c>
      <c r="I44" s="5">
        <v>1</v>
      </c>
      <c r="J44" s="5">
        <v>0</v>
      </c>
      <c r="K44" s="5">
        <v>28.91</v>
      </c>
      <c r="L44" s="4" t="s">
        <v>69</v>
      </c>
      <c r="M44" s="3">
        <v>45658</v>
      </c>
      <c r="N44" t="s">
        <v>461</v>
      </c>
      <c r="O44" s="23" t="s">
        <v>468</v>
      </c>
      <c r="Q44" s="4" t="s">
        <v>308</v>
      </c>
      <c r="R44" t="str">
        <f t="shared" si="3"/>
        <v>00021745138K66</v>
      </c>
      <c r="S44" s="4" t="s">
        <v>577</v>
      </c>
      <c r="T44" t="s">
        <v>578</v>
      </c>
      <c r="U44" s="21" t="str">
        <f t="shared" si="4"/>
        <v>DONALD BLAIR</v>
      </c>
    </row>
    <row r="45" spans="1:21" x14ac:dyDescent="0.2">
      <c r="A45" s="4" t="s">
        <v>300</v>
      </c>
      <c r="B45">
        <v>18828278</v>
      </c>
      <c r="C45" s="4" t="s">
        <v>310</v>
      </c>
      <c r="D45" s="4" t="s">
        <v>311</v>
      </c>
      <c r="E45" s="3">
        <v>46054</v>
      </c>
      <c r="F45" s="4" t="s">
        <v>64</v>
      </c>
      <c r="G45" s="4" t="s">
        <v>51</v>
      </c>
      <c r="H45" s="4" t="s">
        <v>52</v>
      </c>
      <c r="I45" s="5">
        <v>1</v>
      </c>
      <c r="J45" s="5">
        <v>0</v>
      </c>
      <c r="K45" s="5">
        <v>28.91</v>
      </c>
      <c r="L45" s="4" t="s">
        <v>69</v>
      </c>
      <c r="M45" s="3">
        <v>45931</v>
      </c>
      <c r="N45" t="s">
        <v>461</v>
      </c>
      <c r="O45" s="23" t="s">
        <v>468</v>
      </c>
      <c r="Q45" s="4" t="s">
        <v>311</v>
      </c>
      <c r="R45" t="str">
        <f t="shared" si="3"/>
        <v>00023769198K66</v>
      </c>
      <c r="S45" s="4" t="s">
        <v>579</v>
      </c>
      <c r="T45" t="s">
        <v>580</v>
      </c>
      <c r="U45" s="21" t="str">
        <f t="shared" si="4"/>
        <v>LINDA CLOWES</v>
      </c>
    </row>
    <row r="46" spans="1:21" x14ac:dyDescent="0.2">
      <c r="A46" s="4" t="s">
        <v>300</v>
      </c>
      <c r="B46">
        <v>18828278</v>
      </c>
      <c r="C46" s="4" t="s">
        <v>316</v>
      </c>
      <c r="D46" s="4" t="s">
        <v>317</v>
      </c>
      <c r="E46" s="3">
        <v>46054</v>
      </c>
      <c r="F46" s="4" t="s">
        <v>64</v>
      </c>
      <c r="G46" s="4" t="s">
        <v>51</v>
      </c>
      <c r="H46" s="4" t="s">
        <v>80</v>
      </c>
      <c r="I46" s="5">
        <v>0.75</v>
      </c>
      <c r="J46" s="5">
        <v>0</v>
      </c>
      <c r="K46" s="5">
        <v>260.25</v>
      </c>
      <c r="L46" s="4" t="s">
        <v>53</v>
      </c>
      <c r="M46" s="3">
        <v>46054</v>
      </c>
      <c r="N46" t="s">
        <v>461</v>
      </c>
      <c r="O46" s="23" t="s">
        <v>470</v>
      </c>
      <c r="Q46" s="4" t="s">
        <v>317</v>
      </c>
      <c r="R46" t="str">
        <f t="shared" si="3"/>
        <v>00026030304K66</v>
      </c>
      <c r="S46" s="4" t="s">
        <v>635</v>
      </c>
      <c r="T46" t="s">
        <v>636</v>
      </c>
      <c r="U46" s="21" t="str">
        <f t="shared" si="4"/>
        <v>VESTER JONES</v>
      </c>
    </row>
    <row r="47" spans="1:21" x14ac:dyDescent="0.2">
      <c r="A47" s="4" t="s">
        <v>300</v>
      </c>
      <c r="B47">
        <v>18828278</v>
      </c>
      <c r="C47" s="4" t="s">
        <v>316</v>
      </c>
      <c r="D47" s="4" t="s">
        <v>317</v>
      </c>
      <c r="E47" s="3">
        <v>46054</v>
      </c>
      <c r="F47" s="4" t="s">
        <v>64</v>
      </c>
      <c r="G47" s="4" t="s">
        <v>51</v>
      </c>
      <c r="H47" s="4" t="s">
        <v>80</v>
      </c>
      <c r="I47" s="5">
        <v>0</v>
      </c>
      <c r="J47" s="5">
        <v>0</v>
      </c>
      <c r="K47" s="5">
        <v>318.08</v>
      </c>
      <c r="L47" s="4" t="s">
        <v>106</v>
      </c>
      <c r="M47" s="3">
        <v>46054</v>
      </c>
      <c r="N47" t="s">
        <v>461</v>
      </c>
      <c r="O47" s="23" t="s">
        <v>466</v>
      </c>
      <c r="Q47" s="4" t="s">
        <v>317</v>
      </c>
      <c r="R47" t="str">
        <f t="shared" si="3"/>
        <v>00026030304K66</v>
      </c>
      <c r="S47" s="4" t="s">
        <v>635</v>
      </c>
      <c r="T47" t="s">
        <v>636</v>
      </c>
      <c r="U47" s="21" t="str">
        <f t="shared" si="4"/>
        <v>VESTER JONES</v>
      </c>
    </row>
    <row r="48" spans="1:21" x14ac:dyDescent="0.2">
      <c r="A48" s="4" t="s">
        <v>189</v>
      </c>
      <c r="B48">
        <v>17425766</v>
      </c>
      <c r="C48" s="4" t="s">
        <v>190</v>
      </c>
      <c r="D48" s="4" t="s">
        <v>191</v>
      </c>
      <c r="E48" s="3">
        <v>46023</v>
      </c>
      <c r="F48" s="4" t="s">
        <v>49</v>
      </c>
      <c r="G48" s="4" t="s">
        <v>51</v>
      </c>
      <c r="H48" s="4" t="s">
        <v>52</v>
      </c>
      <c r="I48" s="5">
        <v>0</v>
      </c>
      <c r="J48" s="5">
        <v>0</v>
      </c>
      <c r="K48" s="5">
        <v>-318.08999999999997</v>
      </c>
      <c r="L48" s="4" t="s">
        <v>106</v>
      </c>
      <c r="M48" s="3">
        <v>46023</v>
      </c>
      <c r="N48" t="s">
        <v>461</v>
      </c>
      <c r="O48" s="23" t="s">
        <v>466</v>
      </c>
      <c r="Q48" s="4" t="s">
        <v>191</v>
      </c>
      <c r="R48" t="str">
        <f t="shared" si="3"/>
        <v>00025866840K66</v>
      </c>
      <c r="S48" s="4" t="s">
        <v>518</v>
      </c>
      <c r="T48" t="s">
        <v>519</v>
      </c>
      <c r="U48" s="21" t="str">
        <f t="shared" si="4"/>
        <v>FRUMA GOFMAN</v>
      </c>
    </row>
    <row r="49" spans="1:21" x14ac:dyDescent="0.2">
      <c r="A49" s="4" t="s">
        <v>189</v>
      </c>
      <c r="B49">
        <v>17425766</v>
      </c>
      <c r="C49" s="4" t="s">
        <v>190</v>
      </c>
      <c r="D49" s="4" t="s">
        <v>191</v>
      </c>
      <c r="E49" s="3">
        <v>46023</v>
      </c>
      <c r="F49" s="4" t="s">
        <v>49</v>
      </c>
      <c r="G49" s="4" t="s">
        <v>51</v>
      </c>
      <c r="H49" s="4" t="s">
        <v>52</v>
      </c>
      <c r="I49" s="5">
        <v>-0.92</v>
      </c>
      <c r="J49" s="5">
        <v>0</v>
      </c>
      <c r="K49" s="5">
        <v>-318.08</v>
      </c>
      <c r="L49" s="4" t="s">
        <v>53</v>
      </c>
      <c r="M49" s="3">
        <v>46023</v>
      </c>
      <c r="N49" t="s">
        <v>461</v>
      </c>
      <c r="O49" s="23" t="s">
        <v>466</v>
      </c>
      <c r="Q49" s="4" t="s">
        <v>191</v>
      </c>
      <c r="R49" t="str">
        <f t="shared" si="3"/>
        <v>00025866840K66</v>
      </c>
      <c r="S49" s="4" t="s">
        <v>518</v>
      </c>
      <c r="T49" t="s">
        <v>519</v>
      </c>
      <c r="U49" s="21" t="str">
        <f t="shared" si="4"/>
        <v>FRUMA GOFMAN</v>
      </c>
    </row>
    <row r="50" spans="1:21" x14ac:dyDescent="0.2">
      <c r="A50" s="4" t="s">
        <v>360</v>
      </c>
      <c r="B50">
        <v>21283956</v>
      </c>
      <c r="C50" s="4" t="s">
        <v>361</v>
      </c>
      <c r="D50" s="4" t="s">
        <v>362</v>
      </c>
      <c r="E50" s="3">
        <v>46082</v>
      </c>
      <c r="F50" s="4" t="s">
        <v>74</v>
      </c>
      <c r="G50" s="4" t="s">
        <v>51</v>
      </c>
      <c r="H50" s="4" t="s">
        <v>80</v>
      </c>
      <c r="I50" s="5">
        <v>0.83</v>
      </c>
      <c r="J50" s="5">
        <v>0</v>
      </c>
      <c r="K50" s="5">
        <v>289.17</v>
      </c>
      <c r="L50" s="4" t="s">
        <v>53</v>
      </c>
      <c r="M50" s="3">
        <v>46082</v>
      </c>
      <c r="N50" t="s">
        <v>461</v>
      </c>
      <c r="O50" s="23" t="s">
        <v>467</v>
      </c>
      <c r="Q50" s="4" t="s">
        <v>362</v>
      </c>
      <c r="R50" t="str">
        <f t="shared" si="3"/>
        <v>00026091935K66</v>
      </c>
      <c r="S50" s="4" t="s">
        <v>660</v>
      </c>
      <c r="T50" t="s">
        <v>661</v>
      </c>
      <c r="U50" s="21" t="str">
        <f t="shared" si="4"/>
        <v>JESS STOERY</v>
      </c>
    </row>
    <row r="51" spans="1:21" x14ac:dyDescent="0.2">
      <c r="A51" s="4" t="s">
        <v>289</v>
      </c>
      <c r="B51">
        <v>17859093</v>
      </c>
      <c r="C51" s="4" t="s">
        <v>290</v>
      </c>
      <c r="D51" s="4" t="s">
        <v>291</v>
      </c>
      <c r="E51" s="3">
        <v>46082</v>
      </c>
      <c r="F51" s="4" t="s">
        <v>74</v>
      </c>
      <c r="G51" s="4" t="s">
        <v>51</v>
      </c>
      <c r="H51" s="4" t="s">
        <v>52</v>
      </c>
      <c r="I51" s="5">
        <v>0.83</v>
      </c>
      <c r="J51" s="5">
        <v>0</v>
      </c>
      <c r="K51" s="5">
        <v>289.17</v>
      </c>
      <c r="L51" s="4" t="s">
        <v>53</v>
      </c>
      <c r="M51" s="3">
        <v>46082</v>
      </c>
      <c r="N51" t="s">
        <v>461</v>
      </c>
      <c r="O51" s="23" t="s">
        <v>467</v>
      </c>
      <c r="Q51" s="4" t="s">
        <v>291</v>
      </c>
      <c r="R51" t="str">
        <f t="shared" si="3"/>
        <v>00026098831K66</v>
      </c>
      <c r="S51" s="4" t="s">
        <v>651</v>
      </c>
      <c r="T51" t="s">
        <v>652</v>
      </c>
      <c r="U51" s="21" t="str">
        <f t="shared" si="4"/>
        <v>JUDY DAVIS</v>
      </c>
    </row>
    <row r="52" spans="1:21" x14ac:dyDescent="0.2">
      <c r="A52" s="4" t="s">
        <v>161</v>
      </c>
      <c r="B52">
        <v>16849453</v>
      </c>
      <c r="C52" s="4" t="s">
        <v>162</v>
      </c>
      <c r="D52" s="4" t="s">
        <v>163</v>
      </c>
      <c r="E52" s="3">
        <v>46082</v>
      </c>
      <c r="F52" s="4" t="s">
        <v>74</v>
      </c>
      <c r="G52" s="4" t="s">
        <v>51</v>
      </c>
      <c r="H52" s="4" t="s">
        <v>52</v>
      </c>
      <c r="I52" s="5">
        <v>0.83</v>
      </c>
      <c r="J52" s="5">
        <v>0</v>
      </c>
      <c r="K52" s="5">
        <v>289.17</v>
      </c>
      <c r="L52" s="4" t="s">
        <v>53</v>
      </c>
      <c r="M52" s="3">
        <v>46082</v>
      </c>
      <c r="N52" t="s">
        <v>461</v>
      </c>
      <c r="O52" s="23" t="s">
        <v>467</v>
      </c>
      <c r="Q52" s="4" t="s">
        <v>163</v>
      </c>
      <c r="R52" t="str">
        <f t="shared" si="3"/>
        <v>00018138098K66</v>
      </c>
      <c r="S52" s="4" t="s">
        <v>635</v>
      </c>
      <c r="T52" t="s">
        <v>568</v>
      </c>
      <c r="U52" s="21" t="str">
        <f t="shared" si="4"/>
        <v>JOHN JONES</v>
      </c>
    </row>
    <row r="53" spans="1:21" x14ac:dyDescent="0.2">
      <c r="A53" s="4" t="s">
        <v>172</v>
      </c>
      <c r="B53">
        <v>17094718</v>
      </c>
      <c r="C53" s="4" t="s">
        <v>173</v>
      </c>
      <c r="D53" s="4" t="s">
        <v>174</v>
      </c>
      <c r="E53" s="3">
        <v>46054</v>
      </c>
      <c r="F53" s="4" t="s">
        <v>64</v>
      </c>
      <c r="G53" s="4" t="s">
        <v>51</v>
      </c>
      <c r="H53" s="4" t="s">
        <v>80</v>
      </c>
      <c r="I53" s="5">
        <v>1</v>
      </c>
      <c r="J53" s="5">
        <v>0</v>
      </c>
      <c r="K53" s="5">
        <v>28.91</v>
      </c>
      <c r="L53" s="4" t="s">
        <v>69</v>
      </c>
      <c r="M53" s="3">
        <v>45658</v>
      </c>
      <c r="N53" t="s">
        <v>461</v>
      </c>
      <c r="O53" s="23" t="s">
        <v>468</v>
      </c>
      <c r="Q53" s="4" t="s">
        <v>174</v>
      </c>
      <c r="R53" t="str">
        <f t="shared" si="3"/>
        <v>00010502769K66</v>
      </c>
      <c r="S53" s="4" t="s">
        <v>597</v>
      </c>
      <c r="T53" t="s">
        <v>598</v>
      </c>
      <c r="U53" s="21" t="str">
        <f t="shared" si="4"/>
        <v>DEENU TAHILIANI</v>
      </c>
    </row>
    <row r="54" spans="1:21" x14ac:dyDescent="0.2">
      <c r="A54" s="4" t="s">
        <v>172</v>
      </c>
      <c r="B54">
        <v>17094718</v>
      </c>
      <c r="C54" s="4" t="s">
        <v>176</v>
      </c>
      <c r="D54" s="4" t="s">
        <v>177</v>
      </c>
      <c r="E54" s="3">
        <v>46082</v>
      </c>
      <c r="F54" s="4" t="s">
        <v>74</v>
      </c>
      <c r="G54" s="4" t="s">
        <v>51</v>
      </c>
      <c r="H54" s="4" t="s">
        <v>52</v>
      </c>
      <c r="I54" s="5">
        <v>0.83</v>
      </c>
      <c r="J54" s="5">
        <v>0</v>
      </c>
      <c r="K54" s="5">
        <v>289.17</v>
      </c>
      <c r="L54" s="4" t="s">
        <v>53</v>
      </c>
      <c r="M54" s="3">
        <v>46082</v>
      </c>
      <c r="N54" t="s">
        <v>461</v>
      </c>
      <c r="O54" s="23" t="s">
        <v>467</v>
      </c>
      <c r="Q54" s="4" t="s">
        <v>177</v>
      </c>
      <c r="R54" t="str">
        <f t="shared" si="3"/>
        <v>00016402117K66</v>
      </c>
      <c r="S54" s="4" t="s">
        <v>645</v>
      </c>
      <c r="T54" t="s">
        <v>646</v>
      </c>
      <c r="U54" s="21" t="str">
        <f t="shared" si="4"/>
        <v>ROBERT RAMIS</v>
      </c>
    </row>
    <row r="55" spans="1:21" x14ac:dyDescent="0.2">
      <c r="A55" s="4" t="s">
        <v>179</v>
      </c>
      <c r="B55">
        <v>17301495</v>
      </c>
      <c r="C55" s="4" t="s">
        <v>180</v>
      </c>
      <c r="D55" s="4" t="s">
        <v>181</v>
      </c>
      <c r="E55" s="3">
        <v>46054</v>
      </c>
      <c r="F55" s="4" t="s">
        <v>64</v>
      </c>
      <c r="G55" s="4" t="s">
        <v>51</v>
      </c>
      <c r="H55" s="4" t="s">
        <v>52</v>
      </c>
      <c r="I55" s="5">
        <v>1</v>
      </c>
      <c r="J55" s="5">
        <v>0</v>
      </c>
      <c r="K55" s="5">
        <v>28.91</v>
      </c>
      <c r="L55" s="4" t="s">
        <v>69</v>
      </c>
      <c r="M55" s="3">
        <v>45536</v>
      </c>
      <c r="N55" t="s">
        <v>461</v>
      </c>
      <c r="O55" s="23" t="s">
        <v>468</v>
      </c>
      <c r="Q55" s="4" t="s">
        <v>181</v>
      </c>
      <c r="R55" t="str">
        <f t="shared" si="3"/>
        <v>00001672119K66</v>
      </c>
      <c r="S55" s="4" t="s">
        <v>552</v>
      </c>
      <c r="T55" t="s">
        <v>553</v>
      </c>
      <c r="U55" s="21" t="str">
        <f t="shared" si="4"/>
        <v>DONNIE HAMILTON</v>
      </c>
    </row>
    <row r="56" spans="1:21" x14ac:dyDescent="0.2">
      <c r="A56" s="4" t="s">
        <v>179</v>
      </c>
      <c r="B56">
        <v>17301495</v>
      </c>
      <c r="C56" s="4" t="s">
        <v>186</v>
      </c>
      <c r="D56" s="4" t="s">
        <v>187</v>
      </c>
      <c r="E56" s="3">
        <v>46054</v>
      </c>
      <c r="F56" s="4" t="s">
        <v>64</v>
      </c>
      <c r="G56" s="4" t="s">
        <v>51</v>
      </c>
      <c r="H56" s="4" t="s">
        <v>52</v>
      </c>
      <c r="I56" s="5">
        <v>1</v>
      </c>
      <c r="J56" s="5">
        <v>0</v>
      </c>
      <c r="K56" s="5">
        <v>28.91</v>
      </c>
      <c r="L56" s="4" t="s">
        <v>69</v>
      </c>
      <c r="M56" s="3">
        <v>45901</v>
      </c>
      <c r="N56" t="s">
        <v>461</v>
      </c>
      <c r="O56" s="23" t="s">
        <v>468</v>
      </c>
      <c r="Q56" s="4" t="s">
        <v>187</v>
      </c>
      <c r="R56" t="str">
        <f t="shared" si="3"/>
        <v>00023554373K66</v>
      </c>
      <c r="S56" s="4" t="s">
        <v>554</v>
      </c>
      <c r="T56" t="s">
        <v>555</v>
      </c>
      <c r="U56" s="21" t="str">
        <f t="shared" si="4"/>
        <v>VIANEY ELIGIO</v>
      </c>
    </row>
    <row r="57" spans="1:21" x14ac:dyDescent="0.2">
      <c r="A57" s="4" t="s">
        <v>179</v>
      </c>
      <c r="B57">
        <v>17301495</v>
      </c>
      <c r="C57" s="4" t="s">
        <v>183</v>
      </c>
      <c r="D57" s="4" t="s">
        <v>184</v>
      </c>
      <c r="E57" s="3">
        <v>46054</v>
      </c>
      <c r="F57" s="4" t="s">
        <v>64</v>
      </c>
      <c r="G57" s="4" t="s">
        <v>51</v>
      </c>
      <c r="H57" s="4" t="s">
        <v>80</v>
      </c>
      <c r="I57" s="5">
        <v>1</v>
      </c>
      <c r="J57" s="5">
        <v>0</v>
      </c>
      <c r="K57" s="5">
        <v>28.91</v>
      </c>
      <c r="L57" s="4" t="s">
        <v>69</v>
      </c>
      <c r="M57" s="3">
        <v>45809</v>
      </c>
      <c r="N57" t="s">
        <v>461</v>
      </c>
      <c r="O57" s="23" t="s">
        <v>468</v>
      </c>
      <c r="Q57" s="4" t="s">
        <v>184</v>
      </c>
      <c r="R57" t="str">
        <f t="shared" si="3"/>
        <v>00010609758K66</v>
      </c>
      <c r="S57" s="4" t="s">
        <v>599</v>
      </c>
      <c r="T57" t="s">
        <v>600</v>
      </c>
      <c r="U57" s="21" t="str">
        <f t="shared" si="4"/>
        <v>MARIO CASTRO</v>
      </c>
    </row>
    <row r="58" spans="1:21" x14ac:dyDescent="0.2">
      <c r="A58" s="4" t="s">
        <v>60</v>
      </c>
      <c r="B58">
        <v>2158366</v>
      </c>
      <c r="C58" s="4" t="s">
        <v>65</v>
      </c>
      <c r="D58" s="4" t="s">
        <v>66</v>
      </c>
      <c r="E58" s="3">
        <v>46054</v>
      </c>
      <c r="F58" s="4" t="s">
        <v>64</v>
      </c>
      <c r="G58" s="4" t="s">
        <v>51</v>
      </c>
      <c r="H58" s="4" t="s">
        <v>52</v>
      </c>
      <c r="I58" s="5">
        <v>1</v>
      </c>
      <c r="J58" s="5">
        <v>0</v>
      </c>
      <c r="K58" s="5">
        <v>28.91</v>
      </c>
      <c r="L58" s="4" t="s">
        <v>69</v>
      </c>
      <c r="M58" s="3">
        <v>45689</v>
      </c>
      <c r="N58" t="s">
        <v>461</v>
      </c>
      <c r="O58" s="23" t="s">
        <v>468</v>
      </c>
      <c r="Q58" s="4" t="s">
        <v>66</v>
      </c>
      <c r="R58" t="str">
        <f t="shared" si="3"/>
        <v>00022816751K66</v>
      </c>
      <c r="S58" s="4" t="s">
        <v>531</v>
      </c>
      <c r="T58" t="s">
        <v>532</v>
      </c>
      <c r="U58" s="21" t="str">
        <f t="shared" si="4"/>
        <v>KEITH LEANDER</v>
      </c>
    </row>
    <row r="59" spans="1:21" x14ac:dyDescent="0.2">
      <c r="A59" s="4" t="s">
        <v>60</v>
      </c>
      <c r="B59">
        <v>2158366</v>
      </c>
      <c r="C59" s="4" t="s">
        <v>71</v>
      </c>
      <c r="D59" s="4" t="s">
        <v>72</v>
      </c>
      <c r="E59" s="3">
        <v>46082</v>
      </c>
      <c r="F59" s="4" t="s">
        <v>74</v>
      </c>
      <c r="G59" s="4" t="s">
        <v>51</v>
      </c>
      <c r="H59" s="4" t="s">
        <v>52</v>
      </c>
      <c r="I59" s="5">
        <v>0.83</v>
      </c>
      <c r="J59" s="5">
        <v>0</v>
      </c>
      <c r="K59" s="5">
        <v>289.17</v>
      </c>
      <c r="L59" s="4" t="s">
        <v>53</v>
      </c>
      <c r="M59" s="3">
        <v>46082</v>
      </c>
      <c r="N59" t="s">
        <v>461</v>
      </c>
      <c r="O59" s="23" t="s">
        <v>467</v>
      </c>
      <c r="Q59" s="4" t="s">
        <v>72</v>
      </c>
      <c r="R59" t="str">
        <f t="shared" si="3"/>
        <v>00026086364K66</v>
      </c>
      <c r="S59" s="4" t="s">
        <v>639</v>
      </c>
      <c r="T59" t="s">
        <v>568</v>
      </c>
      <c r="U59" s="21" t="str">
        <f t="shared" si="4"/>
        <v>JOHN DESMOND</v>
      </c>
    </row>
    <row r="60" spans="1:21" x14ac:dyDescent="0.2">
      <c r="A60" s="4" t="s">
        <v>125</v>
      </c>
      <c r="B60">
        <v>7146581</v>
      </c>
      <c r="C60" s="4" t="s">
        <v>126</v>
      </c>
      <c r="D60" s="4" t="s">
        <v>127</v>
      </c>
      <c r="E60" s="3">
        <v>46054</v>
      </c>
      <c r="F60" s="4" t="s">
        <v>64</v>
      </c>
      <c r="G60" s="4" t="s">
        <v>51</v>
      </c>
      <c r="H60" s="4" t="s">
        <v>52</v>
      </c>
      <c r="I60" s="5">
        <v>1</v>
      </c>
      <c r="J60" s="5">
        <v>0</v>
      </c>
      <c r="K60" s="5">
        <v>28.91</v>
      </c>
      <c r="L60" s="4" t="s">
        <v>69</v>
      </c>
      <c r="M60" s="3">
        <v>45658</v>
      </c>
      <c r="N60" t="s">
        <v>461</v>
      </c>
      <c r="O60" s="23" t="s">
        <v>468</v>
      </c>
      <c r="Q60" s="4" t="s">
        <v>127</v>
      </c>
      <c r="R60" t="str">
        <f t="shared" si="3"/>
        <v>00008644730K66</v>
      </c>
      <c r="S60" s="4" t="s">
        <v>541</v>
      </c>
      <c r="T60" t="s">
        <v>542</v>
      </c>
      <c r="U60" s="21" t="str">
        <f t="shared" si="4"/>
        <v>LINDSEY NELSON</v>
      </c>
    </row>
    <row r="61" spans="1:21" x14ac:dyDescent="0.2">
      <c r="A61" s="4" t="s">
        <v>125</v>
      </c>
      <c r="B61">
        <v>7146581</v>
      </c>
      <c r="C61" s="4" t="s">
        <v>129</v>
      </c>
      <c r="D61" s="4" t="s">
        <v>130</v>
      </c>
      <c r="E61" s="3">
        <v>46054</v>
      </c>
      <c r="F61" s="4" t="s">
        <v>64</v>
      </c>
      <c r="G61" s="4" t="s">
        <v>51</v>
      </c>
      <c r="H61" s="4" t="s">
        <v>52</v>
      </c>
      <c r="I61" s="5">
        <v>1</v>
      </c>
      <c r="J61" s="5">
        <v>0</v>
      </c>
      <c r="K61" s="5">
        <v>28.91</v>
      </c>
      <c r="L61" s="4" t="s">
        <v>69</v>
      </c>
      <c r="M61" s="3">
        <v>45658</v>
      </c>
      <c r="N61" t="s">
        <v>461</v>
      </c>
      <c r="O61" s="23" t="s">
        <v>468</v>
      </c>
      <c r="Q61" s="4" t="s">
        <v>130</v>
      </c>
      <c r="R61" t="str">
        <f t="shared" ref="R61:R92" si="5">CONCATENATE(Q61,66)</f>
        <v>00019218902K66</v>
      </c>
      <c r="S61" s="4" t="s">
        <v>543</v>
      </c>
      <c r="T61" t="s">
        <v>544</v>
      </c>
      <c r="U61" s="21" t="str">
        <f t="shared" ref="U61:U92" si="6">CONCATENATE(T61," ",S61)</f>
        <v>AMANDA CHARAPATA</v>
      </c>
    </row>
    <row r="62" spans="1:21" x14ac:dyDescent="0.2">
      <c r="A62" s="4" t="s">
        <v>125</v>
      </c>
      <c r="B62">
        <v>7146581</v>
      </c>
      <c r="C62" s="4" t="s">
        <v>132</v>
      </c>
      <c r="D62" s="4" t="s">
        <v>133</v>
      </c>
      <c r="E62" s="3">
        <v>46054</v>
      </c>
      <c r="F62" s="4" t="s">
        <v>64</v>
      </c>
      <c r="G62" s="4" t="s">
        <v>51</v>
      </c>
      <c r="H62" s="4" t="s">
        <v>52</v>
      </c>
      <c r="I62" s="5">
        <v>1</v>
      </c>
      <c r="J62" s="5">
        <v>0</v>
      </c>
      <c r="K62" s="5">
        <v>28.91</v>
      </c>
      <c r="L62" s="4" t="s">
        <v>69</v>
      </c>
      <c r="M62" s="3">
        <v>45658</v>
      </c>
      <c r="N62" t="s">
        <v>461</v>
      </c>
      <c r="O62" s="23" t="s">
        <v>468</v>
      </c>
      <c r="Q62" s="4" t="s">
        <v>133</v>
      </c>
      <c r="R62" t="str">
        <f t="shared" si="5"/>
        <v>00021686045K66</v>
      </c>
      <c r="S62" s="4" t="s">
        <v>524</v>
      </c>
      <c r="T62" t="s">
        <v>545</v>
      </c>
      <c r="U62" s="21" t="str">
        <f t="shared" si="6"/>
        <v>JANET JOHNSON</v>
      </c>
    </row>
    <row r="63" spans="1:21" x14ac:dyDescent="0.2">
      <c r="A63" s="4" t="s">
        <v>125</v>
      </c>
      <c r="B63">
        <v>7146581</v>
      </c>
      <c r="C63" s="4" t="s">
        <v>135</v>
      </c>
      <c r="D63" s="4" t="s">
        <v>136</v>
      </c>
      <c r="E63" s="3">
        <v>46054</v>
      </c>
      <c r="F63" s="4" t="s">
        <v>64</v>
      </c>
      <c r="G63" s="4" t="s">
        <v>51</v>
      </c>
      <c r="H63" s="4" t="s">
        <v>52</v>
      </c>
      <c r="I63" s="5">
        <v>1</v>
      </c>
      <c r="J63" s="5">
        <v>0</v>
      </c>
      <c r="K63" s="5">
        <v>28.91</v>
      </c>
      <c r="L63" s="4" t="s">
        <v>69</v>
      </c>
      <c r="M63" s="3">
        <v>45658</v>
      </c>
      <c r="N63" t="s">
        <v>461</v>
      </c>
      <c r="O63" s="23" t="s">
        <v>468</v>
      </c>
      <c r="Q63" s="4" t="s">
        <v>136</v>
      </c>
      <c r="R63" t="str">
        <f t="shared" si="5"/>
        <v>00022255618K66</v>
      </c>
      <c r="S63" s="4" t="s">
        <v>546</v>
      </c>
      <c r="T63" t="s">
        <v>547</v>
      </c>
      <c r="U63" s="21" t="str">
        <f t="shared" si="6"/>
        <v>RONNIE ROTH</v>
      </c>
    </row>
    <row r="64" spans="1:21" x14ac:dyDescent="0.2">
      <c r="A64" s="4" t="s">
        <v>125</v>
      </c>
      <c r="B64">
        <v>7146581</v>
      </c>
      <c r="C64" s="4" t="s">
        <v>141</v>
      </c>
      <c r="D64" s="4" t="s">
        <v>142</v>
      </c>
      <c r="E64" s="3">
        <v>46054</v>
      </c>
      <c r="F64" s="4" t="s">
        <v>64</v>
      </c>
      <c r="G64" s="4" t="s">
        <v>51</v>
      </c>
      <c r="H64" s="4" t="s">
        <v>52</v>
      </c>
      <c r="I64" s="5">
        <v>1</v>
      </c>
      <c r="J64" s="5">
        <v>0</v>
      </c>
      <c r="K64" s="5">
        <v>28.91</v>
      </c>
      <c r="L64" s="4" t="s">
        <v>69</v>
      </c>
      <c r="M64" s="3">
        <v>45658</v>
      </c>
      <c r="N64" t="s">
        <v>461</v>
      </c>
      <c r="O64" s="23" t="s">
        <v>468</v>
      </c>
      <c r="Q64" s="4" t="s">
        <v>142</v>
      </c>
      <c r="R64" t="str">
        <f t="shared" si="5"/>
        <v>00022780699K66</v>
      </c>
      <c r="S64" s="4" t="s">
        <v>548</v>
      </c>
      <c r="T64" t="s">
        <v>549</v>
      </c>
      <c r="U64" s="21" t="str">
        <f t="shared" si="6"/>
        <v>THOMAS ZINTL</v>
      </c>
    </row>
    <row r="65" spans="1:42" x14ac:dyDescent="0.2">
      <c r="A65" s="4" t="s">
        <v>125</v>
      </c>
      <c r="B65">
        <v>7146581</v>
      </c>
      <c r="C65" s="4" t="s">
        <v>138</v>
      </c>
      <c r="D65" s="4" t="s">
        <v>139</v>
      </c>
      <c r="E65" s="3">
        <v>46054</v>
      </c>
      <c r="F65" s="4" t="s">
        <v>64</v>
      </c>
      <c r="G65" s="4" t="s">
        <v>51</v>
      </c>
      <c r="H65" s="4" t="s">
        <v>80</v>
      </c>
      <c r="I65" s="5">
        <v>1</v>
      </c>
      <c r="J65" s="5">
        <v>0</v>
      </c>
      <c r="K65" s="5">
        <v>28.91</v>
      </c>
      <c r="L65" s="4" t="s">
        <v>69</v>
      </c>
      <c r="M65" s="3">
        <v>45658</v>
      </c>
      <c r="N65" t="s">
        <v>461</v>
      </c>
      <c r="O65" s="23" t="s">
        <v>468</v>
      </c>
      <c r="Q65" s="4" t="s">
        <v>139</v>
      </c>
      <c r="R65" t="str">
        <f t="shared" si="5"/>
        <v>00022678316K66</v>
      </c>
      <c r="S65" s="4" t="s">
        <v>588</v>
      </c>
      <c r="T65" t="s">
        <v>549</v>
      </c>
      <c r="U65" s="21" t="str">
        <f t="shared" si="6"/>
        <v>THOMAS SANCHEZ</v>
      </c>
    </row>
    <row r="66" spans="1:42" x14ac:dyDescent="0.2">
      <c r="A66" s="4" t="s">
        <v>125</v>
      </c>
      <c r="B66">
        <v>7146581</v>
      </c>
      <c r="C66" s="4" t="s">
        <v>144</v>
      </c>
      <c r="D66" s="4" t="s">
        <v>145</v>
      </c>
      <c r="E66" s="3">
        <v>46054</v>
      </c>
      <c r="F66" s="4" t="s">
        <v>64</v>
      </c>
      <c r="G66" s="4" t="s">
        <v>51</v>
      </c>
      <c r="H66" s="4" t="s">
        <v>80</v>
      </c>
      <c r="I66" s="5">
        <v>1</v>
      </c>
      <c r="J66" s="5">
        <v>0</v>
      </c>
      <c r="K66" s="5">
        <v>28.91</v>
      </c>
      <c r="L66" s="4" t="s">
        <v>69</v>
      </c>
      <c r="M66" s="3">
        <v>45748</v>
      </c>
      <c r="N66" t="s">
        <v>461</v>
      </c>
      <c r="O66" s="23" t="s">
        <v>468</v>
      </c>
      <c r="Q66" s="4" t="s">
        <v>145</v>
      </c>
      <c r="R66" t="str">
        <f t="shared" si="5"/>
        <v>00023242232K66</v>
      </c>
      <c r="S66" s="4" t="s">
        <v>589</v>
      </c>
      <c r="T66" t="s">
        <v>590</v>
      </c>
      <c r="U66" s="21" t="str">
        <f t="shared" si="6"/>
        <v>VANETTA PINN</v>
      </c>
    </row>
    <row r="67" spans="1:42" x14ac:dyDescent="0.2">
      <c r="A67" s="4" t="s">
        <v>76</v>
      </c>
      <c r="B67">
        <v>8814784</v>
      </c>
      <c r="C67" s="4" t="s">
        <v>86</v>
      </c>
      <c r="D67" s="4" t="s">
        <v>87</v>
      </c>
      <c r="E67" s="3">
        <v>46054</v>
      </c>
      <c r="F67" s="4" t="s">
        <v>64</v>
      </c>
      <c r="G67" s="4" t="s">
        <v>51</v>
      </c>
      <c r="H67" s="4" t="s">
        <v>52</v>
      </c>
      <c r="I67" s="5">
        <v>1</v>
      </c>
      <c r="J67" s="5">
        <v>0</v>
      </c>
      <c r="K67" s="5">
        <v>28.91</v>
      </c>
      <c r="L67" s="4" t="s">
        <v>69</v>
      </c>
      <c r="M67" s="3">
        <v>45658</v>
      </c>
      <c r="N67" t="s">
        <v>461</v>
      </c>
      <c r="O67" s="23" t="s">
        <v>468</v>
      </c>
      <c r="Q67" s="4" t="s">
        <v>87</v>
      </c>
      <c r="R67" t="str">
        <f t="shared" si="5"/>
        <v>00022586091K66</v>
      </c>
      <c r="S67" s="4" t="s">
        <v>533</v>
      </c>
      <c r="T67" t="s">
        <v>534</v>
      </c>
      <c r="U67" s="21" t="str">
        <f t="shared" si="6"/>
        <v>ANTHONY SWITZER</v>
      </c>
    </row>
    <row r="68" spans="1:42" x14ac:dyDescent="0.2">
      <c r="A68" s="4" t="s">
        <v>76</v>
      </c>
      <c r="B68">
        <v>8814784</v>
      </c>
      <c r="C68" s="4" t="s">
        <v>77</v>
      </c>
      <c r="D68" s="4" t="s">
        <v>78</v>
      </c>
      <c r="E68" s="3">
        <v>46054</v>
      </c>
      <c r="F68" s="4" t="s">
        <v>64</v>
      </c>
      <c r="G68" s="4" t="s">
        <v>51</v>
      </c>
      <c r="H68" s="4" t="s">
        <v>80</v>
      </c>
      <c r="I68" s="5">
        <v>1</v>
      </c>
      <c r="J68" s="5">
        <v>0</v>
      </c>
      <c r="K68" s="5">
        <v>28.91</v>
      </c>
      <c r="L68" s="4" t="s">
        <v>69</v>
      </c>
      <c r="M68" s="3">
        <v>45658</v>
      </c>
      <c r="N68" t="s">
        <v>461</v>
      </c>
      <c r="O68" s="23" t="s">
        <v>468</v>
      </c>
      <c r="Q68" s="4" t="s">
        <v>78</v>
      </c>
      <c r="R68" t="str">
        <f t="shared" si="5"/>
        <v>00015624010K66</v>
      </c>
      <c r="S68" s="4" t="s">
        <v>581</v>
      </c>
      <c r="T68" t="s">
        <v>549</v>
      </c>
      <c r="U68" s="21" t="str">
        <f t="shared" si="6"/>
        <v>THOMAS SULLIVAN</v>
      </c>
    </row>
    <row r="69" spans="1:42" x14ac:dyDescent="0.2">
      <c r="A69" s="4" t="s">
        <v>76</v>
      </c>
      <c r="B69">
        <v>8814784</v>
      </c>
      <c r="C69" s="4" t="s">
        <v>82</v>
      </c>
      <c r="D69" s="4" t="s">
        <v>83</v>
      </c>
      <c r="E69" s="3">
        <v>46054</v>
      </c>
      <c r="F69" s="4" t="s">
        <v>64</v>
      </c>
      <c r="G69" s="4" t="s">
        <v>51</v>
      </c>
      <c r="H69" s="4" t="s">
        <v>80</v>
      </c>
      <c r="I69" s="5">
        <v>1</v>
      </c>
      <c r="J69" s="5">
        <v>0</v>
      </c>
      <c r="K69" s="5">
        <v>28.91</v>
      </c>
      <c r="L69" s="4" t="s">
        <v>69</v>
      </c>
      <c r="M69" s="3">
        <v>45566</v>
      </c>
      <c r="N69" t="s">
        <v>461</v>
      </c>
      <c r="O69" s="23" t="s">
        <v>468</v>
      </c>
      <c r="Q69" s="4" t="s">
        <v>83</v>
      </c>
      <c r="R69" t="str">
        <f t="shared" si="5"/>
        <v>00022107554K66</v>
      </c>
      <c r="S69" s="4" t="s">
        <v>582</v>
      </c>
      <c r="T69" t="s">
        <v>583</v>
      </c>
      <c r="U69" s="21" t="str">
        <f t="shared" si="6"/>
        <v>DRAGISA PAVLOVIC</v>
      </c>
    </row>
    <row r="70" spans="1:42" x14ac:dyDescent="0.2">
      <c r="A70" s="4" t="s">
        <v>372</v>
      </c>
      <c r="B70">
        <v>21646325</v>
      </c>
      <c r="C70" s="4" t="s">
        <v>373</v>
      </c>
      <c r="D70" s="4" t="s">
        <v>374</v>
      </c>
      <c r="E70" s="3">
        <v>46143</v>
      </c>
      <c r="F70" s="4" t="s">
        <v>332</v>
      </c>
      <c r="G70" s="4" t="s">
        <v>51</v>
      </c>
      <c r="H70" s="4" t="s">
        <v>52</v>
      </c>
      <c r="I70" s="5">
        <v>0.67</v>
      </c>
      <c r="J70" s="5">
        <v>0</v>
      </c>
      <c r="K70" s="5">
        <v>231.33</v>
      </c>
      <c r="L70" s="4" t="s">
        <v>53</v>
      </c>
      <c r="M70" s="3">
        <v>46143</v>
      </c>
      <c r="N70" t="s">
        <v>461</v>
      </c>
      <c r="O70" s="23" t="s">
        <v>469</v>
      </c>
      <c r="Q70" s="4" t="s">
        <v>374</v>
      </c>
      <c r="R70" t="str">
        <f t="shared" si="5"/>
        <v>00026061723K66</v>
      </c>
      <c r="S70" s="4" t="s">
        <v>623</v>
      </c>
      <c r="T70" t="s">
        <v>624</v>
      </c>
      <c r="U70" s="21" t="str">
        <f t="shared" si="6"/>
        <v>SOCORRO ESCARPITA</v>
      </c>
    </row>
    <row r="71" spans="1:42" x14ac:dyDescent="0.2">
      <c r="A71" s="4" t="s">
        <v>42</v>
      </c>
      <c r="B71">
        <v>371819</v>
      </c>
      <c r="C71" s="4" t="s">
        <v>43</v>
      </c>
      <c r="D71" s="4" t="s">
        <v>44</v>
      </c>
      <c r="E71" s="3">
        <v>46023</v>
      </c>
      <c r="F71" s="4" t="s">
        <v>49</v>
      </c>
      <c r="G71" s="4" t="s">
        <v>51</v>
      </c>
      <c r="H71" s="4" t="s">
        <v>52</v>
      </c>
      <c r="I71" s="5">
        <v>-0.83</v>
      </c>
      <c r="J71" s="5">
        <v>0</v>
      </c>
      <c r="K71" s="5">
        <v>-289.17</v>
      </c>
      <c r="L71" s="4" t="s">
        <v>53</v>
      </c>
      <c r="M71" s="3">
        <v>46023</v>
      </c>
      <c r="N71" t="s">
        <v>461</v>
      </c>
      <c r="O71" s="23" t="s">
        <v>467</v>
      </c>
      <c r="Q71" s="4" t="s">
        <v>44</v>
      </c>
      <c r="R71" t="str">
        <f t="shared" si="5"/>
        <v>00012091926K66</v>
      </c>
      <c r="S71" s="4" t="s">
        <v>520</v>
      </c>
      <c r="T71" t="s">
        <v>521</v>
      </c>
      <c r="U71" s="21" t="str">
        <f t="shared" si="6"/>
        <v>SHIRLEY GAGE</v>
      </c>
    </row>
    <row r="72" spans="1:42" x14ac:dyDescent="0.2">
      <c r="A72" s="4" t="s">
        <v>42</v>
      </c>
      <c r="B72">
        <v>371819</v>
      </c>
      <c r="C72" s="4" t="s">
        <v>56</v>
      </c>
      <c r="D72" s="4" t="s">
        <v>57</v>
      </c>
      <c r="E72" s="3">
        <v>46023</v>
      </c>
      <c r="F72" s="4" t="s">
        <v>49</v>
      </c>
      <c r="G72" s="4" t="s">
        <v>51</v>
      </c>
      <c r="H72" s="4" t="s">
        <v>52</v>
      </c>
      <c r="I72" s="5">
        <v>-0.83</v>
      </c>
      <c r="J72" s="5">
        <v>0</v>
      </c>
      <c r="K72" s="5">
        <v>-289.17</v>
      </c>
      <c r="L72" s="4" t="s">
        <v>53</v>
      </c>
      <c r="M72" s="3">
        <v>46023</v>
      </c>
      <c r="N72" t="s">
        <v>461</v>
      </c>
      <c r="O72" s="23" t="s">
        <v>467</v>
      </c>
      <c r="Q72" s="4" t="s">
        <v>57</v>
      </c>
      <c r="R72" t="str">
        <f t="shared" si="5"/>
        <v>00025715339K66</v>
      </c>
      <c r="S72" s="4" t="s">
        <v>522</v>
      </c>
      <c r="T72" t="s">
        <v>523</v>
      </c>
      <c r="U72" s="21" t="str">
        <f t="shared" si="6"/>
        <v>JOYCE PITTMAN</v>
      </c>
    </row>
    <row r="73" spans="1:42" x14ac:dyDescent="0.2">
      <c r="A73" s="4" t="s">
        <v>345</v>
      </c>
      <c r="B73">
        <v>16912722</v>
      </c>
      <c r="C73" s="4" t="s">
        <v>346</v>
      </c>
      <c r="D73" s="4" t="s">
        <v>347</v>
      </c>
      <c r="E73" s="3">
        <v>46054</v>
      </c>
      <c r="F73" s="4" t="s">
        <v>64</v>
      </c>
      <c r="G73" s="4" t="s">
        <v>51</v>
      </c>
      <c r="H73" s="4" t="s">
        <v>80</v>
      </c>
      <c r="I73" s="5">
        <v>1</v>
      </c>
      <c r="J73" s="5">
        <v>0</v>
      </c>
      <c r="K73" s="5">
        <v>28.91</v>
      </c>
      <c r="L73" s="4" t="s">
        <v>69</v>
      </c>
      <c r="M73" s="3">
        <v>45931</v>
      </c>
      <c r="N73" t="s">
        <v>461</v>
      </c>
      <c r="O73" s="23" t="s">
        <v>468</v>
      </c>
      <c r="Q73" s="4" t="s">
        <v>347</v>
      </c>
      <c r="R73" t="str">
        <f t="shared" si="5"/>
        <v>00023767756K66</v>
      </c>
      <c r="S73" s="4" t="s">
        <v>619</v>
      </c>
      <c r="T73" t="s">
        <v>620</v>
      </c>
      <c r="U73" s="21" t="str">
        <f t="shared" si="6"/>
        <v>MAHER KARAMAN</v>
      </c>
    </row>
    <row r="74" spans="1:42" x14ac:dyDescent="0.2">
      <c r="A74" s="4" t="s">
        <v>193</v>
      </c>
      <c r="B74">
        <v>9213293</v>
      </c>
      <c r="C74" s="4" t="s">
        <v>194</v>
      </c>
      <c r="D74" s="4" t="s">
        <v>195</v>
      </c>
      <c r="E74" s="3">
        <v>46054</v>
      </c>
      <c r="F74" s="4" t="s">
        <v>64</v>
      </c>
      <c r="G74" s="4" t="s">
        <v>51</v>
      </c>
      <c r="H74" s="4" t="s">
        <v>52</v>
      </c>
      <c r="I74" s="5">
        <v>1</v>
      </c>
      <c r="J74" s="5">
        <v>0</v>
      </c>
      <c r="K74" s="5">
        <v>28.91</v>
      </c>
      <c r="L74" s="4" t="s">
        <v>69</v>
      </c>
      <c r="M74" s="3">
        <v>45658</v>
      </c>
      <c r="N74" t="s">
        <v>461</v>
      </c>
      <c r="O74" s="23" t="s">
        <v>468</v>
      </c>
      <c r="Q74" s="4" t="s">
        <v>195</v>
      </c>
      <c r="R74" t="str">
        <f t="shared" si="5"/>
        <v>00003832422K66</v>
      </c>
      <c r="S74" s="4" t="s">
        <v>556</v>
      </c>
      <c r="T74" t="s">
        <v>557</v>
      </c>
      <c r="U74" s="21" t="str">
        <f t="shared" si="6"/>
        <v>LAGRIMAS EXCONDE</v>
      </c>
    </row>
    <row r="75" spans="1:42" s="21" customFormat="1" x14ac:dyDescent="0.2">
      <c r="A75" s="4" t="s">
        <v>193</v>
      </c>
      <c r="B75">
        <v>9213293</v>
      </c>
      <c r="C75" s="4" t="s">
        <v>203</v>
      </c>
      <c r="D75" s="4" t="s">
        <v>204</v>
      </c>
      <c r="E75" s="3">
        <v>46054</v>
      </c>
      <c r="F75" s="4" t="s">
        <v>64</v>
      </c>
      <c r="G75" s="4" t="s">
        <v>51</v>
      </c>
      <c r="H75" s="4" t="s">
        <v>52</v>
      </c>
      <c r="I75" s="5">
        <v>1</v>
      </c>
      <c r="J75" s="5">
        <v>0</v>
      </c>
      <c r="K75" s="5">
        <v>28.91</v>
      </c>
      <c r="L75" s="4" t="s">
        <v>69</v>
      </c>
      <c r="M75" s="3">
        <v>45658</v>
      </c>
      <c r="N75" t="s">
        <v>461</v>
      </c>
      <c r="O75" s="23" t="s">
        <v>468</v>
      </c>
      <c r="P75"/>
      <c r="Q75" s="4" t="s">
        <v>204</v>
      </c>
      <c r="R75" t="str">
        <f t="shared" si="5"/>
        <v>00015387580K66</v>
      </c>
      <c r="S75" s="4" t="s">
        <v>558</v>
      </c>
      <c r="T75" t="s">
        <v>559</v>
      </c>
      <c r="U75" s="21" t="str">
        <f t="shared" si="6"/>
        <v>KATHLEEN MAHONEY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s="21" customFormat="1" x14ac:dyDescent="0.2">
      <c r="A76" s="4" t="s">
        <v>193</v>
      </c>
      <c r="B76">
        <v>9213293</v>
      </c>
      <c r="C76" s="4" t="s">
        <v>219</v>
      </c>
      <c r="D76" s="4" t="s">
        <v>220</v>
      </c>
      <c r="E76" s="3">
        <v>46054</v>
      </c>
      <c r="F76" s="4" t="s">
        <v>64</v>
      </c>
      <c r="G76" s="4" t="s">
        <v>51</v>
      </c>
      <c r="H76" s="4" t="s">
        <v>52</v>
      </c>
      <c r="I76" s="5">
        <v>1</v>
      </c>
      <c r="J76" s="5">
        <v>0</v>
      </c>
      <c r="K76" s="5">
        <v>28.91</v>
      </c>
      <c r="L76" s="4" t="s">
        <v>69</v>
      </c>
      <c r="M76" s="3">
        <v>45658</v>
      </c>
      <c r="N76" t="s">
        <v>461</v>
      </c>
      <c r="O76" s="23" t="s">
        <v>468</v>
      </c>
      <c r="P76"/>
      <c r="Q76" s="4" t="s">
        <v>220</v>
      </c>
      <c r="R76" t="str">
        <f t="shared" si="5"/>
        <v>00021864890K66</v>
      </c>
      <c r="S76" s="4" t="s">
        <v>560</v>
      </c>
      <c r="T76" t="s">
        <v>561</v>
      </c>
      <c r="U76" s="21" t="str">
        <f t="shared" si="6"/>
        <v>SUSAN WISE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s="21" customFormat="1" x14ac:dyDescent="0.2">
      <c r="A77" s="4" t="s">
        <v>193</v>
      </c>
      <c r="B77">
        <v>9213293</v>
      </c>
      <c r="C77" s="4" t="s">
        <v>225</v>
      </c>
      <c r="D77" s="4" t="s">
        <v>226</v>
      </c>
      <c r="E77" s="3">
        <v>46054</v>
      </c>
      <c r="F77" s="4" t="s">
        <v>64</v>
      </c>
      <c r="G77" s="4" t="s">
        <v>51</v>
      </c>
      <c r="H77" s="4" t="s">
        <v>52</v>
      </c>
      <c r="I77" s="5">
        <v>1</v>
      </c>
      <c r="J77" s="5">
        <v>0</v>
      </c>
      <c r="K77" s="5">
        <v>28.91</v>
      </c>
      <c r="L77" s="4" t="s">
        <v>69</v>
      </c>
      <c r="M77" s="3">
        <v>45717</v>
      </c>
      <c r="N77" t="s">
        <v>461</v>
      </c>
      <c r="O77" s="23" t="s">
        <v>468</v>
      </c>
      <c r="P77"/>
      <c r="Q77" s="4" t="s">
        <v>226</v>
      </c>
      <c r="R77" t="str">
        <f t="shared" si="5"/>
        <v>00023140342K66</v>
      </c>
      <c r="S77" s="4" t="s">
        <v>562</v>
      </c>
      <c r="T77" t="s">
        <v>563</v>
      </c>
      <c r="U77" s="21" t="str">
        <f t="shared" si="6"/>
        <v>TRINH TRIEU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x14ac:dyDescent="0.2">
      <c r="A78" s="4" t="s">
        <v>193</v>
      </c>
      <c r="B78">
        <v>9213293</v>
      </c>
      <c r="C78" s="4" t="s">
        <v>209</v>
      </c>
      <c r="D78" s="4" t="s">
        <v>210</v>
      </c>
      <c r="E78" s="3">
        <v>46054</v>
      </c>
      <c r="F78" s="4" t="s">
        <v>64</v>
      </c>
      <c r="G78" s="4" t="s">
        <v>51</v>
      </c>
      <c r="H78" s="4" t="s">
        <v>80</v>
      </c>
      <c r="I78" s="5">
        <v>1</v>
      </c>
      <c r="J78" s="5">
        <v>0</v>
      </c>
      <c r="K78" s="5">
        <v>28.91</v>
      </c>
      <c r="L78" s="4" t="s">
        <v>69</v>
      </c>
      <c r="M78" s="3">
        <v>45748</v>
      </c>
      <c r="N78" t="s">
        <v>461</v>
      </c>
      <c r="O78" s="23" t="s">
        <v>468</v>
      </c>
      <c r="Q78" s="4" t="s">
        <v>210</v>
      </c>
      <c r="R78" t="str">
        <f t="shared" si="5"/>
        <v>00017232908K66</v>
      </c>
      <c r="S78" s="4" t="s">
        <v>601</v>
      </c>
      <c r="T78" t="s">
        <v>602</v>
      </c>
      <c r="U78" s="21" t="str">
        <f t="shared" si="6"/>
        <v>AUDREY LEWIS</v>
      </c>
    </row>
    <row r="79" spans="1:42" x14ac:dyDescent="0.2">
      <c r="A79" s="4" t="s">
        <v>193</v>
      </c>
      <c r="B79">
        <v>9213293</v>
      </c>
      <c r="C79" s="4" t="s">
        <v>222</v>
      </c>
      <c r="D79" s="4" t="s">
        <v>223</v>
      </c>
      <c r="E79" s="3">
        <v>46054</v>
      </c>
      <c r="F79" s="4" t="s">
        <v>64</v>
      </c>
      <c r="G79" s="4" t="s">
        <v>51</v>
      </c>
      <c r="H79" s="4" t="s">
        <v>80</v>
      </c>
      <c r="I79" s="5">
        <v>1</v>
      </c>
      <c r="J79" s="5">
        <v>0</v>
      </c>
      <c r="K79" s="5">
        <v>28.91</v>
      </c>
      <c r="L79" s="4" t="s">
        <v>69</v>
      </c>
      <c r="M79" s="3">
        <v>45689</v>
      </c>
      <c r="N79" t="s">
        <v>461</v>
      </c>
      <c r="O79" s="23" t="s">
        <v>468</v>
      </c>
      <c r="Q79" s="4" t="s">
        <v>223</v>
      </c>
      <c r="R79" t="str">
        <f t="shared" si="5"/>
        <v>00022976801K66</v>
      </c>
      <c r="S79" s="4" t="s">
        <v>603</v>
      </c>
      <c r="T79" t="s">
        <v>604</v>
      </c>
      <c r="U79" s="21" t="str">
        <f t="shared" si="6"/>
        <v>FAUSTINO MONTES</v>
      </c>
    </row>
    <row r="80" spans="1:42" x14ac:dyDescent="0.2">
      <c r="A80" s="4" t="s">
        <v>193</v>
      </c>
      <c r="B80">
        <v>9213293</v>
      </c>
      <c r="C80" s="4" t="s">
        <v>228</v>
      </c>
      <c r="D80" s="4" t="s">
        <v>229</v>
      </c>
      <c r="E80" s="3">
        <v>46054</v>
      </c>
      <c r="F80" s="4" t="s">
        <v>64</v>
      </c>
      <c r="G80" s="4" t="s">
        <v>51</v>
      </c>
      <c r="H80" s="4" t="s">
        <v>80</v>
      </c>
      <c r="I80" s="5">
        <v>1</v>
      </c>
      <c r="J80" s="5">
        <v>0</v>
      </c>
      <c r="K80" s="5">
        <v>28.91</v>
      </c>
      <c r="L80" s="4" t="s">
        <v>69</v>
      </c>
      <c r="M80" s="3">
        <v>45839</v>
      </c>
      <c r="N80" t="s">
        <v>461</v>
      </c>
      <c r="O80" s="23" t="s">
        <v>468</v>
      </c>
      <c r="Q80" s="4" t="s">
        <v>229</v>
      </c>
      <c r="R80" t="str">
        <f t="shared" si="5"/>
        <v>00023244763K66</v>
      </c>
      <c r="S80" s="4" t="s">
        <v>605</v>
      </c>
      <c r="T80" t="s">
        <v>606</v>
      </c>
      <c r="U80" s="21" t="str">
        <f t="shared" si="6"/>
        <v>MARK CARR</v>
      </c>
    </row>
    <row r="81" spans="1:21" x14ac:dyDescent="0.2">
      <c r="A81" s="4" t="s">
        <v>193</v>
      </c>
      <c r="B81">
        <v>9213293</v>
      </c>
      <c r="C81" s="4" t="s">
        <v>197</v>
      </c>
      <c r="D81" s="4" t="s">
        <v>198</v>
      </c>
      <c r="E81" s="3">
        <v>46082</v>
      </c>
      <c r="F81" s="4" t="s">
        <v>74</v>
      </c>
      <c r="G81" s="4" t="s">
        <v>51</v>
      </c>
      <c r="H81" s="4" t="s">
        <v>52</v>
      </c>
      <c r="I81" s="5">
        <v>0.83</v>
      </c>
      <c r="J81" s="5">
        <v>0</v>
      </c>
      <c r="K81" s="5">
        <v>289.17</v>
      </c>
      <c r="L81" s="4" t="s">
        <v>53</v>
      </c>
      <c r="M81" s="3">
        <v>46082</v>
      </c>
      <c r="N81" t="s">
        <v>461</v>
      </c>
      <c r="O81" s="23" t="s">
        <v>467</v>
      </c>
      <c r="Q81" s="4" t="s">
        <v>198</v>
      </c>
      <c r="R81" t="str">
        <f t="shared" si="5"/>
        <v>00004155102K66</v>
      </c>
      <c r="S81" s="4" t="s">
        <v>524</v>
      </c>
      <c r="T81" t="s">
        <v>632</v>
      </c>
      <c r="U81" s="21" t="str">
        <f t="shared" si="6"/>
        <v>EDWARD JOHNSON</v>
      </c>
    </row>
    <row r="82" spans="1:21" x14ac:dyDescent="0.2">
      <c r="A82" s="4" t="s">
        <v>193</v>
      </c>
      <c r="B82">
        <v>9213293</v>
      </c>
      <c r="C82" s="4" t="s">
        <v>206</v>
      </c>
      <c r="D82" s="4" t="s">
        <v>207</v>
      </c>
      <c r="E82" s="3">
        <v>46082</v>
      </c>
      <c r="F82" s="4" t="s">
        <v>74</v>
      </c>
      <c r="G82" s="4" t="s">
        <v>51</v>
      </c>
      <c r="H82" s="4" t="s">
        <v>52</v>
      </c>
      <c r="I82" s="5">
        <v>0.83</v>
      </c>
      <c r="J82" s="5">
        <v>0</v>
      </c>
      <c r="K82" s="5">
        <v>289.17</v>
      </c>
      <c r="L82" s="4" t="s">
        <v>53</v>
      </c>
      <c r="M82" s="3">
        <v>46082</v>
      </c>
      <c r="N82" t="s">
        <v>461</v>
      </c>
      <c r="O82" s="23" t="s">
        <v>467</v>
      </c>
      <c r="Q82" s="4" t="s">
        <v>207</v>
      </c>
      <c r="R82" t="str">
        <f t="shared" si="5"/>
        <v>00016375265K66</v>
      </c>
      <c r="S82" s="4" t="s">
        <v>524</v>
      </c>
      <c r="T82" t="s">
        <v>647</v>
      </c>
      <c r="U82" s="21" t="str">
        <f t="shared" si="6"/>
        <v>DEBORAH JOHNSON</v>
      </c>
    </row>
    <row r="83" spans="1:21" x14ac:dyDescent="0.2">
      <c r="A83" s="4" t="s">
        <v>193</v>
      </c>
      <c r="B83">
        <v>9213293</v>
      </c>
      <c r="C83" s="4" t="s">
        <v>234</v>
      </c>
      <c r="D83" s="4" t="s">
        <v>235</v>
      </c>
      <c r="E83" s="3">
        <v>46082</v>
      </c>
      <c r="F83" s="4" t="s">
        <v>74</v>
      </c>
      <c r="G83" s="4" t="s">
        <v>51</v>
      </c>
      <c r="H83" s="4" t="s">
        <v>52</v>
      </c>
      <c r="I83" s="5">
        <v>0.83</v>
      </c>
      <c r="J83" s="5">
        <v>0</v>
      </c>
      <c r="K83" s="5">
        <v>289.17</v>
      </c>
      <c r="L83" s="4" t="s">
        <v>53</v>
      </c>
      <c r="M83" s="3">
        <v>46082</v>
      </c>
      <c r="N83" t="s">
        <v>461</v>
      </c>
      <c r="O83" s="23" t="s">
        <v>467</v>
      </c>
      <c r="Q83" s="4" t="s">
        <v>235</v>
      </c>
      <c r="R83" t="str">
        <f t="shared" si="5"/>
        <v>00026103178K66</v>
      </c>
      <c r="S83" s="4" t="s">
        <v>648</v>
      </c>
      <c r="T83" t="s">
        <v>649</v>
      </c>
      <c r="U83" s="21" t="str">
        <f t="shared" si="6"/>
        <v>BRENDA HARRIS</v>
      </c>
    </row>
    <row r="84" spans="1:21" x14ac:dyDescent="0.2">
      <c r="A84" s="4" t="s">
        <v>193</v>
      </c>
      <c r="B84">
        <v>9213293</v>
      </c>
      <c r="C84" s="4" t="s">
        <v>200</v>
      </c>
      <c r="D84" s="4" t="s">
        <v>201</v>
      </c>
      <c r="E84" s="3">
        <v>46082</v>
      </c>
      <c r="F84" s="4" t="s">
        <v>74</v>
      </c>
      <c r="G84" s="4" t="s">
        <v>51</v>
      </c>
      <c r="H84" s="4" t="s">
        <v>80</v>
      </c>
      <c r="I84" s="5">
        <v>0.83</v>
      </c>
      <c r="J84" s="5">
        <v>0</v>
      </c>
      <c r="K84" s="5">
        <v>289.17</v>
      </c>
      <c r="L84" s="4" t="s">
        <v>53</v>
      </c>
      <c r="M84" s="3">
        <v>46082</v>
      </c>
      <c r="N84" t="s">
        <v>461</v>
      </c>
      <c r="O84" s="23" t="s">
        <v>467</v>
      </c>
      <c r="Q84" s="4" t="s">
        <v>201</v>
      </c>
      <c r="R84" t="str">
        <f t="shared" si="5"/>
        <v>00007470034K66</v>
      </c>
      <c r="S84" s="4" t="s">
        <v>654</v>
      </c>
      <c r="T84" t="s">
        <v>565</v>
      </c>
      <c r="U84" s="21" t="str">
        <f t="shared" si="6"/>
        <v>JAMES MCCAIN</v>
      </c>
    </row>
    <row r="85" spans="1:21" x14ac:dyDescent="0.2">
      <c r="A85" s="4" t="s">
        <v>193</v>
      </c>
      <c r="B85">
        <v>9213293</v>
      </c>
      <c r="C85" s="4" t="s">
        <v>215</v>
      </c>
      <c r="D85" s="4" t="s">
        <v>216</v>
      </c>
      <c r="E85" s="3">
        <v>46082</v>
      </c>
      <c r="F85" s="4" t="s">
        <v>74</v>
      </c>
      <c r="G85" s="4" t="s">
        <v>51</v>
      </c>
      <c r="H85" s="4" t="s">
        <v>80</v>
      </c>
      <c r="I85" s="5">
        <v>0.83</v>
      </c>
      <c r="J85" s="5">
        <v>0</v>
      </c>
      <c r="K85" s="5">
        <v>289.17</v>
      </c>
      <c r="L85" s="4" t="s">
        <v>53</v>
      </c>
      <c r="M85" s="3">
        <v>46082</v>
      </c>
      <c r="N85" t="s">
        <v>461</v>
      </c>
      <c r="O85" s="23" t="s">
        <v>467</v>
      </c>
      <c r="Q85" s="4" t="s">
        <v>216</v>
      </c>
      <c r="R85" t="str">
        <f t="shared" si="5"/>
        <v>00019368907K66</v>
      </c>
      <c r="S85" s="4" t="s">
        <v>655</v>
      </c>
      <c r="T85" t="s">
        <v>617</v>
      </c>
      <c r="U85" s="21" t="str">
        <f t="shared" si="6"/>
        <v>K CRAIG</v>
      </c>
    </row>
    <row r="86" spans="1:21" x14ac:dyDescent="0.2">
      <c r="A86" s="4" t="s">
        <v>193</v>
      </c>
      <c r="B86">
        <v>9213293</v>
      </c>
      <c r="C86" s="4" t="s">
        <v>231</v>
      </c>
      <c r="D86" s="4" t="s">
        <v>232</v>
      </c>
      <c r="E86" s="3">
        <v>46082</v>
      </c>
      <c r="F86" s="4" t="s">
        <v>74</v>
      </c>
      <c r="G86" s="4" t="s">
        <v>51</v>
      </c>
      <c r="H86" s="4" t="s">
        <v>80</v>
      </c>
      <c r="I86" s="5">
        <v>0.83</v>
      </c>
      <c r="J86" s="5">
        <v>0</v>
      </c>
      <c r="K86" s="5">
        <v>289.17</v>
      </c>
      <c r="L86" s="4" t="s">
        <v>53</v>
      </c>
      <c r="M86" s="3">
        <v>46082</v>
      </c>
      <c r="N86" t="s">
        <v>461</v>
      </c>
      <c r="O86" s="23" t="s">
        <v>467</v>
      </c>
      <c r="Q86" s="4" t="s">
        <v>232</v>
      </c>
      <c r="R86" t="str">
        <f t="shared" si="5"/>
        <v>00026062967K66</v>
      </c>
      <c r="S86" s="4" t="s">
        <v>656</v>
      </c>
      <c r="T86" t="s">
        <v>657</v>
      </c>
      <c r="U86" s="21" t="str">
        <f t="shared" si="6"/>
        <v>EMILY LIN</v>
      </c>
    </row>
    <row r="87" spans="1:21" x14ac:dyDescent="0.2">
      <c r="A87" s="4" t="s">
        <v>193</v>
      </c>
      <c r="B87">
        <v>9213293</v>
      </c>
      <c r="C87" s="4" t="s">
        <v>212</v>
      </c>
      <c r="D87" s="4" t="s">
        <v>213</v>
      </c>
      <c r="E87" s="3">
        <v>46023</v>
      </c>
      <c r="F87" s="4" t="s">
        <v>49</v>
      </c>
      <c r="G87" s="4" t="s">
        <v>51</v>
      </c>
      <c r="H87" s="4" t="s">
        <v>52</v>
      </c>
      <c r="I87" s="5">
        <v>0.92</v>
      </c>
      <c r="J87" s="5">
        <v>0</v>
      </c>
      <c r="K87" s="5">
        <v>318.08</v>
      </c>
      <c r="L87" s="4" t="s">
        <v>53</v>
      </c>
      <c r="M87" s="3">
        <v>46023</v>
      </c>
      <c r="N87" t="s">
        <v>461</v>
      </c>
      <c r="O87" s="23" t="s">
        <v>466</v>
      </c>
      <c r="Q87" s="4" t="s">
        <v>213</v>
      </c>
      <c r="R87" t="str">
        <f t="shared" si="5"/>
        <v>00018142972K66</v>
      </c>
      <c r="S87" s="4" t="s">
        <v>662</v>
      </c>
      <c r="T87" t="s">
        <v>663</v>
      </c>
      <c r="U87" s="21" t="str">
        <f t="shared" si="6"/>
        <v>ILENE WILSON</v>
      </c>
    </row>
    <row r="88" spans="1:21" x14ac:dyDescent="0.2">
      <c r="A88" s="4" t="s">
        <v>193</v>
      </c>
      <c r="B88">
        <v>9213293</v>
      </c>
      <c r="C88" s="4" t="s">
        <v>212</v>
      </c>
      <c r="D88" s="4" t="s">
        <v>213</v>
      </c>
      <c r="E88" s="3">
        <v>46023</v>
      </c>
      <c r="F88" s="4" t="s">
        <v>49</v>
      </c>
      <c r="G88" s="4" t="s">
        <v>51</v>
      </c>
      <c r="H88" s="4" t="s">
        <v>52</v>
      </c>
      <c r="I88" s="5">
        <v>0</v>
      </c>
      <c r="J88" s="5">
        <v>0</v>
      </c>
      <c r="K88" s="5">
        <v>318.08999999999997</v>
      </c>
      <c r="L88" s="4" t="s">
        <v>106</v>
      </c>
      <c r="M88" s="3">
        <v>46023</v>
      </c>
      <c r="N88" t="s">
        <v>461</v>
      </c>
      <c r="O88" s="23" t="s">
        <v>466</v>
      </c>
      <c r="Q88" s="4" t="s">
        <v>213</v>
      </c>
      <c r="R88" t="str">
        <f t="shared" si="5"/>
        <v>00018142972K66</v>
      </c>
      <c r="S88" s="4" t="s">
        <v>662</v>
      </c>
      <c r="T88" t="s">
        <v>663</v>
      </c>
      <c r="U88" s="21" t="str">
        <f t="shared" si="6"/>
        <v>ILENE WILSON</v>
      </c>
    </row>
    <row r="89" spans="1:21" x14ac:dyDescent="0.2">
      <c r="A89" s="4" t="s">
        <v>333</v>
      </c>
      <c r="B89">
        <v>19645587</v>
      </c>
      <c r="C89" s="4" t="s">
        <v>334</v>
      </c>
      <c r="D89" s="4" t="s">
        <v>335</v>
      </c>
      <c r="E89" s="3">
        <v>46054</v>
      </c>
      <c r="F89" s="4" t="s">
        <v>64</v>
      </c>
      <c r="G89" s="4" t="s">
        <v>51</v>
      </c>
      <c r="H89" s="4" t="s">
        <v>80</v>
      </c>
      <c r="I89" s="5">
        <v>1</v>
      </c>
      <c r="J89" s="5">
        <v>0</v>
      </c>
      <c r="K89" s="5">
        <v>28.91</v>
      </c>
      <c r="L89" s="4" t="s">
        <v>69</v>
      </c>
      <c r="M89" s="3">
        <v>45689</v>
      </c>
      <c r="N89" t="s">
        <v>461</v>
      </c>
      <c r="O89" s="23" t="s">
        <v>468</v>
      </c>
      <c r="Q89" s="4" t="s">
        <v>335</v>
      </c>
      <c r="R89" t="str">
        <f t="shared" si="5"/>
        <v>00023011457K66</v>
      </c>
      <c r="S89" s="4" t="s">
        <v>618</v>
      </c>
      <c r="T89" t="s">
        <v>525</v>
      </c>
      <c r="U89" s="21" t="str">
        <f t="shared" si="6"/>
        <v>DAVID COMOLLI</v>
      </c>
    </row>
    <row r="90" spans="1:21" x14ac:dyDescent="0.2">
      <c r="A90" s="4" t="s">
        <v>333</v>
      </c>
      <c r="B90">
        <v>19645587</v>
      </c>
      <c r="C90" s="4" t="s">
        <v>342</v>
      </c>
      <c r="D90" s="4" t="s">
        <v>343</v>
      </c>
      <c r="E90" s="3">
        <v>46113</v>
      </c>
      <c r="F90" s="4" t="s">
        <v>251</v>
      </c>
      <c r="G90" s="4" t="s">
        <v>51</v>
      </c>
      <c r="H90" s="4" t="s">
        <v>52</v>
      </c>
      <c r="I90" s="5">
        <v>0.75</v>
      </c>
      <c r="J90" s="5">
        <v>0</v>
      </c>
      <c r="K90" s="5">
        <v>260.25</v>
      </c>
      <c r="L90" s="4" t="s">
        <v>53</v>
      </c>
      <c r="M90" s="3">
        <v>46113</v>
      </c>
      <c r="N90" t="s">
        <v>461</v>
      </c>
      <c r="O90" s="23" t="s">
        <v>470</v>
      </c>
      <c r="Q90" s="4" t="s">
        <v>343</v>
      </c>
      <c r="R90" t="str">
        <f t="shared" si="5"/>
        <v>00026092563K66</v>
      </c>
      <c r="S90" s="4" t="s">
        <v>631</v>
      </c>
      <c r="T90" t="s">
        <v>632</v>
      </c>
      <c r="U90" s="21" t="str">
        <f t="shared" si="6"/>
        <v>EDWARD WOMACK</v>
      </c>
    </row>
    <row r="91" spans="1:21" x14ac:dyDescent="0.2">
      <c r="A91" s="4" t="s">
        <v>376</v>
      </c>
      <c r="B91">
        <v>21436172</v>
      </c>
      <c r="C91" s="4" t="s">
        <v>377</v>
      </c>
      <c r="D91" s="4" t="s">
        <v>378</v>
      </c>
      <c r="E91" s="3">
        <v>46023</v>
      </c>
      <c r="F91" s="4" t="s">
        <v>49</v>
      </c>
      <c r="G91" s="4" t="s">
        <v>51</v>
      </c>
      <c r="H91" s="4" t="s">
        <v>52</v>
      </c>
      <c r="I91" s="5">
        <v>-0.83</v>
      </c>
      <c r="J91" s="5">
        <v>0</v>
      </c>
      <c r="K91" s="5">
        <v>-289.17</v>
      </c>
      <c r="L91" s="4" t="s">
        <v>53</v>
      </c>
      <c r="M91" s="3">
        <v>46023</v>
      </c>
      <c r="N91" t="s">
        <v>461</v>
      </c>
      <c r="O91" s="23" t="s">
        <v>467</v>
      </c>
      <c r="Q91" s="4" t="s">
        <v>378</v>
      </c>
      <c r="R91" t="str">
        <f t="shared" si="5"/>
        <v>00025761939K66</v>
      </c>
      <c r="S91" s="4" t="s">
        <v>526</v>
      </c>
      <c r="T91" t="s">
        <v>527</v>
      </c>
      <c r="U91" s="21" t="str">
        <f t="shared" si="6"/>
        <v>JIMMY LAWRENCE</v>
      </c>
    </row>
    <row r="92" spans="1:21" x14ac:dyDescent="0.2">
      <c r="A92" s="4" t="s">
        <v>262</v>
      </c>
      <c r="B92">
        <v>19200754</v>
      </c>
      <c r="C92" s="4" t="s">
        <v>266</v>
      </c>
      <c r="D92" s="4" t="s">
        <v>267</v>
      </c>
      <c r="E92" s="3">
        <v>46023</v>
      </c>
      <c r="F92" s="4" t="s">
        <v>49</v>
      </c>
      <c r="G92" s="4" t="s">
        <v>51</v>
      </c>
      <c r="H92" s="4" t="s">
        <v>80</v>
      </c>
      <c r="I92" s="5">
        <v>-0.83</v>
      </c>
      <c r="J92" s="5">
        <v>0</v>
      </c>
      <c r="K92" s="5">
        <v>-289.17</v>
      </c>
      <c r="L92" s="4" t="s">
        <v>53</v>
      </c>
      <c r="M92" s="3">
        <v>46023</v>
      </c>
      <c r="N92" t="s">
        <v>461</v>
      </c>
      <c r="O92" s="23" t="s">
        <v>467</v>
      </c>
      <c r="Q92" s="4" t="s">
        <v>267</v>
      </c>
      <c r="R92" t="str">
        <f t="shared" si="5"/>
        <v>00014525232K66</v>
      </c>
      <c r="S92" s="4" t="s">
        <v>528</v>
      </c>
      <c r="T92" t="s">
        <v>529</v>
      </c>
      <c r="U92" s="21" t="str">
        <f t="shared" si="6"/>
        <v>REYNALDO UMALI</v>
      </c>
    </row>
    <row r="93" spans="1:21" x14ac:dyDescent="0.2">
      <c r="A93" s="4" t="s">
        <v>262</v>
      </c>
      <c r="B93">
        <v>19200754</v>
      </c>
      <c r="C93" s="4" t="s">
        <v>269</v>
      </c>
      <c r="D93" s="4" t="s">
        <v>270</v>
      </c>
      <c r="E93" s="3">
        <v>46054</v>
      </c>
      <c r="F93" s="4" t="s">
        <v>64</v>
      </c>
      <c r="G93" s="4" t="s">
        <v>51</v>
      </c>
      <c r="H93" s="4" t="s">
        <v>52</v>
      </c>
      <c r="I93" s="5">
        <v>1</v>
      </c>
      <c r="J93" s="5">
        <v>0</v>
      </c>
      <c r="K93" s="5">
        <v>28.91</v>
      </c>
      <c r="L93" s="4" t="s">
        <v>69</v>
      </c>
      <c r="M93" s="3">
        <v>45658</v>
      </c>
      <c r="N93" t="s">
        <v>461</v>
      </c>
      <c r="O93" s="23" t="s">
        <v>468</v>
      </c>
      <c r="Q93" s="4" t="s">
        <v>270</v>
      </c>
      <c r="R93" t="str">
        <f t="shared" ref="R93:R124" si="7">CONCATENATE(Q93,66)</f>
        <v>00015813603K66</v>
      </c>
      <c r="S93" s="4" t="s">
        <v>569</v>
      </c>
      <c r="T93" t="s">
        <v>570</v>
      </c>
      <c r="U93" s="21" t="str">
        <f t="shared" ref="U93:U124" si="8">CONCATENATE(T93," ",S93)</f>
        <v>VALERIE COCHRANE</v>
      </c>
    </row>
    <row r="94" spans="1:21" x14ac:dyDescent="0.2">
      <c r="A94" s="4" t="s">
        <v>262</v>
      </c>
      <c r="B94">
        <v>19200754</v>
      </c>
      <c r="C94" s="4" t="s">
        <v>263</v>
      </c>
      <c r="D94" s="4" t="s">
        <v>264</v>
      </c>
      <c r="E94" s="3">
        <v>46054</v>
      </c>
      <c r="F94" s="4" t="s">
        <v>64</v>
      </c>
      <c r="G94" s="4" t="s">
        <v>51</v>
      </c>
      <c r="H94" s="4" t="s">
        <v>80</v>
      </c>
      <c r="I94" s="5">
        <v>1</v>
      </c>
      <c r="J94" s="5">
        <v>0</v>
      </c>
      <c r="K94" s="5">
        <v>28.91</v>
      </c>
      <c r="L94" s="4" t="s">
        <v>69</v>
      </c>
      <c r="M94" s="3">
        <v>45658</v>
      </c>
      <c r="N94" t="s">
        <v>461</v>
      </c>
      <c r="O94" s="23" t="s">
        <v>468</v>
      </c>
      <c r="Q94" s="4" t="s">
        <v>264</v>
      </c>
      <c r="R94" t="str">
        <f t="shared" si="7"/>
        <v>00010645900K66</v>
      </c>
      <c r="S94" s="4" t="s">
        <v>609</v>
      </c>
      <c r="T94" t="s">
        <v>610</v>
      </c>
      <c r="U94" s="21" t="str">
        <f t="shared" si="8"/>
        <v>DOLORES GALICIO</v>
      </c>
    </row>
    <row r="95" spans="1:21" x14ac:dyDescent="0.2">
      <c r="A95" s="4" t="s">
        <v>262</v>
      </c>
      <c r="B95">
        <v>19200754</v>
      </c>
      <c r="C95" s="4" t="s">
        <v>272</v>
      </c>
      <c r="D95" s="4" t="s">
        <v>273</v>
      </c>
      <c r="E95" s="3">
        <v>46054</v>
      </c>
      <c r="F95" s="4" t="s">
        <v>64</v>
      </c>
      <c r="G95" s="4" t="s">
        <v>51</v>
      </c>
      <c r="H95" s="4" t="s">
        <v>80</v>
      </c>
      <c r="I95" s="5">
        <v>1</v>
      </c>
      <c r="J95" s="5">
        <v>0</v>
      </c>
      <c r="K95" s="5">
        <v>28.91</v>
      </c>
      <c r="L95" s="4" t="s">
        <v>69</v>
      </c>
      <c r="M95" s="3">
        <v>45748</v>
      </c>
      <c r="N95" t="s">
        <v>461</v>
      </c>
      <c r="O95" s="23" t="s">
        <v>468</v>
      </c>
      <c r="Q95" s="4" t="s">
        <v>273</v>
      </c>
      <c r="R95" t="str">
        <f t="shared" si="7"/>
        <v>00023195200K66</v>
      </c>
      <c r="S95" s="4" t="s">
        <v>611</v>
      </c>
      <c r="T95" t="s">
        <v>525</v>
      </c>
      <c r="U95" s="21" t="str">
        <f t="shared" si="8"/>
        <v>DAVID RINI</v>
      </c>
    </row>
    <row r="96" spans="1:21" x14ac:dyDescent="0.2">
      <c r="A96" s="4" t="s">
        <v>262</v>
      </c>
      <c r="B96">
        <v>19200754</v>
      </c>
      <c r="C96" s="4" t="s">
        <v>276</v>
      </c>
      <c r="D96" s="4" t="s">
        <v>277</v>
      </c>
      <c r="E96" s="3">
        <v>46113</v>
      </c>
      <c r="F96" s="4" t="s">
        <v>251</v>
      </c>
      <c r="G96" s="4" t="s">
        <v>51</v>
      </c>
      <c r="H96" s="4" t="s">
        <v>80</v>
      </c>
      <c r="I96" s="5">
        <v>0.75</v>
      </c>
      <c r="J96" s="5">
        <v>0</v>
      </c>
      <c r="K96" s="5">
        <v>260.25</v>
      </c>
      <c r="L96" s="4" t="s">
        <v>53</v>
      </c>
      <c r="M96" s="3">
        <v>46113</v>
      </c>
      <c r="N96" t="s">
        <v>461</v>
      </c>
      <c r="O96" s="23" t="s">
        <v>470</v>
      </c>
      <c r="Q96" s="4" t="s">
        <v>277</v>
      </c>
      <c r="R96" t="str">
        <f t="shared" si="7"/>
        <v>00026104690K66</v>
      </c>
      <c r="S96" s="4" t="s">
        <v>633</v>
      </c>
      <c r="T96" t="s">
        <v>634</v>
      </c>
      <c r="U96" s="21" t="str">
        <f t="shared" si="8"/>
        <v>ERRIN AUXIER</v>
      </c>
    </row>
    <row r="97" spans="1:21" x14ac:dyDescent="0.2">
      <c r="A97" s="4" t="s">
        <v>262</v>
      </c>
      <c r="B97">
        <v>19200754</v>
      </c>
      <c r="C97" s="4" t="s">
        <v>266</v>
      </c>
      <c r="D97" s="4" t="s">
        <v>267</v>
      </c>
      <c r="E97" s="3">
        <v>46082</v>
      </c>
      <c r="F97" s="4" t="s">
        <v>74</v>
      </c>
      <c r="G97" s="4" t="s">
        <v>51</v>
      </c>
      <c r="H97" s="4" t="s">
        <v>80</v>
      </c>
      <c r="I97" s="5">
        <v>0.83</v>
      </c>
      <c r="J97" s="5">
        <v>0</v>
      </c>
      <c r="K97" s="5">
        <v>289.17</v>
      </c>
      <c r="L97" s="4" t="s">
        <v>53</v>
      </c>
      <c r="M97" s="3">
        <v>46082</v>
      </c>
      <c r="N97" t="s">
        <v>461</v>
      </c>
      <c r="O97" s="23" t="s">
        <v>467</v>
      </c>
      <c r="Q97" s="4" t="s">
        <v>267</v>
      </c>
      <c r="R97" t="str">
        <f t="shared" si="7"/>
        <v>00014525232K66</v>
      </c>
      <c r="S97" s="4" t="s">
        <v>528</v>
      </c>
      <c r="T97" t="s">
        <v>529</v>
      </c>
      <c r="U97" s="21" t="str">
        <f t="shared" si="8"/>
        <v>REYNALDO UMALI</v>
      </c>
    </row>
    <row r="98" spans="1:21" x14ac:dyDescent="0.2">
      <c r="A98" s="4" t="s">
        <v>279</v>
      </c>
      <c r="B98">
        <v>19586992</v>
      </c>
      <c r="C98" s="4" t="s">
        <v>280</v>
      </c>
      <c r="D98" s="4" t="s">
        <v>281</v>
      </c>
      <c r="E98" s="3">
        <v>46054</v>
      </c>
      <c r="F98" s="4" t="s">
        <v>64</v>
      </c>
      <c r="G98" s="4" t="s">
        <v>51</v>
      </c>
      <c r="H98" s="4" t="s">
        <v>80</v>
      </c>
      <c r="I98" s="5">
        <v>1</v>
      </c>
      <c r="J98" s="5">
        <v>0</v>
      </c>
      <c r="K98" s="5">
        <v>28.91</v>
      </c>
      <c r="L98" s="4" t="s">
        <v>69</v>
      </c>
      <c r="M98" s="3">
        <v>45839</v>
      </c>
      <c r="N98" t="s">
        <v>461</v>
      </c>
      <c r="O98" s="23" t="s">
        <v>468</v>
      </c>
      <c r="Q98" s="4" t="s">
        <v>281</v>
      </c>
      <c r="R98" t="str">
        <f t="shared" si="7"/>
        <v>00002095651K66</v>
      </c>
      <c r="S98" s="4" t="s">
        <v>612</v>
      </c>
      <c r="T98" t="s">
        <v>613</v>
      </c>
      <c r="U98" s="21" t="str">
        <f t="shared" si="8"/>
        <v>ELIZABETH CLARK</v>
      </c>
    </row>
    <row r="99" spans="1:21" x14ac:dyDescent="0.2">
      <c r="A99" s="4" t="s">
        <v>279</v>
      </c>
      <c r="B99">
        <v>19586992</v>
      </c>
      <c r="C99" s="4" t="s">
        <v>283</v>
      </c>
      <c r="D99" s="4" t="s">
        <v>284</v>
      </c>
      <c r="E99" s="3">
        <v>46054</v>
      </c>
      <c r="F99" s="4" t="s">
        <v>64</v>
      </c>
      <c r="G99" s="4" t="s">
        <v>51</v>
      </c>
      <c r="H99" s="4" t="s">
        <v>80</v>
      </c>
      <c r="I99" s="5">
        <v>1</v>
      </c>
      <c r="J99" s="5">
        <v>0</v>
      </c>
      <c r="K99" s="5">
        <v>28.91</v>
      </c>
      <c r="L99" s="4" t="s">
        <v>69</v>
      </c>
      <c r="M99" s="3">
        <v>45658</v>
      </c>
      <c r="N99" t="s">
        <v>461</v>
      </c>
      <c r="O99" s="23" t="s">
        <v>468</v>
      </c>
      <c r="Q99" s="4" t="s">
        <v>284</v>
      </c>
      <c r="R99" t="str">
        <f t="shared" si="7"/>
        <v>00022601947K66</v>
      </c>
      <c r="S99" s="4" t="s">
        <v>614</v>
      </c>
      <c r="T99" t="s">
        <v>565</v>
      </c>
      <c r="U99" s="21" t="str">
        <f t="shared" si="8"/>
        <v>JAMES HILL</v>
      </c>
    </row>
    <row r="100" spans="1:21" x14ac:dyDescent="0.2">
      <c r="A100" s="4" t="s">
        <v>279</v>
      </c>
      <c r="B100">
        <v>19586992</v>
      </c>
      <c r="C100" s="4" t="s">
        <v>286</v>
      </c>
      <c r="D100" s="4" t="s">
        <v>287</v>
      </c>
      <c r="E100" s="3">
        <v>46054</v>
      </c>
      <c r="F100" s="4" t="s">
        <v>64</v>
      </c>
      <c r="G100" s="4" t="s">
        <v>51</v>
      </c>
      <c r="H100" s="4" t="s">
        <v>80</v>
      </c>
      <c r="I100" s="5">
        <v>1</v>
      </c>
      <c r="J100" s="5">
        <v>0</v>
      </c>
      <c r="K100" s="5">
        <v>28.91</v>
      </c>
      <c r="L100" s="4" t="s">
        <v>69</v>
      </c>
      <c r="M100" s="3">
        <v>45992</v>
      </c>
      <c r="N100" t="s">
        <v>461</v>
      </c>
      <c r="O100" s="23" t="s">
        <v>468</v>
      </c>
      <c r="Q100" s="4" t="s">
        <v>287</v>
      </c>
      <c r="R100" t="str">
        <f t="shared" si="7"/>
        <v>00025088253K66</v>
      </c>
      <c r="S100" s="4" t="s">
        <v>615</v>
      </c>
      <c r="T100" t="s">
        <v>616</v>
      </c>
      <c r="U100" s="21" t="str">
        <f t="shared" si="8"/>
        <v>NORMAN HADLEY</v>
      </c>
    </row>
    <row r="101" spans="1:21" x14ac:dyDescent="0.2">
      <c r="A101" s="4" t="s">
        <v>89</v>
      </c>
      <c r="B101">
        <v>6375605</v>
      </c>
      <c r="C101" s="4" t="s">
        <v>90</v>
      </c>
      <c r="D101" s="4" t="s">
        <v>91</v>
      </c>
      <c r="E101" s="3">
        <v>46054</v>
      </c>
      <c r="F101" s="4" t="s">
        <v>64</v>
      </c>
      <c r="G101" s="4" t="s">
        <v>51</v>
      </c>
      <c r="H101" s="4" t="s">
        <v>52</v>
      </c>
      <c r="I101" s="5">
        <v>1</v>
      </c>
      <c r="J101" s="5">
        <v>0</v>
      </c>
      <c r="K101" s="5">
        <v>28.91</v>
      </c>
      <c r="L101" s="4" t="s">
        <v>69</v>
      </c>
      <c r="M101" s="3">
        <v>45658</v>
      </c>
      <c r="N101" t="s">
        <v>461</v>
      </c>
      <c r="O101" s="23" t="s">
        <v>468</v>
      </c>
      <c r="Q101" s="4" t="s">
        <v>91</v>
      </c>
      <c r="R101" t="str">
        <f t="shared" si="7"/>
        <v>00022853960K66</v>
      </c>
      <c r="S101" s="4" t="s">
        <v>535</v>
      </c>
      <c r="T101" t="s">
        <v>536</v>
      </c>
      <c r="U101" s="21" t="str">
        <f t="shared" si="8"/>
        <v>KENT HOOPS</v>
      </c>
    </row>
    <row r="102" spans="1:21" x14ac:dyDescent="0.2">
      <c r="A102" s="4" t="s">
        <v>364</v>
      </c>
      <c r="B102">
        <v>21475206</v>
      </c>
      <c r="C102" s="4" t="s">
        <v>365</v>
      </c>
      <c r="D102" s="4" t="s">
        <v>366</v>
      </c>
      <c r="E102" s="3">
        <v>46143</v>
      </c>
      <c r="F102" s="4" t="s">
        <v>332</v>
      </c>
      <c r="G102" s="4" t="s">
        <v>51</v>
      </c>
      <c r="H102" s="4" t="s">
        <v>80</v>
      </c>
      <c r="I102" s="5">
        <v>0.67</v>
      </c>
      <c r="J102" s="5">
        <v>0</v>
      </c>
      <c r="K102" s="5">
        <v>231.33</v>
      </c>
      <c r="L102" s="4" t="s">
        <v>53</v>
      </c>
      <c r="M102" s="3">
        <v>46143</v>
      </c>
      <c r="N102" t="s">
        <v>461</v>
      </c>
      <c r="O102" s="23" t="s">
        <v>469</v>
      </c>
      <c r="Q102" s="4" t="s">
        <v>366</v>
      </c>
      <c r="R102" t="str">
        <f t="shared" si="7"/>
        <v>00026073567K66</v>
      </c>
      <c r="S102" s="4" t="s">
        <v>625</v>
      </c>
      <c r="T102" t="s">
        <v>626</v>
      </c>
      <c r="U102" s="21" t="str">
        <f t="shared" si="8"/>
        <v>SANIJA CUBIC</v>
      </c>
    </row>
    <row r="103" spans="1:21" x14ac:dyDescent="0.2">
      <c r="A103" s="4" t="s">
        <v>368</v>
      </c>
      <c r="B103">
        <v>7307857</v>
      </c>
      <c r="C103" s="4" t="s">
        <v>369</v>
      </c>
      <c r="D103" s="4" t="s">
        <v>370</v>
      </c>
      <c r="E103" s="3">
        <v>46082</v>
      </c>
      <c r="F103" s="4" t="s">
        <v>74</v>
      </c>
      <c r="G103" s="4" t="s">
        <v>51</v>
      </c>
      <c r="H103" s="4" t="s">
        <v>52</v>
      </c>
      <c r="I103" s="5">
        <v>0.83</v>
      </c>
      <c r="J103" s="5">
        <v>0</v>
      </c>
      <c r="K103" s="5">
        <v>289.17</v>
      </c>
      <c r="L103" s="4" t="s">
        <v>53</v>
      </c>
      <c r="M103" s="3">
        <v>46082</v>
      </c>
      <c r="N103" t="s">
        <v>461</v>
      </c>
      <c r="O103" s="23" t="s">
        <v>467</v>
      </c>
      <c r="Q103" s="4" t="s">
        <v>370</v>
      </c>
      <c r="R103" t="str">
        <f t="shared" si="7"/>
        <v>00026066370K66</v>
      </c>
      <c r="S103" s="27" t="s">
        <v>670</v>
      </c>
      <c r="T103" t="s">
        <v>653</v>
      </c>
      <c r="U103" s="21" t="str">
        <f t="shared" si="8"/>
        <v>MEEGAN O BRIEN</v>
      </c>
    </row>
    <row r="104" spans="1:21" x14ac:dyDescent="0.2">
      <c r="A104" s="4" t="s">
        <v>353</v>
      </c>
      <c r="B104">
        <v>21104854</v>
      </c>
      <c r="C104" s="4" t="s">
        <v>357</v>
      </c>
      <c r="D104" s="4" t="s">
        <v>358</v>
      </c>
      <c r="E104" s="3">
        <v>46113</v>
      </c>
      <c r="F104" s="4" t="s">
        <v>251</v>
      </c>
      <c r="G104" s="4" t="s">
        <v>51</v>
      </c>
      <c r="H104" s="4" t="s">
        <v>80</v>
      </c>
      <c r="I104" s="5">
        <v>0.75</v>
      </c>
      <c r="J104" s="5">
        <v>0</v>
      </c>
      <c r="K104" s="5">
        <v>260.25</v>
      </c>
      <c r="L104" s="4" t="s">
        <v>53</v>
      </c>
      <c r="M104" s="3">
        <v>46113</v>
      </c>
      <c r="N104" t="s">
        <v>461</v>
      </c>
      <c r="O104" s="23" t="s">
        <v>470</v>
      </c>
      <c r="Q104" s="4" t="s">
        <v>358</v>
      </c>
      <c r="R104" t="str">
        <f t="shared" si="7"/>
        <v>00026092673K66</v>
      </c>
      <c r="S104" s="4" t="s">
        <v>637</v>
      </c>
      <c r="T104" t="s">
        <v>638</v>
      </c>
      <c r="U104" s="21" t="str">
        <f t="shared" si="8"/>
        <v>WILLIAM PRUENTE</v>
      </c>
    </row>
    <row r="105" spans="1:21" x14ac:dyDescent="0.2">
      <c r="A105" s="4" t="s">
        <v>353</v>
      </c>
      <c r="B105">
        <v>21104854</v>
      </c>
      <c r="C105" s="4" t="s">
        <v>354</v>
      </c>
      <c r="D105" s="4" t="s">
        <v>355</v>
      </c>
      <c r="E105" s="3">
        <v>46082</v>
      </c>
      <c r="F105" s="4" t="s">
        <v>74</v>
      </c>
      <c r="G105" s="4" t="s">
        <v>51</v>
      </c>
      <c r="H105" s="4" t="s">
        <v>80</v>
      </c>
      <c r="I105" s="5">
        <v>0.83</v>
      </c>
      <c r="J105" s="5">
        <v>0</v>
      </c>
      <c r="K105" s="5">
        <v>289.17</v>
      </c>
      <c r="L105" s="4" t="s">
        <v>53</v>
      </c>
      <c r="M105" s="3">
        <v>46082</v>
      </c>
      <c r="N105" t="s">
        <v>461</v>
      </c>
      <c r="O105" s="23" t="s">
        <v>467</v>
      </c>
      <c r="Q105" s="4" t="s">
        <v>355</v>
      </c>
      <c r="R105" t="str">
        <f t="shared" si="7"/>
        <v>00026078794K66</v>
      </c>
      <c r="S105" s="4" t="s">
        <v>658</v>
      </c>
      <c r="T105" t="s">
        <v>659</v>
      </c>
      <c r="U105" s="21" t="str">
        <f t="shared" si="8"/>
        <v>STEPHEN SULSKI</v>
      </c>
    </row>
    <row r="106" spans="1:21" x14ac:dyDescent="0.2">
      <c r="A106" s="4" t="s">
        <v>293</v>
      </c>
      <c r="B106">
        <v>19681796</v>
      </c>
      <c r="C106" s="4" t="s">
        <v>294</v>
      </c>
      <c r="D106" s="4" t="s">
        <v>295</v>
      </c>
      <c r="E106" s="3">
        <v>46054</v>
      </c>
      <c r="F106" s="4" t="s">
        <v>64</v>
      </c>
      <c r="G106" s="4" t="s">
        <v>51</v>
      </c>
      <c r="H106" s="4" t="s">
        <v>52</v>
      </c>
      <c r="I106" s="5">
        <v>1</v>
      </c>
      <c r="J106" s="5">
        <v>0</v>
      </c>
      <c r="K106" s="5">
        <v>28.91</v>
      </c>
      <c r="L106" s="4" t="s">
        <v>69</v>
      </c>
      <c r="M106" s="3">
        <v>45658</v>
      </c>
      <c r="N106" t="s">
        <v>461</v>
      </c>
      <c r="O106" s="23" t="s">
        <v>468</v>
      </c>
      <c r="Q106" s="4" t="s">
        <v>295</v>
      </c>
      <c r="R106" t="str">
        <f t="shared" si="7"/>
        <v>00019606018K66</v>
      </c>
      <c r="S106" s="4" t="s">
        <v>571</v>
      </c>
      <c r="T106" t="s">
        <v>572</v>
      </c>
      <c r="U106" s="21" t="str">
        <f t="shared" si="8"/>
        <v>DARLENE MEDYNSKYJ</v>
      </c>
    </row>
    <row r="107" spans="1:21" x14ac:dyDescent="0.2">
      <c r="A107" s="4" t="s">
        <v>293</v>
      </c>
      <c r="B107">
        <v>19681796</v>
      </c>
      <c r="C107" s="4" t="s">
        <v>297</v>
      </c>
      <c r="D107" s="4" t="s">
        <v>298</v>
      </c>
      <c r="E107" s="3">
        <v>46113</v>
      </c>
      <c r="F107" s="4" t="s">
        <v>251</v>
      </c>
      <c r="G107" s="4" t="s">
        <v>51</v>
      </c>
      <c r="H107" s="4" t="s">
        <v>52</v>
      </c>
      <c r="I107" s="5">
        <v>0.75</v>
      </c>
      <c r="J107" s="5">
        <v>0</v>
      </c>
      <c r="K107" s="5">
        <v>260.25</v>
      </c>
      <c r="L107" s="4" t="s">
        <v>53</v>
      </c>
      <c r="M107" s="3">
        <v>46113</v>
      </c>
      <c r="N107" t="s">
        <v>461</v>
      </c>
      <c r="O107" s="23" t="s">
        <v>470</v>
      </c>
      <c r="Q107" s="4" t="s">
        <v>298</v>
      </c>
      <c r="R107" t="str">
        <f t="shared" si="7"/>
        <v>00026076610K66</v>
      </c>
      <c r="S107" s="4" t="s">
        <v>629</v>
      </c>
      <c r="T107" t="s">
        <v>630</v>
      </c>
      <c r="U107" s="21" t="str">
        <f t="shared" si="8"/>
        <v>LAURIE GINTER</v>
      </c>
    </row>
    <row r="108" spans="1:21" x14ac:dyDescent="0.2">
      <c r="A108" s="4" t="s">
        <v>114</v>
      </c>
      <c r="B108">
        <v>8307933</v>
      </c>
      <c r="C108" s="4" t="s">
        <v>115</v>
      </c>
      <c r="D108" s="4" t="s">
        <v>116</v>
      </c>
      <c r="E108" s="3">
        <v>46054</v>
      </c>
      <c r="F108" s="4" t="s">
        <v>64</v>
      </c>
      <c r="G108" s="4" t="s">
        <v>51</v>
      </c>
      <c r="H108" s="4" t="s">
        <v>80</v>
      </c>
      <c r="I108" s="5">
        <v>1</v>
      </c>
      <c r="J108" s="5">
        <v>0</v>
      </c>
      <c r="K108" s="5">
        <v>28.91</v>
      </c>
      <c r="L108" s="4" t="s">
        <v>69</v>
      </c>
      <c r="M108" s="3">
        <v>45809</v>
      </c>
      <c r="N108" t="s">
        <v>461</v>
      </c>
      <c r="O108" s="23" t="s">
        <v>468</v>
      </c>
      <c r="Q108" s="4" t="s">
        <v>116</v>
      </c>
      <c r="R108" t="str">
        <f t="shared" si="7"/>
        <v>00014035131K66</v>
      </c>
      <c r="S108" s="4" t="s">
        <v>584</v>
      </c>
      <c r="T108" t="s">
        <v>585</v>
      </c>
      <c r="U108" s="21" t="str">
        <f t="shared" si="8"/>
        <v>CAMMY DOLL</v>
      </c>
    </row>
    <row r="109" spans="1:21" x14ac:dyDescent="0.2">
      <c r="A109" s="4" t="s">
        <v>114</v>
      </c>
      <c r="B109">
        <v>8307933</v>
      </c>
      <c r="C109" s="4" t="s">
        <v>121</v>
      </c>
      <c r="D109" s="4" t="s">
        <v>122</v>
      </c>
      <c r="E109" s="3">
        <v>46054</v>
      </c>
      <c r="F109" s="4" t="s">
        <v>64</v>
      </c>
      <c r="G109" s="4" t="s">
        <v>51</v>
      </c>
      <c r="H109" s="4" t="s">
        <v>80</v>
      </c>
      <c r="I109" s="5">
        <v>1</v>
      </c>
      <c r="J109" s="5">
        <v>0</v>
      </c>
      <c r="K109" s="5">
        <v>28.91</v>
      </c>
      <c r="L109" s="4" t="s">
        <v>69</v>
      </c>
      <c r="M109" s="3">
        <v>45901</v>
      </c>
      <c r="N109" t="s">
        <v>461</v>
      </c>
      <c r="O109" s="23" t="s">
        <v>468</v>
      </c>
      <c r="Q109" s="4" t="s">
        <v>122</v>
      </c>
      <c r="R109" t="str">
        <f t="shared" si="7"/>
        <v>00023582058K66</v>
      </c>
      <c r="S109" s="4" t="s">
        <v>586</v>
      </c>
      <c r="T109" t="s">
        <v>587</v>
      </c>
      <c r="U109" s="21" t="str">
        <f t="shared" si="8"/>
        <v>ALVIN FRANKLIN</v>
      </c>
    </row>
    <row r="110" spans="1:21" x14ac:dyDescent="0.2">
      <c r="A110" s="4" t="s">
        <v>114</v>
      </c>
      <c r="B110">
        <v>8307933</v>
      </c>
      <c r="C110" s="4" t="s">
        <v>118</v>
      </c>
      <c r="D110" s="4" t="s">
        <v>119</v>
      </c>
      <c r="E110" s="3">
        <v>46023</v>
      </c>
      <c r="F110" s="4" t="s">
        <v>49</v>
      </c>
      <c r="G110" s="4" t="s">
        <v>51</v>
      </c>
      <c r="H110" s="4" t="s">
        <v>80</v>
      </c>
      <c r="I110" s="5">
        <v>0.92</v>
      </c>
      <c r="J110" s="5">
        <v>0</v>
      </c>
      <c r="K110" s="5">
        <v>318.08</v>
      </c>
      <c r="L110" s="4" t="s">
        <v>53</v>
      </c>
      <c r="M110" s="3">
        <v>46023</v>
      </c>
      <c r="N110" t="s">
        <v>461</v>
      </c>
      <c r="O110" s="23" t="s">
        <v>466</v>
      </c>
      <c r="Q110" s="4" t="s">
        <v>119</v>
      </c>
      <c r="R110" t="str">
        <f t="shared" si="7"/>
        <v>00022094137K66</v>
      </c>
      <c r="S110" s="4" t="s">
        <v>588</v>
      </c>
      <c r="T110" t="s">
        <v>666</v>
      </c>
      <c r="U110" s="21" t="str">
        <f t="shared" si="8"/>
        <v>MARCO SANCHEZ</v>
      </c>
    </row>
    <row r="111" spans="1:21" x14ac:dyDescent="0.2">
      <c r="A111" s="4" t="s">
        <v>147</v>
      </c>
      <c r="B111">
        <v>8325282</v>
      </c>
      <c r="C111" s="4" t="s">
        <v>148</v>
      </c>
      <c r="D111" s="4" t="s">
        <v>149</v>
      </c>
      <c r="E111" s="3">
        <v>46054</v>
      </c>
      <c r="F111" s="4" t="s">
        <v>64</v>
      </c>
      <c r="G111" s="4" t="s">
        <v>51</v>
      </c>
      <c r="H111" s="4" t="s">
        <v>80</v>
      </c>
      <c r="I111" s="5">
        <v>1</v>
      </c>
      <c r="J111" s="5">
        <v>0</v>
      </c>
      <c r="K111" s="5">
        <v>28.91</v>
      </c>
      <c r="L111" s="4" t="s">
        <v>69</v>
      </c>
      <c r="M111" s="3">
        <v>45658</v>
      </c>
      <c r="N111" t="s">
        <v>461</v>
      </c>
      <c r="O111" s="23" t="s">
        <v>468</v>
      </c>
      <c r="Q111" s="4" t="s">
        <v>149</v>
      </c>
      <c r="R111" t="str">
        <f t="shared" si="7"/>
        <v>00022413054K66</v>
      </c>
      <c r="S111" s="4" t="s">
        <v>591</v>
      </c>
      <c r="T111" t="s">
        <v>568</v>
      </c>
      <c r="U111" s="21" t="str">
        <f t="shared" si="8"/>
        <v>JOHN BORGMAN</v>
      </c>
    </row>
    <row r="112" spans="1:21" x14ac:dyDescent="0.2">
      <c r="A112" s="4" t="s">
        <v>319</v>
      </c>
      <c r="B112">
        <v>20003537</v>
      </c>
      <c r="C112" s="4" t="s">
        <v>320</v>
      </c>
      <c r="D112" s="4" t="s">
        <v>321</v>
      </c>
      <c r="E112" s="3">
        <v>46023</v>
      </c>
      <c r="F112" s="4" t="s">
        <v>49</v>
      </c>
      <c r="G112" s="4" t="s">
        <v>51</v>
      </c>
      <c r="H112" s="4" t="s">
        <v>52</v>
      </c>
      <c r="I112" s="5">
        <v>-0.83</v>
      </c>
      <c r="J112" s="5">
        <v>0</v>
      </c>
      <c r="K112" s="5">
        <v>-289.17</v>
      </c>
      <c r="L112" s="4" t="s">
        <v>53</v>
      </c>
      <c r="M112" s="3">
        <v>46023</v>
      </c>
      <c r="N112" t="s">
        <v>461</v>
      </c>
      <c r="O112" s="23" t="s">
        <v>467</v>
      </c>
      <c r="Q112" s="4" t="s">
        <v>321</v>
      </c>
      <c r="R112" t="str">
        <f t="shared" si="7"/>
        <v>00010858562K66</v>
      </c>
      <c r="S112" s="4" t="s">
        <v>524</v>
      </c>
      <c r="T112" t="s">
        <v>525</v>
      </c>
      <c r="U112" s="21" t="str">
        <f t="shared" si="8"/>
        <v>DAVID JOHNSON</v>
      </c>
    </row>
    <row r="113" spans="1:42" s="9" customFormat="1" x14ac:dyDescent="0.2">
      <c r="A113" s="4" t="s">
        <v>319</v>
      </c>
      <c r="B113">
        <v>20003537</v>
      </c>
      <c r="C113" s="4" t="s">
        <v>320</v>
      </c>
      <c r="D113" s="4" t="s">
        <v>321</v>
      </c>
      <c r="E113" s="3">
        <v>46023</v>
      </c>
      <c r="F113" s="4" t="s">
        <v>49</v>
      </c>
      <c r="G113" s="4" t="s">
        <v>51</v>
      </c>
      <c r="H113" s="4" t="s">
        <v>52</v>
      </c>
      <c r="I113" s="5">
        <v>0</v>
      </c>
      <c r="J113" s="5">
        <v>0</v>
      </c>
      <c r="K113" s="5">
        <v>-289.16000000000003</v>
      </c>
      <c r="L113" s="4" t="s">
        <v>106</v>
      </c>
      <c r="M113" s="3">
        <v>46023</v>
      </c>
      <c r="N113" t="s">
        <v>461</v>
      </c>
      <c r="O113" s="23" t="s">
        <v>467</v>
      </c>
      <c r="P113"/>
      <c r="Q113" s="4" t="s">
        <v>321</v>
      </c>
      <c r="R113" t="str">
        <f t="shared" si="7"/>
        <v>00010858562K66</v>
      </c>
      <c r="S113" s="4" t="s">
        <v>524</v>
      </c>
      <c r="T113" t="s">
        <v>525</v>
      </c>
      <c r="U113" s="21" t="str">
        <f t="shared" si="8"/>
        <v>DAVID JOHNSON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s="9" customFormat="1" x14ac:dyDescent="0.2">
      <c r="A114" s="4" t="s">
        <v>319</v>
      </c>
      <c r="B114">
        <v>20003537</v>
      </c>
      <c r="C114" s="4" t="s">
        <v>329</v>
      </c>
      <c r="D114" s="4" t="s">
        <v>330</v>
      </c>
      <c r="E114" s="3">
        <v>46143</v>
      </c>
      <c r="F114" s="4" t="s">
        <v>332</v>
      </c>
      <c r="G114" s="4" t="s">
        <v>51</v>
      </c>
      <c r="H114" s="4" t="s">
        <v>52</v>
      </c>
      <c r="I114" s="5">
        <v>0.67</v>
      </c>
      <c r="J114" s="5">
        <v>0</v>
      </c>
      <c r="K114" s="5">
        <v>231.33</v>
      </c>
      <c r="L114" s="4" t="s">
        <v>53</v>
      </c>
      <c r="M114" s="3">
        <v>46143</v>
      </c>
      <c r="N114" t="s">
        <v>461</v>
      </c>
      <c r="O114" s="23" t="s">
        <v>469</v>
      </c>
      <c r="P114"/>
      <c r="Q114" s="4" t="s">
        <v>330</v>
      </c>
      <c r="R114" t="str">
        <f t="shared" si="7"/>
        <v>00026089661K66</v>
      </c>
      <c r="S114" s="4" t="s">
        <v>621</v>
      </c>
      <c r="T114" t="s">
        <v>622</v>
      </c>
      <c r="U114" s="21" t="str">
        <f t="shared" si="8"/>
        <v>KEVIN BOKROS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s="9" customFormat="1" x14ac:dyDescent="0.2">
      <c r="A115" s="4" t="s">
        <v>319</v>
      </c>
      <c r="B115">
        <v>20003537</v>
      </c>
      <c r="C115" s="4" t="s">
        <v>323</v>
      </c>
      <c r="D115" s="4" t="s">
        <v>324</v>
      </c>
      <c r="E115" s="3">
        <v>46023</v>
      </c>
      <c r="F115" s="4" t="s">
        <v>49</v>
      </c>
      <c r="G115" s="4" t="s">
        <v>51</v>
      </c>
      <c r="H115" s="4" t="s">
        <v>52</v>
      </c>
      <c r="I115" s="5">
        <v>0.92</v>
      </c>
      <c r="J115" s="5">
        <v>0</v>
      </c>
      <c r="K115" s="5">
        <v>318.08</v>
      </c>
      <c r="L115" s="4" t="s">
        <v>53</v>
      </c>
      <c r="M115" s="3">
        <v>46023</v>
      </c>
      <c r="N115" t="s">
        <v>461</v>
      </c>
      <c r="O115" s="23" t="s">
        <v>466</v>
      </c>
      <c r="P115"/>
      <c r="Q115" s="4" t="s">
        <v>324</v>
      </c>
      <c r="R115" t="str">
        <f t="shared" si="7"/>
        <v>00023536079K66</v>
      </c>
      <c r="S115" s="4" t="s">
        <v>664</v>
      </c>
      <c r="T115" t="s">
        <v>665</v>
      </c>
      <c r="U115" s="21" t="str">
        <f t="shared" si="8"/>
        <v>TODD BROWNLEE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s="9" customFormat="1" x14ac:dyDescent="0.2">
      <c r="A116" s="4" t="s">
        <v>319</v>
      </c>
      <c r="B116">
        <v>20003537</v>
      </c>
      <c r="C116" s="4" t="s">
        <v>323</v>
      </c>
      <c r="D116" s="4" t="s">
        <v>324</v>
      </c>
      <c r="E116" s="3">
        <v>46023</v>
      </c>
      <c r="F116" s="4" t="s">
        <v>49</v>
      </c>
      <c r="G116" s="4" t="s">
        <v>51</v>
      </c>
      <c r="H116" s="4" t="s">
        <v>52</v>
      </c>
      <c r="I116" s="5">
        <v>0</v>
      </c>
      <c r="J116" s="5">
        <v>0</v>
      </c>
      <c r="K116" s="5">
        <v>318.08999999999997</v>
      </c>
      <c r="L116" s="4" t="s">
        <v>106</v>
      </c>
      <c r="M116" s="3">
        <v>46023</v>
      </c>
      <c r="N116" t="s">
        <v>461</v>
      </c>
      <c r="O116" s="23" t="s">
        <v>466</v>
      </c>
      <c r="P116"/>
      <c r="Q116" s="4" t="s">
        <v>324</v>
      </c>
      <c r="R116" t="str">
        <f t="shared" si="7"/>
        <v>00023536079K66</v>
      </c>
      <c r="S116" s="4" t="s">
        <v>664</v>
      </c>
      <c r="T116" t="s">
        <v>665</v>
      </c>
      <c r="U116" s="21" t="str">
        <f t="shared" si="8"/>
        <v>TODD BROWNLEE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s="9" customFormat="1" x14ac:dyDescent="0.2">
      <c r="A117" s="4" t="s">
        <v>237</v>
      </c>
      <c r="B117">
        <v>18754354</v>
      </c>
      <c r="C117" s="4" t="s">
        <v>244</v>
      </c>
      <c r="D117" s="4" t="s">
        <v>245</v>
      </c>
      <c r="E117" s="3">
        <v>46054</v>
      </c>
      <c r="F117" s="4" t="s">
        <v>64</v>
      </c>
      <c r="G117" s="4" t="s">
        <v>51</v>
      </c>
      <c r="H117" s="4" t="s">
        <v>52</v>
      </c>
      <c r="I117" s="5">
        <v>1</v>
      </c>
      <c r="J117" s="5">
        <v>0</v>
      </c>
      <c r="K117" s="5">
        <v>28.91</v>
      </c>
      <c r="L117" s="4" t="s">
        <v>69</v>
      </c>
      <c r="M117" s="3">
        <v>45809</v>
      </c>
      <c r="N117" t="s">
        <v>461</v>
      </c>
      <c r="O117" s="23" t="s">
        <v>468</v>
      </c>
      <c r="P117"/>
      <c r="Q117" s="4" t="s">
        <v>245</v>
      </c>
      <c r="R117" t="str">
        <f t="shared" si="7"/>
        <v>00023334479K66</v>
      </c>
      <c r="S117" s="4" t="s">
        <v>564</v>
      </c>
      <c r="T117" t="s">
        <v>565</v>
      </c>
      <c r="U117" s="21" t="str">
        <f t="shared" si="8"/>
        <v>JAMES ZARDESKAS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s="9" customFormat="1" x14ac:dyDescent="0.2">
      <c r="A118" s="4" t="s">
        <v>237</v>
      </c>
      <c r="B118">
        <v>18754354</v>
      </c>
      <c r="C118" s="4" t="s">
        <v>238</v>
      </c>
      <c r="D118" s="4" t="s">
        <v>239</v>
      </c>
      <c r="E118" s="3">
        <v>46054</v>
      </c>
      <c r="F118" s="4" t="s">
        <v>64</v>
      </c>
      <c r="G118" s="4" t="s">
        <v>51</v>
      </c>
      <c r="H118" s="4" t="s">
        <v>80</v>
      </c>
      <c r="I118" s="5">
        <v>1</v>
      </c>
      <c r="J118" s="5">
        <v>0</v>
      </c>
      <c r="K118" s="5">
        <v>28.91</v>
      </c>
      <c r="L118" s="4" t="s">
        <v>69</v>
      </c>
      <c r="M118" s="3">
        <v>45505</v>
      </c>
      <c r="N118" t="s">
        <v>461</v>
      </c>
      <c r="O118" s="23" t="s">
        <v>468</v>
      </c>
      <c r="P118"/>
      <c r="Q118" s="4" t="s">
        <v>239</v>
      </c>
      <c r="R118" t="str">
        <f t="shared" si="7"/>
        <v>00021961080K66</v>
      </c>
      <c r="S118" s="4" t="s">
        <v>607</v>
      </c>
      <c r="T118" t="s">
        <v>475</v>
      </c>
      <c r="U118" s="21" t="str">
        <f t="shared" si="8"/>
        <v>PAUL ARNOLD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s="13" customFormat="1" x14ac:dyDescent="0.2">
      <c r="A119" s="4" t="s">
        <v>237</v>
      </c>
      <c r="B119">
        <v>18754354</v>
      </c>
      <c r="C119" s="4" t="s">
        <v>241</v>
      </c>
      <c r="D119" s="4" t="s">
        <v>242</v>
      </c>
      <c r="E119" s="3">
        <v>46054</v>
      </c>
      <c r="F119" s="4" t="s">
        <v>64</v>
      </c>
      <c r="G119" s="4" t="s">
        <v>51</v>
      </c>
      <c r="H119" s="4" t="s">
        <v>80</v>
      </c>
      <c r="I119" s="5">
        <v>1</v>
      </c>
      <c r="J119" s="5">
        <v>0</v>
      </c>
      <c r="K119" s="5">
        <v>28.91</v>
      </c>
      <c r="L119" s="4" t="s">
        <v>69</v>
      </c>
      <c r="M119" s="3">
        <v>45658</v>
      </c>
      <c r="N119" t="s">
        <v>461</v>
      </c>
      <c r="O119" s="23" t="s">
        <v>468</v>
      </c>
      <c r="P119"/>
      <c r="Q119" s="4" t="s">
        <v>242</v>
      </c>
      <c r="R119" t="str">
        <f t="shared" si="7"/>
        <v>00022816075K66</v>
      </c>
      <c r="S119" s="4" t="s">
        <v>608</v>
      </c>
      <c r="T119" t="s">
        <v>538</v>
      </c>
      <c r="U119" s="21" t="str">
        <f t="shared" si="8"/>
        <v>MARIA HOLLAND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s="9" customFormat="1" x14ac:dyDescent="0.2">
      <c r="A120" s="4" t="s">
        <v>151</v>
      </c>
      <c r="B120">
        <v>16633294</v>
      </c>
      <c r="C120" s="4" t="s">
        <v>152</v>
      </c>
      <c r="D120" s="4" t="s">
        <v>153</v>
      </c>
      <c r="E120" s="3">
        <v>46054</v>
      </c>
      <c r="F120" s="4" t="s">
        <v>64</v>
      </c>
      <c r="G120" s="4" t="s">
        <v>51</v>
      </c>
      <c r="H120" s="4" t="s">
        <v>80</v>
      </c>
      <c r="I120" s="5">
        <v>1</v>
      </c>
      <c r="J120" s="5">
        <v>0</v>
      </c>
      <c r="K120" s="5">
        <v>28.91</v>
      </c>
      <c r="L120" s="4" t="s">
        <v>69</v>
      </c>
      <c r="M120" s="3">
        <v>45689</v>
      </c>
      <c r="N120" t="s">
        <v>461</v>
      </c>
      <c r="O120" s="23" t="s">
        <v>468</v>
      </c>
      <c r="P120"/>
      <c r="Q120" s="4" t="s">
        <v>153</v>
      </c>
      <c r="R120" t="str">
        <f t="shared" si="7"/>
        <v>00022982390K66</v>
      </c>
      <c r="S120" s="4" t="s">
        <v>592</v>
      </c>
      <c r="T120" t="s">
        <v>593</v>
      </c>
      <c r="U120" s="21" t="str">
        <f t="shared" si="8"/>
        <v>EDMUNDO NORIEGA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s="9" customFormat="1" x14ac:dyDescent="0.2">
      <c r="A121" s="4" t="s">
        <v>151</v>
      </c>
      <c r="B121">
        <v>16633294</v>
      </c>
      <c r="C121" s="4" t="s">
        <v>155</v>
      </c>
      <c r="D121" s="4" t="s">
        <v>156</v>
      </c>
      <c r="E121" s="3">
        <v>46054</v>
      </c>
      <c r="F121" s="4" t="s">
        <v>64</v>
      </c>
      <c r="G121" s="4" t="s">
        <v>51</v>
      </c>
      <c r="H121" s="4" t="s">
        <v>80</v>
      </c>
      <c r="I121" s="5">
        <v>1</v>
      </c>
      <c r="J121" s="5">
        <v>0</v>
      </c>
      <c r="K121" s="5">
        <v>28.91</v>
      </c>
      <c r="L121" s="4" t="s">
        <v>69</v>
      </c>
      <c r="M121" s="3">
        <v>45931</v>
      </c>
      <c r="N121" t="s">
        <v>461</v>
      </c>
      <c r="O121" s="23" t="s">
        <v>468</v>
      </c>
      <c r="P121"/>
      <c r="Q121" s="4" t="s">
        <v>156</v>
      </c>
      <c r="R121" t="str">
        <f t="shared" si="7"/>
        <v>00023713473K66</v>
      </c>
      <c r="S121" s="4" t="s">
        <v>594</v>
      </c>
      <c r="T121" t="s">
        <v>595</v>
      </c>
      <c r="U121" s="21" t="str">
        <f t="shared" si="8"/>
        <v>STEPHAN FRAZIER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s="9" customFormat="1" x14ac:dyDescent="0.2">
      <c r="A122" s="4" t="s">
        <v>151</v>
      </c>
      <c r="B122">
        <v>16633294</v>
      </c>
      <c r="C122" s="4" t="s">
        <v>158</v>
      </c>
      <c r="D122" s="4" t="s">
        <v>159</v>
      </c>
      <c r="E122" s="3">
        <v>46082</v>
      </c>
      <c r="F122" s="4" t="s">
        <v>74</v>
      </c>
      <c r="G122" s="4" t="s">
        <v>51</v>
      </c>
      <c r="H122" s="4" t="s">
        <v>52</v>
      </c>
      <c r="I122" s="5">
        <v>0.83</v>
      </c>
      <c r="J122" s="5">
        <v>0</v>
      </c>
      <c r="K122" s="5">
        <v>289.17</v>
      </c>
      <c r="L122" s="4" t="s">
        <v>53</v>
      </c>
      <c r="M122" s="3">
        <v>46082</v>
      </c>
      <c r="N122" t="s">
        <v>461</v>
      </c>
      <c r="O122" s="23" t="s">
        <v>467</v>
      </c>
      <c r="P122"/>
      <c r="Q122" s="4" t="s">
        <v>159</v>
      </c>
      <c r="R122" t="str">
        <f t="shared" si="7"/>
        <v>00026088711K66</v>
      </c>
      <c r="S122" s="4" t="s">
        <v>643</v>
      </c>
      <c r="T122" t="s">
        <v>644</v>
      </c>
      <c r="U122" s="21" t="str">
        <f t="shared" si="8"/>
        <v>COLLEEN KUHNS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1:42" s="9" customFormat="1" x14ac:dyDescent="0.2">
      <c r="A123" s="14" t="s">
        <v>333</v>
      </c>
      <c r="B123" s="17">
        <v>19645587</v>
      </c>
      <c r="C123" s="14" t="s">
        <v>337</v>
      </c>
      <c r="D123" s="14" t="s">
        <v>338</v>
      </c>
      <c r="E123" s="15">
        <v>46023</v>
      </c>
      <c r="F123" s="14" t="s">
        <v>49</v>
      </c>
      <c r="G123" s="14" t="s">
        <v>51</v>
      </c>
      <c r="H123" s="14" t="s">
        <v>340</v>
      </c>
      <c r="I123" s="16">
        <v>-0.92</v>
      </c>
      <c r="J123" s="16">
        <v>0</v>
      </c>
      <c r="K123" s="16">
        <v>-52.25</v>
      </c>
      <c r="L123" s="14" t="s">
        <v>53</v>
      </c>
      <c r="M123" s="15">
        <v>46023</v>
      </c>
      <c r="N123" s="17" t="s">
        <v>462</v>
      </c>
      <c r="O123" s="17"/>
      <c r="P123" s="17"/>
      <c r="Q123" s="14" t="s">
        <v>338</v>
      </c>
      <c r="R123" s="17" t="str">
        <f>CONCATENATE(Q123,9)</f>
        <v>00024289280K9</v>
      </c>
      <c r="S123" s="14" t="s">
        <v>668</v>
      </c>
      <c r="T123" s="17" t="s">
        <v>568</v>
      </c>
      <c r="U123" s="21" t="str">
        <f t="shared" si="8"/>
        <v>JOHN STOKES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</row>
  </sheetData>
  <sortState xmlns:xlrd2="http://schemas.microsoft.com/office/spreadsheetml/2017/richdata2" ref="A2:AP123">
    <sortCondition ref="N2:N1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524A-72A8-451C-8447-04C10401A8C4}">
  <dimension ref="A1:M3"/>
  <sheetViews>
    <sheetView workbookViewId="0">
      <selection activeCell="H13" sqref="H13"/>
    </sheetView>
  </sheetViews>
  <sheetFormatPr defaultRowHeight="12.75" x14ac:dyDescent="0.2"/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x14ac:dyDescent="0.2">
      <c r="A2" s="4" t="s">
        <v>437</v>
      </c>
      <c r="B2" s="2">
        <v>1875462</v>
      </c>
      <c r="C2" s="4" t="s">
        <v>442</v>
      </c>
      <c r="D2" s="4" t="s">
        <v>443</v>
      </c>
      <c r="E2" s="3">
        <v>46023</v>
      </c>
      <c r="F2" s="4" t="s">
        <v>49</v>
      </c>
      <c r="G2" s="4" t="s">
        <v>51</v>
      </c>
      <c r="H2" s="4" t="s">
        <v>46</v>
      </c>
      <c r="I2" s="5">
        <v>0</v>
      </c>
      <c r="J2" s="5">
        <v>2225.2800000000002</v>
      </c>
      <c r="K2" s="5">
        <v>50.04</v>
      </c>
      <c r="L2" s="4" t="s">
        <v>429</v>
      </c>
      <c r="M2" s="3">
        <v>46023</v>
      </c>
    </row>
    <row r="3" spans="1:13" x14ac:dyDescent="0.2">
      <c r="A3" s="4" t="s">
        <v>450</v>
      </c>
      <c r="B3" s="2">
        <v>1982315</v>
      </c>
      <c r="C3" s="4" t="s">
        <v>451</v>
      </c>
      <c r="D3" s="4" t="s">
        <v>452</v>
      </c>
      <c r="E3" s="3">
        <v>46023</v>
      </c>
      <c r="F3" s="4" t="s">
        <v>49</v>
      </c>
      <c r="G3" s="4" t="s">
        <v>51</v>
      </c>
      <c r="H3" s="4" t="s">
        <v>46</v>
      </c>
      <c r="I3" s="5">
        <v>0</v>
      </c>
      <c r="J3" s="5">
        <v>3348.72</v>
      </c>
      <c r="K3" s="5">
        <v>50.04</v>
      </c>
      <c r="L3" s="4" t="s">
        <v>429</v>
      </c>
      <c r="M3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2026-02-12T06:21:20Z</dcterms:created>
  <dcterms:modified xsi:type="dcterms:W3CDTF">2026-06-01T16:26:02Z</dcterms:modified>
</cp:coreProperties>
</file>