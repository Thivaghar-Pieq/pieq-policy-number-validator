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Humana\2026\2026-05-20\"/>
    </mc:Choice>
  </mc:AlternateContent>
  <xr:revisionPtr revIDLastSave="0" documentId="13_ncr:1_{7A973327-9942-452A-9C3E-D0AC7D3821CA}" xr6:coauthVersionLast="47" xr6:coauthVersionMax="47" xr10:uidLastSave="{00000000-0000-0000-0000-000000000000}"/>
  <bookViews>
    <workbookView xWindow="28680" yWindow="-30" windowWidth="29040" windowHeight="16440" activeTab="1" xr2:uid="{A26D7F9C-1E81-47CD-BF85-99F7AA153C5F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5" i="2" l="1"/>
  <c r="W7" i="2"/>
  <c r="W4" i="2"/>
  <c r="W6" i="2"/>
  <c r="W8" i="2"/>
  <c r="W2" i="2"/>
  <c r="W26" i="2"/>
  <c r="W22" i="2"/>
  <c r="W23" i="2"/>
  <c r="W24" i="2"/>
  <c r="W25" i="2"/>
  <c r="W21" i="2"/>
  <c r="W20" i="2"/>
  <c r="W12" i="2"/>
  <c r="W13" i="2"/>
  <c r="W14" i="2"/>
  <c r="W15" i="2"/>
  <c r="W16" i="2"/>
  <c r="W17" i="2"/>
  <c r="W11" i="2"/>
  <c r="W10" i="2"/>
  <c r="W9" i="2"/>
  <c r="W19" i="2"/>
  <c r="W18" i="2"/>
  <c r="W27" i="2"/>
  <c r="W57" i="2"/>
  <c r="W53" i="2"/>
  <c r="W38" i="2"/>
  <c r="W47" i="2"/>
  <c r="W45" i="2"/>
  <c r="W32" i="2"/>
  <c r="W42" i="2"/>
  <c r="W56" i="2"/>
  <c r="W55" i="2"/>
  <c r="W48" i="2"/>
  <c r="W54" i="2"/>
  <c r="W43" i="2"/>
  <c r="W44" i="2"/>
  <c r="W46" i="2"/>
  <c r="W39" i="2"/>
  <c r="W35" i="2"/>
  <c r="W49" i="2"/>
  <c r="W50" i="2"/>
  <c r="W51" i="2"/>
  <c r="W37" i="2"/>
  <c r="W36" i="2"/>
  <c r="W33" i="2"/>
  <c r="W34" i="2"/>
  <c r="W52" i="2"/>
  <c r="W40" i="2"/>
  <c r="W41" i="2"/>
  <c r="W3" i="2"/>
  <c r="T38" i="2"/>
  <c r="T47" i="2"/>
  <c r="T45" i="2"/>
  <c r="T32" i="2"/>
  <c r="T42" i="2"/>
  <c r="T56" i="2"/>
  <c r="T55" i="2"/>
  <c r="T48" i="2"/>
  <c r="T54" i="2"/>
  <c r="T43" i="2"/>
  <c r="T44" i="2"/>
  <c r="T46" i="2"/>
  <c r="T39" i="2"/>
  <c r="T35" i="2"/>
  <c r="T49" i="2"/>
  <c r="T50" i="2"/>
  <c r="T51" i="2"/>
  <c r="T37" i="2"/>
  <c r="T36" i="2"/>
  <c r="T33" i="2"/>
  <c r="T34" i="2"/>
  <c r="T52" i="2"/>
  <c r="T40" i="2"/>
  <c r="T41" i="2"/>
  <c r="T53" i="2"/>
  <c r="T57" i="2"/>
  <c r="T31" i="2"/>
  <c r="T30" i="2"/>
  <c r="T29" i="2"/>
  <c r="T28" i="2"/>
  <c r="T27" i="2"/>
  <c r="T18" i="2"/>
  <c r="T19" i="2"/>
  <c r="T9" i="2"/>
  <c r="T10" i="2"/>
  <c r="T11" i="2"/>
  <c r="T17" i="2"/>
  <c r="T16" i="2"/>
  <c r="T15" i="2"/>
  <c r="T14" i="2"/>
  <c r="T13" i="2"/>
  <c r="T12" i="2"/>
  <c r="T20" i="2"/>
  <c r="T21" i="2"/>
  <c r="T25" i="2"/>
  <c r="T24" i="2"/>
  <c r="T23" i="2"/>
  <c r="T22" i="2"/>
  <c r="T26" i="2"/>
  <c r="T2" i="2"/>
  <c r="T8" i="2"/>
  <c r="T6" i="2"/>
  <c r="T4" i="2"/>
  <c r="T7" i="2"/>
  <c r="T5" i="2"/>
  <c r="T3" i="2"/>
  <c r="Q41" i="2"/>
  <c r="Q39" i="2"/>
  <c r="Q35" i="2"/>
  <c r="Q53" i="2"/>
  <c r="Q48" i="2"/>
</calcChain>
</file>

<file path=xl/sharedStrings.xml><?xml version="1.0" encoding="utf-8"?>
<sst xmlns="http://schemas.openxmlformats.org/spreadsheetml/2006/main" count="2403" uniqueCount="357">
  <si>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</si>
  <si>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</si>
  <si>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</si>
  <si>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</si>
  <si>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</si>
  <si>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</si>
  <si>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</si>
  <si>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</si>
  <si>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</si>
  <si>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</si>
  <si>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</si>
  <si>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</si>
  <si>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</si>
  <si>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</si>
  <si>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</si>
  <si>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</si>
  <si>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</si>
  <si>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</si>
  <si>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</si>
  <si>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</si>
  <si>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</si>
  <si>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</si>
  <si>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</si>
  <si>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</si>
  <si>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</si>
  <si>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</si>
  <si>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</si>
  <si>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</si>
  <si>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</si>
  <si>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</si>
  <si>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</si>
  <si>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</si>
  <si>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</si>
  <si>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</si>
  <si>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</si>
  <si>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</si>
  <si>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</si>
  <si>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</si>
  <si>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</si>
  <si>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</si>
  <si>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</si>
  <si>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</si>
  <si>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</si>
  <si>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CHOI ANDREW J</t>
  </si>
  <si>
    <t>DRUNGA SALME O</t>
  </si>
  <si>
    <t>00026502399K</t>
  </si>
  <si>
    <t>4WG9QT3MG58</t>
  </si>
  <si>
    <t/>
  </si>
  <si>
    <t>MA</t>
  </si>
  <si>
    <t>LV</t>
  </si>
  <si>
    <t>JUN</t>
  </si>
  <si>
    <t>F</t>
  </si>
  <si>
    <t>MEDICARE</t>
  </si>
  <si>
    <t>MEP</t>
  </si>
  <si>
    <t>FIRST YEAR COMMISSIONS</t>
  </si>
  <si>
    <t>ARCF</t>
  </si>
  <si>
    <t>H7617</t>
  </si>
  <si>
    <t>SWAFFORD BRIAN L</t>
  </si>
  <si>
    <t>00026511866K</t>
  </si>
  <si>
    <t>3YN9VG5NY30</t>
  </si>
  <si>
    <t>SORIANO NILO M</t>
  </si>
  <si>
    <t>00026515350K</t>
  </si>
  <si>
    <t>4VP1WD2VR93</t>
  </si>
  <si>
    <t>TEIPEL GREGORY K</t>
  </si>
  <si>
    <t>WOODARD LISA M</t>
  </si>
  <si>
    <t>00013027171K</t>
  </si>
  <si>
    <t>8U13CP3UP91</t>
  </si>
  <si>
    <t>JAN</t>
  </si>
  <si>
    <t>HOBDEN TERESA L</t>
  </si>
  <si>
    <t>00025840083K</t>
  </si>
  <si>
    <t>7TH5VV9XR70</t>
  </si>
  <si>
    <t>FEB</t>
  </si>
  <si>
    <t>MEDICARE 2ND HALF FIRST YEAR COMM</t>
  </si>
  <si>
    <t>MED2</t>
  </si>
  <si>
    <t>YI ANNA H</t>
  </si>
  <si>
    <t>00026260016K</t>
  </si>
  <si>
    <t>3AM8WW0UP38</t>
  </si>
  <si>
    <t>MER</t>
  </si>
  <si>
    <t>H4329</t>
  </si>
  <si>
    <t>MORAN JR WAYNE E</t>
  </si>
  <si>
    <t>00026507474K</t>
  </si>
  <si>
    <t>2EQ9YR5XU26</t>
  </si>
  <si>
    <t>JUL</t>
  </si>
  <si>
    <t>ARBAB MOJDEH</t>
  </si>
  <si>
    <t>00026509769K</t>
  </si>
  <si>
    <t>5VU4X75UM92</t>
  </si>
  <si>
    <t>OLSON KEVIN S</t>
  </si>
  <si>
    <t>00026514854K</t>
  </si>
  <si>
    <t>9TR7GP6TH68</t>
  </si>
  <si>
    <t>HUNSBERGER ANTHONY J</t>
  </si>
  <si>
    <t>KOPKA SUE A</t>
  </si>
  <si>
    <t>00022162882K</t>
  </si>
  <si>
    <t>1TE0DY6YQ14</t>
  </si>
  <si>
    <t>APR</t>
  </si>
  <si>
    <t>ROLLER JASON</t>
  </si>
  <si>
    <t>GATEWOOD DEBORAH A</t>
  </si>
  <si>
    <t>00026524394K</t>
  </si>
  <si>
    <t>2TH2EW1YM24</t>
  </si>
  <si>
    <t>AUG</t>
  </si>
  <si>
    <t>PORTUGAL GARY</t>
  </si>
  <si>
    <t>DOAN KIET</t>
  </si>
  <si>
    <t>00026313233K</t>
  </si>
  <si>
    <t>2QD7KG7YN51</t>
  </si>
  <si>
    <t>H1036</t>
  </si>
  <si>
    <t>YALE JACOB D</t>
  </si>
  <si>
    <t>POLLITT WAYNE A</t>
  </si>
  <si>
    <t>00020726827K</t>
  </si>
  <si>
    <t>1NH0V45UM24</t>
  </si>
  <si>
    <t>SCHUMANN BARRY L</t>
  </si>
  <si>
    <t>BROOKS RYAN</t>
  </si>
  <si>
    <t>00026506360K</t>
  </si>
  <si>
    <t>5J47AH9WK51</t>
  </si>
  <si>
    <t>GONZALEZ LENSIE</t>
  </si>
  <si>
    <t>PALAFOX JUAREZ RUMUALDA</t>
  </si>
  <si>
    <t>00026521652K</t>
  </si>
  <si>
    <t>4MX1YN6UU02</t>
  </si>
  <si>
    <t>H6622</t>
  </si>
  <si>
    <t>TAUGNER CHRISTIAN</t>
  </si>
  <si>
    <t>AYKROID SANDRA J</t>
  </si>
  <si>
    <t>00026354524K</t>
  </si>
  <si>
    <t>2U54V05KP84</t>
  </si>
  <si>
    <t>MAY</t>
  </si>
  <si>
    <t>H1468</t>
  </si>
  <si>
    <t>KLUVER ROBERT A</t>
  </si>
  <si>
    <t>00026517362K</t>
  </si>
  <si>
    <t>1AC2P48JQ01</t>
  </si>
  <si>
    <t>DUNAVANT MICHAEL</t>
  </si>
  <si>
    <t>CASSELMAN JR DONALD L</t>
  </si>
  <si>
    <t>00026512224K</t>
  </si>
  <si>
    <t>5GN9T20FV15</t>
  </si>
  <si>
    <t>BRANDT STEVEN K</t>
  </si>
  <si>
    <t>SHUMAKER JR FRED H</t>
  </si>
  <si>
    <t>00023000460K</t>
  </si>
  <si>
    <t>6U42DM8NQ05</t>
  </si>
  <si>
    <t>PORTUGAL STACEY A</t>
  </si>
  <si>
    <t>LEE TRACY A</t>
  </si>
  <si>
    <t>00025733189K</t>
  </si>
  <si>
    <t>7ME0F03WD24</t>
  </si>
  <si>
    <t>MRO</t>
  </si>
  <si>
    <t>H5619</t>
  </si>
  <si>
    <t>PETRUNGARO ANDREA</t>
  </si>
  <si>
    <t>RIFE TINA</t>
  </si>
  <si>
    <t>00026507242K</t>
  </si>
  <si>
    <t>9FW3XQ5GK84</t>
  </si>
  <si>
    <t>TORRES JOSE</t>
  </si>
  <si>
    <t>MADRIGAL REBECA</t>
  </si>
  <si>
    <t>00025584966K</t>
  </si>
  <si>
    <t>3V80EN5DE29</t>
  </si>
  <si>
    <t>FUENTES VICTOR</t>
  </si>
  <si>
    <t>SEBANTAY EDITHA C</t>
  </si>
  <si>
    <t>00026508775K</t>
  </si>
  <si>
    <t>8YT7R72DA33</t>
  </si>
  <si>
    <t>SHEPARD JILL M</t>
  </si>
  <si>
    <t>MARKELONIS ALICE A</t>
  </si>
  <si>
    <t>00024593643K</t>
  </si>
  <si>
    <t>8NH0MP1TT00</t>
  </si>
  <si>
    <t>PDP</t>
  </si>
  <si>
    <t>S5884</t>
  </si>
  <si>
    <t>REYES JEANET</t>
  </si>
  <si>
    <t>ARWOOD DARSI L</t>
  </si>
  <si>
    <t>00026515084K</t>
  </si>
  <si>
    <t>3E40D07UN13</t>
  </si>
  <si>
    <t>DEATON PAMELA S</t>
  </si>
  <si>
    <t>Elliott Joseph</t>
  </si>
  <si>
    <t>9028205190</t>
  </si>
  <si>
    <t>IN</t>
  </si>
  <si>
    <t>CB</t>
  </si>
  <si>
    <t>R</t>
  </si>
  <si>
    <t>VISION</t>
  </si>
  <si>
    <t>COMPBENEFITS RENEWAL COMMISSION</t>
  </si>
  <si>
    <t>CRCM</t>
  </si>
  <si>
    <t>TATRO MELISSA</t>
  </si>
  <si>
    <t>WHOLE OFFICE FURNITURE LL</t>
  </si>
  <si>
    <t>000000423470</t>
  </si>
  <si>
    <t>GR</t>
  </si>
  <si>
    <t>EM</t>
  </si>
  <si>
    <t>DENTAL</t>
  </si>
  <si>
    <t>Grychowski Jerry</t>
  </si>
  <si>
    <t>9007596540</t>
  </si>
  <si>
    <t>HOFFMANN JASON R</t>
  </si>
  <si>
    <t>Gerber Elliot</t>
  </si>
  <si>
    <t>0654656220</t>
  </si>
  <si>
    <t>KUCAN THOMAS</t>
  </si>
  <si>
    <t>LOPOSSA GREGORY W</t>
  </si>
  <si>
    <t>00001158481A</t>
  </si>
  <si>
    <t>MS</t>
  </si>
  <si>
    <t>N</t>
  </si>
  <si>
    <t>INSKIPT DEBORAH L</t>
  </si>
  <si>
    <t>SCHUBERT DAVID</t>
  </si>
  <si>
    <t>00000789641A</t>
  </si>
  <si>
    <t>MED SUPP RENEWAL ACHIEVE</t>
  </si>
  <si>
    <t>MSRA</t>
  </si>
  <si>
    <t>BRACE TIMMY L</t>
  </si>
  <si>
    <t>00000871454A</t>
  </si>
  <si>
    <t>MCCORKLE MICHELLE</t>
  </si>
  <si>
    <t>Miller Kayla M</t>
  </si>
  <si>
    <t>9030250530</t>
  </si>
  <si>
    <t>Sloan Edward</t>
  </si>
  <si>
    <t>9031265700</t>
  </si>
  <si>
    <t>COMPBENEFITS FIRST YEAR COMMISSION</t>
  </si>
  <si>
    <t>CRCF</t>
  </si>
  <si>
    <t>Schreck Gavin</t>
  </si>
  <si>
    <t>9031321440</t>
  </si>
  <si>
    <t>Volpe Vinchenzo</t>
  </si>
  <si>
    <t>9031321470</t>
  </si>
  <si>
    <t>Snead Terry</t>
  </si>
  <si>
    <t>9031321500</t>
  </si>
  <si>
    <t>Schroeder Robert</t>
  </si>
  <si>
    <t>9031321550</t>
  </si>
  <si>
    <t>Hanley Brenna</t>
  </si>
  <si>
    <t>9031367280</t>
  </si>
  <si>
    <t>LONG PATRICIA M</t>
  </si>
  <si>
    <t>Kershner David</t>
  </si>
  <si>
    <t>9031291620</t>
  </si>
  <si>
    <t>JARZABKOWSKI HENRY B</t>
  </si>
  <si>
    <t>00001164353A</t>
  </si>
  <si>
    <t>MED SUPP ANNUALIZED STANDARD</t>
  </si>
  <si>
    <t>MSAS</t>
  </si>
  <si>
    <t>Moody Paulette</t>
  </si>
  <si>
    <t>9031456350</t>
  </si>
  <si>
    <t>Clinton Mark</t>
  </si>
  <si>
    <t>9031539870</t>
  </si>
  <si>
    <t>Dallas Michele</t>
  </si>
  <si>
    <t>9031563720</t>
  </si>
  <si>
    <t>Quaid James</t>
  </si>
  <si>
    <t>9031580060</t>
  </si>
  <si>
    <t>Murray Adam</t>
  </si>
  <si>
    <t>9031582510</t>
  </si>
  <si>
    <t>Bowen Michael</t>
  </si>
  <si>
    <t>9031617040</t>
  </si>
  <si>
    <t>Adams Felicia</t>
  </si>
  <si>
    <t>9032034060</t>
  </si>
  <si>
    <t>Magana-Gutierrez Israel</t>
  </si>
  <si>
    <t>9032293670</t>
  </si>
  <si>
    <t>KOZACHECK ANNE MARIE</t>
  </si>
  <si>
    <t>CHIUSANO MICHAEL A</t>
  </si>
  <si>
    <t>00001123777A</t>
  </si>
  <si>
    <t>MED SUPP ANNUALIZED ACHIEVE</t>
  </si>
  <si>
    <t>MSAA</t>
  </si>
  <si>
    <t>SCOTA TRACY L</t>
  </si>
  <si>
    <t>00001173935A</t>
  </si>
  <si>
    <t>ROCCIA MARK</t>
  </si>
  <si>
    <t>MURPHY ANDREA B</t>
  </si>
  <si>
    <t>00001162461A</t>
  </si>
  <si>
    <t>Humana Dental &amp; Vision</t>
  </si>
  <si>
    <t>Humana Group 2025</t>
  </si>
  <si>
    <t>Humana PDP</t>
  </si>
  <si>
    <t>Humana AL, AZ, AR, GA, etc. Plan N OE &amp; UW</t>
  </si>
  <si>
    <t>Humana 65-80 AL, AZ, AR, GA, etc. All Except N OE &amp; UW</t>
  </si>
  <si>
    <t>Humana Annualized MS OE,UW,GI</t>
  </si>
  <si>
    <t>[%/$=347][prorate=7/12]</t>
  </si>
  <si>
    <t>Humana MAPD 2026*</t>
  </si>
  <si>
    <t>[%/$=347][prorate=9/12]</t>
  </si>
  <si>
    <t>[%/$=347][prorate=6/12]</t>
  </si>
  <si>
    <t>[%/$=347][prorate=5/12]</t>
  </si>
  <si>
    <t>[%/$=347][prorate=12/12]</t>
  </si>
  <si>
    <t>[%/$=347][prorate=3/12]</t>
  </si>
  <si>
    <t>MURPHY</t>
  </si>
  <si>
    <t>ANDREA</t>
  </si>
  <si>
    <t>JARZABKOWSKI</t>
  </si>
  <si>
    <t>HENRY</t>
  </si>
  <si>
    <t>BRACE</t>
  </si>
  <si>
    <t>TIMMY</t>
  </si>
  <si>
    <t>CHIUSANO</t>
  </si>
  <si>
    <t>MICHAEL</t>
  </si>
  <si>
    <t>SCOTA</t>
  </si>
  <si>
    <t>TRACY</t>
  </si>
  <si>
    <t>SCHUBERT</t>
  </si>
  <si>
    <t>DAVID</t>
  </si>
  <si>
    <t>LOPOSSA</t>
  </si>
  <si>
    <t>GREGORY</t>
  </si>
  <si>
    <t>Sloan</t>
  </si>
  <si>
    <t>Edward</t>
  </si>
  <si>
    <t>Schreck</t>
  </si>
  <si>
    <t>Gavin</t>
  </si>
  <si>
    <t>Volpe</t>
  </si>
  <si>
    <t>Vinchenzo</t>
  </si>
  <si>
    <t>Snead</t>
  </si>
  <si>
    <t>Terry</t>
  </si>
  <si>
    <t>Schroeder</t>
  </si>
  <si>
    <t>Robert</t>
  </si>
  <si>
    <t>Hanley</t>
  </si>
  <si>
    <t>Brenna</t>
  </si>
  <si>
    <t>Kershner</t>
  </si>
  <si>
    <t>David</t>
  </si>
  <si>
    <t>Moody</t>
  </si>
  <si>
    <t>Paulette</t>
  </si>
  <si>
    <t>Clinton</t>
  </si>
  <si>
    <t>Mark</t>
  </si>
  <si>
    <t>Dallas</t>
  </si>
  <si>
    <t>Michele</t>
  </si>
  <si>
    <t>Quaid</t>
  </si>
  <si>
    <t>James</t>
  </si>
  <si>
    <t>Murray</t>
  </si>
  <si>
    <t>Adam</t>
  </si>
  <si>
    <t>Bowen</t>
  </si>
  <si>
    <t>Michael</t>
  </si>
  <si>
    <t>Adams</t>
  </si>
  <si>
    <t>Felicia</t>
  </si>
  <si>
    <t>Magana-Gutierrez</t>
  </si>
  <si>
    <t>Israel</t>
  </si>
  <si>
    <t>Elliott</t>
  </si>
  <si>
    <t>Joseph</t>
  </si>
  <si>
    <t>Grychowski</t>
  </si>
  <si>
    <t>Jerry</t>
  </si>
  <si>
    <t>Gerber</t>
  </si>
  <si>
    <t>Elliot</t>
  </si>
  <si>
    <t>Miller</t>
  </si>
  <si>
    <t>Kayla</t>
  </si>
  <si>
    <t>WHOLE</t>
  </si>
  <si>
    <t>OFFICE</t>
  </si>
  <si>
    <t>MARKELONIS</t>
  </si>
  <si>
    <t>ALICE</t>
  </si>
  <si>
    <t>HOBDEN</t>
  </si>
  <si>
    <t>TERESA</t>
  </si>
  <si>
    <t>KOPKA</t>
  </si>
  <si>
    <t>SUE</t>
  </si>
  <si>
    <t>AYKROID</t>
  </si>
  <si>
    <t>SANDRA</t>
  </si>
  <si>
    <t>BROOKS</t>
  </si>
  <si>
    <t>RYAN</t>
  </si>
  <si>
    <t>DRUNGA</t>
  </si>
  <si>
    <t>SALME</t>
  </si>
  <si>
    <t>LEE</t>
  </si>
  <si>
    <t>POLLITT</t>
  </si>
  <si>
    <t>WAYNE</t>
  </si>
  <si>
    <t>WOODARD</t>
  </si>
  <si>
    <t>LISA</t>
  </si>
  <si>
    <t>ARWOOD</t>
  </si>
  <si>
    <t>DARSI</t>
  </si>
  <si>
    <t>GATEWOOD</t>
  </si>
  <si>
    <t>DEBORAH</t>
  </si>
  <si>
    <t>KLUVER</t>
  </si>
  <si>
    <t>ROBERT</t>
  </si>
  <si>
    <t>RIFE</t>
  </si>
  <si>
    <t>TINA</t>
  </si>
  <si>
    <t>CASSELMAN</t>
  </si>
  <si>
    <t>DONALD</t>
  </si>
  <si>
    <t>MORAN</t>
  </si>
  <si>
    <t>ARBAB</t>
  </si>
  <si>
    <t>MOJDEH</t>
  </si>
  <si>
    <t>OLSON</t>
  </si>
  <si>
    <t>KEVIN</t>
  </si>
  <si>
    <t>PALAFOX</t>
  </si>
  <si>
    <t>RUMUALDA</t>
  </si>
  <si>
    <t>SEBANTAY</t>
  </si>
  <si>
    <t>EDITHA</t>
  </si>
  <si>
    <t>SORIANO</t>
  </si>
  <si>
    <t>NILO</t>
  </si>
  <si>
    <t>SWAFFORD</t>
  </si>
  <si>
    <t>BRIAN</t>
  </si>
  <si>
    <t>YI</t>
  </si>
  <si>
    <t>ANNA</t>
  </si>
  <si>
    <t>DOAN</t>
  </si>
  <si>
    <t>KIET</t>
  </si>
  <si>
    <t>19278370old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</si>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</sst>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0" fontId="0" fillId="33" borderId="0" xfId="0" applyNumberFormat="1" applyFill="1" applyAlignment="1">
      <alignment horizontal="left" vertical="top"/>
    </xf>
    <xf numFmtId="0" fontId="0" fillId="34" borderId="0" xfId="0" applyNumberFormat="1" applyFill="1" applyAlignment="1">
      <alignment horizontal="left" vertical="top"/>
    </xf>
    <xf numFmtId="49" fontId="0" fillId="36" borderId="0" xfId="0" applyNumberFormat="1" applyFill="1" applyAlignment="1">
      <alignment horizontal="left" vertical="top"/>
    </xf>
    <xf numFmtId="1" fontId="0" fillId="36" borderId="0" xfId="0" applyNumberFormat="1" applyFill="1"/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49" fontId="0" fillId="37" borderId="0" xfId="0" applyNumberFormat="1" applyFill="1" applyAlignment="1">
      <alignment horizontal="left" vertical="top"/>
    </xf>
    <xf numFmtId="14" fontId="0" fillId="37" borderId="0" xfId="0" applyNumberFormat="1" applyFill="1"/>
    <xf numFmtId="2" fontId="0" fillId="37" borderId="0" xfId="0" applyNumberFormat="1" applyFill="1"/>
    <xf numFmtId="0" fontId="0" fillId="37" borderId="0" xfId="0" applyFill="1"/>
    <xf numFmtId="0" fontId="0" fillId="0" borderId="0" xfId="0" applyFill="1"/>
    <xf numFmtId="49" fontId="0" fillId="0" borderId="0" xfId="0" applyNumberFormat="1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19" fillId="0" borderId="0" xfId="0" applyFont="1" applyFill="1"/>
    <xf numFmtId="0" fontId="19" fillId="33" borderId="0" xfId="0" applyFont="1" applyFill="1"/>
    <xf numFmtId="49" fontId="20" fillId="37" borderId="0" xfId="0" applyNumberFormat="1" applyFont="1" applyFill="1" applyAlignment="1">
      <alignment horizontal="left" vertical="top"/>
    </xf>
    <xf numFmtId="0" fontId="20" fillId="37" borderId="0" xfId="0" applyFont="1" applyFill="1"/>
    <xf numFmtId="14" fontId="20" fillId="37" borderId="0" xfId="0" applyNumberFormat="1" applyFont="1" applyFill="1"/>
    <xf numFmtId="2" fontId="20" fillId="37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CE08-AE4C-4316-9FFB-6CEA7D86AEF2}">
  <dimension ref="A1:AQ58"/>
  <sheetViews>
    <sheetView topLeftCell="L1" workbookViewId="0">
      <selection activeCell="L1" sqref="A1:XFD1048576"/>
    </sheetView>
  </sheetViews>
  <sheetFormatPr defaultRowHeight="13.2" x14ac:dyDescent="0.25"/>
  <cols>
    <col min="1" max="1" width="8.5546875" bestFit="1" customWidth="1"/>
    <col min="2" max="2" width="12.44140625" bestFit="1" customWidth="1"/>
    <col min="3" max="3" width="24.6640625" bestFit="1" customWidth="1"/>
    <col min="4" max="4" width="8.5546875" bestFit="1" customWidth="1"/>
    <col min="5" max="5" width="28.5546875" bestFit="1" customWidth="1"/>
    <col min="6" max="6" width="13.33203125" bestFit="1" customWidth="1"/>
    <col min="7" max="7" width="12.44140625" bestFit="1" customWidth="1"/>
    <col min="8" max="8" width="10.44140625" bestFit="1" customWidth="1"/>
    <col min="9" max="10" width="9.5546875" bestFit="1" customWidth="1"/>
    <col min="11" max="11" width="10.44140625" bestFit="1" customWidth="1"/>
    <col min="12" max="14" width="11.44140625" bestFit="1" customWidth="1"/>
    <col min="15" max="16" width="10.44140625" bestFit="1" customWidth="1"/>
    <col min="17" max="17" width="5.6640625" bestFit="1" customWidth="1"/>
    <col min="18" max="20" width="15.33203125" bestFit="1" customWidth="1"/>
    <col min="21" max="21" width="11.44140625" bestFit="1" customWidth="1"/>
    <col min="22" max="22" width="13.6640625" bestFit="1" customWidth="1"/>
    <col min="23" max="23" width="9.5546875" bestFit="1" customWidth="1"/>
    <col min="24" max="24" width="12.44140625" bestFit="1" customWidth="1"/>
    <col min="25" max="25" width="15.33203125" bestFit="1" customWidth="1"/>
    <col min="26" max="26" width="13.6640625" bestFit="1" customWidth="1"/>
    <col min="27" max="27" width="30.44140625" bestFit="1" customWidth="1"/>
    <col min="28" max="28" width="11.44140625" bestFit="1" customWidth="1"/>
    <col min="29" max="29" width="12.5546875" bestFit="1" customWidth="1"/>
    <col min="30" max="30" width="10.6640625" bestFit="1" customWidth="1"/>
    <col min="31" max="31" width="9.6640625" bestFit="1" customWidth="1"/>
    <col min="32" max="32" width="13.6640625" bestFit="1" customWidth="1"/>
    <col min="33" max="33" width="13.33203125" bestFit="1" customWidth="1"/>
    <col min="34" max="34" width="28.5546875" bestFit="1" customWidth="1"/>
    <col min="35" max="35" width="13.33203125" bestFit="1" customWidth="1"/>
    <col min="36" max="36" width="16.109375" bestFit="1" customWidth="1"/>
    <col min="37" max="37" width="16" bestFit="1" customWidth="1"/>
    <col min="38" max="38" width="15.88671875" bestFit="1" customWidth="1"/>
    <col min="39" max="39" width="11.44140625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2">
        <v>1891456</v>
      </c>
      <c r="B2" s="3">
        <v>46162</v>
      </c>
      <c r="C2" s="4" t="s">
        <v>43</v>
      </c>
      <c r="D2" s="2">
        <v>1466196</v>
      </c>
      <c r="E2" s="4" t="s">
        <v>44</v>
      </c>
      <c r="F2" s="4" t="s">
        <v>45</v>
      </c>
      <c r="G2" s="2">
        <v>291891503</v>
      </c>
      <c r="H2" s="4" t="s">
        <v>46</v>
      </c>
      <c r="I2" s="4" t="s">
        <v>47</v>
      </c>
      <c r="J2" s="4" t="s">
        <v>48</v>
      </c>
      <c r="K2" s="4" t="s">
        <v>49</v>
      </c>
      <c r="L2" s="3">
        <v>46174</v>
      </c>
      <c r="M2" s="4" t="s">
        <v>50</v>
      </c>
      <c r="N2" s="4" t="s">
        <v>47</v>
      </c>
      <c r="O2" s="4" t="s">
        <v>51</v>
      </c>
      <c r="P2" s="4" t="s">
        <v>47</v>
      </c>
      <c r="Q2" s="2">
        <v>1</v>
      </c>
      <c r="R2" s="2">
        <v>17</v>
      </c>
      <c r="S2" s="4" t="s">
        <v>52</v>
      </c>
      <c r="T2" s="4" t="s">
        <v>53</v>
      </c>
      <c r="U2" s="4" t="s">
        <v>47</v>
      </c>
      <c r="V2" s="5">
        <v>-0.57999999999999996</v>
      </c>
      <c r="W2" s="5">
        <v>0</v>
      </c>
      <c r="X2" s="5">
        <v>100</v>
      </c>
      <c r="Y2" s="5">
        <v>-202.42</v>
      </c>
      <c r="Z2" s="4" t="s">
        <v>47</v>
      </c>
      <c r="AA2" s="5" t="s">
        <v>47</v>
      </c>
      <c r="AB2" s="4" t="s">
        <v>54</v>
      </c>
      <c r="AC2" s="4" t="s">
        <v>47</v>
      </c>
      <c r="AD2" s="5">
        <v>0</v>
      </c>
      <c r="AE2" s="4" t="s">
        <v>55</v>
      </c>
      <c r="AF2" s="3">
        <v>46174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56</v>
      </c>
      <c r="AO2" s="4" t="s">
        <v>47</v>
      </c>
      <c r="AP2" s="4" t="s">
        <v>47</v>
      </c>
      <c r="AQ2" s="4" t="s">
        <v>47</v>
      </c>
    </row>
    <row r="3" spans="1:43" x14ac:dyDescent="0.25">
      <c r="A3" s="2">
        <v>1891456</v>
      </c>
      <c r="B3" s="3">
        <v>46162</v>
      </c>
      <c r="C3" s="4" t="s">
        <v>43</v>
      </c>
      <c r="D3" s="2">
        <v>1466196</v>
      </c>
      <c r="E3" s="4" t="s">
        <v>57</v>
      </c>
      <c r="F3" s="4" t="s">
        <v>58</v>
      </c>
      <c r="G3" s="2">
        <v>202274303</v>
      </c>
      <c r="H3" s="4" t="s">
        <v>59</v>
      </c>
      <c r="I3" s="4" t="s">
        <v>47</v>
      </c>
      <c r="J3" s="4" t="s">
        <v>48</v>
      </c>
      <c r="K3" s="4" t="s">
        <v>49</v>
      </c>
      <c r="L3" s="3">
        <v>46174</v>
      </c>
      <c r="M3" s="4" t="s">
        <v>50</v>
      </c>
      <c r="N3" s="4" t="s">
        <v>47</v>
      </c>
      <c r="O3" s="4" t="s">
        <v>51</v>
      </c>
      <c r="P3" s="4" t="s">
        <v>47</v>
      </c>
      <c r="Q3" s="2">
        <v>1</v>
      </c>
      <c r="R3" s="2">
        <v>17</v>
      </c>
      <c r="S3" s="4" t="s">
        <v>52</v>
      </c>
      <c r="T3" s="4" t="s">
        <v>53</v>
      </c>
      <c r="U3" s="4" t="s">
        <v>47</v>
      </c>
      <c r="V3" s="5">
        <v>0.57999999999999996</v>
      </c>
      <c r="W3" s="5">
        <v>0</v>
      </c>
      <c r="X3" s="5">
        <v>100</v>
      </c>
      <c r="Y3" s="5">
        <v>202.42</v>
      </c>
      <c r="Z3" s="4" t="s">
        <v>47</v>
      </c>
      <c r="AA3" s="5" t="s">
        <v>47</v>
      </c>
      <c r="AB3" s="4" t="s">
        <v>54</v>
      </c>
      <c r="AC3" s="4" t="s">
        <v>47</v>
      </c>
      <c r="AD3" s="5">
        <v>0</v>
      </c>
      <c r="AE3" s="4" t="s">
        <v>55</v>
      </c>
      <c r="AF3" s="3">
        <v>46174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56</v>
      </c>
      <c r="AO3" s="4" t="s">
        <v>47</v>
      </c>
      <c r="AP3" s="4" t="s">
        <v>47</v>
      </c>
      <c r="AQ3" s="4" t="s">
        <v>47</v>
      </c>
    </row>
    <row r="4" spans="1:43" x14ac:dyDescent="0.25">
      <c r="A4" s="2">
        <v>1891456</v>
      </c>
      <c r="B4" s="3">
        <v>46162</v>
      </c>
      <c r="C4" s="4" t="s">
        <v>43</v>
      </c>
      <c r="D4" s="2">
        <v>1466196</v>
      </c>
      <c r="E4" s="4" t="s">
        <v>60</v>
      </c>
      <c r="F4" s="4" t="s">
        <v>61</v>
      </c>
      <c r="G4" s="2">
        <v>159098464</v>
      </c>
      <c r="H4" s="4" t="s">
        <v>62</v>
      </c>
      <c r="I4" s="4" t="s">
        <v>47</v>
      </c>
      <c r="J4" s="4" t="s">
        <v>48</v>
      </c>
      <c r="K4" s="4" t="s">
        <v>49</v>
      </c>
      <c r="L4" s="3">
        <v>46174</v>
      </c>
      <c r="M4" s="4" t="s">
        <v>50</v>
      </c>
      <c r="N4" s="4" t="s">
        <v>47</v>
      </c>
      <c r="O4" s="4" t="s">
        <v>51</v>
      </c>
      <c r="P4" s="4" t="s">
        <v>47</v>
      </c>
      <c r="Q4" s="2">
        <v>1</v>
      </c>
      <c r="R4" s="2">
        <v>17</v>
      </c>
      <c r="S4" s="4" t="s">
        <v>52</v>
      </c>
      <c r="T4" s="4" t="s">
        <v>53</v>
      </c>
      <c r="U4" s="4" t="s">
        <v>47</v>
      </c>
      <c r="V4" s="5">
        <v>0.57999999999999996</v>
      </c>
      <c r="W4" s="5">
        <v>0</v>
      </c>
      <c r="X4" s="5">
        <v>100</v>
      </c>
      <c r="Y4" s="5">
        <v>202.42</v>
      </c>
      <c r="Z4" s="4" t="s">
        <v>47</v>
      </c>
      <c r="AA4" s="5" t="s">
        <v>47</v>
      </c>
      <c r="AB4" s="4" t="s">
        <v>54</v>
      </c>
      <c r="AC4" s="4" t="s">
        <v>47</v>
      </c>
      <c r="AD4" s="5">
        <v>0</v>
      </c>
      <c r="AE4" s="4" t="s">
        <v>55</v>
      </c>
      <c r="AF4" s="3">
        <v>46174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56</v>
      </c>
      <c r="AO4" s="4" t="s">
        <v>47</v>
      </c>
      <c r="AP4" s="4" t="s">
        <v>47</v>
      </c>
      <c r="AQ4" s="4" t="s">
        <v>47</v>
      </c>
    </row>
    <row r="5" spans="1:43" x14ac:dyDescent="0.25">
      <c r="A5" s="2">
        <v>1891456</v>
      </c>
      <c r="B5" s="3">
        <v>46162</v>
      </c>
      <c r="C5" s="4" t="s">
        <v>63</v>
      </c>
      <c r="D5" s="2">
        <v>1509770</v>
      </c>
      <c r="E5" s="4" t="s">
        <v>64</v>
      </c>
      <c r="F5" s="4" t="s">
        <v>65</v>
      </c>
      <c r="G5" s="2">
        <v>917429495</v>
      </c>
      <c r="H5" s="4" t="s">
        <v>66</v>
      </c>
      <c r="I5" s="4" t="s">
        <v>47</v>
      </c>
      <c r="J5" s="4" t="s">
        <v>48</v>
      </c>
      <c r="K5" s="4" t="s">
        <v>49</v>
      </c>
      <c r="L5" s="3">
        <v>46023</v>
      </c>
      <c r="M5" s="4" t="s">
        <v>67</v>
      </c>
      <c r="N5" s="4" t="s">
        <v>47</v>
      </c>
      <c r="O5" s="4" t="s">
        <v>51</v>
      </c>
      <c r="P5" s="4" t="s">
        <v>47</v>
      </c>
      <c r="Q5" s="2">
        <v>1</v>
      </c>
      <c r="R5" s="2">
        <v>17</v>
      </c>
      <c r="S5" s="4" t="s">
        <v>52</v>
      </c>
      <c r="T5" s="4" t="s">
        <v>53</v>
      </c>
      <c r="U5" s="4" t="s">
        <v>47</v>
      </c>
      <c r="V5" s="5">
        <v>-0.57999999999999996</v>
      </c>
      <c r="W5" s="5">
        <v>0</v>
      </c>
      <c r="X5" s="5">
        <v>100</v>
      </c>
      <c r="Y5" s="5">
        <v>-202.42</v>
      </c>
      <c r="Z5" s="4" t="s">
        <v>47</v>
      </c>
      <c r="AA5" s="5" t="s">
        <v>47</v>
      </c>
      <c r="AB5" s="4" t="s">
        <v>54</v>
      </c>
      <c r="AC5" s="4" t="s">
        <v>47</v>
      </c>
      <c r="AD5" s="5">
        <v>0</v>
      </c>
      <c r="AE5" s="4" t="s">
        <v>55</v>
      </c>
      <c r="AF5" s="3">
        <v>46023</v>
      </c>
      <c r="AG5" s="4" t="s">
        <v>47</v>
      </c>
      <c r="AH5" s="4" t="s">
        <v>47</v>
      </c>
      <c r="AI5" s="4" t="s">
        <v>47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56</v>
      </c>
      <c r="AO5" s="4" t="s">
        <v>47</v>
      </c>
      <c r="AP5" s="4" t="s">
        <v>47</v>
      </c>
      <c r="AQ5" s="4" t="s">
        <v>47</v>
      </c>
    </row>
    <row r="6" spans="1:43" x14ac:dyDescent="0.25">
      <c r="A6" s="2">
        <v>1891456</v>
      </c>
      <c r="B6" s="3">
        <v>46162</v>
      </c>
      <c r="C6" s="4" t="s">
        <v>63</v>
      </c>
      <c r="D6" s="2">
        <v>1509770</v>
      </c>
      <c r="E6" s="4" t="s">
        <v>68</v>
      </c>
      <c r="F6" s="4" t="s">
        <v>69</v>
      </c>
      <c r="G6" s="2">
        <v>716241214</v>
      </c>
      <c r="H6" s="4" t="s">
        <v>70</v>
      </c>
      <c r="I6" s="4" t="s">
        <v>47</v>
      </c>
      <c r="J6" s="4" t="s">
        <v>48</v>
      </c>
      <c r="K6" s="4" t="s">
        <v>49</v>
      </c>
      <c r="L6" s="3">
        <v>46054</v>
      </c>
      <c r="M6" s="4" t="s">
        <v>71</v>
      </c>
      <c r="N6" s="4" t="s">
        <v>47</v>
      </c>
      <c r="O6" s="4" t="s">
        <v>51</v>
      </c>
      <c r="P6" s="4" t="s">
        <v>47</v>
      </c>
      <c r="Q6" s="2">
        <v>1</v>
      </c>
      <c r="R6" s="2">
        <v>17</v>
      </c>
      <c r="S6" s="4" t="s">
        <v>52</v>
      </c>
      <c r="T6" s="4" t="s">
        <v>53</v>
      </c>
      <c r="U6" s="4" t="s">
        <v>47</v>
      </c>
      <c r="V6" s="5">
        <v>0</v>
      </c>
      <c r="W6" s="5">
        <v>0</v>
      </c>
      <c r="X6" s="5">
        <v>100</v>
      </c>
      <c r="Y6" s="5">
        <v>-260.26</v>
      </c>
      <c r="Z6" s="4" t="s">
        <v>47</v>
      </c>
      <c r="AA6" s="5" t="s">
        <v>47</v>
      </c>
      <c r="AB6" s="4" t="s">
        <v>72</v>
      </c>
      <c r="AC6" s="4" t="s">
        <v>47</v>
      </c>
      <c r="AD6" s="5">
        <v>0</v>
      </c>
      <c r="AE6" s="4" t="s">
        <v>73</v>
      </c>
      <c r="AF6" s="3">
        <v>46054</v>
      </c>
      <c r="AG6" s="4" t="s">
        <v>47</v>
      </c>
      <c r="AH6" s="4" t="s">
        <v>47</v>
      </c>
      <c r="AI6" s="4" t="s">
        <v>47</v>
      </c>
      <c r="AJ6" s="4" t="s">
        <v>47</v>
      </c>
      <c r="AK6" s="4" t="s">
        <v>47</v>
      </c>
      <c r="AL6" s="4" t="s">
        <v>47</v>
      </c>
      <c r="AM6" s="4" t="s">
        <v>47</v>
      </c>
      <c r="AN6" s="4" t="s">
        <v>56</v>
      </c>
      <c r="AO6" s="4" t="s">
        <v>47</v>
      </c>
      <c r="AP6" s="4" t="s">
        <v>47</v>
      </c>
      <c r="AQ6" s="4" t="s">
        <v>47</v>
      </c>
    </row>
    <row r="7" spans="1:43" x14ac:dyDescent="0.25">
      <c r="A7" s="2">
        <v>1891456</v>
      </c>
      <c r="B7" s="3">
        <v>46162</v>
      </c>
      <c r="C7" s="4" t="s">
        <v>63</v>
      </c>
      <c r="D7" s="2">
        <v>1509770</v>
      </c>
      <c r="E7" s="4" t="s">
        <v>68</v>
      </c>
      <c r="F7" s="4" t="s">
        <v>69</v>
      </c>
      <c r="G7" s="2">
        <v>716241214</v>
      </c>
      <c r="H7" s="4" t="s">
        <v>70</v>
      </c>
      <c r="I7" s="4" t="s">
        <v>47</v>
      </c>
      <c r="J7" s="4" t="s">
        <v>48</v>
      </c>
      <c r="K7" s="4" t="s">
        <v>49</v>
      </c>
      <c r="L7" s="3">
        <v>46054</v>
      </c>
      <c r="M7" s="4" t="s">
        <v>71</v>
      </c>
      <c r="N7" s="4" t="s">
        <v>47</v>
      </c>
      <c r="O7" s="4" t="s">
        <v>51</v>
      </c>
      <c r="P7" s="4" t="s">
        <v>47</v>
      </c>
      <c r="Q7" s="2">
        <v>1</v>
      </c>
      <c r="R7" s="2">
        <v>17</v>
      </c>
      <c r="S7" s="4" t="s">
        <v>52</v>
      </c>
      <c r="T7" s="4" t="s">
        <v>53</v>
      </c>
      <c r="U7" s="4" t="s">
        <v>47</v>
      </c>
      <c r="V7" s="5">
        <v>-0.57999999999999996</v>
      </c>
      <c r="W7" s="5">
        <v>0</v>
      </c>
      <c r="X7" s="5">
        <v>100</v>
      </c>
      <c r="Y7" s="5">
        <v>-202.41</v>
      </c>
      <c r="Z7" s="4" t="s">
        <v>47</v>
      </c>
      <c r="AA7" s="5" t="s">
        <v>47</v>
      </c>
      <c r="AB7" s="4" t="s">
        <v>54</v>
      </c>
      <c r="AC7" s="4" t="s">
        <v>47</v>
      </c>
      <c r="AD7" s="5">
        <v>0</v>
      </c>
      <c r="AE7" s="4" t="s">
        <v>55</v>
      </c>
      <c r="AF7" s="3">
        <v>46054</v>
      </c>
      <c r="AG7" s="4" t="s">
        <v>47</v>
      </c>
      <c r="AH7" s="4" t="s">
        <v>47</v>
      </c>
      <c r="AI7" s="4" t="s">
        <v>47</v>
      </c>
      <c r="AJ7" s="4" t="s">
        <v>47</v>
      </c>
      <c r="AK7" s="4" t="s">
        <v>47</v>
      </c>
      <c r="AL7" s="4" t="s">
        <v>47</v>
      </c>
      <c r="AM7" s="4" t="s">
        <v>47</v>
      </c>
      <c r="AN7" s="4" t="s">
        <v>56</v>
      </c>
      <c r="AO7" s="4" t="s">
        <v>47</v>
      </c>
      <c r="AP7" s="4" t="s">
        <v>47</v>
      </c>
      <c r="AQ7" s="4" t="s">
        <v>47</v>
      </c>
    </row>
    <row r="8" spans="1:43" x14ac:dyDescent="0.25">
      <c r="A8" s="2">
        <v>1891456</v>
      </c>
      <c r="B8" s="3">
        <v>46162</v>
      </c>
      <c r="C8" s="4" t="s">
        <v>63</v>
      </c>
      <c r="D8" s="2">
        <v>1509770</v>
      </c>
      <c r="E8" s="4" t="s">
        <v>74</v>
      </c>
      <c r="F8" s="4" t="s">
        <v>75</v>
      </c>
      <c r="G8" s="2">
        <v>376006283</v>
      </c>
      <c r="H8" s="4" t="s">
        <v>76</v>
      </c>
      <c r="I8" s="4" t="s">
        <v>47</v>
      </c>
      <c r="J8" s="4" t="s">
        <v>48</v>
      </c>
      <c r="K8" s="4" t="s">
        <v>49</v>
      </c>
      <c r="L8" s="3">
        <v>46174</v>
      </c>
      <c r="M8" s="4" t="s">
        <v>50</v>
      </c>
      <c r="N8" s="4" t="s">
        <v>47</v>
      </c>
      <c r="O8" s="4" t="s">
        <v>51</v>
      </c>
      <c r="P8" s="4" t="s">
        <v>47</v>
      </c>
      <c r="Q8" s="2">
        <v>1</v>
      </c>
      <c r="R8" s="2">
        <v>17</v>
      </c>
      <c r="S8" s="4" t="s">
        <v>52</v>
      </c>
      <c r="T8" s="4" t="s">
        <v>77</v>
      </c>
      <c r="U8" s="4" t="s">
        <v>47</v>
      </c>
      <c r="V8" s="5">
        <v>0.57999999999999996</v>
      </c>
      <c r="W8" s="5">
        <v>0</v>
      </c>
      <c r="X8" s="5">
        <v>100</v>
      </c>
      <c r="Y8" s="5">
        <v>202.42</v>
      </c>
      <c r="Z8" s="4" t="s">
        <v>47</v>
      </c>
      <c r="AA8" s="5" t="s">
        <v>47</v>
      </c>
      <c r="AB8" s="4" t="s">
        <v>54</v>
      </c>
      <c r="AC8" s="4" t="s">
        <v>47</v>
      </c>
      <c r="AD8" s="5">
        <v>0</v>
      </c>
      <c r="AE8" s="4" t="s">
        <v>55</v>
      </c>
      <c r="AF8" s="3">
        <v>46174</v>
      </c>
      <c r="AG8" s="4" t="s">
        <v>47</v>
      </c>
      <c r="AH8" s="4" t="s">
        <v>47</v>
      </c>
      <c r="AI8" s="4" t="s">
        <v>47</v>
      </c>
      <c r="AJ8" s="4" t="s">
        <v>47</v>
      </c>
      <c r="AK8" s="4" t="s">
        <v>47</v>
      </c>
      <c r="AL8" s="4" t="s">
        <v>47</v>
      </c>
      <c r="AM8" s="4" t="s">
        <v>47</v>
      </c>
      <c r="AN8" s="4" t="s">
        <v>78</v>
      </c>
      <c r="AO8" s="4" t="s">
        <v>47</v>
      </c>
      <c r="AP8" s="4" t="s">
        <v>47</v>
      </c>
      <c r="AQ8" s="4" t="s">
        <v>47</v>
      </c>
    </row>
    <row r="9" spans="1:43" x14ac:dyDescent="0.25">
      <c r="A9" s="2">
        <v>1891456</v>
      </c>
      <c r="B9" s="3">
        <v>46162</v>
      </c>
      <c r="C9" s="4" t="s">
        <v>63</v>
      </c>
      <c r="D9" s="2">
        <v>1509770</v>
      </c>
      <c r="E9" s="4" t="s">
        <v>79</v>
      </c>
      <c r="F9" s="4" t="s">
        <v>80</v>
      </c>
      <c r="G9" s="2">
        <v>133978565</v>
      </c>
      <c r="H9" s="4" t="s">
        <v>81</v>
      </c>
      <c r="I9" s="4" t="s">
        <v>47</v>
      </c>
      <c r="J9" s="4" t="s">
        <v>48</v>
      </c>
      <c r="K9" s="4" t="s">
        <v>49</v>
      </c>
      <c r="L9" s="3">
        <v>46204</v>
      </c>
      <c r="M9" s="4" t="s">
        <v>82</v>
      </c>
      <c r="N9" s="4" t="s">
        <v>47</v>
      </c>
      <c r="O9" s="4" t="s">
        <v>51</v>
      </c>
      <c r="P9" s="4" t="s">
        <v>47</v>
      </c>
      <c r="Q9" s="2">
        <v>1</v>
      </c>
      <c r="R9" s="2">
        <v>17</v>
      </c>
      <c r="S9" s="4" t="s">
        <v>52</v>
      </c>
      <c r="T9" s="4" t="s">
        <v>53</v>
      </c>
      <c r="U9" s="4" t="s">
        <v>47</v>
      </c>
      <c r="V9" s="5">
        <v>0.5</v>
      </c>
      <c r="W9" s="5">
        <v>0</v>
      </c>
      <c r="X9" s="5">
        <v>100</v>
      </c>
      <c r="Y9" s="5">
        <v>173.5</v>
      </c>
      <c r="Z9" s="4" t="s">
        <v>47</v>
      </c>
      <c r="AA9" s="5" t="s">
        <v>47</v>
      </c>
      <c r="AB9" s="4" t="s">
        <v>54</v>
      </c>
      <c r="AC9" s="4" t="s">
        <v>47</v>
      </c>
      <c r="AD9" s="5">
        <v>0</v>
      </c>
      <c r="AE9" s="4" t="s">
        <v>55</v>
      </c>
      <c r="AF9" s="3">
        <v>46204</v>
      </c>
      <c r="AG9" s="4" t="s">
        <v>47</v>
      </c>
      <c r="AH9" s="4" t="s">
        <v>47</v>
      </c>
      <c r="AI9" s="4" t="s">
        <v>47</v>
      </c>
      <c r="AJ9" s="4" t="s">
        <v>47</v>
      </c>
      <c r="AK9" s="4" t="s">
        <v>47</v>
      </c>
      <c r="AL9" s="4" t="s">
        <v>47</v>
      </c>
      <c r="AM9" s="4" t="s">
        <v>47</v>
      </c>
      <c r="AN9" s="4" t="s">
        <v>56</v>
      </c>
      <c r="AO9" s="4" t="s">
        <v>47</v>
      </c>
      <c r="AP9" s="4" t="s">
        <v>47</v>
      </c>
      <c r="AQ9" s="4" t="s">
        <v>47</v>
      </c>
    </row>
    <row r="10" spans="1:43" x14ac:dyDescent="0.25">
      <c r="A10" s="2">
        <v>1891456</v>
      </c>
      <c r="B10" s="3">
        <v>46162</v>
      </c>
      <c r="C10" s="4" t="s">
        <v>63</v>
      </c>
      <c r="D10" s="2">
        <v>1509770</v>
      </c>
      <c r="E10" s="4" t="s">
        <v>83</v>
      </c>
      <c r="F10" s="4" t="s">
        <v>84</v>
      </c>
      <c r="G10" s="2">
        <v>655154594</v>
      </c>
      <c r="H10" s="4" t="s">
        <v>85</v>
      </c>
      <c r="I10" s="4" t="s">
        <v>47</v>
      </c>
      <c r="J10" s="4" t="s">
        <v>48</v>
      </c>
      <c r="K10" s="4" t="s">
        <v>49</v>
      </c>
      <c r="L10" s="3">
        <v>46174</v>
      </c>
      <c r="M10" s="4" t="s">
        <v>50</v>
      </c>
      <c r="N10" s="4" t="s">
        <v>47</v>
      </c>
      <c r="O10" s="4" t="s">
        <v>51</v>
      </c>
      <c r="P10" s="4" t="s">
        <v>47</v>
      </c>
      <c r="Q10" s="2">
        <v>1</v>
      </c>
      <c r="R10" s="2">
        <v>17</v>
      </c>
      <c r="S10" s="4" t="s">
        <v>52</v>
      </c>
      <c r="T10" s="4" t="s">
        <v>53</v>
      </c>
      <c r="U10" s="4" t="s">
        <v>47</v>
      </c>
      <c r="V10" s="5">
        <v>0.57999999999999996</v>
      </c>
      <c r="W10" s="5">
        <v>0</v>
      </c>
      <c r="X10" s="5">
        <v>100</v>
      </c>
      <c r="Y10" s="5">
        <v>202.42</v>
      </c>
      <c r="Z10" s="4" t="s">
        <v>47</v>
      </c>
      <c r="AA10" s="5" t="s">
        <v>47</v>
      </c>
      <c r="AB10" s="4" t="s">
        <v>54</v>
      </c>
      <c r="AC10" s="4" t="s">
        <v>47</v>
      </c>
      <c r="AD10" s="5">
        <v>0</v>
      </c>
      <c r="AE10" s="4" t="s">
        <v>55</v>
      </c>
      <c r="AF10" s="3">
        <v>46174</v>
      </c>
      <c r="AG10" s="4" t="s">
        <v>47</v>
      </c>
      <c r="AH10" s="4" t="s">
        <v>47</v>
      </c>
      <c r="AI10" s="4" t="s">
        <v>47</v>
      </c>
      <c r="AJ10" s="4" t="s">
        <v>47</v>
      </c>
      <c r="AK10" s="4" t="s">
        <v>47</v>
      </c>
      <c r="AL10" s="4" t="s">
        <v>47</v>
      </c>
      <c r="AM10" s="4" t="s">
        <v>47</v>
      </c>
      <c r="AN10" s="4" t="s">
        <v>56</v>
      </c>
      <c r="AO10" s="4" t="s">
        <v>47</v>
      </c>
      <c r="AP10" s="4" t="s">
        <v>47</v>
      </c>
      <c r="AQ10" s="4" t="s">
        <v>47</v>
      </c>
    </row>
    <row r="11" spans="1:43" x14ac:dyDescent="0.25">
      <c r="A11" s="2">
        <v>1891456</v>
      </c>
      <c r="B11" s="3">
        <v>46162</v>
      </c>
      <c r="C11" s="4" t="s">
        <v>63</v>
      </c>
      <c r="D11" s="2">
        <v>1509770</v>
      </c>
      <c r="E11" s="4" t="s">
        <v>86</v>
      </c>
      <c r="F11" s="4" t="s">
        <v>87</v>
      </c>
      <c r="G11" s="2">
        <v>37701443</v>
      </c>
      <c r="H11" s="4" t="s">
        <v>88</v>
      </c>
      <c r="I11" s="4" t="s">
        <v>47</v>
      </c>
      <c r="J11" s="4" t="s">
        <v>48</v>
      </c>
      <c r="K11" s="4" t="s">
        <v>49</v>
      </c>
      <c r="L11" s="3">
        <v>46174</v>
      </c>
      <c r="M11" s="4" t="s">
        <v>50</v>
      </c>
      <c r="N11" s="4" t="s">
        <v>47</v>
      </c>
      <c r="O11" s="4" t="s">
        <v>51</v>
      </c>
      <c r="P11" s="4" t="s">
        <v>47</v>
      </c>
      <c r="Q11" s="2">
        <v>1</v>
      </c>
      <c r="R11" s="2">
        <v>17</v>
      </c>
      <c r="S11" s="4" t="s">
        <v>52</v>
      </c>
      <c r="T11" s="4" t="s">
        <v>53</v>
      </c>
      <c r="U11" s="4" t="s">
        <v>47</v>
      </c>
      <c r="V11" s="5">
        <v>0.57999999999999996</v>
      </c>
      <c r="W11" s="5">
        <v>0</v>
      </c>
      <c r="X11" s="5">
        <v>100</v>
      </c>
      <c r="Y11" s="5">
        <v>202.42</v>
      </c>
      <c r="Z11" s="4" t="s">
        <v>47</v>
      </c>
      <c r="AA11" s="5" t="s">
        <v>47</v>
      </c>
      <c r="AB11" s="4" t="s">
        <v>54</v>
      </c>
      <c r="AC11" s="4" t="s">
        <v>47</v>
      </c>
      <c r="AD11" s="5">
        <v>0</v>
      </c>
      <c r="AE11" s="4" t="s">
        <v>55</v>
      </c>
      <c r="AF11" s="3">
        <v>46174</v>
      </c>
      <c r="AG11" s="4" t="s">
        <v>47</v>
      </c>
      <c r="AH11" s="4" t="s">
        <v>47</v>
      </c>
      <c r="AI11" s="4" t="s">
        <v>47</v>
      </c>
      <c r="AJ11" s="4" t="s">
        <v>47</v>
      </c>
      <c r="AK11" s="4" t="s">
        <v>47</v>
      </c>
      <c r="AL11" s="4" t="s">
        <v>47</v>
      </c>
      <c r="AM11" s="4" t="s">
        <v>47</v>
      </c>
      <c r="AN11" s="4" t="s">
        <v>56</v>
      </c>
      <c r="AO11" s="4" t="s">
        <v>47</v>
      </c>
      <c r="AP11" s="4" t="s">
        <v>47</v>
      </c>
      <c r="AQ11" s="4" t="s">
        <v>47</v>
      </c>
    </row>
    <row r="12" spans="1:43" x14ac:dyDescent="0.25">
      <c r="A12" s="2">
        <v>1891456</v>
      </c>
      <c r="B12" s="3">
        <v>46162</v>
      </c>
      <c r="C12" s="4" t="s">
        <v>89</v>
      </c>
      <c r="D12" s="2">
        <v>1510420</v>
      </c>
      <c r="E12" s="4" t="s">
        <v>90</v>
      </c>
      <c r="F12" s="4" t="s">
        <v>91</v>
      </c>
      <c r="G12" s="2">
        <v>851322590</v>
      </c>
      <c r="H12" s="4" t="s">
        <v>92</v>
      </c>
      <c r="I12" s="4" t="s">
        <v>47</v>
      </c>
      <c r="J12" s="4" t="s">
        <v>48</v>
      </c>
      <c r="K12" s="4" t="s">
        <v>49</v>
      </c>
      <c r="L12" s="3">
        <v>46113</v>
      </c>
      <c r="M12" s="4" t="s">
        <v>93</v>
      </c>
      <c r="N12" s="4" t="s">
        <v>47</v>
      </c>
      <c r="O12" s="4" t="s">
        <v>51</v>
      </c>
      <c r="P12" s="4" t="s">
        <v>47</v>
      </c>
      <c r="Q12" s="2">
        <v>1</v>
      </c>
      <c r="R12" s="2">
        <v>17</v>
      </c>
      <c r="S12" s="4" t="s">
        <v>52</v>
      </c>
      <c r="T12" s="4" t="s">
        <v>77</v>
      </c>
      <c r="U12" s="4" t="s">
        <v>47</v>
      </c>
      <c r="V12" s="5">
        <v>-0.75</v>
      </c>
      <c r="W12" s="5">
        <v>0</v>
      </c>
      <c r="X12" s="5">
        <v>100</v>
      </c>
      <c r="Y12" s="5">
        <v>-260.25</v>
      </c>
      <c r="Z12" s="4" t="s">
        <v>47</v>
      </c>
      <c r="AA12" s="5" t="s">
        <v>47</v>
      </c>
      <c r="AB12" s="4" t="s">
        <v>54</v>
      </c>
      <c r="AC12" s="4" t="s">
        <v>47</v>
      </c>
      <c r="AD12" s="5">
        <v>0</v>
      </c>
      <c r="AE12" s="4" t="s">
        <v>55</v>
      </c>
      <c r="AF12" s="3">
        <v>46113</v>
      </c>
      <c r="AG12" s="4" t="s">
        <v>47</v>
      </c>
      <c r="AH12" s="4" t="s">
        <v>47</v>
      </c>
      <c r="AI12" s="4" t="s">
        <v>47</v>
      </c>
      <c r="AJ12" s="4" t="s">
        <v>47</v>
      </c>
      <c r="AK12" s="4" t="s">
        <v>47</v>
      </c>
      <c r="AL12" s="4" t="s">
        <v>47</v>
      </c>
      <c r="AM12" s="4" t="s">
        <v>47</v>
      </c>
      <c r="AN12" s="4" t="s">
        <v>78</v>
      </c>
      <c r="AO12" s="4" t="s">
        <v>47</v>
      </c>
      <c r="AP12" s="4" t="s">
        <v>47</v>
      </c>
      <c r="AQ12" s="4" t="s">
        <v>47</v>
      </c>
    </row>
    <row r="13" spans="1:43" x14ac:dyDescent="0.25">
      <c r="A13" s="2">
        <v>1891456</v>
      </c>
      <c r="B13" s="3">
        <v>46162</v>
      </c>
      <c r="C13" s="4" t="s">
        <v>94</v>
      </c>
      <c r="D13" s="2">
        <v>1545197</v>
      </c>
      <c r="E13" s="4" t="s">
        <v>95</v>
      </c>
      <c r="F13" s="4" t="s">
        <v>96</v>
      </c>
      <c r="G13" s="2">
        <v>745514354</v>
      </c>
      <c r="H13" s="4" t="s">
        <v>97</v>
      </c>
      <c r="I13" s="4" t="s">
        <v>47</v>
      </c>
      <c r="J13" s="4" t="s">
        <v>48</v>
      </c>
      <c r="K13" s="4" t="s">
        <v>49</v>
      </c>
      <c r="L13" s="3">
        <v>46235</v>
      </c>
      <c r="M13" s="4" t="s">
        <v>98</v>
      </c>
      <c r="N13" s="4" t="s">
        <v>47</v>
      </c>
      <c r="O13" s="4" t="s">
        <v>51</v>
      </c>
      <c r="P13" s="4" t="s">
        <v>47</v>
      </c>
      <c r="Q13" s="2">
        <v>1</v>
      </c>
      <c r="R13" s="2">
        <v>17</v>
      </c>
      <c r="S13" s="4" t="s">
        <v>52</v>
      </c>
      <c r="T13" s="4" t="s">
        <v>53</v>
      </c>
      <c r="U13" s="4" t="s">
        <v>47</v>
      </c>
      <c r="V13" s="5">
        <v>0.42</v>
      </c>
      <c r="W13" s="5">
        <v>0</v>
      </c>
      <c r="X13" s="5">
        <v>100</v>
      </c>
      <c r="Y13" s="5">
        <v>144.58000000000001</v>
      </c>
      <c r="Z13" s="4" t="s">
        <v>47</v>
      </c>
      <c r="AA13" s="5" t="s">
        <v>47</v>
      </c>
      <c r="AB13" s="4" t="s">
        <v>54</v>
      </c>
      <c r="AC13" s="4" t="s">
        <v>47</v>
      </c>
      <c r="AD13" s="5">
        <v>0</v>
      </c>
      <c r="AE13" s="4" t="s">
        <v>55</v>
      </c>
      <c r="AF13" s="3">
        <v>46235</v>
      </c>
      <c r="AG13" s="4" t="s">
        <v>47</v>
      </c>
      <c r="AH13" s="4" t="s">
        <v>47</v>
      </c>
      <c r="AI13" s="4" t="s">
        <v>47</v>
      </c>
      <c r="AJ13" s="4" t="s">
        <v>47</v>
      </c>
      <c r="AK13" s="4" t="s">
        <v>47</v>
      </c>
      <c r="AL13" s="4" t="s">
        <v>47</v>
      </c>
      <c r="AM13" s="4" t="s">
        <v>47</v>
      </c>
      <c r="AN13" s="4" t="s">
        <v>56</v>
      </c>
      <c r="AO13" s="4" t="s">
        <v>47</v>
      </c>
      <c r="AP13" s="4" t="s">
        <v>47</v>
      </c>
      <c r="AQ13" s="4" t="s">
        <v>47</v>
      </c>
    </row>
    <row r="14" spans="1:43" x14ac:dyDescent="0.25">
      <c r="A14" s="2">
        <v>1891456</v>
      </c>
      <c r="B14" s="3">
        <v>46162</v>
      </c>
      <c r="C14" s="4" t="s">
        <v>99</v>
      </c>
      <c r="D14" s="2">
        <v>1703942</v>
      </c>
      <c r="E14" s="4" t="s">
        <v>100</v>
      </c>
      <c r="F14" s="4" t="s">
        <v>101</v>
      </c>
      <c r="G14" s="2">
        <v>333324134</v>
      </c>
      <c r="H14" s="4" t="s">
        <v>102</v>
      </c>
      <c r="I14" s="4" t="s">
        <v>47</v>
      </c>
      <c r="J14" s="4" t="s">
        <v>48</v>
      </c>
      <c r="K14" s="4" t="s">
        <v>49</v>
      </c>
      <c r="L14" s="3">
        <v>46113</v>
      </c>
      <c r="M14" s="4" t="s">
        <v>93</v>
      </c>
      <c r="N14" s="4" t="s">
        <v>47</v>
      </c>
      <c r="O14" s="4" t="s">
        <v>51</v>
      </c>
      <c r="P14" s="4" t="s">
        <v>47</v>
      </c>
      <c r="Q14" s="2">
        <v>1</v>
      </c>
      <c r="R14" s="2">
        <v>17</v>
      </c>
      <c r="S14" s="4" t="s">
        <v>52</v>
      </c>
      <c r="T14" s="4" t="s">
        <v>77</v>
      </c>
      <c r="U14" s="4" t="s">
        <v>47</v>
      </c>
      <c r="V14" s="5">
        <v>0</v>
      </c>
      <c r="W14" s="5">
        <v>0</v>
      </c>
      <c r="X14" s="5">
        <v>100</v>
      </c>
      <c r="Y14" s="5">
        <v>433.75</v>
      </c>
      <c r="Z14" s="4" t="s">
        <v>47</v>
      </c>
      <c r="AA14" s="5" t="s">
        <v>47</v>
      </c>
      <c r="AB14" s="4" t="s">
        <v>72</v>
      </c>
      <c r="AC14" s="4" t="s">
        <v>47</v>
      </c>
      <c r="AD14" s="5">
        <v>0</v>
      </c>
      <c r="AE14" s="4" t="s">
        <v>73</v>
      </c>
      <c r="AF14" s="3">
        <v>46113</v>
      </c>
      <c r="AG14" s="4" t="s">
        <v>47</v>
      </c>
      <c r="AH14" s="4" t="s">
        <v>47</v>
      </c>
      <c r="AI14" s="4" t="s">
        <v>47</v>
      </c>
      <c r="AJ14" s="4" t="s">
        <v>47</v>
      </c>
      <c r="AK14" s="4" t="s">
        <v>47</v>
      </c>
      <c r="AL14" s="4" t="s">
        <v>47</v>
      </c>
      <c r="AM14" s="4" t="s">
        <v>47</v>
      </c>
      <c r="AN14" s="4" t="s">
        <v>103</v>
      </c>
      <c r="AO14" s="4" t="s">
        <v>47</v>
      </c>
      <c r="AP14" s="4" t="s">
        <v>47</v>
      </c>
      <c r="AQ14" s="4" t="s">
        <v>47</v>
      </c>
    </row>
    <row r="15" spans="1:43" x14ac:dyDescent="0.25">
      <c r="A15" s="2">
        <v>1891456</v>
      </c>
      <c r="B15" s="3">
        <v>46162</v>
      </c>
      <c r="C15" s="4" t="s">
        <v>104</v>
      </c>
      <c r="D15" s="2">
        <v>1773696</v>
      </c>
      <c r="E15" s="4" t="s">
        <v>105</v>
      </c>
      <c r="F15" s="4" t="s">
        <v>106</v>
      </c>
      <c r="G15" s="2">
        <v>991329334</v>
      </c>
      <c r="H15" s="4" t="s">
        <v>107</v>
      </c>
      <c r="I15" s="4" t="s">
        <v>47</v>
      </c>
      <c r="J15" s="4" t="s">
        <v>48</v>
      </c>
      <c r="K15" s="4" t="s">
        <v>49</v>
      </c>
      <c r="L15" s="3">
        <v>46023</v>
      </c>
      <c r="M15" s="4" t="s">
        <v>67</v>
      </c>
      <c r="N15" s="4" t="s">
        <v>47</v>
      </c>
      <c r="O15" s="4" t="s">
        <v>51</v>
      </c>
      <c r="P15" s="4" t="s">
        <v>47</v>
      </c>
      <c r="Q15" s="2">
        <v>1</v>
      </c>
      <c r="R15" s="2">
        <v>17</v>
      </c>
      <c r="S15" s="4" t="s">
        <v>52</v>
      </c>
      <c r="T15" s="4" t="s">
        <v>53</v>
      </c>
      <c r="U15" s="4" t="s">
        <v>47</v>
      </c>
      <c r="V15" s="5">
        <v>-0.57999999999999996</v>
      </c>
      <c r="W15" s="5">
        <v>0</v>
      </c>
      <c r="X15" s="5">
        <v>100</v>
      </c>
      <c r="Y15" s="5">
        <v>-202.42</v>
      </c>
      <c r="Z15" s="4" t="s">
        <v>47</v>
      </c>
      <c r="AA15" s="5" t="s">
        <v>47</v>
      </c>
      <c r="AB15" s="4" t="s">
        <v>54</v>
      </c>
      <c r="AC15" s="4" t="s">
        <v>47</v>
      </c>
      <c r="AD15" s="5">
        <v>0</v>
      </c>
      <c r="AE15" s="4" t="s">
        <v>55</v>
      </c>
      <c r="AF15" s="3">
        <v>46023</v>
      </c>
      <c r="AG15" s="4" t="s">
        <v>47</v>
      </c>
      <c r="AH15" s="4" t="s">
        <v>47</v>
      </c>
      <c r="AI15" s="4" t="s">
        <v>47</v>
      </c>
      <c r="AJ15" s="4" t="s">
        <v>47</v>
      </c>
      <c r="AK15" s="4" t="s">
        <v>47</v>
      </c>
      <c r="AL15" s="4" t="s">
        <v>47</v>
      </c>
      <c r="AM15" s="4" t="s">
        <v>47</v>
      </c>
      <c r="AN15" s="4" t="s">
        <v>56</v>
      </c>
      <c r="AO15" s="4" t="s">
        <v>47</v>
      </c>
      <c r="AP15" s="4" t="s">
        <v>47</v>
      </c>
      <c r="AQ15" s="4" t="s">
        <v>47</v>
      </c>
    </row>
    <row r="16" spans="1:43" x14ac:dyDescent="0.25">
      <c r="A16" s="2">
        <v>1891456</v>
      </c>
      <c r="B16" s="3">
        <v>46162</v>
      </c>
      <c r="C16" s="4" t="s">
        <v>108</v>
      </c>
      <c r="D16" s="2">
        <v>1815594</v>
      </c>
      <c r="E16" s="4" t="s">
        <v>109</v>
      </c>
      <c r="F16" s="4" t="s">
        <v>110</v>
      </c>
      <c r="G16" s="2">
        <v>763107284</v>
      </c>
      <c r="H16" s="4" t="s">
        <v>111</v>
      </c>
      <c r="I16" s="4" t="s">
        <v>47</v>
      </c>
      <c r="J16" s="4" t="s">
        <v>48</v>
      </c>
      <c r="K16" s="4" t="s">
        <v>49</v>
      </c>
      <c r="L16" s="3">
        <v>46174</v>
      </c>
      <c r="M16" s="4" t="s">
        <v>50</v>
      </c>
      <c r="N16" s="4" t="s">
        <v>47</v>
      </c>
      <c r="O16" s="4" t="s">
        <v>51</v>
      </c>
      <c r="P16" s="4" t="s">
        <v>47</v>
      </c>
      <c r="Q16" s="2">
        <v>1</v>
      </c>
      <c r="R16" s="2">
        <v>17</v>
      </c>
      <c r="S16" s="4" t="s">
        <v>52</v>
      </c>
      <c r="T16" s="4" t="s">
        <v>53</v>
      </c>
      <c r="U16" s="4" t="s">
        <v>47</v>
      </c>
      <c r="V16" s="5">
        <v>-0.57999999999999996</v>
      </c>
      <c r="W16" s="5">
        <v>0</v>
      </c>
      <c r="X16" s="5">
        <v>100</v>
      </c>
      <c r="Y16" s="5">
        <v>-202.42</v>
      </c>
      <c r="Z16" s="4" t="s">
        <v>47</v>
      </c>
      <c r="AA16" s="5" t="s">
        <v>47</v>
      </c>
      <c r="AB16" s="4" t="s">
        <v>54</v>
      </c>
      <c r="AC16" s="4" t="s">
        <v>47</v>
      </c>
      <c r="AD16" s="5">
        <v>0</v>
      </c>
      <c r="AE16" s="4" t="s">
        <v>55</v>
      </c>
      <c r="AF16" s="3">
        <v>46174</v>
      </c>
      <c r="AG16" s="4" t="s">
        <v>47</v>
      </c>
      <c r="AH16" s="4" t="s">
        <v>47</v>
      </c>
      <c r="AI16" s="4" t="s">
        <v>47</v>
      </c>
      <c r="AJ16" s="4" t="s">
        <v>47</v>
      </c>
      <c r="AK16" s="4" t="s">
        <v>47</v>
      </c>
      <c r="AL16" s="4" t="s">
        <v>47</v>
      </c>
      <c r="AM16" s="4" t="s">
        <v>47</v>
      </c>
      <c r="AN16" s="4" t="s">
        <v>56</v>
      </c>
      <c r="AO16" s="4" t="s">
        <v>47</v>
      </c>
      <c r="AP16" s="4" t="s">
        <v>47</v>
      </c>
      <c r="AQ16" s="4" t="s">
        <v>47</v>
      </c>
    </row>
    <row r="17" spans="1:43" x14ac:dyDescent="0.25">
      <c r="A17" s="2">
        <v>1891456</v>
      </c>
      <c r="B17" s="3">
        <v>46162</v>
      </c>
      <c r="C17" s="4" t="s">
        <v>112</v>
      </c>
      <c r="D17" s="2">
        <v>1829636</v>
      </c>
      <c r="E17" s="4" t="s">
        <v>113</v>
      </c>
      <c r="F17" s="4" t="s">
        <v>114</v>
      </c>
      <c r="G17" s="2">
        <v>862066493</v>
      </c>
      <c r="H17" s="4" t="s">
        <v>115</v>
      </c>
      <c r="I17" s="4" t="s">
        <v>47</v>
      </c>
      <c r="J17" s="4" t="s">
        <v>48</v>
      </c>
      <c r="K17" s="4" t="s">
        <v>49</v>
      </c>
      <c r="L17" s="3">
        <v>46174</v>
      </c>
      <c r="M17" s="4" t="s">
        <v>50</v>
      </c>
      <c r="N17" s="4" t="s">
        <v>47</v>
      </c>
      <c r="O17" s="4" t="s">
        <v>51</v>
      </c>
      <c r="P17" s="4" t="s">
        <v>47</v>
      </c>
      <c r="Q17" s="2">
        <v>1</v>
      </c>
      <c r="R17" s="2">
        <v>17</v>
      </c>
      <c r="S17" s="4" t="s">
        <v>52</v>
      </c>
      <c r="T17" s="4" t="s">
        <v>77</v>
      </c>
      <c r="U17" s="4" t="s">
        <v>47</v>
      </c>
      <c r="V17" s="5">
        <v>0.57999999999999996</v>
      </c>
      <c r="W17" s="5">
        <v>0</v>
      </c>
      <c r="X17" s="5">
        <v>100</v>
      </c>
      <c r="Y17" s="5">
        <v>202.42</v>
      </c>
      <c r="Z17" s="4" t="s">
        <v>47</v>
      </c>
      <c r="AA17" s="5" t="s">
        <v>47</v>
      </c>
      <c r="AB17" s="4" t="s">
        <v>54</v>
      </c>
      <c r="AC17" s="4" t="s">
        <v>47</v>
      </c>
      <c r="AD17" s="5">
        <v>0</v>
      </c>
      <c r="AE17" s="4" t="s">
        <v>55</v>
      </c>
      <c r="AF17" s="3">
        <v>46174</v>
      </c>
      <c r="AG17" s="4" t="s">
        <v>47</v>
      </c>
      <c r="AH17" s="4" t="s">
        <v>47</v>
      </c>
      <c r="AI17" s="4" t="s">
        <v>47</v>
      </c>
      <c r="AJ17" s="4" t="s">
        <v>47</v>
      </c>
      <c r="AK17" s="4" t="s">
        <v>47</v>
      </c>
      <c r="AL17" s="4" t="s">
        <v>47</v>
      </c>
      <c r="AM17" s="4" t="s">
        <v>47</v>
      </c>
      <c r="AN17" s="4" t="s">
        <v>116</v>
      </c>
      <c r="AO17" s="4" t="s">
        <v>47</v>
      </c>
      <c r="AP17" s="4" t="s">
        <v>47</v>
      </c>
      <c r="AQ17" s="4" t="s">
        <v>47</v>
      </c>
    </row>
    <row r="18" spans="1:43" x14ac:dyDescent="0.25">
      <c r="A18" s="2">
        <v>1891456</v>
      </c>
      <c r="B18" s="3">
        <v>46162</v>
      </c>
      <c r="C18" s="4" t="s">
        <v>117</v>
      </c>
      <c r="D18" s="2">
        <v>1831320</v>
      </c>
      <c r="E18" s="4" t="s">
        <v>118</v>
      </c>
      <c r="F18" s="4" t="s">
        <v>119</v>
      </c>
      <c r="G18" s="2">
        <v>512835344</v>
      </c>
      <c r="H18" s="4" t="s">
        <v>120</v>
      </c>
      <c r="I18" s="4" t="s">
        <v>47</v>
      </c>
      <c r="J18" s="4" t="s">
        <v>48</v>
      </c>
      <c r="K18" s="4" t="s">
        <v>49</v>
      </c>
      <c r="L18" s="3">
        <v>46143</v>
      </c>
      <c r="M18" s="4" t="s">
        <v>121</v>
      </c>
      <c r="N18" s="4" t="s">
        <v>47</v>
      </c>
      <c r="O18" s="4" t="s">
        <v>51</v>
      </c>
      <c r="P18" s="4" t="s">
        <v>47</v>
      </c>
      <c r="Q18" s="2">
        <v>1</v>
      </c>
      <c r="R18" s="2">
        <v>17</v>
      </c>
      <c r="S18" s="4" t="s">
        <v>52</v>
      </c>
      <c r="T18" s="4" t="s">
        <v>77</v>
      </c>
      <c r="U18" s="4" t="s">
        <v>47</v>
      </c>
      <c r="V18" s="5">
        <v>0</v>
      </c>
      <c r="W18" s="5">
        <v>0</v>
      </c>
      <c r="X18" s="5">
        <v>100</v>
      </c>
      <c r="Y18" s="5">
        <v>-202.43</v>
      </c>
      <c r="Z18" s="4" t="s">
        <v>47</v>
      </c>
      <c r="AA18" s="5" t="s">
        <v>47</v>
      </c>
      <c r="AB18" s="4" t="s">
        <v>72</v>
      </c>
      <c r="AC18" s="4" t="s">
        <v>47</v>
      </c>
      <c r="AD18" s="5">
        <v>0</v>
      </c>
      <c r="AE18" s="4" t="s">
        <v>73</v>
      </c>
      <c r="AF18" s="3">
        <v>46143</v>
      </c>
      <c r="AG18" s="4" t="s">
        <v>47</v>
      </c>
      <c r="AH18" s="4" t="s">
        <v>47</v>
      </c>
      <c r="AI18" s="4" t="s">
        <v>47</v>
      </c>
      <c r="AJ18" s="4" t="s">
        <v>47</v>
      </c>
      <c r="AK18" s="4" t="s">
        <v>47</v>
      </c>
      <c r="AL18" s="4" t="s">
        <v>47</v>
      </c>
      <c r="AM18" s="4" t="s">
        <v>47</v>
      </c>
      <c r="AN18" s="4" t="s">
        <v>122</v>
      </c>
      <c r="AO18" s="4" t="s">
        <v>47</v>
      </c>
      <c r="AP18" s="4" t="s">
        <v>47</v>
      </c>
      <c r="AQ18" s="4" t="s">
        <v>47</v>
      </c>
    </row>
    <row r="19" spans="1:43" x14ac:dyDescent="0.25">
      <c r="A19" s="2">
        <v>1891456</v>
      </c>
      <c r="B19" s="3">
        <v>46162</v>
      </c>
      <c r="C19" s="4" t="s">
        <v>117</v>
      </c>
      <c r="D19" s="2">
        <v>1831320</v>
      </c>
      <c r="E19" s="4" t="s">
        <v>118</v>
      </c>
      <c r="F19" s="4" t="s">
        <v>119</v>
      </c>
      <c r="G19" s="2">
        <v>512835344</v>
      </c>
      <c r="H19" s="4" t="s">
        <v>120</v>
      </c>
      <c r="I19" s="4" t="s">
        <v>47</v>
      </c>
      <c r="J19" s="4" t="s">
        <v>48</v>
      </c>
      <c r="K19" s="4" t="s">
        <v>49</v>
      </c>
      <c r="L19" s="3">
        <v>46143</v>
      </c>
      <c r="M19" s="4" t="s">
        <v>121</v>
      </c>
      <c r="N19" s="4" t="s">
        <v>47</v>
      </c>
      <c r="O19" s="4" t="s">
        <v>51</v>
      </c>
      <c r="P19" s="4" t="s">
        <v>47</v>
      </c>
      <c r="Q19" s="2">
        <v>1</v>
      </c>
      <c r="R19" s="2">
        <v>17</v>
      </c>
      <c r="S19" s="4" t="s">
        <v>52</v>
      </c>
      <c r="T19" s="4" t="s">
        <v>77</v>
      </c>
      <c r="U19" s="4" t="s">
        <v>47</v>
      </c>
      <c r="V19" s="5">
        <v>-0.57999999999999996</v>
      </c>
      <c r="W19" s="5">
        <v>0</v>
      </c>
      <c r="X19" s="5">
        <v>100</v>
      </c>
      <c r="Y19" s="5">
        <v>-202.41</v>
      </c>
      <c r="Z19" s="4" t="s">
        <v>47</v>
      </c>
      <c r="AA19" s="5" t="s">
        <v>47</v>
      </c>
      <c r="AB19" s="4" t="s">
        <v>54</v>
      </c>
      <c r="AC19" s="4" t="s">
        <v>47</v>
      </c>
      <c r="AD19" s="5">
        <v>0</v>
      </c>
      <c r="AE19" s="4" t="s">
        <v>55</v>
      </c>
      <c r="AF19" s="3">
        <v>46143</v>
      </c>
      <c r="AG19" s="4" t="s">
        <v>47</v>
      </c>
      <c r="AH19" s="4" t="s">
        <v>47</v>
      </c>
      <c r="AI19" s="4" t="s">
        <v>47</v>
      </c>
      <c r="AJ19" s="4" t="s">
        <v>47</v>
      </c>
      <c r="AK19" s="4" t="s">
        <v>47</v>
      </c>
      <c r="AL19" s="4" t="s">
        <v>47</v>
      </c>
      <c r="AM19" s="4" t="s">
        <v>47</v>
      </c>
      <c r="AN19" s="4" t="s">
        <v>122</v>
      </c>
      <c r="AO19" s="4" t="s">
        <v>47</v>
      </c>
      <c r="AP19" s="4" t="s">
        <v>47</v>
      </c>
      <c r="AQ19" s="4" t="s">
        <v>47</v>
      </c>
    </row>
    <row r="20" spans="1:43" x14ac:dyDescent="0.25">
      <c r="A20" s="2">
        <v>1891456</v>
      </c>
      <c r="B20" s="3">
        <v>46162</v>
      </c>
      <c r="C20" s="4" t="s">
        <v>117</v>
      </c>
      <c r="D20" s="2">
        <v>1831320</v>
      </c>
      <c r="E20" s="4" t="s">
        <v>123</v>
      </c>
      <c r="F20" s="4" t="s">
        <v>124</v>
      </c>
      <c r="G20" s="2">
        <v>657130430</v>
      </c>
      <c r="H20" s="4" t="s">
        <v>125</v>
      </c>
      <c r="I20" s="4" t="s">
        <v>47</v>
      </c>
      <c r="J20" s="4" t="s">
        <v>48</v>
      </c>
      <c r="K20" s="4" t="s">
        <v>49</v>
      </c>
      <c r="L20" s="3">
        <v>46235</v>
      </c>
      <c r="M20" s="4" t="s">
        <v>98</v>
      </c>
      <c r="N20" s="4" t="s">
        <v>47</v>
      </c>
      <c r="O20" s="4" t="s">
        <v>51</v>
      </c>
      <c r="P20" s="4" t="s">
        <v>47</v>
      </c>
      <c r="Q20" s="2">
        <v>1</v>
      </c>
      <c r="R20" s="2">
        <v>17</v>
      </c>
      <c r="S20" s="4" t="s">
        <v>52</v>
      </c>
      <c r="T20" s="4" t="s">
        <v>53</v>
      </c>
      <c r="U20" s="4" t="s">
        <v>47</v>
      </c>
      <c r="V20" s="5">
        <v>0.42</v>
      </c>
      <c r="W20" s="5">
        <v>0</v>
      </c>
      <c r="X20" s="5">
        <v>100</v>
      </c>
      <c r="Y20" s="5">
        <v>144.58000000000001</v>
      </c>
      <c r="Z20" s="4" t="s">
        <v>47</v>
      </c>
      <c r="AA20" s="5" t="s">
        <v>47</v>
      </c>
      <c r="AB20" s="4" t="s">
        <v>54</v>
      </c>
      <c r="AC20" s="4" t="s">
        <v>47</v>
      </c>
      <c r="AD20" s="5">
        <v>0</v>
      </c>
      <c r="AE20" s="4" t="s">
        <v>55</v>
      </c>
      <c r="AF20" s="3">
        <v>46235</v>
      </c>
      <c r="AG20" s="4" t="s">
        <v>47</v>
      </c>
      <c r="AH20" s="4" t="s">
        <v>47</v>
      </c>
      <c r="AI20" s="4" t="s">
        <v>47</v>
      </c>
      <c r="AJ20" s="4" t="s">
        <v>47</v>
      </c>
      <c r="AK20" s="4" t="s">
        <v>47</v>
      </c>
      <c r="AL20" s="4" t="s">
        <v>47</v>
      </c>
      <c r="AM20" s="4" t="s">
        <v>47</v>
      </c>
      <c r="AN20" s="4" t="s">
        <v>56</v>
      </c>
      <c r="AO20" s="4" t="s">
        <v>47</v>
      </c>
      <c r="AP20" s="4" t="s">
        <v>47</v>
      </c>
      <c r="AQ20" s="4" t="s">
        <v>47</v>
      </c>
    </row>
    <row r="21" spans="1:43" x14ac:dyDescent="0.25">
      <c r="A21" s="2">
        <v>1891456</v>
      </c>
      <c r="B21" s="3">
        <v>46162</v>
      </c>
      <c r="C21" s="4" t="s">
        <v>126</v>
      </c>
      <c r="D21" s="2">
        <v>1831491</v>
      </c>
      <c r="E21" s="4" t="s">
        <v>127</v>
      </c>
      <c r="F21" s="4" t="s">
        <v>128</v>
      </c>
      <c r="G21" s="2">
        <v>305613359</v>
      </c>
      <c r="H21" s="4" t="s">
        <v>129</v>
      </c>
      <c r="I21" s="4" t="s">
        <v>47</v>
      </c>
      <c r="J21" s="4" t="s">
        <v>48</v>
      </c>
      <c r="K21" s="4" t="s">
        <v>49</v>
      </c>
      <c r="L21" s="3">
        <v>46204</v>
      </c>
      <c r="M21" s="4" t="s">
        <v>82</v>
      </c>
      <c r="N21" s="4" t="s">
        <v>47</v>
      </c>
      <c r="O21" s="4" t="s">
        <v>51</v>
      </c>
      <c r="P21" s="4" t="s">
        <v>47</v>
      </c>
      <c r="Q21" s="2">
        <v>1</v>
      </c>
      <c r="R21" s="2">
        <v>17</v>
      </c>
      <c r="S21" s="4" t="s">
        <v>52</v>
      </c>
      <c r="T21" s="4" t="s">
        <v>77</v>
      </c>
      <c r="U21" s="4" t="s">
        <v>47</v>
      </c>
      <c r="V21" s="5">
        <v>0.5</v>
      </c>
      <c r="W21" s="5">
        <v>0</v>
      </c>
      <c r="X21" s="5">
        <v>100</v>
      </c>
      <c r="Y21" s="5">
        <v>173.5</v>
      </c>
      <c r="Z21" s="4" t="s">
        <v>47</v>
      </c>
      <c r="AA21" s="5" t="s">
        <v>47</v>
      </c>
      <c r="AB21" s="4" t="s">
        <v>54</v>
      </c>
      <c r="AC21" s="4" t="s">
        <v>47</v>
      </c>
      <c r="AD21" s="5">
        <v>0</v>
      </c>
      <c r="AE21" s="4" t="s">
        <v>55</v>
      </c>
      <c r="AF21" s="3">
        <v>46204</v>
      </c>
      <c r="AG21" s="4" t="s">
        <v>47</v>
      </c>
      <c r="AH21" s="4" t="s">
        <v>47</v>
      </c>
      <c r="AI21" s="4" t="s">
        <v>47</v>
      </c>
      <c r="AJ21" s="4" t="s">
        <v>47</v>
      </c>
      <c r="AK21" s="4" t="s">
        <v>47</v>
      </c>
      <c r="AL21" s="4" t="s">
        <v>47</v>
      </c>
      <c r="AM21" s="4" t="s">
        <v>47</v>
      </c>
      <c r="AN21" s="4" t="s">
        <v>122</v>
      </c>
      <c r="AO21" s="4" t="s">
        <v>47</v>
      </c>
      <c r="AP21" s="4" t="s">
        <v>47</v>
      </c>
      <c r="AQ21" s="4" t="s">
        <v>47</v>
      </c>
    </row>
    <row r="22" spans="1:43" x14ac:dyDescent="0.25">
      <c r="A22" s="2">
        <v>1891456</v>
      </c>
      <c r="B22" s="3">
        <v>46162</v>
      </c>
      <c r="C22" s="4" t="s">
        <v>130</v>
      </c>
      <c r="D22" s="2">
        <v>1832195</v>
      </c>
      <c r="E22" s="4" t="s">
        <v>131</v>
      </c>
      <c r="F22" s="4" t="s">
        <v>132</v>
      </c>
      <c r="G22" s="2">
        <v>190179727</v>
      </c>
      <c r="H22" s="4" t="s">
        <v>133</v>
      </c>
      <c r="I22" s="4" t="s">
        <v>47</v>
      </c>
      <c r="J22" s="4" t="s">
        <v>48</v>
      </c>
      <c r="K22" s="4" t="s">
        <v>49</v>
      </c>
      <c r="L22" s="3">
        <v>46143</v>
      </c>
      <c r="M22" s="4" t="s">
        <v>121</v>
      </c>
      <c r="N22" s="4" t="s">
        <v>47</v>
      </c>
      <c r="O22" s="4" t="s">
        <v>51</v>
      </c>
      <c r="P22" s="4" t="s">
        <v>47</v>
      </c>
      <c r="Q22" s="2">
        <v>1</v>
      </c>
      <c r="R22" s="2">
        <v>17</v>
      </c>
      <c r="S22" s="4" t="s">
        <v>52</v>
      </c>
      <c r="T22" s="4" t="s">
        <v>53</v>
      </c>
      <c r="U22" s="4" t="s">
        <v>47</v>
      </c>
      <c r="V22" s="5">
        <v>0</v>
      </c>
      <c r="W22" s="5">
        <v>0</v>
      </c>
      <c r="X22" s="5">
        <v>100</v>
      </c>
      <c r="Y22" s="5">
        <v>-121.33</v>
      </c>
      <c r="Z22" s="4" t="s">
        <v>47</v>
      </c>
      <c r="AA22" s="5" t="s">
        <v>47</v>
      </c>
      <c r="AB22" s="4" t="s">
        <v>54</v>
      </c>
      <c r="AC22" s="4" t="s">
        <v>47</v>
      </c>
      <c r="AD22" s="5">
        <v>0</v>
      </c>
      <c r="AE22" s="4" t="s">
        <v>55</v>
      </c>
      <c r="AF22" s="3">
        <v>46143</v>
      </c>
      <c r="AG22" s="4" t="s">
        <v>47</v>
      </c>
      <c r="AH22" s="4" t="s">
        <v>47</v>
      </c>
      <c r="AI22" s="4" t="s">
        <v>47</v>
      </c>
      <c r="AJ22" s="4" t="s">
        <v>47</v>
      </c>
      <c r="AK22" s="4" t="s">
        <v>47</v>
      </c>
      <c r="AL22" s="4" t="s">
        <v>47</v>
      </c>
      <c r="AM22" s="4" t="s">
        <v>47</v>
      </c>
      <c r="AN22" s="4" t="s">
        <v>56</v>
      </c>
      <c r="AO22" s="4" t="s">
        <v>47</v>
      </c>
      <c r="AP22" s="4" t="s">
        <v>47</v>
      </c>
      <c r="AQ22" s="4" t="s">
        <v>47</v>
      </c>
    </row>
    <row r="23" spans="1:43" x14ac:dyDescent="0.25">
      <c r="A23" s="2">
        <v>1891456</v>
      </c>
      <c r="B23" s="3">
        <v>46162</v>
      </c>
      <c r="C23" s="4" t="s">
        <v>134</v>
      </c>
      <c r="D23" s="2">
        <v>1855975</v>
      </c>
      <c r="E23" s="4" t="s">
        <v>135</v>
      </c>
      <c r="F23" s="4" t="s">
        <v>136</v>
      </c>
      <c r="G23" s="2">
        <v>926233361</v>
      </c>
      <c r="H23" s="4" t="s">
        <v>137</v>
      </c>
      <c r="I23" s="4" t="s">
        <v>47</v>
      </c>
      <c r="J23" s="4" t="s">
        <v>48</v>
      </c>
      <c r="K23" s="4" t="s">
        <v>49</v>
      </c>
      <c r="L23" s="3">
        <v>46023</v>
      </c>
      <c r="M23" s="4" t="s">
        <v>67</v>
      </c>
      <c r="N23" s="4" t="s">
        <v>47</v>
      </c>
      <c r="O23" s="4" t="s">
        <v>51</v>
      </c>
      <c r="P23" s="4" t="s">
        <v>47</v>
      </c>
      <c r="Q23" s="2">
        <v>1</v>
      </c>
      <c r="R23" s="2">
        <v>17</v>
      </c>
      <c r="S23" s="4" t="s">
        <v>52</v>
      </c>
      <c r="T23" s="4" t="s">
        <v>138</v>
      </c>
      <c r="U23" s="4" t="s">
        <v>47</v>
      </c>
      <c r="V23" s="5">
        <v>-0.57999999999999996</v>
      </c>
      <c r="W23" s="5">
        <v>0</v>
      </c>
      <c r="X23" s="5">
        <v>100</v>
      </c>
      <c r="Y23" s="5">
        <v>-202.42</v>
      </c>
      <c r="Z23" s="4" t="s">
        <v>47</v>
      </c>
      <c r="AA23" s="5" t="s">
        <v>47</v>
      </c>
      <c r="AB23" s="4" t="s">
        <v>54</v>
      </c>
      <c r="AC23" s="4" t="s">
        <v>47</v>
      </c>
      <c r="AD23" s="5">
        <v>0</v>
      </c>
      <c r="AE23" s="4" t="s">
        <v>55</v>
      </c>
      <c r="AF23" s="3">
        <v>46023</v>
      </c>
      <c r="AG23" s="4" t="s">
        <v>47</v>
      </c>
      <c r="AH23" s="4" t="s">
        <v>47</v>
      </c>
      <c r="AI23" s="4" t="s">
        <v>47</v>
      </c>
      <c r="AJ23" s="4" t="s">
        <v>47</v>
      </c>
      <c r="AK23" s="4" t="s">
        <v>47</v>
      </c>
      <c r="AL23" s="4" t="s">
        <v>47</v>
      </c>
      <c r="AM23" s="4" t="s">
        <v>47</v>
      </c>
      <c r="AN23" s="4" t="s">
        <v>139</v>
      </c>
      <c r="AO23" s="4" t="s">
        <v>47</v>
      </c>
      <c r="AP23" s="4" t="s">
        <v>47</v>
      </c>
      <c r="AQ23" s="4" t="s">
        <v>47</v>
      </c>
    </row>
    <row r="24" spans="1:43" x14ac:dyDescent="0.25">
      <c r="A24" s="2">
        <v>1891456</v>
      </c>
      <c r="B24" s="3">
        <v>46162</v>
      </c>
      <c r="C24" s="4" t="s">
        <v>140</v>
      </c>
      <c r="D24" s="2">
        <v>1863964</v>
      </c>
      <c r="E24" s="4" t="s">
        <v>141</v>
      </c>
      <c r="F24" s="4" t="s">
        <v>142</v>
      </c>
      <c r="G24" s="2">
        <v>77290113</v>
      </c>
      <c r="H24" s="4" t="s">
        <v>143</v>
      </c>
      <c r="I24" s="4" t="s">
        <v>47</v>
      </c>
      <c r="J24" s="4" t="s">
        <v>48</v>
      </c>
      <c r="K24" s="4" t="s">
        <v>49</v>
      </c>
      <c r="L24" s="3">
        <v>46235</v>
      </c>
      <c r="M24" s="4" t="s">
        <v>98</v>
      </c>
      <c r="N24" s="4" t="s">
        <v>47</v>
      </c>
      <c r="O24" s="4" t="s">
        <v>51</v>
      </c>
      <c r="P24" s="4" t="s">
        <v>47</v>
      </c>
      <c r="Q24" s="2">
        <v>1</v>
      </c>
      <c r="R24" s="2">
        <v>17</v>
      </c>
      <c r="S24" s="4" t="s">
        <v>52</v>
      </c>
      <c r="T24" s="4" t="s">
        <v>53</v>
      </c>
      <c r="U24" s="4" t="s">
        <v>47</v>
      </c>
      <c r="V24" s="5">
        <v>0.42</v>
      </c>
      <c r="W24" s="5">
        <v>0</v>
      </c>
      <c r="X24" s="5">
        <v>100</v>
      </c>
      <c r="Y24" s="5">
        <v>144.58000000000001</v>
      </c>
      <c r="Z24" s="4" t="s">
        <v>47</v>
      </c>
      <c r="AA24" s="5" t="s">
        <v>47</v>
      </c>
      <c r="AB24" s="4" t="s">
        <v>54</v>
      </c>
      <c r="AC24" s="4" t="s">
        <v>47</v>
      </c>
      <c r="AD24" s="5">
        <v>0</v>
      </c>
      <c r="AE24" s="4" t="s">
        <v>55</v>
      </c>
      <c r="AF24" s="3">
        <v>46235</v>
      </c>
      <c r="AG24" s="4" t="s">
        <v>47</v>
      </c>
      <c r="AH24" s="4" t="s">
        <v>47</v>
      </c>
      <c r="AI24" s="4" t="s">
        <v>47</v>
      </c>
      <c r="AJ24" s="4" t="s">
        <v>47</v>
      </c>
      <c r="AK24" s="4" t="s">
        <v>47</v>
      </c>
      <c r="AL24" s="4" t="s">
        <v>47</v>
      </c>
      <c r="AM24" s="4" t="s">
        <v>47</v>
      </c>
      <c r="AN24" s="4" t="s">
        <v>56</v>
      </c>
      <c r="AO24" s="4" t="s">
        <v>47</v>
      </c>
      <c r="AP24" s="4" t="s">
        <v>47</v>
      </c>
      <c r="AQ24" s="4" t="s">
        <v>47</v>
      </c>
    </row>
    <row r="25" spans="1:43" x14ac:dyDescent="0.25">
      <c r="A25" s="2">
        <v>1891456</v>
      </c>
      <c r="B25" s="3">
        <v>46162</v>
      </c>
      <c r="C25" s="4" t="s">
        <v>144</v>
      </c>
      <c r="D25" s="2">
        <v>1903197</v>
      </c>
      <c r="E25" s="4" t="s">
        <v>145</v>
      </c>
      <c r="F25" s="4" t="s">
        <v>146</v>
      </c>
      <c r="G25" s="2">
        <v>29502513</v>
      </c>
      <c r="H25" s="4" t="s">
        <v>147</v>
      </c>
      <c r="I25" s="4" t="s">
        <v>47</v>
      </c>
      <c r="J25" s="4" t="s">
        <v>48</v>
      </c>
      <c r="K25" s="4" t="s">
        <v>49</v>
      </c>
      <c r="L25" s="3">
        <v>46143</v>
      </c>
      <c r="M25" s="4" t="s">
        <v>121</v>
      </c>
      <c r="N25" s="4" t="s">
        <v>47</v>
      </c>
      <c r="O25" s="4" t="s">
        <v>51</v>
      </c>
      <c r="P25" s="4" t="s">
        <v>47</v>
      </c>
      <c r="Q25" s="2">
        <v>1</v>
      </c>
      <c r="R25" s="2">
        <v>17</v>
      </c>
      <c r="S25" s="4" t="s">
        <v>52</v>
      </c>
      <c r="T25" s="4" t="s">
        <v>53</v>
      </c>
      <c r="U25" s="4" t="s">
        <v>47</v>
      </c>
      <c r="V25" s="5">
        <v>0</v>
      </c>
      <c r="W25" s="5">
        <v>0</v>
      </c>
      <c r="X25" s="5">
        <v>100</v>
      </c>
      <c r="Y25" s="5">
        <v>-121.33</v>
      </c>
      <c r="Z25" s="4" t="s">
        <v>47</v>
      </c>
      <c r="AA25" s="5" t="s">
        <v>47</v>
      </c>
      <c r="AB25" s="4" t="s">
        <v>54</v>
      </c>
      <c r="AC25" s="4" t="s">
        <v>47</v>
      </c>
      <c r="AD25" s="5">
        <v>0</v>
      </c>
      <c r="AE25" s="4" t="s">
        <v>55</v>
      </c>
      <c r="AF25" s="3">
        <v>46143</v>
      </c>
      <c r="AG25" s="4" t="s">
        <v>47</v>
      </c>
      <c r="AH25" s="4" t="s">
        <v>47</v>
      </c>
      <c r="AI25" s="4" t="s">
        <v>47</v>
      </c>
      <c r="AJ25" s="4" t="s">
        <v>47</v>
      </c>
      <c r="AK25" s="4" t="s">
        <v>47</v>
      </c>
      <c r="AL25" s="4" t="s">
        <v>47</v>
      </c>
      <c r="AM25" s="4" t="s">
        <v>47</v>
      </c>
      <c r="AN25" s="4" t="s">
        <v>56</v>
      </c>
      <c r="AO25" s="4" t="s">
        <v>47</v>
      </c>
      <c r="AP25" s="4" t="s">
        <v>47</v>
      </c>
      <c r="AQ25" s="4" t="s">
        <v>47</v>
      </c>
    </row>
    <row r="26" spans="1:43" x14ac:dyDescent="0.25">
      <c r="A26" s="2">
        <v>1891456</v>
      </c>
      <c r="B26" s="3">
        <v>46162</v>
      </c>
      <c r="C26" s="4" t="s">
        <v>148</v>
      </c>
      <c r="D26" s="2">
        <v>1969216</v>
      </c>
      <c r="E26" s="4" t="s">
        <v>149</v>
      </c>
      <c r="F26" s="4" t="s">
        <v>150</v>
      </c>
      <c r="G26" s="2">
        <v>428631174</v>
      </c>
      <c r="H26" s="4" t="s">
        <v>151</v>
      </c>
      <c r="I26" s="4" t="s">
        <v>47</v>
      </c>
      <c r="J26" s="4" t="s">
        <v>48</v>
      </c>
      <c r="K26" s="4" t="s">
        <v>49</v>
      </c>
      <c r="L26" s="3">
        <v>46174</v>
      </c>
      <c r="M26" s="4" t="s">
        <v>50</v>
      </c>
      <c r="N26" s="4" t="s">
        <v>47</v>
      </c>
      <c r="O26" s="4" t="s">
        <v>51</v>
      </c>
      <c r="P26" s="4" t="s">
        <v>47</v>
      </c>
      <c r="Q26" s="2">
        <v>1</v>
      </c>
      <c r="R26" s="2">
        <v>17</v>
      </c>
      <c r="S26" s="4" t="s">
        <v>52</v>
      </c>
      <c r="T26" s="4" t="s">
        <v>53</v>
      </c>
      <c r="U26" s="4" t="s">
        <v>47</v>
      </c>
      <c r="V26" s="5">
        <v>0.57999999999999996</v>
      </c>
      <c r="W26" s="5">
        <v>0</v>
      </c>
      <c r="X26" s="5">
        <v>100</v>
      </c>
      <c r="Y26" s="5">
        <v>202.42</v>
      </c>
      <c r="Z26" s="4" t="s">
        <v>47</v>
      </c>
      <c r="AA26" s="5" t="s">
        <v>47</v>
      </c>
      <c r="AB26" s="4" t="s">
        <v>54</v>
      </c>
      <c r="AC26" s="4" t="s">
        <v>47</v>
      </c>
      <c r="AD26" s="5">
        <v>0</v>
      </c>
      <c r="AE26" s="4" t="s">
        <v>55</v>
      </c>
      <c r="AF26" s="3">
        <v>46174</v>
      </c>
      <c r="AG26" s="4" t="s">
        <v>47</v>
      </c>
      <c r="AH26" s="4" t="s">
        <v>47</v>
      </c>
      <c r="AI26" s="4" t="s">
        <v>47</v>
      </c>
      <c r="AJ26" s="4" t="s">
        <v>47</v>
      </c>
      <c r="AK26" s="4" t="s">
        <v>47</v>
      </c>
      <c r="AL26" s="4" t="s">
        <v>47</v>
      </c>
      <c r="AM26" s="4" t="s">
        <v>47</v>
      </c>
      <c r="AN26" s="4" t="s">
        <v>56</v>
      </c>
      <c r="AO26" s="4" t="s">
        <v>47</v>
      </c>
      <c r="AP26" s="4" t="s">
        <v>47</v>
      </c>
      <c r="AQ26" s="4" t="s">
        <v>47</v>
      </c>
    </row>
    <row r="27" spans="1:43" x14ac:dyDescent="0.25">
      <c r="A27" s="2">
        <v>1891456</v>
      </c>
      <c r="B27" s="3">
        <v>46162</v>
      </c>
      <c r="C27" s="4" t="s">
        <v>152</v>
      </c>
      <c r="D27" s="2">
        <v>1989690</v>
      </c>
      <c r="E27" s="4" t="s">
        <v>153</v>
      </c>
      <c r="F27" s="4" t="s">
        <v>154</v>
      </c>
      <c r="G27" s="2">
        <v>81888045</v>
      </c>
      <c r="H27" s="4" t="s">
        <v>155</v>
      </c>
      <c r="I27" s="4" t="s">
        <v>47</v>
      </c>
      <c r="J27" s="4" t="s">
        <v>48</v>
      </c>
      <c r="K27" s="4" t="s">
        <v>49</v>
      </c>
      <c r="L27" s="3">
        <v>46023</v>
      </c>
      <c r="M27" s="4" t="s">
        <v>67</v>
      </c>
      <c r="N27" s="4" t="s">
        <v>47</v>
      </c>
      <c r="O27" s="4" t="s">
        <v>51</v>
      </c>
      <c r="P27" s="4" t="s">
        <v>47</v>
      </c>
      <c r="Q27" s="2">
        <v>1</v>
      </c>
      <c r="R27" s="2">
        <v>17</v>
      </c>
      <c r="S27" s="4" t="s">
        <v>52</v>
      </c>
      <c r="T27" s="4" t="s">
        <v>156</v>
      </c>
      <c r="U27" s="4" t="s">
        <v>47</v>
      </c>
      <c r="V27" s="5">
        <v>-0.57999999999999996</v>
      </c>
      <c r="W27" s="5">
        <v>0</v>
      </c>
      <c r="X27" s="5">
        <v>100</v>
      </c>
      <c r="Y27" s="5">
        <v>-33.25</v>
      </c>
      <c r="Z27" s="4" t="s">
        <v>47</v>
      </c>
      <c r="AA27" s="5" t="s">
        <v>47</v>
      </c>
      <c r="AB27" s="4" t="s">
        <v>54</v>
      </c>
      <c r="AC27" s="4" t="s">
        <v>47</v>
      </c>
      <c r="AD27" s="5">
        <v>0</v>
      </c>
      <c r="AE27" s="4" t="s">
        <v>55</v>
      </c>
      <c r="AF27" s="3">
        <v>46023</v>
      </c>
      <c r="AG27" s="4" t="s">
        <v>47</v>
      </c>
      <c r="AH27" s="4" t="s">
        <v>47</v>
      </c>
      <c r="AI27" s="4" t="s">
        <v>47</v>
      </c>
      <c r="AJ27" s="4" t="s">
        <v>47</v>
      </c>
      <c r="AK27" s="4" t="s">
        <v>47</v>
      </c>
      <c r="AL27" s="4" t="s">
        <v>47</v>
      </c>
      <c r="AM27" s="4" t="s">
        <v>47</v>
      </c>
      <c r="AN27" s="4" t="s">
        <v>157</v>
      </c>
      <c r="AO27" s="4" t="s">
        <v>47</v>
      </c>
      <c r="AP27" s="4" t="s">
        <v>47</v>
      </c>
      <c r="AQ27" s="4" t="s">
        <v>47</v>
      </c>
    </row>
    <row r="28" spans="1:43" x14ac:dyDescent="0.25">
      <c r="A28" s="2">
        <v>1891456</v>
      </c>
      <c r="B28" s="3">
        <v>46162</v>
      </c>
      <c r="C28" s="4" t="s">
        <v>158</v>
      </c>
      <c r="D28" s="2">
        <v>1997863</v>
      </c>
      <c r="E28" s="4" t="s">
        <v>159</v>
      </c>
      <c r="F28" s="4" t="s">
        <v>160</v>
      </c>
      <c r="G28" s="2">
        <v>95586253</v>
      </c>
      <c r="H28" s="4" t="s">
        <v>161</v>
      </c>
      <c r="I28" s="4" t="s">
        <v>47</v>
      </c>
      <c r="J28" s="4" t="s">
        <v>48</v>
      </c>
      <c r="K28" s="4" t="s">
        <v>49</v>
      </c>
      <c r="L28" s="3">
        <v>46235</v>
      </c>
      <c r="M28" s="4" t="s">
        <v>98</v>
      </c>
      <c r="N28" s="4" t="s">
        <v>47</v>
      </c>
      <c r="O28" s="4" t="s">
        <v>51</v>
      </c>
      <c r="P28" s="4" t="s">
        <v>47</v>
      </c>
      <c r="Q28" s="2">
        <v>1</v>
      </c>
      <c r="R28" s="2">
        <v>17</v>
      </c>
      <c r="S28" s="4" t="s">
        <v>52</v>
      </c>
      <c r="T28" s="4" t="s">
        <v>77</v>
      </c>
      <c r="U28" s="4" t="s">
        <v>47</v>
      </c>
      <c r="V28" s="5">
        <v>0.42</v>
      </c>
      <c r="W28" s="5">
        <v>0</v>
      </c>
      <c r="X28" s="5">
        <v>100</v>
      </c>
      <c r="Y28" s="5">
        <v>144.58000000000001</v>
      </c>
      <c r="Z28" s="4" t="s">
        <v>47</v>
      </c>
      <c r="AA28" s="5" t="s">
        <v>47</v>
      </c>
      <c r="AB28" s="4" t="s">
        <v>54</v>
      </c>
      <c r="AC28" s="4" t="s">
        <v>47</v>
      </c>
      <c r="AD28" s="5">
        <v>0</v>
      </c>
      <c r="AE28" s="4" t="s">
        <v>55</v>
      </c>
      <c r="AF28" s="3">
        <v>46235</v>
      </c>
      <c r="AG28" s="4" t="s">
        <v>47</v>
      </c>
      <c r="AH28" s="4" t="s">
        <v>47</v>
      </c>
      <c r="AI28" s="4" t="s">
        <v>47</v>
      </c>
      <c r="AJ28" s="4" t="s">
        <v>47</v>
      </c>
      <c r="AK28" s="4" t="s">
        <v>47</v>
      </c>
      <c r="AL28" s="4" t="s">
        <v>47</v>
      </c>
      <c r="AM28" s="4" t="s">
        <v>47</v>
      </c>
      <c r="AN28" s="4" t="s">
        <v>122</v>
      </c>
      <c r="AO28" s="4" t="s">
        <v>47</v>
      </c>
      <c r="AP28" s="4" t="s">
        <v>47</v>
      </c>
      <c r="AQ28" s="4" t="s">
        <v>47</v>
      </c>
    </row>
    <row r="29" spans="1:43" x14ac:dyDescent="0.25">
      <c r="A29" s="2">
        <v>1891456</v>
      </c>
      <c r="B29" s="3">
        <v>46162</v>
      </c>
      <c r="C29" s="4" t="s">
        <v>162</v>
      </c>
      <c r="D29" s="2">
        <v>1509744</v>
      </c>
      <c r="E29" s="4" t="s">
        <v>163</v>
      </c>
      <c r="F29" s="4" t="s">
        <v>164</v>
      </c>
      <c r="G29" s="4" t="s">
        <v>47</v>
      </c>
      <c r="H29" s="4" t="s">
        <v>47</v>
      </c>
      <c r="I29" s="4" t="s">
        <v>47</v>
      </c>
      <c r="J29" s="4" t="s">
        <v>165</v>
      </c>
      <c r="K29" s="4" t="s">
        <v>166</v>
      </c>
      <c r="L29" s="3">
        <v>46174</v>
      </c>
      <c r="M29" s="4" t="s">
        <v>50</v>
      </c>
      <c r="N29" s="4" t="s">
        <v>47</v>
      </c>
      <c r="O29" s="4" t="s">
        <v>167</v>
      </c>
      <c r="P29" s="4" t="s">
        <v>167</v>
      </c>
      <c r="Q29" s="2">
        <v>2</v>
      </c>
      <c r="R29" s="2">
        <v>60</v>
      </c>
      <c r="S29" s="4" t="s">
        <v>168</v>
      </c>
      <c r="T29" s="4" t="s">
        <v>47</v>
      </c>
      <c r="U29" s="4" t="s">
        <v>47</v>
      </c>
      <c r="V29" s="5">
        <v>10</v>
      </c>
      <c r="W29" s="5">
        <v>26.88</v>
      </c>
      <c r="X29" s="5">
        <v>100</v>
      </c>
      <c r="Y29" s="5">
        <v>2.69</v>
      </c>
      <c r="Z29" s="4" t="s">
        <v>47</v>
      </c>
      <c r="AA29" s="5" t="s">
        <v>47</v>
      </c>
      <c r="AB29" s="4" t="s">
        <v>169</v>
      </c>
      <c r="AC29" s="4" t="s">
        <v>47</v>
      </c>
      <c r="AD29" s="5">
        <v>0</v>
      </c>
      <c r="AE29" s="4" t="s">
        <v>170</v>
      </c>
      <c r="AF29" s="3">
        <v>45276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47</v>
      </c>
      <c r="AL29" s="4" t="s">
        <v>47</v>
      </c>
      <c r="AM29" s="4" t="s">
        <v>47</v>
      </c>
      <c r="AN29" s="4" t="s">
        <v>47</v>
      </c>
      <c r="AO29" s="4" t="s">
        <v>47</v>
      </c>
      <c r="AP29" s="4" t="s">
        <v>47</v>
      </c>
      <c r="AQ29" s="4" t="s">
        <v>47</v>
      </c>
    </row>
    <row r="30" spans="1:43" x14ac:dyDescent="0.25">
      <c r="A30" s="2">
        <v>1891456</v>
      </c>
      <c r="B30" s="3">
        <v>46162</v>
      </c>
      <c r="C30" s="4" t="s">
        <v>171</v>
      </c>
      <c r="D30" s="2">
        <v>1509841</v>
      </c>
      <c r="E30" s="4" t="s">
        <v>172</v>
      </c>
      <c r="F30" s="4" t="s">
        <v>173</v>
      </c>
      <c r="G30" s="4" t="s">
        <v>47</v>
      </c>
      <c r="H30" s="4" t="s">
        <v>47</v>
      </c>
      <c r="I30" s="4" t="s">
        <v>47</v>
      </c>
      <c r="J30" s="4" t="s">
        <v>174</v>
      </c>
      <c r="K30" s="4" t="s">
        <v>175</v>
      </c>
      <c r="L30" s="3">
        <v>46113</v>
      </c>
      <c r="M30" s="4" t="s">
        <v>93</v>
      </c>
      <c r="N30" s="4" t="s">
        <v>47</v>
      </c>
      <c r="O30" s="4" t="s">
        <v>51</v>
      </c>
      <c r="P30" s="4" t="s">
        <v>167</v>
      </c>
      <c r="Q30" s="2">
        <v>10</v>
      </c>
      <c r="R30" s="2">
        <v>3</v>
      </c>
      <c r="S30" s="4" t="s">
        <v>176</v>
      </c>
      <c r="T30" s="4" t="s">
        <v>47</v>
      </c>
      <c r="U30" s="4" t="s">
        <v>47</v>
      </c>
      <c r="V30" s="5">
        <v>10</v>
      </c>
      <c r="W30" s="5">
        <v>-63.65</v>
      </c>
      <c r="X30" s="5">
        <v>100</v>
      </c>
      <c r="Y30" s="5">
        <v>-6.37</v>
      </c>
      <c r="Z30" s="4" t="s">
        <v>47</v>
      </c>
      <c r="AA30" s="5" t="s">
        <v>47</v>
      </c>
      <c r="AB30" s="4" t="s">
        <v>54</v>
      </c>
      <c r="AC30" s="4" t="s">
        <v>47</v>
      </c>
      <c r="AD30" s="5">
        <v>0</v>
      </c>
      <c r="AE30" s="4" t="s">
        <v>55</v>
      </c>
      <c r="AF30" s="3">
        <v>46023</v>
      </c>
      <c r="AG30" s="4" t="s">
        <v>47</v>
      </c>
      <c r="AH30" s="4" t="s">
        <v>47</v>
      </c>
      <c r="AI30" s="4" t="s">
        <v>47</v>
      </c>
      <c r="AJ30" s="4" t="s">
        <v>47</v>
      </c>
      <c r="AK30" s="4" t="s">
        <v>47</v>
      </c>
      <c r="AL30" s="4" t="s">
        <v>47</v>
      </c>
      <c r="AM30" s="4" t="s">
        <v>47</v>
      </c>
      <c r="AN30" s="4" t="s">
        <v>47</v>
      </c>
      <c r="AO30" s="4" t="s">
        <v>47</v>
      </c>
      <c r="AP30" s="4" t="s">
        <v>47</v>
      </c>
      <c r="AQ30" s="4" t="s">
        <v>47</v>
      </c>
    </row>
    <row r="31" spans="1:43" x14ac:dyDescent="0.25">
      <c r="A31" s="2">
        <v>1891456</v>
      </c>
      <c r="B31" s="3">
        <v>46162</v>
      </c>
      <c r="C31" s="4" t="s">
        <v>171</v>
      </c>
      <c r="D31" s="2">
        <v>1509841</v>
      </c>
      <c r="E31" s="4" t="s">
        <v>172</v>
      </c>
      <c r="F31" s="4" t="s">
        <v>173</v>
      </c>
      <c r="G31" s="4" t="s">
        <v>47</v>
      </c>
      <c r="H31" s="4" t="s">
        <v>47</v>
      </c>
      <c r="I31" s="4" t="s">
        <v>47</v>
      </c>
      <c r="J31" s="4" t="s">
        <v>174</v>
      </c>
      <c r="K31" s="4" t="s">
        <v>175</v>
      </c>
      <c r="L31" s="3">
        <v>46143</v>
      </c>
      <c r="M31" s="4" t="s">
        <v>121</v>
      </c>
      <c r="N31" s="4" t="s">
        <v>47</v>
      </c>
      <c r="O31" s="4" t="s">
        <v>51</v>
      </c>
      <c r="P31" s="4" t="s">
        <v>167</v>
      </c>
      <c r="Q31" s="2">
        <v>10</v>
      </c>
      <c r="R31" s="2">
        <v>3</v>
      </c>
      <c r="S31" s="4" t="s">
        <v>176</v>
      </c>
      <c r="T31" s="4" t="s">
        <v>47</v>
      </c>
      <c r="U31" s="4" t="s">
        <v>47</v>
      </c>
      <c r="V31" s="5">
        <v>10</v>
      </c>
      <c r="W31" s="5">
        <v>-63.65</v>
      </c>
      <c r="X31" s="5">
        <v>100</v>
      </c>
      <c r="Y31" s="5">
        <v>-6.37</v>
      </c>
      <c r="Z31" s="4" t="s">
        <v>47</v>
      </c>
      <c r="AA31" s="5" t="s">
        <v>47</v>
      </c>
      <c r="AB31" s="4" t="s">
        <v>54</v>
      </c>
      <c r="AC31" s="4" t="s">
        <v>47</v>
      </c>
      <c r="AD31" s="5">
        <v>0</v>
      </c>
      <c r="AE31" s="4" t="s">
        <v>55</v>
      </c>
      <c r="AF31" s="3">
        <v>46023</v>
      </c>
      <c r="AG31" s="4" t="s">
        <v>47</v>
      </c>
      <c r="AH31" s="4" t="s">
        <v>47</v>
      </c>
      <c r="AI31" s="4" t="s">
        <v>47</v>
      </c>
      <c r="AJ31" s="4" t="s">
        <v>47</v>
      </c>
      <c r="AK31" s="4" t="s">
        <v>47</v>
      </c>
      <c r="AL31" s="4" t="s">
        <v>47</v>
      </c>
      <c r="AM31" s="4" t="s">
        <v>47</v>
      </c>
      <c r="AN31" s="4" t="s">
        <v>47</v>
      </c>
      <c r="AO31" s="4" t="s">
        <v>47</v>
      </c>
      <c r="AP31" s="4" t="s">
        <v>47</v>
      </c>
      <c r="AQ31" s="4" t="s">
        <v>47</v>
      </c>
    </row>
    <row r="32" spans="1:43" x14ac:dyDescent="0.25">
      <c r="A32" s="2">
        <v>1891456</v>
      </c>
      <c r="B32" s="3">
        <v>46162</v>
      </c>
      <c r="C32" s="4" t="s">
        <v>171</v>
      </c>
      <c r="D32" s="2">
        <v>1509841</v>
      </c>
      <c r="E32" s="4" t="s">
        <v>172</v>
      </c>
      <c r="F32" s="4" t="s">
        <v>173</v>
      </c>
      <c r="G32" s="4" t="s">
        <v>47</v>
      </c>
      <c r="H32" s="4" t="s">
        <v>47</v>
      </c>
      <c r="I32" s="4" t="s">
        <v>47</v>
      </c>
      <c r="J32" s="4" t="s">
        <v>174</v>
      </c>
      <c r="K32" s="4" t="s">
        <v>175</v>
      </c>
      <c r="L32" s="3">
        <v>46113</v>
      </c>
      <c r="M32" s="4" t="s">
        <v>93</v>
      </c>
      <c r="N32" s="4" t="s">
        <v>47</v>
      </c>
      <c r="O32" s="4" t="s">
        <v>51</v>
      </c>
      <c r="P32" s="4" t="s">
        <v>167</v>
      </c>
      <c r="Q32" s="2">
        <v>10</v>
      </c>
      <c r="R32" s="2">
        <v>60</v>
      </c>
      <c r="S32" s="4" t="s">
        <v>168</v>
      </c>
      <c r="T32" s="4" t="s">
        <v>47</v>
      </c>
      <c r="U32" s="4" t="s">
        <v>47</v>
      </c>
      <c r="V32" s="5">
        <v>10</v>
      </c>
      <c r="W32" s="5">
        <v>-9.18</v>
      </c>
      <c r="X32" s="5">
        <v>100</v>
      </c>
      <c r="Y32" s="5">
        <v>-0.92</v>
      </c>
      <c r="Z32" s="4" t="s">
        <v>47</v>
      </c>
      <c r="AA32" s="5" t="s">
        <v>47</v>
      </c>
      <c r="AB32" s="4" t="s">
        <v>54</v>
      </c>
      <c r="AC32" s="4" t="s">
        <v>47</v>
      </c>
      <c r="AD32" s="5">
        <v>0</v>
      </c>
      <c r="AE32" s="4" t="s">
        <v>55</v>
      </c>
      <c r="AF32" s="3">
        <v>46023</v>
      </c>
      <c r="AG32" s="4" t="s">
        <v>47</v>
      </c>
      <c r="AH32" s="4" t="s">
        <v>47</v>
      </c>
      <c r="AI32" s="4" t="s">
        <v>47</v>
      </c>
      <c r="AJ32" s="4" t="s">
        <v>47</v>
      </c>
      <c r="AK32" s="4" t="s">
        <v>47</v>
      </c>
      <c r="AL32" s="4" t="s">
        <v>47</v>
      </c>
      <c r="AM32" s="4" t="s">
        <v>47</v>
      </c>
      <c r="AN32" s="4" t="s">
        <v>47</v>
      </c>
      <c r="AO32" s="4" t="s">
        <v>47</v>
      </c>
      <c r="AP32" s="4" t="s">
        <v>47</v>
      </c>
      <c r="AQ32" s="4" t="s">
        <v>47</v>
      </c>
    </row>
    <row r="33" spans="1:43" x14ac:dyDescent="0.25">
      <c r="A33" s="2">
        <v>1891456</v>
      </c>
      <c r="B33" s="3">
        <v>46162</v>
      </c>
      <c r="C33" s="4" t="s">
        <v>171</v>
      </c>
      <c r="D33" s="2">
        <v>1509841</v>
      </c>
      <c r="E33" s="4" t="s">
        <v>172</v>
      </c>
      <c r="F33" s="4" t="s">
        <v>173</v>
      </c>
      <c r="G33" s="4" t="s">
        <v>47</v>
      </c>
      <c r="H33" s="4" t="s">
        <v>47</v>
      </c>
      <c r="I33" s="4" t="s">
        <v>47</v>
      </c>
      <c r="J33" s="4" t="s">
        <v>174</v>
      </c>
      <c r="K33" s="4" t="s">
        <v>175</v>
      </c>
      <c r="L33" s="3">
        <v>46143</v>
      </c>
      <c r="M33" s="4" t="s">
        <v>121</v>
      </c>
      <c r="N33" s="4" t="s">
        <v>47</v>
      </c>
      <c r="O33" s="4" t="s">
        <v>51</v>
      </c>
      <c r="P33" s="4" t="s">
        <v>167</v>
      </c>
      <c r="Q33" s="2">
        <v>10</v>
      </c>
      <c r="R33" s="2">
        <v>60</v>
      </c>
      <c r="S33" s="4" t="s">
        <v>168</v>
      </c>
      <c r="T33" s="4" t="s">
        <v>47</v>
      </c>
      <c r="U33" s="4" t="s">
        <v>47</v>
      </c>
      <c r="V33" s="5">
        <v>10</v>
      </c>
      <c r="W33" s="5">
        <v>-9.18</v>
      </c>
      <c r="X33" s="5">
        <v>100</v>
      </c>
      <c r="Y33" s="5">
        <v>-0.92</v>
      </c>
      <c r="Z33" s="4" t="s">
        <v>47</v>
      </c>
      <c r="AA33" s="5" t="s">
        <v>47</v>
      </c>
      <c r="AB33" s="4" t="s">
        <v>54</v>
      </c>
      <c r="AC33" s="4" t="s">
        <v>47</v>
      </c>
      <c r="AD33" s="5">
        <v>0</v>
      </c>
      <c r="AE33" s="4" t="s">
        <v>55</v>
      </c>
      <c r="AF33" s="3">
        <v>46023</v>
      </c>
      <c r="AG33" s="4" t="s">
        <v>47</v>
      </c>
      <c r="AH33" s="4" t="s">
        <v>47</v>
      </c>
      <c r="AI33" s="4" t="s">
        <v>47</v>
      </c>
      <c r="AJ33" s="4" t="s">
        <v>47</v>
      </c>
      <c r="AK33" s="4" t="s">
        <v>47</v>
      </c>
      <c r="AL33" s="4" t="s">
        <v>47</v>
      </c>
      <c r="AM33" s="4" t="s">
        <v>47</v>
      </c>
      <c r="AN33" s="4" t="s">
        <v>47</v>
      </c>
      <c r="AO33" s="4" t="s">
        <v>47</v>
      </c>
      <c r="AP33" s="4" t="s">
        <v>47</v>
      </c>
      <c r="AQ33" s="4" t="s">
        <v>47</v>
      </c>
    </row>
    <row r="34" spans="1:43" x14ac:dyDescent="0.25">
      <c r="A34" s="2">
        <v>1891456</v>
      </c>
      <c r="B34" s="3">
        <v>46162</v>
      </c>
      <c r="C34" s="4" t="s">
        <v>89</v>
      </c>
      <c r="D34" s="2">
        <v>1510420</v>
      </c>
      <c r="E34" s="4" t="s">
        <v>177</v>
      </c>
      <c r="F34" s="4" t="s">
        <v>178</v>
      </c>
      <c r="G34" s="4" t="s">
        <v>47</v>
      </c>
      <c r="H34" s="4" t="s">
        <v>47</v>
      </c>
      <c r="I34" s="4" t="s">
        <v>47</v>
      </c>
      <c r="J34" s="4" t="s">
        <v>165</v>
      </c>
      <c r="K34" s="4" t="s">
        <v>166</v>
      </c>
      <c r="L34" s="3">
        <v>46174</v>
      </c>
      <c r="M34" s="4" t="s">
        <v>50</v>
      </c>
      <c r="N34" s="4" t="s">
        <v>47</v>
      </c>
      <c r="O34" s="4" t="s">
        <v>167</v>
      </c>
      <c r="P34" s="4" t="s">
        <v>167</v>
      </c>
      <c r="Q34" s="2">
        <v>2</v>
      </c>
      <c r="R34" s="2">
        <v>3</v>
      </c>
      <c r="S34" s="4" t="s">
        <v>176</v>
      </c>
      <c r="T34" s="4" t="s">
        <v>47</v>
      </c>
      <c r="U34" s="4" t="s">
        <v>47</v>
      </c>
      <c r="V34" s="5">
        <v>10</v>
      </c>
      <c r="W34" s="5">
        <v>43.09</v>
      </c>
      <c r="X34" s="5">
        <v>100</v>
      </c>
      <c r="Y34" s="5">
        <v>4.3099999999999996</v>
      </c>
      <c r="Z34" s="4" t="s">
        <v>47</v>
      </c>
      <c r="AA34" s="5" t="s">
        <v>47</v>
      </c>
      <c r="AB34" s="4" t="s">
        <v>169</v>
      </c>
      <c r="AC34" s="4" t="s">
        <v>47</v>
      </c>
      <c r="AD34" s="5">
        <v>0</v>
      </c>
      <c r="AE34" s="4" t="s">
        <v>170</v>
      </c>
      <c r="AF34" s="3">
        <v>40969</v>
      </c>
      <c r="AG34" s="4" t="s">
        <v>47</v>
      </c>
      <c r="AH34" s="4" t="s">
        <v>47</v>
      </c>
      <c r="AI34" s="4" t="s">
        <v>47</v>
      </c>
      <c r="AJ34" s="4" t="s">
        <v>47</v>
      </c>
      <c r="AK34" s="4" t="s">
        <v>47</v>
      </c>
      <c r="AL34" s="4" t="s">
        <v>47</v>
      </c>
      <c r="AM34" s="4" t="s">
        <v>47</v>
      </c>
      <c r="AN34" s="4" t="s">
        <v>47</v>
      </c>
      <c r="AO34" s="4" t="s">
        <v>47</v>
      </c>
      <c r="AP34" s="4" t="s">
        <v>47</v>
      </c>
      <c r="AQ34" s="4" t="s">
        <v>47</v>
      </c>
    </row>
    <row r="35" spans="1:43" x14ac:dyDescent="0.25">
      <c r="A35" s="2">
        <v>1891456</v>
      </c>
      <c r="B35" s="3">
        <v>46162</v>
      </c>
      <c r="C35" s="4" t="s">
        <v>179</v>
      </c>
      <c r="D35" s="2">
        <v>1524629</v>
      </c>
      <c r="E35" s="4" t="s">
        <v>180</v>
      </c>
      <c r="F35" s="4" t="s">
        <v>181</v>
      </c>
      <c r="G35" s="4" t="s">
        <v>47</v>
      </c>
      <c r="H35" s="4" t="s">
        <v>47</v>
      </c>
      <c r="I35" s="4" t="s">
        <v>47</v>
      </c>
      <c r="J35" s="4" t="s">
        <v>165</v>
      </c>
      <c r="K35" s="4" t="s">
        <v>166</v>
      </c>
      <c r="L35" s="3">
        <v>46174</v>
      </c>
      <c r="M35" s="4" t="s">
        <v>50</v>
      </c>
      <c r="N35" s="4" t="s">
        <v>47</v>
      </c>
      <c r="O35" s="4" t="s">
        <v>167</v>
      </c>
      <c r="P35" s="4" t="s">
        <v>167</v>
      </c>
      <c r="Q35" s="2">
        <v>1</v>
      </c>
      <c r="R35" s="2">
        <v>60</v>
      </c>
      <c r="S35" s="4" t="s">
        <v>168</v>
      </c>
      <c r="T35" s="4" t="s">
        <v>47</v>
      </c>
      <c r="U35" s="4" t="s">
        <v>47</v>
      </c>
      <c r="V35" s="5">
        <v>10</v>
      </c>
      <c r="W35" s="5">
        <v>12.99</v>
      </c>
      <c r="X35" s="5">
        <v>100</v>
      </c>
      <c r="Y35" s="5">
        <v>1.3</v>
      </c>
      <c r="Z35" s="4" t="s">
        <v>47</v>
      </c>
      <c r="AA35" s="5" t="s">
        <v>47</v>
      </c>
      <c r="AB35" s="4" t="s">
        <v>169</v>
      </c>
      <c r="AC35" s="4" t="s">
        <v>47</v>
      </c>
      <c r="AD35" s="5">
        <v>0</v>
      </c>
      <c r="AE35" s="4" t="s">
        <v>170</v>
      </c>
      <c r="AF35" s="3">
        <v>45371</v>
      </c>
      <c r="AG35" s="4" t="s">
        <v>47</v>
      </c>
      <c r="AH35" s="4" t="s">
        <v>47</v>
      </c>
      <c r="AI35" s="4" t="s">
        <v>47</v>
      </c>
      <c r="AJ35" s="4" t="s">
        <v>47</v>
      </c>
      <c r="AK35" s="4" t="s">
        <v>47</v>
      </c>
      <c r="AL35" s="4" t="s">
        <v>47</v>
      </c>
      <c r="AM35" s="4" t="s">
        <v>47</v>
      </c>
      <c r="AN35" s="4" t="s">
        <v>47</v>
      </c>
      <c r="AO35" s="4" t="s">
        <v>47</v>
      </c>
      <c r="AP35" s="4" t="s">
        <v>47</v>
      </c>
      <c r="AQ35" s="4" t="s">
        <v>47</v>
      </c>
    </row>
    <row r="36" spans="1:43" x14ac:dyDescent="0.25">
      <c r="A36" s="2">
        <v>1891456</v>
      </c>
      <c r="B36" s="3">
        <v>46162</v>
      </c>
      <c r="C36" s="4" t="s">
        <v>182</v>
      </c>
      <c r="D36" s="2">
        <v>1581327</v>
      </c>
      <c r="E36" s="4" t="s">
        <v>183</v>
      </c>
      <c r="F36" s="4" t="s">
        <v>184</v>
      </c>
      <c r="G36" s="4" t="s">
        <v>47</v>
      </c>
      <c r="H36" s="4" t="s">
        <v>47</v>
      </c>
      <c r="I36" s="4" t="s">
        <v>47</v>
      </c>
      <c r="J36" s="4" t="s">
        <v>185</v>
      </c>
      <c r="K36" s="4" t="s">
        <v>49</v>
      </c>
      <c r="L36" s="3">
        <v>46174</v>
      </c>
      <c r="M36" s="4" t="s">
        <v>50</v>
      </c>
      <c r="N36" s="4" t="s">
        <v>47</v>
      </c>
      <c r="O36" s="4" t="s">
        <v>51</v>
      </c>
      <c r="P36" s="4" t="s">
        <v>167</v>
      </c>
      <c r="Q36" s="2">
        <v>1</v>
      </c>
      <c r="R36" s="2">
        <v>17</v>
      </c>
      <c r="S36" s="4" t="s">
        <v>52</v>
      </c>
      <c r="T36" s="4" t="s">
        <v>47</v>
      </c>
      <c r="U36" s="4" t="s">
        <v>47</v>
      </c>
      <c r="V36" s="5">
        <v>15</v>
      </c>
      <c r="W36" s="5">
        <v>143.26</v>
      </c>
      <c r="X36" s="5">
        <v>100</v>
      </c>
      <c r="Y36" s="5">
        <v>21.49</v>
      </c>
      <c r="Z36" s="5">
        <v>0</v>
      </c>
      <c r="AA36" s="5">
        <v>0</v>
      </c>
      <c r="AB36" s="4" t="s">
        <v>54</v>
      </c>
      <c r="AC36" s="4" t="s">
        <v>47</v>
      </c>
      <c r="AD36" s="5">
        <v>0</v>
      </c>
      <c r="AE36" s="4" t="s">
        <v>55</v>
      </c>
      <c r="AF36" s="3">
        <v>46113</v>
      </c>
      <c r="AG36" s="4" t="s">
        <v>47</v>
      </c>
      <c r="AH36" s="4" t="s">
        <v>47</v>
      </c>
      <c r="AI36" s="4" t="s">
        <v>47</v>
      </c>
      <c r="AJ36" s="4" t="s">
        <v>47</v>
      </c>
      <c r="AK36" s="4" t="s">
        <v>47</v>
      </c>
      <c r="AL36" s="4" t="s">
        <v>47</v>
      </c>
      <c r="AM36" s="4" t="s">
        <v>47</v>
      </c>
      <c r="AN36" s="4" t="s">
        <v>47</v>
      </c>
      <c r="AO36" s="4" t="s">
        <v>47</v>
      </c>
      <c r="AP36" s="4" t="s">
        <v>47</v>
      </c>
      <c r="AQ36" s="4" t="s">
        <v>186</v>
      </c>
    </row>
    <row r="37" spans="1:43" x14ac:dyDescent="0.25">
      <c r="A37" s="2">
        <v>1891456</v>
      </c>
      <c r="B37" s="3">
        <v>46162</v>
      </c>
      <c r="C37" s="4" t="s">
        <v>187</v>
      </c>
      <c r="D37" s="2">
        <v>1673763</v>
      </c>
      <c r="E37" s="4" t="s">
        <v>188</v>
      </c>
      <c r="F37" s="4" t="s">
        <v>189</v>
      </c>
      <c r="G37" s="4" t="s">
        <v>47</v>
      </c>
      <c r="H37" s="4" t="s">
        <v>47</v>
      </c>
      <c r="I37" s="4" t="s">
        <v>47</v>
      </c>
      <c r="J37" s="4" t="s">
        <v>185</v>
      </c>
      <c r="K37" s="4" t="s">
        <v>49</v>
      </c>
      <c r="L37" s="3">
        <v>46174</v>
      </c>
      <c r="M37" s="4" t="s">
        <v>50</v>
      </c>
      <c r="N37" s="4" t="s">
        <v>47</v>
      </c>
      <c r="O37" s="4" t="s">
        <v>167</v>
      </c>
      <c r="P37" s="4" t="s">
        <v>167</v>
      </c>
      <c r="Q37" s="2">
        <v>1</v>
      </c>
      <c r="R37" s="2">
        <v>17</v>
      </c>
      <c r="S37" s="4" t="s">
        <v>52</v>
      </c>
      <c r="T37" s="4" t="s">
        <v>47</v>
      </c>
      <c r="U37" s="4" t="s">
        <v>47</v>
      </c>
      <c r="V37" s="5">
        <v>26</v>
      </c>
      <c r="W37" s="5">
        <v>307</v>
      </c>
      <c r="X37" s="5">
        <v>100</v>
      </c>
      <c r="Y37" s="5">
        <v>79.819999999999993</v>
      </c>
      <c r="Z37" s="5">
        <v>0</v>
      </c>
      <c r="AA37" s="5">
        <v>0</v>
      </c>
      <c r="AB37" s="4" t="s">
        <v>190</v>
      </c>
      <c r="AC37" s="4" t="s">
        <v>47</v>
      </c>
      <c r="AD37" s="5">
        <v>0</v>
      </c>
      <c r="AE37" s="4" t="s">
        <v>191</v>
      </c>
      <c r="AF37" s="3">
        <v>45292</v>
      </c>
      <c r="AG37" s="4" t="s">
        <v>47</v>
      </c>
      <c r="AH37" s="4" t="s">
        <v>47</v>
      </c>
      <c r="AI37" s="4" t="s">
        <v>47</v>
      </c>
      <c r="AJ37" s="4" t="s">
        <v>47</v>
      </c>
      <c r="AK37" s="4" t="s">
        <v>47</v>
      </c>
      <c r="AL37" s="4" t="s">
        <v>47</v>
      </c>
      <c r="AM37" s="4" t="s">
        <v>47</v>
      </c>
      <c r="AN37" s="4" t="s">
        <v>47</v>
      </c>
      <c r="AO37" s="4" t="s">
        <v>47</v>
      </c>
      <c r="AP37" s="4" t="s">
        <v>47</v>
      </c>
      <c r="AQ37" s="4" t="s">
        <v>186</v>
      </c>
    </row>
    <row r="38" spans="1:43" x14ac:dyDescent="0.25">
      <c r="A38" s="2">
        <v>1891456</v>
      </c>
      <c r="B38" s="3">
        <v>46162</v>
      </c>
      <c r="C38" s="4" t="s">
        <v>187</v>
      </c>
      <c r="D38" s="2">
        <v>1673763</v>
      </c>
      <c r="E38" s="4" t="s">
        <v>192</v>
      </c>
      <c r="F38" s="4" t="s">
        <v>193</v>
      </c>
      <c r="G38" s="4" t="s">
        <v>47</v>
      </c>
      <c r="H38" s="4" t="s">
        <v>47</v>
      </c>
      <c r="I38" s="4" t="s">
        <v>47</v>
      </c>
      <c r="J38" s="4" t="s">
        <v>185</v>
      </c>
      <c r="K38" s="4" t="s">
        <v>49</v>
      </c>
      <c r="L38" s="3">
        <v>46174</v>
      </c>
      <c r="M38" s="4" t="s">
        <v>50</v>
      </c>
      <c r="N38" s="4" t="s">
        <v>47</v>
      </c>
      <c r="O38" s="4" t="s">
        <v>167</v>
      </c>
      <c r="P38" s="4" t="s">
        <v>167</v>
      </c>
      <c r="Q38" s="2">
        <v>1</v>
      </c>
      <c r="R38" s="2">
        <v>17</v>
      </c>
      <c r="S38" s="4" t="s">
        <v>52</v>
      </c>
      <c r="T38" s="4" t="s">
        <v>47</v>
      </c>
      <c r="U38" s="4" t="s">
        <v>47</v>
      </c>
      <c r="V38" s="5">
        <v>22</v>
      </c>
      <c r="W38" s="5">
        <v>138.55000000000001</v>
      </c>
      <c r="X38" s="5">
        <v>100</v>
      </c>
      <c r="Y38" s="5">
        <v>30.48</v>
      </c>
      <c r="Z38" s="5">
        <v>0</v>
      </c>
      <c r="AA38" s="5">
        <v>0</v>
      </c>
      <c r="AB38" s="4" t="s">
        <v>190</v>
      </c>
      <c r="AC38" s="4" t="s">
        <v>47</v>
      </c>
      <c r="AD38" s="5">
        <v>0</v>
      </c>
      <c r="AE38" s="4" t="s">
        <v>191</v>
      </c>
      <c r="AF38" s="3">
        <v>45566</v>
      </c>
      <c r="AG38" s="4" t="s">
        <v>47</v>
      </c>
      <c r="AH38" s="4" t="s">
        <v>47</v>
      </c>
      <c r="AI38" s="4" t="s">
        <v>47</v>
      </c>
      <c r="AJ38" s="4" t="s">
        <v>47</v>
      </c>
      <c r="AK38" s="4" t="s">
        <v>47</v>
      </c>
      <c r="AL38" s="4" t="s">
        <v>47</v>
      </c>
      <c r="AM38" s="4" t="s">
        <v>47</v>
      </c>
      <c r="AN38" s="4" t="s">
        <v>47</v>
      </c>
      <c r="AO38" s="4" t="s">
        <v>47</v>
      </c>
      <c r="AP38" s="4" t="s">
        <v>47</v>
      </c>
      <c r="AQ38" s="4" t="s">
        <v>186</v>
      </c>
    </row>
    <row r="39" spans="1:43" x14ac:dyDescent="0.25">
      <c r="A39" s="2">
        <v>1891456</v>
      </c>
      <c r="B39" s="3">
        <v>46162</v>
      </c>
      <c r="C39" s="4" t="s">
        <v>194</v>
      </c>
      <c r="D39" s="2">
        <v>1755893</v>
      </c>
      <c r="E39" s="4" t="s">
        <v>195</v>
      </c>
      <c r="F39" s="4" t="s">
        <v>196</v>
      </c>
      <c r="G39" s="4" t="s">
        <v>47</v>
      </c>
      <c r="H39" s="4" t="s">
        <v>47</v>
      </c>
      <c r="I39" s="4" t="s">
        <v>47</v>
      </c>
      <c r="J39" s="4" t="s">
        <v>165</v>
      </c>
      <c r="K39" s="4" t="s">
        <v>166</v>
      </c>
      <c r="L39" s="3">
        <v>46174</v>
      </c>
      <c r="M39" s="4" t="s">
        <v>50</v>
      </c>
      <c r="N39" s="4" t="s">
        <v>47</v>
      </c>
      <c r="O39" s="4" t="s">
        <v>167</v>
      </c>
      <c r="P39" s="4" t="s">
        <v>167</v>
      </c>
      <c r="Q39" s="2">
        <v>1</v>
      </c>
      <c r="R39" s="2">
        <v>60</v>
      </c>
      <c r="S39" s="4" t="s">
        <v>168</v>
      </c>
      <c r="T39" s="4" t="s">
        <v>47</v>
      </c>
      <c r="U39" s="4" t="s">
        <v>47</v>
      </c>
      <c r="V39" s="5">
        <v>10</v>
      </c>
      <c r="W39" s="5">
        <v>12.99</v>
      </c>
      <c r="X39" s="5">
        <v>100</v>
      </c>
      <c r="Y39" s="5">
        <v>1.3</v>
      </c>
      <c r="Z39" s="4" t="s">
        <v>47</v>
      </c>
      <c r="AA39" s="5" t="s">
        <v>47</v>
      </c>
      <c r="AB39" s="4" t="s">
        <v>169</v>
      </c>
      <c r="AC39" s="4" t="s">
        <v>47</v>
      </c>
      <c r="AD39" s="5">
        <v>0</v>
      </c>
      <c r="AE39" s="4" t="s">
        <v>170</v>
      </c>
      <c r="AF39" s="3">
        <v>45748</v>
      </c>
      <c r="AG39" s="4" t="s">
        <v>47</v>
      </c>
      <c r="AH39" s="4" t="s">
        <v>47</v>
      </c>
      <c r="AI39" s="4" t="s">
        <v>47</v>
      </c>
      <c r="AJ39" s="4" t="s">
        <v>47</v>
      </c>
      <c r="AK39" s="4" t="s">
        <v>47</v>
      </c>
      <c r="AL39" s="4" t="s">
        <v>47</v>
      </c>
      <c r="AM39" s="4" t="s">
        <v>47</v>
      </c>
      <c r="AN39" s="4" t="s">
        <v>47</v>
      </c>
      <c r="AO39" s="4" t="s">
        <v>47</v>
      </c>
      <c r="AP39" s="4" t="s">
        <v>47</v>
      </c>
      <c r="AQ39" s="4" t="s">
        <v>47</v>
      </c>
    </row>
    <row r="40" spans="1:43" x14ac:dyDescent="0.25">
      <c r="A40" s="2">
        <v>1891456</v>
      </c>
      <c r="B40" s="3">
        <v>46162</v>
      </c>
      <c r="C40" s="4" t="s">
        <v>194</v>
      </c>
      <c r="D40" s="2">
        <v>1755893</v>
      </c>
      <c r="E40" s="4" t="s">
        <v>197</v>
      </c>
      <c r="F40" s="4" t="s">
        <v>198</v>
      </c>
      <c r="G40" s="4" t="s">
        <v>47</v>
      </c>
      <c r="H40" s="4" t="s">
        <v>47</v>
      </c>
      <c r="I40" s="4" t="s">
        <v>47</v>
      </c>
      <c r="J40" s="4" t="s">
        <v>165</v>
      </c>
      <c r="K40" s="4" t="s">
        <v>166</v>
      </c>
      <c r="L40" s="3">
        <v>46174</v>
      </c>
      <c r="M40" s="4" t="s">
        <v>50</v>
      </c>
      <c r="N40" s="4" t="s">
        <v>47</v>
      </c>
      <c r="O40" s="4" t="s">
        <v>51</v>
      </c>
      <c r="P40" s="4" t="s">
        <v>167</v>
      </c>
      <c r="Q40" s="2">
        <v>1</v>
      </c>
      <c r="R40" s="2">
        <v>60</v>
      </c>
      <c r="S40" s="4" t="s">
        <v>168</v>
      </c>
      <c r="T40" s="4" t="s">
        <v>47</v>
      </c>
      <c r="U40" s="4" t="s">
        <v>47</v>
      </c>
      <c r="V40" s="5">
        <v>10</v>
      </c>
      <c r="W40" s="5">
        <v>12.99</v>
      </c>
      <c r="X40" s="5">
        <v>100</v>
      </c>
      <c r="Y40" s="5">
        <v>1.3</v>
      </c>
      <c r="Z40" s="4" t="s">
        <v>47</v>
      </c>
      <c r="AA40" s="5" t="s">
        <v>47</v>
      </c>
      <c r="AB40" s="4" t="s">
        <v>199</v>
      </c>
      <c r="AC40" s="4" t="s">
        <v>47</v>
      </c>
      <c r="AD40" s="5">
        <v>0</v>
      </c>
      <c r="AE40" s="4" t="s">
        <v>200</v>
      </c>
      <c r="AF40" s="3">
        <v>45945</v>
      </c>
      <c r="AG40" s="4" t="s">
        <v>47</v>
      </c>
      <c r="AH40" s="4" t="s">
        <v>47</v>
      </c>
      <c r="AI40" s="4" t="s">
        <v>47</v>
      </c>
      <c r="AJ40" s="4" t="s">
        <v>47</v>
      </c>
      <c r="AK40" s="4" t="s">
        <v>47</v>
      </c>
      <c r="AL40" s="4" t="s">
        <v>47</v>
      </c>
      <c r="AM40" s="4" t="s">
        <v>47</v>
      </c>
      <c r="AN40" s="4" t="s">
        <v>47</v>
      </c>
      <c r="AO40" s="4" t="s">
        <v>47</v>
      </c>
      <c r="AP40" s="4" t="s">
        <v>47</v>
      </c>
      <c r="AQ40" s="4" t="s">
        <v>47</v>
      </c>
    </row>
    <row r="41" spans="1:43" x14ac:dyDescent="0.25">
      <c r="A41" s="2">
        <v>1891456</v>
      </c>
      <c r="B41" s="3">
        <v>46162</v>
      </c>
      <c r="C41" s="4" t="s">
        <v>194</v>
      </c>
      <c r="D41" s="2">
        <v>1755893</v>
      </c>
      <c r="E41" s="4" t="s">
        <v>201</v>
      </c>
      <c r="F41" s="4" t="s">
        <v>202</v>
      </c>
      <c r="G41" s="4" t="s">
        <v>47</v>
      </c>
      <c r="H41" s="4" t="s">
        <v>47</v>
      </c>
      <c r="I41" s="4" t="s">
        <v>47</v>
      </c>
      <c r="J41" s="4" t="s">
        <v>165</v>
      </c>
      <c r="K41" s="4" t="s">
        <v>166</v>
      </c>
      <c r="L41" s="3">
        <v>46174</v>
      </c>
      <c r="M41" s="4" t="s">
        <v>50</v>
      </c>
      <c r="N41" s="4" t="s">
        <v>47</v>
      </c>
      <c r="O41" s="4" t="s">
        <v>51</v>
      </c>
      <c r="P41" s="4" t="s">
        <v>167</v>
      </c>
      <c r="Q41" s="2">
        <v>1</v>
      </c>
      <c r="R41" s="2">
        <v>60</v>
      </c>
      <c r="S41" s="4" t="s">
        <v>168</v>
      </c>
      <c r="T41" s="4" t="s">
        <v>47</v>
      </c>
      <c r="U41" s="4" t="s">
        <v>47</v>
      </c>
      <c r="V41" s="5">
        <v>10</v>
      </c>
      <c r="W41" s="5">
        <v>12.99</v>
      </c>
      <c r="X41" s="5">
        <v>100</v>
      </c>
      <c r="Y41" s="5">
        <v>1.3</v>
      </c>
      <c r="Z41" s="4" t="s">
        <v>47</v>
      </c>
      <c r="AA41" s="5" t="s">
        <v>47</v>
      </c>
      <c r="AB41" s="4" t="s">
        <v>199</v>
      </c>
      <c r="AC41" s="4" t="s">
        <v>47</v>
      </c>
      <c r="AD41" s="5">
        <v>0</v>
      </c>
      <c r="AE41" s="4" t="s">
        <v>200</v>
      </c>
      <c r="AF41" s="3">
        <v>45962</v>
      </c>
      <c r="AG41" s="4" t="s">
        <v>47</v>
      </c>
      <c r="AH41" s="4" t="s">
        <v>47</v>
      </c>
      <c r="AI41" s="4" t="s">
        <v>47</v>
      </c>
      <c r="AJ41" s="4" t="s">
        <v>47</v>
      </c>
      <c r="AK41" s="4" t="s">
        <v>47</v>
      </c>
      <c r="AL41" s="4" t="s">
        <v>47</v>
      </c>
      <c r="AM41" s="4" t="s">
        <v>47</v>
      </c>
      <c r="AN41" s="4" t="s">
        <v>47</v>
      </c>
      <c r="AO41" s="4" t="s">
        <v>47</v>
      </c>
      <c r="AP41" s="4" t="s">
        <v>47</v>
      </c>
      <c r="AQ41" s="4" t="s">
        <v>47</v>
      </c>
    </row>
    <row r="42" spans="1:43" x14ac:dyDescent="0.25">
      <c r="A42" s="2">
        <v>1891456</v>
      </c>
      <c r="B42" s="3">
        <v>46162</v>
      </c>
      <c r="C42" s="4" t="s">
        <v>194</v>
      </c>
      <c r="D42" s="2">
        <v>1755893</v>
      </c>
      <c r="E42" s="4" t="s">
        <v>203</v>
      </c>
      <c r="F42" s="4" t="s">
        <v>204</v>
      </c>
      <c r="G42" s="4" t="s">
        <v>47</v>
      </c>
      <c r="H42" s="4" t="s">
        <v>47</v>
      </c>
      <c r="I42" s="4" t="s">
        <v>47</v>
      </c>
      <c r="J42" s="4" t="s">
        <v>165</v>
      </c>
      <c r="K42" s="4" t="s">
        <v>166</v>
      </c>
      <c r="L42" s="3">
        <v>46174</v>
      </c>
      <c r="M42" s="4" t="s">
        <v>50</v>
      </c>
      <c r="N42" s="4" t="s">
        <v>47</v>
      </c>
      <c r="O42" s="4" t="s">
        <v>51</v>
      </c>
      <c r="P42" s="4" t="s">
        <v>167</v>
      </c>
      <c r="Q42" s="2">
        <v>2</v>
      </c>
      <c r="R42" s="2">
        <v>60</v>
      </c>
      <c r="S42" s="4" t="s">
        <v>168</v>
      </c>
      <c r="T42" s="4" t="s">
        <v>47</v>
      </c>
      <c r="U42" s="4" t="s">
        <v>47</v>
      </c>
      <c r="V42" s="5">
        <v>10</v>
      </c>
      <c r="W42" s="5">
        <v>23.99</v>
      </c>
      <c r="X42" s="5">
        <v>100</v>
      </c>
      <c r="Y42" s="5">
        <v>2.4</v>
      </c>
      <c r="Z42" s="4" t="s">
        <v>47</v>
      </c>
      <c r="AA42" s="5" t="s">
        <v>47</v>
      </c>
      <c r="AB42" s="4" t="s">
        <v>199</v>
      </c>
      <c r="AC42" s="4" t="s">
        <v>47</v>
      </c>
      <c r="AD42" s="5">
        <v>0</v>
      </c>
      <c r="AE42" s="4" t="s">
        <v>200</v>
      </c>
      <c r="AF42" s="3">
        <v>45962</v>
      </c>
      <c r="AG42" s="4" t="s">
        <v>47</v>
      </c>
      <c r="AH42" s="4" t="s">
        <v>47</v>
      </c>
      <c r="AI42" s="4" t="s">
        <v>47</v>
      </c>
      <c r="AJ42" s="4" t="s">
        <v>47</v>
      </c>
      <c r="AK42" s="4" t="s">
        <v>47</v>
      </c>
      <c r="AL42" s="4" t="s">
        <v>47</v>
      </c>
      <c r="AM42" s="4" t="s">
        <v>47</v>
      </c>
      <c r="AN42" s="4" t="s">
        <v>47</v>
      </c>
      <c r="AO42" s="4" t="s">
        <v>47</v>
      </c>
      <c r="AP42" s="4" t="s">
        <v>47</v>
      </c>
      <c r="AQ42" s="4" t="s">
        <v>47</v>
      </c>
    </row>
    <row r="43" spans="1:43" x14ac:dyDescent="0.25">
      <c r="A43" s="2">
        <v>1891456</v>
      </c>
      <c r="B43" s="3">
        <v>46162</v>
      </c>
      <c r="C43" s="4" t="s">
        <v>194</v>
      </c>
      <c r="D43" s="2">
        <v>1755893</v>
      </c>
      <c r="E43" s="4" t="s">
        <v>205</v>
      </c>
      <c r="F43" s="4" t="s">
        <v>206</v>
      </c>
      <c r="G43" s="4" t="s">
        <v>47</v>
      </c>
      <c r="H43" s="4" t="s">
        <v>47</v>
      </c>
      <c r="I43" s="4" t="s">
        <v>47</v>
      </c>
      <c r="J43" s="4" t="s">
        <v>165</v>
      </c>
      <c r="K43" s="4" t="s">
        <v>166</v>
      </c>
      <c r="L43" s="3">
        <v>46174</v>
      </c>
      <c r="M43" s="4" t="s">
        <v>50</v>
      </c>
      <c r="N43" s="4" t="s">
        <v>47</v>
      </c>
      <c r="O43" s="4" t="s">
        <v>51</v>
      </c>
      <c r="P43" s="4" t="s">
        <v>167</v>
      </c>
      <c r="Q43" s="2">
        <v>2</v>
      </c>
      <c r="R43" s="2">
        <v>60</v>
      </c>
      <c r="S43" s="4" t="s">
        <v>168</v>
      </c>
      <c r="T43" s="4" t="s">
        <v>47</v>
      </c>
      <c r="U43" s="4" t="s">
        <v>47</v>
      </c>
      <c r="V43" s="5">
        <v>10</v>
      </c>
      <c r="W43" s="5">
        <v>47.98</v>
      </c>
      <c r="X43" s="5">
        <v>100</v>
      </c>
      <c r="Y43" s="5">
        <v>4.8</v>
      </c>
      <c r="Z43" s="4" t="s">
        <v>47</v>
      </c>
      <c r="AA43" s="5" t="s">
        <v>47</v>
      </c>
      <c r="AB43" s="4" t="s">
        <v>199</v>
      </c>
      <c r="AC43" s="4" t="s">
        <v>47</v>
      </c>
      <c r="AD43" s="5">
        <v>0</v>
      </c>
      <c r="AE43" s="4" t="s">
        <v>200</v>
      </c>
      <c r="AF43" s="3">
        <v>45962</v>
      </c>
      <c r="AG43" s="4" t="s">
        <v>47</v>
      </c>
      <c r="AH43" s="4" t="s">
        <v>47</v>
      </c>
      <c r="AI43" s="4" t="s">
        <v>47</v>
      </c>
      <c r="AJ43" s="4" t="s">
        <v>47</v>
      </c>
      <c r="AK43" s="4" t="s">
        <v>47</v>
      </c>
      <c r="AL43" s="4" t="s">
        <v>47</v>
      </c>
      <c r="AM43" s="4" t="s">
        <v>47</v>
      </c>
      <c r="AN43" s="4" t="s">
        <v>47</v>
      </c>
      <c r="AO43" s="4" t="s">
        <v>47</v>
      </c>
      <c r="AP43" s="4" t="s">
        <v>47</v>
      </c>
      <c r="AQ43" s="4" t="s">
        <v>47</v>
      </c>
    </row>
    <row r="44" spans="1:43" x14ac:dyDescent="0.25">
      <c r="A44" s="2">
        <v>1891456</v>
      </c>
      <c r="B44" s="3">
        <v>46162</v>
      </c>
      <c r="C44" s="4" t="s">
        <v>194</v>
      </c>
      <c r="D44" s="2">
        <v>1755893</v>
      </c>
      <c r="E44" s="4" t="s">
        <v>207</v>
      </c>
      <c r="F44" s="4" t="s">
        <v>208</v>
      </c>
      <c r="G44" s="4" t="s">
        <v>47</v>
      </c>
      <c r="H44" s="4" t="s">
        <v>47</v>
      </c>
      <c r="I44" s="4" t="s">
        <v>47</v>
      </c>
      <c r="J44" s="4" t="s">
        <v>165</v>
      </c>
      <c r="K44" s="4" t="s">
        <v>166</v>
      </c>
      <c r="L44" s="3">
        <v>46174</v>
      </c>
      <c r="M44" s="4" t="s">
        <v>50</v>
      </c>
      <c r="N44" s="4" t="s">
        <v>47</v>
      </c>
      <c r="O44" s="4" t="s">
        <v>51</v>
      </c>
      <c r="P44" s="4" t="s">
        <v>167</v>
      </c>
      <c r="Q44" s="2">
        <v>3</v>
      </c>
      <c r="R44" s="2">
        <v>60</v>
      </c>
      <c r="S44" s="4" t="s">
        <v>168</v>
      </c>
      <c r="T44" s="4" t="s">
        <v>47</v>
      </c>
      <c r="U44" s="4" t="s">
        <v>47</v>
      </c>
      <c r="V44" s="5">
        <v>10</v>
      </c>
      <c r="W44" s="5">
        <v>73.98</v>
      </c>
      <c r="X44" s="5">
        <v>100</v>
      </c>
      <c r="Y44" s="5">
        <v>7.4</v>
      </c>
      <c r="Z44" s="4" t="s">
        <v>47</v>
      </c>
      <c r="AA44" s="5" t="s">
        <v>47</v>
      </c>
      <c r="AB44" s="4" t="s">
        <v>199</v>
      </c>
      <c r="AC44" s="4" t="s">
        <v>47</v>
      </c>
      <c r="AD44" s="5">
        <v>0</v>
      </c>
      <c r="AE44" s="4" t="s">
        <v>200</v>
      </c>
      <c r="AF44" s="3">
        <v>45962</v>
      </c>
      <c r="AG44" s="4" t="s">
        <v>47</v>
      </c>
      <c r="AH44" s="4" t="s">
        <v>47</v>
      </c>
      <c r="AI44" s="4" t="s">
        <v>47</v>
      </c>
      <c r="AJ44" s="4" t="s">
        <v>47</v>
      </c>
      <c r="AK44" s="4" t="s">
        <v>47</v>
      </c>
      <c r="AL44" s="4" t="s">
        <v>47</v>
      </c>
      <c r="AM44" s="4" t="s">
        <v>47</v>
      </c>
      <c r="AN44" s="4" t="s">
        <v>47</v>
      </c>
      <c r="AO44" s="4" t="s">
        <v>47</v>
      </c>
      <c r="AP44" s="4" t="s">
        <v>47</v>
      </c>
      <c r="AQ44" s="4" t="s">
        <v>47</v>
      </c>
    </row>
    <row r="45" spans="1:43" x14ac:dyDescent="0.25">
      <c r="A45" s="2">
        <v>1891456</v>
      </c>
      <c r="B45" s="3">
        <v>46162</v>
      </c>
      <c r="C45" s="4" t="s">
        <v>194</v>
      </c>
      <c r="D45" s="2">
        <v>1755893</v>
      </c>
      <c r="E45" s="4" t="s">
        <v>209</v>
      </c>
      <c r="F45" s="4" t="s">
        <v>210</v>
      </c>
      <c r="G45" s="4" t="s">
        <v>47</v>
      </c>
      <c r="H45" s="4" t="s">
        <v>47</v>
      </c>
      <c r="I45" s="4" t="s">
        <v>47</v>
      </c>
      <c r="J45" s="4" t="s">
        <v>165</v>
      </c>
      <c r="K45" s="4" t="s">
        <v>166</v>
      </c>
      <c r="L45" s="3">
        <v>46174</v>
      </c>
      <c r="M45" s="4" t="s">
        <v>50</v>
      </c>
      <c r="N45" s="4" t="s">
        <v>47</v>
      </c>
      <c r="O45" s="4" t="s">
        <v>51</v>
      </c>
      <c r="P45" s="4" t="s">
        <v>167</v>
      </c>
      <c r="Q45" s="2">
        <v>1</v>
      </c>
      <c r="R45" s="2">
        <v>60</v>
      </c>
      <c r="S45" s="4" t="s">
        <v>168</v>
      </c>
      <c r="T45" s="4" t="s">
        <v>47</v>
      </c>
      <c r="U45" s="4" t="s">
        <v>47</v>
      </c>
      <c r="V45" s="5">
        <v>10</v>
      </c>
      <c r="W45" s="5">
        <v>25.98</v>
      </c>
      <c r="X45" s="5">
        <v>100</v>
      </c>
      <c r="Y45" s="5">
        <v>2.6</v>
      </c>
      <c r="Z45" s="4" t="s">
        <v>47</v>
      </c>
      <c r="AA45" s="5" t="s">
        <v>47</v>
      </c>
      <c r="AB45" s="4" t="s">
        <v>199</v>
      </c>
      <c r="AC45" s="4" t="s">
        <v>47</v>
      </c>
      <c r="AD45" s="5">
        <v>0</v>
      </c>
      <c r="AE45" s="4" t="s">
        <v>200</v>
      </c>
      <c r="AF45" s="3">
        <v>45965</v>
      </c>
      <c r="AG45" s="4" t="s">
        <v>47</v>
      </c>
      <c r="AH45" s="4" t="s">
        <v>47</v>
      </c>
      <c r="AI45" s="4" t="s">
        <v>47</v>
      </c>
      <c r="AJ45" s="4" t="s">
        <v>47</v>
      </c>
      <c r="AK45" s="4" t="s">
        <v>47</v>
      </c>
      <c r="AL45" s="4" t="s">
        <v>47</v>
      </c>
      <c r="AM45" s="4" t="s">
        <v>47</v>
      </c>
      <c r="AN45" s="4" t="s">
        <v>47</v>
      </c>
      <c r="AO45" s="4" t="s">
        <v>47</v>
      </c>
      <c r="AP45" s="4" t="s">
        <v>47</v>
      </c>
      <c r="AQ45" s="4" t="s">
        <v>47</v>
      </c>
    </row>
    <row r="46" spans="1:43" x14ac:dyDescent="0.25">
      <c r="A46" s="2">
        <v>1891456</v>
      </c>
      <c r="B46" s="3">
        <v>46162</v>
      </c>
      <c r="C46" s="4" t="s">
        <v>211</v>
      </c>
      <c r="D46" s="2">
        <v>1758433</v>
      </c>
      <c r="E46" s="4" t="s">
        <v>212</v>
      </c>
      <c r="F46" s="4" t="s">
        <v>213</v>
      </c>
      <c r="G46" s="4" t="s">
        <v>47</v>
      </c>
      <c r="H46" s="4" t="s">
        <v>47</v>
      </c>
      <c r="I46" s="4" t="s">
        <v>47</v>
      </c>
      <c r="J46" s="4" t="s">
        <v>165</v>
      </c>
      <c r="K46" s="4" t="s">
        <v>166</v>
      </c>
      <c r="L46" s="3">
        <v>46174</v>
      </c>
      <c r="M46" s="4" t="s">
        <v>50</v>
      </c>
      <c r="N46" s="4" t="s">
        <v>47</v>
      </c>
      <c r="O46" s="4" t="s">
        <v>51</v>
      </c>
      <c r="P46" s="4" t="s">
        <v>167</v>
      </c>
      <c r="Q46" s="2">
        <v>1</v>
      </c>
      <c r="R46" s="2">
        <v>3</v>
      </c>
      <c r="S46" s="4" t="s">
        <v>176</v>
      </c>
      <c r="T46" s="4" t="s">
        <v>47</v>
      </c>
      <c r="U46" s="4" t="s">
        <v>47</v>
      </c>
      <c r="V46" s="5">
        <v>10</v>
      </c>
      <c r="W46" s="5">
        <v>53.99</v>
      </c>
      <c r="X46" s="5">
        <v>100</v>
      </c>
      <c r="Y46" s="5">
        <v>5.4</v>
      </c>
      <c r="Z46" s="4" t="s">
        <v>47</v>
      </c>
      <c r="AA46" s="5" t="s">
        <v>47</v>
      </c>
      <c r="AB46" s="4" t="s">
        <v>199</v>
      </c>
      <c r="AC46" s="4" t="s">
        <v>47</v>
      </c>
      <c r="AD46" s="5">
        <v>0</v>
      </c>
      <c r="AE46" s="4" t="s">
        <v>200</v>
      </c>
      <c r="AF46" s="3">
        <v>45992</v>
      </c>
      <c r="AG46" s="4" t="s">
        <v>47</v>
      </c>
      <c r="AH46" s="4" t="s">
        <v>47</v>
      </c>
      <c r="AI46" s="4" t="s">
        <v>47</v>
      </c>
      <c r="AJ46" s="4" t="s">
        <v>47</v>
      </c>
      <c r="AK46" s="4" t="s">
        <v>47</v>
      </c>
      <c r="AL46" s="4" t="s">
        <v>47</v>
      </c>
      <c r="AM46" s="4" t="s">
        <v>47</v>
      </c>
      <c r="AN46" s="4" t="s">
        <v>47</v>
      </c>
      <c r="AO46" s="4" t="s">
        <v>47</v>
      </c>
      <c r="AP46" s="4" t="s">
        <v>47</v>
      </c>
      <c r="AQ46" s="4" t="s">
        <v>47</v>
      </c>
    </row>
    <row r="47" spans="1:43" x14ac:dyDescent="0.25">
      <c r="A47" s="2">
        <v>1891456</v>
      </c>
      <c r="B47" s="3">
        <v>46162</v>
      </c>
      <c r="C47" s="4" t="s">
        <v>126</v>
      </c>
      <c r="D47" s="2">
        <v>1831491</v>
      </c>
      <c r="E47" s="4" t="s">
        <v>214</v>
      </c>
      <c r="F47" s="4" t="s">
        <v>215</v>
      </c>
      <c r="G47" s="4" t="s">
        <v>47</v>
      </c>
      <c r="H47" s="4" t="s">
        <v>47</v>
      </c>
      <c r="I47" s="4" t="s">
        <v>47</v>
      </c>
      <c r="J47" s="4" t="s">
        <v>185</v>
      </c>
      <c r="K47" s="4" t="s">
        <v>49</v>
      </c>
      <c r="L47" s="3">
        <v>46174</v>
      </c>
      <c r="M47" s="4" t="s">
        <v>50</v>
      </c>
      <c r="N47" s="4" t="s">
        <v>47</v>
      </c>
      <c r="O47" s="4" t="s">
        <v>51</v>
      </c>
      <c r="P47" s="4" t="s">
        <v>167</v>
      </c>
      <c r="Q47" s="2">
        <v>1</v>
      </c>
      <c r="R47" s="2">
        <v>17</v>
      </c>
      <c r="S47" s="4" t="s">
        <v>52</v>
      </c>
      <c r="T47" s="4" t="s">
        <v>47</v>
      </c>
      <c r="U47" s="4" t="s">
        <v>47</v>
      </c>
      <c r="V47" s="5">
        <v>22</v>
      </c>
      <c r="W47" s="5">
        <v>2115.96</v>
      </c>
      <c r="X47" s="5">
        <v>100</v>
      </c>
      <c r="Y47" s="5">
        <v>465.48</v>
      </c>
      <c r="Z47" s="5">
        <v>0</v>
      </c>
      <c r="AA47" s="5">
        <v>0</v>
      </c>
      <c r="AB47" s="4" t="s">
        <v>216</v>
      </c>
      <c r="AC47" s="4" t="s">
        <v>47</v>
      </c>
      <c r="AD47" s="5">
        <v>0</v>
      </c>
      <c r="AE47" s="4" t="s">
        <v>217</v>
      </c>
      <c r="AF47" s="3">
        <v>46174</v>
      </c>
      <c r="AG47" s="4" t="s">
        <v>47</v>
      </c>
      <c r="AH47" s="4" t="s">
        <v>47</v>
      </c>
      <c r="AI47" s="4" t="s">
        <v>47</v>
      </c>
      <c r="AJ47" s="4" t="s">
        <v>47</v>
      </c>
      <c r="AK47" s="4" t="s">
        <v>47</v>
      </c>
      <c r="AL47" s="4" t="s">
        <v>47</v>
      </c>
      <c r="AM47" s="4" t="s">
        <v>47</v>
      </c>
      <c r="AN47" s="4" t="s">
        <v>47</v>
      </c>
      <c r="AO47" s="4" t="s">
        <v>47</v>
      </c>
      <c r="AP47" s="4" t="s">
        <v>47</v>
      </c>
      <c r="AQ47" s="4" t="s">
        <v>186</v>
      </c>
    </row>
    <row r="48" spans="1:43" x14ac:dyDescent="0.25">
      <c r="A48" s="2">
        <v>1891456</v>
      </c>
      <c r="B48" s="3">
        <v>46162</v>
      </c>
      <c r="C48" s="4" t="s">
        <v>126</v>
      </c>
      <c r="D48" s="2">
        <v>1831491</v>
      </c>
      <c r="E48" s="4" t="s">
        <v>218</v>
      </c>
      <c r="F48" s="4" t="s">
        <v>219</v>
      </c>
      <c r="G48" s="4" t="s">
        <v>47</v>
      </c>
      <c r="H48" s="4" t="s">
        <v>47</v>
      </c>
      <c r="I48" s="4" t="s">
        <v>47</v>
      </c>
      <c r="J48" s="4" t="s">
        <v>165</v>
      </c>
      <c r="K48" s="4" t="s">
        <v>166</v>
      </c>
      <c r="L48" s="3">
        <v>46143</v>
      </c>
      <c r="M48" s="4" t="s">
        <v>121</v>
      </c>
      <c r="N48" s="4" t="s">
        <v>47</v>
      </c>
      <c r="O48" s="4" t="s">
        <v>51</v>
      </c>
      <c r="P48" s="4" t="s">
        <v>167</v>
      </c>
      <c r="Q48" s="2">
        <v>1</v>
      </c>
      <c r="R48" s="2">
        <v>60</v>
      </c>
      <c r="S48" s="4" t="s">
        <v>168</v>
      </c>
      <c r="T48" s="4" t="s">
        <v>47</v>
      </c>
      <c r="U48" s="4" t="s">
        <v>47</v>
      </c>
      <c r="V48" s="5">
        <v>10</v>
      </c>
      <c r="W48" s="5">
        <v>14.93</v>
      </c>
      <c r="X48" s="5">
        <v>100</v>
      </c>
      <c r="Y48" s="5">
        <v>1.49</v>
      </c>
      <c r="Z48" s="4" t="s">
        <v>47</v>
      </c>
      <c r="AA48" s="5" t="s">
        <v>47</v>
      </c>
      <c r="AB48" s="4" t="s">
        <v>199</v>
      </c>
      <c r="AC48" s="4" t="s">
        <v>47</v>
      </c>
      <c r="AD48" s="5">
        <v>0</v>
      </c>
      <c r="AE48" s="4" t="s">
        <v>200</v>
      </c>
      <c r="AF48" s="3">
        <v>46023</v>
      </c>
      <c r="AG48" s="4" t="s">
        <v>47</v>
      </c>
      <c r="AH48" s="4" t="s">
        <v>47</v>
      </c>
      <c r="AI48" s="4" t="s">
        <v>47</v>
      </c>
      <c r="AJ48" s="4" t="s">
        <v>47</v>
      </c>
      <c r="AK48" s="4" t="s">
        <v>47</v>
      </c>
      <c r="AL48" s="4" t="s">
        <v>47</v>
      </c>
      <c r="AM48" s="4" t="s">
        <v>47</v>
      </c>
      <c r="AN48" s="4" t="s">
        <v>47</v>
      </c>
      <c r="AO48" s="4" t="s">
        <v>47</v>
      </c>
      <c r="AP48" s="4" t="s">
        <v>47</v>
      </c>
      <c r="AQ48" s="4" t="s">
        <v>47</v>
      </c>
    </row>
    <row r="49" spans="1:43" x14ac:dyDescent="0.25">
      <c r="A49" s="2">
        <v>1891456</v>
      </c>
      <c r="B49" s="3">
        <v>46162</v>
      </c>
      <c r="C49" s="4" t="s">
        <v>126</v>
      </c>
      <c r="D49" s="2">
        <v>1831491</v>
      </c>
      <c r="E49" s="4" t="s">
        <v>220</v>
      </c>
      <c r="F49" s="4" t="s">
        <v>221</v>
      </c>
      <c r="G49" s="4" t="s">
        <v>47</v>
      </c>
      <c r="H49" s="4" t="s">
        <v>47</v>
      </c>
      <c r="I49" s="4" t="s">
        <v>47</v>
      </c>
      <c r="J49" s="4" t="s">
        <v>165</v>
      </c>
      <c r="K49" s="4" t="s">
        <v>166</v>
      </c>
      <c r="L49" s="3">
        <v>46174</v>
      </c>
      <c r="M49" s="4" t="s">
        <v>50</v>
      </c>
      <c r="N49" s="4" t="s">
        <v>47</v>
      </c>
      <c r="O49" s="4" t="s">
        <v>51</v>
      </c>
      <c r="P49" s="4" t="s">
        <v>167</v>
      </c>
      <c r="Q49" s="2">
        <v>2</v>
      </c>
      <c r="R49" s="2">
        <v>60</v>
      </c>
      <c r="S49" s="4" t="s">
        <v>168</v>
      </c>
      <c r="T49" s="4" t="s">
        <v>47</v>
      </c>
      <c r="U49" s="4" t="s">
        <v>47</v>
      </c>
      <c r="V49" s="5">
        <v>10</v>
      </c>
      <c r="W49" s="5">
        <v>26.88</v>
      </c>
      <c r="X49" s="5">
        <v>100</v>
      </c>
      <c r="Y49" s="5">
        <v>2.69</v>
      </c>
      <c r="Z49" s="4" t="s">
        <v>47</v>
      </c>
      <c r="AA49" s="5" t="s">
        <v>47</v>
      </c>
      <c r="AB49" s="4" t="s">
        <v>199</v>
      </c>
      <c r="AC49" s="4" t="s">
        <v>47</v>
      </c>
      <c r="AD49" s="5">
        <v>0</v>
      </c>
      <c r="AE49" s="4" t="s">
        <v>200</v>
      </c>
      <c r="AF49" s="3">
        <v>46023</v>
      </c>
      <c r="AG49" s="4" t="s">
        <v>47</v>
      </c>
      <c r="AH49" s="4" t="s">
        <v>47</v>
      </c>
      <c r="AI49" s="4" t="s">
        <v>47</v>
      </c>
      <c r="AJ49" s="4" t="s">
        <v>47</v>
      </c>
      <c r="AK49" s="4" t="s">
        <v>47</v>
      </c>
      <c r="AL49" s="4" t="s">
        <v>47</v>
      </c>
      <c r="AM49" s="4" t="s">
        <v>47</v>
      </c>
      <c r="AN49" s="4" t="s">
        <v>47</v>
      </c>
      <c r="AO49" s="4" t="s">
        <v>47</v>
      </c>
      <c r="AP49" s="4" t="s">
        <v>47</v>
      </c>
      <c r="AQ49" s="4" t="s">
        <v>47</v>
      </c>
    </row>
    <row r="50" spans="1:43" x14ac:dyDescent="0.25">
      <c r="A50" s="2">
        <v>1891456</v>
      </c>
      <c r="B50" s="3">
        <v>46162</v>
      </c>
      <c r="C50" s="4" t="s">
        <v>126</v>
      </c>
      <c r="D50" s="2">
        <v>1831491</v>
      </c>
      <c r="E50" s="4" t="s">
        <v>222</v>
      </c>
      <c r="F50" s="4" t="s">
        <v>223</v>
      </c>
      <c r="G50" s="4" t="s">
        <v>47</v>
      </c>
      <c r="H50" s="4" t="s">
        <v>47</v>
      </c>
      <c r="I50" s="4" t="s">
        <v>47</v>
      </c>
      <c r="J50" s="4" t="s">
        <v>165</v>
      </c>
      <c r="K50" s="4" t="s">
        <v>166</v>
      </c>
      <c r="L50" s="3">
        <v>46174</v>
      </c>
      <c r="M50" s="4" t="s">
        <v>50</v>
      </c>
      <c r="N50" s="4" t="s">
        <v>47</v>
      </c>
      <c r="O50" s="4" t="s">
        <v>51</v>
      </c>
      <c r="P50" s="4" t="s">
        <v>167</v>
      </c>
      <c r="Q50" s="2">
        <v>1</v>
      </c>
      <c r="R50" s="2">
        <v>60</v>
      </c>
      <c r="S50" s="4" t="s">
        <v>168</v>
      </c>
      <c r="T50" s="4" t="s">
        <v>47</v>
      </c>
      <c r="U50" s="4" t="s">
        <v>47</v>
      </c>
      <c r="V50" s="5">
        <v>10</v>
      </c>
      <c r="W50" s="5">
        <v>29.86</v>
      </c>
      <c r="X50" s="5">
        <v>100</v>
      </c>
      <c r="Y50" s="5">
        <v>2.99</v>
      </c>
      <c r="Z50" s="4" t="s">
        <v>47</v>
      </c>
      <c r="AA50" s="5" t="s">
        <v>47</v>
      </c>
      <c r="AB50" s="4" t="s">
        <v>199</v>
      </c>
      <c r="AC50" s="4" t="s">
        <v>47</v>
      </c>
      <c r="AD50" s="5">
        <v>0</v>
      </c>
      <c r="AE50" s="4" t="s">
        <v>200</v>
      </c>
      <c r="AF50" s="3">
        <v>46023</v>
      </c>
      <c r="AG50" s="4" t="s">
        <v>47</v>
      </c>
      <c r="AH50" s="4" t="s">
        <v>47</v>
      </c>
      <c r="AI50" s="4" t="s">
        <v>47</v>
      </c>
      <c r="AJ50" s="4" t="s">
        <v>47</v>
      </c>
      <c r="AK50" s="4" t="s">
        <v>47</v>
      </c>
      <c r="AL50" s="4" t="s">
        <v>47</v>
      </c>
      <c r="AM50" s="4" t="s">
        <v>47</v>
      </c>
      <c r="AN50" s="4" t="s">
        <v>47</v>
      </c>
      <c r="AO50" s="4" t="s">
        <v>47</v>
      </c>
      <c r="AP50" s="4" t="s">
        <v>47</v>
      </c>
      <c r="AQ50" s="4" t="s">
        <v>47</v>
      </c>
    </row>
    <row r="51" spans="1:43" x14ac:dyDescent="0.25">
      <c r="A51" s="2">
        <v>1891456</v>
      </c>
      <c r="B51" s="3">
        <v>46162</v>
      </c>
      <c r="C51" s="4" t="s">
        <v>126</v>
      </c>
      <c r="D51" s="2">
        <v>1831491</v>
      </c>
      <c r="E51" s="4" t="s">
        <v>224</v>
      </c>
      <c r="F51" s="4" t="s">
        <v>225</v>
      </c>
      <c r="G51" s="4" t="s">
        <v>47</v>
      </c>
      <c r="H51" s="4" t="s">
        <v>47</v>
      </c>
      <c r="I51" s="4" t="s">
        <v>47</v>
      </c>
      <c r="J51" s="4" t="s">
        <v>165</v>
      </c>
      <c r="K51" s="4" t="s">
        <v>166</v>
      </c>
      <c r="L51" s="3">
        <v>46174</v>
      </c>
      <c r="M51" s="4" t="s">
        <v>50</v>
      </c>
      <c r="N51" s="4" t="s">
        <v>47</v>
      </c>
      <c r="O51" s="4" t="s">
        <v>51</v>
      </c>
      <c r="P51" s="4" t="s">
        <v>167</v>
      </c>
      <c r="Q51" s="2">
        <v>1</v>
      </c>
      <c r="R51" s="2">
        <v>60</v>
      </c>
      <c r="S51" s="4" t="s">
        <v>168</v>
      </c>
      <c r="T51" s="4" t="s">
        <v>47</v>
      </c>
      <c r="U51" s="4" t="s">
        <v>47</v>
      </c>
      <c r="V51" s="5">
        <v>10</v>
      </c>
      <c r="W51" s="5">
        <v>29.86</v>
      </c>
      <c r="X51" s="5">
        <v>100</v>
      </c>
      <c r="Y51" s="5">
        <v>2.98</v>
      </c>
      <c r="Z51" s="4" t="s">
        <v>47</v>
      </c>
      <c r="AA51" s="5" t="s">
        <v>47</v>
      </c>
      <c r="AB51" s="4" t="s">
        <v>199</v>
      </c>
      <c r="AC51" s="4" t="s">
        <v>47</v>
      </c>
      <c r="AD51" s="5">
        <v>0</v>
      </c>
      <c r="AE51" s="4" t="s">
        <v>200</v>
      </c>
      <c r="AF51" s="3">
        <v>46023</v>
      </c>
      <c r="AG51" s="4" t="s">
        <v>47</v>
      </c>
      <c r="AH51" s="4" t="s">
        <v>47</v>
      </c>
      <c r="AI51" s="4" t="s">
        <v>47</v>
      </c>
      <c r="AJ51" s="4" t="s">
        <v>47</v>
      </c>
      <c r="AK51" s="4" t="s">
        <v>47</v>
      </c>
      <c r="AL51" s="4" t="s">
        <v>47</v>
      </c>
      <c r="AM51" s="4" t="s">
        <v>47</v>
      </c>
      <c r="AN51" s="4" t="s">
        <v>47</v>
      </c>
      <c r="AO51" s="4" t="s">
        <v>47</v>
      </c>
      <c r="AP51" s="4" t="s">
        <v>47</v>
      </c>
      <c r="AQ51" s="4" t="s">
        <v>47</v>
      </c>
    </row>
    <row r="52" spans="1:43" x14ac:dyDescent="0.25">
      <c r="A52" s="2">
        <v>1891456</v>
      </c>
      <c r="B52" s="3">
        <v>46162</v>
      </c>
      <c r="C52" s="4" t="s">
        <v>126</v>
      </c>
      <c r="D52" s="2">
        <v>1831491</v>
      </c>
      <c r="E52" s="4" t="s">
        <v>226</v>
      </c>
      <c r="F52" s="4" t="s">
        <v>227</v>
      </c>
      <c r="G52" s="4" t="s">
        <v>47</v>
      </c>
      <c r="H52" s="4" t="s">
        <v>47</v>
      </c>
      <c r="I52" s="4" t="s">
        <v>47</v>
      </c>
      <c r="J52" s="4" t="s">
        <v>165</v>
      </c>
      <c r="K52" s="4" t="s">
        <v>166</v>
      </c>
      <c r="L52" s="3">
        <v>46174</v>
      </c>
      <c r="M52" s="4" t="s">
        <v>50</v>
      </c>
      <c r="N52" s="4" t="s">
        <v>47</v>
      </c>
      <c r="O52" s="4" t="s">
        <v>51</v>
      </c>
      <c r="P52" s="4" t="s">
        <v>167</v>
      </c>
      <c r="Q52" s="2">
        <v>1</v>
      </c>
      <c r="R52" s="2">
        <v>60</v>
      </c>
      <c r="S52" s="4" t="s">
        <v>168</v>
      </c>
      <c r="T52" s="4" t="s">
        <v>47</v>
      </c>
      <c r="U52" s="4" t="s">
        <v>47</v>
      </c>
      <c r="V52" s="5">
        <v>10</v>
      </c>
      <c r="W52" s="5">
        <v>29.86</v>
      </c>
      <c r="X52" s="5">
        <v>100</v>
      </c>
      <c r="Y52" s="5">
        <v>2.98</v>
      </c>
      <c r="Z52" s="4" t="s">
        <v>47</v>
      </c>
      <c r="AA52" s="5" t="s">
        <v>47</v>
      </c>
      <c r="AB52" s="4" t="s">
        <v>199</v>
      </c>
      <c r="AC52" s="4" t="s">
        <v>47</v>
      </c>
      <c r="AD52" s="5">
        <v>0</v>
      </c>
      <c r="AE52" s="4" t="s">
        <v>200</v>
      </c>
      <c r="AF52" s="3">
        <v>46023</v>
      </c>
      <c r="AG52" s="4" t="s">
        <v>47</v>
      </c>
      <c r="AH52" s="4" t="s">
        <v>47</v>
      </c>
      <c r="AI52" s="4" t="s">
        <v>47</v>
      </c>
      <c r="AJ52" s="4" t="s">
        <v>47</v>
      </c>
      <c r="AK52" s="4" t="s">
        <v>47</v>
      </c>
      <c r="AL52" s="4" t="s">
        <v>47</v>
      </c>
      <c r="AM52" s="4" t="s">
        <v>47</v>
      </c>
      <c r="AN52" s="4" t="s">
        <v>47</v>
      </c>
      <c r="AO52" s="4" t="s">
        <v>47</v>
      </c>
      <c r="AP52" s="4" t="s">
        <v>47</v>
      </c>
      <c r="AQ52" s="4" t="s">
        <v>47</v>
      </c>
    </row>
    <row r="53" spans="1:43" x14ac:dyDescent="0.25">
      <c r="A53" s="2">
        <v>1891456</v>
      </c>
      <c r="B53" s="3">
        <v>46162</v>
      </c>
      <c r="C53" s="4" t="s">
        <v>126</v>
      </c>
      <c r="D53" s="2">
        <v>1831491</v>
      </c>
      <c r="E53" s="4" t="s">
        <v>228</v>
      </c>
      <c r="F53" s="4" t="s">
        <v>229</v>
      </c>
      <c r="G53" s="4" t="s">
        <v>47</v>
      </c>
      <c r="H53" s="4" t="s">
        <v>47</v>
      </c>
      <c r="I53" s="4" t="s">
        <v>47</v>
      </c>
      <c r="J53" s="4" t="s">
        <v>165</v>
      </c>
      <c r="K53" s="4" t="s">
        <v>166</v>
      </c>
      <c r="L53" s="3">
        <v>46174</v>
      </c>
      <c r="M53" s="4" t="s">
        <v>50</v>
      </c>
      <c r="N53" s="4" t="s">
        <v>47</v>
      </c>
      <c r="O53" s="4" t="s">
        <v>51</v>
      </c>
      <c r="P53" s="4" t="s">
        <v>167</v>
      </c>
      <c r="Q53" s="2">
        <v>3</v>
      </c>
      <c r="R53" s="2">
        <v>60</v>
      </c>
      <c r="S53" s="4" t="s">
        <v>168</v>
      </c>
      <c r="T53" s="4" t="s">
        <v>47</v>
      </c>
      <c r="U53" s="4" t="s">
        <v>47</v>
      </c>
      <c r="V53" s="5">
        <v>10</v>
      </c>
      <c r="W53" s="5">
        <v>93.6</v>
      </c>
      <c r="X53" s="5">
        <v>100</v>
      </c>
      <c r="Y53" s="5">
        <v>9.36</v>
      </c>
      <c r="Z53" s="4" t="s">
        <v>47</v>
      </c>
      <c r="AA53" s="5" t="s">
        <v>47</v>
      </c>
      <c r="AB53" s="4" t="s">
        <v>199</v>
      </c>
      <c r="AC53" s="4" t="s">
        <v>47</v>
      </c>
      <c r="AD53" s="5">
        <v>0</v>
      </c>
      <c r="AE53" s="4" t="s">
        <v>200</v>
      </c>
      <c r="AF53" s="3">
        <v>46023</v>
      </c>
      <c r="AG53" s="4" t="s">
        <v>47</v>
      </c>
      <c r="AH53" s="4" t="s">
        <v>47</v>
      </c>
      <c r="AI53" s="4" t="s">
        <v>47</v>
      </c>
      <c r="AJ53" s="4" t="s">
        <v>47</v>
      </c>
      <c r="AK53" s="4" t="s">
        <v>47</v>
      </c>
      <c r="AL53" s="4" t="s">
        <v>47</v>
      </c>
      <c r="AM53" s="4" t="s">
        <v>47</v>
      </c>
      <c r="AN53" s="4" t="s">
        <v>47</v>
      </c>
      <c r="AO53" s="4" t="s">
        <v>47</v>
      </c>
      <c r="AP53" s="4" t="s">
        <v>47</v>
      </c>
      <c r="AQ53" s="4" t="s">
        <v>47</v>
      </c>
    </row>
    <row r="54" spans="1:43" x14ac:dyDescent="0.25">
      <c r="A54" s="2">
        <v>1891456</v>
      </c>
      <c r="B54" s="3">
        <v>46162</v>
      </c>
      <c r="C54" s="4" t="s">
        <v>126</v>
      </c>
      <c r="D54" s="2">
        <v>1831491</v>
      </c>
      <c r="E54" s="4" t="s">
        <v>230</v>
      </c>
      <c r="F54" s="4" t="s">
        <v>231</v>
      </c>
      <c r="G54" s="4" t="s">
        <v>47</v>
      </c>
      <c r="H54" s="4" t="s">
        <v>47</v>
      </c>
      <c r="I54" s="4" t="s">
        <v>47</v>
      </c>
      <c r="J54" s="4" t="s">
        <v>165</v>
      </c>
      <c r="K54" s="4" t="s">
        <v>166</v>
      </c>
      <c r="L54" s="3">
        <v>46174</v>
      </c>
      <c r="M54" s="4" t="s">
        <v>50</v>
      </c>
      <c r="N54" s="4" t="s">
        <v>47</v>
      </c>
      <c r="O54" s="4" t="s">
        <v>51</v>
      </c>
      <c r="P54" s="4" t="s">
        <v>167</v>
      </c>
      <c r="Q54" s="2">
        <v>1</v>
      </c>
      <c r="R54" s="2">
        <v>60</v>
      </c>
      <c r="S54" s="4" t="s">
        <v>168</v>
      </c>
      <c r="T54" s="4" t="s">
        <v>47</v>
      </c>
      <c r="U54" s="4" t="s">
        <v>47</v>
      </c>
      <c r="V54" s="5">
        <v>10</v>
      </c>
      <c r="W54" s="5">
        <v>14.93</v>
      </c>
      <c r="X54" s="5">
        <v>100</v>
      </c>
      <c r="Y54" s="5">
        <v>1.49</v>
      </c>
      <c r="Z54" s="4" t="s">
        <v>47</v>
      </c>
      <c r="AA54" s="5" t="s">
        <v>47</v>
      </c>
      <c r="AB54" s="4" t="s">
        <v>199</v>
      </c>
      <c r="AC54" s="4" t="s">
        <v>47</v>
      </c>
      <c r="AD54" s="5">
        <v>0</v>
      </c>
      <c r="AE54" s="4" t="s">
        <v>200</v>
      </c>
      <c r="AF54" s="3">
        <v>46085</v>
      </c>
      <c r="AG54" s="4" t="s">
        <v>47</v>
      </c>
      <c r="AH54" s="4" t="s">
        <v>47</v>
      </c>
      <c r="AI54" s="4" t="s">
        <v>47</v>
      </c>
      <c r="AJ54" s="4" t="s">
        <v>47</v>
      </c>
      <c r="AK54" s="4" t="s">
        <v>47</v>
      </c>
      <c r="AL54" s="4" t="s">
        <v>47</v>
      </c>
      <c r="AM54" s="4" t="s">
        <v>47</v>
      </c>
      <c r="AN54" s="4" t="s">
        <v>47</v>
      </c>
      <c r="AO54" s="4" t="s">
        <v>47</v>
      </c>
      <c r="AP54" s="4" t="s">
        <v>47</v>
      </c>
      <c r="AQ54" s="4" t="s">
        <v>47</v>
      </c>
    </row>
    <row r="55" spans="1:43" x14ac:dyDescent="0.25">
      <c r="A55" s="2">
        <v>1891456</v>
      </c>
      <c r="B55" s="3">
        <v>46162</v>
      </c>
      <c r="C55" s="4" t="s">
        <v>126</v>
      </c>
      <c r="D55" s="2">
        <v>1831491</v>
      </c>
      <c r="E55" s="4" t="s">
        <v>232</v>
      </c>
      <c r="F55" s="4" t="s">
        <v>233</v>
      </c>
      <c r="G55" s="4" t="s">
        <v>47</v>
      </c>
      <c r="H55" s="4" t="s">
        <v>47</v>
      </c>
      <c r="I55" s="4" t="s">
        <v>47</v>
      </c>
      <c r="J55" s="4" t="s">
        <v>165</v>
      </c>
      <c r="K55" s="4" t="s">
        <v>166</v>
      </c>
      <c r="L55" s="3">
        <v>46204</v>
      </c>
      <c r="M55" s="4" t="s">
        <v>82</v>
      </c>
      <c r="N55" s="4" t="s">
        <v>47</v>
      </c>
      <c r="O55" s="4" t="s">
        <v>51</v>
      </c>
      <c r="P55" s="4" t="s">
        <v>167</v>
      </c>
      <c r="Q55" s="2">
        <v>1</v>
      </c>
      <c r="R55" s="2">
        <v>60</v>
      </c>
      <c r="S55" s="4" t="s">
        <v>168</v>
      </c>
      <c r="T55" s="4" t="s">
        <v>47</v>
      </c>
      <c r="U55" s="4" t="s">
        <v>47</v>
      </c>
      <c r="V55" s="5">
        <v>10</v>
      </c>
      <c r="W55" s="5">
        <v>14.93</v>
      </c>
      <c r="X55" s="5">
        <v>100</v>
      </c>
      <c r="Y55" s="5">
        <v>1.49</v>
      </c>
      <c r="Z55" s="4" t="s">
        <v>47</v>
      </c>
      <c r="AA55" s="5" t="s">
        <v>47</v>
      </c>
      <c r="AB55" s="4" t="s">
        <v>199</v>
      </c>
      <c r="AC55" s="4" t="s">
        <v>47</v>
      </c>
      <c r="AD55" s="5">
        <v>0</v>
      </c>
      <c r="AE55" s="4" t="s">
        <v>200</v>
      </c>
      <c r="AF55" s="3">
        <v>46137</v>
      </c>
      <c r="AG55" s="4" t="s">
        <v>47</v>
      </c>
      <c r="AH55" s="4" t="s">
        <v>47</v>
      </c>
      <c r="AI55" s="4" t="s">
        <v>47</v>
      </c>
      <c r="AJ55" s="4" t="s">
        <v>47</v>
      </c>
      <c r="AK55" s="4" t="s">
        <v>47</v>
      </c>
      <c r="AL55" s="4" t="s">
        <v>47</v>
      </c>
      <c r="AM55" s="4" t="s">
        <v>47</v>
      </c>
      <c r="AN55" s="4" t="s">
        <v>47</v>
      </c>
      <c r="AO55" s="4" t="s">
        <v>47</v>
      </c>
      <c r="AP55" s="4" t="s">
        <v>47</v>
      </c>
      <c r="AQ55" s="4" t="s">
        <v>47</v>
      </c>
    </row>
    <row r="56" spans="1:43" x14ac:dyDescent="0.25">
      <c r="A56" s="2">
        <v>1891456</v>
      </c>
      <c r="B56" s="3">
        <v>46162</v>
      </c>
      <c r="C56" s="4" t="s">
        <v>234</v>
      </c>
      <c r="D56" s="2">
        <v>1875462</v>
      </c>
      <c r="E56" s="4" t="s">
        <v>235</v>
      </c>
      <c r="F56" s="4" t="s">
        <v>236</v>
      </c>
      <c r="G56" s="4" t="s">
        <v>47</v>
      </c>
      <c r="H56" s="4" t="s">
        <v>47</v>
      </c>
      <c r="I56" s="4" t="s">
        <v>47</v>
      </c>
      <c r="J56" s="4" t="s">
        <v>185</v>
      </c>
      <c r="K56" s="4" t="s">
        <v>49</v>
      </c>
      <c r="L56" s="3">
        <v>46023</v>
      </c>
      <c r="M56" s="4" t="s">
        <v>67</v>
      </c>
      <c r="N56" s="4" t="s">
        <v>47</v>
      </c>
      <c r="O56" s="4" t="s">
        <v>51</v>
      </c>
      <c r="P56" s="4" t="s">
        <v>167</v>
      </c>
      <c r="Q56" s="2">
        <v>1</v>
      </c>
      <c r="R56" s="2">
        <v>17</v>
      </c>
      <c r="S56" s="4" t="s">
        <v>52</v>
      </c>
      <c r="T56" s="4" t="s">
        <v>47</v>
      </c>
      <c r="U56" s="4" t="s">
        <v>47</v>
      </c>
      <c r="V56" s="5">
        <v>26</v>
      </c>
      <c r="W56" s="5">
        <v>1634.16</v>
      </c>
      <c r="X56" s="5">
        <v>100</v>
      </c>
      <c r="Y56" s="5">
        <v>424.92</v>
      </c>
      <c r="Z56" s="5">
        <v>0</v>
      </c>
      <c r="AA56" s="5">
        <v>0</v>
      </c>
      <c r="AB56" s="4" t="s">
        <v>237</v>
      </c>
      <c r="AC56" s="4" t="s">
        <v>47</v>
      </c>
      <c r="AD56" s="5">
        <v>0</v>
      </c>
      <c r="AE56" s="4" t="s">
        <v>238</v>
      </c>
      <c r="AF56" s="3">
        <v>46023</v>
      </c>
      <c r="AG56" s="4" t="s">
        <v>47</v>
      </c>
      <c r="AH56" s="4" t="s">
        <v>47</v>
      </c>
      <c r="AI56" s="4" t="s">
        <v>47</v>
      </c>
      <c r="AJ56" s="4" t="s">
        <v>47</v>
      </c>
      <c r="AK56" s="4" t="s">
        <v>47</v>
      </c>
      <c r="AL56" s="4" t="s">
        <v>47</v>
      </c>
      <c r="AM56" s="4" t="s">
        <v>47</v>
      </c>
      <c r="AN56" s="4" t="s">
        <v>47</v>
      </c>
      <c r="AO56" s="4" t="s">
        <v>47</v>
      </c>
      <c r="AP56" s="4" t="s">
        <v>47</v>
      </c>
      <c r="AQ56" s="4" t="s">
        <v>186</v>
      </c>
    </row>
    <row r="57" spans="1:43" x14ac:dyDescent="0.25">
      <c r="A57" s="2">
        <v>1891456</v>
      </c>
      <c r="B57" s="3">
        <v>46162</v>
      </c>
      <c r="C57" s="4" t="s">
        <v>234</v>
      </c>
      <c r="D57" s="2">
        <v>1875462</v>
      </c>
      <c r="E57" s="4" t="s">
        <v>239</v>
      </c>
      <c r="F57" s="4" t="s">
        <v>240</v>
      </c>
      <c r="G57" s="4" t="s">
        <v>47</v>
      </c>
      <c r="H57" s="4" t="s">
        <v>47</v>
      </c>
      <c r="I57" s="4" t="s">
        <v>47</v>
      </c>
      <c r="J57" s="4" t="s">
        <v>185</v>
      </c>
      <c r="K57" s="4" t="s">
        <v>49</v>
      </c>
      <c r="L57" s="3">
        <v>46113</v>
      </c>
      <c r="M57" s="4" t="s">
        <v>93</v>
      </c>
      <c r="N57" s="4" t="s">
        <v>47</v>
      </c>
      <c r="O57" s="4" t="s">
        <v>51</v>
      </c>
      <c r="P57" s="4" t="s">
        <v>167</v>
      </c>
      <c r="Q57" s="2">
        <v>1</v>
      </c>
      <c r="R57" s="2">
        <v>17</v>
      </c>
      <c r="S57" s="4" t="s">
        <v>52</v>
      </c>
      <c r="T57" s="4" t="s">
        <v>47</v>
      </c>
      <c r="U57" s="4" t="s">
        <v>47</v>
      </c>
      <c r="V57" s="5">
        <v>26</v>
      </c>
      <c r="W57" s="5">
        <v>1448.88</v>
      </c>
      <c r="X57" s="5">
        <v>100</v>
      </c>
      <c r="Y57" s="5">
        <v>376.68</v>
      </c>
      <c r="Z57" s="5">
        <v>0</v>
      </c>
      <c r="AA57" s="5">
        <v>0</v>
      </c>
      <c r="AB57" s="4" t="s">
        <v>216</v>
      </c>
      <c r="AC57" s="4" t="s">
        <v>47</v>
      </c>
      <c r="AD57" s="5">
        <v>0</v>
      </c>
      <c r="AE57" s="4" t="s">
        <v>217</v>
      </c>
      <c r="AF57" s="3">
        <v>46113</v>
      </c>
      <c r="AG57" s="4" t="s">
        <v>47</v>
      </c>
      <c r="AH57" s="4" t="s">
        <v>47</v>
      </c>
      <c r="AI57" s="4" t="s">
        <v>47</v>
      </c>
      <c r="AJ57" s="4" t="s">
        <v>47</v>
      </c>
      <c r="AK57" s="4" t="s">
        <v>47</v>
      </c>
      <c r="AL57" s="4" t="s">
        <v>47</v>
      </c>
      <c r="AM57" s="4" t="s">
        <v>47</v>
      </c>
      <c r="AN57" s="4" t="s">
        <v>47</v>
      </c>
      <c r="AO57" s="4" t="s">
        <v>47</v>
      </c>
      <c r="AP57" s="4" t="s">
        <v>47</v>
      </c>
      <c r="AQ57" s="4" t="s">
        <v>186</v>
      </c>
    </row>
    <row r="58" spans="1:43" x14ac:dyDescent="0.25">
      <c r="A58" s="2">
        <v>1891456</v>
      </c>
      <c r="B58" s="3">
        <v>46162</v>
      </c>
      <c r="C58" s="4" t="s">
        <v>241</v>
      </c>
      <c r="D58" s="2">
        <v>1982315</v>
      </c>
      <c r="E58" s="4" t="s">
        <v>242</v>
      </c>
      <c r="F58" s="4" t="s">
        <v>243</v>
      </c>
      <c r="G58" s="4" t="s">
        <v>47</v>
      </c>
      <c r="H58" s="4" t="s">
        <v>47</v>
      </c>
      <c r="I58" s="4" t="s">
        <v>47</v>
      </c>
      <c r="J58" s="4" t="s">
        <v>185</v>
      </c>
      <c r="K58" s="4" t="s">
        <v>49</v>
      </c>
      <c r="L58" s="3">
        <v>46143</v>
      </c>
      <c r="M58" s="4" t="s">
        <v>121</v>
      </c>
      <c r="N58" s="4" t="s">
        <v>47</v>
      </c>
      <c r="O58" s="4" t="s">
        <v>51</v>
      </c>
      <c r="P58" s="4" t="s">
        <v>167</v>
      </c>
      <c r="Q58" s="2">
        <v>1</v>
      </c>
      <c r="R58" s="2">
        <v>17</v>
      </c>
      <c r="S58" s="4" t="s">
        <v>52</v>
      </c>
      <c r="T58" s="4" t="s">
        <v>47</v>
      </c>
      <c r="U58" s="4" t="s">
        <v>47</v>
      </c>
      <c r="V58" s="5">
        <v>22</v>
      </c>
      <c r="W58" s="5">
        <v>2148.2399999999998</v>
      </c>
      <c r="X58" s="5">
        <v>100</v>
      </c>
      <c r="Y58" s="5">
        <v>472.56</v>
      </c>
      <c r="Z58" s="5">
        <v>0</v>
      </c>
      <c r="AA58" s="5">
        <v>0</v>
      </c>
      <c r="AB58" s="4" t="s">
        <v>237</v>
      </c>
      <c r="AC58" s="4" t="s">
        <v>47</v>
      </c>
      <c r="AD58" s="5">
        <v>0</v>
      </c>
      <c r="AE58" s="4" t="s">
        <v>238</v>
      </c>
      <c r="AF58" s="3">
        <v>46143</v>
      </c>
      <c r="AG58" s="4" t="s">
        <v>47</v>
      </c>
      <c r="AH58" s="4" t="s">
        <v>47</v>
      </c>
      <c r="AI58" s="4" t="s">
        <v>47</v>
      </c>
      <c r="AJ58" s="4" t="s">
        <v>47</v>
      </c>
      <c r="AK58" s="4" t="s">
        <v>47</v>
      </c>
      <c r="AL58" s="4" t="s">
        <v>47</v>
      </c>
      <c r="AM58" s="4" t="s">
        <v>47</v>
      </c>
      <c r="AN58" s="4" t="s">
        <v>47</v>
      </c>
      <c r="AO58" s="4" t="s">
        <v>47</v>
      </c>
      <c r="AP58" s="4" t="s">
        <v>47</v>
      </c>
      <c r="AQ58" s="4" t="s">
        <v>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4E7F-1458-4049-8507-8C91B8E96E71}">
  <dimension ref="A1:AQ61"/>
  <sheetViews>
    <sheetView tabSelected="1" workbookViewId="0">
      <selection activeCell="D6" sqref="D6"/>
    </sheetView>
  </sheetViews>
  <sheetFormatPr defaultRowHeight="13.2" x14ac:dyDescent="0.25"/>
  <cols>
    <col min="1" max="1" width="24.6640625" bestFit="1" customWidth="1"/>
    <col min="2" max="2" width="11.33203125" bestFit="1" customWidth="1"/>
    <col min="3" max="3" width="19.5546875" customWidth="1"/>
    <col min="4" max="4" width="13.33203125" bestFit="1" customWidth="1"/>
    <col min="5" max="6" width="11.44140625" bestFit="1" customWidth="1"/>
    <col min="7" max="7" width="13.33203125" customWidth="1"/>
    <col min="8" max="8" width="10.21875" customWidth="1"/>
    <col min="9" max="9" width="8" customWidth="1"/>
    <col min="10" max="10" width="7.88671875" customWidth="1"/>
    <col min="11" max="11" width="9.109375" customWidth="1"/>
    <col min="12" max="12" width="39.44140625" bestFit="1" customWidth="1"/>
    <col min="13" max="13" width="11.88671875" customWidth="1"/>
    <col min="14" max="14" width="10.109375" customWidth="1"/>
    <col min="15" max="15" width="18.21875" customWidth="1"/>
    <col min="16" max="16" width="21.33203125" bestFit="1" customWidth="1"/>
    <col min="17" max="17" width="12" bestFit="1" customWidth="1"/>
    <col min="19" max="19" width="13.33203125" bestFit="1" customWidth="1"/>
    <col min="20" max="20" width="15.33203125" bestFit="1" customWidth="1"/>
    <col min="21" max="21" width="19.6640625" customWidth="1"/>
    <col min="22" max="22" width="10.109375" bestFit="1" customWidth="1"/>
  </cols>
  <sheetData>
    <row r="1" spans="1:2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23" s="28" customFormat="1" x14ac:dyDescent="0.25">
      <c r="A2" s="25" t="s">
        <v>182</v>
      </c>
      <c r="B2" s="28">
        <v>16202925</v>
      </c>
      <c r="C2" s="25" t="s">
        <v>183</v>
      </c>
      <c r="D2" s="25" t="s">
        <v>184</v>
      </c>
      <c r="E2" s="26">
        <v>46174</v>
      </c>
      <c r="F2" s="25" t="s">
        <v>50</v>
      </c>
      <c r="G2" s="25" t="s">
        <v>52</v>
      </c>
      <c r="H2" s="25" t="s">
        <v>47</v>
      </c>
      <c r="I2" s="27">
        <v>15</v>
      </c>
      <c r="J2" s="27">
        <v>143.26</v>
      </c>
      <c r="K2" s="27">
        <v>21.49</v>
      </c>
      <c r="L2" s="25" t="s">
        <v>54</v>
      </c>
      <c r="M2" s="26">
        <v>46113</v>
      </c>
      <c r="N2" s="26">
        <v>46174</v>
      </c>
      <c r="O2" s="28" t="s">
        <v>249</v>
      </c>
      <c r="S2" s="25" t="s">
        <v>184</v>
      </c>
      <c r="T2" s="28" t="str">
        <f>CONCATENATE(S2,8)</f>
        <v>00001158481A8</v>
      </c>
      <c r="U2" s="25" t="s">
        <v>269</v>
      </c>
      <c r="V2" s="28" t="s">
        <v>270</v>
      </c>
      <c r="W2" s="28" t="str">
        <f>CONCATENATE(V2," ",U2)</f>
        <v>GREGORY LOPOSSA</v>
      </c>
    </row>
    <row r="3" spans="1:23" s="36" customFormat="1" x14ac:dyDescent="0.25">
      <c r="A3" s="35" t="s">
        <v>241</v>
      </c>
      <c r="B3" s="36">
        <v>21618313</v>
      </c>
      <c r="C3" s="35" t="s">
        <v>242</v>
      </c>
      <c r="D3" s="35" t="s">
        <v>243</v>
      </c>
      <c r="E3" s="37">
        <v>46143</v>
      </c>
      <c r="F3" s="35" t="s">
        <v>121</v>
      </c>
      <c r="G3" s="35" t="s">
        <v>52</v>
      </c>
      <c r="H3" s="35" t="s">
        <v>47</v>
      </c>
      <c r="I3" s="38">
        <v>22</v>
      </c>
      <c r="J3" s="38">
        <v>2148.2399999999998</v>
      </c>
      <c r="K3" s="38">
        <v>472.56</v>
      </c>
      <c r="L3" s="35" t="s">
        <v>237</v>
      </c>
      <c r="M3" s="37">
        <v>46143</v>
      </c>
      <c r="N3" s="37">
        <v>46508</v>
      </c>
      <c r="O3" s="36" t="s">
        <v>248</v>
      </c>
      <c r="S3" s="35" t="s">
        <v>243</v>
      </c>
      <c r="T3" s="36" t="str">
        <f>CONCATENATE(S3,8)</f>
        <v>00001162461A8</v>
      </c>
      <c r="U3" s="35" t="s">
        <v>257</v>
      </c>
      <c r="V3" s="36" t="s">
        <v>258</v>
      </c>
      <c r="W3" s="36" t="str">
        <f>CONCATENATE(V3," ",U3)</f>
        <v>ANDREA MURPHY</v>
      </c>
    </row>
    <row r="4" spans="1:23" s="36" customFormat="1" x14ac:dyDescent="0.25">
      <c r="A4" s="35" t="s">
        <v>234</v>
      </c>
      <c r="B4" s="36" t="s">
        <v>355</v>
      </c>
      <c r="C4" s="35" t="s">
        <v>235</v>
      </c>
      <c r="D4" s="35" t="s">
        <v>236</v>
      </c>
      <c r="E4" s="37">
        <v>46023</v>
      </c>
      <c r="F4" s="35" t="s">
        <v>67</v>
      </c>
      <c r="G4" s="35" t="s">
        <v>52</v>
      </c>
      <c r="H4" s="35" t="s">
        <v>47</v>
      </c>
      <c r="I4" s="38">
        <v>26</v>
      </c>
      <c r="J4" s="38">
        <v>1634.16</v>
      </c>
      <c r="K4" s="38">
        <v>424.92</v>
      </c>
      <c r="L4" s="35" t="s">
        <v>237</v>
      </c>
      <c r="M4" s="37">
        <v>46023</v>
      </c>
      <c r="N4" s="37">
        <v>46388</v>
      </c>
      <c r="O4" s="36" t="s">
        <v>247</v>
      </c>
      <c r="S4" s="35" t="s">
        <v>236</v>
      </c>
      <c r="T4" s="36" t="str">
        <f>CONCATENATE(S4,8)</f>
        <v>00001123777A8</v>
      </c>
      <c r="U4" s="35" t="s">
        <v>263</v>
      </c>
      <c r="V4" s="36" t="s">
        <v>264</v>
      </c>
      <c r="W4" s="36" t="str">
        <f>CONCATENATE(V4," ",U4)</f>
        <v>MICHAEL CHIUSANO</v>
      </c>
    </row>
    <row r="5" spans="1:23" s="36" customFormat="1" x14ac:dyDescent="0.25">
      <c r="A5" s="35" t="s">
        <v>126</v>
      </c>
      <c r="B5" s="36">
        <v>18828278</v>
      </c>
      <c r="C5" s="35" t="s">
        <v>214</v>
      </c>
      <c r="D5" s="35" t="s">
        <v>215</v>
      </c>
      <c r="E5" s="37">
        <v>46174</v>
      </c>
      <c r="F5" s="35" t="s">
        <v>50</v>
      </c>
      <c r="G5" s="35" t="s">
        <v>52</v>
      </c>
      <c r="H5" s="35" t="s">
        <v>47</v>
      </c>
      <c r="I5" s="38">
        <v>22</v>
      </c>
      <c r="J5" s="38">
        <v>2115.96</v>
      </c>
      <c r="K5" s="38">
        <v>465.48</v>
      </c>
      <c r="L5" s="35" t="s">
        <v>216</v>
      </c>
      <c r="M5" s="37">
        <v>46174</v>
      </c>
      <c r="N5" s="37">
        <v>46539</v>
      </c>
      <c r="O5" s="36" t="s">
        <v>248</v>
      </c>
      <c r="S5" s="35" t="s">
        <v>215</v>
      </c>
      <c r="T5" s="36" t="str">
        <f>CONCATENATE(S5,8)</f>
        <v>00001164353A8</v>
      </c>
      <c r="U5" s="35" t="s">
        <v>259</v>
      </c>
      <c r="V5" s="36" t="s">
        <v>260</v>
      </c>
      <c r="W5" s="36" t="str">
        <f>CONCATENATE(V5," ",U5)</f>
        <v>HENRY JARZABKOWSKI</v>
      </c>
    </row>
    <row r="6" spans="1:23" s="36" customFormat="1" x14ac:dyDescent="0.25">
      <c r="A6" s="35" t="s">
        <v>234</v>
      </c>
      <c r="B6" s="36">
        <v>19278370</v>
      </c>
      <c r="C6" s="35" t="s">
        <v>239</v>
      </c>
      <c r="D6" s="35" t="s">
        <v>240</v>
      </c>
      <c r="E6" s="37">
        <v>46113</v>
      </c>
      <c r="F6" s="35" t="s">
        <v>93</v>
      </c>
      <c r="G6" s="35" t="s">
        <v>52</v>
      </c>
      <c r="H6" s="35" t="s">
        <v>47</v>
      </c>
      <c r="I6" s="38">
        <v>26</v>
      </c>
      <c r="J6" s="38">
        <v>1448.88</v>
      </c>
      <c r="K6" s="38">
        <v>376.68</v>
      </c>
      <c r="L6" s="35" t="s">
        <v>216</v>
      </c>
      <c r="M6" s="37">
        <v>46113</v>
      </c>
      <c r="N6" s="37">
        <v>46478</v>
      </c>
      <c r="O6" s="36" t="s">
        <v>247</v>
      </c>
      <c r="S6" s="35" t="s">
        <v>240</v>
      </c>
      <c r="T6" s="36" t="str">
        <f>CONCATENATE(S6,8)</f>
        <v>00001173935A8</v>
      </c>
      <c r="U6" s="35" t="s">
        <v>265</v>
      </c>
      <c r="V6" s="36" t="s">
        <v>266</v>
      </c>
      <c r="W6" s="36" t="str">
        <f>CONCATENATE(V6," ",U6)</f>
        <v>TRACY SCOTA</v>
      </c>
    </row>
    <row r="7" spans="1:23" s="28" customFormat="1" x14ac:dyDescent="0.25">
      <c r="A7" s="25" t="s">
        <v>187</v>
      </c>
      <c r="B7" s="28">
        <v>17528908</v>
      </c>
      <c r="C7" s="25" t="s">
        <v>192</v>
      </c>
      <c r="D7" s="25" t="s">
        <v>193</v>
      </c>
      <c r="E7" s="26">
        <v>46174</v>
      </c>
      <c r="F7" s="25" t="s">
        <v>50</v>
      </c>
      <c r="G7" s="25" t="s">
        <v>52</v>
      </c>
      <c r="H7" s="25" t="s">
        <v>47</v>
      </c>
      <c r="I7" s="27">
        <v>22</v>
      </c>
      <c r="J7" s="27">
        <v>138.55000000000001</v>
      </c>
      <c r="K7" s="27">
        <v>30.48</v>
      </c>
      <c r="L7" s="25" t="s">
        <v>190</v>
      </c>
      <c r="M7" s="26">
        <v>45566</v>
      </c>
      <c r="N7" s="26">
        <v>46174</v>
      </c>
      <c r="O7" s="28" t="s">
        <v>248</v>
      </c>
      <c r="S7" s="25" t="s">
        <v>193</v>
      </c>
      <c r="T7" s="28" t="str">
        <f>CONCATENATE(S7,8)</f>
        <v>00000871454A8</v>
      </c>
      <c r="U7" s="25" t="s">
        <v>261</v>
      </c>
      <c r="V7" s="28" t="s">
        <v>262</v>
      </c>
      <c r="W7" s="28" t="str">
        <f>CONCATENATE(V7," ",U7)</f>
        <v>TIMMY BRACE</v>
      </c>
    </row>
    <row r="8" spans="1:23" s="28" customFormat="1" x14ac:dyDescent="0.25">
      <c r="A8" s="25" t="s">
        <v>187</v>
      </c>
      <c r="B8" s="28">
        <v>17528908</v>
      </c>
      <c r="C8" s="25" t="s">
        <v>188</v>
      </c>
      <c r="D8" s="25" t="s">
        <v>189</v>
      </c>
      <c r="E8" s="26">
        <v>46174</v>
      </c>
      <c r="F8" s="25" t="s">
        <v>50</v>
      </c>
      <c r="G8" s="25" t="s">
        <v>52</v>
      </c>
      <c r="H8" s="25" t="s">
        <v>47</v>
      </c>
      <c r="I8" s="27">
        <v>26</v>
      </c>
      <c r="J8" s="27">
        <v>307</v>
      </c>
      <c r="K8" s="27">
        <v>79.819999999999993</v>
      </c>
      <c r="L8" s="25" t="s">
        <v>190</v>
      </c>
      <c r="M8" s="26">
        <v>45292</v>
      </c>
      <c r="N8" s="26">
        <v>46174</v>
      </c>
      <c r="O8" s="28" t="s">
        <v>247</v>
      </c>
      <c r="S8" s="25" t="s">
        <v>189</v>
      </c>
      <c r="T8" s="28" t="str">
        <f>CONCATENATE(S8,8)</f>
        <v>00000789641A8</v>
      </c>
      <c r="U8" s="25" t="s">
        <v>267</v>
      </c>
      <c r="V8" s="28" t="s">
        <v>268</v>
      </c>
      <c r="W8" s="28" t="str">
        <f>CONCATENATE(V8," ",U8)</f>
        <v>DAVID SCHUBERT</v>
      </c>
    </row>
    <row r="9" spans="1:23" s="9" customFormat="1" x14ac:dyDescent="0.25">
      <c r="A9" s="6" t="s">
        <v>162</v>
      </c>
      <c r="B9" s="9">
        <v>8244481</v>
      </c>
      <c r="C9" s="6" t="s">
        <v>163</v>
      </c>
      <c r="D9" s="18">
        <v>9028205190</v>
      </c>
      <c r="E9" s="7">
        <v>46174</v>
      </c>
      <c r="F9" s="6" t="s">
        <v>50</v>
      </c>
      <c r="G9" s="6" t="s">
        <v>168</v>
      </c>
      <c r="H9" s="6" t="s">
        <v>47</v>
      </c>
      <c r="I9" s="8">
        <v>10</v>
      </c>
      <c r="J9" s="8">
        <v>26.88</v>
      </c>
      <c r="K9" s="8">
        <v>2.69</v>
      </c>
      <c r="L9" s="6" t="s">
        <v>169</v>
      </c>
      <c r="M9" s="7">
        <v>45276</v>
      </c>
      <c r="N9" s="7">
        <v>46174</v>
      </c>
      <c r="O9" s="9" t="s">
        <v>244</v>
      </c>
      <c r="S9" s="18">
        <v>9028205190</v>
      </c>
      <c r="T9" s="9" t="str">
        <f>CONCATENATE(S9,4)</f>
        <v>90282051904</v>
      </c>
      <c r="U9" s="6" t="s">
        <v>301</v>
      </c>
      <c r="V9" s="9" t="s">
        <v>302</v>
      </c>
      <c r="W9" s="9" t="str">
        <f>CONCATENATE(V9," ",U9)</f>
        <v>Joseph Elliott</v>
      </c>
    </row>
    <row r="10" spans="1:23" s="9" customFormat="1" x14ac:dyDescent="0.25">
      <c r="A10" s="6" t="s">
        <v>126</v>
      </c>
      <c r="B10" s="9">
        <v>18828278</v>
      </c>
      <c r="C10" s="6" t="s">
        <v>232</v>
      </c>
      <c r="D10" s="18">
        <v>9032293670</v>
      </c>
      <c r="E10" s="7">
        <v>46204</v>
      </c>
      <c r="F10" s="6" t="s">
        <v>82</v>
      </c>
      <c r="G10" s="6" t="s">
        <v>168</v>
      </c>
      <c r="H10" s="6" t="s">
        <v>47</v>
      </c>
      <c r="I10" s="8">
        <v>10</v>
      </c>
      <c r="J10" s="8">
        <v>14.93</v>
      </c>
      <c r="K10" s="8">
        <v>1.49</v>
      </c>
      <c r="L10" s="6" t="s">
        <v>199</v>
      </c>
      <c r="M10" s="7">
        <v>46137</v>
      </c>
      <c r="N10" s="7">
        <v>46204</v>
      </c>
      <c r="O10" s="9" t="s">
        <v>244</v>
      </c>
      <c r="S10" s="18">
        <v>9032293670</v>
      </c>
      <c r="T10" s="9" t="str">
        <f>CONCATENATE(S10,4)</f>
        <v>90322936704</v>
      </c>
      <c r="U10" s="6" t="s">
        <v>299</v>
      </c>
      <c r="V10" s="9" t="s">
        <v>300</v>
      </c>
      <c r="W10" s="9" t="str">
        <f>CONCATENATE(V10," ",U10)</f>
        <v>Israel Magana-Gutierrez</v>
      </c>
    </row>
    <row r="11" spans="1:23" s="9" customFormat="1" x14ac:dyDescent="0.25">
      <c r="A11" s="6" t="s">
        <v>126</v>
      </c>
      <c r="B11" s="9">
        <v>18828278</v>
      </c>
      <c r="C11" s="6" t="s">
        <v>230</v>
      </c>
      <c r="D11" s="18">
        <v>9032034060</v>
      </c>
      <c r="E11" s="7">
        <v>46174</v>
      </c>
      <c r="F11" s="6" t="s">
        <v>50</v>
      </c>
      <c r="G11" s="6" t="s">
        <v>168</v>
      </c>
      <c r="H11" s="6" t="s">
        <v>47</v>
      </c>
      <c r="I11" s="8">
        <v>10</v>
      </c>
      <c r="J11" s="8">
        <v>14.93</v>
      </c>
      <c r="K11" s="8">
        <v>1.49</v>
      </c>
      <c r="L11" s="6" t="s">
        <v>199</v>
      </c>
      <c r="M11" s="7">
        <v>46085</v>
      </c>
      <c r="N11" s="7">
        <v>46174</v>
      </c>
      <c r="O11" s="9" t="s">
        <v>244</v>
      </c>
      <c r="S11" s="18">
        <v>9032034060</v>
      </c>
      <c r="T11" s="9" t="str">
        <f>CONCATENATE(S11,4)</f>
        <v>90320340604</v>
      </c>
      <c r="U11" s="6" t="s">
        <v>297</v>
      </c>
      <c r="V11" s="9" t="s">
        <v>298</v>
      </c>
      <c r="W11" s="9" t="str">
        <f>CONCATENATE(V11," ",U11)</f>
        <v>Felicia Adams</v>
      </c>
    </row>
    <row r="12" spans="1:23" s="9" customFormat="1" x14ac:dyDescent="0.25">
      <c r="A12" s="6" t="s">
        <v>126</v>
      </c>
      <c r="B12" s="9">
        <v>18828278</v>
      </c>
      <c r="C12" s="6" t="s">
        <v>218</v>
      </c>
      <c r="D12" s="18">
        <v>9031456350</v>
      </c>
      <c r="E12" s="7">
        <v>46143</v>
      </c>
      <c r="F12" s="6" t="s">
        <v>121</v>
      </c>
      <c r="G12" s="6" t="s">
        <v>168</v>
      </c>
      <c r="H12" s="6" t="s">
        <v>47</v>
      </c>
      <c r="I12" s="8">
        <v>10</v>
      </c>
      <c r="J12" s="8">
        <v>14.93</v>
      </c>
      <c r="K12" s="8">
        <v>1.49</v>
      </c>
      <c r="L12" s="6" t="s">
        <v>199</v>
      </c>
      <c r="M12" s="7">
        <v>46023</v>
      </c>
      <c r="N12" s="7">
        <v>46143</v>
      </c>
      <c r="O12" s="9" t="s">
        <v>244</v>
      </c>
      <c r="S12" s="18">
        <v>9031456350</v>
      </c>
      <c r="T12" s="9" t="str">
        <f>CONCATENATE(S12,4)</f>
        <v>90314563504</v>
      </c>
      <c r="U12" s="6" t="s">
        <v>285</v>
      </c>
      <c r="V12" s="9" t="s">
        <v>286</v>
      </c>
      <c r="W12" s="9" t="str">
        <f>CONCATENATE(V12," ",U12)</f>
        <v>Paulette Moody</v>
      </c>
    </row>
    <row r="13" spans="1:23" s="9" customFormat="1" x14ac:dyDescent="0.25">
      <c r="A13" s="6" t="s">
        <v>126</v>
      </c>
      <c r="B13" s="9">
        <v>18828278</v>
      </c>
      <c r="C13" s="6" t="s">
        <v>220</v>
      </c>
      <c r="D13" s="18">
        <v>9031539870</v>
      </c>
      <c r="E13" s="7">
        <v>46174</v>
      </c>
      <c r="F13" s="6" t="s">
        <v>50</v>
      </c>
      <c r="G13" s="6" t="s">
        <v>168</v>
      </c>
      <c r="H13" s="6" t="s">
        <v>47</v>
      </c>
      <c r="I13" s="8">
        <v>10</v>
      </c>
      <c r="J13" s="8">
        <v>26.88</v>
      </c>
      <c r="K13" s="8">
        <v>2.69</v>
      </c>
      <c r="L13" s="6" t="s">
        <v>199</v>
      </c>
      <c r="M13" s="7">
        <v>46023</v>
      </c>
      <c r="N13" s="7">
        <v>46174</v>
      </c>
      <c r="O13" s="9" t="s">
        <v>244</v>
      </c>
      <c r="S13" s="18">
        <v>9031539870</v>
      </c>
      <c r="T13" s="9" t="str">
        <f>CONCATENATE(S13,4)</f>
        <v>90315398704</v>
      </c>
      <c r="U13" s="6" t="s">
        <v>287</v>
      </c>
      <c r="V13" s="9" t="s">
        <v>288</v>
      </c>
      <c r="W13" s="9" t="str">
        <f>CONCATENATE(V13," ",U13)</f>
        <v>Mark Clinton</v>
      </c>
    </row>
    <row r="14" spans="1:23" s="9" customFormat="1" x14ac:dyDescent="0.25">
      <c r="A14" s="6" t="s">
        <v>126</v>
      </c>
      <c r="B14" s="9">
        <v>18828278</v>
      </c>
      <c r="C14" s="6" t="s">
        <v>222</v>
      </c>
      <c r="D14" s="18">
        <v>9031563720</v>
      </c>
      <c r="E14" s="7">
        <v>46174</v>
      </c>
      <c r="F14" s="6" t="s">
        <v>50</v>
      </c>
      <c r="G14" s="6" t="s">
        <v>168</v>
      </c>
      <c r="H14" s="6" t="s">
        <v>47</v>
      </c>
      <c r="I14" s="8">
        <v>10</v>
      </c>
      <c r="J14" s="8">
        <v>29.86</v>
      </c>
      <c r="K14" s="8">
        <v>2.99</v>
      </c>
      <c r="L14" s="6" t="s">
        <v>199</v>
      </c>
      <c r="M14" s="7">
        <v>46023</v>
      </c>
      <c r="N14" s="7">
        <v>46174</v>
      </c>
      <c r="O14" s="9" t="s">
        <v>244</v>
      </c>
      <c r="S14" s="18">
        <v>9031563720</v>
      </c>
      <c r="T14" s="9" t="str">
        <f>CONCATENATE(S14,4)</f>
        <v>90315637204</v>
      </c>
      <c r="U14" s="6" t="s">
        <v>289</v>
      </c>
      <c r="V14" s="9" t="s">
        <v>290</v>
      </c>
      <c r="W14" s="9" t="str">
        <f>CONCATENATE(V14," ",U14)</f>
        <v>Michele Dallas</v>
      </c>
    </row>
    <row r="15" spans="1:23" s="9" customFormat="1" x14ac:dyDescent="0.25">
      <c r="A15" s="6" t="s">
        <v>126</v>
      </c>
      <c r="B15" s="9">
        <v>18828278</v>
      </c>
      <c r="C15" s="6" t="s">
        <v>224</v>
      </c>
      <c r="D15" s="18">
        <v>9031580060</v>
      </c>
      <c r="E15" s="7">
        <v>46174</v>
      </c>
      <c r="F15" s="6" t="s">
        <v>50</v>
      </c>
      <c r="G15" s="6" t="s">
        <v>168</v>
      </c>
      <c r="H15" s="6" t="s">
        <v>47</v>
      </c>
      <c r="I15" s="8">
        <v>10</v>
      </c>
      <c r="J15" s="8">
        <v>29.86</v>
      </c>
      <c r="K15" s="8">
        <v>2.98</v>
      </c>
      <c r="L15" s="6" t="s">
        <v>199</v>
      </c>
      <c r="M15" s="7">
        <v>46023</v>
      </c>
      <c r="N15" s="7">
        <v>46174</v>
      </c>
      <c r="O15" s="9" t="s">
        <v>244</v>
      </c>
      <c r="S15" s="18">
        <v>9031580060</v>
      </c>
      <c r="T15" s="9" t="str">
        <f>CONCATENATE(S15,4)</f>
        <v>90315800604</v>
      </c>
      <c r="U15" s="6" t="s">
        <v>291</v>
      </c>
      <c r="V15" s="9" t="s">
        <v>292</v>
      </c>
      <c r="W15" s="9" t="str">
        <f>CONCATENATE(V15," ",U15)</f>
        <v>James Quaid</v>
      </c>
    </row>
    <row r="16" spans="1:23" s="9" customFormat="1" x14ac:dyDescent="0.25">
      <c r="A16" s="6" t="s">
        <v>126</v>
      </c>
      <c r="B16" s="9">
        <v>18828278</v>
      </c>
      <c r="C16" s="6" t="s">
        <v>226</v>
      </c>
      <c r="D16" s="18">
        <v>9031582510</v>
      </c>
      <c r="E16" s="7">
        <v>46174</v>
      </c>
      <c r="F16" s="6" t="s">
        <v>50</v>
      </c>
      <c r="G16" s="6" t="s">
        <v>168</v>
      </c>
      <c r="H16" s="6" t="s">
        <v>47</v>
      </c>
      <c r="I16" s="8">
        <v>10</v>
      </c>
      <c r="J16" s="8">
        <v>29.86</v>
      </c>
      <c r="K16" s="8">
        <v>2.98</v>
      </c>
      <c r="L16" s="6" t="s">
        <v>199</v>
      </c>
      <c r="M16" s="7">
        <v>46023</v>
      </c>
      <c r="N16" s="7">
        <v>46174</v>
      </c>
      <c r="O16" s="9" t="s">
        <v>244</v>
      </c>
      <c r="S16" s="18">
        <v>9031582510</v>
      </c>
      <c r="T16" s="9" t="str">
        <f>CONCATENATE(S16,4)</f>
        <v>90315825104</v>
      </c>
      <c r="U16" s="6" t="s">
        <v>293</v>
      </c>
      <c r="V16" s="9" t="s">
        <v>294</v>
      </c>
      <c r="W16" s="9" t="str">
        <f>CONCATENATE(V16," ",U16)</f>
        <v>Adam Murray</v>
      </c>
    </row>
    <row r="17" spans="1:43" s="9" customFormat="1" x14ac:dyDescent="0.25">
      <c r="A17" s="6" t="s">
        <v>126</v>
      </c>
      <c r="B17" s="9">
        <v>18828278</v>
      </c>
      <c r="C17" s="6" t="s">
        <v>228</v>
      </c>
      <c r="D17" s="18">
        <v>9031617040</v>
      </c>
      <c r="E17" s="7">
        <v>46174</v>
      </c>
      <c r="F17" s="6" t="s">
        <v>50</v>
      </c>
      <c r="G17" s="6" t="s">
        <v>168</v>
      </c>
      <c r="H17" s="6" t="s">
        <v>47</v>
      </c>
      <c r="I17" s="8">
        <v>10</v>
      </c>
      <c r="J17" s="8">
        <v>93.6</v>
      </c>
      <c r="K17" s="8">
        <v>9.36</v>
      </c>
      <c r="L17" s="6" t="s">
        <v>199</v>
      </c>
      <c r="M17" s="7">
        <v>46023</v>
      </c>
      <c r="N17" s="7">
        <v>46174</v>
      </c>
      <c r="O17" s="9" t="s">
        <v>244</v>
      </c>
      <c r="S17" s="18">
        <v>9031617040</v>
      </c>
      <c r="T17" s="9" t="str">
        <f>CONCATENATE(S17,4)</f>
        <v>90316170404</v>
      </c>
      <c r="U17" s="6" t="s">
        <v>295</v>
      </c>
      <c r="V17" s="9" t="s">
        <v>296</v>
      </c>
      <c r="W17" s="9" t="str">
        <f>CONCATENATE(V17," ",U17)</f>
        <v>Michael Bowen</v>
      </c>
    </row>
    <row r="18" spans="1:43" s="9" customFormat="1" x14ac:dyDescent="0.25">
      <c r="A18" s="6" t="s">
        <v>179</v>
      </c>
      <c r="B18" s="9">
        <v>15278437</v>
      </c>
      <c r="C18" s="6" t="s">
        <v>180</v>
      </c>
      <c r="D18" s="18">
        <v>654656220</v>
      </c>
      <c r="E18" s="7">
        <v>46174</v>
      </c>
      <c r="F18" s="6" t="s">
        <v>50</v>
      </c>
      <c r="G18" s="6" t="s">
        <v>168</v>
      </c>
      <c r="H18" s="6" t="s">
        <v>47</v>
      </c>
      <c r="I18" s="8">
        <v>10</v>
      </c>
      <c r="J18" s="8">
        <v>12.99</v>
      </c>
      <c r="K18" s="8">
        <v>1.3</v>
      </c>
      <c r="L18" s="6" t="s">
        <v>169</v>
      </c>
      <c r="M18" s="7">
        <v>45371</v>
      </c>
      <c r="N18" s="7">
        <v>46174</v>
      </c>
      <c r="O18" s="9" t="s">
        <v>244</v>
      </c>
      <c r="S18" s="18">
        <v>654656220</v>
      </c>
      <c r="T18" s="9" t="str">
        <f>CONCATENATE(S18,4)</f>
        <v>6546562204</v>
      </c>
      <c r="U18" s="6" t="s">
        <v>305</v>
      </c>
      <c r="V18" s="9" t="s">
        <v>306</v>
      </c>
      <c r="W18" s="9" t="str">
        <f>CONCATENATE(V18," ",U18)</f>
        <v>Elliot Gerber</v>
      </c>
    </row>
    <row r="19" spans="1:43" s="9" customFormat="1" x14ac:dyDescent="0.25">
      <c r="A19" s="6" t="s">
        <v>89</v>
      </c>
      <c r="B19" s="9">
        <v>7146581</v>
      </c>
      <c r="C19" s="6" t="s">
        <v>177</v>
      </c>
      <c r="D19" s="18">
        <v>9007596540</v>
      </c>
      <c r="E19" s="7">
        <v>46174</v>
      </c>
      <c r="F19" s="6" t="s">
        <v>50</v>
      </c>
      <c r="G19" s="6" t="s">
        <v>176</v>
      </c>
      <c r="H19" s="6" t="s">
        <v>47</v>
      </c>
      <c r="I19" s="8">
        <v>10</v>
      </c>
      <c r="J19" s="8">
        <v>43.09</v>
      </c>
      <c r="K19" s="8">
        <v>4.3099999999999996</v>
      </c>
      <c r="L19" s="6" t="s">
        <v>169</v>
      </c>
      <c r="M19" s="7">
        <v>40969</v>
      </c>
      <c r="N19" s="7">
        <v>46174</v>
      </c>
      <c r="O19" s="9" t="s">
        <v>244</v>
      </c>
      <c r="S19" s="18">
        <v>9007596540</v>
      </c>
      <c r="T19" s="9" t="str">
        <f>CONCATENATE(S19,4)</f>
        <v>90075965404</v>
      </c>
      <c r="U19" s="6" t="s">
        <v>303</v>
      </c>
      <c r="V19" s="9" t="s">
        <v>304</v>
      </c>
      <c r="W19" s="9" t="str">
        <f>CONCATENATE(V19," ",U19)</f>
        <v>Jerry Grychowski</v>
      </c>
    </row>
    <row r="20" spans="1:43" s="9" customFormat="1" x14ac:dyDescent="0.25">
      <c r="A20" s="6" t="s">
        <v>211</v>
      </c>
      <c r="B20" s="9">
        <v>18794740</v>
      </c>
      <c r="C20" s="6" t="s">
        <v>212</v>
      </c>
      <c r="D20" s="18">
        <v>9031291620</v>
      </c>
      <c r="E20" s="7">
        <v>46174</v>
      </c>
      <c r="F20" s="6" t="s">
        <v>50</v>
      </c>
      <c r="G20" s="6" t="s">
        <v>176</v>
      </c>
      <c r="H20" s="6" t="s">
        <v>47</v>
      </c>
      <c r="I20" s="8">
        <v>10</v>
      </c>
      <c r="J20" s="8">
        <v>53.99</v>
      </c>
      <c r="K20" s="8">
        <v>5.4</v>
      </c>
      <c r="L20" s="6" t="s">
        <v>199</v>
      </c>
      <c r="M20" s="7">
        <v>45992</v>
      </c>
      <c r="N20" s="7">
        <v>46174</v>
      </c>
      <c r="O20" s="9" t="s">
        <v>244</v>
      </c>
      <c r="S20" s="18">
        <v>9031291620</v>
      </c>
      <c r="T20" s="9" t="str">
        <f>CONCATENATE(S20,4)</f>
        <v>90312916204</v>
      </c>
      <c r="U20" s="6" t="s">
        <v>283</v>
      </c>
      <c r="V20" s="9" t="s">
        <v>284</v>
      </c>
      <c r="W20" s="9" t="str">
        <f>CONCATENATE(V20," ",U20)</f>
        <v>David Kershner</v>
      </c>
    </row>
    <row r="21" spans="1:43" s="9" customFormat="1" x14ac:dyDescent="0.25">
      <c r="A21" s="6" t="s">
        <v>194</v>
      </c>
      <c r="B21" s="34" t="s">
        <v>356</v>
      </c>
      <c r="C21" s="6" t="s">
        <v>209</v>
      </c>
      <c r="D21" s="18">
        <v>9031367280</v>
      </c>
      <c r="E21" s="7">
        <v>46174</v>
      </c>
      <c r="F21" s="6" t="s">
        <v>50</v>
      </c>
      <c r="G21" s="6" t="s">
        <v>168</v>
      </c>
      <c r="H21" s="6" t="s">
        <v>47</v>
      </c>
      <c r="I21" s="8">
        <v>10</v>
      </c>
      <c r="J21" s="8">
        <v>25.98</v>
      </c>
      <c r="K21" s="8">
        <v>2.6</v>
      </c>
      <c r="L21" s="6" t="s">
        <v>199</v>
      </c>
      <c r="M21" s="7">
        <v>45965</v>
      </c>
      <c r="N21" s="7">
        <v>46174</v>
      </c>
      <c r="O21" s="9" t="s">
        <v>244</v>
      </c>
      <c r="S21" s="18">
        <v>9031367280</v>
      </c>
      <c r="T21" s="9" t="str">
        <f>CONCATENATE(S21,4)</f>
        <v>90313672804</v>
      </c>
      <c r="U21" s="6" t="s">
        <v>281</v>
      </c>
      <c r="V21" s="9" t="s">
        <v>282</v>
      </c>
      <c r="W21" s="9" t="str">
        <f>CONCATENATE(V21," ",U21)</f>
        <v>Brenna Hanley</v>
      </c>
    </row>
    <row r="22" spans="1:43" s="9" customFormat="1" x14ac:dyDescent="0.25">
      <c r="A22" s="6" t="s">
        <v>194</v>
      </c>
      <c r="B22" s="34" t="s">
        <v>356</v>
      </c>
      <c r="C22" s="6" t="s">
        <v>201</v>
      </c>
      <c r="D22" s="18">
        <v>9031321440</v>
      </c>
      <c r="E22" s="7">
        <v>46174</v>
      </c>
      <c r="F22" s="6" t="s">
        <v>50</v>
      </c>
      <c r="G22" s="6" t="s">
        <v>168</v>
      </c>
      <c r="H22" s="6" t="s">
        <v>47</v>
      </c>
      <c r="I22" s="8">
        <v>10</v>
      </c>
      <c r="J22" s="8">
        <v>12.99</v>
      </c>
      <c r="K22" s="8">
        <v>1.3</v>
      </c>
      <c r="L22" s="6" t="s">
        <v>199</v>
      </c>
      <c r="M22" s="7">
        <v>45962</v>
      </c>
      <c r="N22" s="7">
        <v>46174</v>
      </c>
      <c r="O22" s="9" t="s">
        <v>244</v>
      </c>
      <c r="S22" s="18">
        <v>9031321440</v>
      </c>
      <c r="T22" s="9" t="str">
        <f>CONCATENATE(S22,4)</f>
        <v>90313214404</v>
      </c>
      <c r="U22" s="6" t="s">
        <v>273</v>
      </c>
      <c r="V22" s="9" t="s">
        <v>274</v>
      </c>
      <c r="W22" s="9" t="str">
        <f>CONCATENATE(V22," ",U22)</f>
        <v>Gavin Schreck</v>
      </c>
    </row>
    <row r="23" spans="1:43" s="9" customFormat="1" x14ac:dyDescent="0.25">
      <c r="A23" s="6" t="s">
        <v>194</v>
      </c>
      <c r="B23" s="34" t="s">
        <v>356</v>
      </c>
      <c r="C23" s="6" t="s">
        <v>203</v>
      </c>
      <c r="D23" s="18">
        <v>9031321470</v>
      </c>
      <c r="E23" s="7">
        <v>46174</v>
      </c>
      <c r="F23" s="6" t="s">
        <v>50</v>
      </c>
      <c r="G23" s="6" t="s">
        <v>168</v>
      </c>
      <c r="H23" s="6" t="s">
        <v>47</v>
      </c>
      <c r="I23" s="8">
        <v>10</v>
      </c>
      <c r="J23" s="8">
        <v>23.99</v>
      </c>
      <c r="K23" s="8">
        <v>2.4</v>
      </c>
      <c r="L23" s="6" t="s">
        <v>199</v>
      </c>
      <c r="M23" s="7">
        <v>45962</v>
      </c>
      <c r="N23" s="7">
        <v>46174</v>
      </c>
      <c r="O23" s="9" t="s">
        <v>244</v>
      </c>
      <c r="S23" s="18">
        <v>9031321470</v>
      </c>
      <c r="T23" s="9" t="str">
        <f>CONCATENATE(S23,4)</f>
        <v>90313214704</v>
      </c>
      <c r="U23" s="6" t="s">
        <v>275</v>
      </c>
      <c r="V23" s="9" t="s">
        <v>276</v>
      </c>
      <c r="W23" s="9" t="str">
        <f>CONCATENATE(V23," ",U23)</f>
        <v>Vinchenzo Volpe</v>
      </c>
    </row>
    <row r="24" spans="1:43" s="9" customFormat="1" x14ac:dyDescent="0.25">
      <c r="A24" s="6" t="s">
        <v>194</v>
      </c>
      <c r="B24" s="34" t="s">
        <v>356</v>
      </c>
      <c r="C24" s="6" t="s">
        <v>205</v>
      </c>
      <c r="D24" s="18">
        <v>9031321500</v>
      </c>
      <c r="E24" s="7">
        <v>46174</v>
      </c>
      <c r="F24" s="6" t="s">
        <v>50</v>
      </c>
      <c r="G24" s="6" t="s">
        <v>168</v>
      </c>
      <c r="H24" s="6" t="s">
        <v>47</v>
      </c>
      <c r="I24" s="8">
        <v>10</v>
      </c>
      <c r="J24" s="8">
        <v>47.98</v>
      </c>
      <c r="K24" s="8">
        <v>4.8</v>
      </c>
      <c r="L24" s="6" t="s">
        <v>199</v>
      </c>
      <c r="M24" s="7">
        <v>45962</v>
      </c>
      <c r="N24" s="7">
        <v>46174</v>
      </c>
      <c r="O24" s="9" t="s">
        <v>244</v>
      </c>
      <c r="S24" s="18">
        <v>9031321500</v>
      </c>
      <c r="T24" s="9" t="str">
        <f>CONCATENATE(S24,4)</f>
        <v>90313215004</v>
      </c>
      <c r="U24" s="6" t="s">
        <v>277</v>
      </c>
      <c r="V24" s="9" t="s">
        <v>278</v>
      </c>
      <c r="W24" s="9" t="str">
        <f>CONCATENATE(V24," ",U24)</f>
        <v>Terry Snead</v>
      </c>
    </row>
    <row r="25" spans="1:43" s="9" customFormat="1" x14ac:dyDescent="0.25">
      <c r="A25" s="6" t="s">
        <v>194</v>
      </c>
      <c r="B25" s="34" t="s">
        <v>356</v>
      </c>
      <c r="C25" s="6" t="s">
        <v>207</v>
      </c>
      <c r="D25" s="18">
        <v>9031321550</v>
      </c>
      <c r="E25" s="7">
        <v>46174</v>
      </c>
      <c r="F25" s="6" t="s">
        <v>50</v>
      </c>
      <c r="G25" s="6" t="s">
        <v>168</v>
      </c>
      <c r="H25" s="6" t="s">
        <v>47</v>
      </c>
      <c r="I25" s="8">
        <v>10</v>
      </c>
      <c r="J25" s="8">
        <v>73.98</v>
      </c>
      <c r="K25" s="8">
        <v>7.4</v>
      </c>
      <c r="L25" s="6" t="s">
        <v>199</v>
      </c>
      <c r="M25" s="7">
        <v>45962</v>
      </c>
      <c r="N25" s="7">
        <v>46174</v>
      </c>
      <c r="O25" s="9" t="s">
        <v>244</v>
      </c>
      <c r="S25" s="18">
        <v>9031321550</v>
      </c>
      <c r="T25" s="9" t="str">
        <f>CONCATENATE(S25,4)</f>
        <v>90313215504</v>
      </c>
      <c r="U25" s="6" t="s">
        <v>279</v>
      </c>
      <c r="V25" s="9" t="s">
        <v>280</v>
      </c>
      <c r="W25" s="9" t="str">
        <f>CONCATENATE(V25," ",U25)</f>
        <v>Robert Schroeder</v>
      </c>
    </row>
    <row r="26" spans="1:43" s="9" customFormat="1" x14ac:dyDescent="0.25">
      <c r="A26" s="6" t="s">
        <v>194</v>
      </c>
      <c r="B26" s="34" t="s">
        <v>356</v>
      </c>
      <c r="C26" s="6" t="s">
        <v>197</v>
      </c>
      <c r="D26" s="18">
        <v>9031265700</v>
      </c>
      <c r="E26" s="7">
        <v>46174</v>
      </c>
      <c r="F26" s="6" t="s">
        <v>50</v>
      </c>
      <c r="G26" s="6" t="s">
        <v>168</v>
      </c>
      <c r="H26" s="6" t="s">
        <v>47</v>
      </c>
      <c r="I26" s="8">
        <v>10</v>
      </c>
      <c r="J26" s="8">
        <v>12.99</v>
      </c>
      <c r="K26" s="8">
        <v>1.3</v>
      </c>
      <c r="L26" s="6" t="s">
        <v>199</v>
      </c>
      <c r="M26" s="7">
        <v>45945</v>
      </c>
      <c r="N26" s="7">
        <v>46174</v>
      </c>
      <c r="O26" s="9" t="s">
        <v>244</v>
      </c>
      <c r="S26" s="18">
        <v>9031265700</v>
      </c>
      <c r="T26" s="9" t="str">
        <f>CONCATENATE(S26,4)</f>
        <v>90312657004</v>
      </c>
      <c r="U26" s="6" t="s">
        <v>271</v>
      </c>
      <c r="V26" s="9" t="s">
        <v>272</v>
      </c>
      <c r="W26" s="9" t="str">
        <f>CONCATENATE(V26," ",U26)</f>
        <v>Edward Sloan</v>
      </c>
    </row>
    <row r="27" spans="1:43" s="9" customFormat="1" x14ac:dyDescent="0.25">
      <c r="A27" s="6" t="s">
        <v>194</v>
      </c>
      <c r="B27" s="34" t="s">
        <v>356</v>
      </c>
      <c r="C27" s="6" t="s">
        <v>195</v>
      </c>
      <c r="D27" s="18">
        <v>9030250530</v>
      </c>
      <c r="E27" s="7">
        <v>46174</v>
      </c>
      <c r="F27" s="6" t="s">
        <v>50</v>
      </c>
      <c r="G27" s="6" t="s">
        <v>168</v>
      </c>
      <c r="H27" s="6" t="s">
        <v>47</v>
      </c>
      <c r="I27" s="8">
        <v>10</v>
      </c>
      <c r="J27" s="8">
        <v>12.99</v>
      </c>
      <c r="K27" s="8">
        <v>1.3</v>
      </c>
      <c r="L27" s="6" t="s">
        <v>169</v>
      </c>
      <c r="M27" s="7">
        <v>45748</v>
      </c>
      <c r="N27" s="7">
        <v>46174</v>
      </c>
      <c r="O27" s="9" t="s">
        <v>244</v>
      </c>
      <c r="S27" s="18">
        <v>9030250530</v>
      </c>
      <c r="T27" s="9" t="str">
        <f>CONCATENATE(S27,4)</f>
        <v>90302505304</v>
      </c>
      <c r="U27" s="6" t="s">
        <v>307</v>
      </c>
      <c r="V27" s="9" t="s">
        <v>308</v>
      </c>
      <c r="W27" s="9" t="str">
        <f>CONCATENATE(V27," ",U27)</f>
        <v>Kayla Miller</v>
      </c>
    </row>
    <row r="28" spans="1:43" x14ac:dyDescent="0.25">
      <c r="A28" s="10" t="s">
        <v>171</v>
      </c>
      <c r="B28" s="13">
        <v>14177521</v>
      </c>
      <c r="C28" s="10" t="s">
        <v>172</v>
      </c>
      <c r="D28" s="19">
        <v>423470</v>
      </c>
      <c r="E28" s="11">
        <v>46113</v>
      </c>
      <c r="F28" s="10" t="s">
        <v>93</v>
      </c>
      <c r="G28" s="10" t="s">
        <v>176</v>
      </c>
      <c r="H28" s="10" t="s">
        <v>47</v>
      </c>
      <c r="I28" s="12">
        <v>10</v>
      </c>
      <c r="J28" s="12">
        <v>-63.65</v>
      </c>
      <c r="K28" s="12">
        <v>-6.37</v>
      </c>
      <c r="L28" s="10" t="s">
        <v>54</v>
      </c>
      <c r="M28" s="11">
        <v>46023</v>
      </c>
      <c r="N28" s="11">
        <v>46113</v>
      </c>
      <c r="O28" s="13" t="s">
        <v>245</v>
      </c>
      <c r="P28" s="13"/>
      <c r="Q28" s="13"/>
      <c r="R28" s="13"/>
      <c r="S28" s="19">
        <v>423470</v>
      </c>
      <c r="T28" s="13" t="str">
        <f>CONCATENATE(S28,7)</f>
        <v>4234707</v>
      </c>
      <c r="U28" s="10" t="s">
        <v>309</v>
      </c>
      <c r="V28" s="13" t="s">
        <v>310</v>
      </c>
      <c r="W28" s="10" t="s">
        <v>172</v>
      </c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</row>
    <row r="29" spans="1:43" x14ac:dyDescent="0.25">
      <c r="A29" s="10" t="s">
        <v>171</v>
      </c>
      <c r="B29" s="13">
        <v>14177521</v>
      </c>
      <c r="C29" s="10" t="s">
        <v>172</v>
      </c>
      <c r="D29" s="19">
        <v>423470</v>
      </c>
      <c r="E29" s="11">
        <v>46143</v>
      </c>
      <c r="F29" s="10" t="s">
        <v>121</v>
      </c>
      <c r="G29" s="10" t="s">
        <v>176</v>
      </c>
      <c r="H29" s="10" t="s">
        <v>47</v>
      </c>
      <c r="I29" s="12">
        <v>10</v>
      </c>
      <c r="J29" s="12">
        <v>-63.65</v>
      </c>
      <c r="K29" s="12">
        <v>-6.37</v>
      </c>
      <c r="L29" s="10" t="s">
        <v>54</v>
      </c>
      <c r="M29" s="11">
        <v>46023</v>
      </c>
      <c r="N29" s="11">
        <v>46143</v>
      </c>
      <c r="O29" s="13" t="s">
        <v>245</v>
      </c>
      <c r="P29" s="13"/>
      <c r="Q29" s="13"/>
      <c r="R29" s="13"/>
      <c r="S29" s="19">
        <v>423470</v>
      </c>
      <c r="T29" s="13" t="str">
        <f>CONCATENATE(S29,7)</f>
        <v>4234707</v>
      </c>
      <c r="U29" s="10" t="s">
        <v>309</v>
      </c>
      <c r="V29" s="13" t="s">
        <v>310</v>
      </c>
      <c r="W29" s="10" t="s">
        <v>172</v>
      </c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</row>
    <row r="30" spans="1:43" x14ac:dyDescent="0.25">
      <c r="A30" s="10" t="s">
        <v>171</v>
      </c>
      <c r="B30" s="13">
        <v>14177521</v>
      </c>
      <c r="C30" s="10" t="s">
        <v>172</v>
      </c>
      <c r="D30" s="19">
        <v>423470</v>
      </c>
      <c r="E30" s="11">
        <v>46113</v>
      </c>
      <c r="F30" s="10" t="s">
        <v>93</v>
      </c>
      <c r="G30" s="10" t="s">
        <v>168</v>
      </c>
      <c r="H30" s="10" t="s">
        <v>47</v>
      </c>
      <c r="I30" s="12">
        <v>10</v>
      </c>
      <c r="J30" s="12">
        <v>-9.18</v>
      </c>
      <c r="K30" s="12">
        <v>-0.92</v>
      </c>
      <c r="L30" s="10" t="s">
        <v>54</v>
      </c>
      <c r="M30" s="11">
        <v>46023</v>
      </c>
      <c r="N30" s="11">
        <v>46113</v>
      </c>
      <c r="O30" s="13" t="s">
        <v>245</v>
      </c>
      <c r="P30" s="13"/>
      <c r="Q30" s="13"/>
      <c r="R30" s="13"/>
      <c r="S30" s="19">
        <v>423470</v>
      </c>
      <c r="T30" s="13" t="str">
        <f>CONCATENATE(S30,7)</f>
        <v>4234707</v>
      </c>
      <c r="U30" s="10" t="s">
        <v>309</v>
      </c>
      <c r="V30" s="13" t="s">
        <v>310</v>
      </c>
      <c r="W30" s="10" t="s">
        <v>172</v>
      </c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</row>
    <row r="31" spans="1:43" x14ac:dyDescent="0.25">
      <c r="A31" s="10" t="s">
        <v>171</v>
      </c>
      <c r="B31" s="13">
        <v>14177521</v>
      </c>
      <c r="C31" s="10" t="s">
        <v>172</v>
      </c>
      <c r="D31" s="19">
        <v>423470</v>
      </c>
      <c r="E31" s="11">
        <v>46143</v>
      </c>
      <c r="F31" s="10" t="s">
        <v>121</v>
      </c>
      <c r="G31" s="10" t="s">
        <v>168</v>
      </c>
      <c r="H31" s="10" t="s">
        <v>47</v>
      </c>
      <c r="I31" s="12">
        <v>10</v>
      </c>
      <c r="J31" s="12">
        <v>-9.18</v>
      </c>
      <c r="K31" s="12">
        <v>-0.92</v>
      </c>
      <c r="L31" s="10" t="s">
        <v>54</v>
      </c>
      <c r="M31" s="11">
        <v>46023</v>
      </c>
      <c r="N31" s="11">
        <v>46143</v>
      </c>
      <c r="O31" s="13" t="s">
        <v>245</v>
      </c>
      <c r="P31" s="13"/>
      <c r="Q31" s="13"/>
      <c r="R31" s="13"/>
      <c r="S31" s="19">
        <v>423470</v>
      </c>
      <c r="T31" s="13" t="str">
        <f>CONCATENATE(S31,7)</f>
        <v>4234707</v>
      </c>
      <c r="U31" s="10" t="s">
        <v>309</v>
      </c>
      <c r="V31" s="13" t="s">
        <v>310</v>
      </c>
      <c r="W31" s="10" t="s">
        <v>172</v>
      </c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</row>
    <row r="32" spans="1:43" s="17" customFormat="1" x14ac:dyDescent="0.25">
      <c r="A32" s="30" t="s">
        <v>43</v>
      </c>
      <c r="B32" s="29">
        <v>7470776</v>
      </c>
      <c r="C32" s="30" t="s">
        <v>44</v>
      </c>
      <c r="D32" s="30" t="s">
        <v>45</v>
      </c>
      <c r="E32" s="31">
        <v>46174</v>
      </c>
      <c r="F32" s="30" t="s">
        <v>50</v>
      </c>
      <c r="G32" s="30" t="s">
        <v>52</v>
      </c>
      <c r="H32" s="30" t="s">
        <v>53</v>
      </c>
      <c r="I32" s="32">
        <v>-0.57999999999999996</v>
      </c>
      <c r="J32" s="32">
        <v>-1</v>
      </c>
      <c r="K32" s="32">
        <v>-202.42</v>
      </c>
      <c r="L32" s="30" t="s">
        <v>54</v>
      </c>
      <c r="M32" s="31">
        <v>46174</v>
      </c>
      <c r="N32" s="31">
        <v>46174</v>
      </c>
      <c r="O32" s="29" t="s">
        <v>251</v>
      </c>
      <c r="P32" s="33" t="s">
        <v>250</v>
      </c>
      <c r="Q32" s="29"/>
      <c r="R32" s="29"/>
      <c r="S32" s="30" t="s">
        <v>45</v>
      </c>
      <c r="T32" s="29" t="str">
        <f>CONCATENATE(S32,67)</f>
        <v>00026502399K67</v>
      </c>
      <c r="U32" s="30" t="s">
        <v>321</v>
      </c>
      <c r="V32" s="29" t="s">
        <v>322</v>
      </c>
      <c r="W32" s="29" t="str">
        <f>CONCATENATE(V32," ",U32)</f>
        <v>SALME DRUNGA</v>
      </c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  <row r="33" spans="1:23" s="29" customFormat="1" x14ac:dyDescent="0.25">
      <c r="A33" s="30" t="s">
        <v>43</v>
      </c>
      <c r="B33" s="29">
        <v>7470776</v>
      </c>
      <c r="C33" s="30" t="s">
        <v>60</v>
      </c>
      <c r="D33" s="30" t="s">
        <v>61</v>
      </c>
      <c r="E33" s="31">
        <v>46174</v>
      </c>
      <c r="F33" s="30" t="s">
        <v>50</v>
      </c>
      <c r="G33" s="30" t="s">
        <v>52</v>
      </c>
      <c r="H33" s="30" t="s">
        <v>53</v>
      </c>
      <c r="I33" s="32">
        <v>0.57999999999999996</v>
      </c>
      <c r="J33" s="32">
        <v>1</v>
      </c>
      <c r="K33" s="32">
        <v>202.42</v>
      </c>
      <c r="L33" s="30" t="s">
        <v>54</v>
      </c>
      <c r="M33" s="31">
        <v>46174</v>
      </c>
      <c r="N33" s="31">
        <v>46204</v>
      </c>
      <c r="O33" s="29" t="s">
        <v>251</v>
      </c>
      <c r="P33" s="33" t="s">
        <v>250</v>
      </c>
      <c r="S33" s="30" t="s">
        <v>61</v>
      </c>
      <c r="T33" s="29" t="str">
        <f>CONCATENATE(S33,67)</f>
        <v>00026515350K67</v>
      </c>
      <c r="U33" s="30" t="s">
        <v>347</v>
      </c>
      <c r="V33" s="29" t="s">
        <v>348</v>
      </c>
      <c r="W33" s="29" t="str">
        <f>CONCATENATE(V33," ",U33)</f>
        <v>NILO SORIANO</v>
      </c>
    </row>
    <row r="34" spans="1:23" s="29" customFormat="1" x14ac:dyDescent="0.25">
      <c r="A34" s="30" t="s">
        <v>43</v>
      </c>
      <c r="B34" s="29">
        <v>7470776</v>
      </c>
      <c r="C34" s="30" t="s">
        <v>57</v>
      </c>
      <c r="D34" s="30" t="s">
        <v>58</v>
      </c>
      <c r="E34" s="31">
        <v>46174</v>
      </c>
      <c r="F34" s="30" t="s">
        <v>50</v>
      </c>
      <c r="G34" s="30" t="s">
        <v>52</v>
      </c>
      <c r="H34" s="30" t="s">
        <v>53</v>
      </c>
      <c r="I34" s="32">
        <v>0.57999999999999996</v>
      </c>
      <c r="J34" s="32">
        <v>1</v>
      </c>
      <c r="K34" s="32">
        <v>202.42</v>
      </c>
      <c r="L34" s="30" t="s">
        <v>54</v>
      </c>
      <c r="M34" s="31">
        <v>46174</v>
      </c>
      <c r="N34" s="31">
        <v>46204</v>
      </c>
      <c r="O34" s="29" t="s">
        <v>251</v>
      </c>
      <c r="P34" s="33" t="s">
        <v>250</v>
      </c>
      <c r="S34" s="30" t="s">
        <v>58</v>
      </c>
      <c r="T34" s="29" t="str">
        <f>CONCATENATE(S34,67)</f>
        <v>00026511866K67</v>
      </c>
      <c r="U34" s="30" t="s">
        <v>349</v>
      </c>
      <c r="V34" s="29" t="s">
        <v>350</v>
      </c>
      <c r="W34" s="29" t="str">
        <f>CONCATENATE(V34," ",U34)</f>
        <v>BRIAN SWAFFORD</v>
      </c>
    </row>
    <row r="35" spans="1:23" s="29" customFormat="1" x14ac:dyDescent="0.25">
      <c r="A35" s="30" t="s">
        <v>126</v>
      </c>
      <c r="B35" s="29">
        <v>18828278</v>
      </c>
      <c r="C35" s="30" t="s">
        <v>127</v>
      </c>
      <c r="D35" s="30" t="s">
        <v>128</v>
      </c>
      <c r="E35" s="31">
        <v>46204</v>
      </c>
      <c r="F35" s="30" t="s">
        <v>82</v>
      </c>
      <c r="G35" s="30" t="s">
        <v>52</v>
      </c>
      <c r="H35" s="30" t="s">
        <v>77</v>
      </c>
      <c r="I35" s="32">
        <v>0.5</v>
      </c>
      <c r="J35" s="32">
        <v>1</v>
      </c>
      <c r="K35" s="32">
        <v>173.5</v>
      </c>
      <c r="L35" s="30" t="s">
        <v>54</v>
      </c>
      <c r="M35" s="31">
        <v>46204</v>
      </c>
      <c r="N35" s="31">
        <v>46235</v>
      </c>
      <c r="O35" s="29" t="s">
        <v>251</v>
      </c>
      <c r="P35" s="33" t="s">
        <v>253</v>
      </c>
      <c r="Q35" s="29">
        <f>347/12*6</f>
        <v>173.5</v>
      </c>
      <c r="S35" s="30" t="s">
        <v>128</v>
      </c>
      <c r="T35" s="29" t="str">
        <f>CONCATENATE(S35,67)</f>
        <v>00026512224K67</v>
      </c>
      <c r="U35" s="30" t="s">
        <v>336</v>
      </c>
      <c r="V35" s="29" t="s">
        <v>337</v>
      </c>
      <c r="W35" s="29" t="str">
        <f>CONCATENATE(V35," ",U35)</f>
        <v>DONALD CASSELMAN</v>
      </c>
    </row>
    <row r="36" spans="1:23" s="29" customFormat="1" x14ac:dyDescent="0.25">
      <c r="A36" s="30" t="s">
        <v>148</v>
      </c>
      <c r="B36" s="29">
        <v>21283956</v>
      </c>
      <c r="C36" s="30" t="s">
        <v>149</v>
      </c>
      <c r="D36" s="30" t="s">
        <v>150</v>
      </c>
      <c r="E36" s="31">
        <v>46174</v>
      </c>
      <c r="F36" s="30" t="s">
        <v>50</v>
      </c>
      <c r="G36" s="30" t="s">
        <v>52</v>
      </c>
      <c r="H36" s="30" t="s">
        <v>53</v>
      </c>
      <c r="I36" s="32">
        <v>0.57999999999999996</v>
      </c>
      <c r="J36" s="32">
        <v>1</v>
      </c>
      <c r="K36" s="32">
        <v>202.42</v>
      </c>
      <c r="L36" s="30" t="s">
        <v>54</v>
      </c>
      <c r="M36" s="31">
        <v>46174</v>
      </c>
      <c r="N36" s="31">
        <v>46204</v>
      </c>
      <c r="O36" s="29" t="s">
        <v>251</v>
      </c>
      <c r="P36" s="33" t="s">
        <v>250</v>
      </c>
      <c r="S36" s="30" t="s">
        <v>150</v>
      </c>
      <c r="T36" s="29" t="str">
        <f>CONCATENATE(S36,67)</f>
        <v>00026508775K67</v>
      </c>
      <c r="U36" s="30" t="s">
        <v>345</v>
      </c>
      <c r="V36" s="29" t="s">
        <v>346</v>
      </c>
      <c r="W36" s="29" t="str">
        <f>CONCATENATE(V36," ",U36)</f>
        <v>EDITHA SEBANTAY</v>
      </c>
    </row>
    <row r="37" spans="1:23" s="29" customFormat="1" x14ac:dyDescent="0.25">
      <c r="A37" s="30" t="s">
        <v>112</v>
      </c>
      <c r="B37" s="29">
        <v>17859093</v>
      </c>
      <c r="C37" s="30" t="s">
        <v>113</v>
      </c>
      <c r="D37" s="30" t="s">
        <v>114</v>
      </c>
      <c r="E37" s="31">
        <v>46174</v>
      </c>
      <c r="F37" s="30" t="s">
        <v>50</v>
      </c>
      <c r="G37" s="30" t="s">
        <v>52</v>
      </c>
      <c r="H37" s="30" t="s">
        <v>77</v>
      </c>
      <c r="I37" s="32">
        <v>0.57999999999999996</v>
      </c>
      <c r="J37" s="32">
        <v>1</v>
      </c>
      <c r="K37" s="32">
        <v>202.42</v>
      </c>
      <c r="L37" s="30" t="s">
        <v>54</v>
      </c>
      <c r="M37" s="31">
        <v>46174</v>
      </c>
      <c r="N37" s="31">
        <v>46204</v>
      </c>
      <c r="O37" s="29" t="s">
        <v>251</v>
      </c>
      <c r="P37" s="33" t="s">
        <v>250</v>
      </c>
      <c r="S37" s="30" t="s">
        <v>114</v>
      </c>
      <c r="T37" s="29" t="str">
        <f>CONCATENATE(S37,67)</f>
        <v>00026521652K67</v>
      </c>
      <c r="U37" s="30" t="s">
        <v>343</v>
      </c>
      <c r="V37" s="29" t="s">
        <v>344</v>
      </c>
      <c r="W37" s="29" t="str">
        <f>CONCATENATE(V37," ",U37)</f>
        <v>RUMUALDA PALAFOX</v>
      </c>
    </row>
    <row r="38" spans="1:23" s="29" customFormat="1" x14ac:dyDescent="0.25">
      <c r="A38" s="30" t="s">
        <v>89</v>
      </c>
      <c r="B38" s="29">
        <v>7146581</v>
      </c>
      <c r="C38" s="30" t="s">
        <v>90</v>
      </c>
      <c r="D38" s="30" t="s">
        <v>91</v>
      </c>
      <c r="E38" s="31">
        <v>46113</v>
      </c>
      <c r="F38" s="30" t="s">
        <v>93</v>
      </c>
      <c r="G38" s="30" t="s">
        <v>52</v>
      </c>
      <c r="H38" s="30" t="s">
        <v>77</v>
      </c>
      <c r="I38" s="32">
        <v>-0.75</v>
      </c>
      <c r="J38" s="32">
        <v>-1</v>
      </c>
      <c r="K38" s="32">
        <v>-260.25</v>
      </c>
      <c r="L38" s="30" t="s">
        <v>54</v>
      </c>
      <c r="M38" s="31">
        <v>46113</v>
      </c>
      <c r="N38" s="31">
        <v>46113</v>
      </c>
      <c r="O38" s="29" t="s">
        <v>251</v>
      </c>
      <c r="P38" s="33" t="s">
        <v>252</v>
      </c>
      <c r="S38" s="30" t="s">
        <v>91</v>
      </c>
      <c r="T38" s="29" t="str">
        <f>CONCATENATE(S38,67)</f>
        <v>00022162882K67</v>
      </c>
      <c r="U38" s="30" t="s">
        <v>315</v>
      </c>
      <c r="V38" s="29" t="s">
        <v>316</v>
      </c>
      <c r="W38" s="29" t="str">
        <f>CONCATENATE(V38," ",U38)</f>
        <v>SUE KOPKA</v>
      </c>
    </row>
    <row r="39" spans="1:23" s="29" customFormat="1" x14ac:dyDescent="0.25">
      <c r="A39" s="30" t="s">
        <v>140</v>
      </c>
      <c r="B39" s="29">
        <v>16912722</v>
      </c>
      <c r="C39" s="30" t="s">
        <v>141</v>
      </c>
      <c r="D39" s="30" t="s">
        <v>142</v>
      </c>
      <c r="E39" s="31">
        <v>46235</v>
      </c>
      <c r="F39" s="30" t="s">
        <v>98</v>
      </c>
      <c r="G39" s="30" t="s">
        <v>52</v>
      </c>
      <c r="H39" s="30" t="s">
        <v>53</v>
      </c>
      <c r="I39" s="32">
        <v>0.42</v>
      </c>
      <c r="J39" s="32">
        <v>1</v>
      </c>
      <c r="K39" s="32">
        <v>144.58000000000001</v>
      </c>
      <c r="L39" s="30" t="s">
        <v>54</v>
      </c>
      <c r="M39" s="31">
        <v>46235</v>
      </c>
      <c r="N39" s="31">
        <v>46266</v>
      </c>
      <c r="O39" s="29" t="s">
        <v>251</v>
      </c>
      <c r="P39" s="33" t="s">
        <v>254</v>
      </c>
      <c r="Q39" s="29">
        <f>347/12*5</f>
        <v>144.58333333333334</v>
      </c>
      <c r="S39" s="30" t="s">
        <v>142</v>
      </c>
      <c r="T39" s="29" t="str">
        <f>CONCATENATE(S39,67)</f>
        <v>00026507242K67</v>
      </c>
      <c r="U39" s="30" t="s">
        <v>334</v>
      </c>
      <c r="V39" s="29" t="s">
        <v>335</v>
      </c>
      <c r="W39" s="29" t="str">
        <f>CONCATENATE(V39," ",U39)</f>
        <v>TINA RIFE</v>
      </c>
    </row>
    <row r="40" spans="1:23" s="29" customFormat="1" x14ac:dyDescent="0.25">
      <c r="A40" s="30" t="s">
        <v>99</v>
      </c>
      <c r="B40" s="29">
        <v>9213293</v>
      </c>
      <c r="C40" s="30" t="s">
        <v>100</v>
      </c>
      <c r="D40" s="30" t="s">
        <v>101</v>
      </c>
      <c r="E40" s="31">
        <v>46113</v>
      </c>
      <c r="F40" s="30" t="s">
        <v>93</v>
      </c>
      <c r="G40" s="30" t="s">
        <v>52</v>
      </c>
      <c r="H40" s="30" t="s">
        <v>77</v>
      </c>
      <c r="I40" s="32">
        <v>0</v>
      </c>
      <c r="J40" s="32">
        <v>1</v>
      </c>
      <c r="K40" s="32">
        <v>347</v>
      </c>
      <c r="L40" s="30" t="s">
        <v>72</v>
      </c>
      <c r="M40" s="31">
        <v>46113</v>
      </c>
      <c r="N40" s="31">
        <v>46143</v>
      </c>
      <c r="O40" s="29" t="s">
        <v>251</v>
      </c>
      <c r="P40" s="33" t="s">
        <v>255</v>
      </c>
      <c r="Q40" s="29">
        <v>433.75</v>
      </c>
      <c r="S40" s="30" t="s">
        <v>101</v>
      </c>
      <c r="T40" s="29" t="str">
        <f>CONCATENATE(S40,67)</f>
        <v>00026313233K67</v>
      </c>
      <c r="U40" s="30" t="s">
        <v>353</v>
      </c>
      <c r="V40" s="29" t="s">
        <v>354</v>
      </c>
      <c r="W40" s="29" t="str">
        <f>CONCATENATE(V40," ",U40)</f>
        <v>KIET DOAN</v>
      </c>
    </row>
    <row r="41" spans="1:23" s="29" customFormat="1" x14ac:dyDescent="0.25">
      <c r="A41" s="30" t="s">
        <v>99</v>
      </c>
      <c r="B41" s="29">
        <v>9213293</v>
      </c>
      <c r="C41" s="30" t="s">
        <v>100</v>
      </c>
      <c r="D41" s="30" t="s">
        <v>101</v>
      </c>
      <c r="E41" s="31">
        <v>46113</v>
      </c>
      <c r="F41" s="30" t="s">
        <v>93</v>
      </c>
      <c r="G41" s="30" t="s">
        <v>52</v>
      </c>
      <c r="H41" s="30" t="s">
        <v>77</v>
      </c>
      <c r="I41" s="32">
        <v>0</v>
      </c>
      <c r="J41" s="32">
        <v>1</v>
      </c>
      <c r="K41" s="32">
        <v>86.75</v>
      </c>
      <c r="L41" s="30" t="s">
        <v>72</v>
      </c>
      <c r="M41" s="31">
        <v>46113</v>
      </c>
      <c r="N41" s="31">
        <v>46143</v>
      </c>
      <c r="O41" s="29" t="s">
        <v>251</v>
      </c>
      <c r="P41" s="33" t="s">
        <v>256</v>
      </c>
      <c r="Q41" s="29">
        <f>347/12*3</f>
        <v>86.75</v>
      </c>
      <c r="S41" s="30" t="s">
        <v>101</v>
      </c>
      <c r="T41" s="29" t="str">
        <f>CONCATENATE(S41,67)</f>
        <v>00026313233K67</v>
      </c>
      <c r="U41" s="30" t="s">
        <v>353</v>
      </c>
      <c r="V41" s="29" t="s">
        <v>354</v>
      </c>
      <c r="W41" s="29" t="str">
        <f>CONCATENATE(V41," ",U41)</f>
        <v>KIET DOAN</v>
      </c>
    </row>
    <row r="42" spans="1:23" s="29" customFormat="1" x14ac:dyDescent="0.25">
      <c r="A42" s="30" t="s">
        <v>134</v>
      </c>
      <c r="B42" s="29">
        <v>19645587</v>
      </c>
      <c r="C42" s="30" t="s">
        <v>135</v>
      </c>
      <c r="D42" s="30" t="s">
        <v>136</v>
      </c>
      <c r="E42" s="31">
        <v>46023</v>
      </c>
      <c r="F42" s="30" t="s">
        <v>67</v>
      </c>
      <c r="G42" s="30" t="s">
        <v>52</v>
      </c>
      <c r="H42" s="30" t="s">
        <v>138</v>
      </c>
      <c r="I42" s="32">
        <v>-0.57999999999999996</v>
      </c>
      <c r="J42" s="32">
        <v>-1</v>
      </c>
      <c r="K42" s="32">
        <v>-202.42</v>
      </c>
      <c r="L42" s="30" t="s">
        <v>54</v>
      </c>
      <c r="M42" s="31">
        <v>46023</v>
      </c>
      <c r="N42" s="31">
        <v>46023</v>
      </c>
      <c r="O42" s="29" t="s">
        <v>251</v>
      </c>
      <c r="P42" s="33" t="s">
        <v>250</v>
      </c>
      <c r="S42" s="30" t="s">
        <v>136</v>
      </c>
      <c r="T42" s="29" t="str">
        <f>CONCATENATE(S42,67)</f>
        <v>00025733189K67</v>
      </c>
      <c r="U42" s="30" t="s">
        <v>323</v>
      </c>
      <c r="V42" s="29" t="s">
        <v>266</v>
      </c>
      <c r="W42" s="29" t="str">
        <f>CONCATENATE(V42," ",U42)</f>
        <v>TRACY LEE</v>
      </c>
    </row>
    <row r="43" spans="1:23" s="29" customFormat="1" x14ac:dyDescent="0.25">
      <c r="A43" s="30" t="s">
        <v>158</v>
      </c>
      <c r="B43" s="29">
        <v>16997303</v>
      </c>
      <c r="C43" s="30" t="s">
        <v>159</v>
      </c>
      <c r="D43" s="30" t="s">
        <v>160</v>
      </c>
      <c r="E43" s="31">
        <v>46235</v>
      </c>
      <c r="F43" s="30" t="s">
        <v>98</v>
      </c>
      <c r="G43" s="30" t="s">
        <v>52</v>
      </c>
      <c r="H43" s="30" t="s">
        <v>77</v>
      </c>
      <c r="I43" s="32">
        <v>0.42</v>
      </c>
      <c r="J43" s="32">
        <v>1</v>
      </c>
      <c r="K43" s="32">
        <v>144.58000000000001</v>
      </c>
      <c r="L43" s="30" t="s">
        <v>54</v>
      </c>
      <c r="M43" s="31">
        <v>46235</v>
      </c>
      <c r="N43" s="31">
        <v>46266</v>
      </c>
      <c r="O43" s="29" t="s">
        <v>251</v>
      </c>
      <c r="P43" s="33" t="s">
        <v>254</v>
      </c>
      <c r="S43" s="30" t="s">
        <v>160</v>
      </c>
      <c r="T43" s="29" t="str">
        <f>CONCATENATE(S43,67)</f>
        <v>00026515084K67</v>
      </c>
      <c r="U43" s="30" t="s">
        <v>328</v>
      </c>
      <c r="V43" s="29" t="s">
        <v>329</v>
      </c>
      <c r="W43" s="29" t="str">
        <f>CONCATENATE(V43," ",U43)</f>
        <v>DARSI ARWOOD</v>
      </c>
    </row>
    <row r="44" spans="1:23" s="29" customFormat="1" x14ac:dyDescent="0.25">
      <c r="A44" s="30" t="s">
        <v>94</v>
      </c>
      <c r="B44" s="29">
        <v>16228684</v>
      </c>
      <c r="C44" s="30" t="s">
        <v>95</v>
      </c>
      <c r="D44" s="30" t="s">
        <v>96</v>
      </c>
      <c r="E44" s="31">
        <v>46235</v>
      </c>
      <c r="F44" s="30" t="s">
        <v>98</v>
      </c>
      <c r="G44" s="30" t="s">
        <v>52</v>
      </c>
      <c r="H44" s="30" t="s">
        <v>53</v>
      </c>
      <c r="I44" s="32">
        <v>0.42</v>
      </c>
      <c r="J44" s="32">
        <v>1</v>
      </c>
      <c r="K44" s="32">
        <v>144.58000000000001</v>
      </c>
      <c r="L44" s="30" t="s">
        <v>54</v>
      </c>
      <c r="M44" s="31">
        <v>46235</v>
      </c>
      <c r="N44" s="31">
        <v>46266</v>
      </c>
      <c r="O44" s="29" t="s">
        <v>251</v>
      </c>
      <c r="P44" s="33" t="s">
        <v>254</v>
      </c>
      <c r="S44" s="30" t="s">
        <v>96</v>
      </c>
      <c r="T44" s="29" t="str">
        <f>CONCATENATE(S44,67)</f>
        <v>00026524394K67</v>
      </c>
      <c r="U44" s="30" t="s">
        <v>330</v>
      </c>
      <c r="V44" s="29" t="s">
        <v>331</v>
      </c>
      <c r="W44" s="29" t="str">
        <f>CONCATENATE(V44," ",U44)</f>
        <v>DEBORAH GATEWOOD</v>
      </c>
    </row>
    <row r="45" spans="1:23" s="29" customFormat="1" x14ac:dyDescent="0.25">
      <c r="A45" s="30" t="s">
        <v>108</v>
      </c>
      <c r="B45" s="29">
        <v>19586992</v>
      </c>
      <c r="C45" s="30" t="s">
        <v>109</v>
      </c>
      <c r="D45" s="30" t="s">
        <v>110</v>
      </c>
      <c r="E45" s="31">
        <v>46174</v>
      </c>
      <c r="F45" s="30" t="s">
        <v>50</v>
      </c>
      <c r="G45" s="30" t="s">
        <v>52</v>
      </c>
      <c r="H45" s="30" t="s">
        <v>53</v>
      </c>
      <c r="I45" s="32">
        <v>-0.57999999999999996</v>
      </c>
      <c r="J45" s="32">
        <v>-1</v>
      </c>
      <c r="K45" s="32">
        <v>-202.42</v>
      </c>
      <c r="L45" s="30" t="s">
        <v>54</v>
      </c>
      <c r="M45" s="31">
        <v>46174</v>
      </c>
      <c r="N45" s="31">
        <v>46174</v>
      </c>
      <c r="O45" s="29" t="s">
        <v>251</v>
      </c>
      <c r="P45" s="33" t="s">
        <v>250</v>
      </c>
      <c r="S45" s="30" t="s">
        <v>110</v>
      </c>
      <c r="T45" s="29" t="str">
        <f>CONCATENATE(S45,67)</f>
        <v>00026506360K67</v>
      </c>
      <c r="U45" s="30" t="s">
        <v>319</v>
      </c>
      <c r="V45" s="29" t="s">
        <v>320</v>
      </c>
      <c r="W45" s="29" t="str">
        <f>CONCATENATE(V45," ",U45)</f>
        <v>RYAN BROOKS</v>
      </c>
    </row>
    <row r="46" spans="1:23" s="29" customFormat="1" x14ac:dyDescent="0.25">
      <c r="A46" s="30" t="s">
        <v>117</v>
      </c>
      <c r="B46" s="29">
        <v>19681796</v>
      </c>
      <c r="C46" s="30" t="s">
        <v>123</v>
      </c>
      <c r="D46" s="30" t="s">
        <v>124</v>
      </c>
      <c r="E46" s="31">
        <v>46235</v>
      </c>
      <c r="F46" s="30" t="s">
        <v>98</v>
      </c>
      <c r="G46" s="30" t="s">
        <v>52</v>
      </c>
      <c r="H46" s="30" t="s">
        <v>53</v>
      </c>
      <c r="I46" s="32">
        <v>0.42</v>
      </c>
      <c r="J46" s="32">
        <v>1</v>
      </c>
      <c r="K46" s="32">
        <v>144.58000000000001</v>
      </c>
      <c r="L46" s="30" t="s">
        <v>54</v>
      </c>
      <c r="M46" s="31">
        <v>46235</v>
      </c>
      <c r="N46" s="31">
        <v>46266</v>
      </c>
      <c r="O46" s="29" t="s">
        <v>251</v>
      </c>
      <c r="P46" s="33" t="s">
        <v>254</v>
      </c>
      <c r="S46" s="30" t="s">
        <v>124</v>
      </c>
      <c r="T46" s="29" t="str">
        <f>CONCATENATE(S46,67)</f>
        <v>00026517362K67</v>
      </c>
      <c r="U46" s="30" t="s">
        <v>332</v>
      </c>
      <c r="V46" s="29" t="s">
        <v>333</v>
      </c>
      <c r="W46" s="29" t="str">
        <f>CONCATENATE(V46," ",U46)</f>
        <v>ROBERT KLUVER</v>
      </c>
    </row>
    <row r="47" spans="1:23" s="29" customFormat="1" x14ac:dyDescent="0.25">
      <c r="A47" s="30" t="s">
        <v>117</v>
      </c>
      <c r="B47" s="29">
        <v>19681796</v>
      </c>
      <c r="C47" s="30" t="s">
        <v>118</v>
      </c>
      <c r="D47" s="30" t="s">
        <v>119</v>
      </c>
      <c r="E47" s="31">
        <v>46143</v>
      </c>
      <c r="F47" s="30" t="s">
        <v>121</v>
      </c>
      <c r="G47" s="30" t="s">
        <v>52</v>
      </c>
      <c r="H47" s="30" t="s">
        <v>77</v>
      </c>
      <c r="I47" s="32">
        <v>0</v>
      </c>
      <c r="J47" s="32">
        <v>-1</v>
      </c>
      <c r="K47" s="32">
        <v>-202.43</v>
      </c>
      <c r="L47" s="30" t="s">
        <v>72</v>
      </c>
      <c r="M47" s="31">
        <v>46143</v>
      </c>
      <c r="N47" s="31">
        <v>46143</v>
      </c>
      <c r="O47" s="29" t="s">
        <v>251</v>
      </c>
      <c r="P47" s="33" t="s">
        <v>250</v>
      </c>
      <c r="S47" s="30" t="s">
        <v>119</v>
      </c>
      <c r="T47" s="29" t="str">
        <f>CONCATENATE(S47,67)</f>
        <v>00026354524K67</v>
      </c>
      <c r="U47" s="30" t="s">
        <v>317</v>
      </c>
      <c r="V47" s="29" t="s">
        <v>318</v>
      </c>
      <c r="W47" s="29" t="str">
        <f>CONCATENATE(V47," ",U47)</f>
        <v>SANDRA AYKROID</v>
      </c>
    </row>
    <row r="48" spans="1:23" s="29" customFormat="1" x14ac:dyDescent="0.25">
      <c r="A48" s="30" t="s">
        <v>117</v>
      </c>
      <c r="B48" s="29">
        <v>19681796</v>
      </c>
      <c r="C48" s="30" t="s">
        <v>118</v>
      </c>
      <c r="D48" s="30" t="s">
        <v>119</v>
      </c>
      <c r="E48" s="31">
        <v>46143</v>
      </c>
      <c r="F48" s="30" t="s">
        <v>121</v>
      </c>
      <c r="G48" s="30" t="s">
        <v>52</v>
      </c>
      <c r="H48" s="30" t="s">
        <v>77</v>
      </c>
      <c r="I48" s="32">
        <v>-0.57999999999999996</v>
      </c>
      <c r="J48" s="32">
        <v>-1</v>
      </c>
      <c r="K48" s="32">
        <v>-202.41</v>
      </c>
      <c r="L48" s="30" t="s">
        <v>54</v>
      </c>
      <c r="M48" s="31">
        <v>46143</v>
      </c>
      <c r="N48" s="31">
        <v>46143</v>
      </c>
      <c r="O48" s="29" t="s">
        <v>251</v>
      </c>
      <c r="P48" s="33" t="s">
        <v>250</v>
      </c>
      <c r="Q48" s="29">
        <f>347/12*7</f>
        <v>202.41666666666669</v>
      </c>
      <c r="S48" s="30" t="s">
        <v>119</v>
      </c>
      <c r="T48" s="29" t="str">
        <f>CONCATENATE(S48,67)</f>
        <v>00026354524K67</v>
      </c>
      <c r="U48" s="30" t="s">
        <v>317</v>
      </c>
      <c r="V48" s="29" t="s">
        <v>318</v>
      </c>
      <c r="W48" s="29" t="str">
        <f>CONCATENATE(V48," ",U48)</f>
        <v>SANDRA AYKROID</v>
      </c>
    </row>
    <row r="49" spans="1:43" s="29" customFormat="1" x14ac:dyDescent="0.25">
      <c r="A49" s="30" t="s">
        <v>63</v>
      </c>
      <c r="B49" s="29">
        <v>8307933</v>
      </c>
      <c r="C49" s="30" t="s">
        <v>79</v>
      </c>
      <c r="D49" s="30" t="s">
        <v>80</v>
      </c>
      <c r="E49" s="31">
        <v>46204</v>
      </c>
      <c r="F49" s="30" t="s">
        <v>82</v>
      </c>
      <c r="G49" s="30" t="s">
        <v>52</v>
      </c>
      <c r="H49" s="30" t="s">
        <v>53</v>
      </c>
      <c r="I49" s="32">
        <v>0.5</v>
      </c>
      <c r="J49" s="32">
        <v>1</v>
      </c>
      <c r="K49" s="32">
        <v>173.5</v>
      </c>
      <c r="L49" s="30" t="s">
        <v>54</v>
      </c>
      <c r="M49" s="31">
        <v>46204</v>
      </c>
      <c r="N49" s="31">
        <v>46235</v>
      </c>
      <c r="O49" s="29" t="s">
        <v>251</v>
      </c>
      <c r="P49" s="33" t="s">
        <v>253</v>
      </c>
      <c r="S49" s="30" t="s">
        <v>80</v>
      </c>
      <c r="T49" s="29" t="str">
        <f>CONCATENATE(S49,67)</f>
        <v>00026507474K67</v>
      </c>
      <c r="U49" s="30" t="s">
        <v>338</v>
      </c>
      <c r="V49" s="29" t="s">
        <v>325</v>
      </c>
      <c r="W49" s="29" t="str">
        <f>CONCATENATE(V49," ",U49)</f>
        <v>WAYNE MORAN</v>
      </c>
    </row>
    <row r="50" spans="1:43" s="29" customFormat="1" x14ac:dyDescent="0.25">
      <c r="A50" s="30" t="s">
        <v>63</v>
      </c>
      <c r="B50" s="29">
        <v>8307933</v>
      </c>
      <c r="C50" s="30" t="s">
        <v>83</v>
      </c>
      <c r="D50" s="30" t="s">
        <v>84</v>
      </c>
      <c r="E50" s="31">
        <v>46174</v>
      </c>
      <c r="F50" s="30" t="s">
        <v>50</v>
      </c>
      <c r="G50" s="30" t="s">
        <v>52</v>
      </c>
      <c r="H50" s="30" t="s">
        <v>53</v>
      </c>
      <c r="I50" s="32">
        <v>0.57999999999999996</v>
      </c>
      <c r="J50" s="32">
        <v>1</v>
      </c>
      <c r="K50" s="32">
        <v>202.42</v>
      </c>
      <c r="L50" s="30" t="s">
        <v>54</v>
      </c>
      <c r="M50" s="31">
        <v>46174</v>
      </c>
      <c r="N50" s="31">
        <v>46204</v>
      </c>
      <c r="O50" s="29" t="s">
        <v>251</v>
      </c>
      <c r="P50" s="33" t="s">
        <v>250</v>
      </c>
      <c r="S50" s="30" t="s">
        <v>84</v>
      </c>
      <c r="T50" s="29" t="str">
        <f>CONCATENATE(S50,67)</f>
        <v>00026509769K67</v>
      </c>
      <c r="U50" s="30" t="s">
        <v>339</v>
      </c>
      <c r="V50" s="29" t="s">
        <v>340</v>
      </c>
      <c r="W50" s="29" t="str">
        <f>CONCATENATE(V50," ",U50)</f>
        <v>MOJDEH ARBAB</v>
      </c>
    </row>
    <row r="51" spans="1:43" s="29" customFormat="1" x14ac:dyDescent="0.25">
      <c r="A51" s="30" t="s">
        <v>63</v>
      </c>
      <c r="B51" s="29">
        <v>8307933</v>
      </c>
      <c r="C51" s="30" t="s">
        <v>86</v>
      </c>
      <c r="D51" s="30" t="s">
        <v>87</v>
      </c>
      <c r="E51" s="31">
        <v>46174</v>
      </c>
      <c r="F51" s="30" t="s">
        <v>50</v>
      </c>
      <c r="G51" s="30" t="s">
        <v>52</v>
      </c>
      <c r="H51" s="30" t="s">
        <v>53</v>
      </c>
      <c r="I51" s="32">
        <v>0.57999999999999996</v>
      </c>
      <c r="J51" s="32">
        <v>1</v>
      </c>
      <c r="K51" s="32">
        <v>202.42</v>
      </c>
      <c r="L51" s="30" t="s">
        <v>54</v>
      </c>
      <c r="M51" s="31">
        <v>46174</v>
      </c>
      <c r="N51" s="31">
        <v>46204</v>
      </c>
      <c r="O51" s="29" t="s">
        <v>251</v>
      </c>
      <c r="P51" s="33" t="s">
        <v>250</v>
      </c>
      <c r="S51" s="30" t="s">
        <v>87</v>
      </c>
      <c r="T51" s="29" t="str">
        <f>CONCATENATE(S51,67)</f>
        <v>00026514854K67</v>
      </c>
      <c r="U51" s="30" t="s">
        <v>341</v>
      </c>
      <c r="V51" s="29" t="s">
        <v>342</v>
      </c>
      <c r="W51" s="29" t="str">
        <f>CONCATENATE(V51," ",U51)</f>
        <v>KEVIN OLSON</v>
      </c>
    </row>
    <row r="52" spans="1:43" s="29" customFormat="1" x14ac:dyDescent="0.25">
      <c r="A52" s="30" t="s">
        <v>63</v>
      </c>
      <c r="B52" s="29">
        <v>8307933</v>
      </c>
      <c r="C52" s="30" t="s">
        <v>74</v>
      </c>
      <c r="D52" s="30" t="s">
        <v>75</v>
      </c>
      <c r="E52" s="31">
        <v>46174</v>
      </c>
      <c r="F52" s="30" t="s">
        <v>50</v>
      </c>
      <c r="G52" s="30" t="s">
        <v>52</v>
      </c>
      <c r="H52" s="30" t="s">
        <v>77</v>
      </c>
      <c r="I52" s="32">
        <v>0.57999999999999996</v>
      </c>
      <c r="J52" s="32">
        <v>1</v>
      </c>
      <c r="K52" s="32">
        <v>202.42</v>
      </c>
      <c r="L52" s="30" t="s">
        <v>54</v>
      </c>
      <c r="M52" s="31">
        <v>46174</v>
      </c>
      <c r="N52" s="31">
        <v>46204</v>
      </c>
      <c r="O52" s="29" t="s">
        <v>251</v>
      </c>
      <c r="P52" s="33" t="s">
        <v>250</v>
      </c>
      <c r="S52" s="30" t="s">
        <v>75</v>
      </c>
      <c r="T52" s="29" t="str">
        <f>CONCATENATE(S52,67)</f>
        <v>00026260016K67</v>
      </c>
      <c r="U52" s="30" t="s">
        <v>351</v>
      </c>
      <c r="V52" s="29" t="s">
        <v>352</v>
      </c>
      <c r="W52" s="29" t="str">
        <f>CONCATENATE(V52," ",U52)</f>
        <v>ANNA YI</v>
      </c>
    </row>
    <row r="53" spans="1:43" s="29" customFormat="1" x14ac:dyDescent="0.25">
      <c r="A53" s="30" t="s">
        <v>63</v>
      </c>
      <c r="B53" s="29">
        <v>8307933</v>
      </c>
      <c r="C53" s="30" t="s">
        <v>68</v>
      </c>
      <c r="D53" s="30" t="s">
        <v>69</v>
      </c>
      <c r="E53" s="31">
        <v>46054</v>
      </c>
      <c r="F53" s="30" t="s">
        <v>71</v>
      </c>
      <c r="G53" s="30" t="s">
        <v>52</v>
      </c>
      <c r="H53" s="30" t="s">
        <v>53</v>
      </c>
      <c r="I53" s="32">
        <v>0</v>
      </c>
      <c r="J53" s="32">
        <v>-1</v>
      </c>
      <c r="K53" s="32">
        <v>-260.26</v>
      </c>
      <c r="L53" s="30" t="s">
        <v>72</v>
      </c>
      <c r="M53" s="31">
        <v>46054</v>
      </c>
      <c r="N53" s="31">
        <v>46054</v>
      </c>
      <c r="O53" s="29" t="s">
        <v>251</v>
      </c>
      <c r="P53" s="33" t="s">
        <v>252</v>
      </c>
      <c r="Q53" s="29">
        <f>347/12*9</f>
        <v>260.25</v>
      </c>
      <c r="S53" s="30" t="s">
        <v>69</v>
      </c>
      <c r="T53" s="29" t="str">
        <f>CONCATENATE(S53,67)</f>
        <v>00025840083K67</v>
      </c>
      <c r="U53" s="30" t="s">
        <v>313</v>
      </c>
      <c r="V53" s="29" t="s">
        <v>314</v>
      </c>
      <c r="W53" s="29" t="str">
        <f>CONCATENATE(V53," ",U53)</f>
        <v>TERESA HOBDEN</v>
      </c>
    </row>
    <row r="54" spans="1:43" s="29" customFormat="1" x14ac:dyDescent="0.25">
      <c r="A54" s="30" t="s">
        <v>63</v>
      </c>
      <c r="B54" s="29">
        <v>8307933</v>
      </c>
      <c r="C54" s="30" t="s">
        <v>68</v>
      </c>
      <c r="D54" s="30" t="s">
        <v>69</v>
      </c>
      <c r="E54" s="31">
        <v>46054</v>
      </c>
      <c r="F54" s="30" t="s">
        <v>71</v>
      </c>
      <c r="G54" s="30" t="s">
        <v>52</v>
      </c>
      <c r="H54" s="30" t="s">
        <v>53</v>
      </c>
      <c r="I54" s="32">
        <v>-0.57999999999999996</v>
      </c>
      <c r="J54" s="32">
        <v>-1</v>
      </c>
      <c r="K54" s="32">
        <v>-202.41</v>
      </c>
      <c r="L54" s="30" t="s">
        <v>54</v>
      </c>
      <c r="M54" s="31">
        <v>46054</v>
      </c>
      <c r="N54" s="31">
        <v>46054</v>
      </c>
      <c r="O54" s="29" t="s">
        <v>251</v>
      </c>
      <c r="P54" s="33" t="s">
        <v>250</v>
      </c>
      <c r="S54" s="30" t="s">
        <v>69</v>
      </c>
      <c r="T54" s="29" t="str">
        <f>CONCATENATE(S54,67)</f>
        <v>00025840083K67</v>
      </c>
      <c r="U54" s="30" t="s">
        <v>313</v>
      </c>
      <c r="V54" s="29" t="s">
        <v>314</v>
      </c>
      <c r="W54" s="29" t="str">
        <f>CONCATENATE(V54," ",U54)</f>
        <v>TERESA HOBDEN</v>
      </c>
    </row>
    <row r="55" spans="1:43" s="29" customFormat="1" x14ac:dyDescent="0.25">
      <c r="A55" s="30" t="s">
        <v>63</v>
      </c>
      <c r="B55" s="29">
        <v>8307933</v>
      </c>
      <c r="C55" s="30" t="s">
        <v>64</v>
      </c>
      <c r="D55" s="30" t="s">
        <v>65</v>
      </c>
      <c r="E55" s="31">
        <v>46023</v>
      </c>
      <c r="F55" s="30" t="s">
        <v>67</v>
      </c>
      <c r="G55" s="30" t="s">
        <v>52</v>
      </c>
      <c r="H55" s="30" t="s">
        <v>53</v>
      </c>
      <c r="I55" s="32">
        <v>-0.57999999999999996</v>
      </c>
      <c r="J55" s="32">
        <v>-1</v>
      </c>
      <c r="K55" s="32">
        <v>-202.42</v>
      </c>
      <c r="L55" s="30" t="s">
        <v>54</v>
      </c>
      <c r="M55" s="31">
        <v>46023</v>
      </c>
      <c r="N55" s="31">
        <v>46023</v>
      </c>
      <c r="O55" s="29" t="s">
        <v>251</v>
      </c>
      <c r="P55" s="33" t="s">
        <v>250</v>
      </c>
      <c r="S55" s="30" t="s">
        <v>65</v>
      </c>
      <c r="T55" s="29" t="str">
        <f>CONCATENATE(S55,67)</f>
        <v>00013027171K67</v>
      </c>
      <c r="U55" s="30" t="s">
        <v>326</v>
      </c>
      <c r="V55" s="29" t="s">
        <v>327</v>
      </c>
      <c r="W55" s="29" t="str">
        <f>CONCATENATE(V55," ",U55)</f>
        <v>LISA WOODARD</v>
      </c>
    </row>
    <row r="56" spans="1:43" s="29" customFormat="1" x14ac:dyDescent="0.25">
      <c r="A56" s="30" t="s">
        <v>104</v>
      </c>
      <c r="B56" s="29">
        <v>18754354</v>
      </c>
      <c r="C56" s="30" t="s">
        <v>105</v>
      </c>
      <c r="D56" s="30" t="s">
        <v>106</v>
      </c>
      <c r="E56" s="31">
        <v>46023</v>
      </c>
      <c r="F56" s="30" t="s">
        <v>67</v>
      </c>
      <c r="G56" s="30" t="s">
        <v>52</v>
      </c>
      <c r="H56" s="30" t="s">
        <v>53</v>
      </c>
      <c r="I56" s="32">
        <v>-0.57999999999999996</v>
      </c>
      <c r="J56" s="32">
        <v>-1</v>
      </c>
      <c r="K56" s="32">
        <v>-202.42</v>
      </c>
      <c r="L56" s="30" t="s">
        <v>54</v>
      </c>
      <c r="M56" s="31">
        <v>46023</v>
      </c>
      <c r="N56" s="31">
        <v>46023</v>
      </c>
      <c r="O56" s="29" t="s">
        <v>251</v>
      </c>
      <c r="P56" s="33" t="s">
        <v>250</v>
      </c>
      <c r="S56" s="30" t="s">
        <v>106</v>
      </c>
      <c r="T56" s="29" t="str">
        <f>CONCATENATE(S56,67)</f>
        <v>00020726827K67</v>
      </c>
      <c r="U56" s="30" t="s">
        <v>324</v>
      </c>
      <c r="V56" s="29" t="s">
        <v>325</v>
      </c>
      <c r="W56" s="29" t="str">
        <f>CONCATENATE(V56," ",U56)</f>
        <v>WAYNE POLLITT</v>
      </c>
    </row>
    <row r="57" spans="1:43" s="29" customFormat="1" x14ac:dyDescent="0.25">
      <c r="A57" s="14" t="s">
        <v>152</v>
      </c>
      <c r="B57" s="17">
        <v>18142208</v>
      </c>
      <c r="C57" s="14" t="s">
        <v>153</v>
      </c>
      <c r="D57" s="14" t="s">
        <v>154</v>
      </c>
      <c r="E57" s="15">
        <v>46023</v>
      </c>
      <c r="F57" s="14" t="s">
        <v>67</v>
      </c>
      <c r="G57" s="14" t="s">
        <v>52</v>
      </c>
      <c r="H57" s="14" t="s">
        <v>156</v>
      </c>
      <c r="I57" s="16">
        <v>-0.57999999999999996</v>
      </c>
      <c r="J57" s="16">
        <v>-33.25</v>
      </c>
      <c r="K57" s="16">
        <v>-33.25</v>
      </c>
      <c r="L57" s="14" t="s">
        <v>54</v>
      </c>
      <c r="M57" s="15">
        <v>46023</v>
      </c>
      <c r="N57" s="15">
        <v>46023</v>
      </c>
      <c r="O57" s="17" t="s">
        <v>246</v>
      </c>
      <c r="P57" s="17"/>
      <c r="Q57" s="17"/>
      <c r="R57" s="17"/>
      <c r="S57" s="14" t="s">
        <v>154</v>
      </c>
      <c r="T57" s="17" t="str">
        <f>CONCATENATE(S57,9)</f>
        <v>00024593643K9</v>
      </c>
      <c r="U57" s="14" t="s">
        <v>311</v>
      </c>
      <c r="V57" s="17" t="s">
        <v>312</v>
      </c>
      <c r="W57" s="17" t="str">
        <f>CONCATENATE(V57," ",U57)</f>
        <v>ALICE MARKELONIS</v>
      </c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</row>
    <row r="60" spans="1:43" s="24" customFormat="1" x14ac:dyDescent="0.25">
      <c r="A60" s="20" t="s">
        <v>144</v>
      </c>
      <c r="B60" s="21">
        <v>1903197</v>
      </c>
      <c r="C60" s="20" t="s">
        <v>145</v>
      </c>
      <c r="D60" s="20" t="s">
        <v>146</v>
      </c>
      <c r="E60" s="22">
        <v>46143</v>
      </c>
      <c r="F60" s="20" t="s">
        <v>121</v>
      </c>
      <c r="G60" s="20" t="s">
        <v>52</v>
      </c>
      <c r="H60" s="20" t="s">
        <v>53</v>
      </c>
      <c r="I60" s="23">
        <v>0</v>
      </c>
      <c r="J60" s="23">
        <v>0</v>
      </c>
      <c r="K60" s="23">
        <v>-121.33</v>
      </c>
      <c r="L60" s="20" t="s">
        <v>54</v>
      </c>
      <c r="M60" s="22">
        <v>46143</v>
      </c>
      <c r="Q60" s="24">
        <v>347</v>
      </c>
      <c r="R60" s="23"/>
    </row>
    <row r="61" spans="1:43" s="24" customFormat="1" x14ac:dyDescent="0.25">
      <c r="A61" s="20" t="s">
        <v>130</v>
      </c>
      <c r="B61" s="21">
        <v>1832195</v>
      </c>
      <c r="C61" s="20" t="s">
        <v>131</v>
      </c>
      <c r="D61" s="20" t="s">
        <v>132</v>
      </c>
      <c r="E61" s="22">
        <v>46143</v>
      </c>
      <c r="F61" s="20" t="s">
        <v>121</v>
      </c>
      <c r="G61" s="20" t="s">
        <v>52</v>
      </c>
      <c r="H61" s="20" t="s">
        <v>53</v>
      </c>
      <c r="I61" s="23">
        <v>0</v>
      </c>
      <c r="J61" s="23">
        <v>0</v>
      </c>
      <c r="K61" s="23">
        <v>-121.33</v>
      </c>
      <c r="L61" s="20" t="s">
        <v>54</v>
      </c>
      <c r="M61" s="22">
        <v>46143</v>
      </c>
    </row>
  </sheetData>
  <sortState xmlns:xlrd2="http://schemas.microsoft.com/office/spreadsheetml/2017/richdata2" ref="A2:AQ8">
    <sortCondition ref="L2:L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2026-05-21T10:23:53Z</dcterms:created>
  <dcterms:modified xsi:type="dcterms:W3CDTF">2026-05-21T14:20:44Z</dcterms:modified>
</cp:coreProperties>
</file>