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1-21-26\"/>
    </mc:Choice>
  </mc:AlternateContent>
  <xr:revisionPtr revIDLastSave="0" documentId="13_ncr:1_{AB9EBB88-1B50-46FA-BF03-B825B8F88E2E}" xr6:coauthVersionLast="47" xr6:coauthVersionMax="47" xr10:uidLastSave="{00000000-0000-0000-0000-000000000000}"/>
  <bookViews>
    <workbookView xWindow="28680" yWindow="-120" windowWidth="29040" windowHeight="16440" activeTab="1" xr2:uid="{524E0EAC-83C6-4CF4-B2CC-E95DC2B55074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78" i="2" l="1"/>
  <c r="V79" i="2"/>
  <c r="V48" i="2"/>
  <c r="V49" i="2"/>
  <c r="V86" i="2"/>
  <c r="V18" i="2"/>
  <c r="V27" i="2"/>
  <c r="V28" i="2"/>
  <c r="V29" i="2"/>
  <c r="V20" i="2"/>
  <c r="V30" i="2"/>
  <c r="V58" i="2"/>
  <c r="V35" i="2"/>
  <c r="V24" i="2"/>
  <c r="V7" i="2"/>
  <c r="V21" i="2"/>
  <c r="V31" i="2"/>
  <c r="V37" i="2"/>
  <c r="V9" i="2"/>
  <c r="V34" i="2"/>
  <c r="V38" i="2"/>
  <c r="V39" i="2"/>
  <c r="V40" i="2"/>
  <c r="V41" i="2"/>
  <c r="V42" i="2"/>
  <c r="V43" i="2"/>
  <c r="V44" i="2"/>
  <c r="V10" i="2"/>
  <c r="V11" i="2"/>
  <c r="V12" i="2"/>
  <c r="V13" i="2"/>
  <c r="V14" i="2"/>
  <c r="V15" i="2"/>
  <c r="V84" i="2"/>
  <c r="V4" i="2"/>
  <c r="V81" i="2"/>
  <c r="V54" i="2"/>
  <c r="V16" i="2"/>
  <c r="V87" i="2"/>
  <c r="V5" i="2"/>
  <c r="V46" i="2"/>
  <c r="V22" i="2"/>
  <c r="V80" i="2"/>
  <c r="V82" i="2"/>
  <c r="V17" i="2"/>
  <c r="V88" i="2"/>
  <c r="V55" i="2"/>
  <c r="V56" i="2"/>
  <c r="V57" i="2"/>
  <c r="V50" i="2"/>
  <c r="V91" i="2"/>
  <c r="V95" i="2"/>
  <c r="V73" i="2"/>
  <c r="V92" i="2"/>
  <c r="V23" i="2"/>
  <c r="V6" i="2"/>
  <c r="V74" i="2"/>
  <c r="V25" i="2"/>
  <c r="V26" i="2"/>
  <c r="V60" i="2"/>
  <c r="V61" i="2"/>
  <c r="V62" i="2"/>
  <c r="V63" i="2"/>
  <c r="V64" i="2"/>
  <c r="V65" i="2"/>
  <c r="V66" i="2"/>
  <c r="V93" i="2"/>
  <c r="V33" i="2"/>
  <c r="V8" i="2"/>
  <c r="V19" i="2"/>
  <c r="V51" i="2"/>
  <c r="V52" i="2"/>
  <c r="V2" i="2"/>
  <c r="V67" i="2"/>
  <c r="V71" i="2"/>
  <c r="V72" i="2"/>
  <c r="V3" i="2"/>
  <c r="V85" i="2"/>
  <c r="V69" i="2"/>
  <c r="V47" i="2"/>
  <c r="V94" i="2"/>
  <c r="V83" i="2"/>
  <c r="V53" i="2"/>
  <c r="V36" i="2"/>
  <c r="V75" i="2"/>
  <c r="V68" i="2"/>
  <c r="V76" i="2"/>
  <c r="V77" i="2"/>
  <c r="V59" i="2"/>
  <c r="V32" i="2"/>
  <c r="V45" i="2"/>
  <c r="S32" i="2"/>
  <c r="S59" i="2"/>
  <c r="S77" i="2"/>
  <c r="S76" i="2"/>
  <c r="S68" i="2"/>
  <c r="S75" i="2"/>
  <c r="S36" i="2"/>
  <c r="S53" i="2"/>
  <c r="S83" i="2"/>
  <c r="S94" i="2"/>
  <c r="S47" i="2"/>
  <c r="S69" i="2"/>
  <c r="S85" i="2"/>
  <c r="S3" i="2"/>
  <c r="S72" i="2"/>
  <c r="S71" i="2"/>
  <c r="S67" i="2"/>
  <c r="S2" i="2"/>
  <c r="S52" i="2"/>
  <c r="S51" i="2"/>
  <c r="S19" i="2"/>
  <c r="S8" i="2"/>
  <c r="S33" i="2"/>
  <c r="S93" i="2"/>
  <c r="S66" i="2"/>
  <c r="S65" i="2"/>
  <c r="S64" i="2"/>
  <c r="S63" i="2"/>
  <c r="S62" i="2"/>
  <c r="S61" i="2"/>
  <c r="S60" i="2"/>
  <c r="S26" i="2"/>
  <c r="S25" i="2"/>
  <c r="S74" i="2"/>
  <c r="S6" i="2"/>
  <c r="S23" i="2"/>
  <c r="S92" i="2"/>
  <c r="S73" i="2"/>
  <c r="S95" i="2"/>
  <c r="S91" i="2"/>
  <c r="S50" i="2"/>
  <c r="S57" i="2"/>
  <c r="S56" i="2"/>
  <c r="S55" i="2"/>
  <c r="S88" i="2"/>
  <c r="S17" i="2"/>
  <c r="S82" i="2"/>
  <c r="S80" i="2"/>
  <c r="S22" i="2"/>
  <c r="S46" i="2"/>
  <c r="S5" i="2"/>
  <c r="S87" i="2"/>
  <c r="S16" i="2"/>
  <c r="S54" i="2"/>
  <c r="S81" i="2"/>
  <c r="S4" i="2"/>
  <c r="S84" i="2"/>
  <c r="S90" i="2"/>
  <c r="S70" i="2"/>
  <c r="S89" i="2"/>
  <c r="S15" i="2"/>
  <c r="S14" i="2"/>
  <c r="S13" i="2"/>
  <c r="S12" i="2"/>
  <c r="S11" i="2"/>
  <c r="S10" i="2"/>
  <c r="S44" i="2"/>
  <c r="S43" i="2"/>
  <c r="S42" i="2"/>
  <c r="S41" i="2"/>
  <c r="S40" i="2"/>
  <c r="S39" i="2"/>
  <c r="S38" i="2"/>
  <c r="S34" i="2"/>
  <c r="S9" i="2"/>
  <c r="S37" i="2"/>
  <c r="S31" i="2"/>
  <c r="S21" i="2"/>
  <c r="S7" i="2"/>
  <c r="S24" i="2"/>
  <c r="S35" i="2"/>
  <c r="S58" i="2"/>
  <c r="S30" i="2"/>
  <c r="S20" i="2"/>
  <c r="S29" i="2"/>
  <c r="S28" i="2"/>
  <c r="S27" i="2"/>
  <c r="S18" i="2"/>
  <c r="S86" i="2"/>
  <c r="S49" i="2"/>
  <c r="S48" i="2"/>
  <c r="S79" i="2"/>
  <c r="S78" i="2"/>
  <c r="S45" i="2"/>
  <c r="Q73" i="2"/>
  <c r="Q91" i="2"/>
  <c r="Q84" i="2"/>
  <c r="Q4" i="2"/>
</calcChain>
</file>

<file path=xl/sharedStrings.xml><?xml version="1.0" encoding="utf-8"?>
<sst xmlns="http://schemas.openxmlformats.org/spreadsheetml/2006/main" count="3968" uniqueCount="548">
  <si>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</si>
  <si>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</si>
  <si>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</si>
  <si>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</si>
  <si>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</si>
  <si>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</si>
  <si>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</si>
  <si>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</si>
  <si>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</si>
  <si>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</si>
  <si>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</si>
  <si>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</si>
  <si>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</si>
  <si>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</si>
  <si>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</si>
  <si>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</si>
  <si>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</si>
  <si>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</si>
  <si>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</si>
  <si>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</si>
  <si>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</si>
  <si>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</si>
  <si>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</si>
  <si>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</si>
  <si>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</si>
  <si>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</si>
  <si>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</si>
  <si>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</si>
  <si>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</si>
  <si>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</si>
  <si>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</si>
  <si>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</si>
  <si>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</si>
  <si>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</si>
  <si>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</si>
  <si>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</si>
  <si>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</si>
  <si>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</si>
  <si>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</si>
  <si>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</si>
  <si>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</si>
  <si>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</si>
  <si>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</si>
  <si>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BENDABOUT DONALD L</t>
  </si>
  <si>
    <t>00020628364K</t>
  </si>
  <si>
    <t>7RM4RP1NA60</t>
  </si>
  <si>
    <t/>
  </si>
  <si>
    <t>MA</t>
  </si>
  <si>
    <t>LV</t>
  </si>
  <si>
    <t>JAN</t>
  </si>
  <si>
    <t>F</t>
  </si>
  <si>
    <t>MEDICARE</t>
  </si>
  <si>
    <t>MEP</t>
  </si>
  <si>
    <t>FIRST YEAR COMMISSIONS</t>
  </si>
  <si>
    <t>ARCF</t>
  </si>
  <si>
    <t>H7617</t>
  </si>
  <si>
    <t>CERVANTES BRETT D</t>
  </si>
  <si>
    <t>00025199148K</t>
  </si>
  <si>
    <t>5WF2VA4GC94</t>
  </si>
  <si>
    <t>MER</t>
  </si>
  <si>
    <t>H4461</t>
  </si>
  <si>
    <t>FEB</t>
  </si>
  <si>
    <t>H1036</t>
  </si>
  <si>
    <t>HORN JEFFREY E</t>
  </si>
  <si>
    <t>DESMOND SUSANNE M</t>
  </si>
  <si>
    <t>00022005823K</t>
  </si>
  <si>
    <t>8E51M13WP25</t>
  </si>
  <si>
    <t>R0110</t>
  </si>
  <si>
    <t>HALINSKI MICHAEL J</t>
  </si>
  <si>
    <t>00025104052K</t>
  </si>
  <si>
    <t>3JQ7GJ5QU36</t>
  </si>
  <si>
    <t>H1468</t>
  </si>
  <si>
    <t>CHOI ANDREW J</t>
  </si>
  <si>
    <t>TEHAN JAMES F</t>
  </si>
  <si>
    <t>00025960130K</t>
  </si>
  <si>
    <t>4AF1HR4GU98</t>
  </si>
  <si>
    <t>TEIPEL GREGORY K</t>
  </si>
  <si>
    <t>COMSTOCK CHRISTIAN J</t>
  </si>
  <si>
    <t>00025957840K</t>
  </si>
  <si>
    <t>7T62VJ0YX13</t>
  </si>
  <si>
    <t>MAR</t>
  </si>
  <si>
    <t>SHAW JOSHUA R</t>
  </si>
  <si>
    <t>00025958760K</t>
  </si>
  <si>
    <t>3Q40JG2WW29</t>
  </si>
  <si>
    <t>HUNSBERGER ANTHONY J</t>
  </si>
  <si>
    <t>COHEN DELFINA M</t>
  </si>
  <si>
    <t>00025950232K</t>
  </si>
  <si>
    <t>2KX6CV1YJ54</t>
  </si>
  <si>
    <t>MORTIMER ELLENMARIE T</t>
  </si>
  <si>
    <t>00025964426K</t>
  </si>
  <si>
    <t>9Y00HR5AN20</t>
  </si>
  <si>
    <t>WALENGA DALE J</t>
  </si>
  <si>
    <t>BILEK CHRISTOPHER</t>
  </si>
  <si>
    <t>00018023648K</t>
  </si>
  <si>
    <t>6JM1M76FA98</t>
  </si>
  <si>
    <t>POONJA KULSOOM M</t>
  </si>
  <si>
    <t>00019292757K</t>
  </si>
  <si>
    <t>1U15F83DK68</t>
  </si>
  <si>
    <t>POONJA MAHMOOD</t>
  </si>
  <si>
    <t>00019321108K</t>
  </si>
  <si>
    <t>2H39K81MV20</t>
  </si>
  <si>
    <t>ROLLER JASON</t>
  </si>
  <si>
    <t>KUMAR PARMOD</t>
  </si>
  <si>
    <t>00008459655K</t>
  </si>
  <si>
    <t>2Y08EJ8CT23</t>
  </si>
  <si>
    <t>BROWN JACK D</t>
  </si>
  <si>
    <t>00009430398K</t>
  </si>
  <si>
    <t>6E33T52GP73</t>
  </si>
  <si>
    <t>TURNER MARY P</t>
  </si>
  <si>
    <t>00013363129K</t>
  </si>
  <si>
    <t>6RJ6DJ2NH62</t>
  </si>
  <si>
    <t>KUMAR JUNE P</t>
  </si>
  <si>
    <t>00013752362K</t>
  </si>
  <si>
    <t>3CW5XN8YW63</t>
  </si>
  <si>
    <t>KIDD GEORGETTE D</t>
  </si>
  <si>
    <t>00025946847K</t>
  </si>
  <si>
    <t>6JF4FP0VH99</t>
  </si>
  <si>
    <t>PERAZZOLO MAUREEN J</t>
  </si>
  <si>
    <t>00025978179K</t>
  </si>
  <si>
    <t>6A36QA1MA72</t>
  </si>
  <si>
    <t>PERAZZOLO SCOTT A</t>
  </si>
  <si>
    <t>00025981100K</t>
  </si>
  <si>
    <t>9UX2M27MW24</t>
  </si>
  <si>
    <t>YALE RICHARD A A</t>
  </si>
  <si>
    <t>BLOSS ALAN D</t>
  </si>
  <si>
    <t>00009171141K</t>
  </si>
  <si>
    <t>6XT9Q57UF56</t>
  </si>
  <si>
    <t>MASON LINDA C</t>
  </si>
  <si>
    <t>00025954028K</t>
  </si>
  <si>
    <t>7R42WM4AN23</t>
  </si>
  <si>
    <t>H4329</t>
  </si>
  <si>
    <t>DELLAPOLLA LAURA A</t>
  </si>
  <si>
    <t>00025968749K</t>
  </si>
  <si>
    <t>2YD7TT7WJ48</t>
  </si>
  <si>
    <t>FLOWERS NANCY R</t>
  </si>
  <si>
    <t>00025971644K</t>
  </si>
  <si>
    <t>7NU5CN4CG79</t>
  </si>
  <si>
    <t>APR</t>
  </si>
  <si>
    <t>RICHTER PETER L</t>
  </si>
  <si>
    <t>00024590403K</t>
  </si>
  <si>
    <t>5P53RH0CK11</t>
  </si>
  <si>
    <t>KUCAN THOMAS</t>
  </si>
  <si>
    <t>RIGGS ARTHUR L</t>
  </si>
  <si>
    <t>00025976213K</t>
  </si>
  <si>
    <t>3Y66GT6DN74</t>
  </si>
  <si>
    <t>DRAPAC STEPHANIE E</t>
  </si>
  <si>
    <t>JENNINGS DONNA M</t>
  </si>
  <si>
    <t>00025962433K</t>
  </si>
  <si>
    <t>5J98H34VP39</t>
  </si>
  <si>
    <t>HERRERA-LARSEN ESTHER M</t>
  </si>
  <si>
    <t>VASILOPOULOS LOUIS</t>
  </si>
  <si>
    <t>00025965072K</t>
  </si>
  <si>
    <t>4JD4V77PF05</t>
  </si>
  <si>
    <t>WEITZMAN KENNETH</t>
  </si>
  <si>
    <t>VOELKER MICHAEL C</t>
  </si>
  <si>
    <t>00023407746K</t>
  </si>
  <si>
    <t>4K53H64NC95</t>
  </si>
  <si>
    <t>MAHLER REBECCA E</t>
  </si>
  <si>
    <t>00025697687K</t>
  </si>
  <si>
    <t>1VX0M62YM26</t>
  </si>
  <si>
    <t>CP</t>
  </si>
  <si>
    <t>MEDICARE 2ND HALF FIRST YEAR COMM</t>
  </si>
  <si>
    <t>MED2</t>
  </si>
  <si>
    <t>H1019</t>
  </si>
  <si>
    <t>FOLEY CAROL</t>
  </si>
  <si>
    <t>WEISSMAN NEIL E</t>
  </si>
  <si>
    <t>00022770126K</t>
  </si>
  <si>
    <t>6EG5EH5FJ61</t>
  </si>
  <si>
    <t>MENDENHALL JR JOHN</t>
  </si>
  <si>
    <t>00023621536K</t>
  </si>
  <si>
    <t>7DX5K11AA87</t>
  </si>
  <si>
    <t>PORTUGAL GARY</t>
  </si>
  <si>
    <t>JACKSON SHANELLE A</t>
  </si>
  <si>
    <t>00019992467K</t>
  </si>
  <si>
    <t>5F09TT0TF43</t>
  </si>
  <si>
    <t>DANIEL ANTHONY</t>
  </si>
  <si>
    <t>00020552959K</t>
  </si>
  <si>
    <t>7MN2F03WU04</t>
  </si>
  <si>
    <t>R</t>
  </si>
  <si>
    <t>RENEWAL COMMISSIONS</t>
  </si>
  <si>
    <t>ARCM</t>
  </si>
  <si>
    <t>LANCE RUSSELL G</t>
  </si>
  <si>
    <t>00023765948K</t>
  </si>
  <si>
    <t>8X28JG6VG26</t>
  </si>
  <si>
    <t>ROYER JEANNE C</t>
  </si>
  <si>
    <t>00024955998K</t>
  </si>
  <si>
    <t>7N91U49KX26</t>
  </si>
  <si>
    <t>PLOPA JUDITH A</t>
  </si>
  <si>
    <t>00025944136K</t>
  </si>
  <si>
    <t>3QT5EX9PG60</t>
  </si>
  <si>
    <t>JODLOWSKI RAYMOND</t>
  </si>
  <si>
    <t>00025959304K</t>
  </si>
  <si>
    <t>4CU0T66DT47</t>
  </si>
  <si>
    <t>YALE JACOB D</t>
  </si>
  <si>
    <t>OLIVA MARIA E</t>
  </si>
  <si>
    <t>00022646964K</t>
  </si>
  <si>
    <t>4KV1V90CD07</t>
  </si>
  <si>
    <t>HOCHSPRUNG CHRISTINE M</t>
  </si>
  <si>
    <t>00023848950K</t>
  </si>
  <si>
    <t>1CD2UG0XD03</t>
  </si>
  <si>
    <t>SIEGEL HEIDI R</t>
  </si>
  <si>
    <t>00024112192K</t>
  </si>
  <si>
    <t>6MQ2W31WD93</t>
  </si>
  <si>
    <t>MAX RONALD J</t>
  </si>
  <si>
    <t>KOZENSKI MARY L</t>
  </si>
  <si>
    <t>00025957764K</t>
  </si>
  <si>
    <t>8WE4MR9XG97</t>
  </si>
  <si>
    <t>H6622</t>
  </si>
  <si>
    <t>ABDUL SAADIA S</t>
  </si>
  <si>
    <t>LADO VICTOR T</t>
  </si>
  <si>
    <t>00025970163K</t>
  </si>
  <si>
    <t>4EH6PF3DF89</t>
  </si>
  <si>
    <t>THANADABOUTH PATSAMON</t>
  </si>
  <si>
    <t>XAYAKHAM XAY</t>
  </si>
  <si>
    <t>00025982104K</t>
  </si>
  <si>
    <t>8JF5G56PE65</t>
  </si>
  <si>
    <t>SCHUMANN BARRY L</t>
  </si>
  <si>
    <t>RIZZO PAUL M</t>
  </si>
  <si>
    <t>00025950489K</t>
  </si>
  <si>
    <t>9K91A35VT02</t>
  </si>
  <si>
    <t>BROOKS JACK A</t>
  </si>
  <si>
    <t>00025959508K</t>
  </si>
  <si>
    <t>7A10RH2QG35</t>
  </si>
  <si>
    <t>TAUGNER CHRISTIAN</t>
  </si>
  <si>
    <t>MUDGETT PATRICIA A</t>
  </si>
  <si>
    <t>00013636650K</t>
  </si>
  <si>
    <t>7VH3HA6WN75</t>
  </si>
  <si>
    <t>ALLAN DAVID A</t>
  </si>
  <si>
    <t>00025982685K</t>
  </si>
  <si>
    <t>5TV8DY4RF38</t>
  </si>
  <si>
    <t>BRANDT STEVEN K</t>
  </si>
  <si>
    <t>GREENAWALT JAMES B</t>
  </si>
  <si>
    <t>00025927756K</t>
  </si>
  <si>
    <t>5HG3DC4JU99</t>
  </si>
  <si>
    <t>YALE CHAD J</t>
  </si>
  <si>
    <t>COLLINS DEBORAH J</t>
  </si>
  <si>
    <t>00000963879D</t>
  </si>
  <si>
    <t>3RR0T64MW10</t>
  </si>
  <si>
    <t>ELSCLAGER THERESA K</t>
  </si>
  <si>
    <t>00024302321K</t>
  </si>
  <si>
    <t>1GA8C59XN38</t>
  </si>
  <si>
    <t>NOV</t>
  </si>
  <si>
    <t>H0473</t>
  </si>
  <si>
    <t>PORTUGAL STACEY A</t>
  </si>
  <si>
    <t>ROSQUETE PEDRO E</t>
  </si>
  <si>
    <t>00022586413K</t>
  </si>
  <si>
    <t>7YA1EX8NE92</t>
  </si>
  <si>
    <t>SCHENKEL EDNA M</t>
  </si>
  <si>
    <t>00024582757K</t>
  </si>
  <si>
    <t>2Y08CE8NR52</t>
  </si>
  <si>
    <t>WELSH DEBORAH M</t>
  </si>
  <si>
    <t>00025552127K</t>
  </si>
  <si>
    <t>5VG8TQ4FW41</t>
  </si>
  <si>
    <t>ZANA NASANDELGER M</t>
  </si>
  <si>
    <t>DAVAA GANCHIMEG</t>
  </si>
  <si>
    <t>00025974976K</t>
  </si>
  <si>
    <t>7UP7E46EY39</t>
  </si>
  <si>
    <t>TORRES JOSE</t>
  </si>
  <si>
    <t>CHAVEZ CARLOS</t>
  </si>
  <si>
    <t>00023314572K</t>
  </si>
  <si>
    <t>4KX7JY8DC38</t>
  </si>
  <si>
    <t>JIMENEZ RAMOS LUIS</t>
  </si>
  <si>
    <t>00025972977K</t>
  </si>
  <si>
    <t>1P15J34RT83</t>
  </si>
  <si>
    <t>FUENTES VICTOR</t>
  </si>
  <si>
    <t>OWEN VICKI L</t>
  </si>
  <si>
    <t>00006526449K</t>
  </si>
  <si>
    <t>9HT5UY5GG68</t>
  </si>
  <si>
    <t>SHEPARD JILL M</t>
  </si>
  <si>
    <t>BAUNACH DOROTHY C</t>
  </si>
  <si>
    <t>00025980223K</t>
  </si>
  <si>
    <t>4XV1A64TM94</t>
  </si>
  <si>
    <t>BROUSSEAU CHRISTOPHER</t>
  </si>
  <si>
    <t>WILSON BRUNHILDE E</t>
  </si>
  <si>
    <t>00019862313K</t>
  </si>
  <si>
    <t>4Y56WJ4JT88</t>
  </si>
  <si>
    <t>DEATON PAMELA S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</si>
  <si>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</si>
  <si>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</si>
  <si>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</si>
  <si>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</si>
  <si>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</si>
  <si>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</si>
  <si>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</si>
  <si>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TATRO MELISSA</t>
  </si>
  <si>
    <t>KOGUT  AND WILSON LLC</t>
  </si>
  <si>
    <t>000000416672</t>
  </si>
  <si>
    <t>GR</t>
  </si>
  <si>
    <t>EM</t>
  </si>
  <si>
    <t>Grychowski Jerry</t>
  </si>
  <si>
    <t>9007596540</t>
  </si>
  <si>
    <t>DENTAL</t>
  </si>
  <si>
    <t>HOFFMANN JASON R</t>
  </si>
  <si>
    <t>LAREN ANDERS F</t>
  </si>
  <si>
    <t>00000947146A</t>
  </si>
  <si>
    <t>MS</t>
  </si>
  <si>
    <t>MED SUPP ANNUALIZED STANDARD</t>
  </si>
  <si>
    <t>MSAS</t>
  </si>
  <si>
    <t>Gerber Elliot</t>
  </si>
  <si>
    <t>0654656220</t>
  </si>
  <si>
    <t>RICHTER ADAM J</t>
  </si>
  <si>
    <t>GOODNITE SUSAN L</t>
  </si>
  <si>
    <t>00001101774A</t>
  </si>
  <si>
    <t>GREGORY AUTO GROUP ASM</t>
  </si>
  <si>
    <t>000000419885</t>
  </si>
  <si>
    <t>INSKIPT DEBORAH L</t>
  </si>
  <si>
    <t>SCHUBERT DAVID</t>
  </si>
  <si>
    <t>00000789641A</t>
  </si>
  <si>
    <t>MED SUPP RENEWAL ACHIEVE</t>
  </si>
  <si>
    <t>MSRA</t>
  </si>
  <si>
    <t>CARDOSI KAREN E</t>
  </si>
  <si>
    <t>00000828881A</t>
  </si>
  <si>
    <t>BRACE TIMMY L</t>
  </si>
  <si>
    <t>00000871454A</t>
  </si>
  <si>
    <t>MINK JAY R</t>
  </si>
  <si>
    <t>00001080731A</t>
  </si>
  <si>
    <t>MED SUPP ANNUALIZED ACHIEVE</t>
  </si>
  <si>
    <t>MSAA</t>
  </si>
  <si>
    <t>Madigan Kathleen</t>
  </si>
  <si>
    <t>9029971470</t>
  </si>
  <si>
    <t>COMPBENEFITS FIRST YEAR COMMISSION</t>
  </si>
  <si>
    <t>CRCF</t>
  </si>
  <si>
    <t>MCCORKLE MICHELLE</t>
  </si>
  <si>
    <t>Miller Kayla M</t>
  </si>
  <si>
    <t>9030250530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</si>
  <si>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</si>
  <si>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</si>
  <si>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</si>
  <si>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</si>
  <si>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</si>
  <si>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</si>
  <si>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</si>
  <si>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</si>
  <si>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</si>
  <si>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</si>
  <si>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</si>
  <si>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</si>
  <si>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Halbig Frederick</t>
  </si>
  <si>
    <t>9031474920</t>
  </si>
  <si>
    <t>LONG PATRICIA M</t>
  </si>
  <si>
    <t>Kershner David</t>
  </si>
  <si>
    <t>9031291620</t>
  </si>
  <si>
    <t>KERN TERESA A</t>
  </si>
  <si>
    <t>00001082106A</t>
  </si>
  <si>
    <t>DEC</t>
  </si>
  <si>
    <t>DUNAVANT MICHAEL</t>
  </si>
  <si>
    <t>Holtz Michael</t>
  </si>
  <si>
    <t>9031094580</t>
  </si>
  <si>
    <t>Parsons Paul</t>
  </si>
  <si>
    <t>9031530890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</si>
  <si>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</si>
  <si>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</si>
  <si>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</si>
  <si>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</si>
  <si>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</si>
  <si>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</si>
  <si>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</si>
  <si>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</si>
  <si>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Bowen Michael</t>
  </si>
  <si>
    <t>9031617040</t>
  </si>
  <si>
    <t>KOZACHECK ANNE MARIE</t>
  </si>
  <si>
    <t>BALTZERSEN ROBERT L</t>
  </si>
  <si>
    <t>00000941582A</t>
  </si>
  <si>
    <t>Humana Dental &amp; Vision</t>
  </si>
  <si>
    <t>Humana Dental &amp; Vision 15%</t>
  </si>
  <si>
    <t>Humana Group 2025</t>
  </si>
  <si>
    <t>Humana MedSupp U65</t>
  </si>
  <si>
    <t>Humana Annualized MS OE,UW,GI</t>
  </si>
  <si>
    <t>Humana 65-80 AL, AZ, AR, GA, etc. All Except N OE &amp; UW</t>
  </si>
  <si>
    <t>Humana AL, AZ, AR, GA, etc. Plan N OE &amp; UW</t>
  </si>
  <si>
    <t>[%/$=347][prorate=12/12]</t>
  </si>
  <si>
    <t>Humana MAPD 2026*</t>
  </si>
  <si>
    <t>[%/$=347][prorate=11/12]</t>
  </si>
  <si>
    <t>2026 Humana like plan changes</t>
  </si>
  <si>
    <t>[%/$=347][prorate=1/12]</t>
  </si>
  <si>
    <t>[%/$=313][prorate=2/12]</t>
  </si>
  <si>
    <t>Humana MAPD 2025*</t>
  </si>
  <si>
    <t>[%/$=347][prorate=9/12]</t>
  </si>
  <si>
    <t>[%/$=347][prorate=10/12]</t>
  </si>
  <si>
    <t>BENDABOUT</t>
  </si>
  <si>
    <t>DONALD</t>
  </si>
  <si>
    <t>POONJA</t>
  </si>
  <si>
    <t>KULSOOM</t>
  </si>
  <si>
    <t>MAHMOOD</t>
  </si>
  <si>
    <t>LANCE</t>
  </si>
  <si>
    <t>RUSSELL</t>
  </si>
  <si>
    <t>JACKSON</t>
  </si>
  <si>
    <t>SHANELLE</t>
  </si>
  <si>
    <t>HOCHSPRUNG</t>
  </si>
  <si>
    <t>CHRISTINE</t>
  </si>
  <si>
    <t>OWEN</t>
  </si>
  <si>
    <t>VICKI</t>
  </si>
  <si>
    <t>CARDOSI</t>
  </si>
  <si>
    <t>KAREN</t>
  </si>
  <si>
    <t>BRACE</t>
  </si>
  <si>
    <t>TIMMY</t>
  </si>
  <si>
    <t>MINK</t>
  </si>
  <si>
    <t>JAY</t>
  </si>
  <si>
    <t>LAREN</t>
  </si>
  <si>
    <t>ANDERS</t>
  </si>
  <si>
    <t>SCHUBERT</t>
  </si>
  <si>
    <t>DAVID</t>
  </si>
  <si>
    <t>GOODNITE</t>
  </si>
  <si>
    <t>SUSAN</t>
  </si>
  <si>
    <t>KERN</t>
  </si>
  <si>
    <t>TERESA</t>
  </si>
  <si>
    <t>Grychowski</t>
  </si>
  <si>
    <t>Jerry</t>
  </si>
  <si>
    <t>Elliott</t>
  </si>
  <si>
    <t>Joseph</t>
  </si>
  <si>
    <t>Gerber</t>
  </si>
  <si>
    <t>Elliot</t>
  </si>
  <si>
    <t>Madigan</t>
  </si>
  <si>
    <t>Kathleen</t>
  </si>
  <si>
    <t>Miller</t>
  </si>
  <si>
    <t>Kayla</t>
  </si>
  <si>
    <t>Holtz</t>
  </si>
  <si>
    <t>Michael</t>
  </si>
  <si>
    <t>Kershner</t>
  </si>
  <si>
    <t>David</t>
  </si>
  <si>
    <t>Sloan</t>
  </si>
  <si>
    <t>Edward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</si>
  <si>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</si>
  <si>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</si>
  <si>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</si>
  <si>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</si>
  <si>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</si>
  <si>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</si>
  <si>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</si>
  <si>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</si>
  <si>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Hanley</t>
  </si>
  <si>
    <t>Brenna</t>
  </si>
  <si>
    <t>Halbig</t>
  </si>
  <si>
    <t>Frederick</t>
  </si>
  <si>
    <t>Parsons</t>
  </si>
  <si>
    <t>Paul</t>
  </si>
  <si>
    <t>Clinton</t>
  </si>
  <si>
    <t>Mark</t>
  </si>
  <si>
    <t>Dallas</t>
  </si>
  <si>
    <t>Michele</t>
  </si>
  <si>
    <t>Quaid</t>
  </si>
  <si>
    <t>James</t>
  </si>
  <si>
    <t>Murray</t>
  </si>
  <si>
    <t>Adam</t>
  </si>
  <si>
    <t>Bowen</t>
  </si>
  <si>
    <t>GREGORY</t>
  </si>
  <si>
    <t>AUTO</t>
  </si>
  <si>
    <t>KOGUT</t>
  </si>
  <si>
    <t>AND</t>
  </si>
  <si>
    <t>WILSON</t>
  </si>
  <si>
    <t>ELSCLAGER</t>
  </si>
  <si>
    <t>THERESA</t>
  </si>
  <si>
    <t>BRUNHILDE</t>
  </si>
  <si>
    <t>MAHLER</t>
  </si>
  <si>
    <t>REBECCA</t>
  </si>
  <si>
    <t>WELSH</t>
  </si>
  <si>
    <t>DEBORAH</t>
  </si>
  <si>
    <t>MENDENHALL</t>
  </si>
  <si>
    <t>JOHN</t>
  </si>
  <si>
    <t>SIEGEL</t>
  </si>
  <si>
    <t>HEIDI</t>
  </si>
  <si>
    <t>CERVANTES</t>
  </si>
  <si>
    <t>BRETT</t>
  </si>
  <si>
    <t>HALINSKI</t>
  </si>
  <si>
    <t>MICHAEL</t>
  </si>
  <si>
    <t>BILEK</t>
  </si>
  <si>
    <t>CHRISTOPHER</t>
  </si>
  <si>
    <t>WEISSMAN</t>
  </si>
  <si>
    <t>NEIL</t>
  </si>
  <si>
    <t>OLIVA</t>
  </si>
  <si>
    <t>MARIA</t>
  </si>
  <si>
    <t>SCHENKEL</t>
  </si>
  <si>
    <t>EDNA</t>
  </si>
  <si>
    <t>ROSQUETE</t>
  </si>
  <si>
    <t>PEDRO</t>
  </si>
  <si>
    <t>DANIEL</t>
  </si>
  <si>
    <t>ANTHONY</t>
  </si>
  <si>
    <t>FLOWERS</t>
  </si>
  <si>
    <t>NANCY</t>
  </si>
  <si>
    <t>DAVAA</t>
  </si>
  <si>
    <t>GANCHIMEG</t>
  </si>
  <si>
    <t>COMSTOCK</t>
  </si>
  <si>
    <t>CHRISTIAN</t>
  </si>
  <si>
    <t>DELLAPOLLA</t>
  </si>
  <si>
    <t>LAURA</t>
  </si>
  <si>
    <t>DESMOND</t>
  </si>
  <si>
    <t>SUSANNE</t>
  </si>
  <si>
    <t>TEHAN</t>
  </si>
  <si>
    <t>JAMES</t>
  </si>
  <si>
    <t>SHAW</t>
  </si>
  <si>
    <t>JOSHUA</t>
  </si>
  <si>
    <t>COHEN</t>
  </si>
  <si>
    <t>DELFINA</t>
  </si>
  <si>
    <t>MORTIMER</t>
  </si>
  <si>
    <t>ELLENMARIE</t>
  </si>
  <si>
    <t>KUMAR</t>
  </si>
  <si>
    <t>PARMOD</t>
  </si>
  <si>
    <t>BROWN</t>
  </si>
  <si>
    <t>JACK</t>
  </si>
  <si>
    <t>TURNER</t>
  </si>
  <si>
    <t>MARY</t>
  </si>
  <si>
    <t>JUNE</t>
  </si>
  <si>
    <t>KIDD</t>
  </si>
  <si>
    <t>GEORGETTE</t>
  </si>
  <si>
    <t>PERAZZOLO</t>
  </si>
  <si>
    <t>MAUREEN</t>
  </si>
  <si>
    <t>SCOTT</t>
  </si>
  <si>
    <t>BLOSS</t>
  </si>
  <si>
    <t>ALAN</t>
  </si>
  <si>
    <t>RIGGS</t>
  </si>
  <si>
    <t>ARTHUR</t>
  </si>
  <si>
    <t>JENNINGS</t>
  </si>
  <si>
    <t>DONNA</t>
  </si>
  <si>
    <t>VASILOPOULOS</t>
  </si>
  <si>
    <t>LOUIS</t>
  </si>
  <si>
    <t>ROYER</t>
  </si>
  <si>
    <t>JEANNE</t>
  </si>
  <si>
    <t>JODLOWSKI</t>
  </si>
  <si>
    <t>RAYMOND</t>
  </si>
  <si>
    <t>LADO</t>
  </si>
  <si>
    <t>VICTOR</t>
  </si>
  <si>
    <t>RIZZO</t>
  </si>
  <si>
    <t>PAUL</t>
  </si>
  <si>
    <t>MUDGETT</t>
  </si>
  <si>
    <t>PATRICIA</t>
  </si>
  <si>
    <t>ALLAN</t>
  </si>
  <si>
    <t>GREENAWALT</t>
  </si>
  <si>
    <t>COLLINS</t>
  </si>
  <si>
    <t>BAUNACH</t>
  </si>
  <si>
    <t>DOROTHY</t>
  </si>
  <si>
    <t>MASON</t>
  </si>
  <si>
    <t>LINDA</t>
  </si>
  <si>
    <t>VOELKER</t>
  </si>
  <si>
    <t>PLOPA</t>
  </si>
  <si>
    <t>JUDITH</t>
  </si>
  <si>
    <t>KOZENSKI</t>
  </si>
  <si>
    <t>XAYAKHAM</t>
  </si>
  <si>
    <t>XAY</t>
  </si>
  <si>
    <t>BROOKS</t>
  </si>
  <si>
    <t>CHAVEZ</t>
  </si>
  <si>
    <t>CARLOS</t>
  </si>
  <si>
    <t>JIMENEZ</t>
  </si>
  <si>
    <t>LUIS</t>
  </si>
  <si>
    <t>RICHTER</t>
  </si>
  <si>
    <t>PETER</t>
  </si>
  <si>
    <t>BALTZERSEN</t>
  </si>
  <si>
    <t>ROBERT</t>
  </si>
  <si>
    <t>[%/$=165][prorate=11/12]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</si>
</sst>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19" fillId="0" borderId="0" xfId="0" applyFont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36" borderId="0" xfId="0" applyFont="1" applyFill="1"/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0841-C764-4DF8-9F8F-975508A9EC33}">
  <dimension ref="A1:AP95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46043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139730293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46023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-0.92</v>
      </c>
      <c r="W2" s="5">
        <v>0</v>
      </c>
      <c r="X2" s="5">
        <v>100</v>
      </c>
      <c r="Y2" s="5">
        <v>-151.25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46023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46043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601994151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46023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59</v>
      </c>
      <c r="U3" s="4" t="s">
        <v>46</v>
      </c>
      <c r="V3" s="5">
        <v>-0.92</v>
      </c>
      <c r="W3" s="5">
        <v>0</v>
      </c>
      <c r="X3" s="5">
        <v>100</v>
      </c>
      <c r="Y3" s="5">
        <v>-318.08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46023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46043</v>
      </c>
      <c r="C4" s="4" t="s">
        <v>42</v>
      </c>
      <c r="D4" s="2">
        <v>1251955</v>
      </c>
      <c r="E4" s="4" t="s">
        <v>56</v>
      </c>
      <c r="F4" s="4" t="s">
        <v>57</v>
      </c>
      <c r="G4" s="2">
        <v>601994151</v>
      </c>
      <c r="H4" s="4" t="s">
        <v>58</v>
      </c>
      <c r="I4" s="4" t="s">
        <v>46</v>
      </c>
      <c r="J4" s="4" t="s">
        <v>47</v>
      </c>
      <c r="K4" s="4" t="s">
        <v>48</v>
      </c>
      <c r="L4" s="3">
        <v>46054</v>
      </c>
      <c r="M4" s="4" t="s">
        <v>61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59</v>
      </c>
      <c r="U4" s="4" t="s">
        <v>46</v>
      </c>
      <c r="V4" s="5">
        <v>0.92</v>
      </c>
      <c r="W4" s="5">
        <v>0</v>
      </c>
      <c r="X4" s="5">
        <v>100</v>
      </c>
      <c r="Y4" s="5">
        <v>318.08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46054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62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46043</v>
      </c>
      <c r="C5" s="4" t="s">
        <v>63</v>
      </c>
      <c r="D5" s="2">
        <v>1267028</v>
      </c>
      <c r="E5" s="4" t="s">
        <v>64</v>
      </c>
      <c r="F5" s="4" t="s">
        <v>65</v>
      </c>
      <c r="G5" s="2">
        <v>841081144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46054</v>
      </c>
      <c r="M5" s="4" t="s">
        <v>61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0.92</v>
      </c>
      <c r="W5" s="5">
        <v>0</v>
      </c>
      <c r="X5" s="5">
        <v>100</v>
      </c>
      <c r="Y5" s="5">
        <v>318.08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46054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67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46043</v>
      </c>
      <c r="C6" s="4" t="s">
        <v>63</v>
      </c>
      <c r="D6" s="2">
        <v>1267028</v>
      </c>
      <c r="E6" s="4" t="s">
        <v>68</v>
      </c>
      <c r="F6" s="4" t="s">
        <v>69</v>
      </c>
      <c r="G6" s="2">
        <v>553374545</v>
      </c>
      <c r="H6" s="4" t="s">
        <v>70</v>
      </c>
      <c r="I6" s="4" t="s">
        <v>46</v>
      </c>
      <c r="J6" s="4" t="s">
        <v>47</v>
      </c>
      <c r="K6" s="4" t="s">
        <v>48</v>
      </c>
      <c r="L6" s="3">
        <v>46023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59</v>
      </c>
      <c r="U6" s="4" t="s">
        <v>46</v>
      </c>
      <c r="V6" s="5">
        <v>-0.92</v>
      </c>
      <c r="W6" s="5">
        <v>0</v>
      </c>
      <c r="X6" s="5">
        <v>100</v>
      </c>
      <c r="Y6" s="5">
        <v>-318.08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46023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71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46043</v>
      </c>
      <c r="C7" s="4" t="s">
        <v>72</v>
      </c>
      <c r="D7" s="2">
        <v>1466196</v>
      </c>
      <c r="E7" s="4" t="s">
        <v>73</v>
      </c>
      <c r="F7" s="4" t="s">
        <v>74</v>
      </c>
      <c r="G7" s="2">
        <v>219826223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46054</v>
      </c>
      <c r="M7" s="4" t="s">
        <v>61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0.92</v>
      </c>
      <c r="W7" s="5">
        <v>0</v>
      </c>
      <c r="X7" s="5">
        <v>100</v>
      </c>
      <c r="Y7" s="5">
        <v>318.08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46054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46043</v>
      </c>
      <c r="C8" s="4" t="s">
        <v>76</v>
      </c>
      <c r="D8" s="2">
        <v>1509770</v>
      </c>
      <c r="E8" s="4" t="s">
        <v>77</v>
      </c>
      <c r="F8" s="4" t="s">
        <v>78</v>
      </c>
      <c r="G8" s="2">
        <v>944846014</v>
      </c>
      <c r="H8" s="4" t="s">
        <v>79</v>
      </c>
      <c r="I8" s="4" t="s">
        <v>46</v>
      </c>
      <c r="J8" s="4" t="s">
        <v>47</v>
      </c>
      <c r="K8" s="4" t="s">
        <v>48</v>
      </c>
      <c r="L8" s="3">
        <v>46082</v>
      </c>
      <c r="M8" s="4" t="s">
        <v>80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59</v>
      </c>
      <c r="U8" s="4" t="s">
        <v>46</v>
      </c>
      <c r="V8" s="5">
        <v>0.83</v>
      </c>
      <c r="W8" s="5">
        <v>0</v>
      </c>
      <c r="X8" s="5">
        <v>100</v>
      </c>
      <c r="Y8" s="5">
        <v>289.17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46082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62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46043</v>
      </c>
      <c r="C9" s="4" t="s">
        <v>76</v>
      </c>
      <c r="D9" s="2">
        <v>1509770</v>
      </c>
      <c r="E9" s="4" t="s">
        <v>81</v>
      </c>
      <c r="F9" s="4" t="s">
        <v>82</v>
      </c>
      <c r="G9" s="2">
        <v>58806183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46054</v>
      </c>
      <c r="M9" s="4" t="s">
        <v>61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0.92</v>
      </c>
      <c r="W9" s="5">
        <v>0</v>
      </c>
      <c r="X9" s="5">
        <v>100</v>
      </c>
      <c r="Y9" s="5">
        <v>318.08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46054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46043</v>
      </c>
      <c r="C10" s="4" t="s">
        <v>84</v>
      </c>
      <c r="D10" s="2">
        <v>1510420</v>
      </c>
      <c r="E10" s="4" t="s">
        <v>85</v>
      </c>
      <c r="F10" s="4" t="s">
        <v>86</v>
      </c>
      <c r="G10" s="2">
        <v>59380203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46054</v>
      </c>
      <c r="M10" s="4" t="s">
        <v>61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0.92</v>
      </c>
      <c r="W10" s="5">
        <v>0</v>
      </c>
      <c r="X10" s="5">
        <v>100</v>
      </c>
      <c r="Y10" s="5">
        <v>318.08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46054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46043</v>
      </c>
      <c r="C11" s="4" t="s">
        <v>84</v>
      </c>
      <c r="D11" s="2">
        <v>1510420</v>
      </c>
      <c r="E11" s="4" t="s">
        <v>88</v>
      </c>
      <c r="F11" s="4" t="s">
        <v>89</v>
      </c>
      <c r="G11" s="2">
        <v>738951234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46054</v>
      </c>
      <c r="M11" s="4" t="s">
        <v>61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0.92</v>
      </c>
      <c r="W11" s="5">
        <v>0</v>
      </c>
      <c r="X11" s="5">
        <v>100</v>
      </c>
      <c r="Y11" s="5">
        <v>318.08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46054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46043</v>
      </c>
      <c r="C12" s="4" t="s">
        <v>91</v>
      </c>
      <c r="D12" s="2">
        <v>1535078</v>
      </c>
      <c r="E12" s="4" t="s">
        <v>92</v>
      </c>
      <c r="F12" s="4" t="s">
        <v>93</v>
      </c>
      <c r="G12" s="2">
        <v>238942065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46023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59</v>
      </c>
      <c r="U12" s="4" t="s">
        <v>46</v>
      </c>
      <c r="V12" s="5">
        <v>-0.92</v>
      </c>
      <c r="W12" s="5">
        <v>0</v>
      </c>
      <c r="X12" s="5">
        <v>100</v>
      </c>
      <c r="Y12" s="5">
        <v>-318.08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46023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71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46043</v>
      </c>
      <c r="C13" s="4" t="s">
        <v>91</v>
      </c>
      <c r="D13" s="2">
        <v>1535078</v>
      </c>
      <c r="E13" s="4" t="s">
        <v>95</v>
      </c>
      <c r="F13" s="4" t="s">
        <v>96</v>
      </c>
      <c r="G13" s="2">
        <v>625980291</v>
      </c>
      <c r="H13" s="4" t="s">
        <v>97</v>
      </c>
      <c r="I13" s="4" t="s">
        <v>46</v>
      </c>
      <c r="J13" s="4" t="s">
        <v>47</v>
      </c>
      <c r="K13" s="4" t="s">
        <v>48</v>
      </c>
      <c r="L13" s="3">
        <v>46023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-0.92</v>
      </c>
      <c r="W13" s="5">
        <v>0</v>
      </c>
      <c r="X13" s="5">
        <v>100</v>
      </c>
      <c r="Y13" s="5">
        <v>-151.25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46023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46043</v>
      </c>
      <c r="C14" s="4" t="s">
        <v>91</v>
      </c>
      <c r="D14" s="2">
        <v>1535078</v>
      </c>
      <c r="E14" s="4" t="s">
        <v>98</v>
      </c>
      <c r="F14" s="4" t="s">
        <v>99</v>
      </c>
      <c r="G14" s="2">
        <v>555846490</v>
      </c>
      <c r="H14" s="4" t="s">
        <v>100</v>
      </c>
      <c r="I14" s="4" t="s">
        <v>46</v>
      </c>
      <c r="J14" s="4" t="s">
        <v>47</v>
      </c>
      <c r="K14" s="4" t="s">
        <v>48</v>
      </c>
      <c r="L14" s="3">
        <v>46023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-0.92</v>
      </c>
      <c r="W14" s="5">
        <v>0</v>
      </c>
      <c r="X14" s="5">
        <v>100</v>
      </c>
      <c r="Y14" s="5">
        <v>-151.25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46023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46043</v>
      </c>
      <c r="C15" s="4" t="s">
        <v>101</v>
      </c>
      <c r="D15" s="2">
        <v>1545197</v>
      </c>
      <c r="E15" s="4" t="s">
        <v>102</v>
      </c>
      <c r="F15" s="4" t="s">
        <v>103</v>
      </c>
      <c r="G15" s="2">
        <v>916105170</v>
      </c>
      <c r="H15" s="4" t="s">
        <v>104</v>
      </c>
      <c r="I15" s="4" t="s">
        <v>46</v>
      </c>
      <c r="J15" s="4" t="s">
        <v>47</v>
      </c>
      <c r="K15" s="4" t="s">
        <v>48</v>
      </c>
      <c r="L15" s="3">
        <v>46054</v>
      </c>
      <c r="M15" s="4" t="s">
        <v>61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0.92</v>
      </c>
      <c r="W15" s="5">
        <v>0</v>
      </c>
      <c r="X15" s="5">
        <v>100</v>
      </c>
      <c r="Y15" s="5">
        <v>318.08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46054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46043</v>
      </c>
      <c r="C16" s="4" t="s">
        <v>101</v>
      </c>
      <c r="D16" s="2">
        <v>1545197</v>
      </c>
      <c r="E16" s="4" t="s">
        <v>105</v>
      </c>
      <c r="F16" s="4" t="s">
        <v>106</v>
      </c>
      <c r="G16" s="2">
        <v>943480353</v>
      </c>
      <c r="H16" s="4" t="s">
        <v>107</v>
      </c>
      <c r="I16" s="4" t="s">
        <v>46</v>
      </c>
      <c r="J16" s="4" t="s">
        <v>47</v>
      </c>
      <c r="K16" s="4" t="s">
        <v>48</v>
      </c>
      <c r="L16" s="3">
        <v>46054</v>
      </c>
      <c r="M16" s="4" t="s">
        <v>61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0.92</v>
      </c>
      <c r="W16" s="5">
        <v>0</v>
      </c>
      <c r="X16" s="5">
        <v>100</v>
      </c>
      <c r="Y16" s="5">
        <v>318.08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46054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46043</v>
      </c>
      <c r="C17" s="4" t="s">
        <v>101</v>
      </c>
      <c r="D17" s="2">
        <v>1545197</v>
      </c>
      <c r="E17" s="4" t="s">
        <v>108</v>
      </c>
      <c r="F17" s="4" t="s">
        <v>109</v>
      </c>
      <c r="G17" s="2">
        <v>931751038</v>
      </c>
      <c r="H17" s="4" t="s">
        <v>110</v>
      </c>
      <c r="I17" s="4" t="s">
        <v>46</v>
      </c>
      <c r="J17" s="4" t="s">
        <v>47</v>
      </c>
      <c r="K17" s="4" t="s">
        <v>48</v>
      </c>
      <c r="L17" s="3">
        <v>46054</v>
      </c>
      <c r="M17" s="4" t="s">
        <v>61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0.92</v>
      </c>
      <c r="W17" s="5">
        <v>0</v>
      </c>
      <c r="X17" s="5">
        <v>100</v>
      </c>
      <c r="Y17" s="5">
        <v>318.08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46054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46043</v>
      </c>
      <c r="C18" s="4" t="s">
        <v>101</v>
      </c>
      <c r="D18" s="2">
        <v>1545197</v>
      </c>
      <c r="E18" s="4" t="s">
        <v>111</v>
      </c>
      <c r="F18" s="4" t="s">
        <v>112</v>
      </c>
      <c r="G18" s="2">
        <v>653303928</v>
      </c>
      <c r="H18" s="4" t="s">
        <v>113</v>
      </c>
      <c r="I18" s="4" t="s">
        <v>46</v>
      </c>
      <c r="J18" s="4" t="s">
        <v>47</v>
      </c>
      <c r="K18" s="4" t="s">
        <v>48</v>
      </c>
      <c r="L18" s="3">
        <v>46054</v>
      </c>
      <c r="M18" s="4" t="s">
        <v>61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0.92</v>
      </c>
      <c r="W18" s="5">
        <v>0</v>
      </c>
      <c r="X18" s="5">
        <v>100</v>
      </c>
      <c r="Y18" s="5">
        <v>318.08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46054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46043</v>
      </c>
      <c r="C19" s="4" t="s">
        <v>101</v>
      </c>
      <c r="D19" s="2">
        <v>1545197</v>
      </c>
      <c r="E19" s="4" t="s">
        <v>114</v>
      </c>
      <c r="F19" s="4" t="s">
        <v>115</v>
      </c>
      <c r="G19" s="2">
        <v>659937430</v>
      </c>
      <c r="H19" s="4" t="s">
        <v>116</v>
      </c>
      <c r="I19" s="4" t="s">
        <v>46</v>
      </c>
      <c r="J19" s="4" t="s">
        <v>47</v>
      </c>
      <c r="K19" s="4" t="s">
        <v>48</v>
      </c>
      <c r="L19" s="3">
        <v>46054</v>
      </c>
      <c r="M19" s="4" t="s">
        <v>61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0.92</v>
      </c>
      <c r="W19" s="5">
        <v>0</v>
      </c>
      <c r="X19" s="5">
        <v>100</v>
      </c>
      <c r="Y19" s="5">
        <v>318.08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46054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46043</v>
      </c>
      <c r="C20" s="4" t="s">
        <v>101</v>
      </c>
      <c r="D20" s="2">
        <v>1545197</v>
      </c>
      <c r="E20" s="4" t="s">
        <v>117</v>
      </c>
      <c r="F20" s="4" t="s">
        <v>118</v>
      </c>
      <c r="G20" s="2">
        <v>573871263</v>
      </c>
      <c r="H20" s="4" t="s">
        <v>119</v>
      </c>
      <c r="I20" s="4" t="s">
        <v>46</v>
      </c>
      <c r="J20" s="4" t="s">
        <v>47</v>
      </c>
      <c r="K20" s="4" t="s">
        <v>48</v>
      </c>
      <c r="L20" s="3">
        <v>46054</v>
      </c>
      <c r="M20" s="4" t="s">
        <v>61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0.92</v>
      </c>
      <c r="W20" s="5">
        <v>0</v>
      </c>
      <c r="X20" s="5">
        <v>100</v>
      </c>
      <c r="Y20" s="5">
        <v>318.08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46054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46043</v>
      </c>
      <c r="C21" s="4" t="s">
        <v>101</v>
      </c>
      <c r="D21" s="2">
        <v>1545197</v>
      </c>
      <c r="E21" s="4" t="s">
        <v>120</v>
      </c>
      <c r="F21" s="4" t="s">
        <v>121</v>
      </c>
      <c r="G21" s="2">
        <v>999716593</v>
      </c>
      <c r="H21" s="4" t="s">
        <v>122</v>
      </c>
      <c r="I21" s="4" t="s">
        <v>46</v>
      </c>
      <c r="J21" s="4" t="s">
        <v>47</v>
      </c>
      <c r="K21" s="4" t="s">
        <v>48</v>
      </c>
      <c r="L21" s="3">
        <v>46054</v>
      </c>
      <c r="M21" s="4" t="s">
        <v>61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0.92</v>
      </c>
      <c r="W21" s="5">
        <v>0</v>
      </c>
      <c r="X21" s="5">
        <v>100</v>
      </c>
      <c r="Y21" s="5">
        <v>318.08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46054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46043</v>
      </c>
      <c r="C22" s="4" t="s">
        <v>123</v>
      </c>
      <c r="D22" s="2">
        <v>1573279</v>
      </c>
      <c r="E22" s="4" t="s">
        <v>124</v>
      </c>
      <c r="F22" s="4" t="s">
        <v>125</v>
      </c>
      <c r="G22" s="2">
        <v>834879502</v>
      </c>
      <c r="H22" s="4" t="s">
        <v>126</v>
      </c>
      <c r="I22" s="4" t="s">
        <v>46</v>
      </c>
      <c r="J22" s="4" t="s">
        <v>47</v>
      </c>
      <c r="K22" s="4" t="s">
        <v>48</v>
      </c>
      <c r="L22" s="3">
        <v>46054</v>
      </c>
      <c r="M22" s="4" t="s">
        <v>61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0.92</v>
      </c>
      <c r="W22" s="5">
        <v>0</v>
      </c>
      <c r="X22" s="5">
        <v>100</v>
      </c>
      <c r="Y22" s="5">
        <v>318.08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46054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46043</v>
      </c>
      <c r="C23" s="4" t="s">
        <v>123</v>
      </c>
      <c r="D23" s="2">
        <v>1573279</v>
      </c>
      <c r="E23" s="4" t="s">
        <v>127</v>
      </c>
      <c r="F23" s="4" t="s">
        <v>128</v>
      </c>
      <c r="G23" s="2">
        <v>521019012</v>
      </c>
      <c r="H23" s="4" t="s">
        <v>129</v>
      </c>
      <c r="I23" s="4" t="s">
        <v>46</v>
      </c>
      <c r="J23" s="4" t="s">
        <v>47</v>
      </c>
      <c r="K23" s="4" t="s">
        <v>48</v>
      </c>
      <c r="L23" s="3">
        <v>46054</v>
      </c>
      <c r="M23" s="4" t="s">
        <v>61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59</v>
      </c>
      <c r="U23" s="4" t="s">
        <v>46</v>
      </c>
      <c r="V23" s="5">
        <v>0.92</v>
      </c>
      <c r="W23" s="5">
        <v>0</v>
      </c>
      <c r="X23" s="5">
        <v>100</v>
      </c>
      <c r="Y23" s="5">
        <v>318.08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46054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130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46043</v>
      </c>
      <c r="C24" s="4" t="s">
        <v>123</v>
      </c>
      <c r="D24" s="2">
        <v>1573279</v>
      </c>
      <c r="E24" s="4" t="s">
        <v>131</v>
      </c>
      <c r="F24" s="4" t="s">
        <v>132</v>
      </c>
      <c r="G24" s="2">
        <v>261105515</v>
      </c>
      <c r="H24" s="4" t="s">
        <v>133</v>
      </c>
      <c r="I24" s="4" t="s">
        <v>46</v>
      </c>
      <c r="J24" s="4" t="s">
        <v>47</v>
      </c>
      <c r="K24" s="4" t="s">
        <v>48</v>
      </c>
      <c r="L24" s="3">
        <v>46082</v>
      </c>
      <c r="M24" s="4" t="s">
        <v>80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59</v>
      </c>
      <c r="U24" s="4" t="s">
        <v>46</v>
      </c>
      <c r="V24" s="5">
        <v>0.83</v>
      </c>
      <c r="W24" s="5">
        <v>0</v>
      </c>
      <c r="X24" s="5">
        <v>100</v>
      </c>
      <c r="Y24" s="5">
        <v>289.17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46082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71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46043</v>
      </c>
      <c r="C25" s="4" t="s">
        <v>123</v>
      </c>
      <c r="D25" s="2">
        <v>1573279</v>
      </c>
      <c r="E25" s="4" t="s">
        <v>134</v>
      </c>
      <c r="F25" s="4" t="s">
        <v>135</v>
      </c>
      <c r="G25" s="2">
        <v>611488371</v>
      </c>
      <c r="H25" s="4" t="s">
        <v>136</v>
      </c>
      <c r="I25" s="4" t="s">
        <v>46</v>
      </c>
      <c r="J25" s="4" t="s">
        <v>47</v>
      </c>
      <c r="K25" s="4" t="s">
        <v>48</v>
      </c>
      <c r="L25" s="3">
        <v>46113</v>
      </c>
      <c r="M25" s="4" t="s">
        <v>137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0.75</v>
      </c>
      <c r="W25" s="5">
        <v>0</v>
      </c>
      <c r="X25" s="5">
        <v>100</v>
      </c>
      <c r="Y25" s="5">
        <v>260.25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46113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46043</v>
      </c>
      <c r="C26" s="4" t="s">
        <v>138</v>
      </c>
      <c r="D26" s="2">
        <v>1581320</v>
      </c>
      <c r="E26" s="4" t="s">
        <v>138</v>
      </c>
      <c r="F26" s="4" t="s">
        <v>139</v>
      </c>
      <c r="G26" s="2">
        <v>43319001</v>
      </c>
      <c r="H26" s="4" t="s">
        <v>140</v>
      </c>
      <c r="I26" s="4" t="s">
        <v>46</v>
      </c>
      <c r="J26" s="4" t="s">
        <v>47</v>
      </c>
      <c r="K26" s="4" t="s">
        <v>48</v>
      </c>
      <c r="L26" s="3">
        <v>46023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1</v>
      </c>
      <c r="W26" s="5">
        <v>0</v>
      </c>
      <c r="X26" s="5">
        <v>100</v>
      </c>
      <c r="Y26" s="5">
        <v>347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46023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46043</v>
      </c>
      <c r="C27" s="4" t="s">
        <v>141</v>
      </c>
      <c r="D27" s="2">
        <v>1581327</v>
      </c>
      <c r="E27" s="4" t="s">
        <v>142</v>
      </c>
      <c r="F27" s="4" t="s">
        <v>143</v>
      </c>
      <c r="G27" s="2">
        <v>246430134</v>
      </c>
      <c r="H27" s="4" t="s">
        <v>144</v>
      </c>
      <c r="I27" s="4" t="s">
        <v>46</v>
      </c>
      <c r="J27" s="4" t="s">
        <v>47</v>
      </c>
      <c r="K27" s="4" t="s">
        <v>48</v>
      </c>
      <c r="L27" s="3">
        <v>46054</v>
      </c>
      <c r="M27" s="4" t="s">
        <v>61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0.92</v>
      </c>
      <c r="W27" s="5">
        <v>0</v>
      </c>
      <c r="X27" s="5">
        <v>100</v>
      </c>
      <c r="Y27" s="5">
        <v>318.08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46054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46043</v>
      </c>
      <c r="C28" s="4" t="s">
        <v>145</v>
      </c>
      <c r="D28" s="2">
        <v>1626475</v>
      </c>
      <c r="E28" s="4" t="s">
        <v>146</v>
      </c>
      <c r="F28" s="4" t="s">
        <v>147</v>
      </c>
      <c r="G28" s="2">
        <v>496681064</v>
      </c>
      <c r="H28" s="4" t="s">
        <v>148</v>
      </c>
      <c r="I28" s="4" t="s">
        <v>46</v>
      </c>
      <c r="J28" s="4" t="s">
        <v>47</v>
      </c>
      <c r="K28" s="4" t="s">
        <v>48</v>
      </c>
      <c r="L28" s="3">
        <v>46054</v>
      </c>
      <c r="M28" s="4" t="s">
        <v>61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0.92</v>
      </c>
      <c r="W28" s="5">
        <v>0</v>
      </c>
      <c r="X28" s="5">
        <v>100</v>
      </c>
      <c r="Y28" s="5">
        <v>318.08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46054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46043</v>
      </c>
      <c r="C29" s="4" t="s">
        <v>149</v>
      </c>
      <c r="D29" s="2">
        <v>1646082</v>
      </c>
      <c r="E29" s="4" t="s">
        <v>150</v>
      </c>
      <c r="F29" s="4" t="s">
        <v>151</v>
      </c>
      <c r="G29" s="2">
        <v>815337453</v>
      </c>
      <c r="H29" s="4" t="s">
        <v>152</v>
      </c>
      <c r="I29" s="4" t="s">
        <v>46</v>
      </c>
      <c r="J29" s="4" t="s">
        <v>47</v>
      </c>
      <c r="K29" s="4" t="s">
        <v>48</v>
      </c>
      <c r="L29" s="3">
        <v>46054</v>
      </c>
      <c r="M29" s="4" t="s">
        <v>61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0.92</v>
      </c>
      <c r="W29" s="5">
        <v>0</v>
      </c>
      <c r="X29" s="5">
        <v>100</v>
      </c>
      <c r="Y29" s="5">
        <v>318.08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46054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46043</v>
      </c>
      <c r="C30" s="4" t="s">
        <v>153</v>
      </c>
      <c r="D30" s="2">
        <v>1672758</v>
      </c>
      <c r="E30" s="4" t="s">
        <v>154</v>
      </c>
      <c r="F30" s="4" t="s">
        <v>155</v>
      </c>
      <c r="G30" s="2">
        <v>964290424</v>
      </c>
      <c r="H30" s="4" t="s">
        <v>156</v>
      </c>
      <c r="I30" s="4" t="s">
        <v>46</v>
      </c>
      <c r="J30" s="4" t="s">
        <v>47</v>
      </c>
      <c r="K30" s="4" t="s">
        <v>48</v>
      </c>
      <c r="L30" s="3">
        <v>46054</v>
      </c>
      <c r="M30" s="4" t="s">
        <v>61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59</v>
      </c>
      <c r="U30" s="4" t="s">
        <v>46</v>
      </c>
      <c r="V30" s="5">
        <v>0.92</v>
      </c>
      <c r="W30" s="5">
        <v>0</v>
      </c>
      <c r="X30" s="5">
        <v>100</v>
      </c>
      <c r="Y30" s="5">
        <v>318.08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46054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62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46043</v>
      </c>
      <c r="C31" s="4" t="s">
        <v>153</v>
      </c>
      <c r="D31" s="2">
        <v>1672758</v>
      </c>
      <c r="E31" s="4" t="s">
        <v>157</v>
      </c>
      <c r="F31" s="4" t="s">
        <v>158</v>
      </c>
      <c r="G31" s="2">
        <v>705670304</v>
      </c>
      <c r="H31" s="4" t="s">
        <v>159</v>
      </c>
      <c r="I31" s="4" t="s">
        <v>46</v>
      </c>
      <c r="J31" s="4" t="s">
        <v>47</v>
      </c>
      <c r="K31" s="4" t="s">
        <v>160</v>
      </c>
      <c r="L31" s="3">
        <v>46023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59</v>
      </c>
      <c r="U31" s="4" t="s">
        <v>46</v>
      </c>
      <c r="V31" s="5">
        <v>0</v>
      </c>
      <c r="W31" s="5">
        <v>0</v>
      </c>
      <c r="X31" s="5">
        <v>100</v>
      </c>
      <c r="Y31" s="5">
        <v>-318.08999999999997</v>
      </c>
      <c r="Z31" s="4" t="s">
        <v>46</v>
      </c>
      <c r="AA31" s="5" t="s">
        <v>46</v>
      </c>
      <c r="AB31" s="4" t="s">
        <v>161</v>
      </c>
      <c r="AC31" s="4" t="s">
        <v>46</v>
      </c>
      <c r="AD31" s="5">
        <v>0</v>
      </c>
      <c r="AE31" s="4" t="s">
        <v>162</v>
      </c>
      <c r="AF31" s="3">
        <v>46023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163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46043</v>
      </c>
      <c r="C32" s="4" t="s">
        <v>153</v>
      </c>
      <c r="D32" s="2">
        <v>1672758</v>
      </c>
      <c r="E32" s="4" t="s">
        <v>157</v>
      </c>
      <c r="F32" s="4" t="s">
        <v>158</v>
      </c>
      <c r="G32" s="2">
        <v>705670304</v>
      </c>
      <c r="H32" s="4" t="s">
        <v>159</v>
      </c>
      <c r="I32" s="4" t="s">
        <v>46</v>
      </c>
      <c r="J32" s="4" t="s">
        <v>47</v>
      </c>
      <c r="K32" s="4" t="s">
        <v>160</v>
      </c>
      <c r="L32" s="3">
        <v>46023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59</v>
      </c>
      <c r="U32" s="4" t="s">
        <v>46</v>
      </c>
      <c r="V32" s="5">
        <v>-0.92</v>
      </c>
      <c r="W32" s="5">
        <v>0</v>
      </c>
      <c r="X32" s="5">
        <v>100</v>
      </c>
      <c r="Y32" s="5">
        <v>-318.08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46023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163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46043</v>
      </c>
      <c r="C33" s="4" t="s">
        <v>164</v>
      </c>
      <c r="D33" s="2">
        <v>1673202</v>
      </c>
      <c r="E33" s="4" t="s">
        <v>165</v>
      </c>
      <c r="F33" s="4" t="s">
        <v>166</v>
      </c>
      <c r="G33" s="2">
        <v>88476371</v>
      </c>
      <c r="H33" s="4" t="s">
        <v>167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59</v>
      </c>
      <c r="U33" s="4" t="s">
        <v>46</v>
      </c>
      <c r="V33" s="5">
        <v>-0.92</v>
      </c>
      <c r="W33" s="5">
        <v>0</v>
      </c>
      <c r="X33" s="5">
        <v>100</v>
      </c>
      <c r="Y33" s="5">
        <v>-318.08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62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46043</v>
      </c>
      <c r="C34" s="4" t="s">
        <v>164</v>
      </c>
      <c r="D34" s="2">
        <v>1673202</v>
      </c>
      <c r="E34" s="4" t="s">
        <v>168</v>
      </c>
      <c r="F34" s="4" t="s">
        <v>169</v>
      </c>
      <c r="G34" s="2">
        <v>163362610</v>
      </c>
      <c r="H34" s="4" t="s">
        <v>170</v>
      </c>
      <c r="I34" s="4" t="s">
        <v>46</v>
      </c>
      <c r="J34" s="4" t="s">
        <v>47</v>
      </c>
      <c r="K34" s="4" t="s">
        <v>48</v>
      </c>
      <c r="L34" s="3">
        <v>46023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-0.92</v>
      </c>
      <c r="W34" s="5">
        <v>0</v>
      </c>
      <c r="X34" s="5">
        <v>100</v>
      </c>
      <c r="Y34" s="5">
        <v>-318.08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46023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46043</v>
      </c>
      <c r="C35" s="4" t="s">
        <v>171</v>
      </c>
      <c r="D35" s="2">
        <v>1703942</v>
      </c>
      <c r="E35" s="4" t="s">
        <v>172</v>
      </c>
      <c r="F35" s="4" t="s">
        <v>173</v>
      </c>
      <c r="G35" s="2">
        <v>659649323</v>
      </c>
      <c r="H35" s="4" t="s">
        <v>174</v>
      </c>
      <c r="I35" s="4" t="s">
        <v>46</v>
      </c>
      <c r="J35" s="4" t="s">
        <v>47</v>
      </c>
      <c r="K35" s="4" t="s">
        <v>48</v>
      </c>
      <c r="L35" s="3">
        <v>46054</v>
      </c>
      <c r="M35" s="4" t="s">
        <v>61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0.92</v>
      </c>
      <c r="W35" s="5">
        <v>0</v>
      </c>
      <c r="X35" s="5">
        <v>100</v>
      </c>
      <c r="Y35" s="5">
        <v>151.25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46054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46043</v>
      </c>
      <c r="C36" s="4" t="s">
        <v>171</v>
      </c>
      <c r="D36" s="2">
        <v>1703942</v>
      </c>
      <c r="E36" s="4" t="s">
        <v>175</v>
      </c>
      <c r="F36" s="4" t="s">
        <v>176</v>
      </c>
      <c r="G36" s="2">
        <v>65071053</v>
      </c>
      <c r="H36" s="4" t="s">
        <v>177</v>
      </c>
      <c r="I36" s="4" t="s">
        <v>46</v>
      </c>
      <c r="J36" s="4" t="s">
        <v>47</v>
      </c>
      <c r="K36" s="4" t="s">
        <v>48</v>
      </c>
      <c r="L36" s="3">
        <v>46023</v>
      </c>
      <c r="M36" s="4" t="s">
        <v>49</v>
      </c>
      <c r="N36" s="4" t="s">
        <v>46</v>
      </c>
      <c r="O36" s="4" t="s">
        <v>178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59</v>
      </c>
      <c r="U36" s="4" t="s">
        <v>46</v>
      </c>
      <c r="V36" s="5">
        <v>1</v>
      </c>
      <c r="W36" s="5">
        <v>0</v>
      </c>
      <c r="X36" s="5">
        <v>100</v>
      </c>
      <c r="Y36" s="5">
        <v>28.91</v>
      </c>
      <c r="Z36" s="4" t="s">
        <v>46</v>
      </c>
      <c r="AA36" s="5" t="s">
        <v>46</v>
      </c>
      <c r="AB36" s="4" t="s">
        <v>179</v>
      </c>
      <c r="AC36" s="4" t="s">
        <v>46</v>
      </c>
      <c r="AD36" s="5">
        <v>0</v>
      </c>
      <c r="AE36" s="4" t="s">
        <v>180</v>
      </c>
      <c r="AF36" s="3">
        <v>45962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71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46043</v>
      </c>
      <c r="C37" s="4" t="s">
        <v>171</v>
      </c>
      <c r="D37" s="2">
        <v>1703942</v>
      </c>
      <c r="E37" s="4" t="s">
        <v>181</v>
      </c>
      <c r="F37" s="4" t="s">
        <v>182</v>
      </c>
      <c r="G37" s="2">
        <v>337900502</v>
      </c>
      <c r="H37" s="4" t="s">
        <v>183</v>
      </c>
      <c r="I37" s="4" t="s">
        <v>46</v>
      </c>
      <c r="J37" s="4" t="s">
        <v>47</v>
      </c>
      <c r="K37" s="4" t="s">
        <v>48</v>
      </c>
      <c r="L37" s="3">
        <v>46023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-0.92</v>
      </c>
      <c r="W37" s="5">
        <v>0</v>
      </c>
      <c r="X37" s="5">
        <v>100</v>
      </c>
      <c r="Y37" s="5">
        <v>-151.25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46023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46043</v>
      </c>
      <c r="C38" s="4" t="s">
        <v>171</v>
      </c>
      <c r="D38" s="2">
        <v>1703942</v>
      </c>
      <c r="E38" s="4" t="s">
        <v>184</v>
      </c>
      <c r="F38" s="4" t="s">
        <v>185</v>
      </c>
      <c r="G38" s="2">
        <v>919397340</v>
      </c>
      <c r="H38" s="4" t="s">
        <v>186</v>
      </c>
      <c r="I38" s="4" t="s">
        <v>46</v>
      </c>
      <c r="J38" s="4" t="s">
        <v>47</v>
      </c>
      <c r="K38" s="4" t="s">
        <v>48</v>
      </c>
      <c r="L38" s="3">
        <v>46023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0.92</v>
      </c>
      <c r="W38" s="5">
        <v>0</v>
      </c>
      <c r="X38" s="5">
        <v>100</v>
      </c>
      <c r="Y38" s="5">
        <v>318.08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46023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46043</v>
      </c>
      <c r="C39" s="4" t="s">
        <v>171</v>
      </c>
      <c r="D39" s="2">
        <v>1703942</v>
      </c>
      <c r="E39" s="4" t="s">
        <v>187</v>
      </c>
      <c r="F39" s="4" t="s">
        <v>188</v>
      </c>
      <c r="G39" s="2">
        <v>340245355</v>
      </c>
      <c r="H39" s="4" t="s">
        <v>189</v>
      </c>
      <c r="I39" s="4" t="s">
        <v>46</v>
      </c>
      <c r="J39" s="4" t="s">
        <v>47</v>
      </c>
      <c r="K39" s="4" t="s">
        <v>48</v>
      </c>
      <c r="L39" s="3">
        <v>46054</v>
      </c>
      <c r="M39" s="4" t="s">
        <v>61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59</v>
      </c>
      <c r="U39" s="4" t="s">
        <v>46</v>
      </c>
      <c r="V39" s="5">
        <v>0.92</v>
      </c>
      <c r="W39" s="5">
        <v>0</v>
      </c>
      <c r="X39" s="5">
        <v>100</v>
      </c>
      <c r="Y39" s="5">
        <v>318.08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46054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71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46043</v>
      </c>
      <c r="C40" s="4" t="s">
        <v>171</v>
      </c>
      <c r="D40" s="2">
        <v>1703942</v>
      </c>
      <c r="E40" s="4" t="s">
        <v>190</v>
      </c>
      <c r="F40" s="4" t="s">
        <v>191</v>
      </c>
      <c r="G40" s="2">
        <v>122685619</v>
      </c>
      <c r="H40" s="4" t="s">
        <v>192</v>
      </c>
      <c r="I40" s="4" t="s">
        <v>46</v>
      </c>
      <c r="J40" s="4" t="s">
        <v>47</v>
      </c>
      <c r="K40" s="4" t="s">
        <v>48</v>
      </c>
      <c r="L40" s="3">
        <v>46054</v>
      </c>
      <c r="M40" s="4" t="s">
        <v>61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0.92</v>
      </c>
      <c r="W40" s="5">
        <v>0</v>
      </c>
      <c r="X40" s="5">
        <v>100</v>
      </c>
      <c r="Y40" s="5">
        <v>318.08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46054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46043</v>
      </c>
      <c r="C41" s="4" t="s">
        <v>193</v>
      </c>
      <c r="D41" s="2">
        <v>1773696</v>
      </c>
      <c r="E41" s="4" t="s">
        <v>194</v>
      </c>
      <c r="F41" s="4" t="s">
        <v>195</v>
      </c>
      <c r="G41" s="2">
        <v>227978273</v>
      </c>
      <c r="H41" s="4" t="s">
        <v>196</v>
      </c>
      <c r="I41" s="4" t="s">
        <v>46</v>
      </c>
      <c r="J41" s="4" t="s">
        <v>47</v>
      </c>
      <c r="K41" s="4" t="s">
        <v>48</v>
      </c>
      <c r="L41" s="3">
        <v>46023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59</v>
      </c>
      <c r="U41" s="4" t="s">
        <v>46</v>
      </c>
      <c r="V41" s="5">
        <v>-0.92</v>
      </c>
      <c r="W41" s="5">
        <v>0</v>
      </c>
      <c r="X41" s="5">
        <v>100</v>
      </c>
      <c r="Y41" s="5">
        <v>-318.08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62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46043</v>
      </c>
      <c r="C42" s="4" t="s">
        <v>193</v>
      </c>
      <c r="D42" s="2">
        <v>1773696</v>
      </c>
      <c r="E42" s="4" t="s">
        <v>197</v>
      </c>
      <c r="F42" s="4" t="s">
        <v>198</v>
      </c>
      <c r="G42" s="2">
        <v>921739324</v>
      </c>
      <c r="H42" s="4" t="s">
        <v>199</v>
      </c>
      <c r="I42" s="4" t="s">
        <v>46</v>
      </c>
      <c r="J42" s="4" t="s">
        <v>47</v>
      </c>
      <c r="K42" s="4" t="s">
        <v>48</v>
      </c>
      <c r="L42" s="3">
        <v>46054</v>
      </c>
      <c r="M42" s="4" t="s">
        <v>61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0.92</v>
      </c>
      <c r="W42" s="5">
        <v>0</v>
      </c>
      <c r="X42" s="5">
        <v>100</v>
      </c>
      <c r="Y42" s="5">
        <v>151.25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46054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46043</v>
      </c>
      <c r="C43" s="4" t="s">
        <v>193</v>
      </c>
      <c r="D43" s="2">
        <v>1773696</v>
      </c>
      <c r="E43" s="4" t="s">
        <v>200</v>
      </c>
      <c r="F43" s="4" t="s">
        <v>201</v>
      </c>
      <c r="G43" s="2">
        <v>511511456</v>
      </c>
      <c r="H43" s="4" t="s">
        <v>202</v>
      </c>
      <c r="I43" s="4" t="s">
        <v>46</v>
      </c>
      <c r="J43" s="4" t="s">
        <v>47</v>
      </c>
      <c r="K43" s="4" t="s">
        <v>48</v>
      </c>
      <c r="L43" s="3">
        <v>46023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-0.92</v>
      </c>
      <c r="W43" s="5">
        <v>0</v>
      </c>
      <c r="X43" s="5">
        <v>100</v>
      </c>
      <c r="Y43" s="5">
        <v>-318.08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46023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46043</v>
      </c>
      <c r="C44" s="4" t="s">
        <v>203</v>
      </c>
      <c r="D44" s="2">
        <v>1775329</v>
      </c>
      <c r="E44" s="4" t="s">
        <v>204</v>
      </c>
      <c r="F44" s="4" t="s">
        <v>205</v>
      </c>
      <c r="G44" s="2">
        <v>936654025</v>
      </c>
      <c r="H44" s="4" t="s">
        <v>206</v>
      </c>
      <c r="I44" s="4" t="s">
        <v>46</v>
      </c>
      <c r="J44" s="4" t="s">
        <v>47</v>
      </c>
      <c r="K44" s="4" t="s">
        <v>48</v>
      </c>
      <c r="L44" s="3">
        <v>46054</v>
      </c>
      <c r="M44" s="4" t="s">
        <v>61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59</v>
      </c>
      <c r="U44" s="4" t="s">
        <v>46</v>
      </c>
      <c r="V44" s="5">
        <v>0.92</v>
      </c>
      <c r="W44" s="5">
        <v>0</v>
      </c>
      <c r="X44" s="5">
        <v>100</v>
      </c>
      <c r="Y44" s="5">
        <v>318.08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46054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207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46043</v>
      </c>
      <c r="C45" s="4" t="s">
        <v>208</v>
      </c>
      <c r="D45" s="2">
        <v>1800759</v>
      </c>
      <c r="E45" s="4" t="s">
        <v>209</v>
      </c>
      <c r="F45" s="4" t="s">
        <v>210</v>
      </c>
      <c r="G45" s="2">
        <v>424718143</v>
      </c>
      <c r="H45" s="4" t="s">
        <v>211</v>
      </c>
      <c r="I45" s="4" t="s">
        <v>46</v>
      </c>
      <c r="J45" s="4" t="s">
        <v>47</v>
      </c>
      <c r="K45" s="4" t="s">
        <v>48</v>
      </c>
      <c r="L45" s="3">
        <v>46054</v>
      </c>
      <c r="M45" s="4" t="s">
        <v>61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0.92</v>
      </c>
      <c r="W45" s="5">
        <v>0</v>
      </c>
      <c r="X45" s="5">
        <v>100</v>
      </c>
      <c r="Y45" s="5">
        <v>318.08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46054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55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46043</v>
      </c>
      <c r="C46" s="4" t="s">
        <v>212</v>
      </c>
      <c r="D46" s="2">
        <v>1815448</v>
      </c>
      <c r="E46" s="4" t="s">
        <v>213</v>
      </c>
      <c r="F46" s="4" t="s">
        <v>214</v>
      </c>
      <c r="G46" s="2">
        <v>586189080</v>
      </c>
      <c r="H46" s="4" t="s">
        <v>215</v>
      </c>
      <c r="I46" s="4" t="s">
        <v>46</v>
      </c>
      <c r="J46" s="4" t="s">
        <v>47</v>
      </c>
      <c r="K46" s="4" t="s">
        <v>48</v>
      </c>
      <c r="L46" s="3">
        <v>46054</v>
      </c>
      <c r="M46" s="4" t="s">
        <v>61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59</v>
      </c>
      <c r="U46" s="4" t="s">
        <v>46</v>
      </c>
      <c r="V46" s="5">
        <v>0.92</v>
      </c>
      <c r="W46" s="5">
        <v>0</v>
      </c>
      <c r="X46" s="5">
        <v>100</v>
      </c>
      <c r="Y46" s="5">
        <v>318.08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46054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71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46043</v>
      </c>
      <c r="C47" s="4" t="s">
        <v>216</v>
      </c>
      <c r="D47" s="2">
        <v>1815594</v>
      </c>
      <c r="E47" s="4" t="s">
        <v>217</v>
      </c>
      <c r="F47" s="4" t="s">
        <v>218</v>
      </c>
      <c r="G47" s="2">
        <v>92914203</v>
      </c>
      <c r="H47" s="4" t="s">
        <v>219</v>
      </c>
      <c r="I47" s="4" t="s">
        <v>46</v>
      </c>
      <c r="J47" s="4" t="s">
        <v>47</v>
      </c>
      <c r="K47" s="4" t="s">
        <v>48</v>
      </c>
      <c r="L47" s="3">
        <v>46054</v>
      </c>
      <c r="M47" s="4" t="s">
        <v>61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0.92</v>
      </c>
      <c r="W47" s="5">
        <v>0</v>
      </c>
      <c r="X47" s="5">
        <v>100</v>
      </c>
      <c r="Y47" s="5">
        <v>318.08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46054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55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46043</v>
      </c>
      <c r="C48" s="4" t="s">
        <v>216</v>
      </c>
      <c r="D48" s="2">
        <v>1815594</v>
      </c>
      <c r="E48" s="4" t="s">
        <v>220</v>
      </c>
      <c r="F48" s="4" t="s">
        <v>221</v>
      </c>
      <c r="G48" s="2">
        <v>146964619</v>
      </c>
      <c r="H48" s="4" t="s">
        <v>222</v>
      </c>
      <c r="I48" s="4" t="s">
        <v>46</v>
      </c>
      <c r="J48" s="4" t="s">
        <v>47</v>
      </c>
      <c r="K48" s="4" t="s">
        <v>48</v>
      </c>
      <c r="L48" s="3">
        <v>46054</v>
      </c>
      <c r="M48" s="4" t="s">
        <v>61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59</v>
      </c>
      <c r="U48" s="4" t="s">
        <v>46</v>
      </c>
      <c r="V48" s="5">
        <v>0.92</v>
      </c>
      <c r="W48" s="5">
        <v>0</v>
      </c>
      <c r="X48" s="5">
        <v>100</v>
      </c>
      <c r="Y48" s="5">
        <v>318.08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46054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71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46043</v>
      </c>
      <c r="C49" s="4" t="s">
        <v>223</v>
      </c>
      <c r="D49" s="2">
        <v>1831320</v>
      </c>
      <c r="E49" s="4" t="s">
        <v>224</v>
      </c>
      <c r="F49" s="4" t="s">
        <v>225</v>
      </c>
      <c r="G49" s="2">
        <v>424620214</v>
      </c>
      <c r="H49" s="4" t="s">
        <v>226</v>
      </c>
      <c r="I49" s="4" t="s">
        <v>46</v>
      </c>
      <c r="J49" s="4" t="s">
        <v>47</v>
      </c>
      <c r="K49" s="4" t="s">
        <v>48</v>
      </c>
      <c r="L49" s="3">
        <v>46054</v>
      </c>
      <c r="M49" s="4" t="s">
        <v>61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0.92</v>
      </c>
      <c r="W49" s="5">
        <v>0</v>
      </c>
      <c r="X49" s="5">
        <v>100</v>
      </c>
      <c r="Y49" s="5">
        <v>318.08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46054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46043</v>
      </c>
      <c r="C50" s="4" t="s">
        <v>223</v>
      </c>
      <c r="D50" s="2">
        <v>1831320</v>
      </c>
      <c r="E50" s="4" t="s">
        <v>227</v>
      </c>
      <c r="F50" s="4" t="s">
        <v>228</v>
      </c>
      <c r="G50" s="2">
        <v>934338404</v>
      </c>
      <c r="H50" s="4" t="s">
        <v>229</v>
      </c>
      <c r="I50" s="4" t="s">
        <v>46</v>
      </c>
      <c r="J50" s="4" t="s">
        <v>47</v>
      </c>
      <c r="K50" s="4" t="s">
        <v>48</v>
      </c>
      <c r="L50" s="3">
        <v>46054</v>
      </c>
      <c r="M50" s="4" t="s">
        <v>61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0.92</v>
      </c>
      <c r="W50" s="5">
        <v>0</v>
      </c>
      <c r="X50" s="5">
        <v>100</v>
      </c>
      <c r="Y50" s="5">
        <v>318.08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46054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46043</v>
      </c>
      <c r="C51" s="4" t="s">
        <v>230</v>
      </c>
      <c r="D51" s="2">
        <v>1832195</v>
      </c>
      <c r="E51" s="4" t="s">
        <v>231</v>
      </c>
      <c r="F51" s="4" t="s">
        <v>232</v>
      </c>
      <c r="G51" s="2">
        <v>61638155</v>
      </c>
      <c r="H51" s="4" t="s">
        <v>233</v>
      </c>
      <c r="I51" s="4" t="s">
        <v>46</v>
      </c>
      <c r="J51" s="4" t="s">
        <v>47</v>
      </c>
      <c r="K51" s="4" t="s">
        <v>48</v>
      </c>
      <c r="L51" s="3">
        <v>46054</v>
      </c>
      <c r="M51" s="4" t="s">
        <v>61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0.92</v>
      </c>
      <c r="W51" s="5">
        <v>0</v>
      </c>
      <c r="X51" s="5">
        <v>100</v>
      </c>
      <c r="Y51" s="5">
        <v>318.08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46054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55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46043</v>
      </c>
      <c r="C52" s="4" t="s">
        <v>234</v>
      </c>
      <c r="D52" s="2">
        <v>1853235</v>
      </c>
      <c r="E52" s="4" t="s">
        <v>235</v>
      </c>
      <c r="F52" s="4" t="s">
        <v>236</v>
      </c>
      <c r="G52" s="2">
        <v>304242255</v>
      </c>
      <c r="H52" s="4" t="s">
        <v>237</v>
      </c>
      <c r="I52" s="4" t="s">
        <v>46</v>
      </c>
      <c r="J52" s="4" t="s">
        <v>47</v>
      </c>
      <c r="K52" s="4" t="s">
        <v>48</v>
      </c>
      <c r="L52" s="3">
        <v>46054</v>
      </c>
      <c r="M52" s="4" t="s">
        <v>61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0.92</v>
      </c>
      <c r="W52" s="5">
        <v>0</v>
      </c>
      <c r="X52" s="5">
        <v>100</v>
      </c>
      <c r="Y52" s="5">
        <v>318.08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46054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46043</v>
      </c>
      <c r="C53" s="4" t="s">
        <v>234</v>
      </c>
      <c r="D53" s="2">
        <v>1853235</v>
      </c>
      <c r="E53" s="4" t="s">
        <v>238</v>
      </c>
      <c r="F53" s="4" t="s">
        <v>239</v>
      </c>
      <c r="G53" s="2">
        <v>7967092</v>
      </c>
      <c r="H53" s="4" t="s">
        <v>240</v>
      </c>
      <c r="I53" s="4" t="s">
        <v>46</v>
      </c>
      <c r="J53" s="4" t="s">
        <v>47</v>
      </c>
      <c r="K53" s="4" t="s">
        <v>48</v>
      </c>
      <c r="L53" s="3">
        <v>45962</v>
      </c>
      <c r="M53" s="4" t="s">
        <v>241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0.17</v>
      </c>
      <c r="W53" s="5">
        <v>0</v>
      </c>
      <c r="X53" s="5">
        <v>100</v>
      </c>
      <c r="Y53" s="5">
        <v>52.17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45962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242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46043</v>
      </c>
      <c r="C54" s="4" t="s">
        <v>243</v>
      </c>
      <c r="D54" s="2">
        <v>1855975</v>
      </c>
      <c r="E54" s="4" t="s">
        <v>244</v>
      </c>
      <c r="F54" s="4" t="s">
        <v>245</v>
      </c>
      <c r="G54" s="2">
        <v>62433403</v>
      </c>
      <c r="H54" s="4" t="s">
        <v>246</v>
      </c>
      <c r="I54" s="4" t="s">
        <v>46</v>
      </c>
      <c r="J54" s="4" t="s">
        <v>47</v>
      </c>
      <c r="K54" s="4" t="s">
        <v>48</v>
      </c>
      <c r="L54" s="3">
        <v>46023</v>
      </c>
      <c r="M54" s="4" t="s">
        <v>49</v>
      </c>
      <c r="N54" s="4" t="s">
        <v>46</v>
      </c>
      <c r="O54" s="4" t="s">
        <v>178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59</v>
      </c>
      <c r="U54" s="4" t="s">
        <v>46</v>
      </c>
      <c r="V54" s="5">
        <v>-1</v>
      </c>
      <c r="W54" s="5">
        <v>0</v>
      </c>
      <c r="X54" s="5">
        <v>100</v>
      </c>
      <c r="Y54" s="5">
        <v>-28.91</v>
      </c>
      <c r="Z54" s="4" t="s">
        <v>46</v>
      </c>
      <c r="AA54" s="5" t="s">
        <v>46</v>
      </c>
      <c r="AB54" s="4" t="s">
        <v>179</v>
      </c>
      <c r="AC54" s="4" t="s">
        <v>46</v>
      </c>
      <c r="AD54" s="5">
        <v>0</v>
      </c>
      <c r="AE54" s="4" t="s">
        <v>180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71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46043</v>
      </c>
      <c r="C55" s="4" t="s">
        <v>243</v>
      </c>
      <c r="D55" s="2">
        <v>1855975</v>
      </c>
      <c r="E55" s="4" t="s">
        <v>247</v>
      </c>
      <c r="F55" s="4" t="s">
        <v>248</v>
      </c>
      <c r="G55" s="2">
        <v>687040444</v>
      </c>
      <c r="H55" s="4" t="s">
        <v>249</v>
      </c>
      <c r="I55" s="4" t="s">
        <v>46</v>
      </c>
      <c r="J55" s="4" t="s">
        <v>47</v>
      </c>
      <c r="K55" s="4" t="s">
        <v>48</v>
      </c>
      <c r="L55" s="3">
        <v>46023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59</v>
      </c>
      <c r="U55" s="4" t="s">
        <v>46</v>
      </c>
      <c r="V55" s="5">
        <v>-0.92</v>
      </c>
      <c r="W55" s="5">
        <v>0</v>
      </c>
      <c r="X55" s="5">
        <v>100</v>
      </c>
      <c r="Y55" s="5">
        <v>-318.08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46023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62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46043</v>
      </c>
      <c r="C56" s="4" t="s">
        <v>243</v>
      </c>
      <c r="D56" s="2">
        <v>1855975</v>
      </c>
      <c r="E56" s="4" t="s">
        <v>250</v>
      </c>
      <c r="F56" s="4" t="s">
        <v>251</v>
      </c>
      <c r="G56" s="2">
        <v>484023170</v>
      </c>
      <c r="H56" s="4" t="s">
        <v>252</v>
      </c>
      <c r="I56" s="4" t="s">
        <v>46</v>
      </c>
      <c r="J56" s="4" t="s">
        <v>47</v>
      </c>
      <c r="K56" s="4" t="s">
        <v>48</v>
      </c>
      <c r="L56" s="3">
        <v>46023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59</v>
      </c>
      <c r="U56" s="4" t="s">
        <v>46</v>
      </c>
      <c r="V56" s="5">
        <v>0</v>
      </c>
      <c r="W56" s="5">
        <v>0</v>
      </c>
      <c r="X56" s="5">
        <v>100</v>
      </c>
      <c r="Y56" s="5">
        <v>-318.08999999999997</v>
      </c>
      <c r="Z56" s="4" t="s">
        <v>46</v>
      </c>
      <c r="AA56" s="5" t="s">
        <v>46</v>
      </c>
      <c r="AB56" s="4" t="s">
        <v>161</v>
      </c>
      <c r="AC56" s="4" t="s">
        <v>46</v>
      </c>
      <c r="AD56" s="5">
        <v>0</v>
      </c>
      <c r="AE56" s="4" t="s">
        <v>162</v>
      </c>
      <c r="AF56" s="3">
        <v>46023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60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46043</v>
      </c>
      <c r="C57" s="4" t="s">
        <v>243</v>
      </c>
      <c r="D57" s="2">
        <v>1855975</v>
      </c>
      <c r="E57" s="4" t="s">
        <v>250</v>
      </c>
      <c r="F57" s="4" t="s">
        <v>251</v>
      </c>
      <c r="G57" s="2">
        <v>484023170</v>
      </c>
      <c r="H57" s="4" t="s">
        <v>252</v>
      </c>
      <c r="I57" s="4" t="s">
        <v>46</v>
      </c>
      <c r="J57" s="4" t="s">
        <v>47</v>
      </c>
      <c r="K57" s="4" t="s">
        <v>48</v>
      </c>
      <c r="L57" s="3">
        <v>46023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59</v>
      </c>
      <c r="U57" s="4" t="s">
        <v>46</v>
      </c>
      <c r="V57" s="5">
        <v>-0.92</v>
      </c>
      <c r="W57" s="5">
        <v>0</v>
      </c>
      <c r="X57" s="5">
        <v>100</v>
      </c>
      <c r="Y57" s="5">
        <v>-318.08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46023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60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46043</v>
      </c>
      <c r="C58" s="4" t="s">
        <v>253</v>
      </c>
      <c r="D58" s="2">
        <v>1890087</v>
      </c>
      <c r="E58" s="4" t="s">
        <v>254</v>
      </c>
      <c r="F58" s="4" t="s">
        <v>255</v>
      </c>
      <c r="G58" s="2">
        <v>41310181</v>
      </c>
      <c r="H58" s="4" t="s">
        <v>256</v>
      </c>
      <c r="I58" s="4" t="s">
        <v>46</v>
      </c>
      <c r="J58" s="4" t="s">
        <v>47</v>
      </c>
      <c r="K58" s="4" t="s">
        <v>48</v>
      </c>
      <c r="L58" s="3">
        <v>46113</v>
      </c>
      <c r="M58" s="4" t="s">
        <v>137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0.75</v>
      </c>
      <c r="W58" s="5">
        <v>0</v>
      </c>
      <c r="X58" s="5">
        <v>100</v>
      </c>
      <c r="Y58" s="5">
        <v>260.25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46113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46043</v>
      </c>
      <c r="C59" s="4" t="s">
        <v>257</v>
      </c>
      <c r="D59" s="2">
        <v>1903197</v>
      </c>
      <c r="E59" s="4" t="s">
        <v>258</v>
      </c>
      <c r="F59" s="4" t="s">
        <v>259</v>
      </c>
      <c r="G59" s="2">
        <v>684306573</v>
      </c>
      <c r="H59" s="4" t="s">
        <v>260</v>
      </c>
      <c r="I59" s="4" t="s">
        <v>46</v>
      </c>
      <c r="J59" s="4" t="s">
        <v>47</v>
      </c>
      <c r="K59" s="4" t="s">
        <v>48</v>
      </c>
      <c r="L59" s="3">
        <v>46054</v>
      </c>
      <c r="M59" s="4" t="s">
        <v>61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59</v>
      </c>
      <c r="U59" s="4" t="s">
        <v>46</v>
      </c>
      <c r="V59" s="5">
        <v>0.92</v>
      </c>
      <c r="W59" s="5">
        <v>0</v>
      </c>
      <c r="X59" s="5">
        <v>100</v>
      </c>
      <c r="Y59" s="5">
        <v>318.08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46054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71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46043</v>
      </c>
      <c r="C60" s="4" t="s">
        <v>257</v>
      </c>
      <c r="D60" s="2">
        <v>1903197</v>
      </c>
      <c r="E60" s="4" t="s">
        <v>261</v>
      </c>
      <c r="F60" s="4" t="s">
        <v>262</v>
      </c>
      <c r="G60" s="2">
        <v>789199073</v>
      </c>
      <c r="H60" s="4" t="s">
        <v>263</v>
      </c>
      <c r="I60" s="4" t="s">
        <v>46</v>
      </c>
      <c r="J60" s="4" t="s">
        <v>47</v>
      </c>
      <c r="K60" s="4" t="s">
        <v>48</v>
      </c>
      <c r="L60" s="3">
        <v>46054</v>
      </c>
      <c r="M60" s="4" t="s">
        <v>61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59</v>
      </c>
      <c r="U60" s="4" t="s">
        <v>46</v>
      </c>
      <c r="V60" s="5">
        <v>0.92</v>
      </c>
      <c r="W60" s="5">
        <v>0</v>
      </c>
      <c r="X60" s="5">
        <v>100</v>
      </c>
      <c r="Y60" s="5">
        <v>318.08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46054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71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46043</v>
      </c>
      <c r="C61" s="4" t="s">
        <v>264</v>
      </c>
      <c r="D61" s="2">
        <v>1969216</v>
      </c>
      <c r="E61" s="4" t="s">
        <v>265</v>
      </c>
      <c r="F61" s="4" t="s">
        <v>266</v>
      </c>
      <c r="G61" s="2">
        <v>421051144</v>
      </c>
      <c r="H61" s="4" t="s">
        <v>267</v>
      </c>
      <c r="I61" s="4" t="s">
        <v>46</v>
      </c>
      <c r="J61" s="4" t="s">
        <v>47</v>
      </c>
      <c r="K61" s="4" t="s">
        <v>48</v>
      </c>
      <c r="L61" s="3">
        <v>46054</v>
      </c>
      <c r="M61" s="4" t="s">
        <v>61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0.92</v>
      </c>
      <c r="W61" s="5">
        <v>0</v>
      </c>
      <c r="X61" s="5">
        <v>100</v>
      </c>
      <c r="Y61" s="5">
        <v>151.25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46054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46043</v>
      </c>
      <c r="C62" s="4" t="s">
        <v>268</v>
      </c>
      <c r="D62" s="2">
        <v>1989690</v>
      </c>
      <c r="E62" s="4" t="s">
        <v>269</v>
      </c>
      <c r="F62" s="4" t="s">
        <v>270</v>
      </c>
      <c r="G62" s="2">
        <v>876404584</v>
      </c>
      <c r="H62" s="4" t="s">
        <v>271</v>
      </c>
      <c r="I62" s="4" t="s">
        <v>46</v>
      </c>
      <c r="J62" s="4" t="s">
        <v>47</v>
      </c>
      <c r="K62" s="4" t="s">
        <v>48</v>
      </c>
      <c r="L62" s="3">
        <v>46054</v>
      </c>
      <c r="M62" s="4" t="s">
        <v>61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0.92</v>
      </c>
      <c r="W62" s="5">
        <v>0</v>
      </c>
      <c r="X62" s="5">
        <v>100</v>
      </c>
      <c r="Y62" s="5">
        <v>318.08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46054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46043</v>
      </c>
      <c r="C63" s="4" t="s">
        <v>272</v>
      </c>
      <c r="D63" s="2">
        <v>1998939</v>
      </c>
      <c r="E63" s="4" t="s">
        <v>273</v>
      </c>
      <c r="F63" s="4" t="s">
        <v>274</v>
      </c>
      <c r="G63" s="2">
        <v>508030085</v>
      </c>
      <c r="H63" s="4" t="s">
        <v>275</v>
      </c>
      <c r="I63" s="4" t="s">
        <v>46</v>
      </c>
      <c r="J63" s="4" t="s">
        <v>47</v>
      </c>
      <c r="K63" s="4" t="s">
        <v>48</v>
      </c>
      <c r="L63" s="3">
        <v>46023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-318.08999999999997</v>
      </c>
      <c r="Z63" s="4" t="s">
        <v>46</v>
      </c>
      <c r="AA63" s="5" t="s">
        <v>46</v>
      </c>
      <c r="AB63" s="4" t="s">
        <v>161</v>
      </c>
      <c r="AC63" s="4" t="s">
        <v>46</v>
      </c>
      <c r="AD63" s="5">
        <v>0</v>
      </c>
      <c r="AE63" s="4" t="s">
        <v>162</v>
      </c>
      <c r="AF63" s="3">
        <v>46023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46043</v>
      </c>
      <c r="C64" s="4" t="s">
        <v>272</v>
      </c>
      <c r="D64" s="2">
        <v>1998939</v>
      </c>
      <c r="E64" s="4" t="s">
        <v>273</v>
      </c>
      <c r="F64" s="4" t="s">
        <v>274</v>
      </c>
      <c r="G64" s="2">
        <v>508030085</v>
      </c>
      <c r="H64" s="4" t="s">
        <v>275</v>
      </c>
      <c r="I64" s="4" t="s">
        <v>46</v>
      </c>
      <c r="J64" s="4" t="s">
        <v>47</v>
      </c>
      <c r="K64" s="4" t="s">
        <v>48</v>
      </c>
      <c r="L64" s="3">
        <v>46023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52</v>
      </c>
      <c r="U64" s="4" t="s">
        <v>46</v>
      </c>
      <c r="V64" s="5">
        <v>-0.92</v>
      </c>
      <c r="W64" s="5">
        <v>0</v>
      </c>
      <c r="X64" s="5">
        <v>100</v>
      </c>
      <c r="Y64" s="5">
        <v>-318.08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46023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55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46043</v>
      </c>
      <c r="C65" s="4" t="s">
        <v>276</v>
      </c>
      <c r="D65" s="2">
        <v>1509744</v>
      </c>
      <c r="E65" s="4" t="s">
        <v>277</v>
      </c>
      <c r="F65" s="4" t="s">
        <v>278</v>
      </c>
      <c r="G65" s="4" t="s">
        <v>46</v>
      </c>
      <c r="H65" s="4" t="s">
        <v>46</v>
      </c>
      <c r="I65" s="4" t="s">
        <v>46</v>
      </c>
      <c r="J65" s="4" t="s">
        <v>279</v>
      </c>
      <c r="K65" s="4" t="s">
        <v>280</v>
      </c>
      <c r="L65" s="3">
        <v>46054</v>
      </c>
      <c r="M65" s="4" t="s">
        <v>61</v>
      </c>
      <c r="N65" s="4" t="s">
        <v>46</v>
      </c>
      <c r="O65" s="4" t="s">
        <v>178</v>
      </c>
      <c r="P65" s="4" t="s">
        <v>178</v>
      </c>
      <c r="Q65" s="2">
        <v>2</v>
      </c>
      <c r="R65" s="2">
        <v>60</v>
      </c>
      <c r="S65" s="4" t="s">
        <v>281</v>
      </c>
      <c r="T65" s="4" t="s">
        <v>46</v>
      </c>
      <c r="U65" s="4" t="s">
        <v>46</v>
      </c>
      <c r="V65" s="5">
        <v>10</v>
      </c>
      <c r="W65" s="5">
        <v>26.88</v>
      </c>
      <c r="X65" s="5">
        <v>100</v>
      </c>
      <c r="Y65" s="5">
        <v>2.69</v>
      </c>
      <c r="Z65" s="4" t="s">
        <v>46</v>
      </c>
      <c r="AA65" s="5" t="s">
        <v>46</v>
      </c>
      <c r="AB65" s="4" t="s">
        <v>282</v>
      </c>
      <c r="AC65" s="4" t="s">
        <v>46</v>
      </c>
      <c r="AD65" s="5">
        <v>0</v>
      </c>
      <c r="AE65" s="4" t="s">
        <v>283</v>
      </c>
      <c r="AF65" s="3">
        <v>45276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46043</v>
      </c>
      <c r="C66" s="4" t="s">
        <v>284</v>
      </c>
      <c r="D66" s="2">
        <v>1509841</v>
      </c>
      <c r="E66" s="4" t="s">
        <v>285</v>
      </c>
      <c r="F66" s="4" t="s">
        <v>286</v>
      </c>
      <c r="G66" s="4" t="s">
        <v>46</v>
      </c>
      <c r="H66" s="4" t="s">
        <v>46</v>
      </c>
      <c r="I66" s="4" t="s">
        <v>46</v>
      </c>
      <c r="J66" s="4" t="s">
        <v>287</v>
      </c>
      <c r="K66" s="4" t="s">
        <v>288</v>
      </c>
      <c r="L66" s="3">
        <v>46023</v>
      </c>
      <c r="M66" s="4" t="s">
        <v>49</v>
      </c>
      <c r="N66" s="4" t="s">
        <v>46</v>
      </c>
      <c r="O66" s="4" t="s">
        <v>178</v>
      </c>
      <c r="P66" s="4" t="s">
        <v>178</v>
      </c>
      <c r="Q66" s="2">
        <v>5</v>
      </c>
      <c r="R66" s="2">
        <v>60</v>
      </c>
      <c r="S66" s="4" t="s">
        <v>281</v>
      </c>
      <c r="T66" s="4" t="s">
        <v>46</v>
      </c>
      <c r="U66" s="4" t="s">
        <v>46</v>
      </c>
      <c r="V66" s="5">
        <v>10</v>
      </c>
      <c r="W66" s="5">
        <v>-6.27</v>
      </c>
      <c r="X66" s="5">
        <v>100</v>
      </c>
      <c r="Y66" s="5">
        <v>-0.63</v>
      </c>
      <c r="Z66" s="4" t="s">
        <v>46</v>
      </c>
      <c r="AA66" s="5" t="s">
        <v>46</v>
      </c>
      <c r="AB66" s="4" t="s">
        <v>179</v>
      </c>
      <c r="AC66" s="4" t="s">
        <v>46</v>
      </c>
      <c r="AD66" s="5">
        <v>0</v>
      </c>
      <c r="AE66" s="4" t="s">
        <v>180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46043</v>
      </c>
      <c r="C67" s="4" t="s">
        <v>84</v>
      </c>
      <c r="D67" s="2">
        <v>1510420</v>
      </c>
      <c r="E67" s="4" t="s">
        <v>289</v>
      </c>
      <c r="F67" s="4" t="s">
        <v>290</v>
      </c>
      <c r="G67" s="4" t="s">
        <v>46</v>
      </c>
      <c r="H67" s="4" t="s">
        <v>46</v>
      </c>
      <c r="I67" s="4" t="s">
        <v>46</v>
      </c>
      <c r="J67" s="4" t="s">
        <v>279</v>
      </c>
      <c r="K67" s="4" t="s">
        <v>280</v>
      </c>
      <c r="L67" s="3">
        <v>46054</v>
      </c>
      <c r="M67" s="4" t="s">
        <v>61</v>
      </c>
      <c r="N67" s="4" t="s">
        <v>46</v>
      </c>
      <c r="O67" s="4" t="s">
        <v>178</v>
      </c>
      <c r="P67" s="4" t="s">
        <v>178</v>
      </c>
      <c r="Q67" s="2">
        <v>2</v>
      </c>
      <c r="R67" s="2">
        <v>3</v>
      </c>
      <c r="S67" s="4" t="s">
        <v>291</v>
      </c>
      <c r="T67" s="4" t="s">
        <v>46</v>
      </c>
      <c r="U67" s="4" t="s">
        <v>46</v>
      </c>
      <c r="V67" s="5">
        <v>10</v>
      </c>
      <c r="W67" s="5">
        <v>43.09</v>
      </c>
      <c r="X67" s="5">
        <v>100</v>
      </c>
      <c r="Y67" s="5">
        <v>4.3099999999999996</v>
      </c>
      <c r="Z67" s="4" t="s">
        <v>46</v>
      </c>
      <c r="AA67" s="5" t="s">
        <v>46</v>
      </c>
      <c r="AB67" s="4" t="s">
        <v>282</v>
      </c>
      <c r="AC67" s="4" t="s">
        <v>46</v>
      </c>
      <c r="AD67" s="5">
        <v>0</v>
      </c>
      <c r="AE67" s="4" t="s">
        <v>283</v>
      </c>
      <c r="AF67" s="3">
        <v>40969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46043</v>
      </c>
      <c r="C68" s="4" t="s">
        <v>292</v>
      </c>
      <c r="D68" s="2">
        <v>1524629</v>
      </c>
      <c r="E68" s="4" t="s">
        <v>293</v>
      </c>
      <c r="F68" s="4" t="s">
        <v>294</v>
      </c>
      <c r="G68" s="4" t="s">
        <v>46</v>
      </c>
      <c r="H68" s="4" t="s">
        <v>46</v>
      </c>
      <c r="I68" s="4" t="s">
        <v>46</v>
      </c>
      <c r="J68" s="4" t="s">
        <v>295</v>
      </c>
      <c r="K68" s="4" t="s">
        <v>48</v>
      </c>
      <c r="L68" s="3">
        <v>45689</v>
      </c>
      <c r="M68" s="4" t="s">
        <v>61</v>
      </c>
      <c r="N68" s="4" t="s">
        <v>46</v>
      </c>
      <c r="O68" s="4" t="s">
        <v>50</v>
      </c>
      <c r="P68" s="4" t="s">
        <v>178</v>
      </c>
      <c r="Q68" s="2">
        <v>1</v>
      </c>
      <c r="R68" s="2">
        <v>17</v>
      </c>
      <c r="S68" s="4" t="s">
        <v>51</v>
      </c>
      <c r="T68" s="4" t="s">
        <v>46</v>
      </c>
      <c r="U68" s="4" t="s">
        <v>46</v>
      </c>
      <c r="V68" s="5">
        <v>26</v>
      </c>
      <c r="W68" s="5">
        <v>-124.54</v>
      </c>
      <c r="X68" s="5">
        <v>100</v>
      </c>
      <c r="Y68" s="5">
        <v>-32.380000000000003</v>
      </c>
      <c r="Z68" s="5">
        <v>0</v>
      </c>
      <c r="AA68" s="5">
        <v>0</v>
      </c>
      <c r="AB68" s="4" t="s">
        <v>296</v>
      </c>
      <c r="AC68" s="4" t="s">
        <v>46</v>
      </c>
      <c r="AD68" s="5">
        <v>0</v>
      </c>
      <c r="AE68" s="4" t="s">
        <v>297</v>
      </c>
      <c r="AF68" s="3">
        <v>45689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46043</v>
      </c>
      <c r="C69" s="4" t="s">
        <v>292</v>
      </c>
      <c r="D69" s="2">
        <v>1524629</v>
      </c>
      <c r="E69" s="4" t="s">
        <v>298</v>
      </c>
      <c r="F69" s="4" t="s">
        <v>299</v>
      </c>
      <c r="G69" s="4" t="s">
        <v>46</v>
      </c>
      <c r="H69" s="4" t="s">
        <v>46</v>
      </c>
      <c r="I69" s="4" t="s">
        <v>46</v>
      </c>
      <c r="J69" s="4" t="s">
        <v>279</v>
      </c>
      <c r="K69" s="4" t="s">
        <v>280</v>
      </c>
      <c r="L69" s="3">
        <v>46054</v>
      </c>
      <c r="M69" s="4" t="s">
        <v>61</v>
      </c>
      <c r="N69" s="4" t="s">
        <v>46</v>
      </c>
      <c r="O69" s="4" t="s">
        <v>178</v>
      </c>
      <c r="P69" s="4" t="s">
        <v>178</v>
      </c>
      <c r="Q69" s="2">
        <v>1</v>
      </c>
      <c r="R69" s="2">
        <v>60</v>
      </c>
      <c r="S69" s="4" t="s">
        <v>281</v>
      </c>
      <c r="T69" s="4" t="s">
        <v>46</v>
      </c>
      <c r="U69" s="4" t="s">
        <v>46</v>
      </c>
      <c r="V69" s="5">
        <v>10</v>
      </c>
      <c r="W69" s="5">
        <v>12.99</v>
      </c>
      <c r="X69" s="5">
        <v>100</v>
      </c>
      <c r="Y69" s="5">
        <v>1.3</v>
      </c>
      <c r="Z69" s="4" t="s">
        <v>46</v>
      </c>
      <c r="AA69" s="5" t="s">
        <v>46</v>
      </c>
      <c r="AB69" s="4" t="s">
        <v>282</v>
      </c>
      <c r="AC69" s="4" t="s">
        <v>46</v>
      </c>
      <c r="AD69" s="5">
        <v>0</v>
      </c>
      <c r="AE69" s="4" t="s">
        <v>283</v>
      </c>
      <c r="AF69" s="3">
        <v>45371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46043</v>
      </c>
      <c r="C70" s="4" t="s">
        <v>300</v>
      </c>
      <c r="D70" s="2">
        <v>1545980</v>
      </c>
      <c r="E70" s="4" t="s">
        <v>301</v>
      </c>
      <c r="F70" s="4" t="s">
        <v>302</v>
      </c>
      <c r="G70" s="4" t="s">
        <v>46</v>
      </c>
      <c r="H70" s="4" t="s">
        <v>46</v>
      </c>
      <c r="I70" s="4" t="s">
        <v>46</v>
      </c>
      <c r="J70" s="4" t="s">
        <v>295</v>
      </c>
      <c r="K70" s="4" t="s">
        <v>48</v>
      </c>
      <c r="L70" s="3">
        <v>46054</v>
      </c>
      <c r="M70" s="4" t="s">
        <v>61</v>
      </c>
      <c r="N70" s="4" t="s">
        <v>46</v>
      </c>
      <c r="O70" s="4" t="s">
        <v>50</v>
      </c>
      <c r="P70" s="4" t="s">
        <v>178</v>
      </c>
      <c r="Q70" s="2">
        <v>1</v>
      </c>
      <c r="R70" s="2">
        <v>17</v>
      </c>
      <c r="S70" s="4" t="s">
        <v>51</v>
      </c>
      <c r="T70" s="4" t="s">
        <v>46</v>
      </c>
      <c r="U70" s="4" t="s">
        <v>46</v>
      </c>
      <c r="V70" s="5">
        <v>15</v>
      </c>
      <c r="W70" s="5">
        <v>117.54</v>
      </c>
      <c r="X70" s="5">
        <v>100</v>
      </c>
      <c r="Y70" s="5">
        <v>17.63</v>
      </c>
      <c r="Z70" s="5">
        <v>0</v>
      </c>
      <c r="AA70" s="5">
        <v>0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46023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46043</v>
      </c>
      <c r="C71" s="4" t="s">
        <v>123</v>
      </c>
      <c r="D71" s="2">
        <v>1573279</v>
      </c>
      <c r="E71" s="4" t="s">
        <v>303</v>
      </c>
      <c r="F71" s="4" t="s">
        <v>304</v>
      </c>
      <c r="G71" s="4" t="s">
        <v>46</v>
      </c>
      <c r="H71" s="4" t="s">
        <v>46</v>
      </c>
      <c r="I71" s="4" t="s">
        <v>46</v>
      </c>
      <c r="J71" s="4" t="s">
        <v>287</v>
      </c>
      <c r="K71" s="4" t="s">
        <v>288</v>
      </c>
      <c r="L71" s="3">
        <v>46054</v>
      </c>
      <c r="M71" s="4" t="s">
        <v>61</v>
      </c>
      <c r="N71" s="4" t="s">
        <v>46</v>
      </c>
      <c r="O71" s="4" t="s">
        <v>50</v>
      </c>
      <c r="P71" s="4" t="s">
        <v>178</v>
      </c>
      <c r="Q71" s="2">
        <v>20</v>
      </c>
      <c r="R71" s="2">
        <v>3</v>
      </c>
      <c r="S71" s="4" t="s">
        <v>291</v>
      </c>
      <c r="T71" s="4" t="s">
        <v>46</v>
      </c>
      <c r="U71" s="4" t="s">
        <v>46</v>
      </c>
      <c r="V71" s="5">
        <v>10</v>
      </c>
      <c r="W71" s="5">
        <v>1208.5899999999999</v>
      </c>
      <c r="X71" s="5">
        <v>100</v>
      </c>
      <c r="Y71" s="5">
        <v>120.86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45839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46043</v>
      </c>
      <c r="C72" s="4" t="s">
        <v>123</v>
      </c>
      <c r="D72" s="2">
        <v>1573279</v>
      </c>
      <c r="E72" s="4" t="s">
        <v>303</v>
      </c>
      <c r="F72" s="4" t="s">
        <v>304</v>
      </c>
      <c r="G72" s="4" t="s">
        <v>46</v>
      </c>
      <c r="H72" s="4" t="s">
        <v>46</v>
      </c>
      <c r="I72" s="4" t="s">
        <v>46</v>
      </c>
      <c r="J72" s="4" t="s">
        <v>287</v>
      </c>
      <c r="K72" s="4" t="s">
        <v>288</v>
      </c>
      <c r="L72" s="3">
        <v>46054</v>
      </c>
      <c r="M72" s="4" t="s">
        <v>61</v>
      </c>
      <c r="N72" s="4" t="s">
        <v>46</v>
      </c>
      <c r="O72" s="4" t="s">
        <v>50</v>
      </c>
      <c r="P72" s="4" t="s">
        <v>178</v>
      </c>
      <c r="Q72" s="2">
        <v>18</v>
      </c>
      <c r="R72" s="2">
        <v>60</v>
      </c>
      <c r="S72" s="4" t="s">
        <v>281</v>
      </c>
      <c r="T72" s="4" t="s">
        <v>46</v>
      </c>
      <c r="U72" s="4" t="s">
        <v>46</v>
      </c>
      <c r="V72" s="5">
        <v>10</v>
      </c>
      <c r="W72" s="5">
        <v>295.91000000000003</v>
      </c>
      <c r="X72" s="5">
        <v>100</v>
      </c>
      <c r="Y72" s="5">
        <v>29.59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45839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46043</v>
      </c>
      <c r="C73" s="4" t="s">
        <v>305</v>
      </c>
      <c r="D73" s="2">
        <v>1673763</v>
      </c>
      <c r="E73" s="4" t="s">
        <v>306</v>
      </c>
      <c r="F73" s="4" t="s">
        <v>307</v>
      </c>
      <c r="G73" s="4" t="s">
        <v>46</v>
      </c>
      <c r="H73" s="4" t="s">
        <v>46</v>
      </c>
      <c r="I73" s="4" t="s">
        <v>46</v>
      </c>
      <c r="J73" s="4" t="s">
        <v>295</v>
      </c>
      <c r="K73" s="4" t="s">
        <v>48</v>
      </c>
      <c r="L73" s="3">
        <v>46054</v>
      </c>
      <c r="M73" s="4" t="s">
        <v>61</v>
      </c>
      <c r="N73" s="4" t="s">
        <v>46</v>
      </c>
      <c r="O73" s="4" t="s">
        <v>178</v>
      </c>
      <c r="P73" s="4" t="s">
        <v>178</v>
      </c>
      <c r="Q73" s="2">
        <v>1</v>
      </c>
      <c r="R73" s="2">
        <v>17</v>
      </c>
      <c r="S73" s="4" t="s">
        <v>51</v>
      </c>
      <c r="T73" s="4" t="s">
        <v>46</v>
      </c>
      <c r="U73" s="4" t="s">
        <v>46</v>
      </c>
      <c r="V73" s="5">
        <v>26</v>
      </c>
      <c r="W73" s="5">
        <v>307</v>
      </c>
      <c r="X73" s="5">
        <v>100</v>
      </c>
      <c r="Y73" s="5">
        <v>79.819999999999993</v>
      </c>
      <c r="Z73" s="5">
        <v>0</v>
      </c>
      <c r="AA73" s="5">
        <v>0</v>
      </c>
      <c r="AB73" s="4" t="s">
        <v>308</v>
      </c>
      <c r="AC73" s="4" t="s">
        <v>46</v>
      </c>
      <c r="AD73" s="5">
        <v>0</v>
      </c>
      <c r="AE73" s="4" t="s">
        <v>309</v>
      </c>
      <c r="AF73" s="3">
        <v>45292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46043</v>
      </c>
      <c r="C74" s="4" t="s">
        <v>305</v>
      </c>
      <c r="D74" s="2">
        <v>1673763</v>
      </c>
      <c r="E74" s="4" t="s">
        <v>310</v>
      </c>
      <c r="F74" s="4" t="s">
        <v>311</v>
      </c>
      <c r="G74" s="4" t="s">
        <v>46</v>
      </c>
      <c r="H74" s="4" t="s">
        <v>46</v>
      </c>
      <c r="I74" s="4" t="s">
        <v>46</v>
      </c>
      <c r="J74" s="4" t="s">
        <v>295</v>
      </c>
      <c r="K74" s="4" t="s">
        <v>48</v>
      </c>
      <c r="L74" s="3">
        <v>46054</v>
      </c>
      <c r="M74" s="4" t="s">
        <v>61</v>
      </c>
      <c r="N74" s="4" t="s">
        <v>46</v>
      </c>
      <c r="O74" s="4" t="s">
        <v>178</v>
      </c>
      <c r="P74" s="4" t="s">
        <v>178</v>
      </c>
      <c r="Q74" s="2">
        <v>1</v>
      </c>
      <c r="R74" s="2">
        <v>17</v>
      </c>
      <c r="S74" s="4" t="s">
        <v>51</v>
      </c>
      <c r="T74" s="4" t="s">
        <v>46</v>
      </c>
      <c r="U74" s="4" t="s">
        <v>46</v>
      </c>
      <c r="V74" s="5">
        <v>22</v>
      </c>
      <c r="W74" s="5">
        <v>110.73</v>
      </c>
      <c r="X74" s="5">
        <v>100</v>
      </c>
      <c r="Y74" s="5">
        <v>24.36</v>
      </c>
      <c r="Z74" s="5">
        <v>0</v>
      </c>
      <c r="AA74" s="5">
        <v>0</v>
      </c>
      <c r="AB74" s="4" t="s">
        <v>308</v>
      </c>
      <c r="AC74" s="4" t="s">
        <v>46</v>
      </c>
      <c r="AD74" s="5">
        <v>0</v>
      </c>
      <c r="AE74" s="4" t="s">
        <v>309</v>
      </c>
      <c r="AF74" s="3">
        <v>45444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46043</v>
      </c>
      <c r="C75" s="4" t="s">
        <v>305</v>
      </c>
      <c r="D75" s="2">
        <v>1673763</v>
      </c>
      <c r="E75" s="4" t="s">
        <v>312</v>
      </c>
      <c r="F75" s="4" t="s">
        <v>313</v>
      </c>
      <c r="G75" s="4" t="s">
        <v>46</v>
      </c>
      <c r="H75" s="4" t="s">
        <v>46</v>
      </c>
      <c r="I75" s="4" t="s">
        <v>46</v>
      </c>
      <c r="J75" s="4" t="s">
        <v>295</v>
      </c>
      <c r="K75" s="4" t="s">
        <v>48</v>
      </c>
      <c r="L75" s="3">
        <v>46054</v>
      </c>
      <c r="M75" s="4" t="s">
        <v>61</v>
      </c>
      <c r="N75" s="4" t="s">
        <v>46</v>
      </c>
      <c r="O75" s="4" t="s">
        <v>178</v>
      </c>
      <c r="P75" s="4" t="s">
        <v>178</v>
      </c>
      <c r="Q75" s="2">
        <v>1</v>
      </c>
      <c r="R75" s="2">
        <v>17</v>
      </c>
      <c r="S75" s="4" t="s">
        <v>51</v>
      </c>
      <c r="T75" s="4" t="s">
        <v>46</v>
      </c>
      <c r="U75" s="4" t="s">
        <v>46</v>
      </c>
      <c r="V75" s="5">
        <v>22</v>
      </c>
      <c r="W75" s="5">
        <v>138.55000000000001</v>
      </c>
      <c r="X75" s="5">
        <v>100</v>
      </c>
      <c r="Y75" s="5">
        <v>30.48</v>
      </c>
      <c r="Z75" s="5">
        <v>0</v>
      </c>
      <c r="AA75" s="5">
        <v>0</v>
      </c>
      <c r="AB75" s="4" t="s">
        <v>308</v>
      </c>
      <c r="AC75" s="4" t="s">
        <v>46</v>
      </c>
      <c r="AD75" s="5">
        <v>0</v>
      </c>
      <c r="AE75" s="4" t="s">
        <v>309</v>
      </c>
      <c r="AF75" s="3">
        <v>45566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46043</v>
      </c>
      <c r="C76" s="4" t="s">
        <v>305</v>
      </c>
      <c r="D76" s="2">
        <v>1673763</v>
      </c>
      <c r="E76" s="4" t="s">
        <v>314</v>
      </c>
      <c r="F76" s="4" t="s">
        <v>315</v>
      </c>
      <c r="G76" s="4" t="s">
        <v>46</v>
      </c>
      <c r="H76" s="4" t="s">
        <v>46</v>
      </c>
      <c r="I76" s="4" t="s">
        <v>46</v>
      </c>
      <c r="J76" s="4" t="s">
        <v>295</v>
      </c>
      <c r="K76" s="4" t="s">
        <v>48</v>
      </c>
      <c r="L76" s="3">
        <v>46023</v>
      </c>
      <c r="M76" s="4" t="s">
        <v>49</v>
      </c>
      <c r="N76" s="4" t="s">
        <v>46</v>
      </c>
      <c r="O76" s="4" t="s">
        <v>50</v>
      </c>
      <c r="P76" s="4" t="s">
        <v>178</v>
      </c>
      <c r="Q76" s="2">
        <v>1</v>
      </c>
      <c r="R76" s="2">
        <v>17</v>
      </c>
      <c r="S76" s="4" t="s">
        <v>51</v>
      </c>
      <c r="T76" s="4" t="s">
        <v>46</v>
      </c>
      <c r="U76" s="4" t="s">
        <v>46</v>
      </c>
      <c r="V76" s="5">
        <v>22</v>
      </c>
      <c r="W76" s="5">
        <v>1982.52</v>
      </c>
      <c r="X76" s="5">
        <v>100</v>
      </c>
      <c r="Y76" s="5">
        <v>436.2</v>
      </c>
      <c r="Z76" s="5">
        <v>0</v>
      </c>
      <c r="AA76" s="5">
        <v>0</v>
      </c>
      <c r="AB76" s="4" t="s">
        <v>316</v>
      </c>
      <c r="AC76" s="4" t="s">
        <v>46</v>
      </c>
      <c r="AD76" s="5">
        <v>0</v>
      </c>
      <c r="AE76" s="4" t="s">
        <v>317</v>
      </c>
      <c r="AF76" s="3">
        <v>46023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46043</v>
      </c>
      <c r="C77" s="4" t="s">
        <v>305</v>
      </c>
      <c r="D77" s="2">
        <v>1673763</v>
      </c>
      <c r="E77" s="4" t="s">
        <v>318</v>
      </c>
      <c r="F77" s="4" t="s">
        <v>319</v>
      </c>
      <c r="G77" s="4" t="s">
        <v>46</v>
      </c>
      <c r="H77" s="4" t="s">
        <v>46</v>
      </c>
      <c r="I77" s="4" t="s">
        <v>46</v>
      </c>
      <c r="J77" s="4" t="s">
        <v>279</v>
      </c>
      <c r="K77" s="4" t="s">
        <v>280</v>
      </c>
      <c r="L77" s="3">
        <v>46054</v>
      </c>
      <c r="M77" s="4" t="s">
        <v>61</v>
      </c>
      <c r="N77" s="4" t="s">
        <v>46</v>
      </c>
      <c r="O77" s="4" t="s">
        <v>50</v>
      </c>
      <c r="P77" s="4" t="s">
        <v>178</v>
      </c>
      <c r="Q77" s="2">
        <v>1</v>
      </c>
      <c r="R77" s="2">
        <v>60</v>
      </c>
      <c r="S77" s="4" t="s">
        <v>281</v>
      </c>
      <c r="T77" s="4" t="s">
        <v>46</v>
      </c>
      <c r="U77" s="4" t="s">
        <v>46</v>
      </c>
      <c r="V77" s="5">
        <v>10</v>
      </c>
      <c r="W77" s="5">
        <v>-25.98</v>
      </c>
      <c r="X77" s="5">
        <v>100</v>
      </c>
      <c r="Y77" s="5">
        <v>-2.6</v>
      </c>
      <c r="Z77" s="4" t="s">
        <v>46</v>
      </c>
      <c r="AA77" s="5" t="s">
        <v>46</v>
      </c>
      <c r="AB77" s="4" t="s">
        <v>320</v>
      </c>
      <c r="AC77" s="4" t="s">
        <v>46</v>
      </c>
      <c r="AD77" s="5">
        <v>0</v>
      </c>
      <c r="AE77" s="4" t="s">
        <v>321</v>
      </c>
      <c r="AF77" s="3">
        <v>45689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46043</v>
      </c>
      <c r="C78" s="4" t="s">
        <v>322</v>
      </c>
      <c r="D78" s="2">
        <v>1755893</v>
      </c>
      <c r="E78" s="4" t="s">
        <v>323</v>
      </c>
      <c r="F78" s="4" t="s">
        <v>324</v>
      </c>
      <c r="G78" s="4" t="s">
        <v>46</v>
      </c>
      <c r="H78" s="4" t="s">
        <v>46</v>
      </c>
      <c r="I78" s="4" t="s">
        <v>46</v>
      </c>
      <c r="J78" s="4" t="s">
        <v>279</v>
      </c>
      <c r="K78" s="4" t="s">
        <v>280</v>
      </c>
      <c r="L78" s="3">
        <v>46054</v>
      </c>
      <c r="M78" s="4" t="s">
        <v>61</v>
      </c>
      <c r="N78" s="4" t="s">
        <v>46</v>
      </c>
      <c r="O78" s="4" t="s">
        <v>50</v>
      </c>
      <c r="P78" s="4" t="s">
        <v>178</v>
      </c>
      <c r="Q78" s="2">
        <v>1</v>
      </c>
      <c r="R78" s="2">
        <v>60</v>
      </c>
      <c r="S78" s="4" t="s">
        <v>281</v>
      </c>
      <c r="T78" s="4" t="s">
        <v>46</v>
      </c>
      <c r="U78" s="4" t="s">
        <v>46</v>
      </c>
      <c r="V78" s="5">
        <v>10</v>
      </c>
      <c r="W78" s="5">
        <v>12.99</v>
      </c>
      <c r="X78" s="5">
        <v>100</v>
      </c>
      <c r="Y78" s="5">
        <v>1.3</v>
      </c>
      <c r="Z78" s="4" t="s">
        <v>46</v>
      </c>
      <c r="AA78" s="5" t="s">
        <v>46</v>
      </c>
      <c r="AB78" s="4" t="s">
        <v>320</v>
      </c>
      <c r="AC78" s="4" t="s">
        <v>46</v>
      </c>
      <c r="AD78" s="5">
        <v>0</v>
      </c>
      <c r="AE78" s="4" t="s">
        <v>321</v>
      </c>
      <c r="AF78" s="3">
        <v>45748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46043</v>
      </c>
      <c r="C79" s="4" t="s">
        <v>322</v>
      </c>
      <c r="D79" s="2">
        <v>1755893</v>
      </c>
      <c r="E79" s="4" t="s">
        <v>325</v>
      </c>
      <c r="F79" s="4" t="s">
        <v>326</v>
      </c>
      <c r="G79" s="4" t="s">
        <v>46</v>
      </c>
      <c r="H79" s="4" t="s">
        <v>46</v>
      </c>
      <c r="I79" s="4" t="s">
        <v>46</v>
      </c>
      <c r="J79" s="4" t="s">
        <v>279</v>
      </c>
      <c r="K79" s="4" t="s">
        <v>280</v>
      </c>
      <c r="L79" s="3">
        <v>46054</v>
      </c>
      <c r="M79" s="4" t="s">
        <v>61</v>
      </c>
      <c r="N79" s="4" t="s">
        <v>46</v>
      </c>
      <c r="O79" s="4" t="s">
        <v>50</v>
      </c>
      <c r="P79" s="4" t="s">
        <v>178</v>
      </c>
      <c r="Q79" s="2">
        <v>1</v>
      </c>
      <c r="R79" s="2">
        <v>60</v>
      </c>
      <c r="S79" s="4" t="s">
        <v>281</v>
      </c>
      <c r="T79" s="4" t="s">
        <v>46</v>
      </c>
      <c r="U79" s="4" t="s">
        <v>46</v>
      </c>
      <c r="V79" s="5">
        <v>15</v>
      </c>
      <c r="W79" s="5">
        <v>12.99</v>
      </c>
      <c r="X79" s="5">
        <v>100</v>
      </c>
      <c r="Y79" s="5">
        <v>1.95</v>
      </c>
      <c r="Z79" s="4" t="s">
        <v>46</v>
      </c>
      <c r="AA79" s="5" t="s">
        <v>46</v>
      </c>
      <c r="AB79" s="4" t="s">
        <v>320</v>
      </c>
      <c r="AC79" s="4" t="s">
        <v>46</v>
      </c>
      <c r="AD79" s="5">
        <v>0</v>
      </c>
      <c r="AE79" s="4" t="s">
        <v>321</v>
      </c>
      <c r="AF79" s="3">
        <v>45945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46043</v>
      </c>
      <c r="C80" s="4" t="s">
        <v>322</v>
      </c>
      <c r="D80" s="2">
        <v>1755893</v>
      </c>
      <c r="E80" s="4" t="s">
        <v>327</v>
      </c>
      <c r="F80" s="4" t="s">
        <v>328</v>
      </c>
      <c r="G80" s="4" t="s">
        <v>46</v>
      </c>
      <c r="H80" s="4" t="s">
        <v>46</v>
      </c>
      <c r="I80" s="4" t="s">
        <v>46</v>
      </c>
      <c r="J80" s="4" t="s">
        <v>279</v>
      </c>
      <c r="K80" s="4" t="s">
        <v>280</v>
      </c>
      <c r="L80" s="3">
        <v>46054</v>
      </c>
      <c r="M80" s="4" t="s">
        <v>61</v>
      </c>
      <c r="N80" s="4" t="s">
        <v>46</v>
      </c>
      <c r="O80" s="4" t="s">
        <v>50</v>
      </c>
      <c r="P80" s="4" t="s">
        <v>178</v>
      </c>
      <c r="Q80" s="2">
        <v>1</v>
      </c>
      <c r="R80" s="2">
        <v>60</v>
      </c>
      <c r="S80" s="4" t="s">
        <v>281</v>
      </c>
      <c r="T80" s="4" t="s">
        <v>46</v>
      </c>
      <c r="U80" s="4" t="s">
        <v>46</v>
      </c>
      <c r="V80" s="5">
        <v>15</v>
      </c>
      <c r="W80" s="5">
        <v>12.99</v>
      </c>
      <c r="X80" s="5">
        <v>100</v>
      </c>
      <c r="Y80" s="5">
        <v>1.95</v>
      </c>
      <c r="Z80" s="4" t="s">
        <v>46</v>
      </c>
      <c r="AA80" s="5" t="s">
        <v>46</v>
      </c>
      <c r="AB80" s="4" t="s">
        <v>320</v>
      </c>
      <c r="AC80" s="4" t="s">
        <v>46</v>
      </c>
      <c r="AD80" s="5">
        <v>0</v>
      </c>
      <c r="AE80" s="4" t="s">
        <v>321</v>
      </c>
      <c r="AF80" s="3">
        <v>45962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46043</v>
      </c>
      <c r="C81" s="4" t="s">
        <v>322</v>
      </c>
      <c r="D81" s="2">
        <v>1755893</v>
      </c>
      <c r="E81" s="4" t="s">
        <v>329</v>
      </c>
      <c r="F81" s="4" t="s">
        <v>330</v>
      </c>
      <c r="G81" s="4" t="s">
        <v>46</v>
      </c>
      <c r="H81" s="4" t="s">
        <v>46</v>
      </c>
      <c r="I81" s="4" t="s">
        <v>46</v>
      </c>
      <c r="J81" s="4" t="s">
        <v>279</v>
      </c>
      <c r="K81" s="4" t="s">
        <v>280</v>
      </c>
      <c r="L81" s="3">
        <v>46054</v>
      </c>
      <c r="M81" s="4" t="s">
        <v>61</v>
      </c>
      <c r="N81" s="4" t="s">
        <v>46</v>
      </c>
      <c r="O81" s="4" t="s">
        <v>50</v>
      </c>
      <c r="P81" s="4" t="s">
        <v>178</v>
      </c>
      <c r="Q81" s="2">
        <v>2</v>
      </c>
      <c r="R81" s="2">
        <v>60</v>
      </c>
      <c r="S81" s="4" t="s">
        <v>281</v>
      </c>
      <c r="T81" s="4" t="s">
        <v>46</v>
      </c>
      <c r="U81" s="4" t="s">
        <v>46</v>
      </c>
      <c r="V81" s="5">
        <v>15</v>
      </c>
      <c r="W81" s="5">
        <v>23.99</v>
      </c>
      <c r="X81" s="5">
        <v>100</v>
      </c>
      <c r="Y81" s="5">
        <v>3.6</v>
      </c>
      <c r="Z81" s="4" t="s">
        <v>46</v>
      </c>
      <c r="AA81" s="5" t="s">
        <v>46</v>
      </c>
      <c r="AB81" s="4" t="s">
        <v>320</v>
      </c>
      <c r="AC81" s="4" t="s">
        <v>46</v>
      </c>
      <c r="AD81" s="5">
        <v>0</v>
      </c>
      <c r="AE81" s="4" t="s">
        <v>321</v>
      </c>
      <c r="AF81" s="3">
        <v>45962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46043</v>
      </c>
      <c r="C82" s="4" t="s">
        <v>322</v>
      </c>
      <c r="D82" s="2">
        <v>1755893</v>
      </c>
      <c r="E82" s="4" t="s">
        <v>331</v>
      </c>
      <c r="F82" s="4" t="s">
        <v>332</v>
      </c>
      <c r="G82" s="4" t="s">
        <v>46</v>
      </c>
      <c r="H82" s="4" t="s">
        <v>46</v>
      </c>
      <c r="I82" s="4" t="s">
        <v>46</v>
      </c>
      <c r="J82" s="4" t="s">
        <v>279</v>
      </c>
      <c r="K82" s="4" t="s">
        <v>280</v>
      </c>
      <c r="L82" s="3">
        <v>46054</v>
      </c>
      <c r="M82" s="4" t="s">
        <v>61</v>
      </c>
      <c r="N82" s="4" t="s">
        <v>46</v>
      </c>
      <c r="O82" s="4" t="s">
        <v>50</v>
      </c>
      <c r="P82" s="4" t="s">
        <v>178</v>
      </c>
      <c r="Q82" s="2">
        <v>2</v>
      </c>
      <c r="R82" s="2">
        <v>60</v>
      </c>
      <c r="S82" s="4" t="s">
        <v>281</v>
      </c>
      <c r="T82" s="4" t="s">
        <v>46</v>
      </c>
      <c r="U82" s="4" t="s">
        <v>46</v>
      </c>
      <c r="V82" s="5">
        <v>15</v>
      </c>
      <c r="W82" s="5">
        <v>23.99</v>
      </c>
      <c r="X82" s="5">
        <v>100</v>
      </c>
      <c r="Y82" s="5">
        <v>3.6</v>
      </c>
      <c r="Z82" s="4" t="s">
        <v>46</v>
      </c>
      <c r="AA82" s="5" t="s">
        <v>46</v>
      </c>
      <c r="AB82" s="4" t="s">
        <v>320</v>
      </c>
      <c r="AC82" s="4" t="s">
        <v>46</v>
      </c>
      <c r="AD82" s="5">
        <v>0</v>
      </c>
      <c r="AE82" s="4" t="s">
        <v>321</v>
      </c>
      <c r="AF82" s="3">
        <v>45962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46043</v>
      </c>
      <c r="C83" s="4" t="s">
        <v>322</v>
      </c>
      <c r="D83" s="2">
        <v>1755893</v>
      </c>
      <c r="E83" s="4" t="s">
        <v>333</v>
      </c>
      <c r="F83" s="4" t="s">
        <v>334</v>
      </c>
      <c r="G83" s="4" t="s">
        <v>46</v>
      </c>
      <c r="H83" s="4" t="s">
        <v>46</v>
      </c>
      <c r="I83" s="4" t="s">
        <v>46</v>
      </c>
      <c r="J83" s="4" t="s">
        <v>279</v>
      </c>
      <c r="K83" s="4" t="s">
        <v>280</v>
      </c>
      <c r="L83" s="3">
        <v>46054</v>
      </c>
      <c r="M83" s="4" t="s">
        <v>61</v>
      </c>
      <c r="N83" s="4" t="s">
        <v>46</v>
      </c>
      <c r="O83" s="4" t="s">
        <v>50</v>
      </c>
      <c r="P83" s="4" t="s">
        <v>178</v>
      </c>
      <c r="Q83" s="2">
        <v>3</v>
      </c>
      <c r="R83" s="2">
        <v>60</v>
      </c>
      <c r="S83" s="4" t="s">
        <v>281</v>
      </c>
      <c r="T83" s="4" t="s">
        <v>46</v>
      </c>
      <c r="U83" s="4" t="s">
        <v>46</v>
      </c>
      <c r="V83" s="5">
        <v>15</v>
      </c>
      <c r="W83" s="5">
        <v>36.99</v>
      </c>
      <c r="X83" s="5">
        <v>100</v>
      </c>
      <c r="Y83" s="5">
        <v>5.55</v>
      </c>
      <c r="Z83" s="4" t="s">
        <v>46</v>
      </c>
      <c r="AA83" s="5" t="s">
        <v>46</v>
      </c>
      <c r="AB83" s="4" t="s">
        <v>320</v>
      </c>
      <c r="AC83" s="4" t="s">
        <v>46</v>
      </c>
      <c r="AD83" s="5">
        <v>0</v>
      </c>
      <c r="AE83" s="4" t="s">
        <v>321</v>
      </c>
      <c r="AF83" s="3">
        <v>45962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46043</v>
      </c>
      <c r="C84" s="4" t="s">
        <v>322</v>
      </c>
      <c r="D84" s="2">
        <v>1755893</v>
      </c>
      <c r="E84" s="4" t="s">
        <v>335</v>
      </c>
      <c r="F84" s="4" t="s">
        <v>336</v>
      </c>
      <c r="G84" s="4" t="s">
        <v>46</v>
      </c>
      <c r="H84" s="4" t="s">
        <v>46</v>
      </c>
      <c r="I84" s="4" t="s">
        <v>46</v>
      </c>
      <c r="J84" s="4" t="s">
        <v>279</v>
      </c>
      <c r="K84" s="4" t="s">
        <v>280</v>
      </c>
      <c r="L84" s="3">
        <v>46054</v>
      </c>
      <c r="M84" s="4" t="s">
        <v>61</v>
      </c>
      <c r="N84" s="4" t="s">
        <v>46</v>
      </c>
      <c r="O84" s="4" t="s">
        <v>50</v>
      </c>
      <c r="P84" s="4" t="s">
        <v>178</v>
      </c>
      <c r="Q84" s="2">
        <v>1</v>
      </c>
      <c r="R84" s="2">
        <v>60</v>
      </c>
      <c r="S84" s="4" t="s">
        <v>281</v>
      </c>
      <c r="T84" s="4" t="s">
        <v>46</v>
      </c>
      <c r="U84" s="4" t="s">
        <v>46</v>
      </c>
      <c r="V84" s="5">
        <v>15</v>
      </c>
      <c r="W84" s="5">
        <v>12.99</v>
      </c>
      <c r="X84" s="5">
        <v>100</v>
      </c>
      <c r="Y84" s="5">
        <v>1.95</v>
      </c>
      <c r="Z84" s="4" t="s">
        <v>46</v>
      </c>
      <c r="AA84" s="5" t="s">
        <v>46</v>
      </c>
      <c r="AB84" s="4" t="s">
        <v>320</v>
      </c>
      <c r="AC84" s="4" t="s">
        <v>46</v>
      </c>
      <c r="AD84" s="5">
        <v>0</v>
      </c>
      <c r="AE84" s="4" t="s">
        <v>321</v>
      </c>
      <c r="AF84" s="3">
        <v>45965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46043</v>
      </c>
      <c r="C85" s="4" t="s">
        <v>322</v>
      </c>
      <c r="D85" s="2">
        <v>1755893</v>
      </c>
      <c r="E85" s="4" t="s">
        <v>337</v>
      </c>
      <c r="F85" s="4" t="s">
        <v>338</v>
      </c>
      <c r="G85" s="4" t="s">
        <v>46</v>
      </c>
      <c r="H85" s="4" t="s">
        <v>46</v>
      </c>
      <c r="I85" s="4" t="s">
        <v>46</v>
      </c>
      <c r="J85" s="4" t="s">
        <v>279</v>
      </c>
      <c r="K85" s="4" t="s">
        <v>280</v>
      </c>
      <c r="L85" s="3">
        <v>46054</v>
      </c>
      <c r="M85" s="4" t="s">
        <v>61</v>
      </c>
      <c r="N85" s="4" t="s">
        <v>46</v>
      </c>
      <c r="O85" s="4" t="s">
        <v>50</v>
      </c>
      <c r="P85" s="4" t="s">
        <v>178</v>
      </c>
      <c r="Q85" s="2">
        <v>2</v>
      </c>
      <c r="R85" s="2">
        <v>60</v>
      </c>
      <c r="S85" s="4" t="s">
        <v>281</v>
      </c>
      <c r="T85" s="4" t="s">
        <v>46</v>
      </c>
      <c r="U85" s="4" t="s">
        <v>46</v>
      </c>
      <c r="V85" s="5">
        <v>15</v>
      </c>
      <c r="W85" s="5">
        <v>23.99</v>
      </c>
      <c r="X85" s="5">
        <v>100</v>
      </c>
      <c r="Y85" s="5">
        <v>3.6</v>
      </c>
      <c r="Z85" s="4" t="s">
        <v>46</v>
      </c>
      <c r="AA85" s="5" t="s">
        <v>46</v>
      </c>
      <c r="AB85" s="4" t="s">
        <v>320</v>
      </c>
      <c r="AC85" s="4" t="s">
        <v>46</v>
      </c>
      <c r="AD85" s="5">
        <v>0</v>
      </c>
      <c r="AE85" s="4" t="s">
        <v>321</v>
      </c>
      <c r="AF85" s="3">
        <v>45992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46043</v>
      </c>
      <c r="C86" s="4" t="s">
        <v>339</v>
      </c>
      <c r="D86" s="2">
        <v>1758433</v>
      </c>
      <c r="E86" s="4" t="s">
        <v>340</v>
      </c>
      <c r="F86" s="4" t="s">
        <v>341</v>
      </c>
      <c r="G86" s="4" t="s">
        <v>46</v>
      </c>
      <c r="H86" s="4" t="s">
        <v>46</v>
      </c>
      <c r="I86" s="4" t="s">
        <v>46</v>
      </c>
      <c r="J86" s="4" t="s">
        <v>279</v>
      </c>
      <c r="K86" s="4" t="s">
        <v>280</v>
      </c>
      <c r="L86" s="3">
        <v>46054</v>
      </c>
      <c r="M86" s="4" t="s">
        <v>61</v>
      </c>
      <c r="N86" s="4" t="s">
        <v>46</v>
      </c>
      <c r="O86" s="4" t="s">
        <v>50</v>
      </c>
      <c r="P86" s="4" t="s">
        <v>178</v>
      </c>
      <c r="Q86" s="2">
        <v>1</v>
      </c>
      <c r="R86" s="2">
        <v>3</v>
      </c>
      <c r="S86" s="4" t="s">
        <v>291</v>
      </c>
      <c r="T86" s="4" t="s">
        <v>46</v>
      </c>
      <c r="U86" s="4" t="s">
        <v>46</v>
      </c>
      <c r="V86" s="5">
        <v>15</v>
      </c>
      <c r="W86" s="5">
        <v>53.99</v>
      </c>
      <c r="X86" s="5">
        <v>100</v>
      </c>
      <c r="Y86" s="5">
        <v>8.1</v>
      </c>
      <c r="Z86" s="4" t="s">
        <v>46</v>
      </c>
      <c r="AA86" s="5" t="s">
        <v>46</v>
      </c>
      <c r="AB86" s="4" t="s">
        <v>320</v>
      </c>
      <c r="AC86" s="4" t="s">
        <v>46</v>
      </c>
      <c r="AD86" s="5">
        <v>0</v>
      </c>
      <c r="AE86" s="4" t="s">
        <v>321</v>
      </c>
      <c r="AF86" s="3">
        <v>45992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46043</v>
      </c>
      <c r="C87" s="4" t="s">
        <v>203</v>
      </c>
      <c r="D87" s="2">
        <v>1775329</v>
      </c>
      <c r="E87" s="4" t="s">
        <v>342</v>
      </c>
      <c r="F87" s="4" t="s">
        <v>343</v>
      </c>
      <c r="G87" s="4" t="s">
        <v>46</v>
      </c>
      <c r="H87" s="4" t="s">
        <v>46</v>
      </c>
      <c r="I87" s="4" t="s">
        <v>46</v>
      </c>
      <c r="J87" s="4" t="s">
        <v>295</v>
      </c>
      <c r="K87" s="4" t="s">
        <v>48</v>
      </c>
      <c r="L87" s="3">
        <v>45992</v>
      </c>
      <c r="M87" s="4" t="s">
        <v>344</v>
      </c>
      <c r="N87" s="4" t="s">
        <v>46</v>
      </c>
      <c r="O87" s="4" t="s">
        <v>50</v>
      </c>
      <c r="P87" s="4" t="s">
        <v>178</v>
      </c>
      <c r="Q87" s="2">
        <v>1</v>
      </c>
      <c r="R87" s="2">
        <v>17</v>
      </c>
      <c r="S87" s="4" t="s">
        <v>51</v>
      </c>
      <c r="T87" s="4" t="s">
        <v>46</v>
      </c>
      <c r="U87" s="4" t="s">
        <v>46</v>
      </c>
      <c r="V87" s="5">
        <v>15</v>
      </c>
      <c r="W87" s="5">
        <v>1941.36</v>
      </c>
      <c r="X87" s="5">
        <v>100</v>
      </c>
      <c r="Y87" s="5">
        <v>291.24</v>
      </c>
      <c r="Z87" s="5">
        <v>0</v>
      </c>
      <c r="AA87" s="5">
        <v>0</v>
      </c>
      <c r="AB87" s="4" t="s">
        <v>296</v>
      </c>
      <c r="AC87" s="4" t="s">
        <v>46</v>
      </c>
      <c r="AD87" s="5">
        <v>0</v>
      </c>
      <c r="AE87" s="4" t="s">
        <v>297</v>
      </c>
      <c r="AF87" s="3">
        <v>45992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46043</v>
      </c>
      <c r="C88" s="4" t="s">
        <v>345</v>
      </c>
      <c r="D88" s="2">
        <v>1831491</v>
      </c>
      <c r="E88" s="4" t="s">
        <v>346</v>
      </c>
      <c r="F88" s="4" t="s">
        <v>347</v>
      </c>
      <c r="G88" s="4" t="s">
        <v>46</v>
      </c>
      <c r="H88" s="4" t="s">
        <v>46</v>
      </c>
      <c r="I88" s="4" t="s">
        <v>46</v>
      </c>
      <c r="J88" s="4" t="s">
        <v>279</v>
      </c>
      <c r="K88" s="4" t="s">
        <v>280</v>
      </c>
      <c r="L88" s="3">
        <v>46054</v>
      </c>
      <c r="M88" s="4" t="s">
        <v>61</v>
      </c>
      <c r="N88" s="4" t="s">
        <v>46</v>
      </c>
      <c r="O88" s="4" t="s">
        <v>50</v>
      </c>
      <c r="P88" s="4" t="s">
        <v>178</v>
      </c>
      <c r="Q88" s="2">
        <v>1</v>
      </c>
      <c r="R88" s="2">
        <v>60</v>
      </c>
      <c r="S88" s="4" t="s">
        <v>281</v>
      </c>
      <c r="T88" s="4" t="s">
        <v>46</v>
      </c>
      <c r="U88" s="4" t="s">
        <v>46</v>
      </c>
      <c r="V88" s="5">
        <v>10</v>
      </c>
      <c r="W88" s="5">
        <v>0</v>
      </c>
      <c r="X88" s="5">
        <v>100</v>
      </c>
      <c r="Y88" s="5">
        <v>-35</v>
      </c>
      <c r="Z88" s="4" t="s">
        <v>46</v>
      </c>
      <c r="AA88" s="5" t="s">
        <v>46</v>
      </c>
      <c r="AB88" s="4" t="s">
        <v>320</v>
      </c>
      <c r="AC88" s="4" t="s">
        <v>46</v>
      </c>
      <c r="AD88" s="5">
        <v>0</v>
      </c>
      <c r="AE88" s="4" t="s">
        <v>321</v>
      </c>
      <c r="AF88" s="3">
        <v>45991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46043</v>
      </c>
      <c r="C89" s="4" t="s">
        <v>345</v>
      </c>
      <c r="D89" s="2">
        <v>1831491</v>
      </c>
      <c r="E89" s="4" t="s">
        <v>348</v>
      </c>
      <c r="F89" s="4" t="s">
        <v>349</v>
      </c>
      <c r="G89" s="4" t="s">
        <v>46</v>
      </c>
      <c r="H89" s="4" t="s">
        <v>46</v>
      </c>
      <c r="I89" s="4" t="s">
        <v>46</v>
      </c>
      <c r="J89" s="4" t="s">
        <v>279</v>
      </c>
      <c r="K89" s="4" t="s">
        <v>280</v>
      </c>
      <c r="L89" s="3">
        <v>46054</v>
      </c>
      <c r="M89" s="4" t="s">
        <v>61</v>
      </c>
      <c r="N89" s="4" t="s">
        <v>46</v>
      </c>
      <c r="O89" s="4" t="s">
        <v>50</v>
      </c>
      <c r="P89" s="4" t="s">
        <v>178</v>
      </c>
      <c r="Q89" s="2">
        <v>1</v>
      </c>
      <c r="R89" s="2">
        <v>60</v>
      </c>
      <c r="S89" s="4" t="s">
        <v>281</v>
      </c>
      <c r="T89" s="4" t="s">
        <v>46</v>
      </c>
      <c r="U89" s="4" t="s">
        <v>46</v>
      </c>
      <c r="V89" s="5">
        <v>15</v>
      </c>
      <c r="W89" s="5">
        <v>14.93</v>
      </c>
      <c r="X89" s="5">
        <v>100</v>
      </c>
      <c r="Y89" s="5">
        <v>2.2400000000000002</v>
      </c>
      <c r="Z89" s="4" t="s">
        <v>46</v>
      </c>
      <c r="AA89" s="5" t="s">
        <v>46</v>
      </c>
      <c r="AB89" s="4" t="s">
        <v>320</v>
      </c>
      <c r="AC89" s="4" t="s">
        <v>46</v>
      </c>
      <c r="AD89" s="5">
        <v>0</v>
      </c>
      <c r="AE89" s="4" t="s">
        <v>321</v>
      </c>
      <c r="AF89" s="3">
        <v>46023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46043</v>
      </c>
      <c r="C90" s="4" t="s">
        <v>345</v>
      </c>
      <c r="D90" s="2">
        <v>1831491</v>
      </c>
      <c r="E90" s="4" t="s">
        <v>350</v>
      </c>
      <c r="F90" s="4" t="s">
        <v>351</v>
      </c>
      <c r="G90" s="4" t="s">
        <v>46</v>
      </c>
      <c r="H90" s="4" t="s">
        <v>46</v>
      </c>
      <c r="I90" s="4" t="s">
        <v>46</v>
      </c>
      <c r="J90" s="4" t="s">
        <v>279</v>
      </c>
      <c r="K90" s="4" t="s">
        <v>280</v>
      </c>
      <c r="L90" s="3">
        <v>46054</v>
      </c>
      <c r="M90" s="4" t="s">
        <v>61</v>
      </c>
      <c r="N90" s="4" t="s">
        <v>46</v>
      </c>
      <c r="O90" s="4" t="s">
        <v>50</v>
      </c>
      <c r="P90" s="4" t="s">
        <v>178</v>
      </c>
      <c r="Q90" s="2">
        <v>2</v>
      </c>
      <c r="R90" s="2">
        <v>60</v>
      </c>
      <c r="S90" s="4" t="s">
        <v>281</v>
      </c>
      <c r="T90" s="4" t="s">
        <v>46</v>
      </c>
      <c r="U90" s="4" t="s">
        <v>46</v>
      </c>
      <c r="V90" s="5">
        <v>15</v>
      </c>
      <c r="W90" s="5">
        <v>26.88</v>
      </c>
      <c r="X90" s="5">
        <v>100</v>
      </c>
      <c r="Y90" s="5">
        <v>4.03</v>
      </c>
      <c r="Z90" s="4" t="s">
        <v>46</v>
      </c>
      <c r="AA90" s="5" t="s">
        <v>46</v>
      </c>
      <c r="AB90" s="4" t="s">
        <v>320</v>
      </c>
      <c r="AC90" s="4" t="s">
        <v>46</v>
      </c>
      <c r="AD90" s="5">
        <v>0</v>
      </c>
      <c r="AE90" s="4" t="s">
        <v>321</v>
      </c>
      <c r="AF90" s="3">
        <v>46023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46043</v>
      </c>
      <c r="C91" s="4" t="s">
        <v>345</v>
      </c>
      <c r="D91" s="2">
        <v>1831491</v>
      </c>
      <c r="E91" s="4" t="s">
        <v>352</v>
      </c>
      <c r="F91" s="4" t="s">
        <v>353</v>
      </c>
      <c r="G91" s="4" t="s">
        <v>46</v>
      </c>
      <c r="H91" s="4" t="s">
        <v>46</v>
      </c>
      <c r="I91" s="4" t="s">
        <v>46</v>
      </c>
      <c r="J91" s="4" t="s">
        <v>279</v>
      </c>
      <c r="K91" s="4" t="s">
        <v>280</v>
      </c>
      <c r="L91" s="3">
        <v>46054</v>
      </c>
      <c r="M91" s="4" t="s">
        <v>61</v>
      </c>
      <c r="N91" s="4" t="s">
        <v>46</v>
      </c>
      <c r="O91" s="4" t="s">
        <v>50</v>
      </c>
      <c r="P91" s="4" t="s">
        <v>178</v>
      </c>
      <c r="Q91" s="2">
        <v>1</v>
      </c>
      <c r="R91" s="2">
        <v>60</v>
      </c>
      <c r="S91" s="4" t="s">
        <v>281</v>
      </c>
      <c r="T91" s="4" t="s">
        <v>46</v>
      </c>
      <c r="U91" s="4" t="s">
        <v>46</v>
      </c>
      <c r="V91" s="5">
        <v>15</v>
      </c>
      <c r="W91" s="5">
        <v>14.93</v>
      </c>
      <c r="X91" s="5">
        <v>100</v>
      </c>
      <c r="Y91" s="5">
        <v>2.2400000000000002</v>
      </c>
      <c r="Z91" s="4" t="s">
        <v>46</v>
      </c>
      <c r="AA91" s="5" t="s">
        <v>46</v>
      </c>
      <c r="AB91" s="4" t="s">
        <v>320</v>
      </c>
      <c r="AC91" s="4" t="s">
        <v>46</v>
      </c>
      <c r="AD91" s="5">
        <v>0</v>
      </c>
      <c r="AE91" s="4" t="s">
        <v>321</v>
      </c>
      <c r="AF91" s="3">
        <v>46023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46043</v>
      </c>
      <c r="C92" s="4" t="s">
        <v>345</v>
      </c>
      <c r="D92" s="2">
        <v>1831491</v>
      </c>
      <c r="E92" s="4" t="s">
        <v>354</v>
      </c>
      <c r="F92" s="4" t="s">
        <v>355</v>
      </c>
      <c r="G92" s="4" t="s">
        <v>46</v>
      </c>
      <c r="H92" s="4" t="s">
        <v>46</v>
      </c>
      <c r="I92" s="4" t="s">
        <v>46</v>
      </c>
      <c r="J92" s="4" t="s">
        <v>279</v>
      </c>
      <c r="K92" s="4" t="s">
        <v>280</v>
      </c>
      <c r="L92" s="3">
        <v>46054</v>
      </c>
      <c r="M92" s="4" t="s">
        <v>61</v>
      </c>
      <c r="N92" s="4" t="s">
        <v>46</v>
      </c>
      <c r="O92" s="4" t="s">
        <v>50</v>
      </c>
      <c r="P92" s="4" t="s">
        <v>178</v>
      </c>
      <c r="Q92" s="2">
        <v>1</v>
      </c>
      <c r="R92" s="2">
        <v>60</v>
      </c>
      <c r="S92" s="4" t="s">
        <v>281</v>
      </c>
      <c r="T92" s="4" t="s">
        <v>46</v>
      </c>
      <c r="U92" s="4" t="s">
        <v>46</v>
      </c>
      <c r="V92" s="5">
        <v>15</v>
      </c>
      <c r="W92" s="5">
        <v>14.93</v>
      </c>
      <c r="X92" s="5">
        <v>100</v>
      </c>
      <c r="Y92" s="5">
        <v>2.2400000000000002</v>
      </c>
      <c r="Z92" s="4" t="s">
        <v>46</v>
      </c>
      <c r="AA92" s="5" t="s">
        <v>46</v>
      </c>
      <c r="AB92" s="4" t="s">
        <v>320</v>
      </c>
      <c r="AC92" s="4" t="s">
        <v>46</v>
      </c>
      <c r="AD92" s="5">
        <v>0</v>
      </c>
      <c r="AE92" s="4" t="s">
        <v>321</v>
      </c>
      <c r="AF92" s="3">
        <v>46023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46043</v>
      </c>
      <c r="C93" s="4" t="s">
        <v>345</v>
      </c>
      <c r="D93" s="2">
        <v>1831491</v>
      </c>
      <c r="E93" s="4" t="s">
        <v>356</v>
      </c>
      <c r="F93" s="4" t="s">
        <v>357</v>
      </c>
      <c r="G93" s="4" t="s">
        <v>46</v>
      </c>
      <c r="H93" s="4" t="s">
        <v>46</v>
      </c>
      <c r="I93" s="4" t="s">
        <v>46</v>
      </c>
      <c r="J93" s="4" t="s">
        <v>279</v>
      </c>
      <c r="K93" s="4" t="s">
        <v>280</v>
      </c>
      <c r="L93" s="3">
        <v>46054</v>
      </c>
      <c r="M93" s="4" t="s">
        <v>61</v>
      </c>
      <c r="N93" s="4" t="s">
        <v>46</v>
      </c>
      <c r="O93" s="4" t="s">
        <v>50</v>
      </c>
      <c r="P93" s="4" t="s">
        <v>178</v>
      </c>
      <c r="Q93" s="2">
        <v>1</v>
      </c>
      <c r="R93" s="2">
        <v>60</v>
      </c>
      <c r="S93" s="4" t="s">
        <v>281</v>
      </c>
      <c r="T93" s="4" t="s">
        <v>46</v>
      </c>
      <c r="U93" s="4" t="s">
        <v>46</v>
      </c>
      <c r="V93" s="5">
        <v>15</v>
      </c>
      <c r="W93" s="5">
        <v>14.93</v>
      </c>
      <c r="X93" s="5">
        <v>100</v>
      </c>
      <c r="Y93" s="5">
        <v>2.2400000000000002</v>
      </c>
      <c r="Z93" s="4" t="s">
        <v>46</v>
      </c>
      <c r="AA93" s="5" t="s">
        <v>46</v>
      </c>
      <c r="AB93" s="4" t="s">
        <v>320</v>
      </c>
      <c r="AC93" s="4" t="s">
        <v>46</v>
      </c>
      <c r="AD93" s="5">
        <v>0</v>
      </c>
      <c r="AE93" s="4" t="s">
        <v>321</v>
      </c>
      <c r="AF93" s="3">
        <v>46023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46043</v>
      </c>
      <c r="C94" s="4" t="s">
        <v>345</v>
      </c>
      <c r="D94" s="2">
        <v>1831491</v>
      </c>
      <c r="E94" s="4" t="s">
        <v>358</v>
      </c>
      <c r="F94" s="4" t="s">
        <v>359</v>
      </c>
      <c r="G94" s="4" t="s">
        <v>46</v>
      </c>
      <c r="H94" s="4" t="s">
        <v>46</v>
      </c>
      <c r="I94" s="4" t="s">
        <v>46</v>
      </c>
      <c r="J94" s="4" t="s">
        <v>279</v>
      </c>
      <c r="K94" s="4" t="s">
        <v>280</v>
      </c>
      <c r="L94" s="3">
        <v>46054</v>
      </c>
      <c r="M94" s="4" t="s">
        <v>61</v>
      </c>
      <c r="N94" s="4" t="s">
        <v>46</v>
      </c>
      <c r="O94" s="4" t="s">
        <v>50</v>
      </c>
      <c r="P94" s="4" t="s">
        <v>178</v>
      </c>
      <c r="Q94" s="2">
        <v>3</v>
      </c>
      <c r="R94" s="2">
        <v>60</v>
      </c>
      <c r="S94" s="4" t="s">
        <v>281</v>
      </c>
      <c r="T94" s="4" t="s">
        <v>46</v>
      </c>
      <c r="U94" s="4" t="s">
        <v>46</v>
      </c>
      <c r="V94" s="5">
        <v>15</v>
      </c>
      <c r="W94" s="5">
        <v>46.8</v>
      </c>
      <c r="X94" s="5">
        <v>100</v>
      </c>
      <c r="Y94" s="5">
        <v>7.02</v>
      </c>
      <c r="Z94" s="4" t="s">
        <v>46</v>
      </c>
      <c r="AA94" s="5" t="s">
        <v>46</v>
      </c>
      <c r="AB94" s="4" t="s">
        <v>320</v>
      </c>
      <c r="AC94" s="4" t="s">
        <v>46</v>
      </c>
      <c r="AD94" s="5">
        <v>0</v>
      </c>
      <c r="AE94" s="4" t="s">
        <v>321</v>
      </c>
      <c r="AF94" s="3">
        <v>46023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46043</v>
      </c>
      <c r="C95" s="4" t="s">
        <v>360</v>
      </c>
      <c r="D95" s="2">
        <v>1875462</v>
      </c>
      <c r="E95" s="4" t="s">
        <v>361</v>
      </c>
      <c r="F95" s="4" t="s">
        <v>362</v>
      </c>
      <c r="G95" s="4" t="s">
        <v>46</v>
      </c>
      <c r="H95" s="4" t="s">
        <v>46</v>
      </c>
      <c r="I95" s="4" t="s">
        <v>46</v>
      </c>
      <c r="J95" s="4" t="s">
        <v>295</v>
      </c>
      <c r="K95" s="4" t="s">
        <v>48</v>
      </c>
      <c r="L95" s="3">
        <v>46054</v>
      </c>
      <c r="M95" s="4" t="s">
        <v>61</v>
      </c>
      <c r="N95" s="4" t="s">
        <v>46</v>
      </c>
      <c r="O95" s="4" t="s">
        <v>178</v>
      </c>
      <c r="P95" s="4" t="s">
        <v>178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1</v>
      </c>
      <c r="W95" s="5">
        <v>124.54</v>
      </c>
      <c r="X95" s="5">
        <v>100</v>
      </c>
      <c r="Y95" s="5">
        <v>1.25</v>
      </c>
      <c r="Z95" s="5">
        <v>0</v>
      </c>
      <c r="AA95" s="5">
        <v>0</v>
      </c>
      <c r="AB95" s="4" t="s">
        <v>308</v>
      </c>
      <c r="AC95" s="4" t="s">
        <v>46</v>
      </c>
      <c r="AD95" s="5">
        <v>0</v>
      </c>
      <c r="AE95" s="4" t="s">
        <v>309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EAE9-1B34-49F7-AB38-74C7F577C2C9}">
  <dimension ref="A1:AR95"/>
  <sheetViews>
    <sheetView tabSelected="1" topLeftCell="A31" zoomScaleNormal="100" workbookViewId="0">
      <selection activeCell="A2" sqref="A2:XFD95"/>
    </sheetView>
  </sheetViews>
  <sheetFormatPr defaultRowHeight="12.75" x14ac:dyDescent="0.2"/>
  <cols>
    <col min="1" max="1" width="24.7109375" bestFit="1" customWidth="1"/>
    <col min="2" max="2" width="17.28515625" customWidth="1"/>
    <col min="3" max="3" width="14.85546875" customWidth="1"/>
    <col min="4" max="4" width="13.28515625" bestFit="1" customWidth="1"/>
    <col min="5" max="6" width="11.42578125" bestFit="1" customWidth="1"/>
    <col min="7" max="7" width="10.42578125" bestFit="1" customWidth="1"/>
    <col min="8" max="8" width="11.5703125" customWidth="1"/>
    <col min="9" max="9" width="7.140625" customWidth="1"/>
    <col min="10" max="10" width="7.28515625" customWidth="1"/>
    <col min="11" max="11" width="8.28515625" customWidth="1"/>
    <col min="12" max="12" width="8.7109375" customWidth="1"/>
    <col min="13" max="13" width="29.140625" customWidth="1"/>
    <col min="14" max="14" width="13.7109375" bestFit="1" customWidth="1"/>
    <col min="15" max="15" width="52.42578125" bestFit="1" customWidth="1"/>
    <col min="16" max="16" width="22.5703125" bestFit="1" customWidth="1"/>
    <col min="18" max="18" width="13.42578125" bestFit="1" customWidth="1"/>
    <col min="19" max="19" width="15.42578125" bestFit="1" customWidth="1"/>
    <col min="20" max="20" width="28.5703125" bestFit="1" customWidth="1"/>
    <col min="21" max="21" width="14.28515625" bestFit="1" customWidth="1"/>
    <col min="22" max="22" width="20.8554687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4" s="9" customFormat="1" x14ac:dyDescent="0.2">
      <c r="A2" s="4" t="s">
        <v>208</v>
      </c>
      <c r="B2">
        <v>19396223</v>
      </c>
      <c r="C2" s="4" t="s">
        <v>209</v>
      </c>
      <c r="D2" s="4" t="s">
        <v>210</v>
      </c>
      <c r="E2" s="3">
        <v>46054</v>
      </c>
      <c r="F2" s="4" t="s">
        <v>61</v>
      </c>
      <c r="G2" s="4" t="s">
        <v>50</v>
      </c>
      <c r="H2" s="4" t="s">
        <v>51</v>
      </c>
      <c r="I2" s="4" t="s">
        <v>52</v>
      </c>
      <c r="J2" s="5">
        <v>0.92</v>
      </c>
      <c r="K2" s="5">
        <v>1</v>
      </c>
      <c r="L2" s="5">
        <v>318.08</v>
      </c>
      <c r="M2" s="4" t="s">
        <v>53</v>
      </c>
      <c r="N2" s="3">
        <v>46054</v>
      </c>
      <c r="O2" t="s">
        <v>371</v>
      </c>
      <c r="P2" s="18" t="s">
        <v>372</v>
      </c>
      <c r="Q2"/>
      <c r="R2" s="4" t="s">
        <v>210</v>
      </c>
      <c r="S2" t="str">
        <f>CONCATENATE(R2,66)</f>
        <v>00025970163K66</v>
      </c>
      <c r="T2" s="4" t="s">
        <v>519</v>
      </c>
      <c r="U2" t="s">
        <v>520</v>
      </c>
      <c r="V2" t="str">
        <f>CONCATENATE(U2," ",T2)</f>
        <v>VICTOR LADO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s="13" customFormat="1" x14ac:dyDescent="0.2">
      <c r="A3" s="4" t="s">
        <v>230</v>
      </c>
      <c r="B3">
        <v>19491313</v>
      </c>
      <c r="C3" s="4" t="s">
        <v>231</v>
      </c>
      <c r="D3" s="4" t="s">
        <v>232</v>
      </c>
      <c r="E3" s="3">
        <v>46054</v>
      </c>
      <c r="F3" s="4" t="s">
        <v>61</v>
      </c>
      <c r="G3" s="4" t="s">
        <v>50</v>
      </c>
      <c r="H3" s="4" t="s">
        <v>51</v>
      </c>
      <c r="I3" s="4" t="s">
        <v>52</v>
      </c>
      <c r="J3" s="5">
        <v>0.92</v>
      </c>
      <c r="K3" s="5">
        <v>1</v>
      </c>
      <c r="L3" s="5">
        <v>318.08</v>
      </c>
      <c r="M3" s="4" t="s">
        <v>53</v>
      </c>
      <c r="N3" s="3">
        <v>46054</v>
      </c>
      <c r="O3" t="s">
        <v>371</v>
      </c>
      <c r="P3" s="18" t="s">
        <v>372</v>
      </c>
      <c r="Q3"/>
      <c r="R3" s="4" t="s">
        <v>232</v>
      </c>
      <c r="S3" t="str">
        <f>CONCATENATE(R3,66)</f>
        <v>00025927756K66</v>
      </c>
      <c r="T3" s="4" t="s">
        <v>526</v>
      </c>
      <c r="U3" t="s">
        <v>488</v>
      </c>
      <c r="V3" t="str">
        <f>CONCATENATE(U3," ",T3)</f>
        <v>JAMES GREENAWALT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9" customFormat="1" x14ac:dyDescent="0.2">
      <c r="A4" s="4" t="s">
        <v>272</v>
      </c>
      <c r="B4">
        <v>21435997</v>
      </c>
      <c r="C4" s="4" t="s">
        <v>273</v>
      </c>
      <c r="D4" s="4" t="s">
        <v>274</v>
      </c>
      <c r="E4" s="3">
        <v>46023</v>
      </c>
      <c r="F4" s="4" t="s">
        <v>49</v>
      </c>
      <c r="G4" s="4" t="s">
        <v>50</v>
      </c>
      <c r="H4" s="4" t="s">
        <v>51</v>
      </c>
      <c r="I4" s="4" t="s">
        <v>52</v>
      </c>
      <c r="J4" s="5">
        <v>0</v>
      </c>
      <c r="K4" s="5">
        <v>-1</v>
      </c>
      <c r="L4" s="5">
        <v>-318.08999999999997</v>
      </c>
      <c r="M4" s="4" t="s">
        <v>161</v>
      </c>
      <c r="N4" s="3">
        <v>46023</v>
      </c>
      <c r="O4" t="s">
        <v>371</v>
      </c>
      <c r="P4" s="18" t="s">
        <v>372</v>
      </c>
      <c r="Q4">
        <f>347/12*11</f>
        <v>318.08333333333337</v>
      </c>
      <c r="R4" s="4" t="s">
        <v>274</v>
      </c>
      <c r="S4" t="str">
        <f>CONCATENATE(R4,66)</f>
        <v>00019862313K66</v>
      </c>
      <c r="T4" s="4" t="s">
        <v>449</v>
      </c>
      <c r="U4" t="s">
        <v>452</v>
      </c>
      <c r="V4" t="str">
        <f>CONCATENATE(U4," ",T4)</f>
        <v>BRUNHILDE WILSON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17" customFormat="1" x14ac:dyDescent="0.2">
      <c r="A5" s="4" t="s">
        <v>272</v>
      </c>
      <c r="B5">
        <v>21435997</v>
      </c>
      <c r="C5" s="4" t="s">
        <v>273</v>
      </c>
      <c r="D5" s="4" t="s">
        <v>274</v>
      </c>
      <c r="E5" s="3">
        <v>46023</v>
      </c>
      <c r="F5" s="4" t="s">
        <v>49</v>
      </c>
      <c r="G5" s="4" t="s">
        <v>50</v>
      </c>
      <c r="H5" s="4" t="s">
        <v>51</v>
      </c>
      <c r="I5" s="4" t="s">
        <v>52</v>
      </c>
      <c r="J5" s="5">
        <v>-0.92</v>
      </c>
      <c r="K5" s="5">
        <v>-1</v>
      </c>
      <c r="L5" s="5">
        <v>-318.08</v>
      </c>
      <c r="M5" s="4" t="s">
        <v>53</v>
      </c>
      <c r="N5" s="3">
        <v>46023</v>
      </c>
      <c r="O5" t="s">
        <v>371</v>
      </c>
      <c r="P5" s="18" t="s">
        <v>372</v>
      </c>
      <c r="Q5"/>
      <c r="R5" s="4" t="s">
        <v>274</v>
      </c>
      <c r="S5" t="str">
        <f>CONCATENATE(R5,66)</f>
        <v>00019862313K66</v>
      </c>
      <c r="T5" s="4" t="s">
        <v>449</v>
      </c>
      <c r="U5" t="s">
        <v>452</v>
      </c>
      <c r="V5" t="str">
        <f>CONCATENATE(U5," ",T5)</f>
        <v>BRUNHILDE WILSON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17" customFormat="1" x14ac:dyDescent="0.2">
      <c r="A6" s="4" t="s">
        <v>72</v>
      </c>
      <c r="B6">
        <v>7470776</v>
      </c>
      <c r="C6" s="4" t="s">
        <v>73</v>
      </c>
      <c r="D6" s="4" t="s">
        <v>74</v>
      </c>
      <c r="E6" s="3">
        <v>46054</v>
      </c>
      <c r="F6" s="4" t="s">
        <v>61</v>
      </c>
      <c r="G6" s="4" t="s">
        <v>50</v>
      </c>
      <c r="H6" s="4" t="s">
        <v>51</v>
      </c>
      <c r="I6" s="4" t="s">
        <v>52</v>
      </c>
      <c r="J6" s="5">
        <v>0.92</v>
      </c>
      <c r="K6" s="5">
        <v>1</v>
      </c>
      <c r="L6" s="5">
        <v>318.08</v>
      </c>
      <c r="M6" s="4" t="s">
        <v>53</v>
      </c>
      <c r="N6" s="3">
        <v>46054</v>
      </c>
      <c r="O6" t="s">
        <v>371</v>
      </c>
      <c r="P6" s="18" t="s">
        <v>372</v>
      </c>
      <c r="Q6"/>
      <c r="R6" s="4" t="s">
        <v>74</v>
      </c>
      <c r="S6" t="str">
        <f>CONCATENATE(R6,66)</f>
        <v>00025960130K66</v>
      </c>
      <c r="T6" s="4" t="s">
        <v>487</v>
      </c>
      <c r="U6" t="s">
        <v>488</v>
      </c>
      <c r="V6" t="str">
        <f>CONCATENATE(U6," ",T6)</f>
        <v>JAMES TEHAN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17" customFormat="1" x14ac:dyDescent="0.2">
      <c r="A7" s="6" t="s">
        <v>276</v>
      </c>
      <c r="B7" s="9">
        <v>8244481</v>
      </c>
      <c r="C7" s="6" t="s">
        <v>277</v>
      </c>
      <c r="D7" s="6" t="s">
        <v>278</v>
      </c>
      <c r="E7" s="7">
        <v>46054</v>
      </c>
      <c r="F7" s="6" t="s">
        <v>61</v>
      </c>
      <c r="G7" s="6" t="s">
        <v>178</v>
      </c>
      <c r="H7" s="6" t="s">
        <v>281</v>
      </c>
      <c r="I7" s="6" t="s">
        <v>46</v>
      </c>
      <c r="J7" s="8">
        <v>10</v>
      </c>
      <c r="K7" s="8">
        <v>26.88</v>
      </c>
      <c r="L7" s="8">
        <v>2.69</v>
      </c>
      <c r="M7" s="6" t="s">
        <v>282</v>
      </c>
      <c r="N7" s="7">
        <v>45276</v>
      </c>
      <c r="O7" s="9" t="s">
        <v>363</v>
      </c>
      <c r="P7" s="9"/>
      <c r="Q7" s="9"/>
      <c r="R7" s="24">
        <v>9028205190</v>
      </c>
      <c r="S7" s="9" t="str">
        <f>CONCATENATE(R7,4)</f>
        <v>90282051904</v>
      </c>
      <c r="T7" s="6" t="s">
        <v>408</v>
      </c>
      <c r="U7" s="9" t="s">
        <v>409</v>
      </c>
      <c r="V7" t="str">
        <f>CONCATENATE(U7," ",T7)</f>
        <v>Joseph Elliott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s="17" customFormat="1" x14ac:dyDescent="0.2">
      <c r="A8" s="4" t="s">
        <v>145</v>
      </c>
      <c r="B8">
        <v>17126004</v>
      </c>
      <c r="C8" s="4" t="s">
        <v>146</v>
      </c>
      <c r="D8" s="4" t="s">
        <v>147</v>
      </c>
      <c r="E8" s="3">
        <v>46054</v>
      </c>
      <c r="F8" s="4" t="s">
        <v>61</v>
      </c>
      <c r="G8" s="4" t="s">
        <v>50</v>
      </c>
      <c r="H8" s="4" t="s">
        <v>51</v>
      </c>
      <c r="I8" s="4" t="s">
        <v>52</v>
      </c>
      <c r="J8" s="5">
        <v>0.92</v>
      </c>
      <c r="K8" s="5">
        <v>1</v>
      </c>
      <c r="L8" s="5">
        <v>318.08</v>
      </c>
      <c r="M8" s="4" t="s">
        <v>53</v>
      </c>
      <c r="N8" s="3">
        <v>46054</v>
      </c>
      <c r="O8" t="s">
        <v>371</v>
      </c>
      <c r="P8" s="18" t="s">
        <v>372</v>
      </c>
      <c r="Q8"/>
      <c r="R8" s="4" t="s">
        <v>147</v>
      </c>
      <c r="S8" t="str">
        <f>CONCATENATE(R8,66)</f>
        <v>00025962433K66</v>
      </c>
      <c r="T8" s="4" t="s">
        <v>511</v>
      </c>
      <c r="U8" t="s">
        <v>512</v>
      </c>
      <c r="V8" t="str">
        <f>CONCATENATE(U8," ",T8)</f>
        <v>DONNA JENNINGS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17" customFormat="1" x14ac:dyDescent="0.2">
      <c r="A9" s="6" t="s">
        <v>345</v>
      </c>
      <c r="B9" s="9">
        <v>18828278</v>
      </c>
      <c r="C9" s="6" t="s">
        <v>346</v>
      </c>
      <c r="D9" s="6" t="s">
        <v>347</v>
      </c>
      <c r="E9" s="7">
        <v>46054</v>
      </c>
      <c r="F9" s="6" t="s">
        <v>61</v>
      </c>
      <c r="G9" s="6" t="s">
        <v>50</v>
      </c>
      <c r="H9" s="6" t="s">
        <v>281</v>
      </c>
      <c r="I9" s="6" t="s">
        <v>46</v>
      </c>
      <c r="J9" s="8">
        <v>10</v>
      </c>
      <c r="K9" s="8">
        <v>-350</v>
      </c>
      <c r="L9" s="8">
        <v>-35</v>
      </c>
      <c r="M9" s="6" t="s">
        <v>320</v>
      </c>
      <c r="N9" s="7">
        <v>45991</v>
      </c>
      <c r="O9" s="9" t="s">
        <v>363</v>
      </c>
      <c r="P9" s="9"/>
      <c r="Q9" s="9"/>
      <c r="R9" s="24">
        <v>9031094580</v>
      </c>
      <c r="S9" s="9" t="str">
        <f>CONCATENATE(R9,4)</f>
        <v>90310945804</v>
      </c>
      <c r="T9" s="6" t="s">
        <v>416</v>
      </c>
      <c r="U9" s="9" t="s">
        <v>417</v>
      </c>
      <c r="V9" t="str">
        <f>CONCATENATE(U9," ",T9)</f>
        <v>Michael Holtz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spans="1:44" s="17" customFormat="1" x14ac:dyDescent="0.2">
      <c r="A10" s="6" t="s">
        <v>345</v>
      </c>
      <c r="B10" s="9">
        <v>18828278</v>
      </c>
      <c r="C10" s="6" t="s">
        <v>348</v>
      </c>
      <c r="D10" s="6" t="s">
        <v>349</v>
      </c>
      <c r="E10" s="7">
        <v>46054</v>
      </c>
      <c r="F10" s="6" t="s">
        <v>61</v>
      </c>
      <c r="G10" s="6" t="s">
        <v>50</v>
      </c>
      <c r="H10" s="6" t="s">
        <v>281</v>
      </c>
      <c r="I10" s="6" t="s">
        <v>46</v>
      </c>
      <c r="J10" s="8">
        <v>15</v>
      </c>
      <c r="K10" s="8">
        <v>14.93</v>
      </c>
      <c r="L10" s="8">
        <v>2.2400000000000002</v>
      </c>
      <c r="M10" s="6" t="s">
        <v>320</v>
      </c>
      <c r="N10" s="7">
        <v>46023</v>
      </c>
      <c r="O10" s="9" t="s">
        <v>364</v>
      </c>
      <c r="P10" s="9"/>
      <c r="Q10" s="9"/>
      <c r="R10" s="24">
        <v>9031530890</v>
      </c>
      <c r="S10" s="9" t="str">
        <f>CONCATENATE(R10,2)</f>
        <v>90315308902</v>
      </c>
      <c r="T10" s="6" t="s">
        <v>434</v>
      </c>
      <c r="U10" s="9" t="s">
        <v>435</v>
      </c>
      <c r="V10" t="str">
        <f>CONCATENATE(U10," ",T10)</f>
        <v>Paul Parsons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s="17" customFormat="1" x14ac:dyDescent="0.2">
      <c r="A11" s="6" t="s">
        <v>345</v>
      </c>
      <c r="B11" s="9">
        <v>18828278</v>
      </c>
      <c r="C11" s="6" t="s">
        <v>350</v>
      </c>
      <c r="D11" s="6" t="s">
        <v>351</v>
      </c>
      <c r="E11" s="7">
        <v>46054</v>
      </c>
      <c r="F11" s="6" t="s">
        <v>61</v>
      </c>
      <c r="G11" s="6" t="s">
        <v>50</v>
      </c>
      <c r="H11" s="6" t="s">
        <v>281</v>
      </c>
      <c r="I11" s="6" t="s">
        <v>46</v>
      </c>
      <c r="J11" s="8">
        <v>15</v>
      </c>
      <c r="K11" s="8">
        <v>26.88</v>
      </c>
      <c r="L11" s="8">
        <v>4.03</v>
      </c>
      <c r="M11" s="6" t="s">
        <v>320</v>
      </c>
      <c r="N11" s="7">
        <v>46023</v>
      </c>
      <c r="O11" s="9" t="s">
        <v>364</v>
      </c>
      <c r="P11" s="9"/>
      <c r="Q11" s="9"/>
      <c r="R11" s="24">
        <v>9031539870</v>
      </c>
      <c r="S11" s="9" t="str">
        <f>CONCATENATE(R11,2)</f>
        <v>90315398702</v>
      </c>
      <c r="T11" s="6" t="s">
        <v>436</v>
      </c>
      <c r="U11" s="9" t="s">
        <v>437</v>
      </c>
      <c r="V11" t="str">
        <f>CONCATENATE(U11," ",T11)</f>
        <v>Mark Clinton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1:44" s="17" customFormat="1" x14ac:dyDescent="0.2">
      <c r="A12" s="6" t="s">
        <v>345</v>
      </c>
      <c r="B12" s="9">
        <v>18828278</v>
      </c>
      <c r="C12" s="6" t="s">
        <v>352</v>
      </c>
      <c r="D12" s="6" t="s">
        <v>353</v>
      </c>
      <c r="E12" s="7">
        <v>46054</v>
      </c>
      <c r="F12" s="6" t="s">
        <v>61</v>
      </c>
      <c r="G12" s="6" t="s">
        <v>50</v>
      </c>
      <c r="H12" s="6" t="s">
        <v>281</v>
      </c>
      <c r="I12" s="6" t="s">
        <v>46</v>
      </c>
      <c r="J12" s="8">
        <v>15</v>
      </c>
      <c r="K12" s="8">
        <v>14.93</v>
      </c>
      <c r="L12" s="8">
        <v>2.2400000000000002</v>
      </c>
      <c r="M12" s="6" t="s">
        <v>320</v>
      </c>
      <c r="N12" s="7">
        <v>46023</v>
      </c>
      <c r="O12" s="9" t="s">
        <v>364</v>
      </c>
      <c r="P12" s="9"/>
      <c r="Q12" s="9"/>
      <c r="R12" s="24">
        <v>9031563720</v>
      </c>
      <c r="S12" s="9" t="str">
        <f>CONCATENATE(R12,2)</f>
        <v>90315637202</v>
      </c>
      <c r="T12" s="6" t="s">
        <v>438</v>
      </c>
      <c r="U12" s="9" t="s">
        <v>439</v>
      </c>
      <c r="V12" t="str">
        <f>CONCATENATE(U12," ",T12)</f>
        <v>Michele Dallas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 x14ac:dyDescent="0.2">
      <c r="A13" s="6" t="s">
        <v>345</v>
      </c>
      <c r="B13" s="9">
        <v>18828278</v>
      </c>
      <c r="C13" s="6" t="s">
        <v>354</v>
      </c>
      <c r="D13" s="6" t="s">
        <v>355</v>
      </c>
      <c r="E13" s="7">
        <v>46054</v>
      </c>
      <c r="F13" s="6" t="s">
        <v>61</v>
      </c>
      <c r="G13" s="6" t="s">
        <v>50</v>
      </c>
      <c r="H13" s="6" t="s">
        <v>281</v>
      </c>
      <c r="I13" s="6" t="s">
        <v>46</v>
      </c>
      <c r="J13" s="8">
        <v>15</v>
      </c>
      <c r="K13" s="8">
        <v>14.93</v>
      </c>
      <c r="L13" s="8">
        <v>2.2400000000000002</v>
      </c>
      <c r="M13" s="6" t="s">
        <v>320</v>
      </c>
      <c r="N13" s="7">
        <v>46023</v>
      </c>
      <c r="O13" s="9" t="s">
        <v>364</v>
      </c>
      <c r="P13" s="9"/>
      <c r="Q13" s="9"/>
      <c r="R13" s="24">
        <v>9031580060</v>
      </c>
      <c r="S13" s="9" t="str">
        <f>CONCATENATE(R13,2)</f>
        <v>90315800602</v>
      </c>
      <c r="T13" s="6" t="s">
        <v>440</v>
      </c>
      <c r="U13" s="9" t="s">
        <v>441</v>
      </c>
      <c r="V13" t="str">
        <f>CONCATENATE(U13," ",T13)</f>
        <v>James Quaid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x14ac:dyDescent="0.2">
      <c r="A14" s="6" t="s">
        <v>345</v>
      </c>
      <c r="B14" s="9">
        <v>18828278</v>
      </c>
      <c r="C14" s="6" t="s">
        <v>356</v>
      </c>
      <c r="D14" s="6" t="s">
        <v>357</v>
      </c>
      <c r="E14" s="7">
        <v>46054</v>
      </c>
      <c r="F14" s="6" t="s">
        <v>61</v>
      </c>
      <c r="G14" s="6" t="s">
        <v>50</v>
      </c>
      <c r="H14" s="6" t="s">
        <v>281</v>
      </c>
      <c r="I14" s="6" t="s">
        <v>46</v>
      </c>
      <c r="J14" s="8">
        <v>15</v>
      </c>
      <c r="K14" s="8">
        <v>14.93</v>
      </c>
      <c r="L14" s="8">
        <v>2.2400000000000002</v>
      </c>
      <c r="M14" s="6" t="s">
        <v>320</v>
      </c>
      <c r="N14" s="7">
        <v>46023</v>
      </c>
      <c r="O14" s="9" t="s">
        <v>364</v>
      </c>
      <c r="P14" s="9"/>
      <c r="Q14" s="9"/>
      <c r="R14" s="24">
        <v>9031582510</v>
      </c>
      <c r="S14" s="9" t="str">
        <f>CONCATENATE(R14,2)</f>
        <v>90315825102</v>
      </c>
      <c r="T14" s="6" t="s">
        <v>442</v>
      </c>
      <c r="U14" s="9" t="s">
        <v>443</v>
      </c>
      <c r="V14" t="str">
        <f>CONCATENATE(U14," ",T14)</f>
        <v>Adam Murray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x14ac:dyDescent="0.2">
      <c r="A15" s="6" t="s">
        <v>345</v>
      </c>
      <c r="B15" s="9">
        <v>18828278</v>
      </c>
      <c r="C15" s="6" t="s">
        <v>358</v>
      </c>
      <c r="D15" s="6" t="s">
        <v>359</v>
      </c>
      <c r="E15" s="7">
        <v>46054</v>
      </c>
      <c r="F15" s="6" t="s">
        <v>61</v>
      </c>
      <c r="G15" s="6" t="s">
        <v>50</v>
      </c>
      <c r="H15" s="6" t="s">
        <v>281</v>
      </c>
      <c r="I15" s="6" t="s">
        <v>46</v>
      </c>
      <c r="J15" s="8">
        <v>15</v>
      </c>
      <c r="K15" s="8">
        <v>46.8</v>
      </c>
      <c r="L15" s="8">
        <v>7.02</v>
      </c>
      <c r="M15" s="6" t="s">
        <v>320</v>
      </c>
      <c r="N15" s="7">
        <v>46023</v>
      </c>
      <c r="O15" s="9" t="s">
        <v>364</v>
      </c>
      <c r="P15" s="9"/>
      <c r="Q15" s="9"/>
      <c r="R15" s="24">
        <v>9031617040</v>
      </c>
      <c r="S15" s="9" t="str">
        <f>CONCATENATE(R15,2)</f>
        <v>90316170402</v>
      </c>
      <c r="T15" s="6" t="s">
        <v>444</v>
      </c>
      <c r="U15" s="9" t="s">
        <v>417</v>
      </c>
      <c r="V15" t="str">
        <f>CONCATENATE(U15," ",T15)</f>
        <v>Michael Bowen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x14ac:dyDescent="0.2">
      <c r="A16" s="4" t="s">
        <v>164</v>
      </c>
      <c r="B16">
        <v>17425766</v>
      </c>
      <c r="C16" s="4" t="s">
        <v>168</v>
      </c>
      <c r="D16" s="4" t="s">
        <v>169</v>
      </c>
      <c r="E16" s="3">
        <v>46023</v>
      </c>
      <c r="F16" s="4" t="s">
        <v>49</v>
      </c>
      <c r="G16" s="4" t="s">
        <v>50</v>
      </c>
      <c r="H16" s="4" t="s">
        <v>51</v>
      </c>
      <c r="I16" s="4" t="s">
        <v>52</v>
      </c>
      <c r="J16" s="5">
        <v>-0.92</v>
      </c>
      <c r="K16" s="5">
        <v>-1</v>
      </c>
      <c r="L16" s="5">
        <v>-318.08</v>
      </c>
      <c r="M16" s="4" t="s">
        <v>53</v>
      </c>
      <c r="N16" s="3">
        <v>46023</v>
      </c>
      <c r="O16" t="s">
        <v>371</v>
      </c>
      <c r="P16" s="18" t="s">
        <v>372</v>
      </c>
      <c r="R16" s="4" t="s">
        <v>169</v>
      </c>
      <c r="S16" t="str">
        <f>CONCATENATE(R16,66)</f>
        <v>00023621536K66</v>
      </c>
      <c r="T16" s="4" t="s">
        <v>457</v>
      </c>
      <c r="U16" t="s">
        <v>458</v>
      </c>
      <c r="V16" t="str">
        <f>CONCATENATE(U16," ",T16)</f>
        <v>JOHN MENDENHALL</v>
      </c>
    </row>
    <row r="17" spans="1:44" x14ac:dyDescent="0.2">
      <c r="A17" s="4" t="s">
        <v>164</v>
      </c>
      <c r="B17">
        <v>17425766</v>
      </c>
      <c r="C17" s="4" t="s">
        <v>165</v>
      </c>
      <c r="D17" s="4" t="s">
        <v>166</v>
      </c>
      <c r="E17" s="3">
        <v>46023</v>
      </c>
      <c r="F17" s="4" t="s">
        <v>49</v>
      </c>
      <c r="G17" s="4" t="s">
        <v>50</v>
      </c>
      <c r="H17" s="4" t="s">
        <v>51</v>
      </c>
      <c r="I17" s="4" t="s">
        <v>59</v>
      </c>
      <c r="J17" s="5">
        <v>-0.92</v>
      </c>
      <c r="K17" s="5">
        <v>-1</v>
      </c>
      <c r="L17" s="5">
        <v>-318.08</v>
      </c>
      <c r="M17" s="4" t="s">
        <v>53</v>
      </c>
      <c r="N17" s="3">
        <v>46023</v>
      </c>
      <c r="O17" t="s">
        <v>371</v>
      </c>
      <c r="P17" s="18" t="s">
        <v>372</v>
      </c>
      <c r="R17" s="4" t="s">
        <v>166</v>
      </c>
      <c r="S17" t="str">
        <f>CONCATENATE(R17,66)</f>
        <v>00022770126K66</v>
      </c>
      <c r="T17" s="4" t="s">
        <v>467</v>
      </c>
      <c r="U17" t="s">
        <v>468</v>
      </c>
      <c r="V17" t="str">
        <f>CONCATENATE(U17," ",T17)</f>
        <v>NEIL WEISSMAN</v>
      </c>
    </row>
    <row r="18" spans="1:44" x14ac:dyDescent="0.2">
      <c r="A18" s="4" t="s">
        <v>264</v>
      </c>
      <c r="B18">
        <v>21283956</v>
      </c>
      <c r="C18" s="4" t="s">
        <v>265</v>
      </c>
      <c r="D18" s="4" t="s">
        <v>266</v>
      </c>
      <c r="E18" s="3">
        <v>46054</v>
      </c>
      <c r="F18" s="4" t="s">
        <v>61</v>
      </c>
      <c r="G18" s="4" t="s">
        <v>50</v>
      </c>
      <c r="H18" s="4" t="s">
        <v>51</v>
      </c>
      <c r="I18" s="4" t="s">
        <v>52</v>
      </c>
      <c r="J18" s="5">
        <v>0.92</v>
      </c>
      <c r="K18" s="5">
        <v>1</v>
      </c>
      <c r="L18" s="5">
        <v>151.25</v>
      </c>
      <c r="M18" s="4" t="s">
        <v>53</v>
      </c>
      <c r="N18" s="3">
        <v>46054</v>
      </c>
      <c r="O18" t="s">
        <v>373</v>
      </c>
      <c r="P18" s="18" t="s">
        <v>547</v>
      </c>
      <c r="R18" s="4" t="s">
        <v>266</v>
      </c>
      <c r="S18" t="str">
        <f>CONCATENATE(R18,26)</f>
        <v>00006526449K26</v>
      </c>
      <c r="T18" s="4" t="s">
        <v>390</v>
      </c>
      <c r="U18" t="s">
        <v>391</v>
      </c>
      <c r="V18" t="str">
        <f>CONCATENATE(U18," ",T18)</f>
        <v>VICKI OWEN</v>
      </c>
    </row>
    <row r="19" spans="1:44" x14ac:dyDescent="0.2">
      <c r="A19" s="4" t="s">
        <v>149</v>
      </c>
      <c r="B19">
        <v>17301495</v>
      </c>
      <c r="C19" s="4" t="s">
        <v>150</v>
      </c>
      <c r="D19" s="4" t="s">
        <v>151</v>
      </c>
      <c r="E19" s="3">
        <v>46054</v>
      </c>
      <c r="F19" s="4" t="s">
        <v>61</v>
      </c>
      <c r="G19" s="4" t="s">
        <v>50</v>
      </c>
      <c r="H19" s="4" t="s">
        <v>51</v>
      </c>
      <c r="I19" s="4" t="s">
        <v>52</v>
      </c>
      <c r="J19" s="5">
        <v>0.92</v>
      </c>
      <c r="K19" s="5">
        <v>1</v>
      </c>
      <c r="L19" s="5">
        <v>318.08</v>
      </c>
      <c r="M19" s="4" t="s">
        <v>53</v>
      </c>
      <c r="N19" s="3">
        <v>46054</v>
      </c>
      <c r="O19" t="s">
        <v>371</v>
      </c>
      <c r="P19" s="18" t="s">
        <v>372</v>
      </c>
      <c r="R19" s="4" t="s">
        <v>151</v>
      </c>
      <c r="S19" t="str">
        <f>CONCATENATE(R19,66)</f>
        <v>00025965072K66</v>
      </c>
      <c r="T19" s="4" t="s">
        <v>513</v>
      </c>
      <c r="U19" t="s">
        <v>514</v>
      </c>
      <c r="V19" t="str">
        <f>CONCATENATE(U19," ",T19)</f>
        <v>LOUIS VASILOPOULOS</v>
      </c>
    </row>
    <row r="20" spans="1:44" x14ac:dyDescent="0.2">
      <c r="A20" s="14" t="s">
        <v>292</v>
      </c>
      <c r="B20" s="17">
        <v>15278437</v>
      </c>
      <c r="C20" s="14" t="s">
        <v>293</v>
      </c>
      <c r="D20" s="14" t="s">
        <v>294</v>
      </c>
      <c r="E20" s="15">
        <v>45689</v>
      </c>
      <c r="F20" s="14" t="s">
        <v>61</v>
      </c>
      <c r="G20" s="14" t="s">
        <v>50</v>
      </c>
      <c r="H20" s="14" t="s">
        <v>51</v>
      </c>
      <c r="I20" s="14" t="s">
        <v>46</v>
      </c>
      <c r="J20" s="16">
        <v>26</v>
      </c>
      <c r="K20" s="16">
        <v>-124.54</v>
      </c>
      <c r="L20" s="16">
        <v>-32.380000000000003</v>
      </c>
      <c r="M20" s="14" t="s">
        <v>296</v>
      </c>
      <c r="N20" s="15">
        <v>45689</v>
      </c>
      <c r="O20" s="17" t="s">
        <v>369</v>
      </c>
      <c r="P20" s="17"/>
      <c r="Q20" s="17"/>
      <c r="R20" s="14" t="s">
        <v>294</v>
      </c>
      <c r="S20" s="17" t="str">
        <f>CONCATENATE(R20,8)</f>
        <v>00000947146A8</v>
      </c>
      <c r="T20" s="14" t="s">
        <v>398</v>
      </c>
      <c r="U20" s="17" t="s">
        <v>399</v>
      </c>
      <c r="V20" t="str">
        <f>CONCATENATE(U20," ",T20)</f>
        <v>ANDERS LAREN</v>
      </c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x14ac:dyDescent="0.2">
      <c r="A21" s="6" t="s">
        <v>292</v>
      </c>
      <c r="B21" s="9">
        <v>15278437</v>
      </c>
      <c r="C21" s="6" t="s">
        <v>298</v>
      </c>
      <c r="D21" s="6" t="s">
        <v>299</v>
      </c>
      <c r="E21" s="7">
        <v>46054</v>
      </c>
      <c r="F21" s="6" t="s">
        <v>61</v>
      </c>
      <c r="G21" s="6" t="s">
        <v>178</v>
      </c>
      <c r="H21" s="6" t="s">
        <v>281</v>
      </c>
      <c r="I21" s="6" t="s">
        <v>46</v>
      </c>
      <c r="J21" s="8">
        <v>10</v>
      </c>
      <c r="K21" s="8">
        <v>12.99</v>
      </c>
      <c r="L21" s="8">
        <v>1.3</v>
      </c>
      <c r="M21" s="6" t="s">
        <v>282</v>
      </c>
      <c r="N21" s="7">
        <v>45371</v>
      </c>
      <c r="O21" s="9" t="s">
        <v>363</v>
      </c>
      <c r="P21" s="9"/>
      <c r="Q21" s="9"/>
      <c r="R21" s="24">
        <v>654656220</v>
      </c>
      <c r="S21" s="9" t="str">
        <f>CONCATENATE(R21,4)</f>
        <v>6546562204</v>
      </c>
      <c r="T21" s="6" t="s">
        <v>410</v>
      </c>
      <c r="U21" s="9" t="s">
        <v>411</v>
      </c>
      <c r="V21" t="str">
        <f>CONCATENATE(U21," ",T21)</f>
        <v>Elliot Gerber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1:44" x14ac:dyDescent="0.2">
      <c r="A22" s="4" t="s">
        <v>63</v>
      </c>
      <c r="B22">
        <v>2158366</v>
      </c>
      <c r="C22" s="4" t="s">
        <v>68</v>
      </c>
      <c r="D22" s="4" t="s">
        <v>69</v>
      </c>
      <c r="E22" s="3">
        <v>46023</v>
      </c>
      <c r="F22" s="4" t="s">
        <v>49</v>
      </c>
      <c r="G22" s="4" t="s">
        <v>50</v>
      </c>
      <c r="H22" s="4" t="s">
        <v>51</v>
      </c>
      <c r="I22" s="4" t="s">
        <v>59</v>
      </c>
      <c r="J22" s="5">
        <v>-0.92</v>
      </c>
      <c r="K22" s="5">
        <v>-1</v>
      </c>
      <c r="L22" s="5">
        <v>-318.08</v>
      </c>
      <c r="M22" s="4" t="s">
        <v>53</v>
      </c>
      <c r="N22" s="3">
        <v>46023</v>
      </c>
      <c r="O22" t="s">
        <v>371</v>
      </c>
      <c r="P22" s="18" t="s">
        <v>372</v>
      </c>
      <c r="R22" s="4" t="s">
        <v>69</v>
      </c>
      <c r="S22" t="str">
        <f>CONCATENATE(R22,66)</f>
        <v>00025104052K66</v>
      </c>
      <c r="T22" s="4" t="s">
        <v>463</v>
      </c>
      <c r="U22" t="s">
        <v>464</v>
      </c>
      <c r="V22" t="str">
        <f>CONCATENATE(U22," ",T22)</f>
        <v>MICHAEL HALINSKI</v>
      </c>
    </row>
    <row r="23" spans="1:44" x14ac:dyDescent="0.2">
      <c r="A23" s="4" t="s">
        <v>63</v>
      </c>
      <c r="B23">
        <v>2158366</v>
      </c>
      <c r="C23" s="4" t="s">
        <v>64</v>
      </c>
      <c r="D23" s="4" t="s">
        <v>65</v>
      </c>
      <c r="E23" s="3">
        <v>46054</v>
      </c>
      <c r="F23" s="4" t="s">
        <v>61</v>
      </c>
      <c r="G23" s="4" t="s">
        <v>50</v>
      </c>
      <c r="H23" s="4" t="s">
        <v>51</v>
      </c>
      <c r="I23" s="4" t="s">
        <v>52</v>
      </c>
      <c r="J23" s="5">
        <v>0.92</v>
      </c>
      <c r="K23" s="5">
        <v>1</v>
      </c>
      <c r="L23" s="5">
        <v>318.08</v>
      </c>
      <c r="M23" s="4" t="s">
        <v>53</v>
      </c>
      <c r="N23" s="3">
        <v>46054</v>
      </c>
      <c r="O23" t="s">
        <v>371</v>
      </c>
      <c r="P23" s="18" t="s">
        <v>372</v>
      </c>
      <c r="R23" s="4" t="s">
        <v>65</v>
      </c>
      <c r="S23" t="str">
        <f>CONCATENATE(R23,66)</f>
        <v>00022005823K66</v>
      </c>
      <c r="T23" s="4" t="s">
        <v>485</v>
      </c>
      <c r="U23" t="s">
        <v>486</v>
      </c>
      <c r="V23" t="str">
        <f>CONCATENATE(U23," ",T23)</f>
        <v>SUSANNE DESMOND</v>
      </c>
    </row>
    <row r="24" spans="1:44" x14ac:dyDescent="0.2">
      <c r="A24" s="6" t="s">
        <v>84</v>
      </c>
      <c r="B24" s="9">
        <v>7146581</v>
      </c>
      <c r="C24" s="6" t="s">
        <v>289</v>
      </c>
      <c r="D24" s="6" t="s">
        <v>290</v>
      </c>
      <c r="E24" s="7">
        <v>46054</v>
      </c>
      <c r="F24" s="6" t="s">
        <v>61</v>
      </c>
      <c r="G24" s="6" t="s">
        <v>178</v>
      </c>
      <c r="H24" s="6" t="s">
        <v>291</v>
      </c>
      <c r="I24" s="6" t="s">
        <v>46</v>
      </c>
      <c r="J24" s="8">
        <v>10</v>
      </c>
      <c r="K24" s="8">
        <v>43.09</v>
      </c>
      <c r="L24" s="8">
        <v>4.3099999999999996</v>
      </c>
      <c r="M24" s="6" t="s">
        <v>282</v>
      </c>
      <c r="N24" s="7">
        <v>40969</v>
      </c>
      <c r="O24" s="9" t="s">
        <v>363</v>
      </c>
      <c r="P24" s="9"/>
      <c r="Q24" s="9"/>
      <c r="R24" s="24">
        <v>9007596540</v>
      </c>
      <c r="S24" s="9" t="str">
        <f>CONCATENATE(R24,4)</f>
        <v>90075965404</v>
      </c>
      <c r="T24" s="6" t="s">
        <v>406</v>
      </c>
      <c r="U24" s="9" t="s">
        <v>407</v>
      </c>
      <c r="V24" t="str">
        <f>CONCATENATE(U24," ",T24)</f>
        <v>Jerry Grychowski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x14ac:dyDescent="0.2">
      <c r="A25" s="4" t="s">
        <v>84</v>
      </c>
      <c r="B25">
        <v>7146581</v>
      </c>
      <c r="C25" s="4" t="s">
        <v>85</v>
      </c>
      <c r="D25" s="4" t="s">
        <v>86</v>
      </c>
      <c r="E25" s="3">
        <v>46054</v>
      </c>
      <c r="F25" s="4" t="s">
        <v>61</v>
      </c>
      <c r="G25" s="4" t="s">
        <v>50</v>
      </c>
      <c r="H25" s="4" t="s">
        <v>51</v>
      </c>
      <c r="I25" s="4" t="s">
        <v>52</v>
      </c>
      <c r="J25" s="5">
        <v>0.92</v>
      </c>
      <c r="K25" s="5">
        <v>1</v>
      </c>
      <c r="L25" s="5">
        <v>318.08</v>
      </c>
      <c r="M25" s="4" t="s">
        <v>53</v>
      </c>
      <c r="N25" s="3">
        <v>46054</v>
      </c>
      <c r="O25" t="s">
        <v>371</v>
      </c>
      <c r="P25" s="18" t="s">
        <v>372</v>
      </c>
      <c r="R25" s="4" t="s">
        <v>86</v>
      </c>
      <c r="S25" t="str">
        <f>CONCATENATE(R25,66)</f>
        <v>00025950232K66</v>
      </c>
      <c r="T25" s="4" t="s">
        <v>491</v>
      </c>
      <c r="U25" t="s">
        <v>492</v>
      </c>
      <c r="V25" t="str">
        <f>CONCATENATE(U25," ",T25)</f>
        <v>DELFINA COHEN</v>
      </c>
    </row>
    <row r="26" spans="1:44" x14ac:dyDescent="0.2">
      <c r="A26" s="4" t="s">
        <v>84</v>
      </c>
      <c r="B26">
        <v>7146581</v>
      </c>
      <c r="C26" s="4" t="s">
        <v>88</v>
      </c>
      <c r="D26" s="4" t="s">
        <v>89</v>
      </c>
      <c r="E26" s="3">
        <v>46054</v>
      </c>
      <c r="F26" s="4" t="s">
        <v>61</v>
      </c>
      <c r="G26" s="4" t="s">
        <v>50</v>
      </c>
      <c r="H26" s="4" t="s">
        <v>51</v>
      </c>
      <c r="I26" s="4" t="s">
        <v>52</v>
      </c>
      <c r="J26" s="5">
        <v>0.92</v>
      </c>
      <c r="K26" s="5">
        <v>1</v>
      </c>
      <c r="L26" s="5">
        <v>318.08</v>
      </c>
      <c r="M26" s="4" t="s">
        <v>53</v>
      </c>
      <c r="N26" s="3">
        <v>46054</v>
      </c>
      <c r="O26" t="s">
        <v>371</v>
      </c>
      <c r="P26" s="18" t="s">
        <v>372</v>
      </c>
      <c r="R26" s="4" t="s">
        <v>89</v>
      </c>
      <c r="S26" t="str">
        <f>CONCATENATE(R26,66)</f>
        <v>00025964426K66</v>
      </c>
      <c r="T26" s="4" t="s">
        <v>493</v>
      </c>
      <c r="U26" t="s">
        <v>494</v>
      </c>
      <c r="V26" t="str">
        <f>CONCATENATE(U26," ",T26)</f>
        <v>ELLENMARIE MORTIMER</v>
      </c>
    </row>
    <row r="27" spans="1:44" x14ac:dyDescent="0.2">
      <c r="A27" s="14" t="s">
        <v>305</v>
      </c>
      <c r="B27" s="17">
        <v>17528908</v>
      </c>
      <c r="C27" s="14" t="s">
        <v>310</v>
      </c>
      <c r="D27" s="14" t="s">
        <v>311</v>
      </c>
      <c r="E27" s="15">
        <v>46054</v>
      </c>
      <c r="F27" s="14" t="s">
        <v>61</v>
      </c>
      <c r="G27" s="14" t="s">
        <v>178</v>
      </c>
      <c r="H27" s="14" t="s">
        <v>51</v>
      </c>
      <c r="I27" s="14" t="s">
        <v>46</v>
      </c>
      <c r="J27" s="16">
        <v>22</v>
      </c>
      <c r="K27" s="16">
        <v>110.73</v>
      </c>
      <c r="L27" s="16">
        <v>24.36</v>
      </c>
      <c r="M27" s="14" t="s">
        <v>308</v>
      </c>
      <c r="N27" s="15">
        <v>45444</v>
      </c>
      <c r="O27" s="17" t="s">
        <v>368</v>
      </c>
      <c r="P27" s="17"/>
      <c r="Q27" s="17"/>
      <c r="R27" s="14" t="s">
        <v>311</v>
      </c>
      <c r="S27" s="17" t="str">
        <f>CONCATENATE(R27,8)</f>
        <v>00000828881A8</v>
      </c>
      <c r="T27" s="14" t="s">
        <v>392</v>
      </c>
      <c r="U27" s="17" t="s">
        <v>393</v>
      </c>
      <c r="V27" t="str">
        <f>CONCATENATE(U27," ",T27)</f>
        <v>KAREN CARDOSI</v>
      </c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 spans="1:44" x14ac:dyDescent="0.2">
      <c r="A28" s="14" t="s">
        <v>305</v>
      </c>
      <c r="B28" s="17">
        <v>17528908</v>
      </c>
      <c r="C28" s="14" t="s">
        <v>312</v>
      </c>
      <c r="D28" s="14" t="s">
        <v>313</v>
      </c>
      <c r="E28" s="15">
        <v>46054</v>
      </c>
      <c r="F28" s="14" t="s">
        <v>61</v>
      </c>
      <c r="G28" s="14" t="s">
        <v>178</v>
      </c>
      <c r="H28" s="14" t="s">
        <v>51</v>
      </c>
      <c r="I28" s="14" t="s">
        <v>46</v>
      </c>
      <c r="J28" s="16">
        <v>22</v>
      </c>
      <c r="K28" s="16">
        <v>138.55000000000001</v>
      </c>
      <c r="L28" s="16">
        <v>30.48</v>
      </c>
      <c r="M28" s="14" t="s">
        <v>308</v>
      </c>
      <c r="N28" s="15">
        <v>45566</v>
      </c>
      <c r="O28" s="17" t="s">
        <v>368</v>
      </c>
      <c r="P28" s="17"/>
      <c r="Q28" s="17"/>
      <c r="R28" s="14" t="s">
        <v>313</v>
      </c>
      <c r="S28" s="17" t="str">
        <f>CONCATENATE(R28,8)</f>
        <v>00000871454A8</v>
      </c>
      <c r="T28" s="14" t="s">
        <v>394</v>
      </c>
      <c r="U28" s="17" t="s">
        <v>395</v>
      </c>
      <c r="V28" t="str">
        <f>CONCATENATE(U28," ",T28)</f>
        <v>TIMMY BRACE</v>
      </c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x14ac:dyDescent="0.2">
      <c r="A29" s="14" t="s">
        <v>305</v>
      </c>
      <c r="B29" s="17">
        <v>17528908</v>
      </c>
      <c r="C29" s="14" t="s">
        <v>314</v>
      </c>
      <c r="D29" s="14" t="s">
        <v>315</v>
      </c>
      <c r="E29" s="15">
        <v>46023</v>
      </c>
      <c r="F29" s="14" t="s">
        <v>49</v>
      </c>
      <c r="G29" s="14" t="s">
        <v>50</v>
      </c>
      <c r="H29" s="14" t="s">
        <v>51</v>
      </c>
      <c r="I29" s="14" t="s">
        <v>46</v>
      </c>
      <c r="J29" s="16">
        <v>22</v>
      </c>
      <c r="K29" s="16">
        <v>1982.52</v>
      </c>
      <c r="L29" s="16">
        <v>436.2</v>
      </c>
      <c r="M29" s="14" t="s">
        <v>316</v>
      </c>
      <c r="N29" s="15">
        <v>46023</v>
      </c>
      <c r="O29" s="17" t="s">
        <v>368</v>
      </c>
      <c r="P29" s="17"/>
      <c r="Q29" s="17"/>
      <c r="R29" s="14" t="s">
        <v>315</v>
      </c>
      <c r="S29" s="17" t="str">
        <f>CONCATENATE(R29,8)</f>
        <v>00001080731A8</v>
      </c>
      <c r="T29" s="14" t="s">
        <v>396</v>
      </c>
      <c r="U29" s="17" t="s">
        <v>397</v>
      </c>
      <c r="V29" t="str">
        <f>CONCATENATE(U29," ",T29)</f>
        <v>JAY MINK</v>
      </c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spans="1:44" x14ac:dyDescent="0.2">
      <c r="A30" s="14" t="s">
        <v>305</v>
      </c>
      <c r="B30" s="17">
        <v>17528908</v>
      </c>
      <c r="C30" s="14" t="s">
        <v>306</v>
      </c>
      <c r="D30" s="14" t="s">
        <v>307</v>
      </c>
      <c r="E30" s="15">
        <v>46054</v>
      </c>
      <c r="F30" s="14" t="s">
        <v>61</v>
      </c>
      <c r="G30" s="14" t="s">
        <v>178</v>
      </c>
      <c r="H30" s="14" t="s">
        <v>51</v>
      </c>
      <c r="I30" s="14" t="s">
        <v>46</v>
      </c>
      <c r="J30" s="16">
        <v>26</v>
      </c>
      <c r="K30" s="16">
        <v>307</v>
      </c>
      <c r="L30" s="16">
        <v>79.819999999999993</v>
      </c>
      <c r="M30" s="14" t="s">
        <v>308</v>
      </c>
      <c r="N30" s="15">
        <v>45292</v>
      </c>
      <c r="O30" s="17" t="s">
        <v>369</v>
      </c>
      <c r="P30" s="17"/>
      <c r="Q30" s="17"/>
      <c r="R30" s="14" t="s">
        <v>307</v>
      </c>
      <c r="S30" s="17" t="str">
        <f>CONCATENATE(R30,8)</f>
        <v>00000789641A8</v>
      </c>
      <c r="T30" s="14" t="s">
        <v>400</v>
      </c>
      <c r="U30" s="17" t="s">
        <v>401</v>
      </c>
      <c r="V30" t="str">
        <f>CONCATENATE(U30," ",T30)</f>
        <v>DAVID SCHUBERT</v>
      </c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spans="1:44" x14ac:dyDescent="0.2">
      <c r="A31" s="6" t="s">
        <v>305</v>
      </c>
      <c r="B31" s="9">
        <v>17528908</v>
      </c>
      <c r="C31" s="6" t="s">
        <v>318</v>
      </c>
      <c r="D31" s="6" t="s">
        <v>319</v>
      </c>
      <c r="E31" s="7">
        <v>46054</v>
      </c>
      <c r="F31" s="6" t="s">
        <v>61</v>
      </c>
      <c r="G31" s="6" t="s">
        <v>50</v>
      </c>
      <c r="H31" s="6" t="s">
        <v>281</v>
      </c>
      <c r="I31" s="6" t="s">
        <v>46</v>
      </c>
      <c r="J31" s="8">
        <v>10</v>
      </c>
      <c r="K31" s="8">
        <v>-25.98</v>
      </c>
      <c r="L31" s="8">
        <v>-2.6</v>
      </c>
      <c r="M31" s="6" t="s">
        <v>320</v>
      </c>
      <c r="N31" s="7">
        <v>45689</v>
      </c>
      <c r="O31" s="9" t="s">
        <v>363</v>
      </c>
      <c r="P31" s="9"/>
      <c r="Q31" s="9"/>
      <c r="R31" s="24">
        <v>9029971470</v>
      </c>
      <c r="S31" s="9" t="str">
        <f>CONCATENATE(R31,4)</f>
        <v>90299714704</v>
      </c>
      <c r="T31" s="6" t="s">
        <v>412</v>
      </c>
      <c r="U31" s="9" t="s">
        <v>413</v>
      </c>
      <c r="V31" t="str">
        <f>CONCATENATE(U31," ",T31)</f>
        <v>Kathleen Madigan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x14ac:dyDescent="0.2">
      <c r="A32" s="14" t="s">
        <v>360</v>
      </c>
      <c r="B32" s="17">
        <v>19278370</v>
      </c>
      <c r="C32" s="14" t="s">
        <v>361</v>
      </c>
      <c r="D32" s="14" t="s">
        <v>362</v>
      </c>
      <c r="E32" s="15">
        <v>46054</v>
      </c>
      <c r="F32" s="14" t="s">
        <v>61</v>
      </c>
      <c r="G32" s="14" t="s">
        <v>178</v>
      </c>
      <c r="H32" s="14" t="s">
        <v>51</v>
      </c>
      <c r="I32" s="14" t="s">
        <v>46</v>
      </c>
      <c r="J32" s="16">
        <v>1</v>
      </c>
      <c r="K32" s="16">
        <v>124.54</v>
      </c>
      <c r="L32" s="16">
        <v>1.25</v>
      </c>
      <c r="M32" s="14" t="s">
        <v>308</v>
      </c>
      <c r="N32" s="15">
        <v>45658</v>
      </c>
      <c r="O32" s="17" t="s">
        <v>366</v>
      </c>
      <c r="P32" s="17"/>
      <c r="Q32" s="17"/>
      <c r="R32" s="14" t="s">
        <v>362</v>
      </c>
      <c r="S32" s="17" t="str">
        <f>CONCATENATE(R32,8)</f>
        <v>00000941582A8</v>
      </c>
      <c r="T32" s="14" t="s">
        <v>545</v>
      </c>
      <c r="U32" s="17" t="s">
        <v>546</v>
      </c>
      <c r="V32" t="str">
        <f>CONCATENATE(U32," ",T32)</f>
        <v>ROBERT BALTZERSEN</v>
      </c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s="22" customFormat="1" x14ac:dyDescent="0.2">
      <c r="A33" s="4" t="s">
        <v>141</v>
      </c>
      <c r="B33">
        <v>16202925</v>
      </c>
      <c r="C33" s="4" t="s">
        <v>142</v>
      </c>
      <c r="D33" s="4" t="s">
        <v>143</v>
      </c>
      <c r="E33" s="3">
        <v>46054</v>
      </c>
      <c r="F33" s="4" t="s">
        <v>61</v>
      </c>
      <c r="G33" s="4" t="s">
        <v>50</v>
      </c>
      <c r="H33" s="4" t="s">
        <v>51</v>
      </c>
      <c r="I33" s="4" t="s">
        <v>52</v>
      </c>
      <c r="J33" s="5">
        <v>0.92</v>
      </c>
      <c r="K33" s="5">
        <v>1</v>
      </c>
      <c r="L33" s="5">
        <v>318.08</v>
      </c>
      <c r="M33" s="4" t="s">
        <v>53</v>
      </c>
      <c r="N33" s="3">
        <v>46054</v>
      </c>
      <c r="O33" t="s">
        <v>371</v>
      </c>
      <c r="P33" s="18" t="s">
        <v>372</v>
      </c>
      <c r="Q33"/>
      <c r="R33" s="4" t="s">
        <v>143</v>
      </c>
      <c r="S33" t="str">
        <f>CONCATENATE(R33,66)</f>
        <v>00025976213K66</v>
      </c>
      <c r="T33" s="4" t="s">
        <v>509</v>
      </c>
      <c r="U33" t="s">
        <v>510</v>
      </c>
      <c r="V33" t="str">
        <f>CONCATENATE(U33," ",T33)</f>
        <v>ARTHUR RIGGS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">
      <c r="A34" s="6" t="s">
        <v>339</v>
      </c>
      <c r="B34" s="9">
        <v>18794740</v>
      </c>
      <c r="C34" s="6" t="s">
        <v>340</v>
      </c>
      <c r="D34" s="6" t="s">
        <v>341</v>
      </c>
      <c r="E34" s="7">
        <v>46054</v>
      </c>
      <c r="F34" s="6" t="s">
        <v>61</v>
      </c>
      <c r="G34" s="6" t="s">
        <v>50</v>
      </c>
      <c r="H34" s="6" t="s">
        <v>291</v>
      </c>
      <c r="I34" s="6" t="s">
        <v>46</v>
      </c>
      <c r="J34" s="8">
        <v>15</v>
      </c>
      <c r="K34" s="8">
        <v>53.99</v>
      </c>
      <c r="L34" s="8">
        <v>8.1</v>
      </c>
      <c r="M34" s="6" t="s">
        <v>320</v>
      </c>
      <c r="N34" s="7">
        <v>45992</v>
      </c>
      <c r="O34" s="9" t="s">
        <v>364</v>
      </c>
      <c r="P34" s="9"/>
      <c r="Q34" s="9"/>
      <c r="R34" s="24">
        <v>9031291620</v>
      </c>
      <c r="S34" s="9" t="str">
        <f>CONCATENATE(R34,2)</f>
        <v>90312916202</v>
      </c>
      <c r="T34" s="6" t="s">
        <v>418</v>
      </c>
      <c r="U34" s="9" t="s">
        <v>419</v>
      </c>
      <c r="V34" t="str">
        <f>CONCATENATE(U34," ",T34)</f>
        <v>David Kershner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x14ac:dyDescent="0.2">
      <c r="A35" s="14" t="s">
        <v>203</v>
      </c>
      <c r="B35" s="17">
        <v>5442438</v>
      </c>
      <c r="C35" s="14" t="s">
        <v>342</v>
      </c>
      <c r="D35" s="14" t="s">
        <v>343</v>
      </c>
      <c r="E35" s="15">
        <v>45992</v>
      </c>
      <c r="F35" s="14" t="s">
        <v>344</v>
      </c>
      <c r="G35" s="14" t="s">
        <v>50</v>
      </c>
      <c r="H35" s="14" t="s">
        <v>51</v>
      </c>
      <c r="I35" s="14" t="s">
        <v>46</v>
      </c>
      <c r="J35" s="16">
        <v>15</v>
      </c>
      <c r="K35" s="16">
        <v>1941.36</v>
      </c>
      <c r="L35" s="16">
        <v>291.24</v>
      </c>
      <c r="M35" s="14" t="s">
        <v>296</v>
      </c>
      <c r="N35" s="15">
        <v>45992</v>
      </c>
      <c r="O35" s="17" t="s">
        <v>367</v>
      </c>
      <c r="P35" s="17"/>
      <c r="Q35" s="17"/>
      <c r="R35" s="14" t="s">
        <v>343</v>
      </c>
      <c r="S35" s="17" t="str">
        <f>CONCATENATE(R35,8)</f>
        <v>00001082106A8</v>
      </c>
      <c r="T35" s="14" t="s">
        <v>404</v>
      </c>
      <c r="U35" s="17" t="s">
        <v>405</v>
      </c>
      <c r="V35" t="str">
        <f>CONCATENATE(U35," ",T35)</f>
        <v>TERESA KERN</v>
      </c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spans="1:44" x14ac:dyDescent="0.2">
      <c r="A36" s="4" t="s">
        <v>203</v>
      </c>
      <c r="B36">
        <v>5442438</v>
      </c>
      <c r="C36" s="4" t="s">
        <v>204</v>
      </c>
      <c r="D36" s="4" t="s">
        <v>205</v>
      </c>
      <c r="E36" s="3">
        <v>46054</v>
      </c>
      <c r="F36" s="4" t="s">
        <v>61</v>
      </c>
      <c r="G36" s="4" t="s">
        <v>50</v>
      </c>
      <c r="H36" s="4" t="s">
        <v>51</v>
      </c>
      <c r="I36" s="4" t="s">
        <v>59</v>
      </c>
      <c r="J36" s="5">
        <v>0.92</v>
      </c>
      <c r="K36" s="5">
        <v>1</v>
      </c>
      <c r="L36" s="5">
        <v>318.08</v>
      </c>
      <c r="M36" s="4" t="s">
        <v>53</v>
      </c>
      <c r="N36" s="3">
        <v>46054</v>
      </c>
      <c r="O36" t="s">
        <v>371</v>
      </c>
      <c r="P36" s="18" t="s">
        <v>372</v>
      </c>
      <c r="R36" s="4" t="s">
        <v>205</v>
      </c>
      <c r="S36" t="str">
        <f>CONCATENATE(R36,66)</f>
        <v>00025957764K66</v>
      </c>
      <c r="T36" s="4" t="s">
        <v>535</v>
      </c>
      <c r="U36" t="s">
        <v>500</v>
      </c>
      <c r="V36" t="str">
        <f>CONCATENATE(U36," ",T36)</f>
        <v>MARY KOZENSKI</v>
      </c>
    </row>
    <row r="37" spans="1:44" x14ac:dyDescent="0.2">
      <c r="A37" s="6" t="s">
        <v>322</v>
      </c>
      <c r="B37" s="9">
        <v>18710070</v>
      </c>
      <c r="C37" s="6" t="s">
        <v>323</v>
      </c>
      <c r="D37" s="6" t="s">
        <v>324</v>
      </c>
      <c r="E37" s="7">
        <v>46054</v>
      </c>
      <c r="F37" s="6" t="s">
        <v>61</v>
      </c>
      <c r="G37" s="6" t="s">
        <v>50</v>
      </c>
      <c r="H37" s="6" t="s">
        <v>281</v>
      </c>
      <c r="I37" s="6" t="s">
        <v>46</v>
      </c>
      <c r="J37" s="8">
        <v>10</v>
      </c>
      <c r="K37" s="8">
        <v>12.99</v>
      </c>
      <c r="L37" s="8">
        <v>1.3</v>
      </c>
      <c r="M37" s="6" t="s">
        <v>320</v>
      </c>
      <c r="N37" s="7">
        <v>45748</v>
      </c>
      <c r="O37" s="9" t="s">
        <v>363</v>
      </c>
      <c r="P37" s="9"/>
      <c r="Q37" s="9"/>
      <c r="R37" s="24">
        <v>9030250530</v>
      </c>
      <c r="S37" s="9" t="str">
        <f>CONCATENATE(R37,4)</f>
        <v>90302505304</v>
      </c>
      <c r="T37" s="6" t="s">
        <v>414</v>
      </c>
      <c r="U37" s="9" t="s">
        <v>415</v>
      </c>
      <c r="V37" t="str">
        <f>CONCATENATE(U37," ",T37)</f>
        <v>Kayla Miller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x14ac:dyDescent="0.2">
      <c r="A38" s="6" t="s">
        <v>322</v>
      </c>
      <c r="B38" s="9">
        <v>18710070</v>
      </c>
      <c r="C38" s="6" t="s">
        <v>325</v>
      </c>
      <c r="D38" s="6" t="s">
        <v>326</v>
      </c>
      <c r="E38" s="7">
        <v>46054</v>
      </c>
      <c r="F38" s="6" t="s">
        <v>61</v>
      </c>
      <c r="G38" s="6" t="s">
        <v>50</v>
      </c>
      <c r="H38" s="6" t="s">
        <v>281</v>
      </c>
      <c r="I38" s="6" t="s">
        <v>46</v>
      </c>
      <c r="J38" s="8">
        <v>15</v>
      </c>
      <c r="K38" s="8">
        <v>12.99</v>
      </c>
      <c r="L38" s="8">
        <v>1.95</v>
      </c>
      <c r="M38" s="6" t="s">
        <v>320</v>
      </c>
      <c r="N38" s="7">
        <v>45945</v>
      </c>
      <c r="O38" s="9" t="s">
        <v>364</v>
      </c>
      <c r="P38" s="9"/>
      <c r="Q38" s="9"/>
      <c r="R38" s="24">
        <v>9031265700</v>
      </c>
      <c r="S38" s="9" t="str">
        <f>CONCATENATE(R38,2)</f>
        <v>90312657002</v>
      </c>
      <c r="T38" s="6" t="s">
        <v>420</v>
      </c>
      <c r="U38" s="9" t="s">
        <v>421</v>
      </c>
      <c r="V38" t="str">
        <f>CONCATENATE(U38," ",T38)</f>
        <v>Edward Sloan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x14ac:dyDescent="0.2">
      <c r="A39" s="6" t="s">
        <v>322</v>
      </c>
      <c r="B39" s="9">
        <v>18710070</v>
      </c>
      <c r="C39" s="6" t="s">
        <v>327</v>
      </c>
      <c r="D39" s="6" t="s">
        <v>328</v>
      </c>
      <c r="E39" s="7">
        <v>46054</v>
      </c>
      <c r="F39" s="6" t="s">
        <v>61</v>
      </c>
      <c r="G39" s="6" t="s">
        <v>50</v>
      </c>
      <c r="H39" s="6" t="s">
        <v>281</v>
      </c>
      <c r="I39" s="6" t="s">
        <v>46</v>
      </c>
      <c r="J39" s="8">
        <v>15</v>
      </c>
      <c r="K39" s="8">
        <v>12.99</v>
      </c>
      <c r="L39" s="8">
        <v>1.95</v>
      </c>
      <c r="M39" s="6" t="s">
        <v>320</v>
      </c>
      <c r="N39" s="7">
        <v>45962</v>
      </c>
      <c r="O39" s="9" t="s">
        <v>364</v>
      </c>
      <c r="P39" s="9"/>
      <c r="Q39" s="9"/>
      <c r="R39" s="24">
        <v>9031321440</v>
      </c>
      <c r="S39" s="9" t="str">
        <f>CONCATENATE(R39,2)</f>
        <v>90313214402</v>
      </c>
      <c r="T39" s="6" t="s">
        <v>422</v>
      </c>
      <c r="U39" s="9" t="s">
        <v>423</v>
      </c>
      <c r="V39" t="str">
        <f>CONCATENATE(U39," ",T39)</f>
        <v>Gavin Schreck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x14ac:dyDescent="0.2">
      <c r="A40" s="6" t="s">
        <v>322</v>
      </c>
      <c r="B40" s="9">
        <v>18710070</v>
      </c>
      <c r="C40" s="6" t="s">
        <v>329</v>
      </c>
      <c r="D40" s="6" t="s">
        <v>330</v>
      </c>
      <c r="E40" s="7">
        <v>46054</v>
      </c>
      <c r="F40" s="6" t="s">
        <v>61</v>
      </c>
      <c r="G40" s="6" t="s">
        <v>50</v>
      </c>
      <c r="H40" s="6" t="s">
        <v>281</v>
      </c>
      <c r="I40" s="6" t="s">
        <v>46</v>
      </c>
      <c r="J40" s="8">
        <v>15</v>
      </c>
      <c r="K40" s="8">
        <v>23.99</v>
      </c>
      <c r="L40" s="8">
        <v>3.6</v>
      </c>
      <c r="M40" s="6" t="s">
        <v>320</v>
      </c>
      <c r="N40" s="7">
        <v>45962</v>
      </c>
      <c r="O40" s="9" t="s">
        <v>364</v>
      </c>
      <c r="P40" s="9"/>
      <c r="Q40" s="9"/>
      <c r="R40" s="24">
        <v>9031321470</v>
      </c>
      <c r="S40" s="9" t="str">
        <f>CONCATENATE(R40,2)</f>
        <v>90313214702</v>
      </c>
      <c r="T40" s="6" t="s">
        <v>424</v>
      </c>
      <c r="U40" s="9" t="s">
        <v>425</v>
      </c>
      <c r="V40" t="str">
        <f>CONCATENATE(U40," ",T40)</f>
        <v>Vinchenzo Volpe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x14ac:dyDescent="0.2">
      <c r="A41" s="6" t="s">
        <v>322</v>
      </c>
      <c r="B41" s="9">
        <v>18710070</v>
      </c>
      <c r="C41" s="6" t="s">
        <v>331</v>
      </c>
      <c r="D41" s="6" t="s">
        <v>332</v>
      </c>
      <c r="E41" s="7">
        <v>46054</v>
      </c>
      <c r="F41" s="6" t="s">
        <v>61</v>
      </c>
      <c r="G41" s="6" t="s">
        <v>50</v>
      </c>
      <c r="H41" s="6" t="s">
        <v>281</v>
      </c>
      <c r="I41" s="6" t="s">
        <v>46</v>
      </c>
      <c r="J41" s="8">
        <v>15</v>
      </c>
      <c r="K41" s="8">
        <v>23.99</v>
      </c>
      <c r="L41" s="8">
        <v>3.6</v>
      </c>
      <c r="M41" s="6" t="s">
        <v>320</v>
      </c>
      <c r="N41" s="7">
        <v>45962</v>
      </c>
      <c r="O41" s="9" t="s">
        <v>364</v>
      </c>
      <c r="P41" s="9"/>
      <c r="Q41" s="9"/>
      <c r="R41" s="24">
        <v>9031321500</v>
      </c>
      <c r="S41" s="9" t="str">
        <f>CONCATENATE(R41,2)</f>
        <v>90313215002</v>
      </c>
      <c r="T41" s="6" t="s">
        <v>426</v>
      </c>
      <c r="U41" s="9" t="s">
        <v>427</v>
      </c>
      <c r="V41" t="str">
        <f>CONCATENATE(U41," ",T41)</f>
        <v>Terry Snead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x14ac:dyDescent="0.2">
      <c r="A42" s="6" t="s">
        <v>322</v>
      </c>
      <c r="B42" s="9">
        <v>18710070</v>
      </c>
      <c r="C42" s="6" t="s">
        <v>333</v>
      </c>
      <c r="D42" s="6" t="s">
        <v>334</v>
      </c>
      <c r="E42" s="7">
        <v>46054</v>
      </c>
      <c r="F42" s="6" t="s">
        <v>61</v>
      </c>
      <c r="G42" s="6" t="s">
        <v>50</v>
      </c>
      <c r="H42" s="6" t="s">
        <v>281</v>
      </c>
      <c r="I42" s="6" t="s">
        <v>46</v>
      </c>
      <c r="J42" s="8">
        <v>15</v>
      </c>
      <c r="K42" s="8">
        <v>36.99</v>
      </c>
      <c r="L42" s="8">
        <v>5.55</v>
      </c>
      <c r="M42" s="6" t="s">
        <v>320</v>
      </c>
      <c r="N42" s="7">
        <v>45962</v>
      </c>
      <c r="O42" s="9" t="s">
        <v>364</v>
      </c>
      <c r="P42" s="9"/>
      <c r="Q42" s="9"/>
      <c r="R42" s="24">
        <v>9031321550</v>
      </c>
      <c r="S42" s="9" t="str">
        <f>CONCATENATE(R42,2)</f>
        <v>90313215502</v>
      </c>
      <c r="T42" s="6" t="s">
        <v>428</v>
      </c>
      <c r="U42" s="9" t="s">
        <v>429</v>
      </c>
      <c r="V42" t="str">
        <f>CONCATENATE(U42," ",T42)</f>
        <v>Robert Schroeder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x14ac:dyDescent="0.2">
      <c r="A43" s="6" t="s">
        <v>322</v>
      </c>
      <c r="B43" s="9">
        <v>18710070</v>
      </c>
      <c r="C43" s="6" t="s">
        <v>335</v>
      </c>
      <c r="D43" s="6" t="s">
        <v>336</v>
      </c>
      <c r="E43" s="7">
        <v>46054</v>
      </c>
      <c r="F43" s="6" t="s">
        <v>61</v>
      </c>
      <c r="G43" s="6" t="s">
        <v>50</v>
      </c>
      <c r="H43" s="6" t="s">
        <v>281</v>
      </c>
      <c r="I43" s="6" t="s">
        <v>46</v>
      </c>
      <c r="J43" s="8">
        <v>15</v>
      </c>
      <c r="K43" s="8">
        <v>12.99</v>
      </c>
      <c r="L43" s="8">
        <v>1.95</v>
      </c>
      <c r="M43" s="6" t="s">
        <v>320</v>
      </c>
      <c r="N43" s="7">
        <v>45965</v>
      </c>
      <c r="O43" s="9" t="s">
        <v>364</v>
      </c>
      <c r="P43" s="9"/>
      <c r="Q43" s="9"/>
      <c r="R43" s="24">
        <v>9031367280</v>
      </c>
      <c r="S43" s="9" t="str">
        <f>CONCATENATE(R43,2)</f>
        <v>90313672802</v>
      </c>
      <c r="T43" s="6" t="s">
        <v>430</v>
      </c>
      <c r="U43" s="9" t="s">
        <v>431</v>
      </c>
      <c r="V43" t="str">
        <f>CONCATENATE(U43," ",T43)</f>
        <v>Brenna Hanley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x14ac:dyDescent="0.2">
      <c r="A44" s="6" t="s">
        <v>322</v>
      </c>
      <c r="B44" s="9">
        <v>18710070</v>
      </c>
      <c r="C44" s="6" t="s">
        <v>337</v>
      </c>
      <c r="D44" s="6" t="s">
        <v>338</v>
      </c>
      <c r="E44" s="7">
        <v>46054</v>
      </c>
      <c r="F44" s="6" t="s">
        <v>61</v>
      </c>
      <c r="G44" s="6" t="s">
        <v>50</v>
      </c>
      <c r="H44" s="6" t="s">
        <v>281</v>
      </c>
      <c r="I44" s="6" t="s">
        <v>46</v>
      </c>
      <c r="J44" s="8">
        <v>15</v>
      </c>
      <c r="K44" s="8">
        <v>23.99</v>
      </c>
      <c r="L44" s="8">
        <v>3.6</v>
      </c>
      <c r="M44" s="6" t="s">
        <v>320</v>
      </c>
      <c r="N44" s="7">
        <v>45992</v>
      </c>
      <c r="O44" s="9" t="s">
        <v>364</v>
      </c>
      <c r="P44" s="9"/>
      <c r="Q44" s="9"/>
      <c r="R44" s="24">
        <v>9031474920</v>
      </c>
      <c r="S44" s="9" t="str">
        <f>CONCATENATE(R44,2)</f>
        <v>90314749202</v>
      </c>
      <c r="T44" s="6" t="s">
        <v>432</v>
      </c>
      <c r="U44" s="9" t="s">
        <v>433</v>
      </c>
      <c r="V44" t="str">
        <f>CONCATENATE(U44," ",T44)</f>
        <v>Frederick Halbig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x14ac:dyDescent="0.2">
      <c r="A45" s="4" t="s">
        <v>42</v>
      </c>
      <c r="B45">
        <v>371819</v>
      </c>
      <c r="C45" s="4" t="s">
        <v>43</v>
      </c>
      <c r="D45" s="4" t="s">
        <v>44</v>
      </c>
      <c r="E45" s="3">
        <v>46023</v>
      </c>
      <c r="F45" s="4" t="s">
        <v>49</v>
      </c>
      <c r="G45" s="4" t="s">
        <v>50</v>
      </c>
      <c r="H45" s="4" t="s">
        <v>51</v>
      </c>
      <c r="I45" s="4" t="s">
        <v>52</v>
      </c>
      <c r="J45" s="5">
        <v>-0.92</v>
      </c>
      <c r="K45" s="5">
        <v>-1</v>
      </c>
      <c r="L45" s="5">
        <v>-151.25</v>
      </c>
      <c r="M45" s="4" t="s">
        <v>53</v>
      </c>
      <c r="N45" s="3">
        <v>46023</v>
      </c>
      <c r="O45" t="s">
        <v>373</v>
      </c>
      <c r="P45" s="18" t="s">
        <v>547</v>
      </c>
      <c r="R45" s="4" t="s">
        <v>44</v>
      </c>
      <c r="S45" t="str">
        <f>CONCATENATE(R45,26)</f>
        <v>00020628364K26</v>
      </c>
      <c r="T45" s="4" t="s">
        <v>379</v>
      </c>
      <c r="U45" t="s">
        <v>380</v>
      </c>
      <c r="V45" t="str">
        <f>CONCATENATE(U45," ",T45)</f>
        <v>DONALD BENDABOUT</v>
      </c>
    </row>
    <row r="46" spans="1:44" x14ac:dyDescent="0.2">
      <c r="A46" s="4" t="s">
        <v>42</v>
      </c>
      <c r="B46">
        <v>371819</v>
      </c>
      <c r="C46" s="4" t="s">
        <v>56</v>
      </c>
      <c r="D46" s="4" t="s">
        <v>57</v>
      </c>
      <c r="E46" s="3">
        <v>46023</v>
      </c>
      <c r="F46" s="4" t="s">
        <v>49</v>
      </c>
      <c r="G46" s="4" t="s">
        <v>50</v>
      </c>
      <c r="H46" s="4" t="s">
        <v>51</v>
      </c>
      <c r="I46" s="4" t="s">
        <v>59</v>
      </c>
      <c r="J46" s="5">
        <v>-0.92</v>
      </c>
      <c r="K46" s="5">
        <v>-1</v>
      </c>
      <c r="L46" s="5">
        <v>-318.08</v>
      </c>
      <c r="M46" s="4" t="s">
        <v>53</v>
      </c>
      <c r="N46" s="3">
        <v>46023</v>
      </c>
      <c r="O46" t="s">
        <v>371</v>
      </c>
      <c r="P46" s="18" t="s">
        <v>372</v>
      </c>
      <c r="R46" s="4" t="s">
        <v>57</v>
      </c>
      <c r="S46" t="str">
        <f>CONCATENATE(R46,66)</f>
        <v>00025199148K66</v>
      </c>
      <c r="T46" s="4" t="s">
        <v>461</v>
      </c>
      <c r="U46" t="s">
        <v>462</v>
      </c>
      <c r="V46" t="str">
        <f>CONCATENATE(U46," ",T46)</f>
        <v>BRETT CERVANTES</v>
      </c>
    </row>
    <row r="47" spans="1:44" x14ac:dyDescent="0.2">
      <c r="A47" s="4" t="s">
        <v>42</v>
      </c>
      <c r="B47">
        <v>371819</v>
      </c>
      <c r="C47" s="4" t="s">
        <v>56</v>
      </c>
      <c r="D47" s="4" t="s">
        <v>57</v>
      </c>
      <c r="E47" s="3">
        <v>46054</v>
      </c>
      <c r="F47" s="4" t="s">
        <v>61</v>
      </c>
      <c r="G47" s="4" t="s">
        <v>50</v>
      </c>
      <c r="H47" s="4" t="s">
        <v>51</v>
      </c>
      <c r="I47" s="4" t="s">
        <v>59</v>
      </c>
      <c r="J47" s="5">
        <v>0.92</v>
      </c>
      <c r="K47" s="5">
        <v>1</v>
      </c>
      <c r="L47" s="5">
        <v>318.08</v>
      </c>
      <c r="M47" s="4" t="s">
        <v>53</v>
      </c>
      <c r="N47" s="3">
        <v>46054</v>
      </c>
      <c r="O47" t="s">
        <v>371</v>
      </c>
      <c r="P47" s="18" t="s">
        <v>372</v>
      </c>
      <c r="R47" s="4" t="s">
        <v>57</v>
      </c>
      <c r="S47" t="str">
        <f>CONCATENATE(R47,66)</f>
        <v>00025199148K66</v>
      </c>
      <c r="T47" s="4" t="s">
        <v>461</v>
      </c>
      <c r="U47" t="s">
        <v>462</v>
      </c>
      <c r="V47" t="str">
        <f>CONCATENATE(U47," ",T47)</f>
        <v>BRETT CERVANTES</v>
      </c>
    </row>
    <row r="48" spans="1:44" x14ac:dyDescent="0.2">
      <c r="A48" s="4" t="s">
        <v>171</v>
      </c>
      <c r="B48">
        <v>9213293</v>
      </c>
      <c r="C48" s="4" t="s">
        <v>181</v>
      </c>
      <c r="D48" s="4" t="s">
        <v>182</v>
      </c>
      <c r="E48" s="3">
        <v>46023</v>
      </c>
      <c r="F48" s="4" t="s">
        <v>49</v>
      </c>
      <c r="G48" s="4" t="s">
        <v>50</v>
      </c>
      <c r="H48" s="4" t="s">
        <v>51</v>
      </c>
      <c r="I48" s="4" t="s">
        <v>52</v>
      </c>
      <c r="J48" s="5">
        <v>-0.92</v>
      </c>
      <c r="K48" s="5">
        <v>-1</v>
      </c>
      <c r="L48" s="5">
        <v>-151.25</v>
      </c>
      <c r="M48" s="4" t="s">
        <v>53</v>
      </c>
      <c r="N48" s="3">
        <v>46023</v>
      </c>
      <c r="O48" t="s">
        <v>373</v>
      </c>
      <c r="P48" s="18" t="s">
        <v>547</v>
      </c>
      <c r="R48" s="4" t="s">
        <v>182</v>
      </c>
      <c r="S48" t="str">
        <f>CONCATENATE(R48,26)</f>
        <v>00023765948K26</v>
      </c>
      <c r="T48" s="4" t="s">
        <v>384</v>
      </c>
      <c r="U48" t="s">
        <v>385</v>
      </c>
      <c r="V48" t="str">
        <f>CONCATENATE(U48," ",T48)</f>
        <v>RUSSELL LANCE</v>
      </c>
    </row>
    <row r="49" spans="1:44" x14ac:dyDescent="0.2">
      <c r="A49" s="4" t="s">
        <v>171</v>
      </c>
      <c r="B49">
        <v>9213293</v>
      </c>
      <c r="C49" s="4" t="s">
        <v>172</v>
      </c>
      <c r="D49" s="4" t="s">
        <v>173</v>
      </c>
      <c r="E49" s="3">
        <v>46054</v>
      </c>
      <c r="F49" s="4" t="s">
        <v>61</v>
      </c>
      <c r="G49" s="4" t="s">
        <v>50</v>
      </c>
      <c r="H49" s="4" t="s">
        <v>51</v>
      </c>
      <c r="I49" s="4" t="s">
        <v>52</v>
      </c>
      <c r="J49" s="5">
        <v>0.92</v>
      </c>
      <c r="K49" s="5">
        <v>1</v>
      </c>
      <c r="L49" s="5">
        <v>151.25</v>
      </c>
      <c r="M49" s="4" t="s">
        <v>53</v>
      </c>
      <c r="N49" s="3">
        <v>46054</v>
      </c>
      <c r="O49" t="s">
        <v>373</v>
      </c>
      <c r="P49" s="18" t="s">
        <v>547</v>
      </c>
      <c r="R49" s="4" t="s">
        <v>173</v>
      </c>
      <c r="S49" t="str">
        <f>CONCATENATE(R49,26)</f>
        <v>00019992467K26</v>
      </c>
      <c r="T49" s="4" t="s">
        <v>386</v>
      </c>
      <c r="U49" t="s">
        <v>387</v>
      </c>
      <c r="V49" t="str">
        <f>CONCATENATE(U49," ",T49)</f>
        <v>SHANELLE JACKSON</v>
      </c>
    </row>
    <row r="50" spans="1:44" x14ac:dyDescent="0.2">
      <c r="A50" s="4" t="s">
        <v>171</v>
      </c>
      <c r="B50">
        <v>9213293</v>
      </c>
      <c r="C50" s="4" t="s">
        <v>175</v>
      </c>
      <c r="D50" s="4" t="s">
        <v>176</v>
      </c>
      <c r="E50" s="3">
        <v>46023</v>
      </c>
      <c r="F50" s="4" t="s">
        <v>49</v>
      </c>
      <c r="G50" s="4" t="s">
        <v>178</v>
      </c>
      <c r="H50" s="4" t="s">
        <v>51</v>
      </c>
      <c r="I50" s="4" t="s">
        <v>59</v>
      </c>
      <c r="J50" s="5">
        <v>1</v>
      </c>
      <c r="K50" s="5">
        <v>1</v>
      </c>
      <c r="L50" s="5">
        <v>28.91</v>
      </c>
      <c r="M50" s="4" t="s">
        <v>179</v>
      </c>
      <c r="N50" s="3">
        <v>45962</v>
      </c>
      <c r="O50" t="s">
        <v>371</v>
      </c>
      <c r="P50" t="s">
        <v>374</v>
      </c>
      <c r="R50" s="4" t="s">
        <v>176</v>
      </c>
      <c r="S50" t="str">
        <f>CONCATENATE(R50,66)</f>
        <v>00020552959K66</v>
      </c>
      <c r="T50" s="4" t="s">
        <v>475</v>
      </c>
      <c r="U50" t="s">
        <v>476</v>
      </c>
      <c r="V50" t="str">
        <f>CONCATENATE(U50," ",T50)</f>
        <v>ANTHONY DANIEL</v>
      </c>
    </row>
    <row r="51" spans="1:44" x14ac:dyDescent="0.2">
      <c r="A51" s="4" t="s">
        <v>171</v>
      </c>
      <c r="B51">
        <v>9213293</v>
      </c>
      <c r="C51" s="4" t="s">
        <v>184</v>
      </c>
      <c r="D51" s="4" t="s">
        <v>185</v>
      </c>
      <c r="E51" s="3">
        <v>46023</v>
      </c>
      <c r="F51" s="4" t="s">
        <v>49</v>
      </c>
      <c r="G51" s="4" t="s">
        <v>50</v>
      </c>
      <c r="H51" s="4" t="s">
        <v>51</v>
      </c>
      <c r="I51" s="4" t="s">
        <v>52</v>
      </c>
      <c r="J51" s="5">
        <v>0.92</v>
      </c>
      <c r="K51" s="5">
        <v>1</v>
      </c>
      <c r="L51" s="5">
        <v>318.08</v>
      </c>
      <c r="M51" s="4" t="s">
        <v>53</v>
      </c>
      <c r="N51" s="3">
        <v>46023</v>
      </c>
      <c r="O51" t="s">
        <v>371</v>
      </c>
      <c r="P51" s="18" t="s">
        <v>372</v>
      </c>
      <c r="R51" s="4" t="s">
        <v>185</v>
      </c>
      <c r="S51" t="str">
        <f>CONCATENATE(R51,66)</f>
        <v>00024955998K66</v>
      </c>
      <c r="T51" s="4" t="s">
        <v>515</v>
      </c>
      <c r="U51" t="s">
        <v>516</v>
      </c>
      <c r="V51" t="str">
        <f>CONCATENATE(U51," ",T51)</f>
        <v>JEANNE ROYER</v>
      </c>
    </row>
    <row r="52" spans="1:44" x14ac:dyDescent="0.2">
      <c r="A52" s="4" t="s">
        <v>171</v>
      </c>
      <c r="B52">
        <v>9213293</v>
      </c>
      <c r="C52" s="4" t="s">
        <v>190</v>
      </c>
      <c r="D52" s="4" t="s">
        <v>191</v>
      </c>
      <c r="E52" s="3">
        <v>46054</v>
      </c>
      <c r="F52" s="4" t="s">
        <v>61</v>
      </c>
      <c r="G52" s="4" t="s">
        <v>50</v>
      </c>
      <c r="H52" s="4" t="s">
        <v>51</v>
      </c>
      <c r="I52" s="4" t="s">
        <v>52</v>
      </c>
      <c r="J52" s="5">
        <v>0.92</v>
      </c>
      <c r="K52" s="5">
        <v>1</v>
      </c>
      <c r="L52" s="5">
        <v>318.08</v>
      </c>
      <c r="M52" s="4" t="s">
        <v>53</v>
      </c>
      <c r="N52" s="3">
        <v>46054</v>
      </c>
      <c r="O52" t="s">
        <v>371</v>
      </c>
      <c r="P52" s="18" t="s">
        <v>372</v>
      </c>
      <c r="R52" s="4" t="s">
        <v>191</v>
      </c>
      <c r="S52" t="str">
        <f>CONCATENATE(R52,66)</f>
        <v>00025959304K66</v>
      </c>
      <c r="T52" s="4" t="s">
        <v>517</v>
      </c>
      <c r="U52" t="s">
        <v>518</v>
      </c>
      <c r="V52" t="str">
        <f>CONCATENATE(U52," ",T52)</f>
        <v>RAYMOND JODLOWSKI</v>
      </c>
    </row>
    <row r="53" spans="1:44" x14ac:dyDescent="0.2">
      <c r="A53" s="4" t="s">
        <v>171</v>
      </c>
      <c r="B53">
        <v>9213293</v>
      </c>
      <c r="C53" s="4" t="s">
        <v>187</v>
      </c>
      <c r="D53" s="4" t="s">
        <v>188</v>
      </c>
      <c r="E53" s="3">
        <v>46054</v>
      </c>
      <c r="F53" s="4" t="s">
        <v>61</v>
      </c>
      <c r="G53" s="4" t="s">
        <v>50</v>
      </c>
      <c r="H53" s="4" t="s">
        <v>51</v>
      </c>
      <c r="I53" s="4" t="s">
        <v>59</v>
      </c>
      <c r="J53" s="5">
        <v>0.92</v>
      </c>
      <c r="K53" s="5">
        <v>1</v>
      </c>
      <c r="L53" s="5">
        <v>318.08</v>
      </c>
      <c r="M53" s="4" t="s">
        <v>53</v>
      </c>
      <c r="N53" s="3">
        <v>46054</v>
      </c>
      <c r="O53" t="s">
        <v>371</v>
      </c>
      <c r="P53" s="18" t="s">
        <v>372</v>
      </c>
      <c r="R53" s="4" t="s">
        <v>188</v>
      </c>
      <c r="S53" t="str">
        <f>CONCATENATE(R53,66)</f>
        <v>00025944136K66</v>
      </c>
      <c r="T53" s="4" t="s">
        <v>533</v>
      </c>
      <c r="U53" t="s">
        <v>534</v>
      </c>
      <c r="V53" t="str">
        <f>CONCATENATE(U53," ",T53)</f>
        <v>JUDITH PLOPA</v>
      </c>
    </row>
    <row r="54" spans="1:44" x14ac:dyDescent="0.2">
      <c r="A54" s="4" t="s">
        <v>243</v>
      </c>
      <c r="B54">
        <v>19645587</v>
      </c>
      <c r="C54" s="4" t="s">
        <v>250</v>
      </c>
      <c r="D54" s="4" t="s">
        <v>251</v>
      </c>
      <c r="E54" s="3">
        <v>46023</v>
      </c>
      <c r="F54" s="4" t="s">
        <v>49</v>
      </c>
      <c r="G54" s="4" t="s">
        <v>50</v>
      </c>
      <c r="H54" s="4" t="s">
        <v>51</v>
      </c>
      <c r="I54" s="4" t="s">
        <v>59</v>
      </c>
      <c r="J54" s="5">
        <v>0</v>
      </c>
      <c r="K54" s="5">
        <v>-1</v>
      </c>
      <c r="L54" s="5">
        <v>-318.08999999999997</v>
      </c>
      <c r="M54" s="4" t="s">
        <v>161</v>
      </c>
      <c r="N54" s="3">
        <v>46023</v>
      </c>
      <c r="O54" t="s">
        <v>371</v>
      </c>
      <c r="P54" s="18" t="s">
        <v>372</v>
      </c>
      <c r="R54" s="4" t="s">
        <v>251</v>
      </c>
      <c r="S54" t="str">
        <f>CONCATENATE(R54,66)</f>
        <v>00025552127K66</v>
      </c>
      <c r="T54" s="4" t="s">
        <v>455</v>
      </c>
      <c r="U54" t="s">
        <v>456</v>
      </c>
      <c r="V54" t="str">
        <f>CONCATENATE(U54," ",T54)</f>
        <v>DEBORAH WELSH</v>
      </c>
    </row>
    <row r="55" spans="1:44" x14ac:dyDescent="0.2">
      <c r="A55" s="4" t="s">
        <v>243</v>
      </c>
      <c r="B55">
        <v>19645587</v>
      </c>
      <c r="C55" s="4" t="s">
        <v>247</v>
      </c>
      <c r="D55" s="4" t="s">
        <v>248</v>
      </c>
      <c r="E55" s="3">
        <v>46023</v>
      </c>
      <c r="F55" s="4" t="s">
        <v>49</v>
      </c>
      <c r="G55" s="4" t="s">
        <v>50</v>
      </c>
      <c r="H55" s="4" t="s">
        <v>51</v>
      </c>
      <c r="I55" s="4" t="s">
        <v>59</v>
      </c>
      <c r="J55" s="5">
        <v>-0.92</v>
      </c>
      <c r="K55" s="5">
        <v>-1</v>
      </c>
      <c r="L55" s="5">
        <v>-318.08</v>
      </c>
      <c r="M55" s="4" t="s">
        <v>53</v>
      </c>
      <c r="N55" s="3">
        <v>46023</v>
      </c>
      <c r="O55" t="s">
        <v>371</v>
      </c>
      <c r="P55" s="18" t="s">
        <v>372</v>
      </c>
      <c r="R55" s="4" t="s">
        <v>248</v>
      </c>
      <c r="S55" t="str">
        <f>CONCATENATE(R55,66)</f>
        <v>00024582757K66</v>
      </c>
      <c r="T55" s="4" t="s">
        <v>471</v>
      </c>
      <c r="U55" t="s">
        <v>472</v>
      </c>
      <c r="V55" t="str">
        <f>CONCATENATE(U55," ",T55)</f>
        <v>EDNA SCHENKEL</v>
      </c>
    </row>
    <row r="56" spans="1:44" x14ac:dyDescent="0.2">
      <c r="A56" s="4" t="s">
        <v>243</v>
      </c>
      <c r="B56">
        <v>19645587</v>
      </c>
      <c r="C56" s="4" t="s">
        <v>250</v>
      </c>
      <c r="D56" s="4" t="s">
        <v>251</v>
      </c>
      <c r="E56" s="3">
        <v>46023</v>
      </c>
      <c r="F56" s="4" t="s">
        <v>49</v>
      </c>
      <c r="G56" s="4" t="s">
        <v>50</v>
      </c>
      <c r="H56" s="4" t="s">
        <v>51</v>
      </c>
      <c r="I56" s="4" t="s">
        <v>59</v>
      </c>
      <c r="J56" s="5">
        <v>-0.92</v>
      </c>
      <c r="K56" s="5">
        <v>-1</v>
      </c>
      <c r="L56" s="5">
        <v>-318.08</v>
      </c>
      <c r="M56" s="4" t="s">
        <v>53</v>
      </c>
      <c r="N56" s="3">
        <v>46023</v>
      </c>
      <c r="O56" t="s">
        <v>371</v>
      </c>
      <c r="P56" s="18" t="s">
        <v>372</v>
      </c>
      <c r="R56" s="4" t="s">
        <v>251</v>
      </c>
      <c r="S56" t="str">
        <f>CONCATENATE(R56,66)</f>
        <v>00025552127K66</v>
      </c>
      <c r="T56" s="4" t="s">
        <v>455</v>
      </c>
      <c r="U56" t="s">
        <v>456</v>
      </c>
      <c r="V56" t="str">
        <f>CONCATENATE(U56," ",T56)</f>
        <v>DEBORAH WELSH</v>
      </c>
    </row>
    <row r="57" spans="1:44" x14ac:dyDescent="0.2">
      <c r="A57" s="4" t="s">
        <v>243</v>
      </c>
      <c r="B57">
        <v>19645587</v>
      </c>
      <c r="C57" s="4" t="s">
        <v>244</v>
      </c>
      <c r="D57" s="4" t="s">
        <v>245</v>
      </c>
      <c r="E57" s="3">
        <v>46023</v>
      </c>
      <c r="F57" s="4" t="s">
        <v>49</v>
      </c>
      <c r="G57" s="4" t="s">
        <v>178</v>
      </c>
      <c r="H57" s="4" t="s">
        <v>51</v>
      </c>
      <c r="I57" s="4" t="s">
        <v>59</v>
      </c>
      <c r="J57" s="5">
        <v>-1</v>
      </c>
      <c r="K57" s="5">
        <v>-1</v>
      </c>
      <c r="L57" s="5">
        <v>-28.91</v>
      </c>
      <c r="M57" s="4" t="s">
        <v>179</v>
      </c>
      <c r="N57" s="3">
        <v>45658</v>
      </c>
      <c r="O57" t="s">
        <v>371</v>
      </c>
      <c r="P57" t="s">
        <v>374</v>
      </c>
      <c r="R57" s="4" t="s">
        <v>245</v>
      </c>
      <c r="S57" t="str">
        <f>CONCATENATE(R57,66)</f>
        <v>00022586413K66</v>
      </c>
      <c r="T57" s="4" t="s">
        <v>473</v>
      </c>
      <c r="U57" t="s">
        <v>474</v>
      </c>
      <c r="V57" t="str">
        <f>CONCATENATE(U57," ",T57)</f>
        <v>PEDRO ROSQUETE</v>
      </c>
    </row>
    <row r="58" spans="1:44" x14ac:dyDescent="0.2">
      <c r="A58" s="14" t="s">
        <v>300</v>
      </c>
      <c r="B58" s="17">
        <v>9079571</v>
      </c>
      <c r="C58" s="14" t="s">
        <v>301</v>
      </c>
      <c r="D58" s="14" t="s">
        <v>302</v>
      </c>
      <c r="E58" s="15">
        <v>46054</v>
      </c>
      <c r="F58" s="14" t="s">
        <v>61</v>
      </c>
      <c r="G58" s="14" t="s">
        <v>50</v>
      </c>
      <c r="H58" s="14" t="s">
        <v>51</v>
      </c>
      <c r="I58" s="14" t="s">
        <v>46</v>
      </c>
      <c r="J58" s="16">
        <v>15</v>
      </c>
      <c r="K58" s="16">
        <v>117.54</v>
      </c>
      <c r="L58" s="16">
        <v>17.63</v>
      </c>
      <c r="M58" s="14" t="s">
        <v>53</v>
      </c>
      <c r="N58" s="15">
        <v>46023</v>
      </c>
      <c r="O58" s="17" t="s">
        <v>367</v>
      </c>
      <c r="P58" s="17"/>
      <c r="Q58" s="17"/>
      <c r="R58" s="14" t="s">
        <v>302</v>
      </c>
      <c r="S58" s="17" t="str">
        <f>CONCATENATE(R58,8)</f>
        <v>00001101774A8</v>
      </c>
      <c r="T58" s="14" t="s">
        <v>402</v>
      </c>
      <c r="U58" s="17" t="s">
        <v>403</v>
      </c>
      <c r="V58" t="str">
        <f>CONCATENATE(U58," ",T58)</f>
        <v>SUSAN GOODNITE</v>
      </c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spans="1:44" x14ac:dyDescent="0.2">
      <c r="A59" s="4" t="s">
        <v>138</v>
      </c>
      <c r="B59">
        <v>16509456</v>
      </c>
      <c r="C59" s="4" t="s">
        <v>138</v>
      </c>
      <c r="D59" s="4" t="s">
        <v>139</v>
      </c>
      <c r="E59" s="3">
        <v>46023</v>
      </c>
      <c r="F59" s="4" t="s">
        <v>49</v>
      </c>
      <c r="G59" s="4" t="s">
        <v>50</v>
      </c>
      <c r="H59" s="4" t="s">
        <v>51</v>
      </c>
      <c r="I59" s="4" t="s">
        <v>52</v>
      </c>
      <c r="J59" s="5">
        <v>1</v>
      </c>
      <c r="K59" s="5">
        <v>1</v>
      </c>
      <c r="L59" s="5">
        <v>347</v>
      </c>
      <c r="M59" s="4" t="s">
        <v>53</v>
      </c>
      <c r="N59" s="3">
        <v>46023</v>
      </c>
      <c r="O59" t="s">
        <v>371</v>
      </c>
      <c r="P59" s="18" t="s">
        <v>370</v>
      </c>
      <c r="R59" s="4" t="s">
        <v>139</v>
      </c>
      <c r="S59" t="str">
        <f>CONCATENATE(R59,66)</f>
        <v>00024590403K66</v>
      </c>
      <c r="T59" s="4" t="s">
        <v>543</v>
      </c>
      <c r="U59" t="s">
        <v>544</v>
      </c>
      <c r="V59" t="str">
        <f>CONCATENATE(U59," ",T59)</f>
        <v>PETER RICHTER</v>
      </c>
    </row>
    <row r="60" spans="1:44" x14ac:dyDescent="0.2">
      <c r="A60" s="4" t="s">
        <v>101</v>
      </c>
      <c r="B60">
        <v>16228684</v>
      </c>
      <c r="C60" s="4" t="s">
        <v>102</v>
      </c>
      <c r="D60" s="4" t="s">
        <v>103</v>
      </c>
      <c r="E60" s="3">
        <v>46054</v>
      </c>
      <c r="F60" s="4" t="s">
        <v>61</v>
      </c>
      <c r="G60" s="4" t="s">
        <v>50</v>
      </c>
      <c r="H60" s="4" t="s">
        <v>51</v>
      </c>
      <c r="I60" s="4" t="s">
        <v>52</v>
      </c>
      <c r="J60" s="5">
        <v>0.92</v>
      </c>
      <c r="K60" s="5">
        <v>1</v>
      </c>
      <c r="L60" s="5">
        <v>318.08</v>
      </c>
      <c r="M60" s="4" t="s">
        <v>53</v>
      </c>
      <c r="N60" s="3">
        <v>46054</v>
      </c>
      <c r="O60" t="s">
        <v>371</v>
      </c>
      <c r="P60" s="18" t="s">
        <v>372</v>
      </c>
      <c r="R60" s="4" t="s">
        <v>103</v>
      </c>
      <c r="S60" t="str">
        <f>CONCATENATE(R60,66)</f>
        <v>00008459655K66</v>
      </c>
      <c r="T60" s="4" t="s">
        <v>495</v>
      </c>
      <c r="U60" t="s">
        <v>496</v>
      </c>
      <c r="V60" t="str">
        <f>CONCATENATE(U60," ",T60)</f>
        <v>PARMOD KUMAR</v>
      </c>
    </row>
    <row r="61" spans="1:44" x14ac:dyDescent="0.2">
      <c r="A61" s="4" t="s">
        <v>101</v>
      </c>
      <c r="B61">
        <v>16228684</v>
      </c>
      <c r="C61" s="4" t="s">
        <v>105</v>
      </c>
      <c r="D61" s="4" t="s">
        <v>106</v>
      </c>
      <c r="E61" s="3">
        <v>46054</v>
      </c>
      <c r="F61" s="4" t="s">
        <v>61</v>
      </c>
      <c r="G61" s="4" t="s">
        <v>50</v>
      </c>
      <c r="H61" s="4" t="s">
        <v>51</v>
      </c>
      <c r="I61" s="4" t="s">
        <v>52</v>
      </c>
      <c r="J61" s="5">
        <v>0.92</v>
      </c>
      <c r="K61" s="5">
        <v>1</v>
      </c>
      <c r="L61" s="5">
        <v>318.08</v>
      </c>
      <c r="M61" s="4" t="s">
        <v>53</v>
      </c>
      <c r="N61" s="3">
        <v>46054</v>
      </c>
      <c r="O61" t="s">
        <v>371</v>
      </c>
      <c r="P61" s="18" t="s">
        <v>372</v>
      </c>
      <c r="R61" s="4" t="s">
        <v>106</v>
      </c>
      <c r="S61" t="str">
        <f>CONCATENATE(R61,66)</f>
        <v>00009430398K66</v>
      </c>
      <c r="T61" s="4" t="s">
        <v>497</v>
      </c>
      <c r="U61" t="s">
        <v>498</v>
      </c>
      <c r="V61" t="str">
        <f>CONCATENATE(U61," ",T61)</f>
        <v>JACK BROWN</v>
      </c>
    </row>
    <row r="62" spans="1:44" x14ac:dyDescent="0.2">
      <c r="A62" s="4" t="s">
        <v>101</v>
      </c>
      <c r="B62">
        <v>16228684</v>
      </c>
      <c r="C62" s="4" t="s">
        <v>108</v>
      </c>
      <c r="D62" s="4" t="s">
        <v>109</v>
      </c>
      <c r="E62" s="3">
        <v>46054</v>
      </c>
      <c r="F62" s="4" t="s">
        <v>61</v>
      </c>
      <c r="G62" s="4" t="s">
        <v>50</v>
      </c>
      <c r="H62" s="4" t="s">
        <v>51</v>
      </c>
      <c r="I62" s="4" t="s">
        <v>52</v>
      </c>
      <c r="J62" s="5">
        <v>0.92</v>
      </c>
      <c r="K62" s="5">
        <v>1</v>
      </c>
      <c r="L62" s="5">
        <v>318.08</v>
      </c>
      <c r="M62" s="4" t="s">
        <v>53</v>
      </c>
      <c r="N62" s="3">
        <v>46054</v>
      </c>
      <c r="O62" t="s">
        <v>371</v>
      </c>
      <c r="P62" s="18" t="s">
        <v>372</v>
      </c>
      <c r="R62" s="4" t="s">
        <v>109</v>
      </c>
      <c r="S62" t="str">
        <f>CONCATENATE(R62,66)</f>
        <v>00013363129K66</v>
      </c>
      <c r="T62" s="4" t="s">
        <v>499</v>
      </c>
      <c r="U62" t="s">
        <v>500</v>
      </c>
      <c r="V62" t="str">
        <f>CONCATENATE(U62," ",T62)</f>
        <v>MARY TURNER</v>
      </c>
    </row>
    <row r="63" spans="1:44" x14ac:dyDescent="0.2">
      <c r="A63" s="4" t="s">
        <v>101</v>
      </c>
      <c r="B63">
        <v>16228684</v>
      </c>
      <c r="C63" s="4" t="s">
        <v>111</v>
      </c>
      <c r="D63" s="4" t="s">
        <v>112</v>
      </c>
      <c r="E63" s="3">
        <v>46054</v>
      </c>
      <c r="F63" s="4" t="s">
        <v>61</v>
      </c>
      <c r="G63" s="4" t="s">
        <v>50</v>
      </c>
      <c r="H63" s="4" t="s">
        <v>51</v>
      </c>
      <c r="I63" s="4" t="s">
        <v>52</v>
      </c>
      <c r="J63" s="5">
        <v>0.92</v>
      </c>
      <c r="K63" s="5">
        <v>1</v>
      </c>
      <c r="L63" s="5">
        <v>318.08</v>
      </c>
      <c r="M63" s="4" t="s">
        <v>53</v>
      </c>
      <c r="N63" s="3">
        <v>46054</v>
      </c>
      <c r="O63" t="s">
        <v>371</v>
      </c>
      <c r="P63" s="18" t="s">
        <v>372</v>
      </c>
      <c r="R63" s="4" t="s">
        <v>112</v>
      </c>
      <c r="S63" t="str">
        <f>CONCATENATE(R63,66)</f>
        <v>00013752362K66</v>
      </c>
      <c r="T63" s="4" t="s">
        <v>495</v>
      </c>
      <c r="U63" t="s">
        <v>501</v>
      </c>
      <c r="V63" t="str">
        <f>CONCATENATE(U63," ",T63)</f>
        <v>JUNE KUMAR</v>
      </c>
    </row>
    <row r="64" spans="1:44" x14ac:dyDescent="0.2">
      <c r="A64" s="4" t="s">
        <v>101</v>
      </c>
      <c r="B64">
        <v>16228684</v>
      </c>
      <c r="C64" s="4" t="s">
        <v>114</v>
      </c>
      <c r="D64" s="4" t="s">
        <v>115</v>
      </c>
      <c r="E64" s="3">
        <v>46054</v>
      </c>
      <c r="F64" s="4" t="s">
        <v>61</v>
      </c>
      <c r="G64" s="4" t="s">
        <v>50</v>
      </c>
      <c r="H64" s="4" t="s">
        <v>51</v>
      </c>
      <c r="I64" s="4" t="s">
        <v>52</v>
      </c>
      <c r="J64" s="5">
        <v>0.92</v>
      </c>
      <c r="K64" s="5">
        <v>1</v>
      </c>
      <c r="L64" s="5">
        <v>318.08</v>
      </c>
      <c r="M64" s="4" t="s">
        <v>53</v>
      </c>
      <c r="N64" s="3">
        <v>46054</v>
      </c>
      <c r="O64" t="s">
        <v>371</v>
      </c>
      <c r="P64" s="18" t="s">
        <v>372</v>
      </c>
      <c r="R64" s="4" t="s">
        <v>115</v>
      </c>
      <c r="S64" t="str">
        <f>CONCATENATE(R64,66)</f>
        <v>00025946847K66</v>
      </c>
      <c r="T64" s="4" t="s">
        <v>502</v>
      </c>
      <c r="U64" t="s">
        <v>503</v>
      </c>
      <c r="V64" t="str">
        <f>CONCATENATE(U64," ",T64)</f>
        <v>GEORGETTE KIDD</v>
      </c>
    </row>
    <row r="65" spans="1:44" x14ac:dyDescent="0.2">
      <c r="A65" s="4" t="s">
        <v>101</v>
      </c>
      <c r="B65">
        <v>16228684</v>
      </c>
      <c r="C65" s="4" t="s">
        <v>117</v>
      </c>
      <c r="D65" s="4" t="s">
        <v>118</v>
      </c>
      <c r="E65" s="3">
        <v>46054</v>
      </c>
      <c r="F65" s="4" t="s">
        <v>61</v>
      </c>
      <c r="G65" s="4" t="s">
        <v>50</v>
      </c>
      <c r="H65" s="4" t="s">
        <v>51</v>
      </c>
      <c r="I65" s="4" t="s">
        <v>52</v>
      </c>
      <c r="J65" s="5">
        <v>0.92</v>
      </c>
      <c r="K65" s="5">
        <v>1</v>
      </c>
      <c r="L65" s="5">
        <v>318.08</v>
      </c>
      <c r="M65" s="4" t="s">
        <v>53</v>
      </c>
      <c r="N65" s="3">
        <v>46054</v>
      </c>
      <c r="O65" t="s">
        <v>371</v>
      </c>
      <c r="P65" s="18" t="s">
        <v>372</v>
      </c>
      <c r="R65" s="4" t="s">
        <v>118</v>
      </c>
      <c r="S65" t="str">
        <f>CONCATENATE(R65,66)</f>
        <v>00025978179K66</v>
      </c>
      <c r="T65" s="4" t="s">
        <v>504</v>
      </c>
      <c r="U65" t="s">
        <v>505</v>
      </c>
      <c r="V65" t="str">
        <f>CONCATENATE(U65," ",T65)</f>
        <v>MAUREEN PERAZZOLO</v>
      </c>
    </row>
    <row r="66" spans="1:44" x14ac:dyDescent="0.2">
      <c r="A66" s="4" t="s">
        <v>101</v>
      </c>
      <c r="B66">
        <v>16228684</v>
      </c>
      <c r="C66" s="4" t="s">
        <v>120</v>
      </c>
      <c r="D66" s="4" t="s">
        <v>121</v>
      </c>
      <c r="E66" s="3">
        <v>46054</v>
      </c>
      <c r="F66" s="4" t="s">
        <v>61</v>
      </c>
      <c r="G66" s="4" t="s">
        <v>50</v>
      </c>
      <c r="H66" s="4" t="s">
        <v>51</v>
      </c>
      <c r="I66" s="4" t="s">
        <v>52</v>
      </c>
      <c r="J66" s="5">
        <v>0.92</v>
      </c>
      <c r="K66" s="5">
        <v>1</v>
      </c>
      <c r="L66" s="5">
        <v>318.08</v>
      </c>
      <c r="M66" s="4" t="s">
        <v>53</v>
      </c>
      <c r="N66" s="3">
        <v>46054</v>
      </c>
      <c r="O66" t="s">
        <v>371</v>
      </c>
      <c r="P66" s="18" t="s">
        <v>372</v>
      </c>
      <c r="R66" s="4" t="s">
        <v>121</v>
      </c>
      <c r="S66" t="str">
        <f>CONCATENATE(R66,66)</f>
        <v>00025981100K66</v>
      </c>
      <c r="T66" s="4" t="s">
        <v>504</v>
      </c>
      <c r="U66" t="s">
        <v>506</v>
      </c>
      <c r="V66" t="str">
        <f>CONCATENATE(U66," ",T66)</f>
        <v>SCOTT PERAZZOLO</v>
      </c>
    </row>
    <row r="67" spans="1:44" x14ac:dyDescent="0.2">
      <c r="A67" s="4" t="s">
        <v>216</v>
      </c>
      <c r="B67">
        <v>19586992</v>
      </c>
      <c r="C67" s="4" t="s">
        <v>217</v>
      </c>
      <c r="D67" s="4" t="s">
        <v>218</v>
      </c>
      <c r="E67" s="3">
        <v>46054</v>
      </c>
      <c r="F67" s="4" t="s">
        <v>61</v>
      </c>
      <c r="G67" s="4" t="s">
        <v>50</v>
      </c>
      <c r="H67" s="4" t="s">
        <v>51</v>
      </c>
      <c r="I67" s="4" t="s">
        <v>52</v>
      </c>
      <c r="J67" s="5">
        <v>0.92</v>
      </c>
      <c r="K67" s="5">
        <v>1</v>
      </c>
      <c r="L67" s="5">
        <v>318.08</v>
      </c>
      <c r="M67" s="4" t="s">
        <v>53</v>
      </c>
      <c r="N67" s="3">
        <v>46054</v>
      </c>
      <c r="O67" t="s">
        <v>371</v>
      </c>
      <c r="P67" s="18" t="s">
        <v>372</v>
      </c>
      <c r="R67" s="4" t="s">
        <v>218</v>
      </c>
      <c r="S67" t="str">
        <f>CONCATENATE(R67,66)</f>
        <v>00025950489K66</v>
      </c>
      <c r="T67" s="4" t="s">
        <v>521</v>
      </c>
      <c r="U67" t="s">
        <v>522</v>
      </c>
      <c r="V67" t="str">
        <f>CONCATENATE(U67," ",T67)</f>
        <v>PAUL RIZZO</v>
      </c>
    </row>
    <row r="68" spans="1:44" x14ac:dyDescent="0.2">
      <c r="A68" s="4" t="s">
        <v>216</v>
      </c>
      <c r="B68">
        <v>19586992</v>
      </c>
      <c r="C68" s="4" t="s">
        <v>220</v>
      </c>
      <c r="D68" s="4" t="s">
        <v>221</v>
      </c>
      <c r="E68" s="3">
        <v>46054</v>
      </c>
      <c r="F68" s="4" t="s">
        <v>61</v>
      </c>
      <c r="G68" s="4" t="s">
        <v>50</v>
      </c>
      <c r="H68" s="4" t="s">
        <v>51</v>
      </c>
      <c r="I68" s="4" t="s">
        <v>59</v>
      </c>
      <c r="J68" s="5">
        <v>0.92</v>
      </c>
      <c r="K68" s="5">
        <v>1</v>
      </c>
      <c r="L68" s="5">
        <v>318.08</v>
      </c>
      <c r="M68" s="4" t="s">
        <v>53</v>
      </c>
      <c r="N68" s="3">
        <v>46054</v>
      </c>
      <c r="O68" t="s">
        <v>371</v>
      </c>
      <c r="P68" s="18" t="s">
        <v>372</v>
      </c>
      <c r="R68" s="4" t="s">
        <v>221</v>
      </c>
      <c r="S68" t="str">
        <f>CONCATENATE(R68,66)</f>
        <v>00025959508K66</v>
      </c>
      <c r="T68" s="4" t="s">
        <v>538</v>
      </c>
      <c r="U68" t="s">
        <v>498</v>
      </c>
      <c r="V68" t="str">
        <f>CONCATENATE(U68," ",T68)</f>
        <v>JACK BROOKS</v>
      </c>
    </row>
    <row r="69" spans="1:44" x14ac:dyDescent="0.2">
      <c r="A69" s="4" t="s">
        <v>268</v>
      </c>
      <c r="B69">
        <v>18142208</v>
      </c>
      <c r="C69" s="4" t="s">
        <v>269</v>
      </c>
      <c r="D69" s="4" t="s">
        <v>270</v>
      </c>
      <c r="E69" s="3">
        <v>46054</v>
      </c>
      <c r="F69" s="4" t="s">
        <v>61</v>
      </c>
      <c r="G69" s="4" t="s">
        <v>50</v>
      </c>
      <c r="H69" s="4" t="s">
        <v>51</v>
      </c>
      <c r="I69" s="4" t="s">
        <v>52</v>
      </c>
      <c r="J69" s="5">
        <v>0.92</v>
      </c>
      <c r="K69" s="5">
        <v>1</v>
      </c>
      <c r="L69" s="5">
        <v>318.08</v>
      </c>
      <c r="M69" s="4" t="s">
        <v>53</v>
      </c>
      <c r="N69" s="3">
        <v>46054</v>
      </c>
      <c r="O69" t="s">
        <v>371</v>
      </c>
      <c r="P69" s="18" t="s">
        <v>372</v>
      </c>
      <c r="R69" s="4" t="s">
        <v>270</v>
      </c>
      <c r="S69" t="str">
        <f>CONCATENATE(R69,66)</f>
        <v>00025980223K66</v>
      </c>
      <c r="T69" s="4" t="s">
        <v>528</v>
      </c>
      <c r="U69" t="s">
        <v>529</v>
      </c>
      <c r="V69" t="str">
        <f>CONCATENATE(U69," ",T69)</f>
        <v>DOROTHY BAUNACH</v>
      </c>
    </row>
    <row r="70" spans="1:44" x14ac:dyDescent="0.2">
      <c r="A70" s="10" t="s">
        <v>284</v>
      </c>
      <c r="B70" s="13">
        <v>14177521</v>
      </c>
      <c r="C70" s="10" t="s">
        <v>285</v>
      </c>
      <c r="D70" s="10" t="s">
        <v>286</v>
      </c>
      <c r="E70" s="11">
        <v>46023</v>
      </c>
      <c r="F70" s="10" t="s">
        <v>49</v>
      </c>
      <c r="G70" s="10" t="s">
        <v>178</v>
      </c>
      <c r="H70" s="10" t="s">
        <v>281</v>
      </c>
      <c r="I70" s="10" t="s">
        <v>46</v>
      </c>
      <c r="J70" s="12">
        <v>10</v>
      </c>
      <c r="K70" s="12">
        <v>-6.27</v>
      </c>
      <c r="L70" s="12">
        <v>-0.63</v>
      </c>
      <c r="M70" s="10" t="s">
        <v>179</v>
      </c>
      <c r="N70" s="11">
        <v>45658</v>
      </c>
      <c r="O70" s="13" t="s">
        <v>365</v>
      </c>
      <c r="P70" s="13"/>
      <c r="Q70" s="13"/>
      <c r="R70" s="25">
        <v>416672</v>
      </c>
      <c r="S70" s="13" t="str">
        <f>CONCATENATE(R70,7)</f>
        <v>4166727</v>
      </c>
      <c r="T70" s="10" t="s">
        <v>447</v>
      </c>
      <c r="U70" s="13" t="s">
        <v>448</v>
      </c>
      <c r="V70" s="10" t="s">
        <v>285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x14ac:dyDescent="0.2">
      <c r="A71" s="4" t="s">
        <v>223</v>
      </c>
      <c r="B71">
        <v>19681796</v>
      </c>
      <c r="C71" s="4" t="s">
        <v>224</v>
      </c>
      <c r="D71" s="4" t="s">
        <v>225</v>
      </c>
      <c r="E71" s="3">
        <v>46054</v>
      </c>
      <c r="F71" s="4" t="s">
        <v>61</v>
      </c>
      <c r="G71" s="4" t="s">
        <v>50</v>
      </c>
      <c r="H71" s="4" t="s">
        <v>51</v>
      </c>
      <c r="I71" s="4" t="s">
        <v>52</v>
      </c>
      <c r="J71" s="5">
        <v>0.92</v>
      </c>
      <c r="K71" s="5">
        <v>1</v>
      </c>
      <c r="L71" s="5">
        <v>318.08</v>
      </c>
      <c r="M71" s="4" t="s">
        <v>53</v>
      </c>
      <c r="N71" s="3">
        <v>46054</v>
      </c>
      <c r="O71" t="s">
        <v>371</v>
      </c>
      <c r="P71" s="18" t="s">
        <v>372</v>
      </c>
      <c r="R71" s="4" t="s">
        <v>225</v>
      </c>
      <c r="S71" t="str">
        <f>CONCATENATE(R71,66)</f>
        <v>00013636650K66</v>
      </c>
      <c r="T71" s="4" t="s">
        <v>523</v>
      </c>
      <c r="U71" t="s">
        <v>524</v>
      </c>
      <c r="V71" t="str">
        <f>CONCATENATE(U71," ",T71)</f>
        <v>PATRICIA MUDGETT</v>
      </c>
    </row>
    <row r="72" spans="1:44" x14ac:dyDescent="0.2">
      <c r="A72" s="4" t="s">
        <v>223</v>
      </c>
      <c r="B72">
        <v>19681796</v>
      </c>
      <c r="C72" s="4" t="s">
        <v>227</v>
      </c>
      <c r="D72" s="4" t="s">
        <v>228</v>
      </c>
      <c r="E72" s="3">
        <v>46054</v>
      </c>
      <c r="F72" s="4" t="s">
        <v>61</v>
      </c>
      <c r="G72" s="4" t="s">
        <v>50</v>
      </c>
      <c r="H72" s="4" t="s">
        <v>51</v>
      </c>
      <c r="I72" s="4" t="s">
        <v>52</v>
      </c>
      <c r="J72" s="5">
        <v>0.92</v>
      </c>
      <c r="K72" s="5">
        <v>1</v>
      </c>
      <c r="L72" s="5">
        <v>318.08</v>
      </c>
      <c r="M72" s="4" t="s">
        <v>53</v>
      </c>
      <c r="N72" s="3">
        <v>46054</v>
      </c>
      <c r="O72" t="s">
        <v>371</v>
      </c>
      <c r="P72" s="18" t="s">
        <v>372</v>
      </c>
      <c r="R72" s="4" t="s">
        <v>228</v>
      </c>
      <c r="S72" t="str">
        <f>CONCATENATE(R72,66)</f>
        <v>00025982685K66</v>
      </c>
      <c r="T72" s="4" t="s">
        <v>525</v>
      </c>
      <c r="U72" t="s">
        <v>401</v>
      </c>
      <c r="V72" t="str">
        <f>CONCATENATE(U72," ",T72)</f>
        <v>DAVID ALLAN</v>
      </c>
    </row>
    <row r="73" spans="1:44" x14ac:dyDescent="0.2">
      <c r="A73" s="4" t="s">
        <v>76</v>
      </c>
      <c r="B73">
        <v>8307933</v>
      </c>
      <c r="C73" s="4" t="s">
        <v>77</v>
      </c>
      <c r="D73" s="4" t="s">
        <v>78</v>
      </c>
      <c r="E73" s="3">
        <v>46082</v>
      </c>
      <c r="F73" s="4" t="s">
        <v>80</v>
      </c>
      <c r="G73" s="4" t="s">
        <v>50</v>
      </c>
      <c r="H73" s="4" t="s">
        <v>51</v>
      </c>
      <c r="I73" s="4" t="s">
        <v>59</v>
      </c>
      <c r="J73" s="5">
        <v>0.83</v>
      </c>
      <c r="K73" s="5">
        <v>1</v>
      </c>
      <c r="L73" s="5">
        <v>289.17</v>
      </c>
      <c r="M73" s="4" t="s">
        <v>53</v>
      </c>
      <c r="N73" s="3">
        <v>46082</v>
      </c>
      <c r="O73" t="s">
        <v>371</v>
      </c>
      <c r="P73" s="18" t="s">
        <v>378</v>
      </c>
      <c r="Q73">
        <f>347/12*10</f>
        <v>289.16666666666669</v>
      </c>
      <c r="R73" s="4" t="s">
        <v>78</v>
      </c>
      <c r="S73" t="str">
        <f>CONCATENATE(R73,66)</f>
        <v>00025957840K66</v>
      </c>
      <c r="T73" s="4" t="s">
        <v>481</v>
      </c>
      <c r="U73" t="s">
        <v>482</v>
      </c>
      <c r="V73" t="str">
        <f>CONCATENATE(U73," ",T73)</f>
        <v>CHRISTIAN COMSTOCK</v>
      </c>
    </row>
    <row r="74" spans="1:44" x14ac:dyDescent="0.2">
      <c r="A74" s="4" t="s">
        <v>76</v>
      </c>
      <c r="B74">
        <v>8307933</v>
      </c>
      <c r="C74" s="4" t="s">
        <v>81</v>
      </c>
      <c r="D74" s="4" t="s">
        <v>82</v>
      </c>
      <c r="E74" s="3">
        <v>46054</v>
      </c>
      <c r="F74" s="4" t="s">
        <v>61</v>
      </c>
      <c r="G74" s="4" t="s">
        <v>50</v>
      </c>
      <c r="H74" s="4" t="s">
        <v>51</v>
      </c>
      <c r="I74" s="4" t="s">
        <v>52</v>
      </c>
      <c r="J74" s="5">
        <v>0.92</v>
      </c>
      <c r="K74" s="5">
        <v>1</v>
      </c>
      <c r="L74" s="5">
        <v>318.08</v>
      </c>
      <c r="M74" s="4" t="s">
        <v>53</v>
      </c>
      <c r="N74" s="3">
        <v>46054</v>
      </c>
      <c r="O74" t="s">
        <v>371</v>
      </c>
      <c r="P74" s="18" t="s">
        <v>372</v>
      </c>
      <c r="R74" s="4" t="s">
        <v>82</v>
      </c>
      <c r="S74" t="str">
        <f>CONCATENATE(R74,66)</f>
        <v>00025958760K66</v>
      </c>
      <c r="T74" s="4" t="s">
        <v>489</v>
      </c>
      <c r="U74" t="s">
        <v>490</v>
      </c>
      <c r="V74" t="str">
        <f>CONCATENATE(U74," ",T74)</f>
        <v>JOSHUA SHAW</v>
      </c>
    </row>
    <row r="75" spans="1:44" x14ac:dyDescent="0.2">
      <c r="A75" s="4" t="s">
        <v>212</v>
      </c>
      <c r="B75">
        <v>8405446</v>
      </c>
      <c r="C75" s="4" t="s">
        <v>213</v>
      </c>
      <c r="D75" s="4" t="s">
        <v>214</v>
      </c>
      <c r="E75" s="3">
        <v>46054</v>
      </c>
      <c r="F75" s="4" t="s">
        <v>61</v>
      </c>
      <c r="G75" s="4" t="s">
        <v>50</v>
      </c>
      <c r="H75" s="4" t="s">
        <v>51</v>
      </c>
      <c r="I75" s="4" t="s">
        <v>59</v>
      </c>
      <c r="J75" s="5">
        <v>0.92</v>
      </c>
      <c r="K75" s="5">
        <v>1</v>
      </c>
      <c r="L75" s="5">
        <v>318.08</v>
      </c>
      <c r="M75" s="4" t="s">
        <v>53</v>
      </c>
      <c r="N75" s="3">
        <v>46054</v>
      </c>
      <c r="O75" t="s">
        <v>371</v>
      </c>
      <c r="P75" s="18" t="s">
        <v>372</v>
      </c>
      <c r="R75" s="4" t="s">
        <v>214</v>
      </c>
      <c r="S75" t="str">
        <f>CONCATENATE(R75,66)</f>
        <v>00025982104K66</v>
      </c>
      <c r="T75" s="4" t="s">
        <v>536</v>
      </c>
      <c r="U75" t="s">
        <v>537</v>
      </c>
      <c r="V75" t="str">
        <f>CONCATENATE(U75," ",T75)</f>
        <v>XAY XAYAKHAM</v>
      </c>
    </row>
    <row r="76" spans="1:44" s="9" customFormat="1" x14ac:dyDescent="0.2">
      <c r="A76" s="4" t="s">
        <v>257</v>
      </c>
      <c r="B76">
        <v>20212926</v>
      </c>
      <c r="C76" s="4" t="s">
        <v>258</v>
      </c>
      <c r="D76" s="4" t="s">
        <v>259</v>
      </c>
      <c r="E76" s="3">
        <v>46054</v>
      </c>
      <c r="F76" s="4" t="s">
        <v>61</v>
      </c>
      <c r="G76" s="4" t="s">
        <v>50</v>
      </c>
      <c r="H76" s="4" t="s">
        <v>51</v>
      </c>
      <c r="I76" s="4" t="s">
        <v>59</v>
      </c>
      <c r="J76" s="5">
        <v>0.92</v>
      </c>
      <c r="K76" s="5">
        <v>1</v>
      </c>
      <c r="L76" s="5">
        <v>318.08</v>
      </c>
      <c r="M76" s="4" t="s">
        <v>53</v>
      </c>
      <c r="N76" s="3">
        <v>46054</v>
      </c>
      <c r="O76" t="s">
        <v>371</v>
      </c>
      <c r="P76" s="18" t="s">
        <v>372</v>
      </c>
      <c r="Q76"/>
      <c r="R76" s="4" t="s">
        <v>259</v>
      </c>
      <c r="S76" t="str">
        <f>CONCATENATE(R76,66)</f>
        <v>00023314572K66</v>
      </c>
      <c r="T76" s="4" t="s">
        <v>539</v>
      </c>
      <c r="U76" t="s">
        <v>540</v>
      </c>
      <c r="V76" t="str">
        <f>CONCATENATE(U76," ",T76)</f>
        <v>CARLOS CHAVEZ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s="13" customFormat="1" x14ac:dyDescent="0.2">
      <c r="A77" s="4" t="s">
        <v>257</v>
      </c>
      <c r="B77">
        <v>20212926</v>
      </c>
      <c r="C77" s="4" t="s">
        <v>261</v>
      </c>
      <c r="D77" s="4" t="s">
        <v>262</v>
      </c>
      <c r="E77" s="3">
        <v>46054</v>
      </c>
      <c r="F77" s="4" t="s">
        <v>61</v>
      </c>
      <c r="G77" s="4" t="s">
        <v>50</v>
      </c>
      <c r="H77" s="4" t="s">
        <v>51</v>
      </c>
      <c r="I77" s="4" t="s">
        <v>59</v>
      </c>
      <c r="J77" s="5">
        <v>0.92</v>
      </c>
      <c r="K77" s="5">
        <v>1</v>
      </c>
      <c r="L77" s="5">
        <v>318.08</v>
      </c>
      <c r="M77" s="4" t="s">
        <v>53</v>
      </c>
      <c r="N77" s="3">
        <v>46054</v>
      </c>
      <c r="O77" t="s">
        <v>371</v>
      </c>
      <c r="P77" s="18" t="s">
        <v>372</v>
      </c>
      <c r="Q77"/>
      <c r="R77" s="4" t="s">
        <v>262</v>
      </c>
      <c r="S77" t="str">
        <f>CONCATENATE(R77,66)</f>
        <v>00025972977K66</v>
      </c>
      <c r="T77" s="4" t="s">
        <v>541</v>
      </c>
      <c r="U77" t="s">
        <v>542</v>
      </c>
      <c r="V77" t="str">
        <f>CONCATENATE(U77," ",T77)</f>
        <v>LUIS JIMENEZ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1:44" s="9" customFormat="1" x14ac:dyDescent="0.2">
      <c r="A78" s="4" t="s">
        <v>91</v>
      </c>
      <c r="B78">
        <v>8325282</v>
      </c>
      <c r="C78" s="4" t="s">
        <v>95</v>
      </c>
      <c r="D78" s="4" t="s">
        <v>96</v>
      </c>
      <c r="E78" s="3">
        <v>46023</v>
      </c>
      <c r="F78" s="4" t="s">
        <v>49</v>
      </c>
      <c r="G78" s="4" t="s">
        <v>50</v>
      </c>
      <c r="H78" s="4" t="s">
        <v>51</v>
      </c>
      <c r="I78" s="4" t="s">
        <v>52</v>
      </c>
      <c r="J78" s="5">
        <v>-0.92</v>
      </c>
      <c r="K78" s="5">
        <v>-1</v>
      </c>
      <c r="L78" s="5">
        <v>-151.25</v>
      </c>
      <c r="M78" s="4" t="s">
        <v>53</v>
      </c>
      <c r="N78" s="3">
        <v>46023</v>
      </c>
      <c r="O78" t="s">
        <v>373</v>
      </c>
      <c r="P78" s="18" t="s">
        <v>547</v>
      </c>
      <c r="Q78"/>
      <c r="R78" s="4" t="s">
        <v>96</v>
      </c>
      <c r="S78" t="str">
        <f>CONCATENATE(R78,26)</f>
        <v>00019292757K26</v>
      </c>
      <c r="T78" s="4" t="s">
        <v>381</v>
      </c>
      <c r="U78" t="s">
        <v>382</v>
      </c>
      <c r="V78" t="str">
        <f>CONCATENATE(U78," ",T78)</f>
        <v>KULSOOM POONJA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:44" s="13" customFormat="1" x14ac:dyDescent="0.2">
      <c r="A79" s="4" t="s">
        <v>91</v>
      </c>
      <c r="B79">
        <v>8325282</v>
      </c>
      <c r="C79" s="4" t="s">
        <v>98</v>
      </c>
      <c r="D79" s="4" t="s">
        <v>99</v>
      </c>
      <c r="E79" s="3">
        <v>46023</v>
      </c>
      <c r="F79" s="4" t="s">
        <v>49</v>
      </c>
      <c r="G79" s="4" t="s">
        <v>50</v>
      </c>
      <c r="H79" s="4" t="s">
        <v>51</v>
      </c>
      <c r="I79" s="4" t="s">
        <v>52</v>
      </c>
      <c r="J79" s="5">
        <v>-0.92</v>
      </c>
      <c r="K79" s="5">
        <v>-1</v>
      </c>
      <c r="L79" s="5">
        <v>-151.25</v>
      </c>
      <c r="M79" s="4" t="s">
        <v>53</v>
      </c>
      <c r="N79" s="3">
        <v>46023</v>
      </c>
      <c r="O79" t="s">
        <v>373</v>
      </c>
      <c r="P79" s="18" t="s">
        <v>547</v>
      </c>
      <c r="Q79"/>
      <c r="R79" s="4" t="s">
        <v>99</v>
      </c>
      <c r="S79" t="str">
        <f>CONCATENATE(R79,26)</f>
        <v>00019321108K26</v>
      </c>
      <c r="T79" s="4" t="s">
        <v>381</v>
      </c>
      <c r="U79" t="s">
        <v>383</v>
      </c>
      <c r="V79" t="str">
        <f>CONCATENATE(U79," ",T79)</f>
        <v>MAHMOOD POONJA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1:44" s="9" customFormat="1" x14ac:dyDescent="0.2">
      <c r="A80" s="4" t="s">
        <v>91</v>
      </c>
      <c r="B80">
        <v>8325282</v>
      </c>
      <c r="C80" s="4" t="s">
        <v>92</v>
      </c>
      <c r="D80" s="4" t="s">
        <v>93</v>
      </c>
      <c r="E80" s="3">
        <v>46023</v>
      </c>
      <c r="F80" s="4" t="s">
        <v>49</v>
      </c>
      <c r="G80" s="4" t="s">
        <v>50</v>
      </c>
      <c r="H80" s="4" t="s">
        <v>51</v>
      </c>
      <c r="I80" s="4" t="s">
        <v>59</v>
      </c>
      <c r="J80" s="5">
        <v>-0.92</v>
      </c>
      <c r="K80" s="5">
        <v>-1</v>
      </c>
      <c r="L80" s="5">
        <v>-318.08</v>
      </c>
      <c r="M80" s="4" t="s">
        <v>53</v>
      </c>
      <c r="N80" s="3">
        <v>46023</v>
      </c>
      <c r="O80" t="s">
        <v>371</v>
      </c>
      <c r="P80" s="18" t="s">
        <v>372</v>
      </c>
      <c r="Q80"/>
      <c r="R80" s="4" t="s">
        <v>93</v>
      </c>
      <c r="S80" t="str">
        <f>CONCATENATE(R80,66)</f>
        <v>00018023648K66</v>
      </c>
      <c r="T80" s="4" t="s">
        <v>465</v>
      </c>
      <c r="U80" t="s">
        <v>466</v>
      </c>
      <c r="V80" t="str">
        <f>CONCATENATE(U80," ",T80)</f>
        <v>CHRISTOPHER BILEK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1:44" s="9" customFormat="1" x14ac:dyDescent="0.2">
      <c r="A81" s="4" t="s">
        <v>153</v>
      </c>
      <c r="B81">
        <v>17516272</v>
      </c>
      <c r="C81" s="4" t="s">
        <v>157</v>
      </c>
      <c r="D81" s="4" t="s">
        <v>158</v>
      </c>
      <c r="E81" s="3">
        <v>46023</v>
      </c>
      <c r="F81" s="4" t="s">
        <v>49</v>
      </c>
      <c r="G81" s="4" t="s">
        <v>50</v>
      </c>
      <c r="H81" s="4" t="s">
        <v>51</v>
      </c>
      <c r="I81" s="4" t="s">
        <v>59</v>
      </c>
      <c r="J81" s="5">
        <v>0</v>
      </c>
      <c r="K81" s="5">
        <v>-1</v>
      </c>
      <c r="L81" s="5">
        <v>-318.08999999999997</v>
      </c>
      <c r="M81" s="4" t="s">
        <v>161</v>
      </c>
      <c r="N81" s="3">
        <v>46023</v>
      </c>
      <c r="O81" t="s">
        <v>371</v>
      </c>
      <c r="P81" s="18" t="s">
        <v>372</v>
      </c>
      <c r="Q81"/>
      <c r="R81" s="4" t="s">
        <v>158</v>
      </c>
      <c r="S81" t="str">
        <f>CONCATENATE(R81,66)</f>
        <v>00025697687K66</v>
      </c>
      <c r="T81" s="4" t="s">
        <v>453</v>
      </c>
      <c r="U81" t="s">
        <v>454</v>
      </c>
      <c r="V81" t="str">
        <f>CONCATENATE(U81," ",T81)</f>
        <v>REBECCA MAHLER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1:44" s="9" customFormat="1" x14ac:dyDescent="0.2">
      <c r="A82" s="4" t="s">
        <v>153</v>
      </c>
      <c r="B82">
        <v>17516272</v>
      </c>
      <c r="C82" s="4" t="s">
        <v>157</v>
      </c>
      <c r="D82" s="4" t="s">
        <v>158</v>
      </c>
      <c r="E82" s="3">
        <v>46023</v>
      </c>
      <c r="F82" s="4" t="s">
        <v>49</v>
      </c>
      <c r="G82" s="4" t="s">
        <v>50</v>
      </c>
      <c r="H82" s="4" t="s">
        <v>51</v>
      </c>
      <c r="I82" s="4" t="s">
        <v>59</v>
      </c>
      <c r="J82" s="5">
        <v>-0.92</v>
      </c>
      <c r="K82" s="5">
        <v>-1</v>
      </c>
      <c r="L82" s="5">
        <v>-318.08</v>
      </c>
      <c r="M82" s="4" t="s">
        <v>53</v>
      </c>
      <c r="N82" s="3">
        <v>46023</v>
      </c>
      <c r="O82" t="s">
        <v>371</v>
      </c>
      <c r="P82" s="18" t="s">
        <v>372</v>
      </c>
      <c r="Q82"/>
      <c r="R82" s="4" t="s">
        <v>158</v>
      </c>
      <c r="S82" t="str">
        <f>CONCATENATE(R82,66)</f>
        <v>00025697687K66</v>
      </c>
      <c r="T82" s="4" t="s">
        <v>453</v>
      </c>
      <c r="U82" t="s">
        <v>454</v>
      </c>
      <c r="V82" t="str">
        <f>CONCATENATE(U82," ",T82)</f>
        <v>REBECCA MAHLER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 spans="1:44" s="9" customFormat="1" x14ac:dyDescent="0.2">
      <c r="A83" s="4" t="s">
        <v>153</v>
      </c>
      <c r="B83">
        <v>17516272</v>
      </c>
      <c r="C83" s="4" t="s">
        <v>154</v>
      </c>
      <c r="D83" s="4" t="s">
        <v>155</v>
      </c>
      <c r="E83" s="3">
        <v>46054</v>
      </c>
      <c r="F83" s="4" t="s">
        <v>61</v>
      </c>
      <c r="G83" s="4" t="s">
        <v>50</v>
      </c>
      <c r="H83" s="4" t="s">
        <v>51</v>
      </c>
      <c r="I83" s="4" t="s">
        <v>59</v>
      </c>
      <c r="J83" s="5">
        <v>0.92</v>
      </c>
      <c r="K83" s="5">
        <v>1</v>
      </c>
      <c r="L83" s="5">
        <v>318.08</v>
      </c>
      <c r="M83" s="4" t="s">
        <v>53</v>
      </c>
      <c r="N83" s="3">
        <v>46054</v>
      </c>
      <c r="O83" t="s">
        <v>371</v>
      </c>
      <c r="P83" s="18" t="s">
        <v>372</v>
      </c>
      <c r="Q83"/>
      <c r="R83" s="4" t="s">
        <v>155</v>
      </c>
      <c r="S83" t="str">
        <f>CONCATENATE(R83,66)</f>
        <v>00023407746K66</v>
      </c>
      <c r="T83" s="4" t="s">
        <v>532</v>
      </c>
      <c r="U83" t="s">
        <v>464</v>
      </c>
      <c r="V83" t="str">
        <f>CONCATENATE(U83," ",T83)</f>
        <v>MICHAEL VOELKER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</row>
    <row r="84" spans="1:44" s="9" customFormat="1" x14ac:dyDescent="0.2">
      <c r="A84" s="19" t="s">
        <v>234</v>
      </c>
      <c r="B84" s="22">
        <v>20003537</v>
      </c>
      <c r="C84" s="19" t="s">
        <v>238</v>
      </c>
      <c r="D84" s="19" t="s">
        <v>239</v>
      </c>
      <c r="E84" s="20">
        <v>45962</v>
      </c>
      <c r="F84" s="19" t="s">
        <v>241</v>
      </c>
      <c r="G84" s="19" t="s">
        <v>50</v>
      </c>
      <c r="H84" s="19" t="s">
        <v>51</v>
      </c>
      <c r="I84" s="19" t="s">
        <v>52</v>
      </c>
      <c r="J84" s="21">
        <v>0.17</v>
      </c>
      <c r="K84" s="21">
        <v>0</v>
      </c>
      <c r="L84" s="21">
        <v>52.17</v>
      </c>
      <c r="M84" s="19" t="s">
        <v>53</v>
      </c>
      <c r="N84" s="20">
        <v>45962</v>
      </c>
      <c r="O84" s="22" t="s">
        <v>376</v>
      </c>
      <c r="P84" s="23" t="s">
        <v>375</v>
      </c>
      <c r="Q84" s="22">
        <f>313/12*2</f>
        <v>52.166666666666664</v>
      </c>
      <c r="R84" s="19" t="s">
        <v>239</v>
      </c>
      <c r="S84" s="22" t="str">
        <f>CONCATENATE(R84,6)</f>
        <v>00024302321K6</v>
      </c>
      <c r="T84" s="19" t="s">
        <v>450</v>
      </c>
      <c r="U84" s="22" t="s">
        <v>451</v>
      </c>
      <c r="V84" t="str">
        <f>CONCATENATE(U84," ",T84)</f>
        <v>THERESA ELSCLAGER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s="9" customFormat="1" x14ac:dyDescent="0.2">
      <c r="A85" s="4" t="s">
        <v>234</v>
      </c>
      <c r="B85">
        <v>20003537</v>
      </c>
      <c r="C85" s="4" t="s">
        <v>235</v>
      </c>
      <c r="D85" s="4" t="s">
        <v>236</v>
      </c>
      <c r="E85" s="3">
        <v>46054</v>
      </c>
      <c r="F85" s="4" t="s">
        <v>61</v>
      </c>
      <c r="G85" s="4" t="s">
        <v>50</v>
      </c>
      <c r="H85" s="4" t="s">
        <v>51</v>
      </c>
      <c r="I85" s="4" t="s">
        <v>52</v>
      </c>
      <c r="J85" s="5">
        <v>0.92</v>
      </c>
      <c r="K85" s="5">
        <v>1</v>
      </c>
      <c r="L85" s="5">
        <v>318.08</v>
      </c>
      <c r="M85" s="4" t="s">
        <v>53</v>
      </c>
      <c r="N85" s="3">
        <v>46054</v>
      </c>
      <c r="O85" t="s">
        <v>371</v>
      </c>
      <c r="P85" s="18" t="s">
        <v>372</v>
      </c>
      <c r="Q85"/>
      <c r="R85" s="4" t="s">
        <v>236</v>
      </c>
      <c r="S85" t="str">
        <f>CONCATENATE(R85,66)</f>
        <v>00000963879D66</v>
      </c>
      <c r="T85" s="4" t="s">
        <v>527</v>
      </c>
      <c r="U85" t="s">
        <v>456</v>
      </c>
      <c r="V85" t="str">
        <f>CONCATENATE(U85," ",T85)</f>
        <v>DEBORAH COLLINS</v>
      </c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</row>
    <row r="86" spans="1:44" s="9" customFormat="1" x14ac:dyDescent="0.2">
      <c r="A86" s="4" t="s">
        <v>193</v>
      </c>
      <c r="B86">
        <v>18754354</v>
      </c>
      <c r="C86" s="4" t="s">
        <v>197</v>
      </c>
      <c r="D86" s="4" t="s">
        <v>198</v>
      </c>
      <c r="E86" s="3">
        <v>46054</v>
      </c>
      <c r="F86" s="4" t="s">
        <v>61</v>
      </c>
      <c r="G86" s="4" t="s">
        <v>50</v>
      </c>
      <c r="H86" s="4" t="s">
        <v>51</v>
      </c>
      <c r="I86" s="4" t="s">
        <v>52</v>
      </c>
      <c r="J86" s="5">
        <v>0.92</v>
      </c>
      <c r="K86" s="5">
        <v>1</v>
      </c>
      <c r="L86" s="5">
        <v>151.25</v>
      </c>
      <c r="M86" s="4" t="s">
        <v>53</v>
      </c>
      <c r="N86" s="3">
        <v>46054</v>
      </c>
      <c r="O86" t="s">
        <v>373</v>
      </c>
      <c r="P86" s="18" t="s">
        <v>547</v>
      </c>
      <c r="Q86"/>
      <c r="R86" s="4" t="s">
        <v>198</v>
      </c>
      <c r="S86" t="str">
        <f>CONCATENATE(R86,26)</f>
        <v>00023848950K26</v>
      </c>
      <c r="T86" s="4" t="s">
        <v>388</v>
      </c>
      <c r="U86" t="s">
        <v>389</v>
      </c>
      <c r="V86" t="str">
        <f>CONCATENATE(U86," ",T86)</f>
        <v>CHRISTINE HOCHSPRUNG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</row>
    <row r="87" spans="1:44" s="9" customFormat="1" x14ac:dyDescent="0.2">
      <c r="A87" s="4" t="s">
        <v>193</v>
      </c>
      <c r="B87">
        <v>18754354</v>
      </c>
      <c r="C87" s="4" t="s">
        <v>200</v>
      </c>
      <c r="D87" s="4" t="s">
        <v>201</v>
      </c>
      <c r="E87" s="3">
        <v>46023</v>
      </c>
      <c r="F87" s="4" t="s">
        <v>49</v>
      </c>
      <c r="G87" s="4" t="s">
        <v>50</v>
      </c>
      <c r="H87" s="4" t="s">
        <v>51</v>
      </c>
      <c r="I87" s="4" t="s">
        <v>52</v>
      </c>
      <c r="J87" s="5">
        <v>-0.92</v>
      </c>
      <c r="K87" s="5">
        <v>-1</v>
      </c>
      <c r="L87" s="5">
        <v>-318.08</v>
      </c>
      <c r="M87" s="4" t="s">
        <v>53</v>
      </c>
      <c r="N87" s="3">
        <v>46023</v>
      </c>
      <c r="O87" t="s">
        <v>371</v>
      </c>
      <c r="P87" s="18" t="s">
        <v>372</v>
      </c>
      <c r="Q87"/>
      <c r="R87" s="4" t="s">
        <v>201</v>
      </c>
      <c r="S87" t="str">
        <f>CONCATENATE(R87,66)</f>
        <v>00024112192K66</v>
      </c>
      <c r="T87" s="4" t="s">
        <v>459</v>
      </c>
      <c r="U87" t="s">
        <v>460</v>
      </c>
      <c r="V87" t="str">
        <f>CONCATENATE(U87," ",T87)</f>
        <v>HEIDI SIEGEL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 spans="1:44" s="9" customFormat="1" x14ac:dyDescent="0.2">
      <c r="A88" s="4" t="s">
        <v>193</v>
      </c>
      <c r="B88">
        <v>18754354</v>
      </c>
      <c r="C88" s="4" t="s">
        <v>194</v>
      </c>
      <c r="D88" s="4" t="s">
        <v>195</v>
      </c>
      <c r="E88" s="3">
        <v>46023</v>
      </c>
      <c r="F88" s="4" t="s">
        <v>49</v>
      </c>
      <c r="G88" s="4" t="s">
        <v>50</v>
      </c>
      <c r="H88" s="4" t="s">
        <v>51</v>
      </c>
      <c r="I88" s="4" t="s">
        <v>59</v>
      </c>
      <c r="J88" s="5">
        <v>-0.92</v>
      </c>
      <c r="K88" s="5">
        <v>-1</v>
      </c>
      <c r="L88" s="5">
        <v>-318.08</v>
      </c>
      <c r="M88" s="4" t="s">
        <v>53</v>
      </c>
      <c r="N88" s="3">
        <v>46023</v>
      </c>
      <c r="O88" t="s">
        <v>371</v>
      </c>
      <c r="P88" s="18" t="s">
        <v>372</v>
      </c>
      <c r="Q88"/>
      <c r="R88" s="4" t="s">
        <v>195</v>
      </c>
      <c r="S88" t="str">
        <f>CONCATENATE(R88,66)</f>
        <v>00022646964K66</v>
      </c>
      <c r="T88" s="4" t="s">
        <v>469</v>
      </c>
      <c r="U88" t="s">
        <v>470</v>
      </c>
      <c r="V88" t="str">
        <f>CONCATENATE(U88," ",T88)</f>
        <v>MARIA OLIVA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 spans="1:44" s="9" customFormat="1" x14ac:dyDescent="0.2">
      <c r="A89" s="10" t="s">
        <v>123</v>
      </c>
      <c r="B89" s="13">
        <v>16633294</v>
      </c>
      <c r="C89" s="10" t="s">
        <v>303</v>
      </c>
      <c r="D89" s="10" t="s">
        <v>304</v>
      </c>
      <c r="E89" s="11">
        <v>46054</v>
      </c>
      <c r="F89" s="10" t="s">
        <v>61</v>
      </c>
      <c r="G89" s="10" t="s">
        <v>50</v>
      </c>
      <c r="H89" s="10" t="s">
        <v>291</v>
      </c>
      <c r="I89" s="10" t="s">
        <v>46</v>
      </c>
      <c r="J89" s="12">
        <v>10</v>
      </c>
      <c r="K89" s="12">
        <v>1208.5899999999999</v>
      </c>
      <c r="L89" s="12">
        <v>120.86</v>
      </c>
      <c r="M89" s="10" t="s">
        <v>53</v>
      </c>
      <c r="N89" s="11">
        <v>45839</v>
      </c>
      <c r="O89" s="13" t="s">
        <v>365</v>
      </c>
      <c r="P89" s="13"/>
      <c r="Q89" s="13"/>
      <c r="R89" s="25">
        <v>419885</v>
      </c>
      <c r="S89" s="13" t="str">
        <f>CONCATENATE(R89,7)</f>
        <v>4198857</v>
      </c>
      <c r="T89" s="10" t="s">
        <v>445</v>
      </c>
      <c r="U89" s="13" t="s">
        <v>446</v>
      </c>
      <c r="V89" s="10" t="s">
        <v>303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s="9" customFormat="1" x14ac:dyDescent="0.2">
      <c r="A90" s="10" t="s">
        <v>123</v>
      </c>
      <c r="B90" s="13">
        <v>16633294</v>
      </c>
      <c r="C90" s="10" t="s">
        <v>303</v>
      </c>
      <c r="D90" s="10" t="s">
        <v>304</v>
      </c>
      <c r="E90" s="11">
        <v>46054</v>
      </c>
      <c r="F90" s="10" t="s">
        <v>61</v>
      </c>
      <c r="G90" s="10" t="s">
        <v>50</v>
      </c>
      <c r="H90" s="10" t="s">
        <v>281</v>
      </c>
      <c r="I90" s="10" t="s">
        <v>46</v>
      </c>
      <c r="J90" s="12">
        <v>10</v>
      </c>
      <c r="K90" s="12">
        <v>295.91000000000003</v>
      </c>
      <c r="L90" s="12">
        <v>29.59</v>
      </c>
      <c r="M90" s="10" t="s">
        <v>53</v>
      </c>
      <c r="N90" s="11">
        <v>45839</v>
      </c>
      <c r="O90" s="13" t="s">
        <v>365</v>
      </c>
      <c r="P90" s="13"/>
      <c r="Q90" s="13"/>
      <c r="R90" s="25">
        <v>419885</v>
      </c>
      <c r="S90" s="13" t="str">
        <f>CONCATENATE(R90,7)</f>
        <v>4198857</v>
      </c>
      <c r="T90" s="10" t="s">
        <v>445</v>
      </c>
      <c r="U90" s="13" t="s">
        <v>446</v>
      </c>
      <c r="V90" s="10" t="s">
        <v>303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s="9" customFormat="1" x14ac:dyDescent="0.2">
      <c r="A91" s="4" t="s">
        <v>123</v>
      </c>
      <c r="B91">
        <v>16633294</v>
      </c>
      <c r="C91" s="4" t="s">
        <v>134</v>
      </c>
      <c r="D91" s="4" t="s">
        <v>135</v>
      </c>
      <c r="E91" s="3">
        <v>46113</v>
      </c>
      <c r="F91" s="4" t="s">
        <v>137</v>
      </c>
      <c r="G91" s="4" t="s">
        <v>50</v>
      </c>
      <c r="H91" s="4" t="s">
        <v>51</v>
      </c>
      <c r="I91" s="4" t="s">
        <v>52</v>
      </c>
      <c r="J91" s="5">
        <v>0.75</v>
      </c>
      <c r="K91" s="5">
        <v>1</v>
      </c>
      <c r="L91" s="5">
        <v>260.25</v>
      </c>
      <c r="M91" s="4" t="s">
        <v>53</v>
      </c>
      <c r="N91" s="3">
        <v>46113</v>
      </c>
      <c r="O91" t="s">
        <v>371</v>
      </c>
      <c r="P91" s="18" t="s">
        <v>377</v>
      </c>
      <c r="Q91">
        <f>347/12*9</f>
        <v>260.25</v>
      </c>
      <c r="R91" s="4" t="s">
        <v>135</v>
      </c>
      <c r="S91" t="str">
        <f>CONCATENATE(R91,66)</f>
        <v>00025971644K66</v>
      </c>
      <c r="T91" s="4" t="s">
        <v>477</v>
      </c>
      <c r="U91" t="s">
        <v>478</v>
      </c>
      <c r="V91" t="str">
        <f>CONCATENATE(U91," ",T91)</f>
        <v>NANCY FLOWERS</v>
      </c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 s="9" customFormat="1" x14ac:dyDescent="0.2">
      <c r="A92" s="4" t="s">
        <v>123</v>
      </c>
      <c r="B92">
        <v>16633294</v>
      </c>
      <c r="C92" s="4" t="s">
        <v>131</v>
      </c>
      <c r="D92" s="4" t="s">
        <v>132</v>
      </c>
      <c r="E92" s="3">
        <v>46082</v>
      </c>
      <c r="F92" s="4" t="s">
        <v>80</v>
      </c>
      <c r="G92" s="4" t="s">
        <v>50</v>
      </c>
      <c r="H92" s="4" t="s">
        <v>51</v>
      </c>
      <c r="I92" s="4" t="s">
        <v>59</v>
      </c>
      <c r="J92" s="5">
        <v>0.83</v>
      </c>
      <c r="K92" s="5">
        <v>1</v>
      </c>
      <c r="L92" s="5">
        <v>289.17</v>
      </c>
      <c r="M92" s="4" t="s">
        <v>53</v>
      </c>
      <c r="N92" s="3">
        <v>46082</v>
      </c>
      <c r="O92" t="s">
        <v>371</v>
      </c>
      <c r="P92" s="18" t="s">
        <v>378</v>
      </c>
      <c r="Q92"/>
      <c r="R92" s="4" t="s">
        <v>132</v>
      </c>
      <c r="S92" t="str">
        <f>CONCATENATE(R92,66)</f>
        <v>00025968749K66</v>
      </c>
      <c r="T92" s="4" t="s">
        <v>483</v>
      </c>
      <c r="U92" t="s">
        <v>484</v>
      </c>
      <c r="V92" t="str">
        <f>CONCATENATE(U92," ",T92)</f>
        <v>LAURA DELLAPOLLA</v>
      </c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 spans="1:44" s="9" customFormat="1" x14ac:dyDescent="0.2">
      <c r="A93" s="4" t="s">
        <v>123</v>
      </c>
      <c r="B93">
        <v>16633294</v>
      </c>
      <c r="C93" s="4" t="s">
        <v>124</v>
      </c>
      <c r="D93" s="4" t="s">
        <v>125</v>
      </c>
      <c r="E93" s="3">
        <v>46054</v>
      </c>
      <c r="F93" s="4" t="s">
        <v>61</v>
      </c>
      <c r="G93" s="4" t="s">
        <v>50</v>
      </c>
      <c r="H93" s="4" t="s">
        <v>51</v>
      </c>
      <c r="I93" s="4" t="s">
        <v>52</v>
      </c>
      <c r="J93" s="5">
        <v>0.92</v>
      </c>
      <c r="K93" s="5">
        <v>1</v>
      </c>
      <c r="L93" s="5">
        <v>318.08</v>
      </c>
      <c r="M93" s="4" t="s">
        <v>53</v>
      </c>
      <c r="N93" s="3">
        <v>46054</v>
      </c>
      <c r="O93" t="s">
        <v>371</v>
      </c>
      <c r="P93" s="18" t="s">
        <v>372</v>
      </c>
      <c r="Q93"/>
      <c r="R93" s="4" t="s">
        <v>125</v>
      </c>
      <c r="S93" t="str">
        <f>CONCATENATE(R93,66)</f>
        <v>00009171141K66</v>
      </c>
      <c r="T93" s="4" t="s">
        <v>507</v>
      </c>
      <c r="U93" t="s">
        <v>508</v>
      </c>
      <c r="V93" t="str">
        <f>CONCATENATE(U93," ",T93)</f>
        <v>ALAN BLOSS</v>
      </c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 spans="1:44" s="9" customFormat="1" x14ac:dyDescent="0.2">
      <c r="A94" s="4" t="s">
        <v>123</v>
      </c>
      <c r="B94">
        <v>16633294</v>
      </c>
      <c r="C94" s="4" t="s">
        <v>127</v>
      </c>
      <c r="D94" s="4" t="s">
        <v>128</v>
      </c>
      <c r="E94" s="3">
        <v>46054</v>
      </c>
      <c r="F94" s="4" t="s">
        <v>61</v>
      </c>
      <c r="G94" s="4" t="s">
        <v>50</v>
      </c>
      <c r="H94" s="4" t="s">
        <v>51</v>
      </c>
      <c r="I94" s="4" t="s">
        <v>59</v>
      </c>
      <c r="J94" s="5">
        <v>0.92</v>
      </c>
      <c r="K94" s="5">
        <v>1</v>
      </c>
      <c r="L94" s="5">
        <v>318.08</v>
      </c>
      <c r="M94" s="4" t="s">
        <v>53</v>
      </c>
      <c r="N94" s="3">
        <v>46054</v>
      </c>
      <c r="O94" t="s">
        <v>371</v>
      </c>
      <c r="P94" s="18" t="s">
        <v>372</v>
      </c>
      <c r="Q94"/>
      <c r="R94" s="4" t="s">
        <v>128</v>
      </c>
      <c r="S94" t="str">
        <f>CONCATENATE(R94,66)</f>
        <v>00025954028K66</v>
      </c>
      <c r="T94" s="4" t="s">
        <v>530</v>
      </c>
      <c r="U94" t="s">
        <v>531</v>
      </c>
      <c r="V94" t="str">
        <f>CONCATENATE(U94," ",T94)</f>
        <v>LINDA MASON</v>
      </c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 spans="1:44" s="9" customFormat="1" x14ac:dyDescent="0.2">
      <c r="A95" s="4" t="s">
        <v>253</v>
      </c>
      <c r="B95">
        <v>20220688</v>
      </c>
      <c r="C95" s="4" t="s">
        <v>254</v>
      </c>
      <c r="D95" s="4" t="s">
        <v>255</v>
      </c>
      <c r="E95" s="3">
        <v>46113</v>
      </c>
      <c r="F95" s="4" t="s">
        <v>137</v>
      </c>
      <c r="G95" s="4" t="s">
        <v>50</v>
      </c>
      <c r="H95" s="4" t="s">
        <v>51</v>
      </c>
      <c r="I95" s="4" t="s">
        <v>52</v>
      </c>
      <c r="J95" s="5">
        <v>0.75</v>
      </c>
      <c r="K95" s="5">
        <v>1</v>
      </c>
      <c r="L95" s="5">
        <v>260.25</v>
      </c>
      <c r="M95" s="4" t="s">
        <v>53</v>
      </c>
      <c r="N95" s="3">
        <v>46113</v>
      </c>
      <c r="O95" t="s">
        <v>371</v>
      </c>
      <c r="P95" s="18" t="s">
        <v>377</v>
      </c>
      <c r="Q95"/>
      <c r="R95" s="4" t="s">
        <v>255</v>
      </c>
      <c r="S95" t="str">
        <f>CONCATENATE(R95,66)</f>
        <v>00025974976K66</v>
      </c>
      <c r="T95" s="4" t="s">
        <v>479</v>
      </c>
      <c r="U95" t="s">
        <v>480</v>
      </c>
      <c r="V95" t="str">
        <f>CONCATENATE(U95," ",T95)</f>
        <v>GANCHIMEG DAVAA</v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</sheetData>
  <sortState xmlns:xlrd2="http://schemas.microsoft.com/office/spreadsheetml/2017/richdata2" ref="A2:AR95">
    <sortCondition ref="A2:A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2026-01-22T07:52:55Z</dcterms:created>
  <dcterms:modified xsi:type="dcterms:W3CDTF">2026-01-26T21:18:47Z</dcterms:modified>
</cp:coreProperties>
</file>