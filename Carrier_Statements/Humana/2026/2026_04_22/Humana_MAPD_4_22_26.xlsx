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4-22-26\"/>
    </mc:Choice>
  </mc:AlternateContent>
  <xr:revisionPtr revIDLastSave="0" documentId="13_ncr:1_{27D4B86B-3A0F-470D-A70D-9A947E5FC001}" xr6:coauthVersionLast="47" xr6:coauthVersionMax="47" xr10:uidLastSave="{00000000-0000-0000-0000-000000000000}"/>
  <bookViews>
    <workbookView xWindow="28680" yWindow="-30" windowWidth="29040" windowHeight="16440" activeTab="1" xr2:uid="{E490A205-38E9-4104-BA2C-2515C70CA837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" i="2" l="1"/>
  <c r="W3" i="2"/>
  <c r="W7" i="2"/>
  <c r="W8" i="2"/>
  <c r="W6" i="2"/>
  <c r="W5" i="2"/>
  <c r="W9" i="2"/>
  <c r="W12" i="2"/>
  <c r="W13" i="2"/>
  <c r="W17" i="2"/>
  <c r="W14" i="2"/>
  <c r="W15" i="2"/>
  <c r="W10" i="2"/>
  <c r="W11" i="2"/>
  <c r="W16" i="2"/>
  <c r="W19" i="2"/>
  <c r="W18" i="2"/>
  <c r="W20" i="2"/>
  <c r="W21" i="2"/>
  <c r="W22" i="2"/>
  <c r="W23" i="2"/>
  <c r="W24" i="2"/>
  <c r="W25" i="2"/>
  <c r="W26" i="2"/>
  <c r="W27" i="2"/>
  <c r="W33" i="2"/>
  <c r="W36" i="2"/>
  <c r="W28" i="2"/>
  <c r="W29" i="2"/>
  <c r="W32" i="2"/>
  <c r="W39" i="2"/>
  <c r="W37" i="2"/>
  <c r="W38" i="2"/>
  <c r="W30" i="2"/>
  <c r="W31" i="2"/>
  <c r="W34" i="2"/>
  <c r="W35" i="2"/>
  <c r="W62" i="2"/>
  <c r="W69" i="2"/>
  <c r="W66" i="2"/>
  <c r="W60" i="2"/>
  <c r="W75" i="2"/>
  <c r="W55" i="2"/>
  <c r="W70" i="2"/>
  <c r="W71" i="2"/>
  <c r="W65" i="2"/>
  <c r="W52" i="2"/>
  <c r="W68" i="2"/>
  <c r="W56" i="2"/>
  <c r="W57" i="2"/>
  <c r="W72" i="2"/>
  <c r="W73" i="2"/>
  <c r="W74" i="2"/>
  <c r="W58" i="2"/>
  <c r="W61" i="2"/>
  <c r="W63" i="2"/>
  <c r="W64" i="2"/>
  <c r="W76" i="2"/>
  <c r="W53" i="2"/>
  <c r="W54" i="2"/>
  <c r="W67" i="2"/>
  <c r="W59" i="2"/>
  <c r="W4" i="2"/>
  <c r="T69" i="2"/>
  <c r="T66" i="2"/>
  <c r="T60" i="2"/>
  <c r="T75" i="2"/>
  <c r="T55" i="2"/>
  <c r="T70" i="2"/>
  <c r="T71" i="2"/>
  <c r="T65" i="2"/>
  <c r="T52" i="2"/>
  <c r="T68" i="2"/>
  <c r="T56" i="2"/>
  <c r="T57" i="2"/>
  <c r="T72" i="2"/>
  <c r="T73" i="2"/>
  <c r="T74" i="2"/>
  <c r="T58" i="2"/>
  <c r="T61" i="2"/>
  <c r="T63" i="2"/>
  <c r="T64" i="2"/>
  <c r="T76" i="2"/>
  <c r="T53" i="2"/>
  <c r="T54" i="2"/>
  <c r="T67" i="2"/>
  <c r="T59" i="2"/>
  <c r="T62" i="2"/>
  <c r="T51" i="2"/>
  <c r="T49" i="2"/>
  <c r="T48" i="2"/>
  <c r="T47" i="2"/>
  <c r="T46" i="2"/>
  <c r="T45" i="2"/>
  <c r="T44" i="2"/>
  <c r="T43" i="2"/>
  <c r="T42" i="2"/>
  <c r="T41" i="2"/>
  <c r="T40" i="2"/>
  <c r="T50" i="2"/>
  <c r="T35" i="2"/>
  <c r="T34" i="2"/>
  <c r="T31" i="2"/>
  <c r="T30" i="2"/>
  <c r="T38" i="2"/>
  <c r="T37" i="2"/>
  <c r="T39" i="2"/>
  <c r="T32" i="2"/>
  <c r="T29" i="2"/>
  <c r="T28" i="2"/>
  <c r="T36" i="2"/>
  <c r="T33" i="2"/>
  <c r="T27" i="2"/>
  <c r="T26" i="2"/>
  <c r="T25" i="2"/>
  <c r="T24" i="2"/>
  <c r="T23" i="2"/>
  <c r="T22" i="2"/>
  <c r="T21" i="2"/>
  <c r="T20" i="2"/>
  <c r="T18" i="2"/>
  <c r="T19" i="2"/>
  <c r="T16" i="2"/>
  <c r="T11" i="2"/>
  <c r="T10" i="2"/>
  <c r="T15" i="2"/>
  <c r="T14" i="2"/>
  <c r="T17" i="2"/>
  <c r="T13" i="2"/>
  <c r="T12" i="2"/>
  <c r="T9" i="2"/>
  <c r="T5" i="2"/>
  <c r="T6" i="2"/>
  <c r="T8" i="2"/>
  <c r="T7" i="2"/>
  <c r="T3" i="2"/>
  <c r="T2" i="2"/>
  <c r="T4" i="2"/>
  <c r="Q2" i="2"/>
  <c r="Q4" i="2"/>
  <c r="Q65" i="2"/>
  <c r="Q52" i="2"/>
  <c r="Q62" i="2"/>
  <c r="Q5" i="2"/>
  <c r="Q56" i="2"/>
</calcChain>
</file>

<file path=xl/sharedStrings.xml><?xml version="1.0" encoding="utf-8"?>
<sst xmlns="http://schemas.openxmlformats.org/spreadsheetml/2006/main" count="3327" uniqueCount="432">
  <si>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</si>
  <si>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</si>
  <si>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</si>
  <si>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</si>
  <si>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</si>
  <si>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</si>
  <si>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</si>
  <si>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</si>
  <si>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</si>
  <si>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</si>
  <si>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</si>
  <si>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</si>
  <si>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</si>
  <si>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</si>
  <si>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</si>
  <si>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</si>
  <si>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</si>
  <si>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</si>
  <si>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</si>
  <si>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</si>
  <si>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</si>
  <si>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</si>
  <si>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</si>
  <si>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</si>
  <si>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</si>
  <si>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</si>
  <si>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</si>
  <si>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</si>
  <si>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</si>
  <si>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</si>
  <si>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</si>
  <si>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</si>
  <si>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</si>
  <si>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</si>
  <si>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</si>
  <si>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</si>
  <si>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</si>
  <si>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</si>
  <si>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</si>
  <si>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</si>
  <si>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</si>
  <si>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</si>
  <si>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</si>
  <si>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CHOI ANDREW J</t>
  </si>
  <si>
    <t>WRIGHT CASSANDRA</t>
  </si>
  <si>
    <t>00026396869K</t>
  </si>
  <si>
    <t>5CK8KN2RD48</t>
  </si>
  <si>
    <t/>
  </si>
  <si>
    <t>MA</t>
  </si>
  <si>
    <t>LV</t>
  </si>
  <si>
    <t>MAY</t>
  </si>
  <si>
    <t>F</t>
  </si>
  <si>
    <t>MEDICARE</t>
  </si>
  <si>
    <t>MEP</t>
  </si>
  <si>
    <t>FIRST YEAR COMMISSIONS</t>
  </si>
  <si>
    <t>ARCF</t>
  </si>
  <si>
    <t>H5216</t>
  </si>
  <si>
    <t>BIBA GREGORY J</t>
  </si>
  <si>
    <t>00026406411K</t>
  </si>
  <si>
    <t>6A63NU3DA85</t>
  </si>
  <si>
    <t>H7617</t>
  </si>
  <si>
    <t>TEIPEL GREGORY K</t>
  </si>
  <si>
    <t>PROESCH BETHANY L</t>
  </si>
  <si>
    <t>00014844529K</t>
  </si>
  <si>
    <t>8G90H79PF12</t>
  </si>
  <si>
    <t>JAN</t>
  </si>
  <si>
    <t>MAJOR DIANE P</t>
  </si>
  <si>
    <t>00026174068K</t>
  </si>
  <si>
    <t>3MX6D97QQ49</t>
  </si>
  <si>
    <t>MINOR CHRISTOPHER S</t>
  </si>
  <si>
    <t>00026392222K</t>
  </si>
  <si>
    <t>4W97YV2AN78</t>
  </si>
  <si>
    <t>JUL</t>
  </si>
  <si>
    <t>VEST PAMELA F</t>
  </si>
  <si>
    <t>00026392810K</t>
  </si>
  <si>
    <t>3YQ7V24HW38</t>
  </si>
  <si>
    <t>DURUM METE A</t>
  </si>
  <si>
    <t>00026394435K</t>
  </si>
  <si>
    <t>8C10A73RK18</t>
  </si>
  <si>
    <t>WALENGA DALE J</t>
  </si>
  <si>
    <t>MINER JAMES P</t>
  </si>
  <si>
    <t>00026395369K</t>
  </si>
  <si>
    <t>9NH8AN7MQ37</t>
  </si>
  <si>
    <t>MER</t>
  </si>
  <si>
    <t>H1468</t>
  </si>
  <si>
    <t>ROLLER JASON</t>
  </si>
  <si>
    <t>KIDD GEORGETTE D</t>
  </si>
  <si>
    <t>00025946847K</t>
  </si>
  <si>
    <t>6JF4FP0VH99</t>
  </si>
  <si>
    <t>FEB</t>
  </si>
  <si>
    <t>DAUGHERTY MATTHEW</t>
  </si>
  <si>
    <t>PURDON YOLANDA</t>
  </si>
  <si>
    <t>00026397664K</t>
  </si>
  <si>
    <t>1U48GA8KP54</t>
  </si>
  <si>
    <t>GREEN DANNA</t>
  </si>
  <si>
    <t>SWEARINGEN DARYL R</t>
  </si>
  <si>
    <t>00000837772K</t>
  </si>
  <si>
    <t>9DN6TH5WT73</t>
  </si>
  <si>
    <t>SWEARINGEN JOYCE</t>
  </si>
  <si>
    <t>00000837867K</t>
  </si>
  <si>
    <t>8AA8XW3YT43</t>
  </si>
  <si>
    <t>HERRERA-LARSEN ESTHER M</t>
  </si>
  <si>
    <t>OCEGUEDA ELISA</t>
  </si>
  <si>
    <t>00017861238K</t>
  </si>
  <si>
    <t>9E77KD9JM45</t>
  </si>
  <si>
    <t>H4329</t>
  </si>
  <si>
    <t>MEDINA REYES GUADALUPE J</t>
  </si>
  <si>
    <t>00021653839K</t>
  </si>
  <si>
    <t>1CV3JU8TT89</t>
  </si>
  <si>
    <t>APR</t>
  </si>
  <si>
    <t>PORTUGAL GARY</t>
  </si>
  <si>
    <t>BROWN JOYCE</t>
  </si>
  <si>
    <t>00026168351K</t>
  </si>
  <si>
    <t>9VF9KP2QV19</t>
  </si>
  <si>
    <t>MAR</t>
  </si>
  <si>
    <t>MEDICARE 2ND HALF FIRST YEAR COMM</t>
  </si>
  <si>
    <t>MED2</t>
  </si>
  <si>
    <t>PARKS PATRICIA M</t>
  </si>
  <si>
    <t>00026390927K</t>
  </si>
  <si>
    <t>9HC4X29KP71</t>
  </si>
  <si>
    <t>CANARY MARGARET B</t>
  </si>
  <si>
    <t>00026393780K</t>
  </si>
  <si>
    <t>1X76H31CV62</t>
  </si>
  <si>
    <t>YALE JACOB D</t>
  </si>
  <si>
    <t>REGAN JOHN G</t>
  </si>
  <si>
    <t>00026391149K</t>
  </si>
  <si>
    <t>4X83F74RV73</t>
  </si>
  <si>
    <t>ABDUL SAADIA S</t>
  </si>
  <si>
    <t>BIAGINI STEVEN F</t>
  </si>
  <si>
    <t>00026388928K</t>
  </si>
  <si>
    <t>4W54FE9EF60</t>
  </si>
  <si>
    <t>MOHIUDDIN TAHER M</t>
  </si>
  <si>
    <t>00026395730K</t>
  </si>
  <si>
    <t>2AJ8RF7VR29</t>
  </si>
  <si>
    <t>JUN</t>
  </si>
  <si>
    <t>HUSSAINI SYEDA H</t>
  </si>
  <si>
    <t>00026403972K</t>
  </si>
  <si>
    <t>3H47FK5QC44</t>
  </si>
  <si>
    <t>SANTOS RICARDO D</t>
  </si>
  <si>
    <t>AUXIER ERRIN D</t>
  </si>
  <si>
    <t>00026104690K</t>
  </si>
  <si>
    <t>6PC6X30EK30</t>
  </si>
  <si>
    <t>CARDONE JOHN V</t>
  </si>
  <si>
    <t>00026173515K</t>
  </si>
  <si>
    <t>3Y67UF5QM54</t>
  </si>
  <si>
    <t>WERNER STEVEN D</t>
  </si>
  <si>
    <t>ODELL MICHELLE</t>
  </si>
  <si>
    <t>00002245097K</t>
  </si>
  <si>
    <t>3CU5JK6AC84</t>
  </si>
  <si>
    <t>SCHUMANN BARRY L</t>
  </si>
  <si>
    <t>BUTLER CATHERINE A</t>
  </si>
  <si>
    <t>00026405783K</t>
  </si>
  <si>
    <t>2XT0MH8KH48</t>
  </si>
  <si>
    <t>GONZALEZ LENSIE</t>
  </si>
  <si>
    <t>VEERAPEN RUDOLPH</t>
  </si>
  <si>
    <t>00024228072K</t>
  </si>
  <si>
    <t>7P42V10YH09</t>
  </si>
  <si>
    <t>CP</t>
  </si>
  <si>
    <t>H1019</t>
  </si>
  <si>
    <t>TAUGNER CHRISTIAN</t>
  </si>
  <si>
    <t>DUBOIS SUSAN E</t>
  </si>
  <si>
    <t>00026408279K</t>
  </si>
  <si>
    <t>2P12NX3RR13</t>
  </si>
  <si>
    <t>DUNAVANT MICHAEL</t>
  </si>
  <si>
    <t>GREEN LARRY R</t>
  </si>
  <si>
    <t>00023808539K</t>
  </si>
  <si>
    <t>3J23TT8YR83</t>
  </si>
  <si>
    <t>BRANDT STEVEN K</t>
  </si>
  <si>
    <t>PURDIN LISA D</t>
  </si>
  <si>
    <t>00025054967K</t>
  </si>
  <si>
    <t>3G14YU5WW97</t>
  </si>
  <si>
    <t>PORTUGAL STACEY A</t>
  </si>
  <si>
    <t>TORRES HUERT SALVADOR</t>
  </si>
  <si>
    <t>00026402416K</t>
  </si>
  <si>
    <t>2Q38H84RD24</t>
  </si>
  <si>
    <t>H4461</t>
  </si>
  <si>
    <t>NEVAREZ ANTONIA</t>
  </si>
  <si>
    <t>DUARTE JULIETA</t>
  </si>
  <si>
    <t>00024848882K</t>
  </si>
  <si>
    <t>1KA2VW4DX97</t>
  </si>
  <si>
    <t>VALADEZ PEREZ CARLOS</t>
  </si>
  <si>
    <t>00026210171K</t>
  </si>
  <si>
    <t>1KH0AP4WT10</t>
  </si>
  <si>
    <t>ROSE LATESHA A</t>
  </si>
  <si>
    <t>DENNIS TRINA A</t>
  </si>
  <si>
    <t>00023623857K</t>
  </si>
  <si>
    <t>2PC1D04RM00</t>
  </si>
  <si>
    <t>DEATON PAMELA S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</si>
  <si>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</si>
  <si>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</si>
  <si>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</si>
  <si>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</si>
  <si>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</si>
  <si>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</si>
  <si>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</si>
  <si>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</si>
  <si>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Carter Mark</t>
  </si>
  <si>
    <t>9031977350</t>
  </si>
  <si>
    <t>COMPBENEFITS FIRST YEAR COMMISSION</t>
  </si>
  <si>
    <t>CRCF</t>
  </si>
  <si>
    <t>HUNSBERGER ANTHONY J</t>
  </si>
  <si>
    <t>KOSS JOYCE E</t>
  </si>
  <si>
    <t>00001001114A</t>
  </si>
  <si>
    <t>MS</t>
  </si>
  <si>
    <t>N</t>
  </si>
  <si>
    <t>KOSS WILLIAM J</t>
  </si>
  <si>
    <t>00001001591A</t>
  </si>
  <si>
    <t>Grychowski Jerry</t>
  </si>
  <si>
    <t>9007596540</t>
  </si>
  <si>
    <t>DENTAL</t>
  </si>
  <si>
    <t>HOFFMANN JASON R</t>
  </si>
  <si>
    <t>MOFFAT STEVE C</t>
  </si>
  <si>
    <t>00000779014A</t>
  </si>
  <si>
    <t>MED SUPP RENEWAL ACHIEVE</t>
  </si>
  <si>
    <t>MSRA</t>
  </si>
  <si>
    <t>Gerber Elliot</t>
  </si>
  <si>
    <t>0654656220</t>
  </si>
  <si>
    <t>RICHTER ADAM J</t>
  </si>
  <si>
    <t>SIMS CHARLES L</t>
  </si>
  <si>
    <t>00000957662A</t>
  </si>
  <si>
    <t>RENEWAL COMMISSIONS</t>
  </si>
  <si>
    <t>ARCM</t>
  </si>
  <si>
    <t>YALE RICHARD A A</t>
  </si>
  <si>
    <t>GREGORY AUTO GROUP ASM</t>
  </si>
  <si>
    <t>000000419885</t>
  </si>
  <si>
    <t>GR</t>
  </si>
  <si>
    <t>EM</t>
  </si>
  <si>
    <t>KUCAN THOMAS</t>
  </si>
  <si>
    <t>LOPOSSA GREGORY W</t>
  </si>
  <si>
    <t>00001158481A</t>
  </si>
  <si>
    <t>GIORGAKIS MARIAN</t>
  </si>
  <si>
    <t>00001161974A</t>
  </si>
  <si>
    <t>INSKIPT DEBORAH L</t>
  </si>
  <si>
    <t>SCHUBERT DAVID</t>
  </si>
  <si>
    <t>00000789641A</t>
  </si>
  <si>
    <t>CARDOSI KAREN E</t>
  </si>
  <si>
    <t>00000828881A</t>
  </si>
  <si>
    <t>SZOST PHILIP</t>
  </si>
  <si>
    <t>00000840020A</t>
  </si>
  <si>
    <t>OLIVER BRITTANY</t>
  </si>
  <si>
    <t>Carl Daniel E.</t>
  </si>
  <si>
    <t>9032235220</t>
  </si>
  <si>
    <t>MCCORKLE MICHELLE</t>
  </si>
  <si>
    <t>Miller Kayla M</t>
  </si>
  <si>
    <t>9030250530</t>
  </si>
  <si>
    <t>Halbig Frederick</t>
  </si>
  <si>
    <t>9031474920</t>
  </si>
  <si>
    <t>Bako Richard</t>
  </si>
  <si>
    <t>9031580250</t>
  </si>
  <si>
    <t>NC CAPITAL PARTERS LLC</t>
  </si>
  <si>
    <t>000000413180</t>
  </si>
  <si>
    <t>AUG</t>
  </si>
  <si>
    <t>SEP</t>
  </si>
  <si>
    <t>OCT</t>
  </si>
  <si>
    <t>NOV</t>
  </si>
  <si>
    <t>DEC</t>
  </si>
  <si>
    <t>MAX RONALD J</t>
  </si>
  <si>
    <t>ASCHE SUSAN M</t>
  </si>
  <si>
    <t>00000873538A</t>
  </si>
  <si>
    <t>GORDY GARY L</t>
  </si>
  <si>
    <t>00001084170A</t>
  </si>
  <si>
    <t>ZAND BANAFSHEH</t>
  </si>
  <si>
    <t>00001154712A</t>
  </si>
  <si>
    <t>WILDE DAVID P</t>
  </si>
  <si>
    <t>00000243950A</t>
  </si>
  <si>
    <t>MED SUPP ANNUALIZED STANDARD</t>
  </si>
  <si>
    <t>MSAS</t>
  </si>
  <si>
    <t>STRAIT RANDALL R</t>
  </si>
  <si>
    <t>00001156583A</t>
  </si>
  <si>
    <t>KILEY MICHAEL E</t>
  </si>
  <si>
    <t>00001162856A</t>
  </si>
  <si>
    <t>Embrey Jessica</t>
  </si>
  <si>
    <t>9031589900</t>
  </si>
  <si>
    <t>Brooks Darlene</t>
  </si>
  <si>
    <t>9032267610</t>
  </si>
  <si>
    <t>KOZACHECK ANNE MARIE</t>
  </si>
  <si>
    <t>BROWELL RUSTY L</t>
  </si>
  <si>
    <t>00001012382A</t>
  </si>
  <si>
    <t>MED SUPP FIRST YEAR ACHIEVE</t>
  </si>
  <si>
    <t>MSFA</t>
  </si>
  <si>
    <t>Albert Jerome</t>
  </si>
  <si>
    <t>9031476450</t>
  </si>
  <si>
    <t>Hendricks Roger</t>
  </si>
  <si>
    <t>9031611900</t>
  </si>
  <si>
    <t>SHAPIRO ROBERT A</t>
  </si>
  <si>
    <t>WALKER SCOTT E</t>
  </si>
  <si>
    <t>00001030218A</t>
  </si>
  <si>
    <t>ROCCIA MARK</t>
  </si>
  <si>
    <t>TOBOLSKI THOMAS E</t>
  </si>
  <si>
    <t>00001159253A</t>
  </si>
  <si>
    <t>MED SUPP ANNUALIZED ACHIEVE</t>
  </si>
  <si>
    <t>MSAA</t>
  </si>
  <si>
    <t>Humana Dental &amp; Vision</t>
  </si>
  <si>
    <t>Humana Group 2025</t>
  </si>
  <si>
    <t>Humana 81+ AL, AZ, AR, GA, etc. All Except N OE &amp; UW</t>
  </si>
  <si>
    <t>Humana Annualized MS OE,UW,GI</t>
  </si>
  <si>
    <t>Humana 65-80 AL, AZ, AR, GA, etc. All Except N OE &amp; UW</t>
  </si>
  <si>
    <t>Humana AL, AZ, AR, GA, etc. Plan N OE &amp; UW</t>
  </si>
  <si>
    <t>Humana MAPD 2026*</t>
  </si>
  <si>
    <t>[%/$=347][prorate=9/12]</t>
  </si>
  <si>
    <t>[%/$=347][prorate=8/12]</t>
  </si>
  <si>
    <t>Humana 2026</t>
  </si>
  <si>
    <t>[%/$=694][prorate=8/12]</t>
  </si>
  <si>
    <t>[%/$=694]</t>
  </si>
  <si>
    <t>[%/$=347][prorate=7/12]</t>
  </si>
  <si>
    <t>[%/$=347][prorate=6/12]</t>
  </si>
  <si>
    <t>2026 Humana like plan changes</t>
  </si>
  <si>
    <t>[%/$=165][prorate=9/12]</t>
  </si>
  <si>
    <t>[%/$=165][prorate=8/12]</t>
  </si>
  <si>
    <t>DENNIS</t>
  </si>
  <si>
    <t>TRINA</t>
  </si>
  <si>
    <t>SWEARINGEN</t>
  </si>
  <si>
    <t>DARYL</t>
  </si>
  <si>
    <t>JOYCE</t>
  </si>
  <si>
    <t>BROWN</t>
  </si>
  <si>
    <t>CARDONE</t>
  </si>
  <si>
    <t>JOHN</t>
  </si>
  <si>
    <t>DUARTE</t>
  </si>
  <si>
    <t>JULIETA</t>
  </si>
  <si>
    <t>GREEN</t>
  </si>
  <si>
    <t>LARRY</t>
  </si>
  <si>
    <t>AUXIER</t>
  </si>
  <si>
    <t>ERRIN</t>
  </si>
  <si>
    <t>KOSS</t>
  </si>
  <si>
    <t>WILLIAM</t>
  </si>
  <si>
    <t>SIMS</t>
  </si>
  <si>
    <t>CHARLES</t>
  </si>
  <si>
    <t>CARDOSI</t>
  </si>
  <si>
    <t>KAREN</t>
  </si>
  <si>
    <t>SZOST</t>
  </si>
  <si>
    <t>PHILIP</t>
  </si>
  <si>
    <t>STRAIT</t>
  </si>
  <si>
    <t>RANDALL</t>
  </si>
  <si>
    <t>KILEY</t>
  </si>
  <si>
    <t>MICHAEL</t>
  </si>
  <si>
    <t>BROWELL</t>
  </si>
  <si>
    <t>RUSTY</t>
  </si>
  <si>
    <t>WALKER</t>
  </si>
  <si>
    <t>SCOTT</t>
  </si>
  <si>
    <t>TOBOLSKI</t>
  </si>
  <si>
    <t>THOMAS</t>
  </si>
  <si>
    <t>ASCHE</t>
  </si>
  <si>
    <t>SUSAN</t>
  </si>
  <si>
    <t>MOFFAT</t>
  </si>
  <si>
    <t>STEVE</t>
  </si>
  <si>
    <t>SCHUBERT</t>
  </si>
  <si>
    <t>DAVID</t>
  </si>
  <si>
    <t>LOPOSSA</t>
  </si>
  <si>
    <t>GREGORY</t>
  </si>
  <si>
    <t>GIORGAKIS</t>
  </si>
  <si>
    <t>MARIAN</t>
  </si>
  <si>
    <t>GORDY</t>
  </si>
  <si>
    <t>GARY</t>
  </si>
  <si>
    <t>ZAND</t>
  </si>
  <si>
    <t>BANAFSHEH</t>
  </si>
  <si>
    <t>Grychowski</t>
  </si>
  <si>
    <t>Jerry</t>
  </si>
  <si>
    <t>Bako</t>
  </si>
  <si>
    <t>Richard</t>
  </si>
  <si>
    <t>Elliott</t>
  </si>
  <si>
    <t>Joseph</t>
  </si>
  <si>
    <t>Carter</t>
  </si>
  <si>
    <t>Mark</t>
  </si>
  <si>
    <t>Gerber</t>
  </si>
  <si>
    <t>Elliot</t>
  </si>
  <si>
    <t>Carl</t>
  </si>
  <si>
    <t>Daniel</t>
  </si>
  <si>
    <t>Miller</t>
  </si>
  <si>
    <t>Kayla</t>
  </si>
  <si>
    <t>Halbig</t>
  </si>
  <si>
    <t>Frederick</t>
  </si>
  <si>
    <t>Embrey</t>
  </si>
  <si>
    <t>Jessica</t>
  </si>
  <si>
    <t>Brooks</t>
  </si>
  <si>
    <t>Darlene</t>
  </si>
  <si>
    <t>Albert</t>
  </si>
  <si>
    <t>Jerome</t>
  </si>
  <si>
    <t>Hendricks</t>
  </si>
  <si>
    <t>Roger</t>
  </si>
  <si>
    <t>AUTO</t>
  </si>
  <si>
    <t>NC</t>
  </si>
  <si>
    <t>CAPITAL</t>
  </si>
  <si>
    <t>VALADEZ</t>
  </si>
  <si>
    <t>CARLOS</t>
  </si>
  <si>
    <t>PROESCH</t>
  </si>
  <si>
    <t>BETHANY</t>
  </si>
  <si>
    <t>KIDD</t>
  </si>
  <si>
    <t>GEORGETTE</t>
  </si>
  <si>
    <t>MEDINA</t>
  </si>
  <si>
    <t>GUADALUPE</t>
  </si>
  <si>
    <t>ODELL</t>
  </si>
  <si>
    <t>MICHELLE</t>
  </si>
  <si>
    <t>PURDIN</t>
  </si>
  <si>
    <t>LISA</t>
  </si>
  <si>
    <t>MINOR</t>
  </si>
  <si>
    <t>CHRISTOPHER</t>
  </si>
  <si>
    <t>VEST</t>
  </si>
  <si>
    <t>PAMELA</t>
  </si>
  <si>
    <t>TORRES</t>
  </si>
  <si>
    <t>SALVADOR</t>
  </si>
  <si>
    <t>MOHIUDDIN</t>
  </si>
  <si>
    <t>TAHER</t>
  </si>
  <si>
    <t>DUBOIS</t>
  </si>
  <si>
    <t>WRIGHT</t>
  </si>
  <si>
    <t>CASSANDRA</t>
  </si>
  <si>
    <t>BIBA</t>
  </si>
  <si>
    <t>MAJOR</t>
  </si>
  <si>
    <t>DIANE</t>
  </si>
  <si>
    <t>DURUM</t>
  </si>
  <si>
    <t>METE</t>
  </si>
  <si>
    <t>MINER</t>
  </si>
  <si>
    <t>JAMES</t>
  </si>
  <si>
    <t>PURDON</t>
  </si>
  <si>
    <t>YOLANDA</t>
  </si>
  <si>
    <t>OCEGUEDA</t>
  </si>
  <si>
    <t>ELISA</t>
  </si>
  <si>
    <t>PARKS</t>
  </si>
  <si>
    <t>PATRICIA</t>
  </si>
  <si>
    <t>CANARY</t>
  </si>
  <si>
    <t>MARGARET</t>
  </si>
  <si>
    <t>REGAN</t>
  </si>
  <si>
    <t>BIAGINI</t>
  </si>
  <si>
    <t>STEVEN</t>
  </si>
  <si>
    <t>HUSSAINI</t>
  </si>
  <si>
    <t>SYEDA</t>
  </si>
  <si>
    <t>BUTLER</t>
  </si>
  <si>
    <t>CATHERINE</t>
  </si>
  <si>
    <t>VEERAPEN</t>
  </si>
  <si>
    <t>RUDOLPH</t>
  </si>
  <si>
    <t>19278370old</t>
  </si>
  <si>
    <t>18710070N</t>
  </si>
  <si>
    <t>7565575old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</si>
</sst>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19" fillId="37" borderId="0" xfId="0" applyFont="1" applyFill="1"/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2" fontId="19" fillId="0" borderId="0" xfId="0" applyNumberFormat="1" applyFont="1" applyFill="1"/>
    <xf numFmtId="0" fontId="19" fillId="35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B49B-35B5-43BC-8386-C2631D2A4A19}">
  <dimension ref="A1:AQ82"/>
  <sheetViews>
    <sheetView workbookViewId="0">
      <selection activeCell="J91" sqref="J91"/>
    </sheetView>
  </sheetViews>
  <sheetFormatPr defaultRowHeight="13.2" x14ac:dyDescent="0.25"/>
  <cols>
    <col min="1" max="1" width="8.5546875" bestFit="1" customWidth="1"/>
    <col min="2" max="2" width="12.44140625" bestFit="1" customWidth="1"/>
    <col min="3" max="3" width="24.6640625" bestFit="1" customWidth="1"/>
    <col min="4" max="4" width="8.5546875" bestFit="1" customWidth="1"/>
    <col min="5" max="5" width="28.5546875" bestFit="1" customWidth="1"/>
    <col min="6" max="6" width="13.33203125" bestFit="1" customWidth="1"/>
    <col min="7" max="7" width="12.44140625" bestFit="1" customWidth="1"/>
    <col min="8" max="8" width="10.44140625" bestFit="1" customWidth="1"/>
    <col min="9" max="10" width="9.5546875" bestFit="1" customWidth="1"/>
    <col min="11" max="11" width="10.44140625" bestFit="1" customWidth="1"/>
    <col min="12" max="14" width="11.44140625" bestFit="1" customWidth="1"/>
    <col min="15" max="16" width="10.44140625" bestFit="1" customWidth="1"/>
    <col min="17" max="17" width="5.6640625" bestFit="1" customWidth="1"/>
    <col min="18" max="20" width="15.33203125" bestFit="1" customWidth="1"/>
    <col min="21" max="21" width="11.44140625" bestFit="1" customWidth="1"/>
    <col min="22" max="22" width="13.6640625" bestFit="1" customWidth="1"/>
    <col min="23" max="23" width="9.5546875" bestFit="1" customWidth="1"/>
    <col min="24" max="24" width="12.44140625" bestFit="1" customWidth="1"/>
    <col min="25" max="25" width="15.33203125" bestFit="1" customWidth="1"/>
    <col min="26" max="26" width="13.6640625" bestFit="1" customWidth="1"/>
    <col min="27" max="27" width="30.44140625" bestFit="1" customWidth="1"/>
    <col min="28" max="28" width="11.44140625" bestFit="1" customWidth="1"/>
    <col min="29" max="29" width="12.554687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546875" bestFit="1" customWidth="1"/>
    <col min="35" max="35" width="13.33203125" bestFit="1" customWidth="1"/>
    <col min="36" max="36" width="16.109375" bestFit="1" customWidth="1"/>
    <col min="37" max="37" width="16" bestFit="1" customWidth="1"/>
    <col min="38" max="38" width="15.88671875" bestFit="1" customWidth="1"/>
    <col min="39" max="39" width="11.44140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>
        <v>1891456</v>
      </c>
      <c r="B2" s="3">
        <v>46134</v>
      </c>
      <c r="C2" s="4" t="s">
        <v>43</v>
      </c>
      <c r="D2" s="2">
        <v>1466196</v>
      </c>
      <c r="E2" s="4" t="s">
        <v>44</v>
      </c>
      <c r="F2" s="4" t="s">
        <v>45</v>
      </c>
      <c r="G2" s="2">
        <v>957334324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46143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0.67</v>
      </c>
      <c r="W2" s="5">
        <v>0</v>
      </c>
      <c r="X2" s="5">
        <v>100</v>
      </c>
      <c r="Y2" s="5">
        <v>231.33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46143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5">
      <c r="A3" s="2">
        <v>1891456</v>
      </c>
      <c r="B3" s="3">
        <v>46134</v>
      </c>
      <c r="C3" s="4" t="s">
        <v>43</v>
      </c>
      <c r="D3" s="2">
        <v>1466196</v>
      </c>
      <c r="E3" s="4" t="s">
        <v>57</v>
      </c>
      <c r="F3" s="4" t="s">
        <v>58</v>
      </c>
      <c r="G3" s="2">
        <v>411120544</v>
      </c>
      <c r="H3" s="4" t="s">
        <v>59</v>
      </c>
      <c r="I3" s="4" t="s">
        <v>47</v>
      </c>
      <c r="J3" s="4" t="s">
        <v>48</v>
      </c>
      <c r="K3" s="4" t="s">
        <v>49</v>
      </c>
      <c r="L3" s="3">
        <v>46143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53</v>
      </c>
      <c r="U3" s="4" t="s">
        <v>47</v>
      </c>
      <c r="V3" s="5">
        <v>0.67</v>
      </c>
      <c r="W3" s="5">
        <v>0</v>
      </c>
      <c r="X3" s="5">
        <v>100</v>
      </c>
      <c r="Y3" s="5">
        <v>231.33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46143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60</v>
      </c>
      <c r="AO3" s="4" t="s">
        <v>47</v>
      </c>
      <c r="AP3" s="4" t="s">
        <v>47</v>
      </c>
      <c r="AQ3" s="4" t="s">
        <v>47</v>
      </c>
    </row>
    <row r="4" spans="1:43" x14ac:dyDescent="0.25">
      <c r="A4" s="2">
        <v>1891456</v>
      </c>
      <c r="B4" s="3">
        <v>46134</v>
      </c>
      <c r="C4" s="4" t="s">
        <v>61</v>
      </c>
      <c r="D4" s="2">
        <v>1509770</v>
      </c>
      <c r="E4" s="4" t="s">
        <v>62</v>
      </c>
      <c r="F4" s="4" t="s">
        <v>63</v>
      </c>
      <c r="G4" s="2">
        <v>261305723</v>
      </c>
      <c r="H4" s="4" t="s">
        <v>64</v>
      </c>
      <c r="I4" s="4" t="s">
        <v>47</v>
      </c>
      <c r="J4" s="4" t="s">
        <v>48</v>
      </c>
      <c r="K4" s="4" t="s">
        <v>49</v>
      </c>
      <c r="L4" s="3">
        <v>46023</v>
      </c>
      <c r="M4" s="4" t="s">
        <v>65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53</v>
      </c>
      <c r="U4" s="4" t="s">
        <v>47</v>
      </c>
      <c r="V4" s="5">
        <v>-0.67</v>
      </c>
      <c r="W4" s="5">
        <v>0</v>
      </c>
      <c r="X4" s="5">
        <v>100</v>
      </c>
      <c r="Y4" s="5">
        <v>-231.33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46023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60</v>
      </c>
      <c r="AO4" s="4" t="s">
        <v>47</v>
      </c>
      <c r="AP4" s="4" t="s">
        <v>47</v>
      </c>
      <c r="AQ4" s="4" t="s">
        <v>47</v>
      </c>
    </row>
    <row r="5" spans="1:43" x14ac:dyDescent="0.25">
      <c r="A5" s="2">
        <v>1891456</v>
      </c>
      <c r="B5" s="3">
        <v>46134</v>
      </c>
      <c r="C5" s="4" t="s">
        <v>61</v>
      </c>
      <c r="D5" s="2">
        <v>1509770</v>
      </c>
      <c r="E5" s="4" t="s">
        <v>66</v>
      </c>
      <c r="F5" s="4" t="s">
        <v>67</v>
      </c>
      <c r="G5" s="2">
        <v>924994222</v>
      </c>
      <c r="H5" s="4" t="s">
        <v>68</v>
      </c>
      <c r="I5" s="4" t="s">
        <v>47</v>
      </c>
      <c r="J5" s="4" t="s">
        <v>48</v>
      </c>
      <c r="K5" s="4" t="s">
        <v>49</v>
      </c>
      <c r="L5" s="3">
        <v>46143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53</v>
      </c>
      <c r="U5" s="4" t="s">
        <v>47</v>
      </c>
      <c r="V5" s="5">
        <v>0.67</v>
      </c>
      <c r="W5" s="5">
        <v>0</v>
      </c>
      <c r="X5" s="5">
        <v>100</v>
      </c>
      <c r="Y5" s="5">
        <v>231.33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46143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60</v>
      </c>
      <c r="AO5" s="4" t="s">
        <v>47</v>
      </c>
      <c r="AP5" s="4" t="s">
        <v>47</v>
      </c>
      <c r="AQ5" s="4" t="s">
        <v>47</v>
      </c>
    </row>
    <row r="6" spans="1:43" x14ac:dyDescent="0.25">
      <c r="A6" s="2">
        <v>1891456</v>
      </c>
      <c r="B6" s="3">
        <v>46134</v>
      </c>
      <c r="C6" s="4" t="s">
        <v>61</v>
      </c>
      <c r="D6" s="2">
        <v>1509770</v>
      </c>
      <c r="E6" s="4" t="s">
        <v>69</v>
      </c>
      <c r="F6" s="4" t="s">
        <v>70</v>
      </c>
      <c r="G6" s="2">
        <v>880012014</v>
      </c>
      <c r="H6" s="4" t="s">
        <v>71</v>
      </c>
      <c r="I6" s="4" t="s">
        <v>47</v>
      </c>
      <c r="J6" s="4" t="s">
        <v>48</v>
      </c>
      <c r="K6" s="4" t="s">
        <v>49</v>
      </c>
      <c r="L6" s="3">
        <v>46204</v>
      </c>
      <c r="M6" s="4" t="s">
        <v>72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53</v>
      </c>
      <c r="U6" s="4" t="s">
        <v>47</v>
      </c>
      <c r="V6" s="5">
        <v>0.5</v>
      </c>
      <c r="W6" s="5">
        <v>0</v>
      </c>
      <c r="X6" s="5">
        <v>100</v>
      </c>
      <c r="Y6" s="5">
        <v>173.5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46204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60</v>
      </c>
      <c r="AO6" s="4" t="s">
        <v>47</v>
      </c>
      <c r="AP6" s="4" t="s">
        <v>47</v>
      </c>
      <c r="AQ6" s="4" t="s">
        <v>47</v>
      </c>
    </row>
    <row r="7" spans="1:43" x14ac:dyDescent="0.25">
      <c r="A7" s="2">
        <v>1891456</v>
      </c>
      <c r="B7" s="3">
        <v>46134</v>
      </c>
      <c r="C7" s="4" t="s">
        <v>61</v>
      </c>
      <c r="D7" s="2">
        <v>1509770</v>
      </c>
      <c r="E7" s="4" t="s">
        <v>73</v>
      </c>
      <c r="F7" s="4" t="s">
        <v>74</v>
      </c>
      <c r="G7" s="2">
        <v>27542533</v>
      </c>
      <c r="H7" s="4" t="s">
        <v>75</v>
      </c>
      <c r="I7" s="4" t="s">
        <v>47</v>
      </c>
      <c r="J7" s="4" t="s">
        <v>48</v>
      </c>
      <c r="K7" s="4" t="s">
        <v>49</v>
      </c>
      <c r="L7" s="3">
        <v>46204</v>
      </c>
      <c r="M7" s="4" t="s">
        <v>72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0.5</v>
      </c>
      <c r="W7" s="5">
        <v>0</v>
      </c>
      <c r="X7" s="5">
        <v>100</v>
      </c>
      <c r="Y7" s="5">
        <v>173.5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46204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60</v>
      </c>
      <c r="AO7" s="4" t="s">
        <v>47</v>
      </c>
      <c r="AP7" s="4" t="s">
        <v>47</v>
      </c>
      <c r="AQ7" s="4" t="s">
        <v>47</v>
      </c>
    </row>
    <row r="8" spans="1:43" x14ac:dyDescent="0.25">
      <c r="A8" s="2">
        <v>1891456</v>
      </c>
      <c r="B8" s="3">
        <v>46134</v>
      </c>
      <c r="C8" s="4" t="s">
        <v>61</v>
      </c>
      <c r="D8" s="2">
        <v>1509770</v>
      </c>
      <c r="E8" s="4" t="s">
        <v>76</v>
      </c>
      <c r="F8" s="4" t="s">
        <v>77</v>
      </c>
      <c r="G8" s="2">
        <v>401930194</v>
      </c>
      <c r="H8" s="4" t="s">
        <v>78</v>
      </c>
      <c r="I8" s="4" t="s">
        <v>47</v>
      </c>
      <c r="J8" s="4" t="s">
        <v>48</v>
      </c>
      <c r="K8" s="4" t="s">
        <v>49</v>
      </c>
      <c r="L8" s="3">
        <v>46143</v>
      </c>
      <c r="M8" s="4" t="s">
        <v>50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0.67</v>
      </c>
      <c r="W8" s="5">
        <v>0</v>
      </c>
      <c r="X8" s="5">
        <v>100</v>
      </c>
      <c r="Y8" s="5">
        <v>231.33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46143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60</v>
      </c>
      <c r="AO8" s="4" t="s">
        <v>47</v>
      </c>
      <c r="AP8" s="4" t="s">
        <v>47</v>
      </c>
      <c r="AQ8" s="4" t="s">
        <v>47</v>
      </c>
    </row>
    <row r="9" spans="1:43" x14ac:dyDescent="0.25">
      <c r="A9" s="2">
        <v>1891456</v>
      </c>
      <c r="B9" s="3">
        <v>46134</v>
      </c>
      <c r="C9" s="4" t="s">
        <v>79</v>
      </c>
      <c r="D9" s="2">
        <v>1535078</v>
      </c>
      <c r="E9" s="4" t="s">
        <v>80</v>
      </c>
      <c r="F9" s="4" t="s">
        <v>81</v>
      </c>
      <c r="G9" s="2">
        <v>639023594</v>
      </c>
      <c r="H9" s="4" t="s">
        <v>82</v>
      </c>
      <c r="I9" s="4" t="s">
        <v>47</v>
      </c>
      <c r="J9" s="4" t="s">
        <v>48</v>
      </c>
      <c r="K9" s="4" t="s">
        <v>49</v>
      </c>
      <c r="L9" s="3">
        <v>46143</v>
      </c>
      <c r="M9" s="4" t="s">
        <v>50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83</v>
      </c>
      <c r="U9" s="4" t="s">
        <v>47</v>
      </c>
      <c r="V9" s="5">
        <v>0.67</v>
      </c>
      <c r="W9" s="5">
        <v>0</v>
      </c>
      <c r="X9" s="5">
        <v>100</v>
      </c>
      <c r="Y9" s="5">
        <v>231.33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46143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84</v>
      </c>
      <c r="AO9" s="4" t="s">
        <v>47</v>
      </c>
      <c r="AP9" s="4" t="s">
        <v>47</v>
      </c>
      <c r="AQ9" s="4" t="s">
        <v>47</v>
      </c>
    </row>
    <row r="10" spans="1:43" x14ac:dyDescent="0.25">
      <c r="A10" s="2">
        <v>1891456</v>
      </c>
      <c r="B10" s="3">
        <v>46134</v>
      </c>
      <c r="C10" s="4" t="s">
        <v>85</v>
      </c>
      <c r="D10" s="2">
        <v>1545197</v>
      </c>
      <c r="E10" s="4" t="s">
        <v>86</v>
      </c>
      <c r="F10" s="4" t="s">
        <v>87</v>
      </c>
      <c r="G10" s="2">
        <v>659937430</v>
      </c>
      <c r="H10" s="4" t="s">
        <v>88</v>
      </c>
      <c r="I10" s="4" t="s">
        <v>47</v>
      </c>
      <c r="J10" s="4" t="s">
        <v>48</v>
      </c>
      <c r="K10" s="4" t="s">
        <v>49</v>
      </c>
      <c r="L10" s="3">
        <v>46054</v>
      </c>
      <c r="M10" s="4" t="s">
        <v>89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-0.67</v>
      </c>
      <c r="W10" s="5">
        <v>0</v>
      </c>
      <c r="X10" s="5">
        <v>100</v>
      </c>
      <c r="Y10" s="5">
        <v>-231.33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46054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60</v>
      </c>
      <c r="AO10" s="4" t="s">
        <v>47</v>
      </c>
      <c r="AP10" s="4" t="s">
        <v>47</v>
      </c>
      <c r="AQ10" s="4" t="s">
        <v>47</v>
      </c>
    </row>
    <row r="11" spans="1:43" x14ac:dyDescent="0.25">
      <c r="A11" s="2">
        <v>1891456</v>
      </c>
      <c r="B11" s="3">
        <v>46134</v>
      </c>
      <c r="C11" s="4" t="s">
        <v>90</v>
      </c>
      <c r="D11" s="2">
        <v>1555496</v>
      </c>
      <c r="E11" s="4" t="s">
        <v>91</v>
      </c>
      <c r="F11" s="4" t="s">
        <v>92</v>
      </c>
      <c r="G11" s="2">
        <v>138167454</v>
      </c>
      <c r="H11" s="4" t="s">
        <v>93</v>
      </c>
      <c r="I11" s="4" t="s">
        <v>47</v>
      </c>
      <c r="J11" s="4" t="s">
        <v>48</v>
      </c>
      <c r="K11" s="4" t="s">
        <v>49</v>
      </c>
      <c r="L11" s="3">
        <v>46143</v>
      </c>
      <c r="M11" s="4" t="s">
        <v>50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53</v>
      </c>
      <c r="U11" s="4" t="s">
        <v>47</v>
      </c>
      <c r="V11" s="5">
        <v>0.67</v>
      </c>
      <c r="W11" s="5">
        <v>0</v>
      </c>
      <c r="X11" s="5">
        <v>100</v>
      </c>
      <c r="Y11" s="5">
        <v>231.33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46143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60</v>
      </c>
      <c r="AO11" s="4" t="s">
        <v>47</v>
      </c>
      <c r="AP11" s="4" t="s">
        <v>47</v>
      </c>
      <c r="AQ11" s="4" t="s">
        <v>47</v>
      </c>
    </row>
    <row r="12" spans="1:43" x14ac:dyDescent="0.25">
      <c r="A12" s="2">
        <v>1891456</v>
      </c>
      <c r="B12" s="3">
        <v>46134</v>
      </c>
      <c r="C12" s="4" t="s">
        <v>94</v>
      </c>
      <c r="D12" s="2">
        <v>1593325</v>
      </c>
      <c r="E12" s="4" t="s">
        <v>95</v>
      </c>
      <c r="F12" s="4" t="s">
        <v>96</v>
      </c>
      <c r="G12" s="2">
        <v>247783052</v>
      </c>
      <c r="H12" s="4" t="s">
        <v>97</v>
      </c>
      <c r="I12" s="4" t="s">
        <v>47</v>
      </c>
      <c r="J12" s="4" t="s">
        <v>48</v>
      </c>
      <c r="K12" s="4" t="s">
        <v>49</v>
      </c>
      <c r="L12" s="3">
        <v>46143</v>
      </c>
      <c r="M12" s="4" t="s">
        <v>50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53</v>
      </c>
      <c r="U12" s="4" t="s">
        <v>47</v>
      </c>
      <c r="V12" s="5">
        <v>0.67</v>
      </c>
      <c r="W12" s="5">
        <v>0</v>
      </c>
      <c r="X12" s="5">
        <v>100</v>
      </c>
      <c r="Y12" s="5">
        <v>110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46143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60</v>
      </c>
      <c r="AO12" s="4" t="s">
        <v>47</v>
      </c>
      <c r="AP12" s="4" t="s">
        <v>47</v>
      </c>
      <c r="AQ12" s="4" t="s">
        <v>47</v>
      </c>
    </row>
    <row r="13" spans="1:43" x14ac:dyDescent="0.25">
      <c r="A13" s="2">
        <v>1891456</v>
      </c>
      <c r="B13" s="3">
        <v>46134</v>
      </c>
      <c r="C13" s="4" t="s">
        <v>94</v>
      </c>
      <c r="D13" s="2">
        <v>1593325</v>
      </c>
      <c r="E13" s="4" t="s">
        <v>98</v>
      </c>
      <c r="F13" s="4" t="s">
        <v>99</v>
      </c>
      <c r="G13" s="2">
        <v>486783052</v>
      </c>
      <c r="H13" s="4" t="s">
        <v>100</v>
      </c>
      <c r="I13" s="4" t="s">
        <v>47</v>
      </c>
      <c r="J13" s="4" t="s">
        <v>48</v>
      </c>
      <c r="K13" s="4" t="s">
        <v>49</v>
      </c>
      <c r="L13" s="3">
        <v>46143</v>
      </c>
      <c r="M13" s="4" t="s">
        <v>50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53</v>
      </c>
      <c r="U13" s="4" t="s">
        <v>47</v>
      </c>
      <c r="V13" s="5">
        <v>0.67</v>
      </c>
      <c r="W13" s="5">
        <v>0</v>
      </c>
      <c r="X13" s="5">
        <v>100</v>
      </c>
      <c r="Y13" s="5">
        <v>110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46143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60</v>
      </c>
      <c r="AO13" s="4" t="s">
        <v>47</v>
      </c>
      <c r="AP13" s="4" t="s">
        <v>47</v>
      </c>
      <c r="AQ13" s="4" t="s">
        <v>47</v>
      </c>
    </row>
    <row r="14" spans="1:43" x14ac:dyDescent="0.25">
      <c r="A14" s="2">
        <v>1891456</v>
      </c>
      <c r="B14" s="3">
        <v>46134</v>
      </c>
      <c r="C14" s="4" t="s">
        <v>101</v>
      </c>
      <c r="D14" s="2">
        <v>1646082</v>
      </c>
      <c r="E14" s="4" t="s">
        <v>102</v>
      </c>
      <c r="F14" s="4" t="s">
        <v>103</v>
      </c>
      <c r="G14" s="2">
        <v>16913261</v>
      </c>
      <c r="H14" s="4" t="s">
        <v>104</v>
      </c>
      <c r="I14" s="4" t="s">
        <v>47</v>
      </c>
      <c r="J14" s="4" t="s">
        <v>48</v>
      </c>
      <c r="K14" s="4" t="s">
        <v>49</v>
      </c>
      <c r="L14" s="3">
        <v>46143</v>
      </c>
      <c r="M14" s="4" t="s">
        <v>50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83</v>
      </c>
      <c r="U14" s="4" t="s">
        <v>47</v>
      </c>
      <c r="V14" s="5">
        <v>0.67</v>
      </c>
      <c r="W14" s="5">
        <v>0</v>
      </c>
      <c r="X14" s="5">
        <v>100</v>
      </c>
      <c r="Y14" s="5">
        <v>231.33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46143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105</v>
      </c>
      <c r="AO14" s="4" t="s">
        <v>47</v>
      </c>
      <c r="AP14" s="4" t="s">
        <v>47</v>
      </c>
      <c r="AQ14" s="4" t="s">
        <v>47</v>
      </c>
    </row>
    <row r="15" spans="1:43" x14ac:dyDescent="0.25">
      <c r="A15" s="2">
        <v>1891456</v>
      </c>
      <c r="B15" s="3">
        <v>46134</v>
      </c>
      <c r="C15" s="4" t="s">
        <v>101</v>
      </c>
      <c r="D15" s="2">
        <v>1646082</v>
      </c>
      <c r="E15" s="4" t="s">
        <v>106</v>
      </c>
      <c r="F15" s="4" t="s">
        <v>107</v>
      </c>
      <c r="G15" s="2">
        <v>674173464</v>
      </c>
      <c r="H15" s="4" t="s">
        <v>108</v>
      </c>
      <c r="I15" s="4" t="s">
        <v>47</v>
      </c>
      <c r="J15" s="4" t="s">
        <v>48</v>
      </c>
      <c r="K15" s="4" t="s">
        <v>49</v>
      </c>
      <c r="L15" s="3">
        <v>46113</v>
      </c>
      <c r="M15" s="4" t="s">
        <v>109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83</v>
      </c>
      <c r="U15" s="4" t="s">
        <v>47</v>
      </c>
      <c r="V15" s="5">
        <v>-0.67</v>
      </c>
      <c r="W15" s="5">
        <v>0</v>
      </c>
      <c r="X15" s="5">
        <v>100</v>
      </c>
      <c r="Y15" s="5">
        <v>-231.33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46113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84</v>
      </c>
      <c r="AO15" s="4" t="s">
        <v>47</v>
      </c>
      <c r="AP15" s="4" t="s">
        <v>47</v>
      </c>
      <c r="AQ15" s="4" t="s">
        <v>47</v>
      </c>
    </row>
    <row r="16" spans="1:43" x14ac:dyDescent="0.25">
      <c r="A16" s="2">
        <v>1891456</v>
      </c>
      <c r="B16" s="3">
        <v>46134</v>
      </c>
      <c r="C16" s="4" t="s">
        <v>110</v>
      </c>
      <c r="D16" s="2">
        <v>1703942</v>
      </c>
      <c r="E16" s="4" t="s">
        <v>111</v>
      </c>
      <c r="F16" s="4" t="s">
        <v>112</v>
      </c>
      <c r="G16" s="2">
        <v>80515254</v>
      </c>
      <c r="H16" s="4" t="s">
        <v>113</v>
      </c>
      <c r="I16" s="4" t="s">
        <v>47</v>
      </c>
      <c r="J16" s="4" t="s">
        <v>48</v>
      </c>
      <c r="K16" s="4" t="s">
        <v>49</v>
      </c>
      <c r="L16" s="3">
        <v>46082</v>
      </c>
      <c r="M16" s="4" t="s">
        <v>114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83</v>
      </c>
      <c r="U16" s="4" t="s">
        <v>47</v>
      </c>
      <c r="V16" s="5">
        <v>0</v>
      </c>
      <c r="W16" s="5">
        <v>0</v>
      </c>
      <c r="X16" s="5">
        <v>100</v>
      </c>
      <c r="Y16" s="5">
        <v>-404.83</v>
      </c>
      <c r="Z16" s="4" t="s">
        <v>47</v>
      </c>
      <c r="AA16" s="5" t="s">
        <v>47</v>
      </c>
      <c r="AB16" s="4" t="s">
        <v>115</v>
      </c>
      <c r="AC16" s="4" t="s">
        <v>47</v>
      </c>
      <c r="AD16" s="5">
        <v>0</v>
      </c>
      <c r="AE16" s="4" t="s">
        <v>116</v>
      </c>
      <c r="AF16" s="3">
        <v>46082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105</v>
      </c>
      <c r="AO16" s="4" t="s">
        <v>47</v>
      </c>
      <c r="AP16" s="4" t="s">
        <v>47</v>
      </c>
      <c r="AQ16" s="4" t="s">
        <v>47</v>
      </c>
    </row>
    <row r="17" spans="1:43" x14ac:dyDescent="0.25">
      <c r="A17" s="2">
        <v>1891456</v>
      </c>
      <c r="B17" s="3">
        <v>46134</v>
      </c>
      <c r="C17" s="4" t="s">
        <v>110</v>
      </c>
      <c r="D17" s="2">
        <v>1703942</v>
      </c>
      <c r="E17" s="4" t="s">
        <v>111</v>
      </c>
      <c r="F17" s="4" t="s">
        <v>112</v>
      </c>
      <c r="G17" s="2">
        <v>80515254</v>
      </c>
      <c r="H17" s="4" t="s">
        <v>113</v>
      </c>
      <c r="I17" s="4" t="s">
        <v>47</v>
      </c>
      <c r="J17" s="4" t="s">
        <v>48</v>
      </c>
      <c r="K17" s="4" t="s">
        <v>49</v>
      </c>
      <c r="L17" s="3">
        <v>46082</v>
      </c>
      <c r="M17" s="4" t="s">
        <v>114</v>
      </c>
      <c r="N17" s="4" t="s">
        <v>47</v>
      </c>
      <c r="O17" s="4" t="s">
        <v>51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83</v>
      </c>
      <c r="U17" s="4" t="s">
        <v>47</v>
      </c>
      <c r="V17" s="5">
        <v>-0.83</v>
      </c>
      <c r="W17" s="5">
        <v>0</v>
      </c>
      <c r="X17" s="5">
        <v>100</v>
      </c>
      <c r="Y17" s="5">
        <v>-289.17</v>
      </c>
      <c r="Z17" s="4" t="s">
        <v>47</v>
      </c>
      <c r="AA17" s="5" t="s">
        <v>47</v>
      </c>
      <c r="AB17" s="4" t="s">
        <v>54</v>
      </c>
      <c r="AC17" s="4" t="s">
        <v>47</v>
      </c>
      <c r="AD17" s="5">
        <v>0</v>
      </c>
      <c r="AE17" s="4" t="s">
        <v>55</v>
      </c>
      <c r="AF17" s="3">
        <v>46082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105</v>
      </c>
      <c r="AO17" s="4" t="s">
        <v>47</v>
      </c>
      <c r="AP17" s="4" t="s">
        <v>47</v>
      </c>
      <c r="AQ17" s="4" t="s">
        <v>47</v>
      </c>
    </row>
    <row r="18" spans="1:43" x14ac:dyDescent="0.25">
      <c r="A18" s="2">
        <v>1891456</v>
      </c>
      <c r="B18" s="3">
        <v>46134</v>
      </c>
      <c r="C18" s="4" t="s">
        <v>110</v>
      </c>
      <c r="D18" s="2">
        <v>1703942</v>
      </c>
      <c r="E18" s="4" t="s">
        <v>117</v>
      </c>
      <c r="F18" s="4" t="s">
        <v>118</v>
      </c>
      <c r="G18" s="2">
        <v>507700454</v>
      </c>
      <c r="H18" s="4" t="s">
        <v>119</v>
      </c>
      <c r="I18" s="4" t="s">
        <v>47</v>
      </c>
      <c r="J18" s="4" t="s">
        <v>48</v>
      </c>
      <c r="K18" s="4" t="s">
        <v>49</v>
      </c>
      <c r="L18" s="3">
        <v>46143</v>
      </c>
      <c r="M18" s="4" t="s">
        <v>50</v>
      </c>
      <c r="N18" s="4" t="s">
        <v>47</v>
      </c>
      <c r="O18" s="4" t="s">
        <v>51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53</v>
      </c>
      <c r="U18" s="4" t="s">
        <v>47</v>
      </c>
      <c r="V18" s="5">
        <v>0.67</v>
      </c>
      <c r="W18" s="5">
        <v>0</v>
      </c>
      <c r="X18" s="5">
        <v>100</v>
      </c>
      <c r="Y18" s="5">
        <v>231.33</v>
      </c>
      <c r="Z18" s="4" t="s">
        <v>47</v>
      </c>
      <c r="AA18" s="5" t="s">
        <v>47</v>
      </c>
      <c r="AB18" s="4" t="s">
        <v>54</v>
      </c>
      <c r="AC18" s="4" t="s">
        <v>47</v>
      </c>
      <c r="AD18" s="5">
        <v>0</v>
      </c>
      <c r="AE18" s="4" t="s">
        <v>55</v>
      </c>
      <c r="AF18" s="3">
        <v>46143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60</v>
      </c>
      <c r="AO18" s="4" t="s">
        <v>47</v>
      </c>
      <c r="AP18" s="4" t="s">
        <v>47</v>
      </c>
      <c r="AQ18" s="4" t="s">
        <v>47</v>
      </c>
    </row>
    <row r="19" spans="1:43" x14ac:dyDescent="0.25">
      <c r="A19" s="2">
        <v>1891456</v>
      </c>
      <c r="B19" s="3">
        <v>46134</v>
      </c>
      <c r="C19" s="4" t="s">
        <v>110</v>
      </c>
      <c r="D19" s="2">
        <v>1703942</v>
      </c>
      <c r="E19" s="4" t="s">
        <v>120</v>
      </c>
      <c r="F19" s="4" t="s">
        <v>121</v>
      </c>
      <c r="G19" s="2">
        <v>247851113</v>
      </c>
      <c r="H19" s="4" t="s">
        <v>122</v>
      </c>
      <c r="I19" s="4" t="s">
        <v>47</v>
      </c>
      <c r="J19" s="4" t="s">
        <v>48</v>
      </c>
      <c r="K19" s="4" t="s">
        <v>49</v>
      </c>
      <c r="L19" s="3">
        <v>46143</v>
      </c>
      <c r="M19" s="4" t="s">
        <v>50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53</v>
      </c>
      <c r="U19" s="4" t="s">
        <v>47</v>
      </c>
      <c r="V19" s="5">
        <v>0.67</v>
      </c>
      <c r="W19" s="5">
        <v>0</v>
      </c>
      <c r="X19" s="5">
        <v>100</v>
      </c>
      <c r="Y19" s="5">
        <v>231.33</v>
      </c>
      <c r="Z19" s="4" t="s">
        <v>47</v>
      </c>
      <c r="AA19" s="5" t="s">
        <v>47</v>
      </c>
      <c r="AB19" s="4" t="s">
        <v>54</v>
      </c>
      <c r="AC19" s="4" t="s">
        <v>47</v>
      </c>
      <c r="AD19" s="5">
        <v>0</v>
      </c>
      <c r="AE19" s="4" t="s">
        <v>55</v>
      </c>
      <c r="AF19" s="3">
        <v>46143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60</v>
      </c>
      <c r="AO19" s="4" t="s">
        <v>47</v>
      </c>
      <c r="AP19" s="4" t="s">
        <v>47</v>
      </c>
      <c r="AQ19" s="4" t="s">
        <v>47</v>
      </c>
    </row>
    <row r="20" spans="1:43" x14ac:dyDescent="0.25">
      <c r="A20" s="2">
        <v>1891456</v>
      </c>
      <c r="B20" s="3">
        <v>46134</v>
      </c>
      <c r="C20" s="4" t="s">
        <v>123</v>
      </c>
      <c r="D20" s="2">
        <v>1773696</v>
      </c>
      <c r="E20" s="4" t="s">
        <v>124</v>
      </c>
      <c r="F20" s="4" t="s">
        <v>125</v>
      </c>
      <c r="G20" s="2">
        <v>572174544</v>
      </c>
      <c r="H20" s="4" t="s">
        <v>126</v>
      </c>
      <c r="I20" s="4" t="s">
        <v>47</v>
      </c>
      <c r="J20" s="4" t="s">
        <v>48</v>
      </c>
      <c r="K20" s="4" t="s">
        <v>49</v>
      </c>
      <c r="L20" s="3">
        <v>46143</v>
      </c>
      <c r="M20" s="4" t="s">
        <v>50</v>
      </c>
      <c r="N20" s="4" t="s">
        <v>47</v>
      </c>
      <c r="O20" s="4" t="s">
        <v>51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83</v>
      </c>
      <c r="U20" s="4" t="s">
        <v>47</v>
      </c>
      <c r="V20" s="5">
        <v>0.67</v>
      </c>
      <c r="W20" s="5">
        <v>0</v>
      </c>
      <c r="X20" s="5">
        <v>100</v>
      </c>
      <c r="Y20" s="5">
        <v>231.33</v>
      </c>
      <c r="Z20" s="4" t="s">
        <v>47</v>
      </c>
      <c r="AA20" s="5" t="s">
        <v>47</v>
      </c>
      <c r="AB20" s="4" t="s">
        <v>54</v>
      </c>
      <c r="AC20" s="4" t="s">
        <v>47</v>
      </c>
      <c r="AD20" s="5">
        <v>0</v>
      </c>
      <c r="AE20" s="4" t="s">
        <v>55</v>
      </c>
      <c r="AF20" s="3">
        <v>46143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84</v>
      </c>
      <c r="AO20" s="4" t="s">
        <v>47</v>
      </c>
      <c r="AP20" s="4" t="s">
        <v>47</v>
      </c>
      <c r="AQ20" s="4" t="s">
        <v>47</v>
      </c>
    </row>
    <row r="21" spans="1:43" x14ac:dyDescent="0.25">
      <c r="A21" s="2">
        <v>1891456</v>
      </c>
      <c r="B21" s="3">
        <v>46134</v>
      </c>
      <c r="C21" s="4" t="s">
        <v>127</v>
      </c>
      <c r="D21" s="2">
        <v>1800759</v>
      </c>
      <c r="E21" s="4" t="s">
        <v>128</v>
      </c>
      <c r="F21" s="4" t="s">
        <v>129</v>
      </c>
      <c r="G21" s="2">
        <v>2045293</v>
      </c>
      <c r="H21" s="4" t="s">
        <v>130</v>
      </c>
      <c r="I21" s="4" t="s">
        <v>47</v>
      </c>
      <c r="J21" s="4" t="s">
        <v>48</v>
      </c>
      <c r="K21" s="4" t="s">
        <v>49</v>
      </c>
      <c r="L21" s="3">
        <v>46143</v>
      </c>
      <c r="M21" s="4" t="s">
        <v>50</v>
      </c>
      <c r="N21" s="4" t="s">
        <v>47</v>
      </c>
      <c r="O21" s="4" t="s">
        <v>51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53</v>
      </c>
      <c r="U21" s="4" t="s">
        <v>47</v>
      </c>
      <c r="V21" s="5">
        <v>0.67</v>
      </c>
      <c r="W21" s="5">
        <v>0</v>
      </c>
      <c r="X21" s="5">
        <v>100</v>
      </c>
      <c r="Y21" s="5">
        <v>231.33</v>
      </c>
      <c r="Z21" s="4" t="s">
        <v>47</v>
      </c>
      <c r="AA21" s="5" t="s">
        <v>47</v>
      </c>
      <c r="AB21" s="4" t="s">
        <v>54</v>
      </c>
      <c r="AC21" s="4" t="s">
        <v>47</v>
      </c>
      <c r="AD21" s="5">
        <v>0</v>
      </c>
      <c r="AE21" s="4" t="s">
        <v>55</v>
      </c>
      <c r="AF21" s="3">
        <v>46143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60</v>
      </c>
      <c r="AO21" s="4" t="s">
        <v>47</v>
      </c>
      <c r="AP21" s="4" t="s">
        <v>47</v>
      </c>
      <c r="AQ21" s="4" t="s">
        <v>47</v>
      </c>
    </row>
    <row r="22" spans="1:43" x14ac:dyDescent="0.25">
      <c r="A22" s="2">
        <v>1891456</v>
      </c>
      <c r="B22" s="3">
        <v>46134</v>
      </c>
      <c r="C22" s="4" t="s">
        <v>127</v>
      </c>
      <c r="D22" s="2">
        <v>1800759</v>
      </c>
      <c r="E22" s="4" t="s">
        <v>131</v>
      </c>
      <c r="F22" s="4" t="s">
        <v>132</v>
      </c>
      <c r="G22" s="2">
        <v>718707194</v>
      </c>
      <c r="H22" s="4" t="s">
        <v>133</v>
      </c>
      <c r="I22" s="4" t="s">
        <v>47</v>
      </c>
      <c r="J22" s="4" t="s">
        <v>48</v>
      </c>
      <c r="K22" s="4" t="s">
        <v>49</v>
      </c>
      <c r="L22" s="3">
        <v>46174</v>
      </c>
      <c r="M22" s="4" t="s">
        <v>134</v>
      </c>
      <c r="N22" s="4" t="s">
        <v>47</v>
      </c>
      <c r="O22" s="4" t="s">
        <v>51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53</v>
      </c>
      <c r="U22" s="4" t="s">
        <v>47</v>
      </c>
      <c r="V22" s="5">
        <v>0.57999999999999996</v>
      </c>
      <c r="W22" s="5">
        <v>0</v>
      </c>
      <c r="X22" s="5">
        <v>100</v>
      </c>
      <c r="Y22" s="5">
        <v>202.42</v>
      </c>
      <c r="Z22" s="4" t="s">
        <v>47</v>
      </c>
      <c r="AA22" s="5" t="s">
        <v>47</v>
      </c>
      <c r="AB22" s="4" t="s">
        <v>54</v>
      </c>
      <c r="AC22" s="4" t="s">
        <v>47</v>
      </c>
      <c r="AD22" s="5">
        <v>0</v>
      </c>
      <c r="AE22" s="4" t="s">
        <v>55</v>
      </c>
      <c r="AF22" s="3">
        <v>46174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60</v>
      </c>
      <c r="AO22" s="4" t="s">
        <v>47</v>
      </c>
      <c r="AP22" s="4" t="s">
        <v>47</v>
      </c>
      <c r="AQ22" s="4" t="s">
        <v>47</v>
      </c>
    </row>
    <row r="23" spans="1:43" x14ac:dyDescent="0.25">
      <c r="A23" s="2">
        <v>1891456</v>
      </c>
      <c r="B23" s="3">
        <v>46134</v>
      </c>
      <c r="C23" s="4" t="s">
        <v>127</v>
      </c>
      <c r="D23" s="2">
        <v>1800759</v>
      </c>
      <c r="E23" s="4" t="s">
        <v>135</v>
      </c>
      <c r="F23" s="4" t="s">
        <v>136</v>
      </c>
      <c r="G23" s="2">
        <v>682808631</v>
      </c>
      <c r="H23" s="4" t="s">
        <v>137</v>
      </c>
      <c r="I23" s="4" t="s">
        <v>47</v>
      </c>
      <c r="J23" s="4" t="s">
        <v>48</v>
      </c>
      <c r="K23" s="4" t="s">
        <v>49</v>
      </c>
      <c r="L23" s="3">
        <v>46143</v>
      </c>
      <c r="M23" s="4" t="s">
        <v>50</v>
      </c>
      <c r="N23" s="4" t="s">
        <v>47</v>
      </c>
      <c r="O23" s="4" t="s">
        <v>51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83</v>
      </c>
      <c r="U23" s="4" t="s">
        <v>47</v>
      </c>
      <c r="V23" s="5">
        <v>0.67</v>
      </c>
      <c r="W23" s="5">
        <v>0</v>
      </c>
      <c r="X23" s="5">
        <v>100</v>
      </c>
      <c r="Y23" s="5">
        <v>231.33</v>
      </c>
      <c r="Z23" s="4" t="s">
        <v>47</v>
      </c>
      <c r="AA23" s="5" t="s">
        <v>47</v>
      </c>
      <c r="AB23" s="4" t="s">
        <v>54</v>
      </c>
      <c r="AC23" s="4" t="s">
        <v>47</v>
      </c>
      <c r="AD23" s="5">
        <v>0</v>
      </c>
      <c r="AE23" s="4" t="s">
        <v>55</v>
      </c>
      <c r="AF23" s="3">
        <v>46143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84</v>
      </c>
      <c r="AO23" s="4" t="s">
        <v>47</v>
      </c>
      <c r="AP23" s="4" t="s">
        <v>47</v>
      </c>
      <c r="AQ23" s="4" t="s">
        <v>47</v>
      </c>
    </row>
    <row r="24" spans="1:43" x14ac:dyDescent="0.25">
      <c r="A24" s="2">
        <v>1891456</v>
      </c>
      <c r="B24" s="3">
        <v>46134</v>
      </c>
      <c r="C24" s="4" t="s">
        <v>138</v>
      </c>
      <c r="D24" s="2">
        <v>1800776</v>
      </c>
      <c r="E24" s="4" t="s">
        <v>139</v>
      </c>
      <c r="F24" s="4" t="s">
        <v>140</v>
      </c>
      <c r="G24" s="2">
        <v>518475105</v>
      </c>
      <c r="H24" s="4" t="s">
        <v>141</v>
      </c>
      <c r="I24" s="4" t="s">
        <v>47</v>
      </c>
      <c r="J24" s="4" t="s">
        <v>48</v>
      </c>
      <c r="K24" s="4" t="s">
        <v>49</v>
      </c>
      <c r="L24" s="3">
        <v>46113</v>
      </c>
      <c r="M24" s="4" t="s">
        <v>109</v>
      </c>
      <c r="N24" s="4" t="s">
        <v>47</v>
      </c>
      <c r="O24" s="4" t="s">
        <v>51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83</v>
      </c>
      <c r="U24" s="4" t="s">
        <v>47</v>
      </c>
      <c r="V24" s="5">
        <v>0</v>
      </c>
      <c r="W24" s="5">
        <v>0</v>
      </c>
      <c r="X24" s="5">
        <v>100</v>
      </c>
      <c r="Y24" s="5">
        <v>-433.75</v>
      </c>
      <c r="Z24" s="4" t="s">
        <v>47</v>
      </c>
      <c r="AA24" s="5" t="s">
        <v>47</v>
      </c>
      <c r="AB24" s="4" t="s">
        <v>115</v>
      </c>
      <c r="AC24" s="4" t="s">
        <v>47</v>
      </c>
      <c r="AD24" s="5">
        <v>0</v>
      </c>
      <c r="AE24" s="4" t="s">
        <v>116</v>
      </c>
      <c r="AF24" s="3">
        <v>46113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105</v>
      </c>
      <c r="AO24" s="4" t="s">
        <v>47</v>
      </c>
      <c r="AP24" s="4" t="s">
        <v>47</v>
      </c>
      <c r="AQ24" s="4" t="s">
        <v>47</v>
      </c>
    </row>
    <row r="25" spans="1:43" x14ac:dyDescent="0.25">
      <c r="A25" s="2">
        <v>1891456</v>
      </c>
      <c r="B25" s="3">
        <v>46134</v>
      </c>
      <c r="C25" s="4" t="s">
        <v>138</v>
      </c>
      <c r="D25" s="2">
        <v>1800776</v>
      </c>
      <c r="E25" s="4" t="s">
        <v>139</v>
      </c>
      <c r="F25" s="4" t="s">
        <v>140</v>
      </c>
      <c r="G25" s="2">
        <v>518475105</v>
      </c>
      <c r="H25" s="4" t="s">
        <v>141</v>
      </c>
      <c r="I25" s="4" t="s">
        <v>47</v>
      </c>
      <c r="J25" s="4" t="s">
        <v>48</v>
      </c>
      <c r="K25" s="4" t="s">
        <v>49</v>
      </c>
      <c r="L25" s="3">
        <v>46113</v>
      </c>
      <c r="M25" s="4" t="s">
        <v>109</v>
      </c>
      <c r="N25" s="4" t="s">
        <v>47</v>
      </c>
      <c r="O25" s="4" t="s">
        <v>51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83</v>
      </c>
      <c r="U25" s="4" t="s">
        <v>47</v>
      </c>
      <c r="V25" s="5">
        <v>-0.75</v>
      </c>
      <c r="W25" s="5">
        <v>0</v>
      </c>
      <c r="X25" s="5">
        <v>100</v>
      </c>
      <c r="Y25" s="5">
        <v>-260.25</v>
      </c>
      <c r="Z25" s="4" t="s">
        <v>47</v>
      </c>
      <c r="AA25" s="5" t="s">
        <v>47</v>
      </c>
      <c r="AB25" s="4" t="s">
        <v>54</v>
      </c>
      <c r="AC25" s="4" t="s">
        <v>47</v>
      </c>
      <c r="AD25" s="5">
        <v>0</v>
      </c>
      <c r="AE25" s="4" t="s">
        <v>55</v>
      </c>
      <c r="AF25" s="3">
        <v>46113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105</v>
      </c>
      <c r="AO25" s="4" t="s">
        <v>47</v>
      </c>
      <c r="AP25" s="4" t="s">
        <v>47</v>
      </c>
      <c r="AQ25" s="4" t="s">
        <v>47</v>
      </c>
    </row>
    <row r="26" spans="1:43" x14ac:dyDescent="0.25">
      <c r="A26" s="2">
        <v>1891456</v>
      </c>
      <c r="B26" s="3">
        <v>46134</v>
      </c>
      <c r="C26" s="4" t="s">
        <v>138</v>
      </c>
      <c r="D26" s="2">
        <v>1800776</v>
      </c>
      <c r="E26" s="4" t="s">
        <v>142</v>
      </c>
      <c r="F26" s="4" t="s">
        <v>143</v>
      </c>
      <c r="G26" s="2">
        <v>841218452</v>
      </c>
      <c r="H26" s="4" t="s">
        <v>144</v>
      </c>
      <c r="I26" s="4" t="s">
        <v>47</v>
      </c>
      <c r="J26" s="4" t="s">
        <v>48</v>
      </c>
      <c r="K26" s="4" t="s">
        <v>49</v>
      </c>
      <c r="L26" s="3">
        <v>46082</v>
      </c>
      <c r="M26" s="4" t="s">
        <v>114</v>
      </c>
      <c r="N26" s="4" t="s">
        <v>47</v>
      </c>
      <c r="O26" s="4" t="s">
        <v>51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83</v>
      </c>
      <c r="U26" s="4" t="s">
        <v>47</v>
      </c>
      <c r="V26" s="5">
        <v>0</v>
      </c>
      <c r="W26" s="5">
        <v>0</v>
      </c>
      <c r="X26" s="5">
        <v>100</v>
      </c>
      <c r="Y26" s="5">
        <v>-404.83</v>
      </c>
      <c r="Z26" s="4" t="s">
        <v>47</v>
      </c>
      <c r="AA26" s="5" t="s">
        <v>47</v>
      </c>
      <c r="AB26" s="4" t="s">
        <v>115</v>
      </c>
      <c r="AC26" s="4" t="s">
        <v>47</v>
      </c>
      <c r="AD26" s="5">
        <v>0</v>
      </c>
      <c r="AE26" s="4" t="s">
        <v>116</v>
      </c>
      <c r="AF26" s="3">
        <v>46082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105</v>
      </c>
      <c r="AO26" s="4" t="s">
        <v>47</v>
      </c>
      <c r="AP26" s="4" t="s">
        <v>47</v>
      </c>
      <c r="AQ26" s="4" t="s">
        <v>47</v>
      </c>
    </row>
    <row r="27" spans="1:43" x14ac:dyDescent="0.25">
      <c r="A27" s="2">
        <v>1891456</v>
      </c>
      <c r="B27" s="3">
        <v>46134</v>
      </c>
      <c r="C27" s="4" t="s">
        <v>138</v>
      </c>
      <c r="D27" s="2">
        <v>1800776</v>
      </c>
      <c r="E27" s="4" t="s">
        <v>142</v>
      </c>
      <c r="F27" s="4" t="s">
        <v>143</v>
      </c>
      <c r="G27" s="2">
        <v>841218452</v>
      </c>
      <c r="H27" s="4" t="s">
        <v>144</v>
      </c>
      <c r="I27" s="4" t="s">
        <v>47</v>
      </c>
      <c r="J27" s="4" t="s">
        <v>48</v>
      </c>
      <c r="K27" s="4" t="s">
        <v>49</v>
      </c>
      <c r="L27" s="3">
        <v>46082</v>
      </c>
      <c r="M27" s="4" t="s">
        <v>114</v>
      </c>
      <c r="N27" s="4" t="s">
        <v>47</v>
      </c>
      <c r="O27" s="4" t="s">
        <v>51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83</v>
      </c>
      <c r="U27" s="4" t="s">
        <v>47</v>
      </c>
      <c r="V27" s="5">
        <v>-0.83</v>
      </c>
      <c r="W27" s="5">
        <v>0</v>
      </c>
      <c r="X27" s="5">
        <v>100</v>
      </c>
      <c r="Y27" s="5">
        <v>-289.17</v>
      </c>
      <c r="Z27" s="4" t="s">
        <v>47</v>
      </c>
      <c r="AA27" s="5" t="s">
        <v>47</v>
      </c>
      <c r="AB27" s="4" t="s">
        <v>54</v>
      </c>
      <c r="AC27" s="4" t="s">
        <v>47</v>
      </c>
      <c r="AD27" s="5">
        <v>0</v>
      </c>
      <c r="AE27" s="4" t="s">
        <v>55</v>
      </c>
      <c r="AF27" s="3">
        <v>46082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105</v>
      </c>
      <c r="AO27" s="4" t="s">
        <v>47</v>
      </c>
      <c r="AP27" s="4" t="s">
        <v>47</v>
      </c>
      <c r="AQ27" s="4" t="s">
        <v>47</v>
      </c>
    </row>
    <row r="28" spans="1:43" x14ac:dyDescent="0.25">
      <c r="A28" s="2">
        <v>1891456</v>
      </c>
      <c r="B28" s="3">
        <v>46134</v>
      </c>
      <c r="C28" s="4" t="s">
        <v>145</v>
      </c>
      <c r="D28" s="2">
        <v>1808524</v>
      </c>
      <c r="E28" s="4" t="s">
        <v>146</v>
      </c>
      <c r="F28" s="4" t="s">
        <v>147</v>
      </c>
      <c r="G28" s="2">
        <v>293827463</v>
      </c>
      <c r="H28" s="4" t="s">
        <v>148</v>
      </c>
      <c r="I28" s="4" t="s">
        <v>47</v>
      </c>
      <c r="J28" s="4" t="s">
        <v>48</v>
      </c>
      <c r="K28" s="4" t="s">
        <v>49</v>
      </c>
      <c r="L28" s="3">
        <v>46023</v>
      </c>
      <c r="M28" s="4" t="s">
        <v>65</v>
      </c>
      <c r="N28" s="4" t="s">
        <v>47</v>
      </c>
      <c r="O28" s="4" t="s">
        <v>51</v>
      </c>
      <c r="P28" s="4" t="s">
        <v>47</v>
      </c>
      <c r="Q28" s="2">
        <v>1</v>
      </c>
      <c r="R28" s="2">
        <v>17</v>
      </c>
      <c r="S28" s="4" t="s">
        <v>52</v>
      </c>
      <c r="T28" s="4" t="s">
        <v>53</v>
      </c>
      <c r="U28" s="4" t="s">
        <v>47</v>
      </c>
      <c r="V28" s="5">
        <v>-0.67</v>
      </c>
      <c r="W28" s="5">
        <v>0</v>
      </c>
      <c r="X28" s="5">
        <v>100</v>
      </c>
      <c r="Y28" s="5">
        <v>-231.33</v>
      </c>
      <c r="Z28" s="4" t="s">
        <v>47</v>
      </c>
      <c r="AA28" s="5" t="s">
        <v>47</v>
      </c>
      <c r="AB28" s="4" t="s">
        <v>54</v>
      </c>
      <c r="AC28" s="4" t="s">
        <v>47</v>
      </c>
      <c r="AD28" s="5">
        <v>0</v>
      </c>
      <c r="AE28" s="4" t="s">
        <v>55</v>
      </c>
      <c r="AF28" s="3">
        <v>46023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60</v>
      </c>
      <c r="AO28" s="4" t="s">
        <v>47</v>
      </c>
      <c r="AP28" s="4" t="s">
        <v>47</v>
      </c>
      <c r="AQ28" s="4" t="s">
        <v>47</v>
      </c>
    </row>
    <row r="29" spans="1:43" x14ac:dyDescent="0.25">
      <c r="A29" s="2">
        <v>1891456</v>
      </c>
      <c r="B29" s="3">
        <v>46134</v>
      </c>
      <c r="C29" s="4" t="s">
        <v>149</v>
      </c>
      <c r="D29" s="2">
        <v>1815594</v>
      </c>
      <c r="E29" s="4" t="s">
        <v>150</v>
      </c>
      <c r="F29" s="4" t="s">
        <v>151</v>
      </c>
      <c r="G29" s="2">
        <v>223482505</v>
      </c>
      <c r="H29" s="4" t="s">
        <v>152</v>
      </c>
      <c r="I29" s="4" t="s">
        <v>47</v>
      </c>
      <c r="J29" s="4" t="s">
        <v>48</v>
      </c>
      <c r="K29" s="4" t="s">
        <v>49</v>
      </c>
      <c r="L29" s="3">
        <v>46143</v>
      </c>
      <c r="M29" s="4" t="s">
        <v>50</v>
      </c>
      <c r="N29" s="4" t="s">
        <v>47</v>
      </c>
      <c r="O29" s="4" t="s">
        <v>51</v>
      </c>
      <c r="P29" s="4" t="s">
        <v>47</v>
      </c>
      <c r="Q29" s="2">
        <v>1</v>
      </c>
      <c r="R29" s="2">
        <v>17</v>
      </c>
      <c r="S29" s="4" t="s">
        <v>52</v>
      </c>
      <c r="T29" s="4" t="s">
        <v>53</v>
      </c>
      <c r="U29" s="4" t="s">
        <v>47</v>
      </c>
      <c r="V29" s="5">
        <v>0.67</v>
      </c>
      <c r="W29" s="5">
        <v>0</v>
      </c>
      <c r="X29" s="5">
        <v>100</v>
      </c>
      <c r="Y29" s="5">
        <v>231.33</v>
      </c>
      <c r="Z29" s="4" t="s">
        <v>47</v>
      </c>
      <c r="AA29" s="5" t="s">
        <v>47</v>
      </c>
      <c r="AB29" s="4" t="s">
        <v>54</v>
      </c>
      <c r="AC29" s="4" t="s">
        <v>47</v>
      </c>
      <c r="AD29" s="5">
        <v>0</v>
      </c>
      <c r="AE29" s="4" t="s">
        <v>55</v>
      </c>
      <c r="AF29" s="3">
        <v>46143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60</v>
      </c>
      <c r="AO29" s="4" t="s">
        <v>47</v>
      </c>
      <c r="AP29" s="4" t="s">
        <v>47</v>
      </c>
      <c r="AQ29" s="4" t="s">
        <v>47</v>
      </c>
    </row>
    <row r="30" spans="1:43" x14ac:dyDescent="0.25">
      <c r="A30" s="2">
        <v>1891456</v>
      </c>
      <c r="B30" s="3">
        <v>46134</v>
      </c>
      <c r="C30" s="4" t="s">
        <v>153</v>
      </c>
      <c r="D30" s="2">
        <v>1829636</v>
      </c>
      <c r="E30" s="4" t="s">
        <v>154</v>
      </c>
      <c r="F30" s="4" t="s">
        <v>155</v>
      </c>
      <c r="G30" s="2">
        <v>315617505</v>
      </c>
      <c r="H30" s="4" t="s">
        <v>156</v>
      </c>
      <c r="I30" s="4" t="s">
        <v>47</v>
      </c>
      <c r="J30" s="4" t="s">
        <v>48</v>
      </c>
      <c r="K30" s="4" t="s">
        <v>157</v>
      </c>
      <c r="L30" s="3">
        <v>46143</v>
      </c>
      <c r="M30" s="4" t="s">
        <v>50</v>
      </c>
      <c r="N30" s="4" t="s">
        <v>47</v>
      </c>
      <c r="O30" s="4" t="s">
        <v>51</v>
      </c>
      <c r="P30" s="4" t="s">
        <v>47</v>
      </c>
      <c r="Q30" s="2">
        <v>1</v>
      </c>
      <c r="R30" s="2">
        <v>17</v>
      </c>
      <c r="S30" s="4" t="s">
        <v>52</v>
      </c>
      <c r="T30" s="4" t="s">
        <v>83</v>
      </c>
      <c r="U30" s="4" t="s">
        <v>47</v>
      </c>
      <c r="V30" s="5">
        <v>0.67</v>
      </c>
      <c r="W30" s="5">
        <v>0</v>
      </c>
      <c r="X30" s="5">
        <v>100</v>
      </c>
      <c r="Y30" s="5">
        <v>231.33</v>
      </c>
      <c r="Z30" s="4" t="s">
        <v>47</v>
      </c>
      <c r="AA30" s="5" t="s">
        <v>47</v>
      </c>
      <c r="AB30" s="4" t="s">
        <v>54</v>
      </c>
      <c r="AC30" s="4" t="s">
        <v>47</v>
      </c>
      <c r="AD30" s="5">
        <v>0</v>
      </c>
      <c r="AE30" s="4" t="s">
        <v>55</v>
      </c>
      <c r="AF30" s="3">
        <v>46143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158</v>
      </c>
      <c r="AO30" s="4" t="s">
        <v>47</v>
      </c>
      <c r="AP30" s="4" t="s">
        <v>47</v>
      </c>
      <c r="AQ30" s="4" t="s">
        <v>47</v>
      </c>
    </row>
    <row r="31" spans="1:43" x14ac:dyDescent="0.25">
      <c r="A31" s="2">
        <v>1891456</v>
      </c>
      <c r="B31" s="3">
        <v>46134</v>
      </c>
      <c r="C31" s="4" t="s">
        <v>159</v>
      </c>
      <c r="D31" s="2">
        <v>1831320</v>
      </c>
      <c r="E31" s="4" t="s">
        <v>160</v>
      </c>
      <c r="F31" s="4" t="s">
        <v>161</v>
      </c>
      <c r="G31" s="2">
        <v>937489314</v>
      </c>
      <c r="H31" s="4" t="s">
        <v>162</v>
      </c>
      <c r="I31" s="4" t="s">
        <v>47</v>
      </c>
      <c r="J31" s="4" t="s">
        <v>48</v>
      </c>
      <c r="K31" s="4" t="s">
        <v>49</v>
      </c>
      <c r="L31" s="3">
        <v>46174</v>
      </c>
      <c r="M31" s="4" t="s">
        <v>134</v>
      </c>
      <c r="N31" s="4" t="s">
        <v>47</v>
      </c>
      <c r="O31" s="4" t="s">
        <v>51</v>
      </c>
      <c r="P31" s="4" t="s">
        <v>47</v>
      </c>
      <c r="Q31" s="2">
        <v>1</v>
      </c>
      <c r="R31" s="2">
        <v>17</v>
      </c>
      <c r="S31" s="4" t="s">
        <v>52</v>
      </c>
      <c r="T31" s="4" t="s">
        <v>53</v>
      </c>
      <c r="U31" s="4" t="s">
        <v>47</v>
      </c>
      <c r="V31" s="5">
        <v>0.57999999999999996</v>
      </c>
      <c r="W31" s="5">
        <v>0</v>
      </c>
      <c r="X31" s="5">
        <v>100</v>
      </c>
      <c r="Y31" s="5">
        <v>202.42</v>
      </c>
      <c r="Z31" s="4" t="s">
        <v>47</v>
      </c>
      <c r="AA31" s="5" t="s">
        <v>47</v>
      </c>
      <c r="AB31" s="4" t="s">
        <v>54</v>
      </c>
      <c r="AC31" s="4" t="s">
        <v>47</v>
      </c>
      <c r="AD31" s="5">
        <v>0</v>
      </c>
      <c r="AE31" s="4" t="s">
        <v>55</v>
      </c>
      <c r="AF31" s="3">
        <v>46174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60</v>
      </c>
      <c r="AO31" s="4" t="s">
        <v>47</v>
      </c>
      <c r="AP31" s="4" t="s">
        <v>47</v>
      </c>
      <c r="AQ31" s="4" t="s">
        <v>47</v>
      </c>
    </row>
    <row r="32" spans="1:43" x14ac:dyDescent="0.25">
      <c r="A32" s="2">
        <v>1891456</v>
      </c>
      <c r="B32" s="3">
        <v>46134</v>
      </c>
      <c r="C32" s="4" t="s">
        <v>163</v>
      </c>
      <c r="D32" s="2">
        <v>1831491</v>
      </c>
      <c r="E32" s="4" t="s">
        <v>164</v>
      </c>
      <c r="F32" s="4" t="s">
        <v>165</v>
      </c>
      <c r="G32" s="2">
        <v>566099465</v>
      </c>
      <c r="H32" s="4" t="s">
        <v>166</v>
      </c>
      <c r="I32" s="4" t="s">
        <v>47</v>
      </c>
      <c r="J32" s="4" t="s">
        <v>48</v>
      </c>
      <c r="K32" s="4" t="s">
        <v>49</v>
      </c>
      <c r="L32" s="3">
        <v>46082</v>
      </c>
      <c r="M32" s="4" t="s">
        <v>114</v>
      </c>
      <c r="N32" s="4" t="s">
        <v>47</v>
      </c>
      <c r="O32" s="4" t="s">
        <v>51</v>
      </c>
      <c r="P32" s="4" t="s">
        <v>47</v>
      </c>
      <c r="Q32" s="2">
        <v>1</v>
      </c>
      <c r="R32" s="2">
        <v>17</v>
      </c>
      <c r="S32" s="4" t="s">
        <v>52</v>
      </c>
      <c r="T32" s="4" t="s">
        <v>83</v>
      </c>
      <c r="U32" s="4" t="s">
        <v>47</v>
      </c>
      <c r="V32" s="5">
        <v>0</v>
      </c>
      <c r="W32" s="5">
        <v>0</v>
      </c>
      <c r="X32" s="5">
        <v>100</v>
      </c>
      <c r="Y32" s="5">
        <v>-231.32</v>
      </c>
      <c r="Z32" s="4" t="s">
        <v>47</v>
      </c>
      <c r="AA32" s="5" t="s">
        <v>47</v>
      </c>
      <c r="AB32" s="4" t="s">
        <v>115</v>
      </c>
      <c r="AC32" s="4" t="s">
        <v>47</v>
      </c>
      <c r="AD32" s="5">
        <v>0</v>
      </c>
      <c r="AE32" s="4" t="s">
        <v>116</v>
      </c>
      <c r="AF32" s="3">
        <v>46082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84</v>
      </c>
      <c r="AO32" s="4" t="s">
        <v>47</v>
      </c>
      <c r="AP32" s="4" t="s">
        <v>47</v>
      </c>
      <c r="AQ32" s="4" t="s">
        <v>47</v>
      </c>
    </row>
    <row r="33" spans="1:43" x14ac:dyDescent="0.25">
      <c r="A33" s="2">
        <v>1891456</v>
      </c>
      <c r="B33" s="3">
        <v>46134</v>
      </c>
      <c r="C33" s="4" t="s">
        <v>163</v>
      </c>
      <c r="D33" s="2">
        <v>1831491</v>
      </c>
      <c r="E33" s="4" t="s">
        <v>164</v>
      </c>
      <c r="F33" s="4" t="s">
        <v>165</v>
      </c>
      <c r="G33" s="2">
        <v>566099465</v>
      </c>
      <c r="H33" s="4" t="s">
        <v>166</v>
      </c>
      <c r="I33" s="4" t="s">
        <v>47</v>
      </c>
      <c r="J33" s="4" t="s">
        <v>48</v>
      </c>
      <c r="K33" s="4" t="s">
        <v>49</v>
      </c>
      <c r="L33" s="3">
        <v>46082</v>
      </c>
      <c r="M33" s="4" t="s">
        <v>114</v>
      </c>
      <c r="N33" s="4" t="s">
        <v>47</v>
      </c>
      <c r="O33" s="4" t="s">
        <v>51</v>
      </c>
      <c r="P33" s="4" t="s">
        <v>47</v>
      </c>
      <c r="Q33" s="2">
        <v>1</v>
      </c>
      <c r="R33" s="2">
        <v>17</v>
      </c>
      <c r="S33" s="4" t="s">
        <v>52</v>
      </c>
      <c r="T33" s="4" t="s">
        <v>83</v>
      </c>
      <c r="U33" s="4" t="s">
        <v>47</v>
      </c>
      <c r="V33" s="5">
        <v>-0.67</v>
      </c>
      <c r="W33" s="5">
        <v>0</v>
      </c>
      <c r="X33" s="5">
        <v>100</v>
      </c>
      <c r="Y33" s="5">
        <v>-231.34</v>
      </c>
      <c r="Z33" s="4" t="s">
        <v>47</v>
      </c>
      <c r="AA33" s="5" t="s">
        <v>47</v>
      </c>
      <c r="AB33" s="4" t="s">
        <v>54</v>
      </c>
      <c r="AC33" s="4" t="s">
        <v>47</v>
      </c>
      <c r="AD33" s="5">
        <v>0</v>
      </c>
      <c r="AE33" s="4" t="s">
        <v>55</v>
      </c>
      <c r="AF33" s="3">
        <v>46082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84</v>
      </c>
      <c r="AO33" s="4" t="s">
        <v>47</v>
      </c>
      <c r="AP33" s="4" t="s">
        <v>47</v>
      </c>
      <c r="AQ33" s="4" t="s">
        <v>47</v>
      </c>
    </row>
    <row r="34" spans="1:43" x14ac:dyDescent="0.25">
      <c r="A34" s="2">
        <v>1891456</v>
      </c>
      <c r="B34" s="3">
        <v>46134</v>
      </c>
      <c r="C34" s="4" t="s">
        <v>167</v>
      </c>
      <c r="D34" s="2">
        <v>1832195</v>
      </c>
      <c r="E34" s="4" t="s">
        <v>168</v>
      </c>
      <c r="F34" s="4" t="s">
        <v>169</v>
      </c>
      <c r="G34" s="2">
        <v>84935372</v>
      </c>
      <c r="H34" s="4" t="s">
        <v>170</v>
      </c>
      <c r="I34" s="4" t="s">
        <v>47</v>
      </c>
      <c r="J34" s="4" t="s">
        <v>48</v>
      </c>
      <c r="K34" s="4" t="s">
        <v>49</v>
      </c>
      <c r="L34" s="3">
        <v>46023</v>
      </c>
      <c r="M34" s="4" t="s">
        <v>65</v>
      </c>
      <c r="N34" s="4" t="s">
        <v>47</v>
      </c>
      <c r="O34" s="4" t="s">
        <v>51</v>
      </c>
      <c r="P34" s="4" t="s">
        <v>47</v>
      </c>
      <c r="Q34" s="2">
        <v>1</v>
      </c>
      <c r="R34" s="2">
        <v>17</v>
      </c>
      <c r="S34" s="4" t="s">
        <v>52</v>
      </c>
      <c r="T34" s="4" t="s">
        <v>53</v>
      </c>
      <c r="U34" s="4" t="s">
        <v>47</v>
      </c>
      <c r="V34" s="5">
        <v>-0.67</v>
      </c>
      <c r="W34" s="5">
        <v>0</v>
      </c>
      <c r="X34" s="5">
        <v>100</v>
      </c>
      <c r="Y34" s="5">
        <v>-231.33</v>
      </c>
      <c r="Z34" s="4" t="s">
        <v>47</v>
      </c>
      <c r="AA34" s="5" t="s">
        <v>47</v>
      </c>
      <c r="AB34" s="4" t="s">
        <v>54</v>
      </c>
      <c r="AC34" s="4" t="s">
        <v>47</v>
      </c>
      <c r="AD34" s="5">
        <v>0</v>
      </c>
      <c r="AE34" s="4" t="s">
        <v>55</v>
      </c>
      <c r="AF34" s="3">
        <v>46023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60</v>
      </c>
      <c r="AO34" s="4" t="s">
        <v>47</v>
      </c>
      <c r="AP34" s="4" t="s">
        <v>47</v>
      </c>
      <c r="AQ34" s="4" t="s">
        <v>47</v>
      </c>
    </row>
    <row r="35" spans="1:43" x14ac:dyDescent="0.25">
      <c r="A35" s="2">
        <v>1891456</v>
      </c>
      <c r="B35" s="3">
        <v>46134</v>
      </c>
      <c r="C35" s="4" t="s">
        <v>171</v>
      </c>
      <c r="D35" s="2">
        <v>1855975</v>
      </c>
      <c r="E35" s="4" t="s">
        <v>172</v>
      </c>
      <c r="F35" s="4" t="s">
        <v>173</v>
      </c>
      <c r="G35" s="2">
        <v>204667459</v>
      </c>
      <c r="H35" s="4" t="s">
        <v>174</v>
      </c>
      <c r="I35" s="4" t="s">
        <v>47</v>
      </c>
      <c r="J35" s="4" t="s">
        <v>48</v>
      </c>
      <c r="K35" s="4" t="s">
        <v>49</v>
      </c>
      <c r="L35" s="3">
        <v>46204</v>
      </c>
      <c r="M35" s="4" t="s">
        <v>72</v>
      </c>
      <c r="N35" s="4" t="s">
        <v>47</v>
      </c>
      <c r="O35" s="4" t="s">
        <v>51</v>
      </c>
      <c r="P35" s="4" t="s">
        <v>47</v>
      </c>
      <c r="Q35" s="2">
        <v>1</v>
      </c>
      <c r="R35" s="2">
        <v>17</v>
      </c>
      <c r="S35" s="4" t="s">
        <v>52</v>
      </c>
      <c r="T35" s="4" t="s">
        <v>83</v>
      </c>
      <c r="U35" s="4" t="s">
        <v>47</v>
      </c>
      <c r="V35" s="5">
        <v>0.5</v>
      </c>
      <c r="W35" s="5">
        <v>0</v>
      </c>
      <c r="X35" s="5">
        <v>100</v>
      </c>
      <c r="Y35" s="5">
        <v>173.5</v>
      </c>
      <c r="Z35" s="4" t="s">
        <v>47</v>
      </c>
      <c r="AA35" s="5" t="s">
        <v>47</v>
      </c>
      <c r="AB35" s="4" t="s">
        <v>54</v>
      </c>
      <c r="AC35" s="4" t="s">
        <v>47</v>
      </c>
      <c r="AD35" s="5">
        <v>0</v>
      </c>
      <c r="AE35" s="4" t="s">
        <v>55</v>
      </c>
      <c r="AF35" s="3">
        <v>46204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175</v>
      </c>
      <c r="AO35" s="4" t="s">
        <v>47</v>
      </c>
      <c r="AP35" s="4" t="s">
        <v>47</v>
      </c>
      <c r="AQ35" s="4" t="s">
        <v>47</v>
      </c>
    </row>
    <row r="36" spans="1:43" x14ac:dyDescent="0.25">
      <c r="A36" s="2">
        <v>1891456</v>
      </c>
      <c r="B36" s="3">
        <v>46134</v>
      </c>
      <c r="C36" s="4" t="s">
        <v>176</v>
      </c>
      <c r="D36" s="2">
        <v>1986712</v>
      </c>
      <c r="E36" s="4" t="s">
        <v>177</v>
      </c>
      <c r="F36" s="4" t="s">
        <v>178</v>
      </c>
      <c r="G36" s="2">
        <v>273416025</v>
      </c>
      <c r="H36" s="4" t="s">
        <v>179</v>
      </c>
      <c r="I36" s="4" t="s">
        <v>47</v>
      </c>
      <c r="J36" s="4" t="s">
        <v>48</v>
      </c>
      <c r="K36" s="4" t="s">
        <v>49</v>
      </c>
      <c r="L36" s="3">
        <v>46082</v>
      </c>
      <c r="M36" s="4" t="s">
        <v>114</v>
      </c>
      <c r="N36" s="4" t="s">
        <v>47</v>
      </c>
      <c r="O36" s="4" t="s">
        <v>51</v>
      </c>
      <c r="P36" s="4" t="s">
        <v>47</v>
      </c>
      <c r="Q36" s="2">
        <v>1</v>
      </c>
      <c r="R36" s="2">
        <v>17</v>
      </c>
      <c r="S36" s="4" t="s">
        <v>52</v>
      </c>
      <c r="T36" s="4" t="s">
        <v>83</v>
      </c>
      <c r="U36" s="4" t="s">
        <v>47</v>
      </c>
      <c r="V36" s="5">
        <v>0</v>
      </c>
      <c r="W36" s="5">
        <v>0</v>
      </c>
      <c r="X36" s="5">
        <v>100</v>
      </c>
      <c r="Y36" s="5">
        <v>-404.83</v>
      </c>
      <c r="Z36" s="4" t="s">
        <v>47</v>
      </c>
      <c r="AA36" s="5" t="s">
        <v>47</v>
      </c>
      <c r="AB36" s="4" t="s">
        <v>115</v>
      </c>
      <c r="AC36" s="4" t="s">
        <v>47</v>
      </c>
      <c r="AD36" s="5">
        <v>0</v>
      </c>
      <c r="AE36" s="4" t="s">
        <v>116</v>
      </c>
      <c r="AF36" s="3">
        <v>46082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105</v>
      </c>
      <c r="AO36" s="4" t="s">
        <v>47</v>
      </c>
      <c r="AP36" s="4" t="s">
        <v>47</v>
      </c>
      <c r="AQ36" s="4" t="s">
        <v>47</v>
      </c>
    </row>
    <row r="37" spans="1:43" x14ac:dyDescent="0.25">
      <c r="A37" s="2">
        <v>1891456</v>
      </c>
      <c r="B37" s="3">
        <v>46134</v>
      </c>
      <c r="C37" s="4" t="s">
        <v>176</v>
      </c>
      <c r="D37" s="2">
        <v>1986712</v>
      </c>
      <c r="E37" s="4" t="s">
        <v>177</v>
      </c>
      <c r="F37" s="4" t="s">
        <v>178</v>
      </c>
      <c r="G37" s="2">
        <v>273416025</v>
      </c>
      <c r="H37" s="4" t="s">
        <v>179</v>
      </c>
      <c r="I37" s="4" t="s">
        <v>47</v>
      </c>
      <c r="J37" s="4" t="s">
        <v>48</v>
      </c>
      <c r="K37" s="4" t="s">
        <v>49</v>
      </c>
      <c r="L37" s="3">
        <v>46082</v>
      </c>
      <c r="M37" s="4" t="s">
        <v>114</v>
      </c>
      <c r="N37" s="4" t="s">
        <v>47</v>
      </c>
      <c r="O37" s="4" t="s">
        <v>51</v>
      </c>
      <c r="P37" s="4" t="s">
        <v>47</v>
      </c>
      <c r="Q37" s="2">
        <v>1</v>
      </c>
      <c r="R37" s="2">
        <v>17</v>
      </c>
      <c r="S37" s="4" t="s">
        <v>52</v>
      </c>
      <c r="T37" s="4" t="s">
        <v>83</v>
      </c>
      <c r="U37" s="4" t="s">
        <v>47</v>
      </c>
      <c r="V37" s="5">
        <v>-0.83</v>
      </c>
      <c r="W37" s="5">
        <v>0</v>
      </c>
      <c r="X37" s="5">
        <v>100</v>
      </c>
      <c r="Y37" s="5">
        <v>-289.17</v>
      </c>
      <c r="Z37" s="4" t="s">
        <v>47</v>
      </c>
      <c r="AA37" s="5" t="s">
        <v>47</v>
      </c>
      <c r="AB37" s="4" t="s">
        <v>54</v>
      </c>
      <c r="AC37" s="4" t="s">
        <v>47</v>
      </c>
      <c r="AD37" s="5">
        <v>0</v>
      </c>
      <c r="AE37" s="4" t="s">
        <v>55</v>
      </c>
      <c r="AF37" s="3">
        <v>46082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105</v>
      </c>
      <c r="AO37" s="4" t="s">
        <v>47</v>
      </c>
      <c r="AP37" s="4" t="s">
        <v>47</v>
      </c>
      <c r="AQ37" s="4" t="s">
        <v>47</v>
      </c>
    </row>
    <row r="38" spans="1:43" x14ac:dyDescent="0.25">
      <c r="A38" s="2">
        <v>1891456</v>
      </c>
      <c r="B38" s="3">
        <v>46134</v>
      </c>
      <c r="C38" s="4" t="s">
        <v>176</v>
      </c>
      <c r="D38" s="2">
        <v>1986712</v>
      </c>
      <c r="E38" s="4" t="s">
        <v>180</v>
      </c>
      <c r="F38" s="4" t="s">
        <v>181</v>
      </c>
      <c r="G38" s="2">
        <v>237169374</v>
      </c>
      <c r="H38" s="4" t="s">
        <v>182</v>
      </c>
      <c r="I38" s="4" t="s">
        <v>47</v>
      </c>
      <c r="J38" s="4" t="s">
        <v>48</v>
      </c>
      <c r="K38" s="4" t="s">
        <v>49</v>
      </c>
      <c r="L38" s="3">
        <v>46113</v>
      </c>
      <c r="M38" s="4" t="s">
        <v>109</v>
      </c>
      <c r="N38" s="4" t="s">
        <v>47</v>
      </c>
      <c r="O38" s="4" t="s">
        <v>51</v>
      </c>
      <c r="P38" s="4" t="s">
        <v>47</v>
      </c>
      <c r="Q38" s="2">
        <v>1</v>
      </c>
      <c r="R38" s="2">
        <v>17</v>
      </c>
      <c r="S38" s="4" t="s">
        <v>52</v>
      </c>
      <c r="T38" s="4" t="s">
        <v>83</v>
      </c>
      <c r="U38" s="4" t="s">
        <v>47</v>
      </c>
      <c r="V38" s="5">
        <v>-0.75</v>
      </c>
      <c r="W38" s="5">
        <v>0</v>
      </c>
      <c r="X38" s="5">
        <v>100</v>
      </c>
      <c r="Y38" s="5">
        <v>-260.25</v>
      </c>
      <c r="Z38" s="4" t="s">
        <v>47</v>
      </c>
      <c r="AA38" s="5" t="s">
        <v>47</v>
      </c>
      <c r="AB38" s="4" t="s">
        <v>54</v>
      </c>
      <c r="AC38" s="4" t="s">
        <v>47</v>
      </c>
      <c r="AD38" s="5">
        <v>0</v>
      </c>
      <c r="AE38" s="4" t="s">
        <v>55</v>
      </c>
      <c r="AF38" s="3">
        <v>46113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105</v>
      </c>
      <c r="AO38" s="4" t="s">
        <v>47</v>
      </c>
      <c r="AP38" s="4" t="s">
        <v>47</v>
      </c>
      <c r="AQ38" s="4" t="s">
        <v>47</v>
      </c>
    </row>
    <row r="39" spans="1:43" x14ac:dyDescent="0.25">
      <c r="A39" s="2">
        <v>1891456</v>
      </c>
      <c r="B39" s="3">
        <v>46134</v>
      </c>
      <c r="C39" s="4" t="s">
        <v>183</v>
      </c>
      <c r="D39" s="2">
        <v>2004929</v>
      </c>
      <c r="E39" s="4" t="s">
        <v>184</v>
      </c>
      <c r="F39" s="4" t="s">
        <v>185</v>
      </c>
      <c r="G39" s="2">
        <v>538453135</v>
      </c>
      <c r="H39" s="4" t="s">
        <v>186</v>
      </c>
      <c r="I39" s="4" t="s">
        <v>47</v>
      </c>
      <c r="J39" s="4" t="s">
        <v>48</v>
      </c>
      <c r="K39" s="4" t="s">
        <v>49</v>
      </c>
      <c r="L39" s="3">
        <v>46023</v>
      </c>
      <c r="M39" s="4" t="s">
        <v>65</v>
      </c>
      <c r="N39" s="4" t="s">
        <v>47</v>
      </c>
      <c r="O39" s="4" t="s">
        <v>51</v>
      </c>
      <c r="P39" s="4" t="s">
        <v>47</v>
      </c>
      <c r="Q39" s="2">
        <v>1</v>
      </c>
      <c r="R39" s="2">
        <v>17</v>
      </c>
      <c r="S39" s="4" t="s">
        <v>52</v>
      </c>
      <c r="T39" s="4" t="s">
        <v>53</v>
      </c>
      <c r="U39" s="4" t="s">
        <v>47</v>
      </c>
      <c r="V39" s="5">
        <v>-0.75</v>
      </c>
      <c r="W39" s="5">
        <v>0</v>
      </c>
      <c r="X39" s="5">
        <v>100</v>
      </c>
      <c r="Y39" s="5">
        <v>-123.75</v>
      </c>
      <c r="Z39" s="4" t="s">
        <v>47</v>
      </c>
      <c r="AA39" s="5" t="s">
        <v>47</v>
      </c>
      <c r="AB39" s="4" t="s">
        <v>54</v>
      </c>
      <c r="AC39" s="4" t="s">
        <v>47</v>
      </c>
      <c r="AD39" s="5">
        <v>0</v>
      </c>
      <c r="AE39" s="4" t="s">
        <v>55</v>
      </c>
      <c r="AF39" s="3">
        <v>46023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60</v>
      </c>
      <c r="AO39" s="4" t="s">
        <v>47</v>
      </c>
      <c r="AP39" s="4" t="s">
        <v>47</v>
      </c>
      <c r="AQ39" s="4" t="s">
        <v>47</v>
      </c>
    </row>
    <row r="40" spans="1:43" x14ac:dyDescent="0.25">
      <c r="A40" s="2">
        <v>1891456</v>
      </c>
      <c r="B40" s="3">
        <v>46134</v>
      </c>
      <c r="C40" s="4" t="s">
        <v>187</v>
      </c>
      <c r="D40" s="2">
        <v>1509744</v>
      </c>
      <c r="E40" s="4" t="s">
        <v>188</v>
      </c>
      <c r="F40" s="4" t="s">
        <v>189</v>
      </c>
      <c r="G40" s="4" t="s">
        <v>47</v>
      </c>
      <c r="H40" s="4" t="s">
        <v>47</v>
      </c>
      <c r="I40" s="4" t="s">
        <v>47</v>
      </c>
      <c r="J40" s="4" t="s">
        <v>190</v>
      </c>
      <c r="K40" s="4" t="s">
        <v>191</v>
      </c>
      <c r="L40" s="3">
        <v>46143</v>
      </c>
      <c r="M40" s="4" t="s">
        <v>50</v>
      </c>
      <c r="N40" s="4" t="s">
        <v>47</v>
      </c>
      <c r="O40" s="4" t="s">
        <v>192</v>
      </c>
      <c r="P40" s="4" t="s">
        <v>192</v>
      </c>
      <c r="Q40" s="2">
        <v>2</v>
      </c>
      <c r="R40" s="2">
        <v>60</v>
      </c>
      <c r="S40" s="4" t="s">
        <v>193</v>
      </c>
      <c r="T40" s="4" t="s">
        <v>47</v>
      </c>
      <c r="U40" s="4" t="s">
        <v>47</v>
      </c>
      <c r="V40" s="5">
        <v>10</v>
      </c>
      <c r="W40" s="5">
        <v>26.88</v>
      </c>
      <c r="X40" s="5">
        <v>100</v>
      </c>
      <c r="Y40" s="5">
        <v>2.69</v>
      </c>
      <c r="Z40" s="4" t="s">
        <v>47</v>
      </c>
      <c r="AA40" s="5" t="s">
        <v>47</v>
      </c>
      <c r="AB40" s="4" t="s">
        <v>194</v>
      </c>
      <c r="AC40" s="4" t="s">
        <v>47</v>
      </c>
      <c r="AD40" s="5">
        <v>0</v>
      </c>
      <c r="AE40" s="4" t="s">
        <v>195</v>
      </c>
      <c r="AF40" s="3">
        <v>45276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spans="1:43" x14ac:dyDescent="0.25">
      <c r="A41" s="2">
        <v>1891456</v>
      </c>
      <c r="B41" s="3">
        <v>46134</v>
      </c>
      <c r="C41" s="4" t="s">
        <v>187</v>
      </c>
      <c r="D41" s="2">
        <v>1509744</v>
      </c>
      <c r="E41" s="4" t="s">
        <v>196</v>
      </c>
      <c r="F41" s="4" t="s">
        <v>197</v>
      </c>
      <c r="G41" s="4" t="s">
        <v>47</v>
      </c>
      <c r="H41" s="4" t="s">
        <v>47</v>
      </c>
      <c r="I41" s="4" t="s">
        <v>47</v>
      </c>
      <c r="J41" s="4" t="s">
        <v>190</v>
      </c>
      <c r="K41" s="4" t="s">
        <v>191</v>
      </c>
      <c r="L41" s="3">
        <v>46143</v>
      </c>
      <c r="M41" s="4" t="s">
        <v>50</v>
      </c>
      <c r="N41" s="4" t="s">
        <v>47</v>
      </c>
      <c r="O41" s="4" t="s">
        <v>51</v>
      </c>
      <c r="P41" s="4" t="s">
        <v>192</v>
      </c>
      <c r="Q41" s="2">
        <v>1</v>
      </c>
      <c r="R41" s="2">
        <v>60</v>
      </c>
      <c r="S41" s="4" t="s">
        <v>193</v>
      </c>
      <c r="T41" s="4" t="s">
        <v>47</v>
      </c>
      <c r="U41" s="4" t="s">
        <v>47</v>
      </c>
      <c r="V41" s="5">
        <v>10</v>
      </c>
      <c r="W41" s="5">
        <v>14.93</v>
      </c>
      <c r="X41" s="5">
        <v>100</v>
      </c>
      <c r="Y41" s="5">
        <v>1.49</v>
      </c>
      <c r="Z41" s="4" t="s">
        <v>47</v>
      </c>
      <c r="AA41" s="5" t="s">
        <v>47</v>
      </c>
      <c r="AB41" s="4" t="s">
        <v>198</v>
      </c>
      <c r="AC41" s="4" t="s">
        <v>47</v>
      </c>
      <c r="AD41" s="5">
        <v>0</v>
      </c>
      <c r="AE41" s="4" t="s">
        <v>199</v>
      </c>
      <c r="AF41" s="3">
        <v>46081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spans="1:43" x14ac:dyDescent="0.25">
      <c r="A42" s="2">
        <v>1891456</v>
      </c>
      <c r="B42" s="3">
        <v>46134</v>
      </c>
      <c r="C42" s="4" t="s">
        <v>200</v>
      </c>
      <c r="D42" s="2">
        <v>1510420</v>
      </c>
      <c r="E42" s="4" t="s">
        <v>201</v>
      </c>
      <c r="F42" s="4" t="s">
        <v>202</v>
      </c>
      <c r="G42" s="4" t="s">
        <v>47</v>
      </c>
      <c r="H42" s="4" t="s">
        <v>47</v>
      </c>
      <c r="I42" s="4" t="s">
        <v>47</v>
      </c>
      <c r="J42" s="4" t="s">
        <v>203</v>
      </c>
      <c r="K42" s="4" t="s">
        <v>49</v>
      </c>
      <c r="L42" s="3">
        <v>46143</v>
      </c>
      <c r="M42" s="4" t="s">
        <v>50</v>
      </c>
      <c r="N42" s="4" t="s">
        <v>47</v>
      </c>
      <c r="O42" s="4" t="s">
        <v>51</v>
      </c>
      <c r="P42" s="4" t="s">
        <v>192</v>
      </c>
      <c r="Q42" s="2">
        <v>1</v>
      </c>
      <c r="R42" s="2">
        <v>17</v>
      </c>
      <c r="S42" s="4" t="s">
        <v>52</v>
      </c>
      <c r="T42" s="4" t="s">
        <v>47</v>
      </c>
      <c r="U42" s="4" t="s">
        <v>47</v>
      </c>
      <c r="V42" s="5">
        <v>22</v>
      </c>
      <c r="W42" s="5">
        <v>162.66</v>
      </c>
      <c r="X42" s="5">
        <v>100</v>
      </c>
      <c r="Y42" s="5">
        <v>35.79</v>
      </c>
      <c r="Z42" s="5">
        <v>0</v>
      </c>
      <c r="AA42" s="5">
        <v>0</v>
      </c>
      <c r="AB42" s="4" t="s">
        <v>54</v>
      </c>
      <c r="AC42" s="4" t="s">
        <v>47</v>
      </c>
      <c r="AD42" s="5">
        <v>0</v>
      </c>
      <c r="AE42" s="4" t="s">
        <v>55</v>
      </c>
      <c r="AF42" s="3">
        <v>45809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204</v>
      </c>
    </row>
    <row r="43" spans="1:43" x14ac:dyDescent="0.25">
      <c r="A43" s="2">
        <v>1891456</v>
      </c>
      <c r="B43" s="3">
        <v>46134</v>
      </c>
      <c r="C43" s="4" t="s">
        <v>200</v>
      </c>
      <c r="D43" s="2">
        <v>1510420</v>
      </c>
      <c r="E43" s="4" t="s">
        <v>205</v>
      </c>
      <c r="F43" s="4" t="s">
        <v>206</v>
      </c>
      <c r="G43" s="4" t="s">
        <v>47</v>
      </c>
      <c r="H43" s="4" t="s">
        <v>47</v>
      </c>
      <c r="I43" s="4" t="s">
        <v>47</v>
      </c>
      <c r="J43" s="4" t="s">
        <v>203</v>
      </c>
      <c r="K43" s="4" t="s">
        <v>49</v>
      </c>
      <c r="L43" s="3">
        <v>46143</v>
      </c>
      <c r="M43" s="4" t="s">
        <v>50</v>
      </c>
      <c r="N43" s="4" t="s">
        <v>47</v>
      </c>
      <c r="O43" s="4" t="s">
        <v>51</v>
      </c>
      <c r="P43" s="4" t="s">
        <v>192</v>
      </c>
      <c r="Q43" s="2">
        <v>1</v>
      </c>
      <c r="R43" s="2">
        <v>17</v>
      </c>
      <c r="S43" s="4" t="s">
        <v>52</v>
      </c>
      <c r="T43" s="4" t="s">
        <v>47</v>
      </c>
      <c r="U43" s="4" t="s">
        <v>47</v>
      </c>
      <c r="V43" s="5">
        <v>22</v>
      </c>
      <c r="W43" s="5">
        <v>177.81</v>
      </c>
      <c r="X43" s="5">
        <v>100</v>
      </c>
      <c r="Y43" s="5">
        <v>39.119999999999997</v>
      </c>
      <c r="Z43" s="5">
        <v>0</v>
      </c>
      <c r="AA43" s="5">
        <v>0</v>
      </c>
      <c r="AB43" s="4" t="s">
        <v>54</v>
      </c>
      <c r="AC43" s="4" t="s">
        <v>47</v>
      </c>
      <c r="AD43" s="5">
        <v>0</v>
      </c>
      <c r="AE43" s="4" t="s">
        <v>55</v>
      </c>
      <c r="AF43" s="3">
        <v>45809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204</v>
      </c>
    </row>
    <row r="44" spans="1:43" x14ac:dyDescent="0.25">
      <c r="A44" s="2">
        <v>1891456</v>
      </c>
      <c r="B44" s="3">
        <v>46134</v>
      </c>
      <c r="C44" s="4" t="s">
        <v>200</v>
      </c>
      <c r="D44" s="2">
        <v>1510420</v>
      </c>
      <c r="E44" s="4" t="s">
        <v>207</v>
      </c>
      <c r="F44" s="4" t="s">
        <v>208</v>
      </c>
      <c r="G44" s="4" t="s">
        <v>47</v>
      </c>
      <c r="H44" s="4" t="s">
        <v>47</v>
      </c>
      <c r="I44" s="4" t="s">
        <v>47</v>
      </c>
      <c r="J44" s="4" t="s">
        <v>190</v>
      </c>
      <c r="K44" s="4" t="s">
        <v>191</v>
      </c>
      <c r="L44" s="3">
        <v>46143</v>
      </c>
      <c r="M44" s="4" t="s">
        <v>50</v>
      </c>
      <c r="N44" s="4" t="s">
        <v>47</v>
      </c>
      <c r="O44" s="4" t="s">
        <v>192</v>
      </c>
      <c r="P44" s="4" t="s">
        <v>192</v>
      </c>
      <c r="Q44" s="2">
        <v>2</v>
      </c>
      <c r="R44" s="2">
        <v>3</v>
      </c>
      <c r="S44" s="4" t="s">
        <v>209</v>
      </c>
      <c r="T44" s="4" t="s">
        <v>47</v>
      </c>
      <c r="U44" s="4" t="s">
        <v>47</v>
      </c>
      <c r="V44" s="5">
        <v>10</v>
      </c>
      <c r="W44" s="5">
        <v>43.09</v>
      </c>
      <c r="X44" s="5">
        <v>100</v>
      </c>
      <c r="Y44" s="5">
        <v>4.3099999999999996</v>
      </c>
      <c r="Z44" s="4" t="s">
        <v>47</v>
      </c>
      <c r="AA44" s="5" t="s">
        <v>47</v>
      </c>
      <c r="AB44" s="4" t="s">
        <v>194</v>
      </c>
      <c r="AC44" s="4" t="s">
        <v>47</v>
      </c>
      <c r="AD44" s="5">
        <v>0</v>
      </c>
      <c r="AE44" s="4" t="s">
        <v>195</v>
      </c>
      <c r="AF44" s="3">
        <v>40969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x14ac:dyDescent="0.25">
      <c r="A45" s="2">
        <v>1891456</v>
      </c>
      <c r="B45" s="3">
        <v>46134</v>
      </c>
      <c r="C45" s="4" t="s">
        <v>210</v>
      </c>
      <c r="D45" s="2">
        <v>1524629</v>
      </c>
      <c r="E45" s="4" t="s">
        <v>211</v>
      </c>
      <c r="F45" s="4" t="s">
        <v>212</v>
      </c>
      <c r="G45" s="4" t="s">
        <v>47</v>
      </c>
      <c r="H45" s="4" t="s">
        <v>47</v>
      </c>
      <c r="I45" s="4" t="s">
        <v>47</v>
      </c>
      <c r="J45" s="4" t="s">
        <v>203</v>
      </c>
      <c r="K45" s="4" t="s">
        <v>49</v>
      </c>
      <c r="L45" s="3">
        <v>46143</v>
      </c>
      <c r="M45" s="4" t="s">
        <v>50</v>
      </c>
      <c r="N45" s="4" t="s">
        <v>47</v>
      </c>
      <c r="O45" s="4" t="s">
        <v>192</v>
      </c>
      <c r="P45" s="4" t="s">
        <v>192</v>
      </c>
      <c r="Q45" s="2">
        <v>1</v>
      </c>
      <c r="R45" s="2">
        <v>17</v>
      </c>
      <c r="S45" s="4" t="s">
        <v>52</v>
      </c>
      <c r="T45" s="4" t="s">
        <v>47</v>
      </c>
      <c r="U45" s="4" t="s">
        <v>47</v>
      </c>
      <c r="V45" s="5">
        <v>26</v>
      </c>
      <c r="W45" s="5">
        <v>164.25</v>
      </c>
      <c r="X45" s="5">
        <v>100</v>
      </c>
      <c r="Y45" s="5">
        <v>42.71</v>
      </c>
      <c r="Z45" s="5">
        <v>0</v>
      </c>
      <c r="AA45" s="5">
        <v>0</v>
      </c>
      <c r="AB45" s="4" t="s">
        <v>213</v>
      </c>
      <c r="AC45" s="4" t="s">
        <v>47</v>
      </c>
      <c r="AD45" s="5">
        <v>0</v>
      </c>
      <c r="AE45" s="4" t="s">
        <v>214</v>
      </c>
      <c r="AF45" s="3">
        <v>45261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204</v>
      </c>
    </row>
    <row r="46" spans="1:43" x14ac:dyDescent="0.25">
      <c r="A46" s="2">
        <v>1891456</v>
      </c>
      <c r="B46" s="3">
        <v>46134</v>
      </c>
      <c r="C46" s="4" t="s">
        <v>210</v>
      </c>
      <c r="D46" s="2">
        <v>1524629</v>
      </c>
      <c r="E46" s="4" t="s">
        <v>215</v>
      </c>
      <c r="F46" s="4" t="s">
        <v>216</v>
      </c>
      <c r="G46" s="4" t="s">
        <v>47</v>
      </c>
      <c r="H46" s="4" t="s">
        <v>47</v>
      </c>
      <c r="I46" s="4" t="s">
        <v>47</v>
      </c>
      <c r="J46" s="4" t="s">
        <v>190</v>
      </c>
      <c r="K46" s="4" t="s">
        <v>191</v>
      </c>
      <c r="L46" s="3">
        <v>46143</v>
      </c>
      <c r="M46" s="4" t="s">
        <v>50</v>
      </c>
      <c r="N46" s="4" t="s">
        <v>47</v>
      </c>
      <c r="O46" s="4" t="s">
        <v>192</v>
      </c>
      <c r="P46" s="4" t="s">
        <v>192</v>
      </c>
      <c r="Q46" s="2">
        <v>1</v>
      </c>
      <c r="R46" s="2">
        <v>60</v>
      </c>
      <c r="S46" s="4" t="s">
        <v>193</v>
      </c>
      <c r="T46" s="4" t="s">
        <v>47</v>
      </c>
      <c r="U46" s="4" t="s">
        <v>47</v>
      </c>
      <c r="V46" s="5">
        <v>10</v>
      </c>
      <c r="W46" s="5">
        <v>12.99</v>
      </c>
      <c r="X46" s="5">
        <v>100</v>
      </c>
      <c r="Y46" s="5">
        <v>1.3</v>
      </c>
      <c r="Z46" s="4" t="s">
        <v>47</v>
      </c>
      <c r="AA46" s="5" t="s">
        <v>47</v>
      </c>
      <c r="AB46" s="4" t="s">
        <v>194</v>
      </c>
      <c r="AC46" s="4" t="s">
        <v>47</v>
      </c>
      <c r="AD46" s="5">
        <v>0</v>
      </c>
      <c r="AE46" s="4" t="s">
        <v>195</v>
      </c>
      <c r="AF46" s="3">
        <v>45371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x14ac:dyDescent="0.25">
      <c r="A47" s="2">
        <v>1891456</v>
      </c>
      <c r="B47" s="3">
        <v>46134</v>
      </c>
      <c r="C47" s="4" t="s">
        <v>217</v>
      </c>
      <c r="D47" s="2">
        <v>1545980</v>
      </c>
      <c r="E47" s="4" t="s">
        <v>218</v>
      </c>
      <c r="F47" s="4" t="s">
        <v>219</v>
      </c>
      <c r="G47" s="4" t="s">
        <v>47</v>
      </c>
      <c r="H47" s="4" t="s">
        <v>47</v>
      </c>
      <c r="I47" s="4" t="s">
        <v>47</v>
      </c>
      <c r="J47" s="4" t="s">
        <v>203</v>
      </c>
      <c r="K47" s="4" t="s">
        <v>49</v>
      </c>
      <c r="L47" s="3">
        <v>46113</v>
      </c>
      <c r="M47" s="4" t="s">
        <v>109</v>
      </c>
      <c r="N47" s="4" t="s">
        <v>47</v>
      </c>
      <c r="O47" s="4" t="s">
        <v>192</v>
      </c>
      <c r="P47" s="4" t="s">
        <v>192</v>
      </c>
      <c r="Q47" s="2">
        <v>1</v>
      </c>
      <c r="R47" s="2">
        <v>17</v>
      </c>
      <c r="S47" s="4" t="s">
        <v>52</v>
      </c>
      <c r="T47" s="4" t="s">
        <v>47</v>
      </c>
      <c r="U47" s="4" t="s">
        <v>47</v>
      </c>
      <c r="V47" s="5">
        <v>22</v>
      </c>
      <c r="W47" s="5">
        <v>132.55000000000001</v>
      </c>
      <c r="X47" s="5">
        <v>100</v>
      </c>
      <c r="Y47" s="5">
        <v>29.16</v>
      </c>
      <c r="Z47" s="5">
        <v>0</v>
      </c>
      <c r="AA47" s="5">
        <v>0</v>
      </c>
      <c r="AB47" s="4" t="s">
        <v>220</v>
      </c>
      <c r="AC47" s="4" t="s">
        <v>47</v>
      </c>
      <c r="AD47" s="5">
        <v>0</v>
      </c>
      <c r="AE47" s="4" t="s">
        <v>221</v>
      </c>
      <c r="AF47" s="3">
        <v>45689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204</v>
      </c>
    </row>
    <row r="48" spans="1:43" x14ac:dyDescent="0.25">
      <c r="A48" s="2">
        <v>1891456</v>
      </c>
      <c r="B48" s="3">
        <v>46134</v>
      </c>
      <c r="C48" s="4" t="s">
        <v>222</v>
      </c>
      <c r="D48" s="2">
        <v>1573279</v>
      </c>
      <c r="E48" s="4" t="s">
        <v>223</v>
      </c>
      <c r="F48" s="4" t="s">
        <v>224</v>
      </c>
      <c r="G48" s="4" t="s">
        <v>47</v>
      </c>
      <c r="H48" s="4" t="s">
        <v>47</v>
      </c>
      <c r="I48" s="4" t="s">
        <v>47</v>
      </c>
      <c r="J48" s="4" t="s">
        <v>225</v>
      </c>
      <c r="K48" s="4" t="s">
        <v>226</v>
      </c>
      <c r="L48" s="3">
        <v>46143</v>
      </c>
      <c r="M48" s="4" t="s">
        <v>50</v>
      </c>
      <c r="N48" s="4" t="s">
        <v>47</v>
      </c>
      <c r="O48" s="4" t="s">
        <v>51</v>
      </c>
      <c r="P48" s="4" t="s">
        <v>192</v>
      </c>
      <c r="Q48" s="2">
        <v>23</v>
      </c>
      <c r="R48" s="2">
        <v>3</v>
      </c>
      <c r="S48" s="4" t="s">
        <v>209</v>
      </c>
      <c r="T48" s="4" t="s">
        <v>47</v>
      </c>
      <c r="U48" s="4" t="s">
        <v>47</v>
      </c>
      <c r="V48" s="5">
        <v>7.5</v>
      </c>
      <c r="W48" s="5">
        <v>1328.65</v>
      </c>
      <c r="X48" s="5">
        <v>100</v>
      </c>
      <c r="Y48" s="5">
        <v>99.65</v>
      </c>
      <c r="Z48" s="4" t="s">
        <v>47</v>
      </c>
      <c r="AA48" s="5" t="s">
        <v>47</v>
      </c>
      <c r="AB48" s="4" t="s">
        <v>54</v>
      </c>
      <c r="AC48" s="4" t="s">
        <v>47</v>
      </c>
      <c r="AD48" s="5">
        <v>0</v>
      </c>
      <c r="AE48" s="4" t="s">
        <v>55</v>
      </c>
      <c r="AF48" s="3">
        <v>45839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5">
      <c r="A49" s="2">
        <v>1891456</v>
      </c>
      <c r="B49" s="3">
        <v>46134</v>
      </c>
      <c r="C49" s="4" t="s">
        <v>222</v>
      </c>
      <c r="D49" s="2">
        <v>1573279</v>
      </c>
      <c r="E49" s="4" t="s">
        <v>223</v>
      </c>
      <c r="F49" s="4" t="s">
        <v>224</v>
      </c>
      <c r="G49" s="4" t="s">
        <v>47</v>
      </c>
      <c r="H49" s="4" t="s">
        <v>47</v>
      </c>
      <c r="I49" s="4" t="s">
        <v>47</v>
      </c>
      <c r="J49" s="4" t="s">
        <v>225</v>
      </c>
      <c r="K49" s="4" t="s">
        <v>226</v>
      </c>
      <c r="L49" s="3">
        <v>46143</v>
      </c>
      <c r="M49" s="4" t="s">
        <v>50</v>
      </c>
      <c r="N49" s="4" t="s">
        <v>47</v>
      </c>
      <c r="O49" s="4" t="s">
        <v>51</v>
      </c>
      <c r="P49" s="4" t="s">
        <v>192</v>
      </c>
      <c r="Q49" s="2">
        <v>21</v>
      </c>
      <c r="R49" s="2">
        <v>60</v>
      </c>
      <c r="S49" s="4" t="s">
        <v>193</v>
      </c>
      <c r="T49" s="4" t="s">
        <v>47</v>
      </c>
      <c r="U49" s="4" t="s">
        <v>47</v>
      </c>
      <c r="V49" s="5">
        <v>10</v>
      </c>
      <c r="W49" s="5">
        <v>331.73</v>
      </c>
      <c r="X49" s="5">
        <v>100</v>
      </c>
      <c r="Y49" s="5">
        <v>33.17</v>
      </c>
      <c r="Z49" s="4" t="s">
        <v>47</v>
      </c>
      <c r="AA49" s="5" t="s">
        <v>47</v>
      </c>
      <c r="AB49" s="4" t="s">
        <v>54</v>
      </c>
      <c r="AC49" s="4" t="s">
        <v>47</v>
      </c>
      <c r="AD49" s="5">
        <v>0</v>
      </c>
      <c r="AE49" s="4" t="s">
        <v>55</v>
      </c>
      <c r="AF49" s="3">
        <v>45839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x14ac:dyDescent="0.25">
      <c r="A50" s="2">
        <v>1891456</v>
      </c>
      <c r="B50" s="3">
        <v>46134</v>
      </c>
      <c r="C50" s="4" t="s">
        <v>227</v>
      </c>
      <c r="D50" s="2">
        <v>1581327</v>
      </c>
      <c r="E50" s="4" t="s">
        <v>228</v>
      </c>
      <c r="F50" s="4" t="s">
        <v>229</v>
      </c>
      <c r="G50" s="4" t="s">
        <v>47</v>
      </c>
      <c r="H50" s="4" t="s">
        <v>47</v>
      </c>
      <c r="I50" s="4" t="s">
        <v>47</v>
      </c>
      <c r="J50" s="4" t="s">
        <v>203</v>
      </c>
      <c r="K50" s="4" t="s">
        <v>49</v>
      </c>
      <c r="L50" s="3">
        <v>46143</v>
      </c>
      <c r="M50" s="4" t="s">
        <v>50</v>
      </c>
      <c r="N50" s="4" t="s">
        <v>47</v>
      </c>
      <c r="O50" s="4" t="s">
        <v>51</v>
      </c>
      <c r="P50" s="4" t="s">
        <v>192</v>
      </c>
      <c r="Q50" s="2">
        <v>1</v>
      </c>
      <c r="R50" s="2">
        <v>17</v>
      </c>
      <c r="S50" s="4" t="s">
        <v>52</v>
      </c>
      <c r="T50" s="4" t="s">
        <v>47</v>
      </c>
      <c r="U50" s="4" t="s">
        <v>47</v>
      </c>
      <c r="V50" s="5">
        <v>15</v>
      </c>
      <c r="W50" s="5">
        <v>-143.26</v>
      </c>
      <c r="X50" s="5">
        <v>100</v>
      </c>
      <c r="Y50" s="5">
        <v>-21.49</v>
      </c>
      <c r="Z50" s="5">
        <v>0</v>
      </c>
      <c r="AA50" s="5">
        <v>0</v>
      </c>
      <c r="AB50" s="4" t="s">
        <v>54</v>
      </c>
      <c r="AC50" s="4" t="s">
        <v>47</v>
      </c>
      <c r="AD50" s="5">
        <v>0</v>
      </c>
      <c r="AE50" s="4" t="s">
        <v>55</v>
      </c>
      <c r="AF50" s="3">
        <v>46113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204</v>
      </c>
    </row>
    <row r="51" spans="1:43" x14ac:dyDescent="0.25">
      <c r="A51" s="2">
        <v>1891456</v>
      </c>
      <c r="B51" s="3">
        <v>46134</v>
      </c>
      <c r="C51" s="4" t="s">
        <v>227</v>
      </c>
      <c r="D51" s="2">
        <v>1581327</v>
      </c>
      <c r="E51" s="4" t="s">
        <v>230</v>
      </c>
      <c r="F51" s="4" t="s">
        <v>231</v>
      </c>
      <c r="G51" s="4" t="s">
        <v>47</v>
      </c>
      <c r="H51" s="4" t="s">
        <v>47</v>
      </c>
      <c r="I51" s="4" t="s">
        <v>47</v>
      </c>
      <c r="J51" s="4" t="s">
        <v>203</v>
      </c>
      <c r="K51" s="4" t="s">
        <v>49</v>
      </c>
      <c r="L51" s="3">
        <v>46143</v>
      </c>
      <c r="M51" s="4" t="s">
        <v>50</v>
      </c>
      <c r="N51" s="4" t="s">
        <v>47</v>
      </c>
      <c r="O51" s="4" t="s">
        <v>51</v>
      </c>
      <c r="P51" s="4" t="s">
        <v>192</v>
      </c>
      <c r="Q51" s="2">
        <v>1</v>
      </c>
      <c r="R51" s="2">
        <v>17</v>
      </c>
      <c r="S51" s="4" t="s">
        <v>52</v>
      </c>
      <c r="T51" s="4" t="s">
        <v>47</v>
      </c>
      <c r="U51" s="4" t="s">
        <v>47</v>
      </c>
      <c r="V51" s="5">
        <v>15</v>
      </c>
      <c r="W51" s="5">
        <v>117.54</v>
      </c>
      <c r="X51" s="5">
        <v>100</v>
      </c>
      <c r="Y51" s="5">
        <v>17.63</v>
      </c>
      <c r="Z51" s="5">
        <v>0</v>
      </c>
      <c r="AA51" s="5">
        <v>0</v>
      </c>
      <c r="AB51" s="4" t="s">
        <v>54</v>
      </c>
      <c r="AC51" s="4" t="s">
        <v>47</v>
      </c>
      <c r="AD51" s="5">
        <v>0</v>
      </c>
      <c r="AE51" s="4" t="s">
        <v>55</v>
      </c>
      <c r="AF51" s="3">
        <v>46143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204</v>
      </c>
    </row>
    <row r="52" spans="1:43" x14ac:dyDescent="0.25">
      <c r="A52" s="2">
        <v>1891456</v>
      </c>
      <c r="B52" s="3">
        <v>46134</v>
      </c>
      <c r="C52" s="4" t="s">
        <v>232</v>
      </c>
      <c r="D52" s="2">
        <v>1673763</v>
      </c>
      <c r="E52" s="4" t="s">
        <v>233</v>
      </c>
      <c r="F52" s="4" t="s">
        <v>234</v>
      </c>
      <c r="G52" s="4" t="s">
        <v>47</v>
      </c>
      <c r="H52" s="4" t="s">
        <v>47</v>
      </c>
      <c r="I52" s="4" t="s">
        <v>47</v>
      </c>
      <c r="J52" s="4" t="s">
        <v>203</v>
      </c>
      <c r="K52" s="4" t="s">
        <v>49</v>
      </c>
      <c r="L52" s="3">
        <v>46143</v>
      </c>
      <c r="M52" s="4" t="s">
        <v>50</v>
      </c>
      <c r="N52" s="4" t="s">
        <v>47</v>
      </c>
      <c r="O52" s="4" t="s">
        <v>192</v>
      </c>
      <c r="P52" s="4" t="s">
        <v>192</v>
      </c>
      <c r="Q52" s="2">
        <v>1</v>
      </c>
      <c r="R52" s="2">
        <v>17</v>
      </c>
      <c r="S52" s="4" t="s">
        <v>52</v>
      </c>
      <c r="T52" s="4" t="s">
        <v>47</v>
      </c>
      <c r="U52" s="4" t="s">
        <v>47</v>
      </c>
      <c r="V52" s="5">
        <v>26</v>
      </c>
      <c r="W52" s="5">
        <v>307</v>
      </c>
      <c r="X52" s="5">
        <v>100</v>
      </c>
      <c r="Y52" s="5">
        <v>79.819999999999993</v>
      </c>
      <c r="Z52" s="5">
        <v>0</v>
      </c>
      <c r="AA52" s="5">
        <v>0</v>
      </c>
      <c r="AB52" s="4" t="s">
        <v>213</v>
      </c>
      <c r="AC52" s="4" t="s">
        <v>47</v>
      </c>
      <c r="AD52" s="5">
        <v>0</v>
      </c>
      <c r="AE52" s="4" t="s">
        <v>214</v>
      </c>
      <c r="AF52" s="3">
        <v>45292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204</v>
      </c>
    </row>
    <row r="53" spans="1:43" x14ac:dyDescent="0.25">
      <c r="A53" s="2">
        <v>1891456</v>
      </c>
      <c r="B53" s="3">
        <v>46134</v>
      </c>
      <c r="C53" s="4" t="s">
        <v>232</v>
      </c>
      <c r="D53" s="2">
        <v>1673763</v>
      </c>
      <c r="E53" s="4" t="s">
        <v>235</v>
      </c>
      <c r="F53" s="4" t="s">
        <v>236</v>
      </c>
      <c r="G53" s="4" t="s">
        <v>47</v>
      </c>
      <c r="H53" s="4" t="s">
        <v>47</v>
      </c>
      <c r="I53" s="4" t="s">
        <v>47</v>
      </c>
      <c r="J53" s="4" t="s">
        <v>203</v>
      </c>
      <c r="K53" s="4" t="s">
        <v>49</v>
      </c>
      <c r="L53" s="3">
        <v>46143</v>
      </c>
      <c r="M53" s="4" t="s">
        <v>50</v>
      </c>
      <c r="N53" s="4" t="s">
        <v>47</v>
      </c>
      <c r="O53" s="4" t="s">
        <v>192</v>
      </c>
      <c r="P53" s="4" t="s">
        <v>192</v>
      </c>
      <c r="Q53" s="2">
        <v>1</v>
      </c>
      <c r="R53" s="2">
        <v>17</v>
      </c>
      <c r="S53" s="4" t="s">
        <v>52</v>
      </c>
      <c r="T53" s="4" t="s">
        <v>47</v>
      </c>
      <c r="U53" s="4" t="s">
        <v>47</v>
      </c>
      <c r="V53" s="5">
        <v>22</v>
      </c>
      <c r="W53" s="5">
        <v>110.73</v>
      </c>
      <c r="X53" s="5">
        <v>100</v>
      </c>
      <c r="Y53" s="5">
        <v>24.36</v>
      </c>
      <c r="Z53" s="5">
        <v>0</v>
      </c>
      <c r="AA53" s="5">
        <v>0</v>
      </c>
      <c r="AB53" s="4" t="s">
        <v>213</v>
      </c>
      <c r="AC53" s="4" t="s">
        <v>47</v>
      </c>
      <c r="AD53" s="5">
        <v>0</v>
      </c>
      <c r="AE53" s="4" t="s">
        <v>214</v>
      </c>
      <c r="AF53" s="3">
        <v>45444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204</v>
      </c>
    </row>
    <row r="54" spans="1:43" x14ac:dyDescent="0.25">
      <c r="A54" s="2">
        <v>1891456</v>
      </c>
      <c r="B54" s="3">
        <v>46134</v>
      </c>
      <c r="C54" s="4" t="s">
        <v>232</v>
      </c>
      <c r="D54" s="2">
        <v>1673763</v>
      </c>
      <c r="E54" s="4" t="s">
        <v>237</v>
      </c>
      <c r="F54" s="4" t="s">
        <v>238</v>
      </c>
      <c r="G54" s="4" t="s">
        <v>47</v>
      </c>
      <c r="H54" s="4" t="s">
        <v>47</v>
      </c>
      <c r="I54" s="4" t="s">
        <v>47</v>
      </c>
      <c r="J54" s="4" t="s">
        <v>203</v>
      </c>
      <c r="K54" s="4" t="s">
        <v>49</v>
      </c>
      <c r="L54" s="3">
        <v>46113</v>
      </c>
      <c r="M54" s="4" t="s">
        <v>109</v>
      </c>
      <c r="N54" s="4" t="s">
        <v>47</v>
      </c>
      <c r="O54" s="4" t="s">
        <v>192</v>
      </c>
      <c r="P54" s="4" t="s">
        <v>192</v>
      </c>
      <c r="Q54" s="2">
        <v>1</v>
      </c>
      <c r="R54" s="2">
        <v>17</v>
      </c>
      <c r="S54" s="4" t="s">
        <v>52</v>
      </c>
      <c r="T54" s="4" t="s">
        <v>47</v>
      </c>
      <c r="U54" s="4" t="s">
        <v>47</v>
      </c>
      <c r="V54" s="5">
        <v>22</v>
      </c>
      <c r="W54" s="5">
        <v>146.72999999999999</v>
      </c>
      <c r="X54" s="5">
        <v>100</v>
      </c>
      <c r="Y54" s="5">
        <v>32.28</v>
      </c>
      <c r="Z54" s="5">
        <v>0</v>
      </c>
      <c r="AA54" s="5">
        <v>0</v>
      </c>
      <c r="AB54" s="4" t="s">
        <v>213</v>
      </c>
      <c r="AC54" s="4" t="s">
        <v>47</v>
      </c>
      <c r="AD54" s="5">
        <v>0</v>
      </c>
      <c r="AE54" s="4" t="s">
        <v>214</v>
      </c>
      <c r="AF54" s="3">
        <v>45444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204</v>
      </c>
    </row>
    <row r="55" spans="1:43" x14ac:dyDescent="0.25">
      <c r="A55" s="2">
        <v>1891456</v>
      </c>
      <c r="B55" s="3">
        <v>46134</v>
      </c>
      <c r="C55" s="4" t="s">
        <v>239</v>
      </c>
      <c r="D55" s="2">
        <v>1737425</v>
      </c>
      <c r="E55" s="4" t="s">
        <v>240</v>
      </c>
      <c r="F55" s="4" t="s">
        <v>241</v>
      </c>
      <c r="G55" s="4" t="s">
        <v>47</v>
      </c>
      <c r="H55" s="4" t="s">
        <v>47</v>
      </c>
      <c r="I55" s="4" t="s">
        <v>47</v>
      </c>
      <c r="J55" s="4" t="s">
        <v>190</v>
      </c>
      <c r="K55" s="4" t="s">
        <v>191</v>
      </c>
      <c r="L55" s="3">
        <v>46143</v>
      </c>
      <c r="M55" s="4" t="s">
        <v>50</v>
      </c>
      <c r="N55" s="4" t="s">
        <v>47</v>
      </c>
      <c r="O55" s="4" t="s">
        <v>51</v>
      </c>
      <c r="P55" s="4" t="s">
        <v>192</v>
      </c>
      <c r="Q55" s="2">
        <v>1</v>
      </c>
      <c r="R55" s="2">
        <v>60</v>
      </c>
      <c r="S55" s="4" t="s">
        <v>193</v>
      </c>
      <c r="T55" s="4" t="s">
        <v>47</v>
      </c>
      <c r="U55" s="4" t="s">
        <v>47</v>
      </c>
      <c r="V55" s="5">
        <v>10</v>
      </c>
      <c r="W55" s="5">
        <v>12.24</v>
      </c>
      <c r="X55" s="5">
        <v>100</v>
      </c>
      <c r="Y55" s="5">
        <v>1.22</v>
      </c>
      <c r="Z55" s="4" t="s">
        <v>47</v>
      </c>
      <c r="AA55" s="5" t="s">
        <v>47</v>
      </c>
      <c r="AB55" s="4" t="s">
        <v>198</v>
      </c>
      <c r="AC55" s="4" t="s">
        <v>47</v>
      </c>
      <c r="AD55" s="5">
        <v>0</v>
      </c>
      <c r="AE55" s="4" t="s">
        <v>199</v>
      </c>
      <c r="AF55" s="3">
        <v>46143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5">
      <c r="A56" s="2">
        <v>1891456</v>
      </c>
      <c r="B56" s="3">
        <v>46134</v>
      </c>
      <c r="C56" s="4" t="s">
        <v>242</v>
      </c>
      <c r="D56" s="2">
        <v>1755893</v>
      </c>
      <c r="E56" s="4" t="s">
        <v>243</v>
      </c>
      <c r="F56" s="4" t="s">
        <v>244</v>
      </c>
      <c r="G56" s="4" t="s">
        <v>47</v>
      </c>
      <c r="H56" s="4" t="s">
        <v>47</v>
      </c>
      <c r="I56" s="4" t="s">
        <v>47</v>
      </c>
      <c r="J56" s="4" t="s">
        <v>190</v>
      </c>
      <c r="K56" s="4" t="s">
        <v>191</v>
      </c>
      <c r="L56" s="3">
        <v>46143</v>
      </c>
      <c r="M56" s="4" t="s">
        <v>50</v>
      </c>
      <c r="N56" s="4" t="s">
        <v>47</v>
      </c>
      <c r="O56" s="4" t="s">
        <v>192</v>
      </c>
      <c r="P56" s="4" t="s">
        <v>192</v>
      </c>
      <c r="Q56" s="2">
        <v>1</v>
      </c>
      <c r="R56" s="2">
        <v>60</v>
      </c>
      <c r="S56" s="4" t="s">
        <v>193</v>
      </c>
      <c r="T56" s="4" t="s">
        <v>47</v>
      </c>
      <c r="U56" s="4" t="s">
        <v>47</v>
      </c>
      <c r="V56" s="5">
        <v>10</v>
      </c>
      <c r="W56" s="5">
        <v>12.99</v>
      </c>
      <c r="X56" s="5">
        <v>100</v>
      </c>
      <c r="Y56" s="5">
        <v>1.3</v>
      </c>
      <c r="Z56" s="4" t="s">
        <v>47</v>
      </c>
      <c r="AA56" s="5" t="s">
        <v>47</v>
      </c>
      <c r="AB56" s="4" t="s">
        <v>194</v>
      </c>
      <c r="AC56" s="4" t="s">
        <v>47</v>
      </c>
      <c r="AD56" s="5">
        <v>0</v>
      </c>
      <c r="AE56" s="4" t="s">
        <v>195</v>
      </c>
      <c r="AF56" s="3">
        <v>45748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x14ac:dyDescent="0.25">
      <c r="A57" s="2">
        <v>1891456</v>
      </c>
      <c r="B57" s="3">
        <v>46134</v>
      </c>
      <c r="C57" s="4" t="s">
        <v>242</v>
      </c>
      <c r="D57" s="2">
        <v>1755893</v>
      </c>
      <c r="E57" s="4" t="s">
        <v>245</v>
      </c>
      <c r="F57" s="4" t="s">
        <v>246</v>
      </c>
      <c r="G57" s="4" t="s">
        <v>47</v>
      </c>
      <c r="H57" s="4" t="s">
        <v>47</v>
      </c>
      <c r="I57" s="4" t="s">
        <v>47</v>
      </c>
      <c r="J57" s="4" t="s">
        <v>190</v>
      </c>
      <c r="K57" s="4" t="s">
        <v>191</v>
      </c>
      <c r="L57" s="3">
        <v>46143</v>
      </c>
      <c r="M57" s="4" t="s">
        <v>50</v>
      </c>
      <c r="N57" s="4" t="s">
        <v>47</v>
      </c>
      <c r="O57" s="4" t="s">
        <v>51</v>
      </c>
      <c r="P57" s="4" t="s">
        <v>192</v>
      </c>
      <c r="Q57" s="2">
        <v>2</v>
      </c>
      <c r="R57" s="2">
        <v>60</v>
      </c>
      <c r="S57" s="4" t="s">
        <v>193</v>
      </c>
      <c r="T57" s="4" t="s">
        <v>47</v>
      </c>
      <c r="U57" s="4" t="s">
        <v>47</v>
      </c>
      <c r="V57" s="5">
        <v>10</v>
      </c>
      <c r="W57" s="5">
        <v>23.99</v>
      </c>
      <c r="X57" s="5">
        <v>100</v>
      </c>
      <c r="Y57" s="5">
        <v>2.4</v>
      </c>
      <c r="Z57" s="4" t="s">
        <v>47</v>
      </c>
      <c r="AA57" s="5" t="s">
        <v>47</v>
      </c>
      <c r="AB57" s="4" t="s">
        <v>198</v>
      </c>
      <c r="AC57" s="4" t="s">
        <v>47</v>
      </c>
      <c r="AD57" s="5">
        <v>0</v>
      </c>
      <c r="AE57" s="4" t="s">
        <v>199</v>
      </c>
      <c r="AF57" s="3">
        <v>45992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x14ac:dyDescent="0.25">
      <c r="A58" s="2">
        <v>1891456</v>
      </c>
      <c r="B58" s="3">
        <v>46134</v>
      </c>
      <c r="C58" s="4" t="s">
        <v>242</v>
      </c>
      <c r="D58" s="2">
        <v>1755893</v>
      </c>
      <c r="E58" s="4" t="s">
        <v>247</v>
      </c>
      <c r="F58" s="4" t="s">
        <v>248</v>
      </c>
      <c r="G58" s="4" t="s">
        <v>47</v>
      </c>
      <c r="H58" s="4" t="s">
        <v>47</v>
      </c>
      <c r="I58" s="4" t="s">
        <v>47</v>
      </c>
      <c r="J58" s="4" t="s">
        <v>190</v>
      </c>
      <c r="K58" s="4" t="s">
        <v>191</v>
      </c>
      <c r="L58" s="3">
        <v>46143</v>
      </c>
      <c r="M58" s="4" t="s">
        <v>50</v>
      </c>
      <c r="N58" s="4" t="s">
        <v>47</v>
      </c>
      <c r="O58" s="4" t="s">
        <v>51</v>
      </c>
      <c r="P58" s="4" t="s">
        <v>192</v>
      </c>
      <c r="Q58" s="2">
        <v>1</v>
      </c>
      <c r="R58" s="2">
        <v>3</v>
      </c>
      <c r="S58" s="4" t="s">
        <v>209</v>
      </c>
      <c r="T58" s="4" t="s">
        <v>47</v>
      </c>
      <c r="U58" s="4" t="s">
        <v>47</v>
      </c>
      <c r="V58" s="5">
        <v>10</v>
      </c>
      <c r="W58" s="5">
        <v>62.99</v>
      </c>
      <c r="X58" s="5">
        <v>100</v>
      </c>
      <c r="Y58" s="5">
        <v>6.3</v>
      </c>
      <c r="Z58" s="4" t="s">
        <v>47</v>
      </c>
      <c r="AA58" s="5" t="s">
        <v>47</v>
      </c>
      <c r="AB58" s="4" t="s">
        <v>198</v>
      </c>
      <c r="AC58" s="4" t="s">
        <v>47</v>
      </c>
      <c r="AD58" s="5">
        <v>0</v>
      </c>
      <c r="AE58" s="4" t="s">
        <v>199</v>
      </c>
      <c r="AF58" s="3">
        <v>46023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x14ac:dyDescent="0.25">
      <c r="A59" s="2">
        <v>1891456</v>
      </c>
      <c r="B59" s="3">
        <v>46134</v>
      </c>
      <c r="C59" s="4" t="s">
        <v>123</v>
      </c>
      <c r="D59" s="2">
        <v>1773696</v>
      </c>
      <c r="E59" s="4" t="s">
        <v>249</v>
      </c>
      <c r="F59" s="4" t="s">
        <v>250</v>
      </c>
      <c r="G59" s="4" t="s">
        <v>47</v>
      </c>
      <c r="H59" s="4" t="s">
        <v>47</v>
      </c>
      <c r="I59" s="4" t="s">
        <v>47</v>
      </c>
      <c r="J59" s="4" t="s">
        <v>225</v>
      </c>
      <c r="K59" s="4" t="s">
        <v>226</v>
      </c>
      <c r="L59" s="3">
        <v>45839</v>
      </c>
      <c r="M59" s="4" t="s">
        <v>72</v>
      </c>
      <c r="N59" s="4" t="s">
        <v>47</v>
      </c>
      <c r="O59" s="4" t="s">
        <v>192</v>
      </c>
      <c r="P59" s="4" t="s">
        <v>192</v>
      </c>
      <c r="Q59" s="2">
        <v>25</v>
      </c>
      <c r="R59" s="2">
        <v>3</v>
      </c>
      <c r="S59" s="4" t="s">
        <v>209</v>
      </c>
      <c r="T59" s="4" t="s">
        <v>47</v>
      </c>
      <c r="U59" s="4" t="s">
        <v>47</v>
      </c>
      <c r="V59" s="5">
        <v>10</v>
      </c>
      <c r="W59" s="5">
        <v>0.73</v>
      </c>
      <c r="X59" s="5">
        <v>100</v>
      </c>
      <c r="Y59" s="5">
        <v>7.0000000000000007E-2</v>
      </c>
      <c r="Z59" s="4" t="s">
        <v>47</v>
      </c>
      <c r="AA59" s="5" t="s">
        <v>47</v>
      </c>
      <c r="AB59" s="4" t="s">
        <v>220</v>
      </c>
      <c r="AC59" s="4" t="s">
        <v>47</v>
      </c>
      <c r="AD59" s="5">
        <v>0</v>
      </c>
      <c r="AE59" s="4" t="s">
        <v>221</v>
      </c>
      <c r="AF59" s="3">
        <v>45474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x14ac:dyDescent="0.25">
      <c r="A60" s="2">
        <v>1891456</v>
      </c>
      <c r="B60" s="3">
        <v>46134</v>
      </c>
      <c r="C60" s="4" t="s">
        <v>123</v>
      </c>
      <c r="D60" s="2">
        <v>1773696</v>
      </c>
      <c r="E60" s="4" t="s">
        <v>249</v>
      </c>
      <c r="F60" s="4" t="s">
        <v>250</v>
      </c>
      <c r="G60" s="4" t="s">
        <v>47</v>
      </c>
      <c r="H60" s="4" t="s">
        <v>47</v>
      </c>
      <c r="I60" s="4" t="s">
        <v>47</v>
      </c>
      <c r="J60" s="4" t="s">
        <v>225</v>
      </c>
      <c r="K60" s="4" t="s">
        <v>226</v>
      </c>
      <c r="L60" s="3">
        <v>45870</v>
      </c>
      <c r="M60" s="4" t="s">
        <v>251</v>
      </c>
      <c r="N60" s="4" t="s">
        <v>47</v>
      </c>
      <c r="O60" s="4" t="s">
        <v>192</v>
      </c>
      <c r="P60" s="4" t="s">
        <v>192</v>
      </c>
      <c r="Q60" s="2">
        <v>25</v>
      </c>
      <c r="R60" s="2">
        <v>3</v>
      </c>
      <c r="S60" s="4" t="s">
        <v>209</v>
      </c>
      <c r="T60" s="4" t="s">
        <v>47</v>
      </c>
      <c r="U60" s="4" t="s">
        <v>47</v>
      </c>
      <c r="V60" s="5">
        <v>10</v>
      </c>
      <c r="W60" s="5">
        <v>0.73</v>
      </c>
      <c r="X60" s="5">
        <v>100</v>
      </c>
      <c r="Y60" s="5">
        <v>7.0000000000000007E-2</v>
      </c>
      <c r="Z60" s="4" t="s">
        <v>47</v>
      </c>
      <c r="AA60" s="5" t="s">
        <v>47</v>
      </c>
      <c r="AB60" s="4" t="s">
        <v>220</v>
      </c>
      <c r="AC60" s="4" t="s">
        <v>47</v>
      </c>
      <c r="AD60" s="5">
        <v>0</v>
      </c>
      <c r="AE60" s="4" t="s">
        <v>221</v>
      </c>
      <c r="AF60" s="3">
        <v>45474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x14ac:dyDescent="0.25">
      <c r="A61" s="2">
        <v>1891456</v>
      </c>
      <c r="B61" s="3">
        <v>46134</v>
      </c>
      <c r="C61" s="4" t="s">
        <v>123</v>
      </c>
      <c r="D61" s="2">
        <v>1773696</v>
      </c>
      <c r="E61" s="4" t="s">
        <v>249</v>
      </c>
      <c r="F61" s="4" t="s">
        <v>250</v>
      </c>
      <c r="G61" s="4" t="s">
        <v>47</v>
      </c>
      <c r="H61" s="4" t="s">
        <v>47</v>
      </c>
      <c r="I61" s="4" t="s">
        <v>47</v>
      </c>
      <c r="J61" s="4" t="s">
        <v>225</v>
      </c>
      <c r="K61" s="4" t="s">
        <v>226</v>
      </c>
      <c r="L61" s="3">
        <v>45901</v>
      </c>
      <c r="M61" s="4" t="s">
        <v>252</v>
      </c>
      <c r="N61" s="4" t="s">
        <v>47</v>
      </c>
      <c r="O61" s="4" t="s">
        <v>192</v>
      </c>
      <c r="P61" s="4" t="s">
        <v>192</v>
      </c>
      <c r="Q61" s="2">
        <v>25</v>
      </c>
      <c r="R61" s="2">
        <v>3</v>
      </c>
      <c r="S61" s="4" t="s">
        <v>209</v>
      </c>
      <c r="T61" s="4" t="s">
        <v>47</v>
      </c>
      <c r="U61" s="4" t="s">
        <v>47</v>
      </c>
      <c r="V61" s="5">
        <v>10</v>
      </c>
      <c r="W61" s="5">
        <v>0.73</v>
      </c>
      <c r="X61" s="5">
        <v>100</v>
      </c>
      <c r="Y61" s="5">
        <v>7.0000000000000007E-2</v>
      </c>
      <c r="Z61" s="4" t="s">
        <v>47</v>
      </c>
      <c r="AA61" s="5" t="s">
        <v>47</v>
      </c>
      <c r="AB61" s="4" t="s">
        <v>220</v>
      </c>
      <c r="AC61" s="4" t="s">
        <v>47</v>
      </c>
      <c r="AD61" s="5">
        <v>0</v>
      </c>
      <c r="AE61" s="4" t="s">
        <v>221</v>
      </c>
      <c r="AF61" s="3">
        <v>45474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x14ac:dyDescent="0.25">
      <c r="A62" s="2">
        <v>1891456</v>
      </c>
      <c r="B62" s="3">
        <v>46134</v>
      </c>
      <c r="C62" s="4" t="s">
        <v>123</v>
      </c>
      <c r="D62" s="2">
        <v>1773696</v>
      </c>
      <c r="E62" s="4" t="s">
        <v>249</v>
      </c>
      <c r="F62" s="4" t="s">
        <v>250</v>
      </c>
      <c r="G62" s="4" t="s">
        <v>47</v>
      </c>
      <c r="H62" s="4" t="s">
        <v>47</v>
      </c>
      <c r="I62" s="4" t="s">
        <v>47</v>
      </c>
      <c r="J62" s="4" t="s">
        <v>225</v>
      </c>
      <c r="K62" s="4" t="s">
        <v>226</v>
      </c>
      <c r="L62" s="3">
        <v>45931</v>
      </c>
      <c r="M62" s="4" t="s">
        <v>253</v>
      </c>
      <c r="N62" s="4" t="s">
        <v>47</v>
      </c>
      <c r="O62" s="4" t="s">
        <v>192</v>
      </c>
      <c r="P62" s="4" t="s">
        <v>192</v>
      </c>
      <c r="Q62" s="2">
        <v>25</v>
      </c>
      <c r="R62" s="2">
        <v>3</v>
      </c>
      <c r="S62" s="4" t="s">
        <v>209</v>
      </c>
      <c r="T62" s="4" t="s">
        <v>47</v>
      </c>
      <c r="U62" s="4" t="s">
        <v>47</v>
      </c>
      <c r="V62" s="5">
        <v>10</v>
      </c>
      <c r="W62" s="5">
        <v>0.73</v>
      </c>
      <c r="X62" s="5">
        <v>100</v>
      </c>
      <c r="Y62" s="5">
        <v>7.0000000000000007E-2</v>
      </c>
      <c r="Z62" s="4" t="s">
        <v>47</v>
      </c>
      <c r="AA62" s="5" t="s">
        <v>47</v>
      </c>
      <c r="AB62" s="4" t="s">
        <v>220</v>
      </c>
      <c r="AC62" s="4" t="s">
        <v>47</v>
      </c>
      <c r="AD62" s="5">
        <v>0</v>
      </c>
      <c r="AE62" s="4" t="s">
        <v>221</v>
      </c>
      <c r="AF62" s="3">
        <v>45474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x14ac:dyDescent="0.25">
      <c r="A63" s="2">
        <v>1891456</v>
      </c>
      <c r="B63" s="3">
        <v>46134</v>
      </c>
      <c r="C63" s="4" t="s">
        <v>123</v>
      </c>
      <c r="D63" s="2">
        <v>1773696</v>
      </c>
      <c r="E63" s="4" t="s">
        <v>249</v>
      </c>
      <c r="F63" s="4" t="s">
        <v>250</v>
      </c>
      <c r="G63" s="4" t="s">
        <v>47</v>
      </c>
      <c r="H63" s="4" t="s">
        <v>47</v>
      </c>
      <c r="I63" s="4" t="s">
        <v>47</v>
      </c>
      <c r="J63" s="4" t="s">
        <v>225</v>
      </c>
      <c r="K63" s="4" t="s">
        <v>226</v>
      </c>
      <c r="L63" s="3">
        <v>45962</v>
      </c>
      <c r="M63" s="4" t="s">
        <v>254</v>
      </c>
      <c r="N63" s="4" t="s">
        <v>47</v>
      </c>
      <c r="O63" s="4" t="s">
        <v>192</v>
      </c>
      <c r="P63" s="4" t="s">
        <v>192</v>
      </c>
      <c r="Q63" s="2">
        <v>25</v>
      </c>
      <c r="R63" s="2">
        <v>3</v>
      </c>
      <c r="S63" s="4" t="s">
        <v>209</v>
      </c>
      <c r="T63" s="4" t="s">
        <v>47</v>
      </c>
      <c r="U63" s="4" t="s">
        <v>47</v>
      </c>
      <c r="V63" s="5">
        <v>10</v>
      </c>
      <c r="W63" s="5">
        <v>0.73</v>
      </c>
      <c r="X63" s="5">
        <v>100</v>
      </c>
      <c r="Y63" s="5">
        <v>7.0000000000000007E-2</v>
      </c>
      <c r="Z63" s="4" t="s">
        <v>47</v>
      </c>
      <c r="AA63" s="5" t="s">
        <v>47</v>
      </c>
      <c r="AB63" s="4" t="s">
        <v>220</v>
      </c>
      <c r="AC63" s="4" t="s">
        <v>47</v>
      </c>
      <c r="AD63" s="5">
        <v>0</v>
      </c>
      <c r="AE63" s="4" t="s">
        <v>221</v>
      </c>
      <c r="AF63" s="3">
        <v>45474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5">
      <c r="A64" s="2">
        <v>1891456</v>
      </c>
      <c r="B64" s="3">
        <v>46134</v>
      </c>
      <c r="C64" s="4" t="s">
        <v>123</v>
      </c>
      <c r="D64" s="2">
        <v>1773696</v>
      </c>
      <c r="E64" s="4" t="s">
        <v>249</v>
      </c>
      <c r="F64" s="4" t="s">
        <v>250</v>
      </c>
      <c r="G64" s="4" t="s">
        <v>47</v>
      </c>
      <c r="H64" s="4" t="s">
        <v>47</v>
      </c>
      <c r="I64" s="4" t="s">
        <v>47</v>
      </c>
      <c r="J64" s="4" t="s">
        <v>225</v>
      </c>
      <c r="K64" s="4" t="s">
        <v>226</v>
      </c>
      <c r="L64" s="3">
        <v>45992</v>
      </c>
      <c r="M64" s="4" t="s">
        <v>255</v>
      </c>
      <c r="N64" s="4" t="s">
        <v>47</v>
      </c>
      <c r="O64" s="4" t="s">
        <v>192</v>
      </c>
      <c r="P64" s="4" t="s">
        <v>192</v>
      </c>
      <c r="Q64" s="2">
        <v>25</v>
      </c>
      <c r="R64" s="2">
        <v>3</v>
      </c>
      <c r="S64" s="4" t="s">
        <v>209</v>
      </c>
      <c r="T64" s="4" t="s">
        <v>47</v>
      </c>
      <c r="U64" s="4" t="s">
        <v>47</v>
      </c>
      <c r="V64" s="5">
        <v>10</v>
      </c>
      <c r="W64" s="5">
        <v>0.73</v>
      </c>
      <c r="X64" s="5">
        <v>100</v>
      </c>
      <c r="Y64" s="5">
        <v>7.0000000000000007E-2</v>
      </c>
      <c r="Z64" s="4" t="s">
        <v>47</v>
      </c>
      <c r="AA64" s="5" t="s">
        <v>47</v>
      </c>
      <c r="AB64" s="4" t="s">
        <v>220</v>
      </c>
      <c r="AC64" s="4" t="s">
        <v>47</v>
      </c>
      <c r="AD64" s="5">
        <v>0</v>
      </c>
      <c r="AE64" s="4" t="s">
        <v>221</v>
      </c>
      <c r="AF64" s="3">
        <v>45474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x14ac:dyDescent="0.25">
      <c r="A65" s="2">
        <v>1891456</v>
      </c>
      <c r="B65" s="3">
        <v>46134</v>
      </c>
      <c r="C65" s="4" t="s">
        <v>123</v>
      </c>
      <c r="D65" s="2">
        <v>1773696</v>
      </c>
      <c r="E65" s="4" t="s">
        <v>249</v>
      </c>
      <c r="F65" s="4" t="s">
        <v>250</v>
      </c>
      <c r="G65" s="4" t="s">
        <v>47</v>
      </c>
      <c r="H65" s="4" t="s">
        <v>47</v>
      </c>
      <c r="I65" s="4" t="s">
        <v>47</v>
      </c>
      <c r="J65" s="4" t="s">
        <v>225</v>
      </c>
      <c r="K65" s="4" t="s">
        <v>226</v>
      </c>
      <c r="L65" s="3">
        <v>46023</v>
      </c>
      <c r="M65" s="4" t="s">
        <v>65</v>
      </c>
      <c r="N65" s="4" t="s">
        <v>47</v>
      </c>
      <c r="O65" s="4" t="s">
        <v>192</v>
      </c>
      <c r="P65" s="4" t="s">
        <v>192</v>
      </c>
      <c r="Q65" s="2">
        <v>25</v>
      </c>
      <c r="R65" s="2">
        <v>3</v>
      </c>
      <c r="S65" s="4" t="s">
        <v>209</v>
      </c>
      <c r="T65" s="4" t="s">
        <v>47</v>
      </c>
      <c r="U65" s="4" t="s">
        <v>47</v>
      </c>
      <c r="V65" s="5">
        <v>10</v>
      </c>
      <c r="W65" s="5">
        <v>0.73</v>
      </c>
      <c r="X65" s="5">
        <v>100</v>
      </c>
      <c r="Y65" s="5">
        <v>7.0000000000000007E-2</v>
      </c>
      <c r="Z65" s="4" t="s">
        <v>47</v>
      </c>
      <c r="AA65" s="5" t="s">
        <v>47</v>
      </c>
      <c r="AB65" s="4" t="s">
        <v>220</v>
      </c>
      <c r="AC65" s="4" t="s">
        <v>47</v>
      </c>
      <c r="AD65" s="5">
        <v>0</v>
      </c>
      <c r="AE65" s="4" t="s">
        <v>221</v>
      </c>
      <c r="AF65" s="3">
        <v>45474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5">
      <c r="A66" s="2">
        <v>1891456</v>
      </c>
      <c r="B66" s="3">
        <v>46134</v>
      </c>
      <c r="C66" s="4" t="s">
        <v>123</v>
      </c>
      <c r="D66" s="2">
        <v>1773696</v>
      </c>
      <c r="E66" s="4" t="s">
        <v>249</v>
      </c>
      <c r="F66" s="4" t="s">
        <v>250</v>
      </c>
      <c r="G66" s="4" t="s">
        <v>47</v>
      </c>
      <c r="H66" s="4" t="s">
        <v>47</v>
      </c>
      <c r="I66" s="4" t="s">
        <v>47</v>
      </c>
      <c r="J66" s="4" t="s">
        <v>225</v>
      </c>
      <c r="K66" s="4" t="s">
        <v>226</v>
      </c>
      <c r="L66" s="3">
        <v>46054</v>
      </c>
      <c r="M66" s="4" t="s">
        <v>89</v>
      </c>
      <c r="N66" s="4" t="s">
        <v>47</v>
      </c>
      <c r="O66" s="4" t="s">
        <v>192</v>
      </c>
      <c r="P66" s="4" t="s">
        <v>192</v>
      </c>
      <c r="Q66" s="2">
        <v>25</v>
      </c>
      <c r="R66" s="2">
        <v>3</v>
      </c>
      <c r="S66" s="4" t="s">
        <v>209</v>
      </c>
      <c r="T66" s="4" t="s">
        <v>47</v>
      </c>
      <c r="U66" s="4" t="s">
        <v>47</v>
      </c>
      <c r="V66" s="5">
        <v>10</v>
      </c>
      <c r="W66" s="5">
        <v>0.73</v>
      </c>
      <c r="X66" s="5">
        <v>100</v>
      </c>
      <c r="Y66" s="5">
        <v>7.0000000000000007E-2</v>
      </c>
      <c r="Z66" s="4" t="s">
        <v>47</v>
      </c>
      <c r="AA66" s="5" t="s">
        <v>47</v>
      </c>
      <c r="AB66" s="4" t="s">
        <v>220</v>
      </c>
      <c r="AC66" s="4" t="s">
        <v>47</v>
      </c>
      <c r="AD66" s="5">
        <v>0</v>
      </c>
      <c r="AE66" s="4" t="s">
        <v>221</v>
      </c>
      <c r="AF66" s="3">
        <v>45474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spans="1:43" x14ac:dyDescent="0.25">
      <c r="A67" s="2">
        <v>1891456</v>
      </c>
      <c r="B67" s="3">
        <v>46134</v>
      </c>
      <c r="C67" s="4" t="s">
        <v>123</v>
      </c>
      <c r="D67" s="2">
        <v>1773696</v>
      </c>
      <c r="E67" s="4" t="s">
        <v>249</v>
      </c>
      <c r="F67" s="4" t="s">
        <v>250</v>
      </c>
      <c r="G67" s="4" t="s">
        <v>47</v>
      </c>
      <c r="H67" s="4" t="s">
        <v>47</v>
      </c>
      <c r="I67" s="4" t="s">
        <v>47</v>
      </c>
      <c r="J67" s="4" t="s">
        <v>225</v>
      </c>
      <c r="K67" s="4" t="s">
        <v>226</v>
      </c>
      <c r="L67" s="3">
        <v>46082</v>
      </c>
      <c r="M67" s="4" t="s">
        <v>114</v>
      </c>
      <c r="N67" s="4" t="s">
        <v>47</v>
      </c>
      <c r="O67" s="4" t="s">
        <v>192</v>
      </c>
      <c r="P67" s="4" t="s">
        <v>192</v>
      </c>
      <c r="Q67" s="2">
        <v>25</v>
      </c>
      <c r="R67" s="2">
        <v>3</v>
      </c>
      <c r="S67" s="4" t="s">
        <v>209</v>
      </c>
      <c r="T67" s="4" t="s">
        <v>47</v>
      </c>
      <c r="U67" s="4" t="s">
        <v>47</v>
      </c>
      <c r="V67" s="5">
        <v>10</v>
      </c>
      <c r="W67" s="5">
        <v>0.73</v>
      </c>
      <c r="X67" s="5">
        <v>100</v>
      </c>
      <c r="Y67" s="5">
        <v>7.0000000000000007E-2</v>
      </c>
      <c r="Z67" s="4" t="s">
        <v>47</v>
      </c>
      <c r="AA67" s="5" t="s">
        <v>47</v>
      </c>
      <c r="AB67" s="4" t="s">
        <v>220</v>
      </c>
      <c r="AC67" s="4" t="s">
        <v>47</v>
      </c>
      <c r="AD67" s="5">
        <v>0</v>
      </c>
      <c r="AE67" s="4" t="s">
        <v>221</v>
      </c>
      <c r="AF67" s="3">
        <v>45474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spans="1:43" x14ac:dyDescent="0.25">
      <c r="A68" s="2">
        <v>1891456</v>
      </c>
      <c r="B68" s="3">
        <v>46134</v>
      </c>
      <c r="C68" s="4" t="s">
        <v>123</v>
      </c>
      <c r="D68" s="2">
        <v>1773696</v>
      </c>
      <c r="E68" s="4" t="s">
        <v>249</v>
      </c>
      <c r="F68" s="4" t="s">
        <v>250</v>
      </c>
      <c r="G68" s="4" t="s">
        <v>47</v>
      </c>
      <c r="H68" s="4" t="s">
        <v>47</v>
      </c>
      <c r="I68" s="4" t="s">
        <v>47</v>
      </c>
      <c r="J68" s="4" t="s">
        <v>225</v>
      </c>
      <c r="K68" s="4" t="s">
        <v>226</v>
      </c>
      <c r="L68" s="3">
        <v>46113</v>
      </c>
      <c r="M68" s="4" t="s">
        <v>109</v>
      </c>
      <c r="N68" s="4" t="s">
        <v>47</v>
      </c>
      <c r="O68" s="4" t="s">
        <v>192</v>
      </c>
      <c r="P68" s="4" t="s">
        <v>192</v>
      </c>
      <c r="Q68" s="2">
        <v>25</v>
      </c>
      <c r="R68" s="2">
        <v>3</v>
      </c>
      <c r="S68" s="4" t="s">
        <v>209</v>
      </c>
      <c r="T68" s="4" t="s">
        <v>47</v>
      </c>
      <c r="U68" s="4" t="s">
        <v>47</v>
      </c>
      <c r="V68" s="5">
        <v>10</v>
      </c>
      <c r="W68" s="5">
        <v>0.72</v>
      </c>
      <c r="X68" s="5">
        <v>100</v>
      </c>
      <c r="Y68" s="5">
        <v>7.0000000000000007E-2</v>
      </c>
      <c r="Z68" s="4" t="s">
        <v>47</v>
      </c>
      <c r="AA68" s="5" t="s">
        <v>47</v>
      </c>
      <c r="AB68" s="4" t="s">
        <v>220</v>
      </c>
      <c r="AC68" s="4" t="s">
        <v>47</v>
      </c>
      <c r="AD68" s="5">
        <v>0</v>
      </c>
      <c r="AE68" s="4" t="s">
        <v>221</v>
      </c>
      <c r="AF68" s="3">
        <v>45474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x14ac:dyDescent="0.25">
      <c r="A69" s="2">
        <v>1891456</v>
      </c>
      <c r="B69" s="3">
        <v>46134</v>
      </c>
      <c r="C69" s="4" t="s">
        <v>256</v>
      </c>
      <c r="D69" s="2">
        <v>1775329</v>
      </c>
      <c r="E69" s="4" t="s">
        <v>257</v>
      </c>
      <c r="F69" s="4" t="s">
        <v>258</v>
      </c>
      <c r="G69" s="4" t="s">
        <v>47</v>
      </c>
      <c r="H69" s="4" t="s">
        <v>47</v>
      </c>
      <c r="I69" s="4" t="s">
        <v>47</v>
      </c>
      <c r="J69" s="4" t="s">
        <v>203</v>
      </c>
      <c r="K69" s="4" t="s">
        <v>49</v>
      </c>
      <c r="L69" s="3">
        <v>46143</v>
      </c>
      <c r="M69" s="4" t="s">
        <v>50</v>
      </c>
      <c r="N69" s="4" t="s">
        <v>47</v>
      </c>
      <c r="O69" s="4" t="s">
        <v>192</v>
      </c>
      <c r="P69" s="4" t="s">
        <v>192</v>
      </c>
      <c r="Q69" s="2">
        <v>1</v>
      </c>
      <c r="R69" s="2">
        <v>17</v>
      </c>
      <c r="S69" s="4" t="s">
        <v>52</v>
      </c>
      <c r="T69" s="4" t="s">
        <v>47</v>
      </c>
      <c r="U69" s="4" t="s">
        <v>47</v>
      </c>
      <c r="V69" s="5">
        <v>11</v>
      </c>
      <c r="W69" s="5">
        <v>126.02</v>
      </c>
      <c r="X69" s="5">
        <v>100</v>
      </c>
      <c r="Y69" s="5">
        <v>13.86</v>
      </c>
      <c r="Z69" s="5">
        <v>0</v>
      </c>
      <c r="AA69" s="5">
        <v>0</v>
      </c>
      <c r="AB69" s="4" t="s">
        <v>220</v>
      </c>
      <c r="AC69" s="4" t="s">
        <v>47</v>
      </c>
      <c r="AD69" s="5">
        <v>0</v>
      </c>
      <c r="AE69" s="4" t="s">
        <v>221</v>
      </c>
      <c r="AF69" s="3">
        <v>45566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204</v>
      </c>
    </row>
    <row r="70" spans="1:43" x14ac:dyDescent="0.25">
      <c r="A70" s="2">
        <v>1891456</v>
      </c>
      <c r="B70" s="3">
        <v>46134</v>
      </c>
      <c r="C70" s="4" t="s">
        <v>256</v>
      </c>
      <c r="D70" s="2">
        <v>1775329</v>
      </c>
      <c r="E70" s="4" t="s">
        <v>257</v>
      </c>
      <c r="F70" s="4" t="s">
        <v>258</v>
      </c>
      <c r="G70" s="4" t="s">
        <v>47</v>
      </c>
      <c r="H70" s="4" t="s">
        <v>47</v>
      </c>
      <c r="I70" s="4" t="s">
        <v>47</v>
      </c>
      <c r="J70" s="4" t="s">
        <v>203</v>
      </c>
      <c r="K70" s="4" t="s">
        <v>49</v>
      </c>
      <c r="L70" s="3">
        <v>46113</v>
      </c>
      <c r="M70" s="4" t="s">
        <v>109</v>
      </c>
      <c r="N70" s="4" t="s">
        <v>47</v>
      </c>
      <c r="O70" s="4" t="s">
        <v>192</v>
      </c>
      <c r="P70" s="4" t="s">
        <v>192</v>
      </c>
      <c r="Q70" s="2">
        <v>1</v>
      </c>
      <c r="R70" s="2">
        <v>17</v>
      </c>
      <c r="S70" s="4" t="s">
        <v>52</v>
      </c>
      <c r="T70" s="4" t="s">
        <v>47</v>
      </c>
      <c r="U70" s="4" t="s">
        <v>47</v>
      </c>
      <c r="V70" s="5">
        <v>11</v>
      </c>
      <c r="W70" s="5">
        <v>126.02</v>
      </c>
      <c r="X70" s="5">
        <v>100</v>
      </c>
      <c r="Y70" s="5">
        <v>13.86</v>
      </c>
      <c r="Z70" s="5">
        <v>0</v>
      </c>
      <c r="AA70" s="5">
        <v>0</v>
      </c>
      <c r="AB70" s="4" t="s">
        <v>220</v>
      </c>
      <c r="AC70" s="4" t="s">
        <v>47</v>
      </c>
      <c r="AD70" s="5">
        <v>0</v>
      </c>
      <c r="AE70" s="4" t="s">
        <v>221</v>
      </c>
      <c r="AF70" s="3">
        <v>45566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204</v>
      </c>
    </row>
    <row r="71" spans="1:43" x14ac:dyDescent="0.25">
      <c r="A71" s="2">
        <v>1891456</v>
      </c>
      <c r="B71" s="3">
        <v>46134</v>
      </c>
      <c r="C71" s="4" t="s">
        <v>256</v>
      </c>
      <c r="D71" s="2">
        <v>1775329</v>
      </c>
      <c r="E71" s="4" t="s">
        <v>259</v>
      </c>
      <c r="F71" s="4" t="s">
        <v>260</v>
      </c>
      <c r="G71" s="4" t="s">
        <v>47</v>
      </c>
      <c r="H71" s="4" t="s">
        <v>47</v>
      </c>
      <c r="I71" s="4" t="s">
        <v>47</v>
      </c>
      <c r="J71" s="4" t="s">
        <v>203</v>
      </c>
      <c r="K71" s="4" t="s">
        <v>49</v>
      </c>
      <c r="L71" s="3">
        <v>46143</v>
      </c>
      <c r="M71" s="4" t="s">
        <v>50</v>
      </c>
      <c r="N71" s="4" t="s">
        <v>47</v>
      </c>
      <c r="O71" s="4" t="s">
        <v>51</v>
      </c>
      <c r="P71" s="4" t="s">
        <v>192</v>
      </c>
      <c r="Q71" s="2">
        <v>1</v>
      </c>
      <c r="R71" s="2">
        <v>17</v>
      </c>
      <c r="S71" s="4" t="s">
        <v>52</v>
      </c>
      <c r="T71" s="4" t="s">
        <v>47</v>
      </c>
      <c r="U71" s="4" t="s">
        <v>47</v>
      </c>
      <c r="V71" s="5">
        <v>15</v>
      </c>
      <c r="W71" s="5">
        <v>182.57</v>
      </c>
      <c r="X71" s="5">
        <v>100</v>
      </c>
      <c r="Y71" s="5">
        <v>27.39</v>
      </c>
      <c r="Z71" s="5">
        <v>0</v>
      </c>
      <c r="AA71" s="5">
        <v>0</v>
      </c>
      <c r="AB71" s="4" t="s">
        <v>54</v>
      </c>
      <c r="AC71" s="4" t="s">
        <v>47</v>
      </c>
      <c r="AD71" s="5">
        <v>0</v>
      </c>
      <c r="AE71" s="4" t="s">
        <v>55</v>
      </c>
      <c r="AF71" s="3">
        <v>45992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204</v>
      </c>
    </row>
    <row r="72" spans="1:43" x14ac:dyDescent="0.25">
      <c r="A72" s="2">
        <v>1891456</v>
      </c>
      <c r="B72" s="3">
        <v>46134</v>
      </c>
      <c r="C72" s="4" t="s">
        <v>256</v>
      </c>
      <c r="D72" s="2">
        <v>1775329</v>
      </c>
      <c r="E72" s="4" t="s">
        <v>261</v>
      </c>
      <c r="F72" s="4" t="s">
        <v>262</v>
      </c>
      <c r="G72" s="4" t="s">
        <v>47</v>
      </c>
      <c r="H72" s="4" t="s">
        <v>47</v>
      </c>
      <c r="I72" s="4" t="s">
        <v>47</v>
      </c>
      <c r="J72" s="4" t="s">
        <v>203</v>
      </c>
      <c r="K72" s="4" t="s">
        <v>49</v>
      </c>
      <c r="L72" s="3">
        <v>46143</v>
      </c>
      <c r="M72" s="4" t="s">
        <v>50</v>
      </c>
      <c r="N72" s="4" t="s">
        <v>47</v>
      </c>
      <c r="O72" s="4" t="s">
        <v>51</v>
      </c>
      <c r="P72" s="4" t="s">
        <v>192</v>
      </c>
      <c r="Q72" s="2">
        <v>1</v>
      </c>
      <c r="R72" s="2">
        <v>17</v>
      </c>
      <c r="S72" s="4" t="s">
        <v>52</v>
      </c>
      <c r="T72" s="4" t="s">
        <v>47</v>
      </c>
      <c r="U72" s="4" t="s">
        <v>47</v>
      </c>
      <c r="V72" s="5">
        <v>15</v>
      </c>
      <c r="W72" s="5">
        <v>183.84</v>
      </c>
      <c r="X72" s="5">
        <v>100</v>
      </c>
      <c r="Y72" s="5">
        <v>27.58</v>
      </c>
      <c r="Z72" s="5">
        <v>0</v>
      </c>
      <c r="AA72" s="5">
        <v>0</v>
      </c>
      <c r="AB72" s="4" t="s">
        <v>54</v>
      </c>
      <c r="AC72" s="4" t="s">
        <v>47</v>
      </c>
      <c r="AD72" s="5">
        <v>0</v>
      </c>
      <c r="AE72" s="4" t="s">
        <v>55</v>
      </c>
      <c r="AF72" s="3">
        <v>46143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204</v>
      </c>
    </row>
    <row r="73" spans="1:43" x14ac:dyDescent="0.25">
      <c r="A73" s="2">
        <v>1891456</v>
      </c>
      <c r="B73" s="3">
        <v>46134</v>
      </c>
      <c r="C73" s="4" t="s">
        <v>163</v>
      </c>
      <c r="D73" s="2">
        <v>1831491</v>
      </c>
      <c r="E73" s="4" t="s">
        <v>263</v>
      </c>
      <c r="F73" s="4" t="s">
        <v>264</v>
      </c>
      <c r="G73" s="4" t="s">
        <v>47</v>
      </c>
      <c r="H73" s="4" t="s">
        <v>47</v>
      </c>
      <c r="I73" s="4" t="s">
        <v>47</v>
      </c>
      <c r="J73" s="4" t="s">
        <v>203</v>
      </c>
      <c r="K73" s="4" t="s">
        <v>49</v>
      </c>
      <c r="L73" s="3">
        <v>46023</v>
      </c>
      <c r="M73" s="4" t="s">
        <v>65</v>
      </c>
      <c r="N73" s="4" t="s">
        <v>47</v>
      </c>
      <c r="O73" s="4" t="s">
        <v>51</v>
      </c>
      <c r="P73" s="4" t="s">
        <v>192</v>
      </c>
      <c r="Q73" s="2">
        <v>1</v>
      </c>
      <c r="R73" s="2">
        <v>17</v>
      </c>
      <c r="S73" s="4" t="s">
        <v>52</v>
      </c>
      <c r="T73" s="4" t="s">
        <v>47</v>
      </c>
      <c r="U73" s="4" t="s">
        <v>47</v>
      </c>
      <c r="V73" s="5">
        <v>0</v>
      </c>
      <c r="W73" s="5">
        <v>-2938.64</v>
      </c>
      <c r="X73" s="5">
        <v>100</v>
      </c>
      <c r="Y73" s="5">
        <v>-16.72</v>
      </c>
      <c r="Z73" s="5">
        <v>0</v>
      </c>
      <c r="AA73" s="5">
        <v>0</v>
      </c>
      <c r="AB73" s="4" t="s">
        <v>265</v>
      </c>
      <c r="AC73" s="4" t="s">
        <v>47</v>
      </c>
      <c r="AD73" s="5">
        <v>0</v>
      </c>
      <c r="AE73" s="4" t="s">
        <v>266</v>
      </c>
      <c r="AF73" s="3">
        <v>46023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204</v>
      </c>
    </row>
    <row r="74" spans="1:43" x14ac:dyDescent="0.25">
      <c r="A74" s="2">
        <v>1891456</v>
      </c>
      <c r="B74" s="3">
        <v>46134</v>
      </c>
      <c r="C74" s="4" t="s">
        <v>163</v>
      </c>
      <c r="D74" s="2">
        <v>1831491</v>
      </c>
      <c r="E74" s="4" t="s">
        <v>267</v>
      </c>
      <c r="F74" s="4" t="s">
        <v>268</v>
      </c>
      <c r="G74" s="4" t="s">
        <v>47</v>
      </c>
      <c r="H74" s="4" t="s">
        <v>47</v>
      </c>
      <c r="I74" s="4" t="s">
        <v>47</v>
      </c>
      <c r="J74" s="4" t="s">
        <v>203</v>
      </c>
      <c r="K74" s="4" t="s">
        <v>49</v>
      </c>
      <c r="L74" s="3">
        <v>46143</v>
      </c>
      <c r="M74" s="4" t="s">
        <v>50</v>
      </c>
      <c r="N74" s="4" t="s">
        <v>47</v>
      </c>
      <c r="O74" s="4" t="s">
        <v>51</v>
      </c>
      <c r="P74" s="4" t="s">
        <v>192</v>
      </c>
      <c r="Q74" s="2">
        <v>1</v>
      </c>
      <c r="R74" s="2">
        <v>17</v>
      </c>
      <c r="S74" s="4" t="s">
        <v>52</v>
      </c>
      <c r="T74" s="4" t="s">
        <v>47</v>
      </c>
      <c r="U74" s="4" t="s">
        <v>47</v>
      </c>
      <c r="V74" s="5">
        <v>22</v>
      </c>
      <c r="W74" s="5">
        <v>155.27000000000001</v>
      </c>
      <c r="X74" s="5">
        <v>100</v>
      </c>
      <c r="Y74" s="5">
        <v>34.159999999999997</v>
      </c>
      <c r="Z74" s="5">
        <v>0</v>
      </c>
      <c r="AA74" s="5">
        <v>0</v>
      </c>
      <c r="AB74" s="4" t="s">
        <v>54</v>
      </c>
      <c r="AC74" s="4" t="s">
        <v>47</v>
      </c>
      <c r="AD74" s="5">
        <v>0</v>
      </c>
      <c r="AE74" s="4" t="s">
        <v>55</v>
      </c>
      <c r="AF74" s="3">
        <v>46113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204</v>
      </c>
    </row>
    <row r="75" spans="1:43" x14ac:dyDescent="0.25">
      <c r="A75" s="2">
        <v>1891456</v>
      </c>
      <c r="B75" s="3">
        <v>46134</v>
      </c>
      <c r="C75" s="4" t="s">
        <v>163</v>
      </c>
      <c r="D75" s="2">
        <v>1831491</v>
      </c>
      <c r="E75" s="4" t="s">
        <v>269</v>
      </c>
      <c r="F75" s="4" t="s">
        <v>270</v>
      </c>
      <c r="G75" s="4" t="s">
        <v>47</v>
      </c>
      <c r="H75" s="4" t="s">
        <v>47</v>
      </c>
      <c r="I75" s="4" t="s">
        <v>47</v>
      </c>
      <c r="J75" s="4" t="s">
        <v>203</v>
      </c>
      <c r="K75" s="4" t="s">
        <v>49</v>
      </c>
      <c r="L75" s="3">
        <v>46143</v>
      </c>
      <c r="M75" s="4" t="s">
        <v>50</v>
      </c>
      <c r="N75" s="4" t="s">
        <v>47</v>
      </c>
      <c r="O75" s="4" t="s">
        <v>51</v>
      </c>
      <c r="P75" s="4" t="s">
        <v>192</v>
      </c>
      <c r="Q75" s="2">
        <v>1</v>
      </c>
      <c r="R75" s="2">
        <v>17</v>
      </c>
      <c r="S75" s="4" t="s">
        <v>52</v>
      </c>
      <c r="T75" s="4" t="s">
        <v>47</v>
      </c>
      <c r="U75" s="4" t="s">
        <v>47</v>
      </c>
      <c r="V75" s="5">
        <v>22</v>
      </c>
      <c r="W75" s="5">
        <v>176.44</v>
      </c>
      <c r="X75" s="5">
        <v>100</v>
      </c>
      <c r="Y75" s="5">
        <v>38.82</v>
      </c>
      <c r="Z75" s="5">
        <v>0</v>
      </c>
      <c r="AA75" s="5">
        <v>0</v>
      </c>
      <c r="AB75" s="4" t="s">
        <v>54</v>
      </c>
      <c r="AC75" s="4" t="s">
        <v>47</v>
      </c>
      <c r="AD75" s="5">
        <v>0</v>
      </c>
      <c r="AE75" s="4" t="s">
        <v>55</v>
      </c>
      <c r="AF75" s="3">
        <v>46143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204</v>
      </c>
    </row>
    <row r="76" spans="1:43" x14ac:dyDescent="0.25">
      <c r="A76" s="2">
        <v>1891456</v>
      </c>
      <c r="B76" s="3">
        <v>46134</v>
      </c>
      <c r="C76" s="4" t="s">
        <v>163</v>
      </c>
      <c r="D76" s="2">
        <v>1831491</v>
      </c>
      <c r="E76" s="4" t="s">
        <v>271</v>
      </c>
      <c r="F76" s="4" t="s">
        <v>272</v>
      </c>
      <c r="G76" s="4" t="s">
        <v>47</v>
      </c>
      <c r="H76" s="4" t="s">
        <v>47</v>
      </c>
      <c r="I76" s="4" t="s">
        <v>47</v>
      </c>
      <c r="J76" s="4" t="s">
        <v>190</v>
      </c>
      <c r="K76" s="4" t="s">
        <v>191</v>
      </c>
      <c r="L76" s="3">
        <v>46143</v>
      </c>
      <c r="M76" s="4" t="s">
        <v>50</v>
      </c>
      <c r="N76" s="4" t="s">
        <v>47</v>
      </c>
      <c r="O76" s="4" t="s">
        <v>51</v>
      </c>
      <c r="P76" s="4" t="s">
        <v>192</v>
      </c>
      <c r="Q76" s="2">
        <v>1</v>
      </c>
      <c r="R76" s="2">
        <v>60</v>
      </c>
      <c r="S76" s="4" t="s">
        <v>193</v>
      </c>
      <c r="T76" s="4" t="s">
        <v>47</v>
      </c>
      <c r="U76" s="4" t="s">
        <v>47</v>
      </c>
      <c r="V76" s="5">
        <v>10</v>
      </c>
      <c r="W76" s="5">
        <v>14.93</v>
      </c>
      <c r="X76" s="5">
        <v>100</v>
      </c>
      <c r="Y76" s="5">
        <v>1.49</v>
      </c>
      <c r="Z76" s="4" t="s">
        <v>47</v>
      </c>
      <c r="AA76" s="5" t="s">
        <v>47</v>
      </c>
      <c r="AB76" s="4" t="s">
        <v>198</v>
      </c>
      <c r="AC76" s="4" t="s">
        <v>47</v>
      </c>
      <c r="AD76" s="5">
        <v>0</v>
      </c>
      <c r="AE76" s="4" t="s">
        <v>199</v>
      </c>
      <c r="AF76" s="3">
        <v>46023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47</v>
      </c>
    </row>
    <row r="77" spans="1:43" x14ac:dyDescent="0.25">
      <c r="A77" s="2">
        <v>1891456</v>
      </c>
      <c r="B77" s="3">
        <v>46134</v>
      </c>
      <c r="C77" s="4" t="s">
        <v>163</v>
      </c>
      <c r="D77" s="2">
        <v>1831491</v>
      </c>
      <c r="E77" s="4" t="s">
        <v>273</v>
      </c>
      <c r="F77" s="4" t="s">
        <v>274</v>
      </c>
      <c r="G77" s="4" t="s">
        <v>47</v>
      </c>
      <c r="H77" s="4" t="s">
        <v>47</v>
      </c>
      <c r="I77" s="4" t="s">
        <v>47</v>
      </c>
      <c r="J77" s="4" t="s">
        <v>190</v>
      </c>
      <c r="K77" s="4" t="s">
        <v>191</v>
      </c>
      <c r="L77" s="3">
        <v>46143</v>
      </c>
      <c r="M77" s="4" t="s">
        <v>50</v>
      </c>
      <c r="N77" s="4" t="s">
        <v>47</v>
      </c>
      <c r="O77" s="4" t="s">
        <v>51</v>
      </c>
      <c r="P77" s="4" t="s">
        <v>192</v>
      </c>
      <c r="Q77" s="2">
        <v>2</v>
      </c>
      <c r="R77" s="2">
        <v>60</v>
      </c>
      <c r="S77" s="4" t="s">
        <v>193</v>
      </c>
      <c r="T77" s="4" t="s">
        <v>47</v>
      </c>
      <c r="U77" s="4" t="s">
        <v>47</v>
      </c>
      <c r="V77" s="5">
        <v>10</v>
      </c>
      <c r="W77" s="5">
        <v>26.88</v>
      </c>
      <c r="X77" s="5">
        <v>100</v>
      </c>
      <c r="Y77" s="5">
        <v>2.69</v>
      </c>
      <c r="Z77" s="4" t="s">
        <v>47</v>
      </c>
      <c r="AA77" s="5" t="s">
        <v>47</v>
      </c>
      <c r="AB77" s="4" t="s">
        <v>198</v>
      </c>
      <c r="AC77" s="4" t="s">
        <v>47</v>
      </c>
      <c r="AD77" s="5">
        <v>0</v>
      </c>
      <c r="AE77" s="4" t="s">
        <v>199</v>
      </c>
      <c r="AF77" s="3">
        <v>46143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spans="1:43" x14ac:dyDescent="0.25">
      <c r="A78" s="2">
        <v>1891456</v>
      </c>
      <c r="B78" s="3">
        <v>46134</v>
      </c>
      <c r="C78" s="4" t="s">
        <v>275</v>
      </c>
      <c r="D78" s="2">
        <v>1875462</v>
      </c>
      <c r="E78" s="4" t="s">
        <v>276</v>
      </c>
      <c r="F78" s="4" t="s">
        <v>277</v>
      </c>
      <c r="G78" s="4" t="s">
        <v>47</v>
      </c>
      <c r="H78" s="4" t="s">
        <v>47</v>
      </c>
      <c r="I78" s="4" t="s">
        <v>47</v>
      </c>
      <c r="J78" s="4" t="s">
        <v>203</v>
      </c>
      <c r="K78" s="4" t="s">
        <v>49</v>
      </c>
      <c r="L78" s="3">
        <v>46143</v>
      </c>
      <c r="M78" s="4" t="s">
        <v>50</v>
      </c>
      <c r="N78" s="4" t="s">
        <v>47</v>
      </c>
      <c r="O78" s="4" t="s">
        <v>51</v>
      </c>
      <c r="P78" s="4" t="s">
        <v>192</v>
      </c>
      <c r="Q78" s="2">
        <v>1</v>
      </c>
      <c r="R78" s="2">
        <v>17</v>
      </c>
      <c r="S78" s="4" t="s">
        <v>52</v>
      </c>
      <c r="T78" s="4" t="s">
        <v>47</v>
      </c>
      <c r="U78" s="4" t="s">
        <v>47</v>
      </c>
      <c r="V78" s="5">
        <v>22</v>
      </c>
      <c r="W78" s="5">
        <v>139.5</v>
      </c>
      <c r="X78" s="5">
        <v>100</v>
      </c>
      <c r="Y78" s="5">
        <v>30.69</v>
      </c>
      <c r="Z78" s="5">
        <v>0</v>
      </c>
      <c r="AA78" s="5">
        <v>0</v>
      </c>
      <c r="AB78" s="4" t="s">
        <v>278</v>
      </c>
      <c r="AC78" s="4" t="s">
        <v>47</v>
      </c>
      <c r="AD78" s="5">
        <v>0</v>
      </c>
      <c r="AE78" s="4" t="s">
        <v>279</v>
      </c>
      <c r="AF78" s="3">
        <v>45839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204</v>
      </c>
    </row>
    <row r="79" spans="1:43" x14ac:dyDescent="0.25">
      <c r="A79" s="2">
        <v>1891456</v>
      </c>
      <c r="B79" s="3">
        <v>46134</v>
      </c>
      <c r="C79" s="4" t="s">
        <v>275</v>
      </c>
      <c r="D79" s="2">
        <v>1875462</v>
      </c>
      <c r="E79" s="4" t="s">
        <v>280</v>
      </c>
      <c r="F79" s="4" t="s">
        <v>281</v>
      </c>
      <c r="G79" s="4" t="s">
        <v>47</v>
      </c>
      <c r="H79" s="4" t="s">
        <v>47</v>
      </c>
      <c r="I79" s="4" t="s">
        <v>47</v>
      </c>
      <c r="J79" s="4" t="s">
        <v>190</v>
      </c>
      <c r="K79" s="4" t="s">
        <v>191</v>
      </c>
      <c r="L79" s="3">
        <v>46143</v>
      </c>
      <c r="M79" s="4" t="s">
        <v>50</v>
      </c>
      <c r="N79" s="4" t="s">
        <v>47</v>
      </c>
      <c r="O79" s="4" t="s">
        <v>51</v>
      </c>
      <c r="P79" s="4" t="s">
        <v>192</v>
      </c>
      <c r="Q79" s="2">
        <v>2</v>
      </c>
      <c r="R79" s="2">
        <v>60</v>
      </c>
      <c r="S79" s="4" t="s">
        <v>193</v>
      </c>
      <c r="T79" s="4" t="s">
        <v>47</v>
      </c>
      <c r="U79" s="4" t="s">
        <v>47</v>
      </c>
      <c r="V79" s="5">
        <v>10</v>
      </c>
      <c r="W79" s="5">
        <v>23.99</v>
      </c>
      <c r="X79" s="5">
        <v>100</v>
      </c>
      <c r="Y79" s="5">
        <v>2.4</v>
      </c>
      <c r="Z79" s="4" t="s">
        <v>47</v>
      </c>
      <c r="AA79" s="5" t="s">
        <v>47</v>
      </c>
      <c r="AB79" s="4" t="s">
        <v>198</v>
      </c>
      <c r="AC79" s="4" t="s">
        <v>47</v>
      </c>
      <c r="AD79" s="5">
        <v>0</v>
      </c>
      <c r="AE79" s="4" t="s">
        <v>199</v>
      </c>
      <c r="AF79" s="3">
        <v>46023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x14ac:dyDescent="0.25">
      <c r="A80" s="2">
        <v>1891456</v>
      </c>
      <c r="B80" s="3">
        <v>46134</v>
      </c>
      <c r="C80" s="4" t="s">
        <v>275</v>
      </c>
      <c r="D80" s="2">
        <v>1875462</v>
      </c>
      <c r="E80" s="4" t="s">
        <v>282</v>
      </c>
      <c r="F80" s="4" t="s">
        <v>283</v>
      </c>
      <c r="G80" s="4" t="s">
        <v>47</v>
      </c>
      <c r="H80" s="4" t="s">
        <v>47</v>
      </c>
      <c r="I80" s="4" t="s">
        <v>47</v>
      </c>
      <c r="J80" s="4" t="s">
        <v>190</v>
      </c>
      <c r="K80" s="4" t="s">
        <v>191</v>
      </c>
      <c r="L80" s="3">
        <v>46143</v>
      </c>
      <c r="M80" s="4" t="s">
        <v>50</v>
      </c>
      <c r="N80" s="4" t="s">
        <v>47</v>
      </c>
      <c r="O80" s="4" t="s">
        <v>51</v>
      </c>
      <c r="P80" s="4" t="s">
        <v>192</v>
      </c>
      <c r="Q80" s="2">
        <v>3</v>
      </c>
      <c r="R80" s="2">
        <v>60</v>
      </c>
      <c r="S80" s="4" t="s">
        <v>193</v>
      </c>
      <c r="T80" s="4" t="s">
        <v>47</v>
      </c>
      <c r="U80" s="4" t="s">
        <v>47</v>
      </c>
      <c r="V80" s="5">
        <v>10</v>
      </c>
      <c r="W80" s="5">
        <v>36.99</v>
      </c>
      <c r="X80" s="5">
        <v>100</v>
      </c>
      <c r="Y80" s="5">
        <v>3.7</v>
      </c>
      <c r="Z80" s="4" t="s">
        <v>47</v>
      </c>
      <c r="AA80" s="5" t="s">
        <v>47</v>
      </c>
      <c r="AB80" s="4" t="s">
        <v>198</v>
      </c>
      <c r="AC80" s="4" t="s">
        <v>47</v>
      </c>
      <c r="AD80" s="5">
        <v>0</v>
      </c>
      <c r="AE80" s="4" t="s">
        <v>199</v>
      </c>
      <c r="AF80" s="3">
        <v>46023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spans="1:43" x14ac:dyDescent="0.25">
      <c r="A81" s="2">
        <v>1891456</v>
      </c>
      <c r="B81" s="3">
        <v>46134</v>
      </c>
      <c r="C81" s="4" t="s">
        <v>284</v>
      </c>
      <c r="D81" s="2">
        <v>1913090</v>
      </c>
      <c r="E81" s="4" t="s">
        <v>285</v>
      </c>
      <c r="F81" s="4" t="s">
        <v>286</v>
      </c>
      <c r="G81" s="4" t="s">
        <v>47</v>
      </c>
      <c r="H81" s="4" t="s">
        <v>47</v>
      </c>
      <c r="I81" s="4" t="s">
        <v>47</v>
      </c>
      <c r="J81" s="4" t="s">
        <v>203</v>
      </c>
      <c r="K81" s="4" t="s">
        <v>49</v>
      </c>
      <c r="L81" s="3">
        <v>46143</v>
      </c>
      <c r="M81" s="4" t="s">
        <v>50</v>
      </c>
      <c r="N81" s="4" t="s">
        <v>47</v>
      </c>
      <c r="O81" s="4" t="s">
        <v>51</v>
      </c>
      <c r="P81" s="4" t="s">
        <v>192</v>
      </c>
      <c r="Q81" s="2">
        <v>1</v>
      </c>
      <c r="R81" s="2">
        <v>17</v>
      </c>
      <c r="S81" s="4" t="s">
        <v>52</v>
      </c>
      <c r="T81" s="4" t="s">
        <v>47</v>
      </c>
      <c r="U81" s="4" t="s">
        <v>47</v>
      </c>
      <c r="V81" s="5">
        <v>22</v>
      </c>
      <c r="W81" s="5">
        <v>172.45</v>
      </c>
      <c r="X81" s="5">
        <v>100</v>
      </c>
      <c r="Y81" s="5">
        <v>37.94</v>
      </c>
      <c r="Z81" s="5">
        <v>0</v>
      </c>
      <c r="AA81" s="5">
        <v>0</v>
      </c>
      <c r="AB81" s="4" t="s">
        <v>54</v>
      </c>
      <c r="AC81" s="4" t="s">
        <v>47</v>
      </c>
      <c r="AD81" s="5">
        <v>0</v>
      </c>
      <c r="AE81" s="4" t="s">
        <v>55</v>
      </c>
      <c r="AF81" s="3">
        <v>45870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204</v>
      </c>
    </row>
    <row r="82" spans="1:43" x14ac:dyDescent="0.25">
      <c r="A82" s="2">
        <v>1891456</v>
      </c>
      <c r="B82" s="3">
        <v>46134</v>
      </c>
      <c r="C82" s="4" t="s">
        <v>287</v>
      </c>
      <c r="D82" s="2">
        <v>1982315</v>
      </c>
      <c r="E82" s="4" t="s">
        <v>288</v>
      </c>
      <c r="F82" s="4" t="s">
        <v>289</v>
      </c>
      <c r="G82" s="4" t="s">
        <v>47</v>
      </c>
      <c r="H82" s="4" t="s">
        <v>47</v>
      </c>
      <c r="I82" s="4" t="s">
        <v>47</v>
      </c>
      <c r="J82" s="4" t="s">
        <v>203</v>
      </c>
      <c r="K82" s="4" t="s">
        <v>49</v>
      </c>
      <c r="L82" s="3">
        <v>46143</v>
      </c>
      <c r="M82" s="4" t="s">
        <v>50</v>
      </c>
      <c r="N82" s="4" t="s">
        <v>47</v>
      </c>
      <c r="O82" s="4" t="s">
        <v>51</v>
      </c>
      <c r="P82" s="4" t="s">
        <v>192</v>
      </c>
      <c r="Q82" s="2">
        <v>1</v>
      </c>
      <c r="R82" s="2">
        <v>17</v>
      </c>
      <c r="S82" s="4" t="s">
        <v>52</v>
      </c>
      <c r="T82" s="4" t="s">
        <v>47</v>
      </c>
      <c r="U82" s="4" t="s">
        <v>47</v>
      </c>
      <c r="V82" s="5">
        <v>22</v>
      </c>
      <c r="W82" s="5">
        <v>2544.12</v>
      </c>
      <c r="X82" s="5">
        <v>100</v>
      </c>
      <c r="Y82" s="5">
        <v>559.67999999999995</v>
      </c>
      <c r="Z82" s="5">
        <v>0</v>
      </c>
      <c r="AA82" s="5">
        <v>0</v>
      </c>
      <c r="AB82" s="4" t="s">
        <v>290</v>
      </c>
      <c r="AC82" s="4" t="s">
        <v>47</v>
      </c>
      <c r="AD82" s="5">
        <v>0</v>
      </c>
      <c r="AE82" s="4" t="s">
        <v>291</v>
      </c>
      <c r="AF82" s="3">
        <v>46143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C4F8-35C0-4B1E-B7FA-8BB0DA0B1495}">
  <dimension ref="A1:W78"/>
  <sheetViews>
    <sheetView tabSelected="1" topLeftCell="A42" workbookViewId="0">
      <selection activeCell="P2" sqref="P2:P76"/>
    </sheetView>
  </sheetViews>
  <sheetFormatPr defaultRowHeight="13.2" x14ac:dyDescent="0.25"/>
  <cols>
    <col min="1" max="1" width="24.6640625" bestFit="1" customWidth="1"/>
    <col min="2" max="2" width="17.21875" customWidth="1"/>
    <col min="3" max="3" width="28.5546875" bestFit="1" customWidth="1"/>
    <col min="4" max="4" width="13.33203125" bestFit="1" customWidth="1"/>
    <col min="5" max="6" width="11.44140625" bestFit="1" customWidth="1"/>
    <col min="7" max="8" width="15.33203125" bestFit="1" customWidth="1"/>
    <col min="9" max="9" width="13.6640625" bestFit="1" customWidth="1"/>
    <col min="10" max="10" width="9.5546875" bestFit="1" customWidth="1"/>
    <col min="11" max="11" width="15.33203125" bestFit="1" customWidth="1"/>
    <col min="12" max="12" width="11.44140625" bestFit="1" customWidth="1"/>
    <col min="13" max="13" width="13.6640625" bestFit="1" customWidth="1"/>
    <col min="14" max="14" width="13.6640625" customWidth="1"/>
    <col min="15" max="15" width="19" customWidth="1"/>
    <col min="16" max="16" width="21.33203125" bestFit="1" customWidth="1"/>
    <col min="17" max="17" width="12" bestFit="1" customWidth="1"/>
    <col min="19" max="19" width="13.33203125" bestFit="1" customWidth="1"/>
    <col min="20" max="20" width="15.33203125" bestFit="1" customWidth="1"/>
    <col min="21" max="21" width="17.33203125" customWidth="1"/>
    <col min="22" max="22" width="13.88671875" bestFit="1" customWidth="1"/>
  </cols>
  <sheetData>
    <row r="1" spans="1:2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  <c r="N1" s="1"/>
    </row>
    <row r="2" spans="1:23" s="33" customFormat="1" x14ac:dyDescent="0.25">
      <c r="A2" s="30" t="s">
        <v>94</v>
      </c>
      <c r="B2" s="33">
        <v>16849453</v>
      </c>
      <c r="C2" s="30" t="s">
        <v>95</v>
      </c>
      <c r="D2" s="30" t="s">
        <v>96</v>
      </c>
      <c r="E2" s="31">
        <v>46143</v>
      </c>
      <c r="F2" s="30" t="s">
        <v>50</v>
      </c>
      <c r="G2" s="30" t="s">
        <v>52</v>
      </c>
      <c r="H2" s="30" t="s">
        <v>53</v>
      </c>
      <c r="I2" s="32">
        <v>0.67</v>
      </c>
      <c r="J2" s="32">
        <v>1</v>
      </c>
      <c r="K2" s="32">
        <v>110</v>
      </c>
      <c r="L2" s="30" t="s">
        <v>54</v>
      </c>
      <c r="M2" s="31">
        <v>46143</v>
      </c>
      <c r="N2" s="32">
        <v>110</v>
      </c>
      <c r="O2" s="33" t="s">
        <v>306</v>
      </c>
      <c r="P2" s="34" t="s">
        <v>308</v>
      </c>
      <c r="Q2" s="33">
        <f>165/12*8</f>
        <v>110</v>
      </c>
      <c r="S2" s="30" t="s">
        <v>96</v>
      </c>
      <c r="T2" s="33" t="str">
        <f>_xlfn.CONCAT(S2,26)</f>
        <v>00000837772K26</v>
      </c>
      <c r="U2" s="30" t="s">
        <v>311</v>
      </c>
      <c r="V2" s="33" t="s">
        <v>312</v>
      </c>
      <c r="W2" s="33" t="str">
        <f>_xlfn.CONCAT(V2," ",U2)</f>
        <v>DARYL SWEARINGEN</v>
      </c>
    </row>
    <row r="3" spans="1:23" s="33" customFormat="1" x14ac:dyDescent="0.25">
      <c r="A3" s="30" t="s">
        <v>94</v>
      </c>
      <c r="B3" s="33">
        <v>16849453</v>
      </c>
      <c r="C3" s="30" t="s">
        <v>98</v>
      </c>
      <c r="D3" s="30" t="s">
        <v>99</v>
      </c>
      <c r="E3" s="31">
        <v>46143</v>
      </c>
      <c r="F3" s="30" t="s">
        <v>50</v>
      </c>
      <c r="G3" s="30" t="s">
        <v>52</v>
      </c>
      <c r="H3" s="30" t="s">
        <v>53</v>
      </c>
      <c r="I3" s="32">
        <v>0.67</v>
      </c>
      <c r="J3" s="32">
        <v>1</v>
      </c>
      <c r="K3" s="32">
        <v>110</v>
      </c>
      <c r="L3" s="30" t="s">
        <v>54</v>
      </c>
      <c r="M3" s="31">
        <v>46143</v>
      </c>
      <c r="N3" s="32">
        <v>110</v>
      </c>
      <c r="O3" s="33" t="s">
        <v>306</v>
      </c>
      <c r="P3" s="34" t="s">
        <v>308</v>
      </c>
      <c r="S3" s="30" t="s">
        <v>99</v>
      </c>
      <c r="T3" s="33" t="str">
        <f>_xlfn.CONCAT(S3,26)</f>
        <v>00000837867K26</v>
      </c>
      <c r="U3" s="30" t="s">
        <v>311</v>
      </c>
      <c r="V3" s="33" t="s">
        <v>313</v>
      </c>
      <c r="W3" s="33" t="str">
        <f>_xlfn.CONCAT(V3," ",U3)</f>
        <v>JOYCE SWEARINGEN</v>
      </c>
    </row>
    <row r="4" spans="1:23" s="33" customFormat="1" x14ac:dyDescent="0.25">
      <c r="A4" s="30" t="s">
        <v>183</v>
      </c>
      <c r="B4" s="33">
        <v>21436172</v>
      </c>
      <c r="C4" s="30" t="s">
        <v>184</v>
      </c>
      <c r="D4" s="30" t="s">
        <v>185</v>
      </c>
      <c r="E4" s="31">
        <v>46023</v>
      </c>
      <c r="F4" s="30" t="s">
        <v>65</v>
      </c>
      <c r="G4" s="30" t="s">
        <v>52</v>
      </c>
      <c r="H4" s="30" t="s">
        <v>53</v>
      </c>
      <c r="I4" s="32">
        <v>-0.75</v>
      </c>
      <c r="J4" s="32">
        <v>-1</v>
      </c>
      <c r="K4" s="32">
        <v>-123.75</v>
      </c>
      <c r="L4" s="30" t="s">
        <v>54</v>
      </c>
      <c r="M4" s="31">
        <v>46023</v>
      </c>
      <c r="N4" s="32">
        <v>-123.75</v>
      </c>
      <c r="O4" s="33" t="s">
        <v>306</v>
      </c>
      <c r="P4" s="34" t="s">
        <v>307</v>
      </c>
      <c r="Q4" s="33">
        <f>165/12*9</f>
        <v>123.75</v>
      </c>
      <c r="S4" s="30" t="s">
        <v>185</v>
      </c>
      <c r="T4" s="33" t="str">
        <f>_xlfn.CONCAT(S4,26)</f>
        <v>00023623857K26</v>
      </c>
      <c r="U4" s="30" t="s">
        <v>309</v>
      </c>
      <c r="V4" s="33" t="s">
        <v>310</v>
      </c>
      <c r="W4" s="33" t="str">
        <f>_xlfn.CONCAT(V4," ",U4)</f>
        <v>TRINA DENNIS</v>
      </c>
    </row>
    <row r="5" spans="1:23" s="28" customFormat="1" x14ac:dyDescent="0.25">
      <c r="A5" s="25" t="s">
        <v>163</v>
      </c>
      <c r="B5" s="28">
        <v>18828278</v>
      </c>
      <c r="C5" s="25" t="s">
        <v>164</v>
      </c>
      <c r="D5" s="25" t="s">
        <v>165</v>
      </c>
      <c r="E5" s="26">
        <v>46082</v>
      </c>
      <c r="F5" s="25" t="s">
        <v>114</v>
      </c>
      <c r="G5" s="25" t="s">
        <v>52</v>
      </c>
      <c r="H5" s="25" t="s">
        <v>83</v>
      </c>
      <c r="I5" s="27">
        <v>-0.67</v>
      </c>
      <c r="J5" s="27">
        <v>-1</v>
      </c>
      <c r="K5" s="27">
        <v>-231.34</v>
      </c>
      <c r="L5" s="25" t="s">
        <v>54</v>
      </c>
      <c r="M5" s="26">
        <v>46082</v>
      </c>
      <c r="N5" s="27">
        <v>-462.66</v>
      </c>
      <c r="O5" s="28" t="s">
        <v>301</v>
      </c>
      <c r="P5" s="29" t="s">
        <v>302</v>
      </c>
      <c r="Q5" s="28">
        <f>694/12*8</f>
        <v>462.66666666666669</v>
      </c>
      <c r="S5" s="25" t="s">
        <v>165</v>
      </c>
      <c r="T5" s="28" t="str">
        <f>_xlfn.CONCAT(S5,77)</f>
        <v>00023808539K77</v>
      </c>
      <c r="U5" s="25" t="s">
        <v>319</v>
      </c>
      <c r="V5" s="28" t="s">
        <v>320</v>
      </c>
      <c r="W5" s="28" t="str">
        <f>_xlfn.CONCAT(V5," ",U5)</f>
        <v>LARRY GREEN</v>
      </c>
    </row>
    <row r="6" spans="1:23" s="28" customFormat="1" x14ac:dyDescent="0.25">
      <c r="A6" s="25" t="s">
        <v>176</v>
      </c>
      <c r="B6" s="28">
        <v>21646325</v>
      </c>
      <c r="C6" s="25" t="s">
        <v>177</v>
      </c>
      <c r="D6" s="25" t="s">
        <v>178</v>
      </c>
      <c r="E6" s="26">
        <v>46082</v>
      </c>
      <c r="F6" s="25" t="s">
        <v>114</v>
      </c>
      <c r="G6" s="25" t="s">
        <v>52</v>
      </c>
      <c r="H6" s="25" t="s">
        <v>83</v>
      </c>
      <c r="I6" s="27">
        <v>0</v>
      </c>
      <c r="J6" s="27">
        <v>-1</v>
      </c>
      <c r="K6" s="27">
        <v>-404.83</v>
      </c>
      <c r="L6" s="25" t="s">
        <v>115</v>
      </c>
      <c r="M6" s="26">
        <v>46082</v>
      </c>
      <c r="N6" s="27">
        <v>-694</v>
      </c>
      <c r="O6" s="28" t="s">
        <v>301</v>
      </c>
      <c r="P6" s="29" t="s">
        <v>303</v>
      </c>
      <c r="S6" s="25" t="s">
        <v>178</v>
      </c>
      <c r="T6" s="28" t="str">
        <f>_xlfn.CONCAT(S6,77)</f>
        <v>00024848882K77</v>
      </c>
      <c r="U6" s="25" t="s">
        <v>317</v>
      </c>
      <c r="V6" s="28" t="s">
        <v>318</v>
      </c>
      <c r="W6" s="28" t="str">
        <f>_xlfn.CONCAT(V6," ",U6)</f>
        <v>JULIETA DUARTE</v>
      </c>
    </row>
    <row r="7" spans="1:23" s="28" customFormat="1" x14ac:dyDescent="0.25">
      <c r="A7" s="25" t="s">
        <v>110</v>
      </c>
      <c r="B7" s="28">
        <v>9213293</v>
      </c>
      <c r="C7" s="25" t="s">
        <v>111</v>
      </c>
      <c r="D7" s="25" t="s">
        <v>112</v>
      </c>
      <c r="E7" s="26">
        <v>46082</v>
      </c>
      <c r="F7" s="25" t="s">
        <v>114</v>
      </c>
      <c r="G7" s="25" t="s">
        <v>52</v>
      </c>
      <c r="H7" s="25" t="s">
        <v>83</v>
      </c>
      <c r="I7" s="27">
        <v>0</v>
      </c>
      <c r="J7" s="27">
        <v>-1</v>
      </c>
      <c r="K7" s="27">
        <v>-404.83</v>
      </c>
      <c r="L7" s="25" t="s">
        <v>115</v>
      </c>
      <c r="M7" s="26">
        <v>46082</v>
      </c>
      <c r="N7" s="27">
        <v>-694</v>
      </c>
      <c r="O7" s="28" t="s">
        <v>301</v>
      </c>
      <c r="P7" s="29" t="s">
        <v>303</v>
      </c>
      <c r="S7" s="25" t="s">
        <v>112</v>
      </c>
      <c r="T7" s="28" t="str">
        <f>_xlfn.CONCAT(S7,77)</f>
        <v>00026168351K77</v>
      </c>
      <c r="U7" s="25" t="s">
        <v>314</v>
      </c>
      <c r="V7" s="28" t="s">
        <v>313</v>
      </c>
      <c r="W7" s="28" t="str">
        <f>_xlfn.CONCAT(V7," ",U7)</f>
        <v>JOYCE BROWN</v>
      </c>
    </row>
    <row r="8" spans="1:23" s="28" customFormat="1" x14ac:dyDescent="0.25">
      <c r="A8" s="25" t="s">
        <v>138</v>
      </c>
      <c r="B8" s="28">
        <v>19200754</v>
      </c>
      <c r="C8" s="25" t="s">
        <v>142</v>
      </c>
      <c r="D8" s="25" t="s">
        <v>143</v>
      </c>
      <c r="E8" s="26">
        <v>46082</v>
      </c>
      <c r="F8" s="25" t="s">
        <v>114</v>
      </c>
      <c r="G8" s="25" t="s">
        <v>52</v>
      </c>
      <c r="H8" s="25" t="s">
        <v>83</v>
      </c>
      <c r="I8" s="27">
        <v>0</v>
      </c>
      <c r="J8" s="27">
        <v>-1</v>
      </c>
      <c r="K8" s="27">
        <v>-404.83</v>
      </c>
      <c r="L8" s="25" t="s">
        <v>115</v>
      </c>
      <c r="M8" s="26">
        <v>46082</v>
      </c>
      <c r="N8" s="27">
        <v>-694</v>
      </c>
      <c r="O8" s="28" t="s">
        <v>301</v>
      </c>
      <c r="P8" s="29" t="s">
        <v>303</v>
      </c>
      <c r="S8" s="25" t="s">
        <v>143</v>
      </c>
      <c r="T8" s="28" t="str">
        <f>_xlfn.CONCAT(S8,77)</f>
        <v>00026173515K77</v>
      </c>
      <c r="U8" s="25" t="s">
        <v>315</v>
      </c>
      <c r="V8" s="28" t="s">
        <v>316</v>
      </c>
      <c r="W8" s="28" t="str">
        <f>_xlfn.CONCAT(V8," ",U8)</f>
        <v>JOHN CARDONE</v>
      </c>
    </row>
    <row r="9" spans="1:23" s="28" customFormat="1" x14ac:dyDescent="0.25">
      <c r="A9" s="25" t="s">
        <v>138</v>
      </c>
      <c r="B9" s="28">
        <v>19200754</v>
      </c>
      <c r="C9" s="25" t="s">
        <v>139</v>
      </c>
      <c r="D9" s="25" t="s">
        <v>140</v>
      </c>
      <c r="E9" s="26">
        <v>46113</v>
      </c>
      <c r="F9" s="25" t="s">
        <v>109</v>
      </c>
      <c r="G9" s="25" t="s">
        <v>52</v>
      </c>
      <c r="H9" s="25" t="s">
        <v>83</v>
      </c>
      <c r="I9" s="27">
        <v>0</v>
      </c>
      <c r="J9" s="27">
        <v>-1</v>
      </c>
      <c r="K9" s="27">
        <v>-433.75</v>
      </c>
      <c r="L9" s="25" t="s">
        <v>115</v>
      </c>
      <c r="M9" s="26">
        <v>46113</v>
      </c>
      <c r="N9" s="27">
        <v>-694</v>
      </c>
      <c r="O9" s="28" t="s">
        <v>301</v>
      </c>
      <c r="P9" s="29" t="s">
        <v>303</v>
      </c>
      <c r="S9" s="25" t="s">
        <v>140</v>
      </c>
      <c r="T9" s="28" t="str">
        <f>_xlfn.CONCAT(S9,77)</f>
        <v>00026104690K77</v>
      </c>
      <c r="U9" s="25" t="s">
        <v>321</v>
      </c>
      <c r="V9" s="28" t="s">
        <v>322</v>
      </c>
      <c r="W9" s="28" t="str">
        <f>_xlfn.CONCAT(V9," ",U9)</f>
        <v>ERRIN AUXIER</v>
      </c>
    </row>
    <row r="10" spans="1:23" s="17" customFormat="1" x14ac:dyDescent="0.25">
      <c r="A10" s="14" t="s">
        <v>163</v>
      </c>
      <c r="B10" s="17">
        <v>18828278</v>
      </c>
      <c r="C10" s="14" t="s">
        <v>267</v>
      </c>
      <c r="D10" s="14" t="s">
        <v>268</v>
      </c>
      <c r="E10" s="15">
        <v>46143</v>
      </c>
      <c r="F10" s="14" t="s">
        <v>50</v>
      </c>
      <c r="G10" s="14" t="s">
        <v>52</v>
      </c>
      <c r="H10" s="14" t="s">
        <v>47</v>
      </c>
      <c r="I10" s="16">
        <v>22</v>
      </c>
      <c r="J10" s="16">
        <v>155.27000000000001</v>
      </c>
      <c r="K10" s="16">
        <v>34.159999999999997</v>
      </c>
      <c r="L10" s="14" t="s">
        <v>54</v>
      </c>
      <c r="M10" s="15">
        <v>46113</v>
      </c>
      <c r="N10" s="16">
        <v>34.159999999999997</v>
      </c>
      <c r="O10" s="17" t="s">
        <v>296</v>
      </c>
      <c r="S10" s="14" t="s">
        <v>268</v>
      </c>
      <c r="T10" s="17" t="str">
        <f>_xlfn.CONCAT(S10,8)</f>
        <v>00001156583A8</v>
      </c>
      <c r="U10" s="14" t="s">
        <v>331</v>
      </c>
      <c r="V10" s="17" t="s">
        <v>332</v>
      </c>
      <c r="W10" s="17" t="str">
        <f>_xlfn.CONCAT(V10," ",U10)</f>
        <v>RANDALL STRAIT</v>
      </c>
    </row>
    <row r="11" spans="1:23" s="17" customFormat="1" x14ac:dyDescent="0.25">
      <c r="A11" s="14" t="s">
        <v>163</v>
      </c>
      <c r="B11" s="17">
        <v>18828278</v>
      </c>
      <c r="C11" s="14" t="s">
        <v>269</v>
      </c>
      <c r="D11" s="14" t="s">
        <v>270</v>
      </c>
      <c r="E11" s="15">
        <v>46143</v>
      </c>
      <c r="F11" s="14" t="s">
        <v>50</v>
      </c>
      <c r="G11" s="14" t="s">
        <v>52</v>
      </c>
      <c r="H11" s="14" t="s">
        <v>47</v>
      </c>
      <c r="I11" s="16">
        <v>22</v>
      </c>
      <c r="J11" s="16">
        <v>176.44</v>
      </c>
      <c r="K11" s="16">
        <v>38.82</v>
      </c>
      <c r="L11" s="14" t="s">
        <v>54</v>
      </c>
      <c r="M11" s="15">
        <v>46143</v>
      </c>
      <c r="N11" s="16">
        <v>38.82</v>
      </c>
      <c r="O11" s="17" t="s">
        <v>296</v>
      </c>
      <c r="S11" s="14" t="s">
        <v>270</v>
      </c>
      <c r="T11" s="17" t="str">
        <f>_xlfn.CONCAT(S11,8)</f>
        <v>00001162856A8</v>
      </c>
      <c r="U11" s="14" t="s">
        <v>333</v>
      </c>
      <c r="V11" s="17" t="s">
        <v>334</v>
      </c>
      <c r="W11" s="17" t="str">
        <f>_xlfn.CONCAT(V11," ",U11)</f>
        <v>MICHAEL KILEY</v>
      </c>
    </row>
    <row r="12" spans="1:23" s="17" customFormat="1" x14ac:dyDescent="0.25">
      <c r="A12" s="14" t="s">
        <v>200</v>
      </c>
      <c r="B12" s="17">
        <v>7146581</v>
      </c>
      <c r="C12" s="14" t="s">
        <v>201</v>
      </c>
      <c r="D12" s="14" t="s">
        <v>202</v>
      </c>
      <c r="E12" s="15">
        <v>46143</v>
      </c>
      <c r="F12" s="14" t="s">
        <v>50</v>
      </c>
      <c r="G12" s="14" t="s">
        <v>52</v>
      </c>
      <c r="H12" s="14" t="s">
        <v>47</v>
      </c>
      <c r="I12" s="16">
        <v>22</v>
      </c>
      <c r="J12" s="16">
        <v>162.66</v>
      </c>
      <c r="K12" s="16">
        <v>35.79</v>
      </c>
      <c r="L12" s="14" t="s">
        <v>54</v>
      </c>
      <c r="M12" s="15">
        <v>45809</v>
      </c>
      <c r="N12" s="16">
        <v>35.79</v>
      </c>
      <c r="O12" s="17" t="s">
        <v>296</v>
      </c>
      <c r="S12" s="14" t="s">
        <v>202</v>
      </c>
      <c r="T12" s="17" t="str">
        <f>_xlfn.CONCAT(S12,8)</f>
        <v>00001001114A8</v>
      </c>
      <c r="U12" s="14" t="s">
        <v>323</v>
      </c>
      <c r="V12" s="17" t="s">
        <v>313</v>
      </c>
      <c r="W12" s="17" t="str">
        <f>_xlfn.CONCAT(V12," ",U12)</f>
        <v>JOYCE KOSS</v>
      </c>
    </row>
    <row r="13" spans="1:23" s="17" customFormat="1" x14ac:dyDescent="0.25">
      <c r="A13" s="14" t="s">
        <v>200</v>
      </c>
      <c r="B13" s="17">
        <v>7146581</v>
      </c>
      <c r="C13" s="14" t="s">
        <v>205</v>
      </c>
      <c r="D13" s="14" t="s">
        <v>206</v>
      </c>
      <c r="E13" s="15">
        <v>46143</v>
      </c>
      <c r="F13" s="14" t="s">
        <v>50</v>
      </c>
      <c r="G13" s="14" t="s">
        <v>52</v>
      </c>
      <c r="H13" s="14" t="s">
        <v>47</v>
      </c>
      <c r="I13" s="16">
        <v>22</v>
      </c>
      <c r="J13" s="16">
        <v>177.81</v>
      </c>
      <c r="K13" s="16">
        <v>39.119999999999997</v>
      </c>
      <c r="L13" s="14" t="s">
        <v>54</v>
      </c>
      <c r="M13" s="15">
        <v>45809</v>
      </c>
      <c r="N13" s="16">
        <v>39.119999999999997</v>
      </c>
      <c r="O13" s="17" t="s">
        <v>296</v>
      </c>
      <c r="S13" s="14" t="s">
        <v>206</v>
      </c>
      <c r="T13" s="17" t="str">
        <f>_xlfn.CONCAT(S13,8)</f>
        <v>00001001591A8</v>
      </c>
      <c r="U13" s="14" t="s">
        <v>323</v>
      </c>
      <c r="V13" s="17" t="s">
        <v>324</v>
      </c>
      <c r="W13" s="17" t="str">
        <f>_xlfn.CONCAT(V13," ",U13)</f>
        <v>WILLIAM KOSS</v>
      </c>
    </row>
    <row r="14" spans="1:23" s="17" customFormat="1" x14ac:dyDescent="0.25">
      <c r="A14" s="14" t="s">
        <v>232</v>
      </c>
      <c r="B14" s="17">
        <v>17528908</v>
      </c>
      <c r="C14" s="14" t="s">
        <v>235</v>
      </c>
      <c r="D14" s="14" t="s">
        <v>236</v>
      </c>
      <c r="E14" s="15">
        <v>46143</v>
      </c>
      <c r="F14" s="14" t="s">
        <v>50</v>
      </c>
      <c r="G14" s="14" t="s">
        <v>52</v>
      </c>
      <c r="H14" s="14" t="s">
        <v>47</v>
      </c>
      <c r="I14" s="16">
        <v>22</v>
      </c>
      <c r="J14" s="16">
        <v>110.73</v>
      </c>
      <c r="K14" s="16">
        <v>24.36</v>
      </c>
      <c r="L14" s="14" t="s">
        <v>213</v>
      </c>
      <c r="M14" s="15">
        <v>45444</v>
      </c>
      <c r="N14" s="16">
        <v>24.36</v>
      </c>
      <c r="O14" s="17" t="s">
        <v>296</v>
      </c>
      <c r="S14" s="14" t="s">
        <v>236</v>
      </c>
      <c r="T14" s="17" t="str">
        <f>_xlfn.CONCAT(S14,8)</f>
        <v>00000828881A8</v>
      </c>
      <c r="U14" s="14" t="s">
        <v>327</v>
      </c>
      <c r="V14" s="17" t="s">
        <v>328</v>
      </c>
      <c r="W14" s="17" t="str">
        <f>_xlfn.CONCAT(V14," ",U14)</f>
        <v>KAREN CARDOSI</v>
      </c>
    </row>
    <row r="15" spans="1:23" s="17" customFormat="1" x14ac:dyDescent="0.25">
      <c r="A15" s="14" t="s">
        <v>232</v>
      </c>
      <c r="B15" s="17">
        <v>17528908</v>
      </c>
      <c r="C15" s="14" t="s">
        <v>237</v>
      </c>
      <c r="D15" s="14" t="s">
        <v>238</v>
      </c>
      <c r="E15" s="15">
        <v>46113</v>
      </c>
      <c r="F15" s="14" t="s">
        <v>109</v>
      </c>
      <c r="G15" s="14" t="s">
        <v>52</v>
      </c>
      <c r="H15" s="14" t="s">
        <v>47</v>
      </c>
      <c r="I15" s="16">
        <v>22</v>
      </c>
      <c r="J15" s="16">
        <v>146.72999999999999</v>
      </c>
      <c r="K15" s="16">
        <v>32.28</v>
      </c>
      <c r="L15" s="14" t="s">
        <v>213</v>
      </c>
      <c r="M15" s="15">
        <v>45444</v>
      </c>
      <c r="N15" s="16">
        <v>32.28</v>
      </c>
      <c r="O15" s="17" t="s">
        <v>296</v>
      </c>
      <c r="S15" s="14" t="s">
        <v>238</v>
      </c>
      <c r="T15" s="17" t="str">
        <f>_xlfn.CONCAT(S15,8)</f>
        <v>00000840020A8</v>
      </c>
      <c r="U15" s="14" t="s">
        <v>329</v>
      </c>
      <c r="V15" s="17" t="s">
        <v>330</v>
      </c>
      <c r="W15" s="17" t="str">
        <f>_xlfn.CONCAT(V15," ",U15)</f>
        <v>PHILIP SZOST</v>
      </c>
    </row>
    <row r="16" spans="1:23" s="17" customFormat="1" x14ac:dyDescent="0.25">
      <c r="A16" s="14" t="s">
        <v>275</v>
      </c>
      <c r="B16" s="36" t="s">
        <v>429</v>
      </c>
      <c r="C16" s="14" t="s">
        <v>276</v>
      </c>
      <c r="D16" s="14" t="s">
        <v>277</v>
      </c>
      <c r="E16" s="15">
        <v>46143</v>
      </c>
      <c r="F16" s="14" t="s">
        <v>50</v>
      </c>
      <c r="G16" s="14" t="s">
        <v>52</v>
      </c>
      <c r="H16" s="14" t="s">
        <v>47</v>
      </c>
      <c r="I16" s="16">
        <v>22</v>
      </c>
      <c r="J16" s="16">
        <v>139.5</v>
      </c>
      <c r="K16" s="16">
        <v>30.69</v>
      </c>
      <c r="L16" s="14" t="s">
        <v>278</v>
      </c>
      <c r="M16" s="15">
        <v>45839</v>
      </c>
      <c r="N16" s="16">
        <v>30.69</v>
      </c>
      <c r="O16" s="17" t="s">
        <v>296</v>
      </c>
      <c r="S16" s="14" t="s">
        <v>277</v>
      </c>
      <c r="T16" s="17" t="str">
        <f>_xlfn.CONCAT(S16,8)</f>
        <v>00001012382A8</v>
      </c>
      <c r="U16" s="14" t="s">
        <v>335</v>
      </c>
      <c r="V16" s="17" t="s">
        <v>336</v>
      </c>
      <c r="W16" s="17" t="str">
        <f>_xlfn.CONCAT(V16," ",U16)</f>
        <v>RUSTY BROWELL</v>
      </c>
    </row>
    <row r="17" spans="1:23" s="17" customFormat="1" x14ac:dyDescent="0.25">
      <c r="A17" s="14" t="s">
        <v>217</v>
      </c>
      <c r="B17" s="17">
        <v>9079571</v>
      </c>
      <c r="C17" s="14" t="s">
        <v>218</v>
      </c>
      <c r="D17" s="14" t="s">
        <v>219</v>
      </c>
      <c r="E17" s="15">
        <v>46113</v>
      </c>
      <c r="F17" s="14" t="s">
        <v>109</v>
      </c>
      <c r="G17" s="14" t="s">
        <v>52</v>
      </c>
      <c r="H17" s="14" t="s">
        <v>47</v>
      </c>
      <c r="I17" s="16">
        <v>22</v>
      </c>
      <c r="J17" s="16">
        <v>132.55000000000001</v>
      </c>
      <c r="K17" s="16">
        <v>29.16</v>
      </c>
      <c r="L17" s="14" t="s">
        <v>220</v>
      </c>
      <c r="M17" s="15">
        <v>45689</v>
      </c>
      <c r="N17" s="16">
        <v>29.16</v>
      </c>
      <c r="O17" s="17" t="s">
        <v>296</v>
      </c>
      <c r="S17" s="14" t="s">
        <v>219</v>
      </c>
      <c r="T17" s="17" t="str">
        <f>_xlfn.CONCAT(S17,8)</f>
        <v>00000957662A8</v>
      </c>
      <c r="U17" s="14" t="s">
        <v>325</v>
      </c>
      <c r="V17" s="17" t="s">
        <v>326</v>
      </c>
      <c r="W17" s="17" t="str">
        <f>_xlfn.CONCAT(V17," ",U17)</f>
        <v>CHARLES SIMS</v>
      </c>
    </row>
    <row r="18" spans="1:23" s="17" customFormat="1" x14ac:dyDescent="0.25">
      <c r="A18" s="14" t="s">
        <v>287</v>
      </c>
      <c r="B18" s="17">
        <v>21618313</v>
      </c>
      <c r="C18" s="14" t="s">
        <v>288</v>
      </c>
      <c r="D18" s="14" t="s">
        <v>289</v>
      </c>
      <c r="E18" s="15">
        <v>46143</v>
      </c>
      <c r="F18" s="14" t="s">
        <v>50</v>
      </c>
      <c r="G18" s="14" t="s">
        <v>52</v>
      </c>
      <c r="H18" s="14" t="s">
        <v>47</v>
      </c>
      <c r="I18" s="16">
        <v>22</v>
      </c>
      <c r="J18" s="16">
        <v>2544.12</v>
      </c>
      <c r="K18" s="16">
        <v>559.67999999999995</v>
      </c>
      <c r="L18" s="14" t="s">
        <v>290</v>
      </c>
      <c r="M18" s="15">
        <v>46143</v>
      </c>
      <c r="N18" s="16">
        <v>559.67999999999995</v>
      </c>
      <c r="O18" s="17" t="s">
        <v>296</v>
      </c>
      <c r="S18" s="14" t="s">
        <v>289</v>
      </c>
      <c r="T18" s="17" t="str">
        <f>_xlfn.CONCAT(S18,8)</f>
        <v>00001159253A8</v>
      </c>
      <c r="U18" s="14" t="s">
        <v>339</v>
      </c>
      <c r="V18" s="17" t="s">
        <v>340</v>
      </c>
      <c r="W18" s="17" t="str">
        <f>_xlfn.CONCAT(V18," ",U18)</f>
        <v>THOMAS TOBOLSKI</v>
      </c>
    </row>
    <row r="19" spans="1:23" s="17" customFormat="1" x14ac:dyDescent="0.25">
      <c r="A19" s="14" t="s">
        <v>284</v>
      </c>
      <c r="B19" s="36" t="s">
        <v>431</v>
      </c>
      <c r="C19" s="14" t="s">
        <v>285</v>
      </c>
      <c r="D19" s="14" t="s">
        <v>286</v>
      </c>
      <c r="E19" s="15">
        <v>46143</v>
      </c>
      <c r="F19" s="14" t="s">
        <v>50</v>
      </c>
      <c r="G19" s="14" t="s">
        <v>52</v>
      </c>
      <c r="H19" s="14" t="s">
        <v>47</v>
      </c>
      <c r="I19" s="16">
        <v>22</v>
      </c>
      <c r="J19" s="16">
        <v>172.45</v>
      </c>
      <c r="K19" s="16">
        <v>37.94</v>
      </c>
      <c r="L19" s="14" t="s">
        <v>54</v>
      </c>
      <c r="M19" s="15">
        <v>45870</v>
      </c>
      <c r="N19" s="16">
        <v>37.94</v>
      </c>
      <c r="O19" s="17" t="s">
        <v>296</v>
      </c>
      <c r="S19" s="14" t="s">
        <v>286</v>
      </c>
      <c r="T19" s="17" t="str">
        <f>_xlfn.CONCAT(S19,8)</f>
        <v>00001030218A8</v>
      </c>
      <c r="U19" s="14" t="s">
        <v>337</v>
      </c>
      <c r="V19" s="17" t="s">
        <v>338</v>
      </c>
      <c r="W19" s="17" t="str">
        <f>_xlfn.CONCAT(V19," ",U19)</f>
        <v>SCOTT WALKER</v>
      </c>
    </row>
    <row r="20" spans="1:23" s="17" customFormat="1" x14ac:dyDescent="0.25">
      <c r="A20" s="14" t="s">
        <v>256</v>
      </c>
      <c r="B20" s="17">
        <v>5442438</v>
      </c>
      <c r="C20" s="14" t="s">
        <v>257</v>
      </c>
      <c r="D20" s="14" t="s">
        <v>258</v>
      </c>
      <c r="E20" s="15">
        <v>46143</v>
      </c>
      <c r="F20" s="14" t="s">
        <v>50</v>
      </c>
      <c r="G20" s="14" t="s">
        <v>52</v>
      </c>
      <c r="H20" s="14" t="s">
        <v>47</v>
      </c>
      <c r="I20" s="16">
        <v>11</v>
      </c>
      <c r="J20" s="16">
        <v>126.02</v>
      </c>
      <c r="K20" s="16">
        <v>13.86</v>
      </c>
      <c r="L20" s="14" t="s">
        <v>220</v>
      </c>
      <c r="M20" s="15">
        <v>45566</v>
      </c>
      <c r="N20" s="16">
        <v>13.86</v>
      </c>
      <c r="O20" s="17" t="s">
        <v>294</v>
      </c>
      <c r="S20" s="14" t="s">
        <v>258</v>
      </c>
      <c r="T20" s="17" t="str">
        <f>_xlfn.CONCAT(S20,8)</f>
        <v>00000873538A8</v>
      </c>
      <c r="U20" s="14" t="s">
        <v>341</v>
      </c>
      <c r="V20" s="17" t="s">
        <v>342</v>
      </c>
      <c r="W20" s="17" t="str">
        <f>_xlfn.CONCAT(V20," ",U20)</f>
        <v>SUSAN ASCHE</v>
      </c>
    </row>
    <row r="21" spans="1:23" s="17" customFormat="1" x14ac:dyDescent="0.25">
      <c r="A21" s="14" t="s">
        <v>256</v>
      </c>
      <c r="B21" s="17">
        <v>5442438</v>
      </c>
      <c r="C21" s="14" t="s">
        <v>257</v>
      </c>
      <c r="D21" s="14" t="s">
        <v>258</v>
      </c>
      <c r="E21" s="15">
        <v>46113</v>
      </c>
      <c r="F21" s="14" t="s">
        <v>109</v>
      </c>
      <c r="G21" s="14" t="s">
        <v>52</v>
      </c>
      <c r="H21" s="14" t="s">
        <v>47</v>
      </c>
      <c r="I21" s="16">
        <v>11</v>
      </c>
      <c r="J21" s="16">
        <v>126.02</v>
      </c>
      <c r="K21" s="16">
        <v>13.86</v>
      </c>
      <c r="L21" s="14" t="s">
        <v>220</v>
      </c>
      <c r="M21" s="15">
        <v>45566</v>
      </c>
      <c r="N21" s="16">
        <v>13.86</v>
      </c>
      <c r="O21" s="17" t="s">
        <v>294</v>
      </c>
      <c r="S21" s="14" t="s">
        <v>258</v>
      </c>
      <c r="T21" s="17" t="str">
        <f>_xlfn.CONCAT(S21,8)</f>
        <v>00000873538A8</v>
      </c>
      <c r="U21" s="14" t="s">
        <v>341</v>
      </c>
      <c r="V21" s="17" t="s">
        <v>342</v>
      </c>
      <c r="W21" s="17" t="str">
        <f>_xlfn.CONCAT(V21," ",U21)</f>
        <v>SUSAN ASCHE</v>
      </c>
    </row>
    <row r="22" spans="1:23" s="17" customFormat="1" x14ac:dyDescent="0.25">
      <c r="A22" s="14" t="s">
        <v>210</v>
      </c>
      <c r="B22" s="17">
        <v>15278437</v>
      </c>
      <c r="C22" s="14" t="s">
        <v>211</v>
      </c>
      <c r="D22" s="14" t="s">
        <v>212</v>
      </c>
      <c r="E22" s="15">
        <v>46143</v>
      </c>
      <c r="F22" s="14" t="s">
        <v>50</v>
      </c>
      <c r="G22" s="14" t="s">
        <v>52</v>
      </c>
      <c r="H22" s="14" t="s">
        <v>47</v>
      </c>
      <c r="I22" s="16">
        <v>26</v>
      </c>
      <c r="J22" s="16">
        <v>164.25</v>
      </c>
      <c r="K22" s="16">
        <v>42.71</v>
      </c>
      <c r="L22" s="14" t="s">
        <v>213</v>
      </c>
      <c r="M22" s="15">
        <v>45261</v>
      </c>
      <c r="N22" s="16">
        <v>42.71</v>
      </c>
      <c r="O22" s="17" t="s">
        <v>297</v>
      </c>
      <c r="S22" s="14" t="s">
        <v>212</v>
      </c>
      <c r="T22" s="17" t="str">
        <f>_xlfn.CONCAT(S22,8)</f>
        <v>00000779014A8</v>
      </c>
      <c r="U22" s="14" t="s">
        <v>343</v>
      </c>
      <c r="V22" s="17" t="s">
        <v>344</v>
      </c>
      <c r="W22" s="17" t="str">
        <f>_xlfn.CONCAT(V22," ",U22)</f>
        <v>STEVE MOFFAT</v>
      </c>
    </row>
    <row r="23" spans="1:23" s="17" customFormat="1" x14ac:dyDescent="0.25">
      <c r="A23" s="14" t="s">
        <v>232</v>
      </c>
      <c r="B23" s="17">
        <v>17528908</v>
      </c>
      <c r="C23" s="14" t="s">
        <v>233</v>
      </c>
      <c r="D23" s="14" t="s">
        <v>234</v>
      </c>
      <c r="E23" s="15">
        <v>46143</v>
      </c>
      <c r="F23" s="14" t="s">
        <v>50</v>
      </c>
      <c r="G23" s="14" t="s">
        <v>52</v>
      </c>
      <c r="H23" s="14" t="s">
        <v>47</v>
      </c>
      <c r="I23" s="16">
        <v>26</v>
      </c>
      <c r="J23" s="16">
        <v>307</v>
      </c>
      <c r="K23" s="16">
        <v>79.819999999999993</v>
      </c>
      <c r="L23" s="14" t="s">
        <v>213</v>
      </c>
      <c r="M23" s="15">
        <v>45292</v>
      </c>
      <c r="N23" s="16">
        <v>79.819999999999993</v>
      </c>
      <c r="O23" s="17" t="s">
        <v>297</v>
      </c>
      <c r="S23" s="14" t="s">
        <v>234</v>
      </c>
      <c r="T23" s="17" t="str">
        <f>_xlfn.CONCAT(S23,8)</f>
        <v>00000789641A8</v>
      </c>
      <c r="U23" s="14" t="s">
        <v>345</v>
      </c>
      <c r="V23" s="17" t="s">
        <v>346</v>
      </c>
      <c r="W23" s="17" t="str">
        <f>_xlfn.CONCAT(V23," ",U23)</f>
        <v>DAVID SCHUBERT</v>
      </c>
    </row>
    <row r="24" spans="1:23" s="17" customFormat="1" x14ac:dyDescent="0.25">
      <c r="A24" s="14" t="s">
        <v>227</v>
      </c>
      <c r="B24" s="17">
        <v>16202925</v>
      </c>
      <c r="C24" s="14" t="s">
        <v>228</v>
      </c>
      <c r="D24" s="14" t="s">
        <v>229</v>
      </c>
      <c r="E24" s="15">
        <v>46143</v>
      </c>
      <c r="F24" s="14" t="s">
        <v>50</v>
      </c>
      <c r="G24" s="14" t="s">
        <v>52</v>
      </c>
      <c r="H24" s="14" t="s">
        <v>47</v>
      </c>
      <c r="I24" s="16">
        <v>15</v>
      </c>
      <c r="J24" s="16">
        <v>-143.26</v>
      </c>
      <c r="K24" s="16">
        <v>-21.49</v>
      </c>
      <c r="L24" s="14" t="s">
        <v>54</v>
      </c>
      <c r="M24" s="15">
        <v>46113</v>
      </c>
      <c r="N24" s="16">
        <v>-21.49</v>
      </c>
      <c r="O24" s="17" t="s">
        <v>295</v>
      </c>
      <c r="S24" s="14" t="s">
        <v>229</v>
      </c>
      <c r="T24" s="17" t="str">
        <f>_xlfn.CONCAT(S24,8)</f>
        <v>00001158481A8</v>
      </c>
      <c r="U24" s="14" t="s">
        <v>347</v>
      </c>
      <c r="V24" s="17" t="s">
        <v>348</v>
      </c>
      <c r="W24" s="17" t="str">
        <f>_xlfn.CONCAT(V24," ",U24)</f>
        <v>GREGORY LOPOSSA</v>
      </c>
    </row>
    <row r="25" spans="1:23" s="17" customFormat="1" x14ac:dyDescent="0.25">
      <c r="A25" s="14" t="s">
        <v>227</v>
      </c>
      <c r="B25" s="17">
        <v>16202925</v>
      </c>
      <c r="C25" s="14" t="s">
        <v>230</v>
      </c>
      <c r="D25" s="14" t="s">
        <v>231</v>
      </c>
      <c r="E25" s="15">
        <v>46143</v>
      </c>
      <c r="F25" s="14" t="s">
        <v>50</v>
      </c>
      <c r="G25" s="14" t="s">
        <v>52</v>
      </c>
      <c r="H25" s="14" t="s">
        <v>47</v>
      </c>
      <c r="I25" s="16">
        <v>15</v>
      </c>
      <c r="J25" s="16">
        <v>117.54</v>
      </c>
      <c r="K25" s="16">
        <v>17.63</v>
      </c>
      <c r="L25" s="14" t="s">
        <v>54</v>
      </c>
      <c r="M25" s="15">
        <v>46143</v>
      </c>
      <c r="N25" s="16">
        <v>17.63</v>
      </c>
      <c r="O25" s="17" t="s">
        <v>295</v>
      </c>
      <c r="S25" s="14" t="s">
        <v>231</v>
      </c>
      <c r="T25" s="17" t="str">
        <f>_xlfn.CONCAT(S25,8)</f>
        <v>00001161974A8</v>
      </c>
      <c r="U25" s="14" t="s">
        <v>349</v>
      </c>
      <c r="V25" s="17" t="s">
        <v>350</v>
      </c>
      <c r="W25" s="17" t="str">
        <f>_xlfn.CONCAT(V25," ",U25)</f>
        <v>MARIAN GIORGAKIS</v>
      </c>
    </row>
    <row r="26" spans="1:23" s="17" customFormat="1" x14ac:dyDescent="0.25">
      <c r="A26" s="14" t="s">
        <v>256</v>
      </c>
      <c r="B26" s="17">
        <v>5442438</v>
      </c>
      <c r="C26" s="14" t="s">
        <v>259</v>
      </c>
      <c r="D26" s="14" t="s">
        <v>260</v>
      </c>
      <c r="E26" s="15">
        <v>46143</v>
      </c>
      <c r="F26" s="14" t="s">
        <v>50</v>
      </c>
      <c r="G26" s="14" t="s">
        <v>52</v>
      </c>
      <c r="H26" s="14" t="s">
        <v>47</v>
      </c>
      <c r="I26" s="16">
        <v>15</v>
      </c>
      <c r="J26" s="16">
        <v>182.57</v>
      </c>
      <c r="K26" s="16">
        <v>27.39</v>
      </c>
      <c r="L26" s="14" t="s">
        <v>54</v>
      </c>
      <c r="M26" s="15">
        <v>45992</v>
      </c>
      <c r="N26" s="16">
        <v>27.39</v>
      </c>
      <c r="O26" s="17" t="s">
        <v>295</v>
      </c>
      <c r="S26" s="14" t="s">
        <v>260</v>
      </c>
      <c r="T26" s="17" t="str">
        <f>_xlfn.CONCAT(S26,8)</f>
        <v>00001084170A8</v>
      </c>
      <c r="U26" s="14" t="s">
        <v>351</v>
      </c>
      <c r="V26" s="17" t="s">
        <v>352</v>
      </c>
      <c r="W26" s="17" t="str">
        <f>_xlfn.CONCAT(V26," ",U26)</f>
        <v>GARY GORDY</v>
      </c>
    </row>
    <row r="27" spans="1:23" s="17" customFormat="1" x14ac:dyDescent="0.25">
      <c r="A27" s="14" t="s">
        <v>256</v>
      </c>
      <c r="B27" s="17">
        <v>5442438</v>
      </c>
      <c r="C27" s="14" t="s">
        <v>261</v>
      </c>
      <c r="D27" s="14" t="s">
        <v>262</v>
      </c>
      <c r="E27" s="15">
        <v>46143</v>
      </c>
      <c r="F27" s="14" t="s">
        <v>50</v>
      </c>
      <c r="G27" s="14" t="s">
        <v>52</v>
      </c>
      <c r="H27" s="14" t="s">
        <v>47</v>
      </c>
      <c r="I27" s="16">
        <v>15</v>
      </c>
      <c r="J27" s="16">
        <v>183.84</v>
      </c>
      <c r="K27" s="16">
        <v>27.58</v>
      </c>
      <c r="L27" s="14" t="s">
        <v>54</v>
      </c>
      <c r="M27" s="15">
        <v>46143</v>
      </c>
      <c r="N27" s="16">
        <v>27.58</v>
      </c>
      <c r="O27" s="17" t="s">
        <v>295</v>
      </c>
      <c r="S27" s="14" t="s">
        <v>262</v>
      </c>
      <c r="T27" s="17" t="str">
        <f>_xlfn.CONCAT(S27,8)</f>
        <v>00001154712A8</v>
      </c>
      <c r="U27" s="14" t="s">
        <v>353</v>
      </c>
      <c r="V27" s="17" t="s">
        <v>354</v>
      </c>
      <c r="W27" s="17" t="str">
        <f>_xlfn.CONCAT(V27," ",U27)</f>
        <v>BANAFSHEH ZAND</v>
      </c>
    </row>
    <row r="28" spans="1:23" s="9" customFormat="1" x14ac:dyDescent="0.25">
      <c r="A28" s="6" t="s">
        <v>187</v>
      </c>
      <c r="B28" s="9">
        <v>8244481</v>
      </c>
      <c r="C28" s="6" t="s">
        <v>188</v>
      </c>
      <c r="D28" s="23">
        <v>9028205190</v>
      </c>
      <c r="E28" s="7">
        <v>46143</v>
      </c>
      <c r="F28" s="6" t="s">
        <v>50</v>
      </c>
      <c r="G28" s="6" t="s">
        <v>193</v>
      </c>
      <c r="H28" s="6" t="s">
        <v>47</v>
      </c>
      <c r="I28" s="8">
        <v>10</v>
      </c>
      <c r="J28" s="8">
        <v>26.88</v>
      </c>
      <c r="K28" s="8">
        <v>2.69</v>
      </c>
      <c r="L28" s="6" t="s">
        <v>194</v>
      </c>
      <c r="M28" s="7">
        <v>45276</v>
      </c>
      <c r="N28" s="8">
        <v>2.69</v>
      </c>
      <c r="O28" s="9" t="s">
        <v>292</v>
      </c>
      <c r="S28" s="23">
        <v>9028205190</v>
      </c>
      <c r="T28" s="9" t="str">
        <f>_xlfn.CONCAT(S28,4)</f>
        <v>90282051904</v>
      </c>
      <c r="U28" s="6" t="s">
        <v>359</v>
      </c>
      <c r="V28" s="9" t="s">
        <v>360</v>
      </c>
      <c r="W28" s="9" t="str">
        <f>_xlfn.CONCAT(V28," ",U28)</f>
        <v>Joseph Elliott</v>
      </c>
    </row>
    <row r="29" spans="1:23" s="9" customFormat="1" x14ac:dyDescent="0.25">
      <c r="A29" s="6" t="s">
        <v>187</v>
      </c>
      <c r="B29" s="9">
        <v>8244481</v>
      </c>
      <c r="C29" s="6" t="s">
        <v>196</v>
      </c>
      <c r="D29" s="23">
        <v>9031977350</v>
      </c>
      <c r="E29" s="7">
        <v>46143</v>
      </c>
      <c r="F29" s="6" t="s">
        <v>50</v>
      </c>
      <c r="G29" s="6" t="s">
        <v>193</v>
      </c>
      <c r="H29" s="6" t="s">
        <v>47</v>
      </c>
      <c r="I29" s="8">
        <v>10</v>
      </c>
      <c r="J29" s="8">
        <v>14.93</v>
      </c>
      <c r="K29" s="8">
        <v>1.49</v>
      </c>
      <c r="L29" s="6" t="s">
        <v>198</v>
      </c>
      <c r="M29" s="7">
        <v>46081</v>
      </c>
      <c r="N29" s="8">
        <v>1.49</v>
      </c>
      <c r="O29" s="9" t="s">
        <v>292</v>
      </c>
      <c r="S29" s="23">
        <v>9031977350</v>
      </c>
      <c r="T29" s="9" t="str">
        <f>_xlfn.CONCAT(S29,4)</f>
        <v>90319773504</v>
      </c>
      <c r="U29" s="6" t="s">
        <v>361</v>
      </c>
      <c r="V29" s="9" t="s">
        <v>362</v>
      </c>
      <c r="W29" s="9" t="str">
        <f>_xlfn.CONCAT(V29," ",U29)</f>
        <v>Mark Carter</v>
      </c>
    </row>
    <row r="30" spans="1:23" s="9" customFormat="1" x14ac:dyDescent="0.25">
      <c r="A30" s="6" t="s">
        <v>163</v>
      </c>
      <c r="B30" s="9">
        <v>18828278</v>
      </c>
      <c r="C30" s="6" t="s">
        <v>271</v>
      </c>
      <c r="D30" s="23">
        <v>9031589900</v>
      </c>
      <c r="E30" s="7">
        <v>46143</v>
      </c>
      <c r="F30" s="6" t="s">
        <v>50</v>
      </c>
      <c r="G30" s="6" t="s">
        <v>193</v>
      </c>
      <c r="H30" s="6" t="s">
        <v>47</v>
      </c>
      <c r="I30" s="8">
        <v>10</v>
      </c>
      <c r="J30" s="8">
        <v>14.93</v>
      </c>
      <c r="K30" s="8">
        <v>1.49</v>
      </c>
      <c r="L30" s="6" t="s">
        <v>198</v>
      </c>
      <c r="M30" s="7">
        <v>46023</v>
      </c>
      <c r="N30" s="8">
        <v>1.49</v>
      </c>
      <c r="O30" s="9" t="s">
        <v>292</v>
      </c>
      <c r="S30" s="23">
        <v>9031589900</v>
      </c>
      <c r="T30" s="9" t="str">
        <f>_xlfn.CONCAT(S30,4)</f>
        <v>90315899004</v>
      </c>
      <c r="U30" s="6" t="s">
        <v>371</v>
      </c>
      <c r="V30" s="9" t="s">
        <v>372</v>
      </c>
      <c r="W30" s="9" t="str">
        <f>_xlfn.CONCAT(V30," ",U30)</f>
        <v>Jessica Embrey</v>
      </c>
    </row>
    <row r="31" spans="1:23" s="9" customFormat="1" x14ac:dyDescent="0.25">
      <c r="A31" s="6" t="s">
        <v>163</v>
      </c>
      <c r="B31" s="9">
        <v>18828278</v>
      </c>
      <c r="C31" s="6" t="s">
        <v>273</v>
      </c>
      <c r="D31" s="23">
        <v>9032267610</v>
      </c>
      <c r="E31" s="7">
        <v>46143</v>
      </c>
      <c r="F31" s="6" t="s">
        <v>50</v>
      </c>
      <c r="G31" s="6" t="s">
        <v>193</v>
      </c>
      <c r="H31" s="6" t="s">
        <v>47</v>
      </c>
      <c r="I31" s="8">
        <v>10</v>
      </c>
      <c r="J31" s="8">
        <v>26.88</v>
      </c>
      <c r="K31" s="8">
        <v>2.69</v>
      </c>
      <c r="L31" s="6" t="s">
        <v>198</v>
      </c>
      <c r="M31" s="7">
        <v>46143</v>
      </c>
      <c r="N31" s="8">
        <v>2.69</v>
      </c>
      <c r="O31" s="9" t="s">
        <v>292</v>
      </c>
      <c r="S31" s="23">
        <v>9032267610</v>
      </c>
      <c r="T31" s="9" t="str">
        <f>_xlfn.CONCAT(S31,4)</f>
        <v>90322676104</v>
      </c>
      <c r="U31" s="6" t="s">
        <v>373</v>
      </c>
      <c r="V31" s="9" t="s">
        <v>374</v>
      </c>
      <c r="W31" s="9" t="str">
        <f>_xlfn.CONCAT(V31," ",U31)</f>
        <v>Darlene Brooks</v>
      </c>
    </row>
    <row r="32" spans="1:23" s="9" customFormat="1" x14ac:dyDescent="0.25">
      <c r="A32" s="6" t="s">
        <v>210</v>
      </c>
      <c r="B32" s="9">
        <v>15278437</v>
      </c>
      <c r="C32" s="6" t="s">
        <v>215</v>
      </c>
      <c r="D32" s="23">
        <v>654656220</v>
      </c>
      <c r="E32" s="7">
        <v>46143</v>
      </c>
      <c r="F32" s="6" t="s">
        <v>50</v>
      </c>
      <c r="G32" s="6" t="s">
        <v>193</v>
      </c>
      <c r="H32" s="6" t="s">
        <v>47</v>
      </c>
      <c r="I32" s="8">
        <v>10</v>
      </c>
      <c r="J32" s="8">
        <v>12.99</v>
      </c>
      <c r="K32" s="8">
        <v>1.3</v>
      </c>
      <c r="L32" s="6" t="s">
        <v>194</v>
      </c>
      <c r="M32" s="7">
        <v>45371</v>
      </c>
      <c r="N32" s="8">
        <v>1.3</v>
      </c>
      <c r="O32" s="9" t="s">
        <v>292</v>
      </c>
      <c r="S32" s="23">
        <v>654656220</v>
      </c>
      <c r="T32" s="9" t="str">
        <f>_xlfn.CONCAT(S32,4)</f>
        <v>6546562204</v>
      </c>
      <c r="U32" s="6" t="s">
        <v>363</v>
      </c>
      <c r="V32" s="9" t="s">
        <v>364</v>
      </c>
      <c r="W32" s="9" t="str">
        <f>_xlfn.CONCAT(V32," ",U32)</f>
        <v>Elliot Gerber</v>
      </c>
    </row>
    <row r="33" spans="1:23" s="9" customFormat="1" x14ac:dyDescent="0.25">
      <c r="A33" s="6" t="s">
        <v>200</v>
      </c>
      <c r="B33" s="9">
        <v>7146581</v>
      </c>
      <c r="C33" s="6" t="s">
        <v>207</v>
      </c>
      <c r="D33" s="23">
        <v>9007596540</v>
      </c>
      <c r="E33" s="7">
        <v>46143</v>
      </c>
      <c r="F33" s="6" t="s">
        <v>50</v>
      </c>
      <c r="G33" s="6" t="s">
        <v>209</v>
      </c>
      <c r="H33" s="6" t="s">
        <v>47</v>
      </c>
      <c r="I33" s="8">
        <v>10</v>
      </c>
      <c r="J33" s="8">
        <v>43.09</v>
      </c>
      <c r="K33" s="8">
        <v>4.3099999999999996</v>
      </c>
      <c r="L33" s="6" t="s">
        <v>194</v>
      </c>
      <c r="M33" s="7">
        <v>40969</v>
      </c>
      <c r="N33" s="8">
        <v>4.3099999999999996</v>
      </c>
      <c r="O33" s="9" t="s">
        <v>292</v>
      </c>
      <c r="S33" s="23">
        <v>9007596540</v>
      </c>
      <c r="T33" s="9" t="str">
        <f>_xlfn.CONCAT(S33,4)</f>
        <v>90075965404</v>
      </c>
      <c r="U33" s="6" t="s">
        <v>355</v>
      </c>
      <c r="V33" s="9" t="s">
        <v>356</v>
      </c>
      <c r="W33" s="9" t="str">
        <f>_xlfn.CONCAT(V33," ",U33)</f>
        <v>Jerry Grychowski</v>
      </c>
    </row>
    <row r="34" spans="1:23" s="9" customFormat="1" x14ac:dyDescent="0.25">
      <c r="A34" s="6" t="s">
        <v>275</v>
      </c>
      <c r="B34" s="9" t="s">
        <v>429</v>
      </c>
      <c r="C34" s="6" t="s">
        <v>280</v>
      </c>
      <c r="D34" s="23">
        <v>9031476450</v>
      </c>
      <c r="E34" s="7">
        <v>46143</v>
      </c>
      <c r="F34" s="6" t="s">
        <v>50</v>
      </c>
      <c r="G34" s="6" t="s">
        <v>193</v>
      </c>
      <c r="H34" s="6" t="s">
        <v>47</v>
      </c>
      <c r="I34" s="8">
        <v>10</v>
      </c>
      <c r="J34" s="8">
        <v>23.99</v>
      </c>
      <c r="K34" s="8">
        <v>2.4</v>
      </c>
      <c r="L34" s="6" t="s">
        <v>198</v>
      </c>
      <c r="M34" s="7">
        <v>46023</v>
      </c>
      <c r="N34" s="8">
        <v>2.4</v>
      </c>
      <c r="O34" s="9" t="s">
        <v>292</v>
      </c>
      <c r="S34" s="23">
        <v>9031476450</v>
      </c>
      <c r="T34" s="9" t="str">
        <f>_xlfn.CONCAT(S34,4)</f>
        <v>90314764504</v>
      </c>
      <c r="U34" s="6" t="s">
        <v>375</v>
      </c>
      <c r="V34" s="9" t="s">
        <v>376</v>
      </c>
      <c r="W34" s="9" t="str">
        <f>_xlfn.CONCAT(V34," ",U34)</f>
        <v>Jerome Albert</v>
      </c>
    </row>
    <row r="35" spans="1:23" s="9" customFormat="1" x14ac:dyDescent="0.25">
      <c r="A35" s="6" t="s">
        <v>275</v>
      </c>
      <c r="B35" s="9" t="s">
        <v>429</v>
      </c>
      <c r="C35" s="6" t="s">
        <v>282</v>
      </c>
      <c r="D35" s="23">
        <v>9031611900</v>
      </c>
      <c r="E35" s="7">
        <v>46143</v>
      </c>
      <c r="F35" s="6" t="s">
        <v>50</v>
      </c>
      <c r="G35" s="6" t="s">
        <v>193</v>
      </c>
      <c r="H35" s="6" t="s">
        <v>47</v>
      </c>
      <c r="I35" s="8">
        <v>10</v>
      </c>
      <c r="J35" s="8">
        <v>36.99</v>
      </c>
      <c r="K35" s="8">
        <v>3.7</v>
      </c>
      <c r="L35" s="6" t="s">
        <v>198</v>
      </c>
      <c r="M35" s="7">
        <v>46023</v>
      </c>
      <c r="N35" s="8">
        <v>3.7</v>
      </c>
      <c r="O35" s="9" t="s">
        <v>292</v>
      </c>
      <c r="S35" s="23">
        <v>9031611900</v>
      </c>
      <c r="T35" s="9" t="str">
        <f>_xlfn.CONCAT(S35,4)</f>
        <v>90316119004</v>
      </c>
      <c r="U35" s="6" t="s">
        <v>377</v>
      </c>
      <c r="V35" s="9" t="s">
        <v>378</v>
      </c>
      <c r="W35" s="9" t="str">
        <f>_xlfn.CONCAT(V35," ",U35)</f>
        <v>Roger Hendricks</v>
      </c>
    </row>
    <row r="36" spans="1:23" s="9" customFormat="1" x14ac:dyDescent="0.25">
      <c r="A36" s="6" t="s">
        <v>242</v>
      </c>
      <c r="B36" s="37" t="s">
        <v>430</v>
      </c>
      <c r="C36" s="6" t="s">
        <v>247</v>
      </c>
      <c r="D36" s="23">
        <v>9031580250</v>
      </c>
      <c r="E36" s="7">
        <v>46143</v>
      </c>
      <c r="F36" s="6" t="s">
        <v>50</v>
      </c>
      <c r="G36" s="6" t="s">
        <v>209</v>
      </c>
      <c r="H36" s="6" t="s">
        <v>47</v>
      </c>
      <c r="I36" s="8">
        <v>10</v>
      </c>
      <c r="J36" s="8">
        <v>62.99</v>
      </c>
      <c r="K36" s="8">
        <v>6.3</v>
      </c>
      <c r="L36" s="6" t="s">
        <v>198</v>
      </c>
      <c r="M36" s="7">
        <v>46023</v>
      </c>
      <c r="N36" s="8">
        <v>6.3</v>
      </c>
      <c r="O36" s="9" t="s">
        <v>292</v>
      </c>
      <c r="S36" s="23">
        <v>9031580250</v>
      </c>
      <c r="T36" s="9" t="str">
        <f>_xlfn.CONCAT(S36,4)</f>
        <v>90315802504</v>
      </c>
      <c r="U36" s="6" t="s">
        <v>357</v>
      </c>
      <c r="V36" s="9" t="s">
        <v>358</v>
      </c>
      <c r="W36" s="9" t="str">
        <f>_xlfn.CONCAT(V36," ",U36)</f>
        <v>Richard Bako</v>
      </c>
    </row>
    <row r="37" spans="1:23" s="9" customFormat="1" x14ac:dyDescent="0.25">
      <c r="A37" s="6" t="s">
        <v>242</v>
      </c>
      <c r="B37" s="37" t="s">
        <v>430</v>
      </c>
      <c r="C37" s="6" t="s">
        <v>243</v>
      </c>
      <c r="D37" s="23">
        <v>9030250530</v>
      </c>
      <c r="E37" s="7">
        <v>46143</v>
      </c>
      <c r="F37" s="6" t="s">
        <v>50</v>
      </c>
      <c r="G37" s="6" t="s">
        <v>193</v>
      </c>
      <c r="H37" s="6" t="s">
        <v>47</v>
      </c>
      <c r="I37" s="8">
        <v>10</v>
      </c>
      <c r="J37" s="8">
        <v>12.99</v>
      </c>
      <c r="K37" s="8">
        <v>1.3</v>
      </c>
      <c r="L37" s="6" t="s">
        <v>194</v>
      </c>
      <c r="M37" s="7">
        <v>45748</v>
      </c>
      <c r="N37" s="8">
        <v>1.3</v>
      </c>
      <c r="O37" s="9" t="s">
        <v>292</v>
      </c>
      <c r="S37" s="23">
        <v>9030250530</v>
      </c>
      <c r="T37" s="9" t="str">
        <f>_xlfn.CONCAT(S37,4)</f>
        <v>90302505304</v>
      </c>
      <c r="U37" s="6" t="s">
        <v>367</v>
      </c>
      <c r="V37" s="9" t="s">
        <v>368</v>
      </c>
      <c r="W37" s="9" t="str">
        <f>_xlfn.CONCAT(V37," ",U37)</f>
        <v>Kayla Miller</v>
      </c>
    </row>
    <row r="38" spans="1:23" s="9" customFormat="1" x14ac:dyDescent="0.25">
      <c r="A38" s="6" t="s">
        <v>242</v>
      </c>
      <c r="B38" s="37" t="s">
        <v>430</v>
      </c>
      <c r="C38" s="6" t="s">
        <v>245</v>
      </c>
      <c r="D38" s="23">
        <v>9031474920</v>
      </c>
      <c r="E38" s="7">
        <v>46143</v>
      </c>
      <c r="F38" s="6" t="s">
        <v>50</v>
      </c>
      <c r="G38" s="6" t="s">
        <v>193</v>
      </c>
      <c r="H38" s="6" t="s">
        <v>47</v>
      </c>
      <c r="I38" s="8">
        <v>10</v>
      </c>
      <c r="J38" s="8">
        <v>23.99</v>
      </c>
      <c r="K38" s="8">
        <v>2.4</v>
      </c>
      <c r="L38" s="6" t="s">
        <v>198</v>
      </c>
      <c r="M38" s="7">
        <v>45992</v>
      </c>
      <c r="N38" s="8">
        <v>2.4</v>
      </c>
      <c r="O38" s="9" t="s">
        <v>292</v>
      </c>
      <c r="S38" s="23">
        <v>9031474920</v>
      </c>
      <c r="T38" s="9" t="str">
        <f>_xlfn.CONCAT(S38,4)</f>
        <v>90314749204</v>
      </c>
      <c r="U38" s="6" t="s">
        <v>369</v>
      </c>
      <c r="V38" s="9" t="s">
        <v>370</v>
      </c>
      <c r="W38" s="9" t="str">
        <f>_xlfn.CONCAT(V38," ",U38)</f>
        <v>Frederick Halbig</v>
      </c>
    </row>
    <row r="39" spans="1:23" s="9" customFormat="1" x14ac:dyDescent="0.25">
      <c r="A39" s="6" t="s">
        <v>239</v>
      </c>
      <c r="B39" s="9">
        <v>17554531</v>
      </c>
      <c r="C39" s="6" t="s">
        <v>240</v>
      </c>
      <c r="D39" s="23">
        <v>9032235220</v>
      </c>
      <c r="E39" s="7">
        <v>46143</v>
      </c>
      <c r="F39" s="6" t="s">
        <v>50</v>
      </c>
      <c r="G39" s="6" t="s">
        <v>193</v>
      </c>
      <c r="H39" s="6" t="s">
        <v>47</v>
      </c>
      <c r="I39" s="8">
        <v>10</v>
      </c>
      <c r="J39" s="8">
        <v>12.24</v>
      </c>
      <c r="K39" s="8">
        <v>1.22</v>
      </c>
      <c r="L39" s="6" t="s">
        <v>198</v>
      </c>
      <c r="M39" s="7">
        <v>46143</v>
      </c>
      <c r="N39" s="8">
        <v>1.22</v>
      </c>
      <c r="O39" s="9" t="s">
        <v>292</v>
      </c>
      <c r="S39" s="23">
        <v>9032235220</v>
      </c>
      <c r="T39" s="9" t="str">
        <f>_xlfn.CONCAT(S39,4)</f>
        <v>90322352204</v>
      </c>
      <c r="U39" s="6" t="s">
        <v>365</v>
      </c>
      <c r="V39" s="9" t="s">
        <v>366</v>
      </c>
      <c r="W39" s="9" t="str">
        <f>_xlfn.CONCAT(V39," ",U39)</f>
        <v>Daniel Carl</v>
      </c>
    </row>
    <row r="40" spans="1:23" s="13" customFormat="1" x14ac:dyDescent="0.25">
      <c r="A40" s="10" t="s">
        <v>123</v>
      </c>
      <c r="B40" s="13">
        <v>18754354</v>
      </c>
      <c r="C40" s="10" t="s">
        <v>249</v>
      </c>
      <c r="D40" s="24">
        <v>413180</v>
      </c>
      <c r="E40" s="11">
        <v>45839</v>
      </c>
      <c r="F40" s="10" t="s">
        <v>72</v>
      </c>
      <c r="G40" s="10" t="s">
        <v>209</v>
      </c>
      <c r="H40" s="10" t="s">
        <v>47</v>
      </c>
      <c r="I40" s="12">
        <v>10</v>
      </c>
      <c r="J40" s="12">
        <v>0.73</v>
      </c>
      <c r="K40" s="12">
        <v>7.0000000000000007E-2</v>
      </c>
      <c r="L40" s="10" t="s">
        <v>220</v>
      </c>
      <c r="M40" s="11">
        <v>45474</v>
      </c>
      <c r="N40" s="12">
        <v>7.0000000000000007E-2</v>
      </c>
      <c r="O40" s="13" t="s">
        <v>293</v>
      </c>
      <c r="S40" s="24">
        <v>413180</v>
      </c>
      <c r="T40" s="13" t="str">
        <f>_xlfn.CONCAT(S40,7)</f>
        <v>4131807</v>
      </c>
      <c r="U40" s="10" t="s">
        <v>380</v>
      </c>
      <c r="V40" s="13" t="s">
        <v>381</v>
      </c>
      <c r="W40" s="10" t="s">
        <v>249</v>
      </c>
    </row>
    <row r="41" spans="1:23" s="13" customFormat="1" x14ac:dyDescent="0.25">
      <c r="A41" s="10" t="s">
        <v>123</v>
      </c>
      <c r="B41" s="13">
        <v>18754354</v>
      </c>
      <c r="C41" s="10" t="s">
        <v>249</v>
      </c>
      <c r="D41" s="24">
        <v>413180</v>
      </c>
      <c r="E41" s="11">
        <v>45870</v>
      </c>
      <c r="F41" s="10" t="s">
        <v>251</v>
      </c>
      <c r="G41" s="10" t="s">
        <v>209</v>
      </c>
      <c r="H41" s="10" t="s">
        <v>47</v>
      </c>
      <c r="I41" s="12">
        <v>10</v>
      </c>
      <c r="J41" s="12">
        <v>0.73</v>
      </c>
      <c r="K41" s="12">
        <v>7.0000000000000007E-2</v>
      </c>
      <c r="L41" s="10" t="s">
        <v>220</v>
      </c>
      <c r="M41" s="11">
        <v>45474</v>
      </c>
      <c r="N41" s="12">
        <v>7.0000000000000007E-2</v>
      </c>
      <c r="O41" s="13" t="s">
        <v>293</v>
      </c>
      <c r="S41" s="24">
        <v>413180</v>
      </c>
      <c r="T41" s="13" t="str">
        <f>_xlfn.CONCAT(S41,7)</f>
        <v>4131807</v>
      </c>
      <c r="U41" s="10" t="s">
        <v>380</v>
      </c>
      <c r="V41" s="13" t="s">
        <v>381</v>
      </c>
      <c r="W41" s="10" t="s">
        <v>249</v>
      </c>
    </row>
    <row r="42" spans="1:23" s="13" customFormat="1" x14ac:dyDescent="0.25">
      <c r="A42" s="10" t="s">
        <v>123</v>
      </c>
      <c r="B42" s="13">
        <v>18754354</v>
      </c>
      <c r="C42" s="10" t="s">
        <v>249</v>
      </c>
      <c r="D42" s="24">
        <v>413180</v>
      </c>
      <c r="E42" s="11">
        <v>45901</v>
      </c>
      <c r="F42" s="10" t="s">
        <v>252</v>
      </c>
      <c r="G42" s="10" t="s">
        <v>209</v>
      </c>
      <c r="H42" s="10" t="s">
        <v>47</v>
      </c>
      <c r="I42" s="12">
        <v>10</v>
      </c>
      <c r="J42" s="12">
        <v>0.73</v>
      </c>
      <c r="K42" s="12">
        <v>7.0000000000000007E-2</v>
      </c>
      <c r="L42" s="10" t="s">
        <v>220</v>
      </c>
      <c r="M42" s="11">
        <v>45474</v>
      </c>
      <c r="N42" s="12">
        <v>7.0000000000000007E-2</v>
      </c>
      <c r="O42" s="13" t="s">
        <v>293</v>
      </c>
      <c r="S42" s="24">
        <v>413180</v>
      </c>
      <c r="T42" s="13" t="str">
        <f>_xlfn.CONCAT(S42,7)</f>
        <v>4131807</v>
      </c>
      <c r="U42" s="10" t="s">
        <v>380</v>
      </c>
      <c r="V42" s="13" t="s">
        <v>381</v>
      </c>
      <c r="W42" s="10" t="s">
        <v>249</v>
      </c>
    </row>
    <row r="43" spans="1:23" s="13" customFormat="1" x14ac:dyDescent="0.25">
      <c r="A43" s="10" t="s">
        <v>123</v>
      </c>
      <c r="B43" s="13">
        <v>18754354</v>
      </c>
      <c r="C43" s="10" t="s">
        <v>249</v>
      </c>
      <c r="D43" s="24">
        <v>413180</v>
      </c>
      <c r="E43" s="11">
        <v>45931</v>
      </c>
      <c r="F43" s="10" t="s">
        <v>253</v>
      </c>
      <c r="G43" s="10" t="s">
        <v>209</v>
      </c>
      <c r="H43" s="10" t="s">
        <v>47</v>
      </c>
      <c r="I43" s="12">
        <v>10</v>
      </c>
      <c r="J43" s="12">
        <v>0.73</v>
      </c>
      <c r="K43" s="12">
        <v>7.0000000000000007E-2</v>
      </c>
      <c r="L43" s="10" t="s">
        <v>220</v>
      </c>
      <c r="M43" s="11">
        <v>45474</v>
      </c>
      <c r="N43" s="12">
        <v>7.0000000000000007E-2</v>
      </c>
      <c r="O43" s="13" t="s">
        <v>293</v>
      </c>
      <c r="S43" s="24">
        <v>413180</v>
      </c>
      <c r="T43" s="13" t="str">
        <f>_xlfn.CONCAT(S43,7)</f>
        <v>4131807</v>
      </c>
      <c r="U43" s="10" t="s">
        <v>380</v>
      </c>
      <c r="V43" s="13" t="s">
        <v>381</v>
      </c>
      <c r="W43" s="10" t="s">
        <v>249</v>
      </c>
    </row>
    <row r="44" spans="1:23" s="13" customFormat="1" x14ac:dyDescent="0.25">
      <c r="A44" s="10" t="s">
        <v>123</v>
      </c>
      <c r="B44" s="13">
        <v>18754354</v>
      </c>
      <c r="C44" s="10" t="s">
        <v>249</v>
      </c>
      <c r="D44" s="24">
        <v>413180</v>
      </c>
      <c r="E44" s="11">
        <v>45962</v>
      </c>
      <c r="F44" s="10" t="s">
        <v>254</v>
      </c>
      <c r="G44" s="10" t="s">
        <v>209</v>
      </c>
      <c r="H44" s="10" t="s">
        <v>47</v>
      </c>
      <c r="I44" s="12">
        <v>10</v>
      </c>
      <c r="J44" s="12">
        <v>0.73</v>
      </c>
      <c r="K44" s="12">
        <v>7.0000000000000007E-2</v>
      </c>
      <c r="L44" s="10" t="s">
        <v>220</v>
      </c>
      <c r="M44" s="11">
        <v>45474</v>
      </c>
      <c r="N44" s="12">
        <v>7.0000000000000007E-2</v>
      </c>
      <c r="O44" s="13" t="s">
        <v>293</v>
      </c>
      <c r="S44" s="24">
        <v>413180</v>
      </c>
      <c r="T44" s="13" t="str">
        <f>_xlfn.CONCAT(S44,7)</f>
        <v>4131807</v>
      </c>
      <c r="U44" s="10" t="s">
        <v>380</v>
      </c>
      <c r="V44" s="13" t="s">
        <v>381</v>
      </c>
      <c r="W44" s="10" t="s">
        <v>249</v>
      </c>
    </row>
    <row r="45" spans="1:23" s="13" customFormat="1" x14ac:dyDescent="0.25">
      <c r="A45" s="10" t="s">
        <v>123</v>
      </c>
      <c r="B45" s="13">
        <v>18754354</v>
      </c>
      <c r="C45" s="10" t="s">
        <v>249</v>
      </c>
      <c r="D45" s="24">
        <v>413180</v>
      </c>
      <c r="E45" s="11">
        <v>45992</v>
      </c>
      <c r="F45" s="10" t="s">
        <v>255</v>
      </c>
      <c r="G45" s="10" t="s">
        <v>209</v>
      </c>
      <c r="H45" s="10" t="s">
        <v>47</v>
      </c>
      <c r="I45" s="12">
        <v>10</v>
      </c>
      <c r="J45" s="12">
        <v>0.73</v>
      </c>
      <c r="K45" s="12">
        <v>7.0000000000000007E-2</v>
      </c>
      <c r="L45" s="10" t="s">
        <v>220</v>
      </c>
      <c r="M45" s="11">
        <v>45474</v>
      </c>
      <c r="N45" s="12">
        <v>7.0000000000000007E-2</v>
      </c>
      <c r="O45" s="13" t="s">
        <v>293</v>
      </c>
      <c r="S45" s="24">
        <v>413180</v>
      </c>
      <c r="T45" s="13" t="str">
        <f>_xlfn.CONCAT(S45,7)</f>
        <v>4131807</v>
      </c>
      <c r="U45" s="10" t="s">
        <v>380</v>
      </c>
      <c r="V45" s="13" t="s">
        <v>381</v>
      </c>
      <c r="W45" s="10" t="s">
        <v>249</v>
      </c>
    </row>
    <row r="46" spans="1:23" s="13" customFormat="1" x14ac:dyDescent="0.25">
      <c r="A46" s="10" t="s">
        <v>123</v>
      </c>
      <c r="B46" s="13">
        <v>18754354</v>
      </c>
      <c r="C46" s="10" t="s">
        <v>249</v>
      </c>
      <c r="D46" s="24">
        <v>413180</v>
      </c>
      <c r="E46" s="11">
        <v>46023</v>
      </c>
      <c r="F46" s="10" t="s">
        <v>65</v>
      </c>
      <c r="G46" s="10" t="s">
        <v>209</v>
      </c>
      <c r="H46" s="10" t="s">
        <v>47</v>
      </c>
      <c r="I46" s="12">
        <v>10</v>
      </c>
      <c r="J46" s="12">
        <v>0.73</v>
      </c>
      <c r="K46" s="12">
        <v>7.0000000000000007E-2</v>
      </c>
      <c r="L46" s="10" t="s">
        <v>220</v>
      </c>
      <c r="M46" s="11">
        <v>45474</v>
      </c>
      <c r="N46" s="12">
        <v>7.0000000000000007E-2</v>
      </c>
      <c r="O46" s="13" t="s">
        <v>293</v>
      </c>
      <c r="S46" s="24">
        <v>413180</v>
      </c>
      <c r="T46" s="13" t="str">
        <f>_xlfn.CONCAT(S46,7)</f>
        <v>4131807</v>
      </c>
      <c r="U46" s="10" t="s">
        <v>380</v>
      </c>
      <c r="V46" s="13" t="s">
        <v>381</v>
      </c>
      <c r="W46" s="10" t="s">
        <v>249</v>
      </c>
    </row>
    <row r="47" spans="1:23" s="13" customFormat="1" x14ac:dyDescent="0.25">
      <c r="A47" s="10" t="s">
        <v>123</v>
      </c>
      <c r="B47" s="13">
        <v>18754354</v>
      </c>
      <c r="C47" s="10" t="s">
        <v>249</v>
      </c>
      <c r="D47" s="24">
        <v>413180</v>
      </c>
      <c r="E47" s="11">
        <v>46054</v>
      </c>
      <c r="F47" s="10" t="s">
        <v>89</v>
      </c>
      <c r="G47" s="10" t="s">
        <v>209</v>
      </c>
      <c r="H47" s="10" t="s">
        <v>47</v>
      </c>
      <c r="I47" s="12">
        <v>10</v>
      </c>
      <c r="J47" s="12">
        <v>0.73</v>
      </c>
      <c r="K47" s="12">
        <v>7.0000000000000007E-2</v>
      </c>
      <c r="L47" s="10" t="s">
        <v>220</v>
      </c>
      <c r="M47" s="11">
        <v>45474</v>
      </c>
      <c r="N47" s="12">
        <v>7.0000000000000007E-2</v>
      </c>
      <c r="O47" s="13" t="s">
        <v>293</v>
      </c>
      <c r="S47" s="24">
        <v>413180</v>
      </c>
      <c r="T47" s="13" t="str">
        <f>_xlfn.CONCAT(S47,7)</f>
        <v>4131807</v>
      </c>
      <c r="U47" s="10" t="s">
        <v>380</v>
      </c>
      <c r="V47" s="13" t="s">
        <v>381</v>
      </c>
      <c r="W47" s="10" t="s">
        <v>249</v>
      </c>
    </row>
    <row r="48" spans="1:23" s="13" customFormat="1" x14ac:dyDescent="0.25">
      <c r="A48" s="10" t="s">
        <v>123</v>
      </c>
      <c r="B48" s="13">
        <v>18754354</v>
      </c>
      <c r="C48" s="10" t="s">
        <v>249</v>
      </c>
      <c r="D48" s="24">
        <v>413180</v>
      </c>
      <c r="E48" s="11">
        <v>46082</v>
      </c>
      <c r="F48" s="10" t="s">
        <v>114</v>
      </c>
      <c r="G48" s="10" t="s">
        <v>209</v>
      </c>
      <c r="H48" s="10" t="s">
        <v>47</v>
      </c>
      <c r="I48" s="12">
        <v>10</v>
      </c>
      <c r="J48" s="12">
        <v>0.73</v>
      </c>
      <c r="K48" s="12">
        <v>7.0000000000000007E-2</v>
      </c>
      <c r="L48" s="10" t="s">
        <v>220</v>
      </c>
      <c r="M48" s="11">
        <v>45474</v>
      </c>
      <c r="N48" s="12">
        <v>7.0000000000000007E-2</v>
      </c>
      <c r="O48" s="13" t="s">
        <v>293</v>
      </c>
      <c r="S48" s="24">
        <v>413180</v>
      </c>
      <c r="T48" s="13" t="str">
        <f>_xlfn.CONCAT(S48,7)</f>
        <v>4131807</v>
      </c>
      <c r="U48" s="10" t="s">
        <v>380</v>
      </c>
      <c r="V48" s="13" t="s">
        <v>381</v>
      </c>
      <c r="W48" s="10" t="s">
        <v>249</v>
      </c>
    </row>
    <row r="49" spans="1:23" s="13" customFormat="1" x14ac:dyDescent="0.25">
      <c r="A49" s="10" t="s">
        <v>123</v>
      </c>
      <c r="B49" s="13">
        <v>18754354</v>
      </c>
      <c r="C49" s="10" t="s">
        <v>249</v>
      </c>
      <c r="D49" s="24">
        <v>413180</v>
      </c>
      <c r="E49" s="11">
        <v>46113</v>
      </c>
      <c r="F49" s="10" t="s">
        <v>109</v>
      </c>
      <c r="G49" s="10" t="s">
        <v>209</v>
      </c>
      <c r="H49" s="10" t="s">
        <v>47</v>
      </c>
      <c r="I49" s="12">
        <v>10</v>
      </c>
      <c r="J49" s="12">
        <v>0.72</v>
      </c>
      <c r="K49" s="12">
        <v>7.0000000000000007E-2</v>
      </c>
      <c r="L49" s="10" t="s">
        <v>220</v>
      </c>
      <c r="M49" s="11">
        <v>45474</v>
      </c>
      <c r="N49" s="12">
        <v>7.0000000000000007E-2</v>
      </c>
      <c r="O49" s="13" t="s">
        <v>293</v>
      </c>
      <c r="S49" s="24">
        <v>413180</v>
      </c>
      <c r="T49" s="13" t="str">
        <f>_xlfn.CONCAT(S49,7)</f>
        <v>4131807</v>
      </c>
      <c r="U49" s="10" t="s">
        <v>380</v>
      </c>
      <c r="V49" s="13" t="s">
        <v>381</v>
      </c>
      <c r="W49" s="10" t="s">
        <v>249</v>
      </c>
    </row>
    <row r="50" spans="1:23" s="13" customFormat="1" x14ac:dyDescent="0.25">
      <c r="A50" s="10" t="s">
        <v>222</v>
      </c>
      <c r="B50" s="13">
        <v>16633294</v>
      </c>
      <c r="C50" s="10" t="s">
        <v>223</v>
      </c>
      <c r="D50" s="24">
        <v>419885</v>
      </c>
      <c r="E50" s="11">
        <v>46143</v>
      </c>
      <c r="F50" s="10" t="s">
        <v>50</v>
      </c>
      <c r="G50" s="10" t="s">
        <v>209</v>
      </c>
      <c r="H50" s="10" t="s">
        <v>47</v>
      </c>
      <c r="I50" s="12">
        <v>7.5</v>
      </c>
      <c r="J50" s="12">
        <v>996.5</v>
      </c>
      <c r="K50" s="12">
        <v>99.65</v>
      </c>
      <c r="L50" s="10" t="s">
        <v>54</v>
      </c>
      <c r="M50" s="11">
        <v>45839</v>
      </c>
      <c r="N50" s="12">
        <v>99.65</v>
      </c>
      <c r="O50" s="13" t="s">
        <v>293</v>
      </c>
      <c r="S50" s="24">
        <v>419885</v>
      </c>
      <c r="T50" s="13" t="str">
        <f>_xlfn.CONCAT(S50,7)</f>
        <v>4198857</v>
      </c>
      <c r="U50" s="10" t="s">
        <v>348</v>
      </c>
      <c r="V50" s="13" t="s">
        <v>379</v>
      </c>
      <c r="W50" s="10" t="s">
        <v>223</v>
      </c>
    </row>
    <row r="51" spans="1:23" s="13" customFormat="1" x14ac:dyDescent="0.25">
      <c r="A51" s="10" t="s">
        <v>222</v>
      </c>
      <c r="B51" s="13">
        <v>16633294</v>
      </c>
      <c r="C51" s="10" t="s">
        <v>223</v>
      </c>
      <c r="D51" s="24">
        <v>419885</v>
      </c>
      <c r="E51" s="11">
        <v>46143</v>
      </c>
      <c r="F51" s="10" t="s">
        <v>50</v>
      </c>
      <c r="G51" s="10" t="s">
        <v>193</v>
      </c>
      <c r="H51" s="10" t="s">
        <v>47</v>
      </c>
      <c r="I51" s="12">
        <v>10</v>
      </c>
      <c r="J51" s="12">
        <v>331.73</v>
      </c>
      <c r="K51" s="12">
        <v>33.17</v>
      </c>
      <c r="L51" s="10" t="s">
        <v>54</v>
      </c>
      <c r="M51" s="11">
        <v>45839</v>
      </c>
      <c r="N51" s="12">
        <v>33.17</v>
      </c>
      <c r="O51" s="13" t="s">
        <v>293</v>
      </c>
      <c r="S51" s="24">
        <v>419885</v>
      </c>
      <c r="T51" s="13" t="str">
        <f>_xlfn.CONCAT(S51,7)</f>
        <v>4198857</v>
      </c>
      <c r="U51" s="10" t="s">
        <v>348</v>
      </c>
      <c r="V51" s="13" t="s">
        <v>379</v>
      </c>
      <c r="W51" s="10" t="s">
        <v>223</v>
      </c>
    </row>
    <row r="52" spans="1:23" s="33" customFormat="1" x14ac:dyDescent="0.25">
      <c r="A52" s="30" t="s">
        <v>127</v>
      </c>
      <c r="B52" s="33">
        <v>19396223</v>
      </c>
      <c r="C52" s="30" t="s">
        <v>131</v>
      </c>
      <c r="D52" s="30" t="s">
        <v>132</v>
      </c>
      <c r="E52" s="31">
        <v>46174</v>
      </c>
      <c r="F52" s="30" t="s">
        <v>134</v>
      </c>
      <c r="G52" s="30" t="s">
        <v>52</v>
      </c>
      <c r="H52" s="30" t="s">
        <v>53</v>
      </c>
      <c r="I52" s="32">
        <v>0.57999999999999996</v>
      </c>
      <c r="J52" s="35">
        <v>1</v>
      </c>
      <c r="K52" s="32">
        <v>202.42</v>
      </c>
      <c r="L52" s="30" t="s">
        <v>54</v>
      </c>
      <c r="M52" s="31">
        <v>46174</v>
      </c>
      <c r="N52" s="32">
        <v>202.42</v>
      </c>
      <c r="O52" s="33" t="s">
        <v>298</v>
      </c>
      <c r="P52" s="34" t="s">
        <v>304</v>
      </c>
      <c r="Q52" s="33">
        <f>347/12*7</f>
        <v>202.41666666666669</v>
      </c>
      <c r="S52" s="30" t="s">
        <v>132</v>
      </c>
      <c r="T52" s="33" t="str">
        <f>_xlfn.CONCAT(S52,67)</f>
        <v>00026395730K67</v>
      </c>
      <c r="U52" s="30" t="s">
        <v>400</v>
      </c>
      <c r="V52" s="33" t="s">
        <v>401</v>
      </c>
      <c r="W52" s="33" t="str">
        <f>_xlfn.CONCAT(V52," ",U52)</f>
        <v>TAHER MOHIUDDIN</v>
      </c>
    </row>
    <row r="53" spans="1:23" s="33" customFormat="1" x14ac:dyDescent="0.25">
      <c r="A53" s="30" t="s">
        <v>127</v>
      </c>
      <c r="B53" s="33">
        <v>19396223</v>
      </c>
      <c r="C53" s="30" t="s">
        <v>128</v>
      </c>
      <c r="D53" s="30" t="s">
        <v>129</v>
      </c>
      <c r="E53" s="31">
        <v>46143</v>
      </c>
      <c r="F53" s="30" t="s">
        <v>50</v>
      </c>
      <c r="G53" s="30" t="s">
        <v>52</v>
      </c>
      <c r="H53" s="30" t="s">
        <v>53</v>
      </c>
      <c r="I53" s="32">
        <v>0.67</v>
      </c>
      <c r="J53" s="35">
        <v>1</v>
      </c>
      <c r="K53" s="32">
        <v>231.33</v>
      </c>
      <c r="L53" s="30" t="s">
        <v>54</v>
      </c>
      <c r="M53" s="31">
        <v>46143</v>
      </c>
      <c r="N53" s="32">
        <v>231.33</v>
      </c>
      <c r="O53" s="33" t="s">
        <v>298</v>
      </c>
      <c r="P53" s="34" t="s">
        <v>300</v>
      </c>
      <c r="S53" s="30" t="s">
        <v>129</v>
      </c>
      <c r="T53" s="33" t="str">
        <f>_xlfn.CONCAT(S53,67)</f>
        <v>00026388928K67</v>
      </c>
      <c r="U53" s="30" t="s">
        <v>421</v>
      </c>
      <c r="V53" s="33" t="s">
        <v>422</v>
      </c>
      <c r="W53" s="33" t="str">
        <f>_xlfn.CONCAT(V53," ",U53)</f>
        <v>STEVEN BIAGINI</v>
      </c>
    </row>
    <row r="54" spans="1:23" s="33" customFormat="1" x14ac:dyDescent="0.25">
      <c r="A54" s="30" t="s">
        <v>127</v>
      </c>
      <c r="B54" s="33">
        <v>19396223</v>
      </c>
      <c r="C54" s="30" t="s">
        <v>135</v>
      </c>
      <c r="D54" s="30" t="s">
        <v>136</v>
      </c>
      <c r="E54" s="31">
        <v>46143</v>
      </c>
      <c r="F54" s="30" t="s">
        <v>50</v>
      </c>
      <c r="G54" s="30" t="s">
        <v>52</v>
      </c>
      <c r="H54" s="30" t="s">
        <v>83</v>
      </c>
      <c r="I54" s="32">
        <v>0.67</v>
      </c>
      <c r="J54" s="35">
        <v>1</v>
      </c>
      <c r="K54" s="32">
        <v>231.33</v>
      </c>
      <c r="L54" s="30" t="s">
        <v>54</v>
      </c>
      <c r="M54" s="31">
        <v>46143</v>
      </c>
      <c r="N54" s="32">
        <v>231.33</v>
      </c>
      <c r="O54" s="33" t="s">
        <v>298</v>
      </c>
      <c r="P54" s="34" t="s">
        <v>300</v>
      </c>
      <c r="S54" s="30" t="s">
        <v>136</v>
      </c>
      <c r="T54" s="33" t="str">
        <f>_xlfn.CONCAT(S54,67)</f>
        <v>00026403972K67</v>
      </c>
      <c r="U54" s="30" t="s">
        <v>423</v>
      </c>
      <c r="V54" s="33" t="s">
        <v>424</v>
      </c>
      <c r="W54" s="33" t="str">
        <f>_xlfn.CONCAT(V54," ",U54)</f>
        <v>SYEDA HUSSAINI</v>
      </c>
    </row>
    <row r="55" spans="1:23" s="33" customFormat="1" x14ac:dyDescent="0.25">
      <c r="A55" s="30" t="s">
        <v>167</v>
      </c>
      <c r="B55" s="33">
        <v>19491313</v>
      </c>
      <c r="C55" s="30" t="s">
        <v>168</v>
      </c>
      <c r="D55" s="30" t="s">
        <v>169</v>
      </c>
      <c r="E55" s="31">
        <v>46023</v>
      </c>
      <c r="F55" s="30" t="s">
        <v>65</v>
      </c>
      <c r="G55" s="30" t="s">
        <v>52</v>
      </c>
      <c r="H55" s="30" t="s">
        <v>53</v>
      </c>
      <c r="I55" s="32">
        <v>-0.67</v>
      </c>
      <c r="J55" s="32">
        <v>-1</v>
      </c>
      <c r="K55" s="32">
        <v>-231.33</v>
      </c>
      <c r="L55" s="30" t="s">
        <v>54</v>
      </c>
      <c r="M55" s="31">
        <v>46023</v>
      </c>
      <c r="N55" s="32">
        <v>-231.33</v>
      </c>
      <c r="O55" s="33" t="s">
        <v>298</v>
      </c>
      <c r="P55" s="34" t="s">
        <v>300</v>
      </c>
      <c r="S55" s="30" t="s">
        <v>169</v>
      </c>
      <c r="T55" s="33" t="str">
        <f>_xlfn.CONCAT(S55,67)</f>
        <v>00025054967K67</v>
      </c>
      <c r="U55" s="30" t="s">
        <v>392</v>
      </c>
      <c r="V55" s="33" t="s">
        <v>393</v>
      </c>
      <c r="W55" s="33" t="str">
        <f>_xlfn.CONCAT(V55," ",U55)</f>
        <v>LISA PURDIN</v>
      </c>
    </row>
    <row r="56" spans="1:23" s="33" customFormat="1" x14ac:dyDescent="0.25">
      <c r="A56" s="30" t="s">
        <v>43</v>
      </c>
      <c r="B56" s="33">
        <v>7470776</v>
      </c>
      <c r="C56" s="30" t="s">
        <v>44</v>
      </c>
      <c r="D56" s="30" t="s">
        <v>45</v>
      </c>
      <c r="E56" s="31">
        <v>46143</v>
      </c>
      <c r="F56" s="30" t="s">
        <v>50</v>
      </c>
      <c r="G56" s="30" t="s">
        <v>52</v>
      </c>
      <c r="H56" s="30" t="s">
        <v>53</v>
      </c>
      <c r="I56" s="32">
        <v>0.67</v>
      </c>
      <c r="J56" s="35">
        <v>1</v>
      </c>
      <c r="K56" s="32">
        <v>231.33</v>
      </c>
      <c r="L56" s="30" t="s">
        <v>54</v>
      </c>
      <c r="M56" s="31">
        <v>46143</v>
      </c>
      <c r="N56" s="32">
        <v>231.33</v>
      </c>
      <c r="O56" s="33" t="s">
        <v>298</v>
      </c>
      <c r="P56" s="34" t="s">
        <v>300</v>
      </c>
      <c r="Q56" s="33">
        <f>347/12*8</f>
        <v>231.33333333333334</v>
      </c>
      <c r="S56" s="30" t="s">
        <v>45</v>
      </c>
      <c r="T56" s="33" t="str">
        <f>_xlfn.CONCAT(S56,67)</f>
        <v>00026396869K67</v>
      </c>
      <c r="U56" s="30" t="s">
        <v>403</v>
      </c>
      <c r="V56" s="33" t="s">
        <v>404</v>
      </c>
      <c r="W56" s="33" t="str">
        <f>_xlfn.CONCAT(V56," ",U56)</f>
        <v>CASSANDRA WRIGHT</v>
      </c>
    </row>
    <row r="57" spans="1:23" s="33" customFormat="1" x14ac:dyDescent="0.25">
      <c r="A57" s="30" t="s">
        <v>43</v>
      </c>
      <c r="B57" s="33">
        <v>7470776</v>
      </c>
      <c r="C57" s="30" t="s">
        <v>57</v>
      </c>
      <c r="D57" s="30" t="s">
        <v>58</v>
      </c>
      <c r="E57" s="31">
        <v>46143</v>
      </c>
      <c r="F57" s="30" t="s">
        <v>50</v>
      </c>
      <c r="G57" s="30" t="s">
        <v>52</v>
      </c>
      <c r="H57" s="30" t="s">
        <v>53</v>
      </c>
      <c r="I57" s="32">
        <v>0.67</v>
      </c>
      <c r="J57" s="35">
        <v>1</v>
      </c>
      <c r="K57" s="32">
        <v>231.33</v>
      </c>
      <c r="L57" s="30" t="s">
        <v>54</v>
      </c>
      <c r="M57" s="31">
        <v>46143</v>
      </c>
      <c r="N57" s="32">
        <v>231.33</v>
      </c>
      <c r="O57" s="33" t="s">
        <v>298</v>
      </c>
      <c r="P57" s="34" t="s">
        <v>300</v>
      </c>
      <c r="S57" s="30" t="s">
        <v>58</v>
      </c>
      <c r="T57" s="33" t="str">
        <f>_xlfn.CONCAT(S57,67)</f>
        <v>00026406411K67</v>
      </c>
      <c r="U57" s="30" t="s">
        <v>405</v>
      </c>
      <c r="V57" s="33" t="s">
        <v>348</v>
      </c>
      <c r="W57" s="33" t="str">
        <f>_xlfn.CONCAT(V57," ",U57)</f>
        <v>GREGORY BIBA</v>
      </c>
    </row>
    <row r="58" spans="1:23" s="33" customFormat="1" x14ac:dyDescent="0.25">
      <c r="A58" s="30" t="s">
        <v>90</v>
      </c>
      <c r="B58" s="33">
        <v>1706194</v>
      </c>
      <c r="C58" s="30" t="s">
        <v>91</v>
      </c>
      <c r="D58" s="30" t="s">
        <v>92</v>
      </c>
      <c r="E58" s="31">
        <v>46143</v>
      </c>
      <c r="F58" s="30" t="s">
        <v>50</v>
      </c>
      <c r="G58" s="30" t="s">
        <v>52</v>
      </c>
      <c r="H58" s="30" t="s">
        <v>53</v>
      </c>
      <c r="I58" s="32">
        <v>0.67</v>
      </c>
      <c r="J58" s="35">
        <v>1</v>
      </c>
      <c r="K58" s="32">
        <v>231.33</v>
      </c>
      <c r="L58" s="30" t="s">
        <v>54</v>
      </c>
      <c r="M58" s="31">
        <v>46143</v>
      </c>
      <c r="N58" s="32">
        <v>231.33</v>
      </c>
      <c r="O58" s="33" t="s">
        <v>298</v>
      </c>
      <c r="P58" s="34" t="s">
        <v>300</v>
      </c>
      <c r="S58" s="30" t="s">
        <v>92</v>
      </c>
      <c r="T58" s="33" t="str">
        <f>_xlfn.CONCAT(S58,67)</f>
        <v>00026397664K67</v>
      </c>
      <c r="U58" s="30" t="s">
        <v>412</v>
      </c>
      <c r="V58" s="33" t="s">
        <v>413</v>
      </c>
      <c r="W58" s="33" t="str">
        <f>_xlfn.CONCAT(V58," ",U58)</f>
        <v>YOLANDA PURDON</v>
      </c>
    </row>
    <row r="59" spans="1:23" s="33" customFormat="1" x14ac:dyDescent="0.25">
      <c r="A59" s="30" t="s">
        <v>153</v>
      </c>
      <c r="B59" s="33">
        <v>17859093</v>
      </c>
      <c r="C59" s="30" t="s">
        <v>154</v>
      </c>
      <c r="D59" s="30" t="s">
        <v>155</v>
      </c>
      <c r="E59" s="31">
        <v>46143</v>
      </c>
      <c r="F59" s="30" t="s">
        <v>50</v>
      </c>
      <c r="G59" s="30" t="s">
        <v>52</v>
      </c>
      <c r="H59" s="30" t="s">
        <v>83</v>
      </c>
      <c r="I59" s="32">
        <v>0.67</v>
      </c>
      <c r="J59" s="35">
        <v>1</v>
      </c>
      <c r="K59" s="32">
        <v>231.33</v>
      </c>
      <c r="L59" s="30" t="s">
        <v>54</v>
      </c>
      <c r="M59" s="31">
        <v>46143</v>
      </c>
      <c r="N59" s="32">
        <v>231.33</v>
      </c>
      <c r="O59" s="33" t="s">
        <v>298</v>
      </c>
      <c r="P59" s="34" t="s">
        <v>300</v>
      </c>
      <c r="S59" s="30" t="s">
        <v>155</v>
      </c>
      <c r="T59" s="33" t="str">
        <f>_xlfn.CONCAT(S59,67)</f>
        <v>00024228072K67</v>
      </c>
      <c r="U59" s="30" t="s">
        <v>427</v>
      </c>
      <c r="V59" s="33" t="s">
        <v>428</v>
      </c>
      <c r="W59" s="33" t="str">
        <f>_xlfn.CONCAT(V59," ",U59)</f>
        <v>RUDOLPH VEERAPEN</v>
      </c>
    </row>
    <row r="60" spans="1:23" s="33" customFormat="1" x14ac:dyDescent="0.25">
      <c r="A60" s="30" t="s">
        <v>101</v>
      </c>
      <c r="B60" s="33">
        <v>17301495</v>
      </c>
      <c r="C60" s="30" t="s">
        <v>106</v>
      </c>
      <c r="D60" s="30" t="s">
        <v>107</v>
      </c>
      <c r="E60" s="31">
        <v>46113</v>
      </c>
      <c r="F60" s="30" t="s">
        <v>109</v>
      </c>
      <c r="G60" s="30" t="s">
        <v>52</v>
      </c>
      <c r="H60" s="30" t="s">
        <v>83</v>
      </c>
      <c r="I60" s="32">
        <v>-0.67</v>
      </c>
      <c r="J60" s="32">
        <v>-1</v>
      </c>
      <c r="K60" s="32">
        <v>-231.33</v>
      </c>
      <c r="L60" s="30" t="s">
        <v>54</v>
      </c>
      <c r="M60" s="31">
        <v>46113</v>
      </c>
      <c r="N60" s="32">
        <v>-231.33</v>
      </c>
      <c r="O60" s="33" t="s">
        <v>298</v>
      </c>
      <c r="P60" s="34" t="s">
        <v>300</v>
      </c>
      <c r="S60" s="30" t="s">
        <v>107</v>
      </c>
      <c r="T60" s="33" t="str">
        <f>_xlfn.CONCAT(S60,67)</f>
        <v>00021653839K67</v>
      </c>
      <c r="U60" s="30" t="s">
        <v>388</v>
      </c>
      <c r="V60" s="33" t="s">
        <v>389</v>
      </c>
      <c r="W60" s="33" t="str">
        <f>_xlfn.CONCAT(V60," ",U60)</f>
        <v>GUADALUPE MEDINA</v>
      </c>
    </row>
    <row r="61" spans="1:23" s="33" customFormat="1" x14ac:dyDescent="0.25">
      <c r="A61" s="30" t="s">
        <v>101</v>
      </c>
      <c r="B61" s="33">
        <v>17301495</v>
      </c>
      <c r="C61" s="30" t="s">
        <v>102</v>
      </c>
      <c r="D61" s="30" t="s">
        <v>103</v>
      </c>
      <c r="E61" s="31">
        <v>46143</v>
      </c>
      <c r="F61" s="30" t="s">
        <v>50</v>
      </c>
      <c r="G61" s="30" t="s">
        <v>52</v>
      </c>
      <c r="H61" s="30" t="s">
        <v>83</v>
      </c>
      <c r="I61" s="32">
        <v>0.67</v>
      </c>
      <c r="J61" s="35">
        <v>1</v>
      </c>
      <c r="K61" s="32">
        <v>231.33</v>
      </c>
      <c r="L61" s="30" t="s">
        <v>54</v>
      </c>
      <c r="M61" s="31">
        <v>46143</v>
      </c>
      <c r="N61" s="32">
        <v>231.33</v>
      </c>
      <c r="O61" s="33" t="s">
        <v>298</v>
      </c>
      <c r="P61" s="34" t="s">
        <v>300</v>
      </c>
      <c r="S61" s="30" t="s">
        <v>103</v>
      </c>
      <c r="T61" s="33" t="str">
        <f>_xlfn.CONCAT(S61,67)</f>
        <v>00017861238K67</v>
      </c>
      <c r="U61" s="30" t="s">
        <v>414</v>
      </c>
      <c r="V61" s="33" t="s">
        <v>415</v>
      </c>
      <c r="W61" s="33" t="str">
        <f>_xlfn.CONCAT(V61," ",U61)</f>
        <v>ELISA OCEGUEDA</v>
      </c>
    </row>
    <row r="62" spans="1:23" s="33" customFormat="1" x14ac:dyDescent="0.25">
      <c r="A62" s="30" t="s">
        <v>176</v>
      </c>
      <c r="B62" s="33">
        <v>21646325</v>
      </c>
      <c r="C62" s="30" t="s">
        <v>180</v>
      </c>
      <c r="D62" s="30" t="s">
        <v>181</v>
      </c>
      <c r="E62" s="31">
        <v>46113</v>
      </c>
      <c r="F62" s="30" t="s">
        <v>109</v>
      </c>
      <c r="G62" s="30" t="s">
        <v>52</v>
      </c>
      <c r="H62" s="30" t="s">
        <v>83</v>
      </c>
      <c r="I62" s="32">
        <v>-0.75</v>
      </c>
      <c r="J62" s="32">
        <v>-1</v>
      </c>
      <c r="K62" s="32">
        <v>-260.25</v>
      </c>
      <c r="L62" s="30" t="s">
        <v>54</v>
      </c>
      <c r="M62" s="31">
        <v>46113</v>
      </c>
      <c r="N62" s="32">
        <v>-260.25</v>
      </c>
      <c r="O62" s="33" t="s">
        <v>298</v>
      </c>
      <c r="P62" s="34" t="s">
        <v>299</v>
      </c>
      <c r="Q62" s="33">
        <f>347/12*9</f>
        <v>260.25</v>
      </c>
      <c r="S62" s="30" t="s">
        <v>181</v>
      </c>
      <c r="T62" s="33" t="str">
        <f>_xlfn.CONCAT(S62,67)</f>
        <v>00026210171K67</v>
      </c>
      <c r="U62" s="30" t="s">
        <v>382</v>
      </c>
      <c r="V62" s="33" t="s">
        <v>383</v>
      </c>
      <c r="W62" s="33" t="str">
        <f>_xlfn.CONCAT(V62," ",U62)</f>
        <v>CARLOS VALADEZ</v>
      </c>
    </row>
    <row r="63" spans="1:23" s="33" customFormat="1" x14ac:dyDescent="0.25">
      <c r="A63" s="30" t="s">
        <v>110</v>
      </c>
      <c r="B63" s="33">
        <v>9213293</v>
      </c>
      <c r="C63" s="30" t="s">
        <v>117</v>
      </c>
      <c r="D63" s="30" t="s">
        <v>118</v>
      </c>
      <c r="E63" s="31">
        <v>46143</v>
      </c>
      <c r="F63" s="30" t="s">
        <v>50</v>
      </c>
      <c r="G63" s="30" t="s">
        <v>52</v>
      </c>
      <c r="H63" s="30" t="s">
        <v>53</v>
      </c>
      <c r="I63" s="32">
        <v>0.67</v>
      </c>
      <c r="J63" s="35">
        <v>1</v>
      </c>
      <c r="K63" s="32">
        <v>231.33</v>
      </c>
      <c r="L63" s="30" t="s">
        <v>54</v>
      </c>
      <c r="M63" s="31">
        <v>46143</v>
      </c>
      <c r="N63" s="32">
        <v>231.33</v>
      </c>
      <c r="O63" s="33" t="s">
        <v>298</v>
      </c>
      <c r="P63" s="34" t="s">
        <v>300</v>
      </c>
      <c r="S63" s="30" t="s">
        <v>118</v>
      </c>
      <c r="T63" s="33" t="str">
        <f>_xlfn.CONCAT(S63,67)</f>
        <v>00026390927K67</v>
      </c>
      <c r="U63" s="30" t="s">
        <v>416</v>
      </c>
      <c r="V63" s="33" t="s">
        <v>417</v>
      </c>
      <c r="W63" s="33" t="str">
        <f>_xlfn.CONCAT(V63," ",U63)</f>
        <v>PATRICIA PARKS</v>
      </c>
    </row>
    <row r="64" spans="1:23" s="33" customFormat="1" x14ac:dyDescent="0.25">
      <c r="A64" s="30" t="s">
        <v>110</v>
      </c>
      <c r="B64" s="33">
        <v>9213293</v>
      </c>
      <c r="C64" s="30" t="s">
        <v>120</v>
      </c>
      <c r="D64" s="30" t="s">
        <v>121</v>
      </c>
      <c r="E64" s="31">
        <v>46143</v>
      </c>
      <c r="F64" s="30" t="s">
        <v>50</v>
      </c>
      <c r="G64" s="30" t="s">
        <v>52</v>
      </c>
      <c r="H64" s="30" t="s">
        <v>53</v>
      </c>
      <c r="I64" s="32">
        <v>0.67</v>
      </c>
      <c r="J64" s="35">
        <v>1</v>
      </c>
      <c r="K64" s="32">
        <v>231.33</v>
      </c>
      <c r="L64" s="30" t="s">
        <v>54</v>
      </c>
      <c r="M64" s="31">
        <v>46143</v>
      </c>
      <c r="N64" s="32">
        <v>231.33</v>
      </c>
      <c r="O64" s="33" t="s">
        <v>298</v>
      </c>
      <c r="P64" s="34" t="s">
        <v>300</v>
      </c>
      <c r="S64" s="30" t="s">
        <v>121</v>
      </c>
      <c r="T64" s="33" t="str">
        <f>_xlfn.CONCAT(S64,67)</f>
        <v>00026393780K67</v>
      </c>
      <c r="U64" s="30" t="s">
        <v>418</v>
      </c>
      <c r="V64" s="33" t="s">
        <v>419</v>
      </c>
      <c r="W64" s="33" t="str">
        <f>_xlfn.CONCAT(V64," ",U64)</f>
        <v>MARGARET CANARY</v>
      </c>
    </row>
    <row r="65" spans="1:23" s="33" customFormat="1" x14ac:dyDescent="0.25">
      <c r="A65" s="30" t="s">
        <v>171</v>
      </c>
      <c r="B65" s="33">
        <v>19645587</v>
      </c>
      <c r="C65" s="30" t="s">
        <v>172</v>
      </c>
      <c r="D65" s="30" t="s">
        <v>173</v>
      </c>
      <c r="E65" s="31">
        <v>46204</v>
      </c>
      <c r="F65" s="30" t="s">
        <v>72</v>
      </c>
      <c r="G65" s="30" t="s">
        <v>52</v>
      </c>
      <c r="H65" s="30" t="s">
        <v>83</v>
      </c>
      <c r="I65" s="32">
        <v>0.5</v>
      </c>
      <c r="J65" s="35">
        <v>1</v>
      </c>
      <c r="K65" s="32">
        <v>173.5</v>
      </c>
      <c r="L65" s="30" t="s">
        <v>54</v>
      </c>
      <c r="M65" s="31">
        <v>46204</v>
      </c>
      <c r="N65" s="32">
        <v>173.5</v>
      </c>
      <c r="O65" s="33" t="s">
        <v>298</v>
      </c>
      <c r="P65" s="34" t="s">
        <v>305</v>
      </c>
      <c r="Q65" s="33">
        <f>347/12*6</f>
        <v>173.5</v>
      </c>
      <c r="S65" s="30" t="s">
        <v>173</v>
      </c>
      <c r="T65" s="33" t="str">
        <f>_xlfn.CONCAT(S65,67)</f>
        <v>00026402416K67</v>
      </c>
      <c r="U65" s="30" t="s">
        <v>398</v>
      </c>
      <c r="V65" s="33" t="s">
        <v>399</v>
      </c>
      <c r="W65" s="33" t="str">
        <f>_xlfn.CONCAT(V65," ",U65)</f>
        <v>SALVADOR TORRES</v>
      </c>
    </row>
    <row r="66" spans="1:23" s="33" customFormat="1" x14ac:dyDescent="0.25">
      <c r="A66" s="30" t="s">
        <v>85</v>
      </c>
      <c r="B66" s="33">
        <v>16228684</v>
      </c>
      <c r="C66" s="30" t="s">
        <v>86</v>
      </c>
      <c r="D66" s="30" t="s">
        <v>87</v>
      </c>
      <c r="E66" s="31">
        <v>46054</v>
      </c>
      <c r="F66" s="30" t="s">
        <v>89</v>
      </c>
      <c r="G66" s="30" t="s">
        <v>52</v>
      </c>
      <c r="H66" s="30" t="s">
        <v>53</v>
      </c>
      <c r="I66" s="32">
        <v>-0.67</v>
      </c>
      <c r="J66" s="32">
        <v>-1</v>
      </c>
      <c r="K66" s="32">
        <v>-231.33</v>
      </c>
      <c r="L66" s="30" t="s">
        <v>54</v>
      </c>
      <c r="M66" s="31">
        <v>46054</v>
      </c>
      <c r="N66" s="32">
        <v>-231.33</v>
      </c>
      <c r="O66" s="33" t="s">
        <v>298</v>
      </c>
      <c r="P66" s="34" t="s">
        <v>300</v>
      </c>
      <c r="S66" s="30" t="s">
        <v>87</v>
      </c>
      <c r="T66" s="33" t="str">
        <f>_xlfn.CONCAT(S66,67)</f>
        <v>00025946847K67</v>
      </c>
      <c r="U66" s="30" t="s">
        <v>386</v>
      </c>
      <c r="V66" s="33" t="s">
        <v>387</v>
      </c>
      <c r="W66" s="33" t="str">
        <f>_xlfn.CONCAT(V66," ",U66)</f>
        <v>GEORGETTE KIDD</v>
      </c>
    </row>
    <row r="67" spans="1:23" s="33" customFormat="1" x14ac:dyDescent="0.25">
      <c r="A67" s="30" t="s">
        <v>149</v>
      </c>
      <c r="B67" s="33">
        <v>19586992</v>
      </c>
      <c r="C67" s="30" t="s">
        <v>150</v>
      </c>
      <c r="D67" s="30" t="s">
        <v>151</v>
      </c>
      <c r="E67" s="31">
        <v>46143</v>
      </c>
      <c r="F67" s="30" t="s">
        <v>50</v>
      </c>
      <c r="G67" s="30" t="s">
        <v>52</v>
      </c>
      <c r="H67" s="30" t="s">
        <v>53</v>
      </c>
      <c r="I67" s="32">
        <v>0.67</v>
      </c>
      <c r="J67" s="35">
        <v>1</v>
      </c>
      <c r="K67" s="32">
        <v>231.33</v>
      </c>
      <c r="L67" s="30" t="s">
        <v>54</v>
      </c>
      <c r="M67" s="31">
        <v>46143</v>
      </c>
      <c r="N67" s="32">
        <v>231.33</v>
      </c>
      <c r="O67" s="33" t="s">
        <v>298</v>
      </c>
      <c r="P67" s="34" t="s">
        <v>300</v>
      </c>
      <c r="S67" s="30" t="s">
        <v>151</v>
      </c>
      <c r="T67" s="33" t="str">
        <f>_xlfn.CONCAT(S67,67)</f>
        <v>00026405783K67</v>
      </c>
      <c r="U67" s="30" t="s">
        <v>425</v>
      </c>
      <c r="V67" s="33" t="s">
        <v>426</v>
      </c>
      <c r="W67" s="33" t="str">
        <f>_xlfn.CONCAT(V67," ",U67)</f>
        <v>CATHERINE BUTLER</v>
      </c>
    </row>
    <row r="68" spans="1:23" s="33" customFormat="1" x14ac:dyDescent="0.25">
      <c r="A68" s="30" t="s">
        <v>159</v>
      </c>
      <c r="B68" s="33">
        <v>19681796</v>
      </c>
      <c r="C68" s="30" t="s">
        <v>160</v>
      </c>
      <c r="D68" s="30" t="s">
        <v>161</v>
      </c>
      <c r="E68" s="31">
        <v>46174</v>
      </c>
      <c r="F68" s="30" t="s">
        <v>134</v>
      </c>
      <c r="G68" s="30" t="s">
        <v>52</v>
      </c>
      <c r="H68" s="30" t="s">
        <v>53</v>
      </c>
      <c r="I68" s="32">
        <v>0.57999999999999996</v>
      </c>
      <c r="J68" s="35">
        <v>1</v>
      </c>
      <c r="K68" s="32">
        <v>202.42</v>
      </c>
      <c r="L68" s="30" t="s">
        <v>54</v>
      </c>
      <c r="M68" s="31">
        <v>46174</v>
      </c>
      <c r="N68" s="32">
        <v>202.42</v>
      </c>
      <c r="O68" s="33" t="s">
        <v>298</v>
      </c>
      <c r="P68" s="34" t="s">
        <v>304</v>
      </c>
      <c r="S68" s="30" t="s">
        <v>161</v>
      </c>
      <c r="T68" s="33" t="str">
        <f>_xlfn.CONCAT(S68,67)</f>
        <v>00026408279K67</v>
      </c>
      <c r="U68" s="30" t="s">
        <v>402</v>
      </c>
      <c r="V68" s="33" t="s">
        <v>342</v>
      </c>
      <c r="W68" s="33" t="str">
        <f>_xlfn.CONCAT(V68," ",U68)</f>
        <v>SUSAN DUBOIS</v>
      </c>
    </row>
    <row r="69" spans="1:23" s="33" customFormat="1" x14ac:dyDescent="0.25">
      <c r="A69" s="30" t="s">
        <v>61</v>
      </c>
      <c r="B69" s="33">
        <v>8307933</v>
      </c>
      <c r="C69" s="30" t="s">
        <v>62</v>
      </c>
      <c r="D69" s="30" t="s">
        <v>63</v>
      </c>
      <c r="E69" s="31">
        <v>46023</v>
      </c>
      <c r="F69" s="30" t="s">
        <v>65</v>
      </c>
      <c r="G69" s="30" t="s">
        <v>52</v>
      </c>
      <c r="H69" s="30" t="s">
        <v>53</v>
      </c>
      <c r="I69" s="32">
        <v>-0.67</v>
      </c>
      <c r="J69" s="32">
        <v>-1</v>
      </c>
      <c r="K69" s="32">
        <v>-231.33</v>
      </c>
      <c r="L69" s="30" t="s">
        <v>54</v>
      </c>
      <c r="M69" s="31">
        <v>46023</v>
      </c>
      <c r="N69" s="32">
        <v>-231.33</v>
      </c>
      <c r="O69" s="33" t="s">
        <v>298</v>
      </c>
      <c r="P69" s="34" t="s">
        <v>300</v>
      </c>
      <c r="S69" s="30" t="s">
        <v>63</v>
      </c>
      <c r="T69" s="33" t="str">
        <f>_xlfn.CONCAT(S69,67)</f>
        <v>00014844529K67</v>
      </c>
      <c r="U69" s="30" t="s">
        <v>384</v>
      </c>
      <c r="V69" s="33" t="s">
        <v>385</v>
      </c>
      <c r="W69" s="33" t="str">
        <f>_xlfn.CONCAT(V69," ",U69)</f>
        <v>BETHANY PROESCH</v>
      </c>
    </row>
    <row r="70" spans="1:23" s="33" customFormat="1" x14ac:dyDescent="0.25">
      <c r="A70" s="30" t="s">
        <v>61</v>
      </c>
      <c r="B70" s="33">
        <v>8307933</v>
      </c>
      <c r="C70" s="30" t="s">
        <v>69</v>
      </c>
      <c r="D70" s="30" t="s">
        <v>70</v>
      </c>
      <c r="E70" s="31">
        <v>46204</v>
      </c>
      <c r="F70" s="30" t="s">
        <v>72</v>
      </c>
      <c r="G70" s="30" t="s">
        <v>52</v>
      </c>
      <c r="H70" s="30" t="s">
        <v>53</v>
      </c>
      <c r="I70" s="32">
        <v>0.5</v>
      </c>
      <c r="J70" s="35">
        <v>1</v>
      </c>
      <c r="K70" s="32">
        <v>173.5</v>
      </c>
      <c r="L70" s="30" t="s">
        <v>54</v>
      </c>
      <c r="M70" s="31">
        <v>46204</v>
      </c>
      <c r="N70" s="32">
        <v>173.5</v>
      </c>
      <c r="O70" s="33" t="s">
        <v>298</v>
      </c>
      <c r="P70" s="34" t="s">
        <v>305</v>
      </c>
      <c r="S70" s="30" t="s">
        <v>70</v>
      </c>
      <c r="T70" s="33" t="str">
        <f>_xlfn.CONCAT(S70,67)</f>
        <v>00026392222K67</v>
      </c>
      <c r="U70" s="30" t="s">
        <v>394</v>
      </c>
      <c r="V70" s="33" t="s">
        <v>395</v>
      </c>
      <c r="W70" s="33" t="str">
        <f>_xlfn.CONCAT(V70," ",U70)</f>
        <v>CHRISTOPHER MINOR</v>
      </c>
    </row>
    <row r="71" spans="1:23" s="33" customFormat="1" x14ac:dyDescent="0.25">
      <c r="A71" s="30" t="s">
        <v>61</v>
      </c>
      <c r="B71" s="33">
        <v>8307933</v>
      </c>
      <c r="C71" s="30" t="s">
        <v>73</v>
      </c>
      <c r="D71" s="30" t="s">
        <v>74</v>
      </c>
      <c r="E71" s="31">
        <v>46204</v>
      </c>
      <c r="F71" s="30" t="s">
        <v>72</v>
      </c>
      <c r="G71" s="30" t="s">
        <v>52</v>
      </c>
      <c r="H71" s="30" t="s">
        <v>53</v>
      </c>
      <c r="I71" s="32">
        <v>0.5</v>
      </c>
      <c r="J71" s="35">
        <v>1</v>
      </c>
      <c r="K71" s="32">
        <v>173.5</v>
      </c>
      <c r="L71" s="30" t="s">
        <v>54</v>
      </c>
      <c r="M71" s="31">
        <v>46204</v>
      </c>
      <c r="N71" s="32">
        <v>173.5</v>
      </c>
      <c r="O71" s="33" t="s">
        <v>298</v>
      </c>
      <c r="P71" s="34" t="s">
        <v>305</v>
      </c>
      <c r="S71" s="30" t="s">
        <v>74</v>
      </c>
      <c r="T71" s="33" t="str">
        <f>_xlfn.CONCAT(S71,67)</f>
        <v>00026392810K67</v>
      </c>
      <c r="U71" s="30" t="s">
        <v>396</v>
      </c>
      <c r="V71" s="33" t="s">
        <v>397</v>
      </c>
      <c r="W71" s="33" t="str">
        <f>_xlfn.CONCAT(V71," ",U71)</f>
        <v>PAMELA VEST</v>
      </c>
    </row>
    <row r="72" spans="1:23" s="33" customFormat="1" x14ac:dyDescent="0.25">
      <c r="A72" s="30" t="s">
        <v>61</v>
      </c>
      <c r="B72" s="33">
        <v>8307933</v>
      </c>
      <c r="C72" s="30" t="s">
        <v>66</v>
      </c>
      <c r="D72" s="30" t="s">
        <v>67</v>
      </c>
      <c r="E72" s="31">
        <v>46143</v>
      </c>
      <c r="F72" s="30" t="s">
        <v>50</v>
      </c>
      <c r="G72" s="30" t="s">
        <v>52</v>
      </c>
      <c r="H72" s="30" t="s">
        <v>53</v>
      </c>
      <c r="I72" s="32">
        <v>0.67</v>
      </c>
      <c r="J72" s="35">
        <v>1</v>
      </c>
      <c r="K72" s="32">
        <v>231.33</v>
      </c>
      <c r="L72" s="30" t="s">
        <v>54</v>
      </c>
      <c r="M72" s="31">
        <v>46143</v>
      </c>
      <c r="N72" s="32">
        <v>231.33</v>
      </c>
      <c r="O72" s="33" t="s">
        <v>298</v>
      </c>
      <c r="P72" s="34" t="s">
        <v>300</v>
      </c>
      <c r="S72" s="30" t="s">
        <v>67</v>
      </c>
      <c r="T72" s="33" t="str">
        <f>_xlfn.CONCAT(S72,67)</f>
        <v>00026174068K67</v>
      </c>
      <c r="U72" s="30" t="s">
        <v>406</v>
      </c>
      <c r="V72" s="33" t="s">
        <v>407</v>
      </c>
      <c r="W72" s="33" t="str">
        <f>_xlfn.CONCAT(V72," ",U72)</f>
        <v>DIANE MAJOR</v>
      </c>
    </row>
    <row r="73" spans="1:23" s="33" customFormat="1" x14ac:dyDescent="0.25">
      <c r="A73" s="30" t="s">
        <v>61</v>
      </c>
      <c r="B73" s="33">
        <v>8307933</v>
      </c>
      <c r="C73" s="30" t="s">
        <v>76</v>
      </c>
      <c r="D73" s="30" t="s">
        <v>77</v>
      </c>
      <c r="E73" s="31">
        <v>46143</v>
      </c>
      <c r="F73" s="30" t="s">
        <v>50</v>
      </c>
      <c r="G73" s="30" t="s">
        <v>52</v>
      </c>
      <c r="H73" s="30" t="s">
        <v>53</v>
      </c>
      <c r="I73" s="32">
        <v>0.67</v>
      </c>
      <c r="J73" s="35">
        <v>1</v>
      </c>
      <c r="K73" s="32">
        <v>231.33</v>
      </c>
      <c r="L73" s="30" t="s">
        <v>54</v>
      </c>
      <c r="M73" s="31">
        <v>46143</v>
      </c>
      <c r="N73" s="32">
        <v>231.33</v>
      </c>
      <c r="O73" s="33" t="s">
        <v>298</v>
      </c>
      <c r="P73" s="34" t="s">
        <v>300</v>
      </c>
      <c r="S73" s="30" t="s">
        <v>77</v>
      </c>
      <c r="T73" s="33" t="str">
        <f>_xlfn.CONCAT(S73,67)</f>
        <v>00026394435K67</v>
      </c>
      <c r="U73" s="30" t="s">
        <v>408</v>
      </c>
      <c r="V73" s="33" t="s">
        <v>409</v>
      </c>
      <c r="W73" s="33" t="str">
        <f>_xlfn.CONCAT(V73," ",U73)</f>
        <v>METE DURUM</v>
      </c>
    </row>
    <row r="74" spans="1:23" s="33" customFormat="1" x14ac:dyDescent="0.25">
      <c r="A74" s="30" t="s">
        <v>79</v>
      </c>
      <c r="B74" s="33">
        <v>8325282</v>
      </c>
      <c r="C74" s="30" t="s">
        <v>80</v>
      </c>
      <c r="D74" s="30" t="s">
        <v>81</v>
      </c>
      <c r="E74" s="31">
        <v>46143</v>
      </c>
      <c r="F74" s="30" t="s">
        <v>50</v>
      </c>
      <c r="G74" s="30" t="s">
        <v>52</v>
      </c>
      <c r="H74" s="30" t="s">
        <v>83</v>
      </c>
      <c r="I74" s="32">
        <v>0.67</v>
      </c>
      <c r="J74" s="35">
        <v>1</v>
      </c>
      <c r="K74" s="32">
        <v>231.33</v>
      </c>
      <c r="L74" s="30" t="s">
        <v>54</v>
      </c>
      <c r="M74" s="31">
        <v>46143</v>
      </c>
      <c r="N74" s="32">
        <v>231.33</v>
      </c>
      <c r="O74" s="33" t="s">
        <v>298</v>
      </c>
      <c r="P74" s="34" t="s">
        <v>300</v>
      </c>
      <c r="S74" s="30" t="s">
        <v>81</v>
      </c>
      <c r="T74" s="33" t="str">
        <f>_xlfn.CONCAT(S74,67)</f>
        <v>00026395369K67</v>
      </c>
      <c r="U74" s="30" t="s">
        <v>410</v>
      </c>
      <c r="V74" s="33" t="s">
        <v>411</v>
      </c>
      <c r="W74" s="33" t="str">
        <f>_xlfn.CONCAT(V74," ",U74)</f>
        <v>JAMES MINER</v>
      </c>
    </row>
    <row r="75" spans="1:23" s="33" customFormat="1" x14ac:dyDescent="0.25">
      <c r="A75" s="30" t="s">
        <v>145</v>
      </c>
      <c r="B75" s="33">
        <v>19481808</v>
      </c>
      <c r="C75" s="30" t="s">
        <v>146</v>
      </c>
      <c r="D75" s="30" t="s">
        <v>147</v>
      </c>
      <c r="E75" s="31">
        <v>46023</v>
      </c>
      <c r="F75" s="30" t="s">
        <v>65</v>
      </c>
      <c r="G75" s="30" t="s">
        <v>52</v>
      </c>
      <c r="H75" s="30" t="s">
        <v>53</v>
      </c>
      <c r="I75" s="32">
        <v>-0.67</v>
      </c>
      <c r="J75" s="32">
        <v>-1</v>
      </c>
      <c r="K75" s="32">
        <v>-231.33</v>
      </c>
      <c r="L75" s="30" t="s">
        <v>54</v>
      </c>
      <c r="M75" s="31">
        <v>46023</v>
      </c>
      <c r="N75" s="32">
        <v>-231.33</v>
      </c>
      <c r="O75" s="33" t="s">
        <v>298</v>
      </c>
      <c r="P75" s="34" t="s">
        <v>300</v>
      </c>
      <c r="S75" s="30" t="s">
        <v>147</v>
      </c>
      <c r="T75" s="33" t="str">
        <f>_xlfn.CONCAT(S75,67)</f>
        <v>00002245097K67</v>
      </c>
      <c r="U75" s="30" t="s">
        <v>390</v>
      </c>
      <c r="V75" s="33" t="s">
        <v>391</v>
      </c>
      <c r="W75" s="33" t="str">
        <f>_xlfn.CONCAT(V75," ",U75)</f>
        <v>MICHELLE ODELL</v>
      </c>
    </row>
    <row r="76" spans="1:23" s="33" customFormat="1" x14ac:dyDescent="0.25">
      <c r="A76" s="30" t="s">
        <v>123</v>
      </c>
      <c r="B76" s="33">
        <v>18754354</v>
      </c>
      <c r="C76" s="30" t="s">
        <v>124</v>
      </c>
      <c r="D76" s="30" t="s">
        <v>125</v>
      </c>
      <c r="E76" s="31">
        <v>46143</v>
      </c>
      <c r="F76" s="30" t="s">
        <v>50</v>
      </c>
      <c r="G76" s="30" t="s">
        <v>52</v>
      </c>
      <c r="H76" s="30" t="s">
        <v>83</v>
      </c>
      <c r="I76" s="32">
        <v>0.67</v>
      </c>
      <c r="J76" s="35">
        <v>1</v>
      </c>
      <c r="K76" s="32">
        <v>231.33</v>
      </c>
      <c r="L76" s="30" t="s">
        <v>54</v>
      </c>
      <c r="M76" s="31">
        <v>46143</v>
      </c>
      <c r="N76" s="32">
        <v>231.33</v>
      </c>
      <c r="O76" s="33" t="s">
        <v>298</v>
      </c>
      <c r="P76" s="34" t="s">
        <v>300</v>
      </c>
      <c r="S76" s="30" t="s">
        <v>125</v>
      </c>
      <c r="T76" s="33" t="str">
        <f>_xlfn.CONCAT(S76,67)</f>
        <v>00026391149K67</v>
      </c>
      <c r="U76" s="30" t="s">
        <v>420</v>
      </c>
      <c r="V76" s="33" t="s">
        <v>316</v>
      </c>
      <c r="W76" s="33" t="str">
        <f>_xlfn.CONCAT(V76," ",U76)</f>
        <v>JOHN REGAN</v>
      </c>
    </row>
    <row r="78" spans="1:23" s="22" customFormat="1" x14ac:dyDescent="0.25">
      <c r="A78" s="18" t="s">
        <v>163</v>
      </c>
      <c r="B78" s="19">
        <v>1831491</v>
      </c>
      <c r="C78" s="18" t="s">
        <v>263</v>
      </c>
      <c r="D78" s="18" t="s">
        <v>264</v>
      </c>
      <c r="E78" s="20">
        <v>46023</v>
      </c>
      <c r="F78" s="18" t="s">
        <v>65</v>
      </c>
      <c r="G78" s="18" t="s">
        <v>52</v>
      </c>
      <c r="H78" s="18" t="s">
        <v>47</v>
      </c>
      <c r="I78" s="21">
        <v>0</v>
      </c>
      <c r="J78" s="21">
        <v>-2938.64</v>
      </c>
      <c r="K78" s="21">
        <v>-16.72</v>
      </c>
      <c r="L78" s="18" t="s">
        <v>265</v>
      </c>
      <c r="M78" s="20">
        <v>46023</v>
      </c>
      <c r="N78" s="20"/>
    </row>
  </sheetData>
  <sortState xmlns:xlrd2="http://schemas.microsoft.com/office/spreadsheetml/2017/richdata2" ref="A2:X76">
    <sortCondition ref="O2:O7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2026-04-23T09:21:39Z</dcterms:created>
  <dcterms:modified xsi:type="dcterms:W3CDTF">2026-04-24T13:42:38Z</dcterms:modified>
</cp:coreProperties>
</file>