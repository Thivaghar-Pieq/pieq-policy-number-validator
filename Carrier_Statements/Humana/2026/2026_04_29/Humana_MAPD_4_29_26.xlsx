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Humana MAPD\2026\2026-04-29\"/>
    </mc:Choice>
  </mc:AlternateContent>
  <xr:revisionPtr revIDLastSave="0" documentId="13_ncr:1_{12B89362-0F80-480B-A9DA-D9C07A13B135}" xr6:coauthVersionLast="47" xr6:coauthVersionMax="47" xr10:uidLastSave="{00000000-0000-0000-0000-000000000000}"/>
  <bookViews>
    <workbookView xWindow="28680" yWindow="-30" windowWidth="29040" windowHeight="16440" activeTab="1" xr2:uid="{D8B69C3E-4E3C-41E1-AB98-6372AEE919CD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8" i="2" l="1"/>
  <c r="V7" i="2"/>
  <c r="V6" i="2"/>
  <c r="V56" i="2"/>
  <c r="V38" i="2"/>
  <c r="V59" i="2"/>
  <c r="V57" i="2"/>
  <c r="V71" i="2"/>
  <c r="V72" i="2"/>
  <c r="V73" i="2"/>
  <c r="V74" i="2"/>
  <c r="V75" i="2"/>
  <c r="V76" i="2"/>
  <c r="V77" i="2"/>
  <c r="V78" i="2"/>
  <c r="V69" i="2"/>
  <c r="V68" i="2"/>
  <c r="V70" i="2"/>
  <c r="V55" i="2"/>
  <c r="V64" i="2"/>
  <c r="V62" i="2"/>
  <c r="V61" i="2"/>
  <c r="V51" i="2"/>
  <c r="V52" i="2"/>
  <c r="V53" i="2"/>
  <c r="V48" i="2"/>
  <c r="V49" i="2"/>
  <c r="V50" i="2"/>
  <c r="V46" i="2"/>
  <c r="V39" i="2"/>
  <c r="V47" i="2"/>
  <c r="V44" i="2"/>
  <c r="V45" i="2"/>
  <c r="V34" i="2"/>
  <c r="V40" i="2"/>
  <c r="V41" i="2"/>
  <c r="V42" i="2"/>
  <c r="V43" i="2"/>
  <c r="V35" i="2"/>
  <c r="V36" i="2"/>
  <c r="V37" i="2"/>
  <c r="V33" i="2"/>
  <c r="V26" i="2"/>
  <c r="V27" i="2"/>
  <c r="V32" i="2"/>
  <c r="V28" i="2"/>
  <c r="V29" i="2"/>
  <c r="V30" i="2"/>
  <c r="V22" i="2"/>
  <c r="V23" i="2"/>
  <c r="V11" i="2"/>
  <c r="V12" i="2"/>
  <c r="V13" i="2"/>
  <c r="V14" i="2"/>
  <c r="V25" i="2"/>
  <c r="V24" i="2"/>
  <c r="V15" i="2"/>
  <c r="V16" i="2"/>
  <c r="V17" i="2"/>
  <c r="V18" i="2"/>
  <c r="V21" i="2"/>
  <c r="V19" i="2"/>
  <c r="V20" i="2"/>
  <c r="V10" i="2"/>
  <c r="V58" i="2"/>
  <c r="V31" i="2"/>
  <c r="V83" i="2"/>
  <c r="V81" i="2"/>
  <c r="V63" i="2"/>
  <c r="V54" i="2"/>
  <c r="V2" i="2"/>
  <c r="V86" i="2"/>
  <c r="V3" i="2"/>
  <c r="V82" i="2"/>
  <c r="V84" i="2"/>
  <c r="V5" i="2"/>
  <c r="V65" i="2"/>
  <c r="V4" i="2"/>
  <c r="V79" i="2"/>
  <c r="V80" i="2"/>
  <c r="V85" i="2"/>
  <c r="V60" i="2"/>
  <c r="V66" i="2"/>
  <c r="V67" i="2"/>
  <c r="V9" i="2"/>
  <c r="R67" i="2"/>
  <c r="R66" i="2"/>
  <c r="R85" i="2"/>
  <c r="R80" i="2"/>
  <c r="R79" i="2"/>
  <c r="R4" i="2"/>
  <c r="R65" i="2"/>
  <c r="R5" i="2"/>
  <c r="R84" i="2"/>
  <c r="R82" i="2"/>
  <c r="R3" i="2"/>
  <c r="R86" i="2"/>
  <c r="R2" i="2"/>
  <c r="R54" i="2"/>
  <c r="R63" i="2"/>
  <c r="R81" i="2"/>
  <c r="R83" i="2"/>
  <c r="R31" i="2"/>
  <c r="R58" i="2"/>
  <c r="R10" i="2"/>
  <c r="R20" i="2"/>
  <c r="R19" i="2"/>
  <c r="R21" i="2"/>
  <c r="R18" i="2"/>
  <c r="R17" i="2"/>
  <c r="R16" i="2"/>
  <c r="R15" i="2"/>
  <c r="R24" i="2"/>
  <c r="R25" i="2"/>
  <c r="R14" i="2"/>
  <c r="R13" i="2"/>
  <c r="R12" i="2"/>
  <c r="R11" i="2"/>
  <c r="R23" i="2"/>
  <c r="R22" i="2"/>
  <c r="R30" i="2"/>
  <c r="R29" i="2"/>
  <c r="R28" i="2"/>
  <c r="R32" i="2"/>
  <c r="R27" i="2"/>
  <c r="R26" i="2"/>
  <c r="R33" i="2"/>
  <c r="R37" i="2"/>
  <c r="R36" i="2"/>
  <c r="R35" i="2"/>
  <c r="R43" i="2"/>
  <c r="R42" i="2"/>
  <c r="R41" i="2"/>
  <c r="R40" i="2"/>
  <c r="R34" i="2"/>
  <c r="R45" i="2"/>
  <c r="R44" i="2"/>
  <c r="R47" i="2"/>
  <c r="R39" i="2"/>
  <c r="R46" i="2"/>
  <c r="R50" i="2"/>
  <c r="R49" i="2"/>
  <c r="R48" i="2"/>
  <c r="R53" i="2"/>
  <c r="R52" i="2"/>
  <c r="R51" i="2"/>
  <c r="R61" i="2"/>
  <c r="R62" i="2"/>
  <c r="R64" i="2"/>
  <c r="R55" i="2"/>
  <c r="R60" i="2"/>
  <c r="R70" i="2"/>
  <c r="R68" i="2"/>
  <c r="R69" i="2"/>
  <c r="R78" i="2"/>
  <c r="R77" i="2"/>
  <c r="R76" i="2"/>
  <c r="R75" i="2"/>
  <c r="R74" i="2"/>
  <c r="R73" i="2"/>
  <c r="R72" i="2"/>
  <c r="R71" i="2"/>
  <c r="R57" i="2"/>
  <c r="R59" i="2"/>
  <c r="R38" i="2"/>
  <c r="R56" i="2"/>
  <c r="R6" i="2"/>
  <c r="R7" i="2"/>
  <c r="R8" i="2"/>
  <c r="R9" i="2"/>
  <c r="P54" i="2"/>
  <c r="P2" i="2"/>
</calcChain>
</file>

<file path=xl/sharedStrings.xml><?xml version="1.0" encoding="utf-8"?>
<sst xmlns="http://schemas.openxmlformats.org/spreadsheetml/2006/main" count="3635" uniqueCount="450">
  <si>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</si>
  <si>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</si>
  <si>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</si>
  <si>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</si>
  <si>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</si>
  <si>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</si>
  <si>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</si>
  <si>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</si>
  <si>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</si>
  <si>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</si>
  <si>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</si>
  <si>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</si>
  <si>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</si>
  <si>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</si>
  <si>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</si>
  <si>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</si>
  <si>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</si>
  <si>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</si>
  <si>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</si>
  <si>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</si>
  <si>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</si>
  <si>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</si>
  <si>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</si>
  <si>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</si>
  <si>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</si>
  <si>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</si>
  <si>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</si>
  <si>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</si>
  <si>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</si>
  <si>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</si>
  <si>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</si>
  <si>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</si>
  <si>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</si>
  <si>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</si>
  <si>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</si>
  <si>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</si>
  <si>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</si>
  <si>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</si>
  <si>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</si>
  <si>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</si>
  <si>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</si>
  <si>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</si>
  <si>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</si>
  <si>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TEIPEL GREGORY K</t>
  </si>
  <si>
    <t>YI ANNA H</t>
  </si>
  <si>
    <t>00026260016K</t>
  </si>
  <si>
    <t>3AM8WW0UP38</t>
  </si>
  <si>
    <t/>
  </si>
  <si>
    <t>MA</t>
  </si>
  <si>
    <t>LV</t>
  </si>
  <si>
    <t>MAY</t>
  </si>
  <si>
    <t>F</t>
  </si>
  <si>
    <t>MEDICARE</t>
  </si>
  <si>
    <t>MER</t>
  </si>
  <si>
    <t>FIRST YEAR COMMISSIONS</t>
  </si>
  <si>
    <t>ARCF</t>
  </si>
  <si>
    <t>H4329</t>
  </si>
  <si>
    <t>TARALLO VINCE</t>
  </si>
  <si>
    <t>00026417432K</t>
  </si>
  <si>
    <t>6M80YY9JJ44</t>
  </si>
  <si>
    <t>H1468</t>
  </si>
  <si>
    <t>DAUGHERTY MATTHEW</t>
  </si>
  <si>
    <t>ABSHER DEBRA S</t>
  </si>
  <si>
    <t>00017506241K</t>
  </si>
  <si>
    <t>9D41D96DG28</t>
  </si>
  <si>
    <t>H4461</t>
  </si>
  <si>
    <t>YALE RICHARD A A</t>
  </si>
  <si>
    <t>FISHMAN HOWARD P</t>
  </si>
  <si>
    <t>00026426888K</t>
  </si>
  <si>
    <t>4NX9GG3KM16</t>
  </si>
  <si>
    <t>MEP</t>
  </si>
  <si>
    <t>H7617</t>
  </si>
  <si>
    <t>PORTUGAL GARY</t>
  </si>
  <si>
    <t>HUYNH BICH T</t>
  </si>
  <si>
    <t>00026413635K</t>
  </si>
  <si>
    <t>5GD9JN5NA51</t>
  </si>
  <si>
    <t>H1036</t>
  </si>
  <si>
    <t>ABDUL SAADIA S</t>
  </si>
  <si>
    <t>BERKSHIRE TAMMIE M</t>
  </si>
  <si>
    <t>00026415288K</t>
  </si>
  <si>
    <t>7QW0KU0PH02</t>
  </si>
  <si>
    <t>JUN</t>
  </si>
  <si>
    <t>BEGUM KHAIRUNNISA</t>
  </si>
  <si>
    <t>00026422214K</t>
  </si>
  <si>
    <t>8G97U03EH34</t>
  </si>
  <si>
    <t>DRAGOZETICH LAWRENCE J</t>
  </si>
  <si>
    <t>00026426494K</t>
  </si>
  <si>
    <t>6HF3GX8NV00</t>
  </si>
  <si>
    <t>SANTOS RICARDO D</t>
  </si>
  <si>
    <t>HIDALGO LIBRADO R</t>
  </si>
  <si>
    <t>00026423200K</t>
  </si>
  <si>
    <t>3DJ1PX0HJ93</t>
  </si>
  <si>
    <t>PORTUGAL STACEY A</t>
  </si>
  <si>
    <t>GROUP MANUAL</t>
  </si>
  <si>
    <t>00000345126I</t>
  </si>
  <si>
    <t>JAN</t>
  </si>
  <si>
    <t>R</t>
  </si>
  <si>
    <t>MEF</t>
  </si>
  <si>
    <t>ADJUSTMENT RENEWAL</t>
  </si>
  <si>
    <t>ISPZ</t>
  </si>
  <si>
    <t>H1804</t>
  </si>
  <si>
    <t>BLITSTEIN SHERWOOD E</t>
  </si>
  <si>
    <t>00024569416K</t>
  </si>
  <si>
    <t>3QK4DM5CU72</t>
  </si>
  <si>
    <t>PDP</t>
  </si>
  <si>
    <t>MEDICARE 2ND HALF FIRST YEAR COMM</t>
  </si>
  <si>
    <t>MED2</t>
  </si>
  <si>
    <t>S5884</t>
  </si>
  <si>
    <t>SERIO TOM E</t>
  </si>
  <si>
    <t>BAERTSCHI JOHN D</t>
  </si>
  <si>
    <t>00026415867K</t>
  </si>
  <si>
    <t>6WM6CQ4EE61</t>
  </si>
  <si>
    <t>TORRES JOSE</t>
  </si>
  <si>
    <t>LESCANO ALFREDO I</t>
  </si>
  <si>
    <t>00026413680K</t>
  </si>
  <si>
    <t>1GC0Y36FG05</t>
  </si>
  <si>
    <t>SHAPIRO ROBERT A</t>
  </si>
  <si>
    <t>REED DARRYL</t>
  </si>
  <si>
    <t>00026223632K</t>
  </si>
  <si>
    <t>1HK5HF0DM65</t>
  </si>
  <si>
    <t>BEAUPIED JOHN P</t>
  </si>
  <si>
    <t>00026428954K</t>
  </si>
  <si>
    <t>1WK3YR9HX85</t>
  </si>
  <si>
    <t>FUENTES VICTOR</t>
  </si>
  <si>
    <t>RODRIGUEZ DAVILA CELINA</t>
  </si>
  <si>
    <t>00026424182K</t>
  </si>
  <si>
    <t>8K30GF2VV90</t>
  </si>
  <si>
    <t>JUL</t>
  </si>
  <si>
    <t>NEVAREZ ANTONIA</t>
  </si>
  <si>
    <t>DUARTE JULIETA</t>
  </si>
  <si>
    <t>00024848882K</t>
  </si>
  <si>
    <t>1KA2VW4DX97</t>
  </si>
  <si>
    <t>MAR</t>
  </si>
  <si>
    <t>DEATON PAMELA S</t>
  </si>
  <si>
    <t>BUCK JENNIFER B</t>
  </si>
  <si>
    <t>00001035274A</t>
  </si>
  <si>
    <t>MS</t>
  </si>
  <si>
    <t>N</t>
  </si>
  <si>
    <t>BOSTON TIMOTHY A</t>
  </si>
  <si>
    <t>00001067067A</t>
  </si>
  <si>
    <t>HOSELTON STEVE D</t>
  </si>
  <si>
    <t>00001136123A</t>
  </si>
  <si>
    <t>MONAHAN GAIL M</t>
  </si>
  <si>
    <t>00001153878A</t>
  </si>
  <si>
    <t>MED SUPP ANNUALIZED STANDARD</t>
  </si>
  <si>
    <t>MSAS</t>
  </si>
  <si>
    <t>HUNSBERGER ANTHONY J</t>
  </si>
  <si>
    <t>Hanahan Barbara</t>
  </si>
  <si>
    <t>9025228750</t>
  </si>
  <si>
    <t>IN</t>
  </si>
  <si>
    <t>CB</t>
  </si>
  <si>
    <t>DENTAL</t>
  </si>
  <si>
    <t>COMPBENEFITS RENEWAL COMMISSION</t>
  </si>
  <si>
    <t>CRCM</t>
  </si>
  <si>
    <t>RICHTER ADAM J</t>
  </si>
  <si>
    <t>WHITE BRUCE E</t>
  </si>
  <si>
    <t>00000959227A</t>
  </si>
  <si>
    <t>RENEWAL COMMISSIONS</t>
  </si>
  <si>
    <t>ARCM</t>
  </si>
  <si>
    <t>INSKIPT DEBORAH L</t>
  </si>
  <si>
    <t>BRACE TIMMY L</t>
  </si>
  <si>
    <t>00000871454A</t>
  </si>
  <si>
    <t>MED SUPP RENEWAL ACHIEVE</t>
  </si>
  <si>
    <t>MSRA</t>
  </si>
  <si>
    <t>OLIVER BRITTANY</t>
  </si>
  <si>
    <t>Miller Karen</t>
  </si>
  <si>
    <t>9032250000</t>
  </si>
  <si>
    <t>VISION</t>
  </si>
  <si>
    <t>COMPBENEFITS FIRST YEAR COMMISSION</t>
  </si>
  <si>
    <t>CRCF</t>
  </si>
  <si>
    <t>MCCORKLE MICHELLE</t>
  </si>
  <si>
    <t>Danley Ryan</t>
  </si>
  <si>
    <t>9030925080</t>
  </si>
  <si>
    <t>Estakhri Hengameh</t>
  </si>
  <si>
    <t>9030969880</t>
  </si>
  <si>
    <t>DUNAVANT MICHAEL</t>
  </si>
  <si>
    <t>MCCLURE SUSAN K</t>
  </si>
  <si>
    <t>00001001198A</t>
  </si>
  <si>
    <t>Urish Gerald</t>
  </si>
  <si>
    <t>9030509330</t>
  </si>
  <si>
    <t>Gambetti Brianna</t>
  </si>
  <si>
    <t>9030544330</t>
  </si>
  <si>
    <t>Taylor David</t>
  </si>
  <si>
    <t>9030558330</t>
  </si>
  <si>
    <t>Shaw Robert</t>
  </si>
  <si>
    <t>9030572460</t>
  </si>
  <si>
    <t>Sisco Eric</t>
  </si>
  <si>
    <t>9030577770</t>
  </si>
  <si>
    <t>Round Laurie</t>
  </si>
  <si>
    <t>9030582430</t>
  </si>
  <si>
    <t>Ferris Ron</t>
  </si>
  <si>
    <t>9030645140</t>
  </si>
  <si>
    <t>Johnson Eric</t>
  </si>
  <si>
    <t>9030645550</t>
  </si>
  <si>
    <t>Shirkey Victoria</t>
  </si>
  <si>
    <t>9030645560</t>
  </si>
  <si>
    <t>Thompson Thomas</t>
  </si>
  <si>
    <t>9030651770</t>
  </si>
  <si>
    <t>Dauer Nancy</t>
  </si>
  <si>
    <t>9030652040</t>
  </si>
  <si>
    <t>Sciutto John</t>
  </si>
  <si>
    <t>9030652540</t>
  </si>
  <si>
    <t>Simmons-Hutson Cheryl</t>
  </si>
  <si>
    <t>9030675550</t>
  </si>
  <si>
    <t>Bond Edward</t>
  </si>
  <si>
    <t>9030683010</t>
  </si>
  <si>
    <t>Sharad Arappat Shaji Fnu</t>
  </si>
  <si>
    <t>9030703310</t>
  </si>
  <si>
    <t>Boma Mary</t>
  </si>
  <si>
    <t>9030719950</t>
  </si>
  <si>
    <t>Kasprzak Kenneth</t>
  </si>
  <si>
    <t>9030782820</t>
  </si>
  <si>
    <t>Galloway Jacqueline</t>
  </si>
  <si>
    <t>9030840840</t>
  </si>
  <si>
    <t>Stokes Thomas</t>
  </si>
  <si>
    <t>9030895100</t>
  </si>
  <si>
    <t>Fewell Robin</t>
  </si>
  <si>
    <t>9030924610</t>
  </si>
  <si>
    <t>Rolfs Patrick</t>
  </si>
  <si>
    <t>9030982390</t>
  </si>
  <si>
    <t>Quiram Dana</t>
  </si>
  <si>
    <t>9030996000</t>
  </si>
  <si>
    <t>Trost James</t>
  </si>
  <si>
    <t>9031076870</t>
  </si>
  <si>
    <t>Shumaker Sydney</t>
  </si>
  <si>
    <t>9031221000</t>
  </si>
  <si>
    <t>Heckmann Hannelore</t>
  </si>
  <si>
    <t>9031241060</t>
  </si>
  <si>
    <t>Forbes Linda</t>
  </si>
  <si>
    <t>9031246400</t>
  </si>
  <si>
    <t>Hancock Penny</t>
  </si>
  <si>
    <t>9031317020</t>
  </si>
  <si>
    <t>Proeber David</t>
  </si>
  <si>
    <t>9031323610</t>
  </si>
  <si>
    <t>Shmikler Michelle</t>
  </si>
  <si>
    <t>9031377640</t>
  </si>
  <si>
    <t>Eckmann Bryan</t>
  </si>
  <si>
    <t>9031392680</t>
  </si>
  <si>
    <t>Kingdon Deborah</t>
  </si>
  <si>
    <t>9031414170</t>
  </si>
  <si>
    <t>Loeffler Debra</t>
  </si>
  <si>
    <t>9031418110</t>
  </si>
  <si>
    <t>Priaulx Thomas</t>
  </si>
  <si>
    <t>9031424040</t>
  </si>
  <si>
    <t>Freed Cynthia</t>
  </si>
  <si>
    <t>9031431760</t>
  </si>
  <si>
    <t>Dolk Peter</t>
  </si>
  <si>
    <t>9031492650</t>
  </si>
  <si>
    <t>Griffin Cheryl</t>
  </si>
  <si>
    <t>9031492860</t>
  </si>
  <si>
    <t>Hofmann Kristi</t>
  </si>
  <si>
    <t>9031517160</t>
  </si>
  <si>
    <t>Overholt David</t>
  </si>
  <si>
    <t>9031517600</t>
  </si>
  <si>
    <t>Dinges Virginia</t>
  </si>
  <si>
    <t>9031522530</t>
  </si>
  <si>
    <t>Ramos Maria</t>
  </si>
  <si>
    <t>9031611830</t>
  </si>
  <si>
    <t>Ramos Salfrie</t>
  </si>
  <si>
    <t>9031611980</t>
  </si>
  <si>
    <t>Brooks Darlene</t>
  </si>
  <si>
    <t>9032267610</t>
  </si>
  <si>
    <t>KOZACHECK ANNE MARIE</t>
  </si>
  <si>
    <t>ROSE CHARLENE D</t>
  </si>
  <si>
    <t>00000926201A</t>
  </si>
  <si>
    <t>APR</t>
  </si>
  <si>
    <t>BALTZERSEN ROBERT L</t>
  </si>
  <si>
    <t>00000941582A</t>
  </si>
  <si>
    <t>BROWELL KAREN L</t>
  </si>
  <si>
    <t>00001067366A</t>
  </si>
  <si>
    <t>MED SUPP FIRST YEAR ACHIEVE</t>
  </si>
  <si>
    <t>MSFA</t>
  </si>
  <si>
    <t>Rudden Jon</t>
  </si>
  <si>
    <t>9030115330</t>
  </si>
  <si>
    <t>ROCCIA MARK</t>
  </si>
  <si>
    <t>PAINTER KAREN M</t>
  </si>
  <si>
    <t>00001028740A</t>
  </si>
  <si>
    <t>11169014</t>
  </si>
  <si>
    <t>SEP</t>
  </si>
  <si>
    <t>ACHIEVE FIRST YEAR ADJ</t>
  </si>
  <si>
    <t>ACAF</t>
  </si>
  <si>
    <t>OCT</t>
  </si>
  <si>
    <t>NOV</t>
  </si>
  <si>
    <t>DEC</t>
  </si>
  <si>
    <t>FEB</t>
  </si>
  <si>
    <t>SCHWARTZ PAUL E</t>
  </si>
  <si>
    <t>00001076680A</t>
  </si>
  <si>
    <t>KLEINFELTER KENNETH D</t>
  </si>
  <si>
    <t>00001154902A</t>
  </si>
  <si>
    <t>HEALTH RISK ASSESSMENT PAYMENT</t>
  </si>
  <si>
    <t>HRAP</t>
  </si>
  <si>
    <t>MED SUPP BONUS</t>
  </si>
  <si>
    <t>MSBN</t>
  </si>
  <si>
    <t>Humana MAPD 2026*</t>
  </si>
  <si>
    <t>[%/$=347][prorate=8/12]</t>
  </si>
  <si>
    <t>[%/$=347][prorate=7/12]</t>
  </si>
  <si>
    <t>[%/$=347][prorate=6/12]</t>
  </si>
  <si>
    <t>Humana PDP</t>
  </si>
  <si>
    <t>Humana MedSupp U65</t>
  </si>
  <si>
    <t>Humana 81+ AL, AZ, AR, GA, etc. All Except N OE &amp; UW</t>
  </si>
  <si>
    <t>Humana 65-80 AL, AZ, AR, GA, etc. All Except N OE &amp; UW</t>
  </si>
  <si>
    <t>Humana AL, AZ, AR, GA, etc. Plan N OE &amp; UW</t>
  </si>
  <si>
    <t>Humana Dental &amp; Vision</t>
  </si>
  <si>
    <t>Humana Dental &amp; Vision 15%</t>
  </si>
  <si>
    <t>BUCK</t>
  </si>
  <si>
    <t>JENNIFER</t>
  </si>
  <si>
    <t>BOSTON</t>
  </si>
  <si>
    <t>TIMOTHY</t>
  </si>
  <si>
    <t>HOSELTON</t>
  </si>
  <si>
    <t>STEVE</t>
  </si>
  <si>
    <t>MONAHAN</t>
  </si>
  <si>
    <t>GAIL</t>
  </si>
  <si>
    <t>BRACE</t>
  </si>
  <si>
    <t>TIMMY</t>
  </si>
  <si>
    <t>MCCLURE</t>
  </si>
  <si>
    <t>SUSAN</t>
  </si>
  <si>
    <t>ROSE</t>
  </si>
  <si>
    <t>CHARLENE</t>
  </si>
  <si>
    <t>BROWELL</t>
  </si>
  <si>
    <t>KAREN</t>
  </si>
  <si>
    <t>PAINTER</t>
  </si>
  <si>
    <t>KLEINFELTER</t>
  </si>
  <si>
    <t>KENNETH</t>
  </si>
  <si>
    <t>WHITE</t>
  </si>
  <si>
    <t>BRUCE</t>
  </si>
  <si>
    <t>SCHWARTZ</t>
  </si>
  <si>
    <t>PAUL</t>
  </si>
  <si>
    <t>Hanahan</t>
  </si>
  <si>
    <t>Barbara</t>
  </si>
  <si>
    <t>Miller</t>
  </si>
  <si>
    <t>Karen</t>
  </si>
  <si>
    <t>Danley</t>
  </si>
  <si>
    <t>Ryan</t>
  </si>
  <si>
    <t>Estakhri</t>
  </si>
  <si>
    <t>Hengameh</t>
  </si>
  <si>
    <t>Urish</t>
  </si>
  <si>
    <t>Gerald</t>
  </si>
  <si>
    <t>Gambetti</t>
  </si>
  <si>
    <t>Brianna</t>
  </si>
  <si>
    <t>Taylor</t>
  </si>
  <si>
    <t>David</t>
  </si>
  <si>
    <t>Shaw</t>
  </si>
  <si>
    <t>Robert</t>
  </si>
  <si>
    <t>Sisco</t>
  </si>
  <si>
    <t>Eric</t>
  </si>
  <si>
    <t>Round</t>
  </si>
  <si>
    <t>Laurie</t>
  </si>
  <si>
    <t>Ferris</t>
  </si>
  <si>
    <t>Ron</t>
  </si>
  <si>
    <t>Johnson</t>
  </si>
  <si>
    <t>Shirkey</t>
  </si>
  <si>
    <t>Victoria</t>
  </si>
  <si>
    <t>Thompson</t>
  </si>
  <si>
    <t>Thomas</t>
  </si>
  <si>
    <t>Dauer</t>
  </si>
  <si>
    <t>Nancy</t>
  </si>
  <si>
    <t>Sciutto</t>
  </si>
  <si>
    <t>John</t>
  </si>
  <si>
    <t>Simmons-Hutson</t>
  </si>
  <si>
    <t>Cheryl</t>
  </si>
  <si>
    <t>Bond</t>
  </si>
  <si>
    <t>Edward</t>
  </si>
  <si>
    <t>Sharad</t>
  </si>
  <si>
    <t>Shaji</t>
  </si>
  <si>
    <t>Fnu</t>
  </si>
  <si>
    <t>Boma</t>
  </si>
  <si>
    <t>Mary</t>
  </si>
  <si>
    <t>Kasprzak</t>
  </si>
  <si>
    <t>Kenneth</t>
  </si>
  <si>
    <t>Galloway</t>
  </si>
  <si>
    <t>Jacqueline</t>
  </si>
  <si>
    <t>Stokes</t>
  </si>
  <si>
    <t>Fewell</t>
  </si>
  <si>
    <t>Robin</t>
  </si>
  <si>
    <t>Rolfs</t>
  </si>
  <si>
    <t>Patrick</t>
  </si>
  <si>
    <t>Quiram</t>
  </si>
  <si>
    <t>Dana</t>
  </si>
  <si>
    <t>Trost</t>
  </si>
  <si>
    <t>James</t>
  </si>
  <si>
    <t>Shumaker</t>
  </si>
  <si>
    <t>Sydney</t>
  </si>
  <si>
    <t>Heckmann</t>
  </si>
  <si>
    <t>Hannelore</t>
  </si>
  <si>
    <t>Forbes</t>
  </si>
  <si>
    <t>Linda</t>
  </si>
  <si>
    <t>Hancock</t>
  </si>
  <si>
    <t>Penny</t>
  </si>
  <si>
    <t>Proeber</t>
  </si>
  <si>
    <t>Shmikler</t>
  </si>
  <si>
    <t>Michelle</t>
  </si>
  <si>
    <t>Eckmann</t>
  </si>
  <si>
    <t>Bryan</t>
  </si>
  <si>
    <t>Kingdon</t>
  </si>
  <si>
    <t>Deborah</t>
  </si>
  <si>
    <t>Loeffler</t>
  </si>
  <si>
    <t>Debra</t>
  </si>
  <si>
    <t>Priaulx</t>
  </si>
  <si>
    <t>Freed</t>
  </si>
  <si>
    <t>Cynthia</t>
  </si>
  <si>
    <t>Dolk</t>
  </si>
  <si>
    <t>Peter</t>
  </si>
  <si>
    <t>Griffin</t>
  </si>
  <si>
    <t>Hofmann</t>
  </si>
  <si>
    <t>Kristi</t>
  </si>
  <si>
    <t>Overholt</t>
  </si>
  <si>
    <t>Dinges</t>
  </si>
  <si>
    <t>Virginia</t>
  </si>
  <si>
    <t>Ramos</t>
  </si>
  <si>
    <t>Maria</t>
  </si>
  <si>
    <t>Salfrie</t>
  </si>
  <si>
    <t>Brooks</t>
  </si>
  <si>
    <t>Darlene</t>
  </si>
  <si>
    <t>Rudden</t>
  </si>
  <si>
    <t>Jon</t>
  </si>
  <si>
    <t>YI</t>
  </si>
  <si>
    <t>ANNA</t>
  </si>
  <si>
    <t>REED</t>
  </si>
  <si>
    <t>DARRYL</t>
  </si>
  <si>
    <t>DUARTE</t>
  </si>
  <si>
    <t>JULIETA</t>
  </si>
  <si>
    <t>RODRIGUEZ</t>
  </si>
  <si>
    <t>CELINA</t>
  </si>
  <si>
    <t>BERKSHIRE</t>
  </si>
  <si>
    <t>TAMMIE</t>
  </si>
  <si>
    <t>FISHMAN</t>
  </si>
  <si>
    <t>HOWARD</t>
  </si>
  <si>
    <t>DRAGOZETICH</t>
  </si>
  <si>
    <t>LAWRENCE</t>
  </si>
  <si>
    <t>BEAUPIED</t>
  </si>
  <si>
    <t>JOHN</t>
  </si>
  <si>
    <t>TARALLO</t>
  </si>
  <si>
    <t>VINCE</t>
  </si>
  <si>
    <t>ABSHER</t>
  </si>
  <si>
    <t>DEBRA</t>
  </si>
  <si>
    <t>HUYNH</t>
  </si>
  <si>
    <t>BICH</t>
  </si>
  <si>
    <t>BEGUM</t>
  </si>
  <si>
    <t>KHAIRUNNISA</t>
  </si>
  <si>
    <t>HIDALGO</t>
  </si>
  <si>
    <t>LIBRADO</t>
  </si>
  <si>
    <t>BAERTSCHI</t>
  </si>
  <si>
    <t>LESCANO</t>
  </si>
  <si>
    <t>ALFREDO</t>
  </si>
  <si>
    <t>BALTZERSEN</t>
  </si>
  <si>
    <t>ROBERT</t>
  </si>
  <si>
    <t>BLITSTEIN</t>
  </si>
  <si>
    <t>SHERWOOD</t>
  </si>
  <si>
    <t>19278370old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</si>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</sst>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0" fontId="19" fillId="0" borderId="0" xfId="0" applyFont="1"/>
    <xf numFmtId="49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0" fontId="0" fillId="33" borderId="0" xfId="0" applyNumberFormat="1" applyFill="1" applyAlignment="1">
      <alignment horizontal="left" vertical="top"/>
    </xf>
    <xf numFmtId="49" fontId="0" fillId="0" borderId="0" xfId="0" applyNumberFormat="1" applyFill="1" applyAlignment="1">
      <alignment horizontal="left" vertical="top"/>
    </xf>
    <xf numFmtId="14" fontId="0" fillId="0" borderId="0" xfId="0" applyNumberFormat="1" applyFill="1"/>
    <xf numFmtId="2" fontId="0" fillId="0" borderId="0" xfId="0" applyNumberFormat="1" applyFill="1"/>
    <xf numFmtId="0" fontId="0" fillId="0" borderId="0" xfId="0" applyFill="1"/>
    <xf numFmtId="0" fontId="19" fillId="34" borderId="0" xfId="0" applyFont="1" applyFill="1"/>
    <xf numFmtId="0" fontId="19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20CBD-C702-43BD-ACFA-4AC9B71F52C2}">
  <dimension ref="A1:AQ90"/>
  <sheetViews>
    <sheetView topLeftCell="J1" workbookViewId="0">
      <selection activeCell="G11" sqref="G11"/>
    </sheetView>
  </sheetViews>
  <sheetFormatPr defaultRowHeight="13.2" x14ac:dyDescent="0.25"/>
  <cols>
    <col min="1" max="1" width="8.5546875" bestFit="1" customWidth="1"/>
    <col min="2" max="2" width="12.44140625" bestFit="1" customWidth="1"/>
    <col min="3" max="3" width="24.6640625" bestFit="1" customWidth="1"/>
    <col min="4" max="4" width="8.5546875" bestFit="1" customWidth="1"/>
    <col min="5" max="5" width="28.5546875" bestFit="1" customWidth="1"/>
    <col min="6" max="6" width="13.33203125" bestFit="1" customWidth="1"/>
    <col min="7" max="7" width="12.44140625" bestFit="1" customWidth="1"/>
    <col min="8" max="8" width="10.44140625" bestFit="1" customWidth="1"/>
    <col min="9" max="10" width="9.5546875" bestFit="1" customWidth="1"/>
    <col min="11" max="11" width="10.44140625" bestFit="1" customWidth="1"/>
    <col min="12" max="14" width="11.44140625" bestFit="1" customWidth="1"/>
    <col min="15" max="16" width="10.44140625" bestFit="1" customWidth="1"/>
    <col min="17" max="17" width="5.6640625" bestFit="1" customWidth="1"/>
    <col min="18" max="20" width="15.33203125" bestFit="1" customWidth="1"/>
    <col min="21" max="21" width="11.44140625" bestFit="1" customWidth="1"/>
    <col min="22" max="22" width="13.6640625" bestFit="1" customWidth="1"/>
    <col min="23" max="23" width="9.5546875" bestFit="1" customWidth="1"/>
    <col min="24" max="24" width="12.44140625" bestFit="1" customWidth="1"/>
    <col min="25" max="25" width="15.33203125" bestFit="1" customWidth="1"/>
    <col min="26" max="26" width="13.6640625" bestFit="1" customWidth="1"/>
    <col min="27" max="27" width="30.44140625" bestFit="1" customWidth="1"/>
    <col min="28" max="28" width="11.44140625" bestFit="1" customWidth="1"/>
    <col min="29" max="29" width="12.5546875" bestFit="1" customWidth="1"/>
    <col min="30" max="30" width="10.6640625" bestFit="1" customWidth="1"/>
    <col min="31" max="31" width="9.6640625" bestFit="1" customWidth="1"/>
    <col min="32" max="32" width="13.6640625" bestFit="1" customWidth="1"/>
    <col min="33" max="33" width="13.33203125" bestFit="1" customWidth="1"/>
    <col min="34" max="34" width="28.5546875" bestFit="1" customWidth="1"/>
    <col min="35" max="35" width="13.33203125" bestFit="1" customWidth="1"/>
    <col min="36" max="36" width="16.109375" bestFit="1" customWidth="1"/>
    <col min="37" max="37" width="16" bestFit="1" customWidth="1"/>
    <col min="38" max="38" width="15.88671875" bestFit="1" customWidth="1"/>
    <col min="39" max="39" width="11.44140625" bestFit="1" customWidth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2">
        <v>1891456</v>
      </c>
      <c r="B2" s="3">
        <v>46141</v>
      </c>
      <c r="C2" s="4" t="s">
        <v>43</v>
      </c>
      <c r="D2" s="2">
        <v>1509770</v>
      </c>
      <c r="E2" s="4" t="s">
        <v>44</v>
      </c>
      <c r="F2" s="4" t="s">
        <v>45</v>
      </c>
      <c r="G2" s="2">
        <v>376006283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46143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-0.67</v>
      </c>
      <c r="W2" s="5">
        <v>0</v>
      </c>
      <c r="X2" s="5">
        <v>100</v>
      </c>
      <c r="Y2" s="5">
        <v>-231.33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46143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x14ac:dyDescent="0.25">
      <c r="A3" s="2">
        <v>1891456</v>
      </c>
      <c r="B3" s="3">
        <v>46141</v>
      </c>
      <c r="C3" s="4" t="s">
        <v>43</v>
      </c>
      <c r="D3" s="2">
        <v>1509770</v>
      </c>
      <c r="E3" s="4" t="s">
        <v>57</v>
      </c>
      <c r="F3" s="4" t="s">
        <v>58</v>
      </c>
      <c r="G3" s="2">
        <v>612887504</v>
      </c>
      <c r="H3" s="4" t="s">
        <v>59</v>
      </c>
      <c r="I3" s="4" t="s">
        <v>47</v>
      </c>
      <c r="J3" s="4" t="s">
        <v>48</v>
      </c>
      <c r="K3" s="4" t="s">
        <v>49</v>
      </c>
      <c r="L3" s="3">
        <v>46143</v>
      </c>
      <c r="M3" s="4" t="s">
        <v>50</v>
      </c>
      <c r="N3" s="4" t="s">
        <v>47</v>
      </c>
      <c r="O3" s="4" t="s">
        <v>51</v>
      </c>
      <c r="P3" s="4" t="s">
        <v>47</v>
      </c>
      <c r="Q3" s="2">
        <v>1</v>
      </c>
      <c r="R3" s="2">
        <v>17</v>
      </c>
      <c r="S3" s="4" t="s">
        <v>52</v>
      </c>
      <c r="T3" s="4" t="s">
        <v>53</v>
      </c>
      <c r="U3" s="4" t="s">
        <v>47</v>
      </c>
      <c r="V3" s="5">
        <v>0.67</v>
      </c>
      <c r="W3" s="5">
        <v>0</v>
      </c>
      <c r="X3" s="5">
        <v>100</v>
      </c>
      <c r="Y3" s="5">
        <v>231.33</v>
      </c>
      <c r="Z3" s="4" t="s">
        <v>47</v>
      </c>
      <c r="AA3" s="5" t="s">
        <v>47</v>
      </c>
      <c r="AB3" s="4" t="s">
        <v>54</v>
      </c>
      <c r="AC3" s="4" t="s">
        <v>47</v>
      </c>
      <c r="AD3" s="5">
        <v>0</v>
      </c>
      <c r="AE3" s="4" t="s">
        <v>55</v>
      </c>
      <c r="AF3" s="3">
        <v>46143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60</v>
      </c>
      <c r="AO3" s="4" t="s">
        <v>47</v>
      </c>
      <c r="AP3" s="4" t="s">
        <v>47</v>
      </c>
      <c r="AQ3" s="4" t="s">
        <v>47</v>
      </c>
    </row>
    <row r="4" spans="1:43" x14ac:dyDescent="0.25">
      <c r="A4" s="2">
        <v>1891456</v>
      </c>
      <c r="B4" s="3">
        <v>46141</v>
      </c>
      <c r="C4" s="4" t="s">
        <v>61</v>
      </c>
      <c r="D4" s="2">
        <v>1555496</v>
      </c>
      <c r="E4" s="4" t="s">
        <v>62</v>
      </c>
      <c r="F4" s="4" t="s">
        <v>63</v>
      </c>
      <c r="G4" s="2">
        <v>82649235</v>
      </c>
      <c r="H4" s="4" t="s">
        <v>64</v>
      </c>
      <c r="I4" s="4" t="s">
        <v>47</v>
      </c>
      <c r="J4" s="4" t="s">
        <v>48</v>
      </c>
      <c r="K4" s="4" t="s">
        <v>49</v>
      </c>
      <c r="L4" s="3">
        <v>46143</v>
      </c>
      <c r="M4" s="4" t="s">
        <v>50</v>
      </c>
      <c r="N4" s="4" t="s">
        <v>47</v>
      </c>
      <c r="O4" s="4" t="s">
        <v>51</v>
      </c>
      <c r="P4" s="4" t="s">
        <v>47</v>
      </c>
      <c r="Q4" s="2">
        <v>1</v>
      </c>
      <c r="R4" s="2">
        <v>17</v>
      </c>
      <c r="S4" s="4" t="s">
        <v>52</v>
      </c>
      <c r="T4" s="4" t="s">
        <v>53</v>
      </c>
      <c r="U4" s="4" t="s">
        <v>47</v>
      </c>
      <c r="V4" s="5">
        <v>0.67</v>
      </c>
      <c r="W4" s="5">
        <v>0</v>
      </c>
      <c r="X4" s="5">
        <v>100</v>
      </c>
      <c r="Y4" s="5">
        <v>231.33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</v>
      </c>
      <c r="AE4" s="4" t="s">
        <v>55</v>
      </c>
      <c r="AF4" s="3">
        <v>46143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65</v>
      </c>
      <c r="AO4" s="4" t="s">
        <v>47</v>
      </c>
      <c r="AP4" s="4" t="s">
        <v>47</v>
      </c>
      <c r="AQ4" s="4" t="s">
        <v>47</v>
      </c>
    </row>
    <row r="5" spans="1:43" x14ac:dyDescent="0.25">
      <c r="A5" s="2">
        <v>1891456</v>
      </c>
      <c r="B5" s="3">
        <v>46141</v>
      </c>
      <c r="C5" s="4" t="s">
        <v>66</v>
      </c>
      <c r="D5" s="2">
        <v>1573279</v>
      </c>
      <c r="E5" s="4" t="s">
        <v>67</v>
      </c>
      <c r="F5" s="4" t="s">
        <v>68</v>
      </c>
      <c r="G5" s="2">
        <v>903295474</v>
      </c>
      <c r="H5" s="4" t="s">
        <v>69</v>
      </c>
      <c r="I5" s="4" t="s">
        <v>47</v>
      </c>
      <c r="J5" s="4" t="s">
        <v>48</v>
      </c>
      <c r="K5" s="4" t="s">
        <v>49</v>
      </c>
      <c r="L5" s="3">
        <v>46143</v>
      </c>
      <c r="M5" s="4" t="s">
        <v>50</v>
      </c>
      <c r="N5" s="4" t="s">
        <v>47</v>
      </c>
      <c r="O5" s="4" t="s">
        <v>51</v>
      </c>
      <c r="P5" s="4" t="s">
        <v>47</v>
      </c>
      <c r="Q5" s="2">
        <v>1</v>
      </c>
      <c r="R5" s="2">
        <v>17</v>
      </c>
      <c r="S5" s="4" t="s">
        <v>52</v>
      </c>
      <c r="T5" s="4" t="s">
        <v>70</v>
      </c>
      <c r="U5" s="4" t="s">
        <v>47</v>
      </c>
      <c r="V5" s="5">
        <v>0.67</v>
      </c>
      <c r="W5" s="5">
        <v>0</v>
      </c>
      <c r="X5" s="5">
        <v>100</v>
      </c>
      <c r="Y5" s="5">
        <v>231.33</v>
      </c>
      <c r="Z5" s="4" t="s">
        <v>47</v>
      </c>
      <c r="AA5" s="5" t="s">
        <v>47</v>
      </c>
      <c r="AB5" s="4" t="s">
        <v>54</v>
      </c>
      <c r="AC5" s="4" t="s">
        <v>47</v>
      </c>
      <c r="AD5" s="5">
        <v>0</v>
      </c>
      <c r="AE5" s="4" t="s">
        <v>55</v>
      </c>
      <c r="AF5" s="3">
        <v>46143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71</v>
      </c>
      <c r="AO5" s="4" t="s">
        <v>47</v>
      </c>
      <c r="AP5" s="4" t="s">
        <v>47</v>
      </c>
      <c r="AQ5" s="4" t="s">
        <v>47</v>
      </c>
    </row>
    <row r="6" spans="1:43" x14ac:dyDescent="0.25">
      <c r="A6" s="2">
        <v>1891456</v>
      </c>
      <c r="B6" s="3">
        <v>46141</v>
      </c>
      <c r="C6" s="4" t="s">
        <v>72</v>
      </c>
      <c r="D6" s="2">
        <v>1703942</v>
      </c>
      <c r="E6" s="4" t="s">
        <v>73</v>
      </c>
      <c r="F6" s="4" t="s">
        <v>74</v>
      </c>
      <c r="G6" s="2">
        <v>742554284</v>
      </c>
      <c r="H6" s="4" t="s">
        <v>75</v>
      </c>
      <c r="I6" s="4" t="s">
        <v>47</v>
      </c>
      <c r="J6" s="4" t="s">
        <v>48</v>
      </c>
      <c r="K6" s="4" t="s">
        <v>49</v>
      </c>
      <c r="L6" s="3">
        <v>46143</v>
      </c>
      <c r="M6" s="4" t="s">
        <v>50</v>
      </c>
      <c r="N6" s="4" t="s">
        <v>47</v>
      </c>
      <c r="O6" s="4" t="s">
        <v>51</v>
      </c>
      <c r="P6" s="4" t="s">
        <v>47</v>
      </c>
      <c r="Q6" s="2">
        <v>1</v>
      </c>
      <c r="R6" s="2">
        <v>17</v>
      </c>
      <c r="S6" s="4" t="s">
        <v>52</v>
      </c>
      <c r="T6" s="4" t="s">
        <v>53</v>
      </c>
      <c r="U6" s="4" t="s">
        <v>47</v>
      </c>
      <c r="V6" s="5">
        <v>0.67</v>
      </c>
      <c r="W6" s="5">
        <v>0</v>
      </c>
      <c r="X6" s="5">
        <v>100</v>
      </c>
      <c r="Y6" s="5">
        <v>231.33</v>
      </c>
      <c r="Z6" s="4" t="s">
        <v>47</v>
      </c>
      <c r="AA6" s="5" t="s">
        <v>47</v>
      </c>
      <c r="AB6" s="4" t="s">
        <v>54</v>
      </c>
      <c r="AC6" s="4" t="s">
        <v>47</v>
      </c>
      <c r="AD6" s="5">
        <v>0</v>
      </c>
      <c r="AE6" s="4" t="s">
        <v>55</v>
      </c>
      <c r="AF6" s="3">
        <v>46143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76</v>
      </c>
      <c r="AO6" s="4" t="s">
        <v>47</v>
      </c>
      <c r="AP6" s="4" t="s">
        <v>47</v>
      </c>
      <c r="AQ6" s="4" t="s">
        <v>47</v>
      </c>
    </row>
    <row r="7" spans="1:43" x14ac:dyDescent="0.25">
      <c r="A7" s="2">
        <v>1891456</v>
      </c>
      <c r="B7" s="3">
        <v>46141</v>
      </c>
      <c r="C7" s="4" t="s">
        <v>77</v>
      </c>
      <c r="D7" s="2">
        <v>1800759</v>
      </c>
      <c r="E7" s="4" t="s">
        <v>78</v>
      </c>
      <c r="F7" s="4" t="s">
        <v>79</v>
      </c>
      <c r="G7" s="2">
        <v>98177544</v>
      </c>
      <c r="H7" s="4" t="s">
        <v>80</v>
      </c>
      <c r="I7" s="4" t="s">
        <v>47</v>
      </c>
      <c r="J7" s="4" t="s">
        <v>48</v>
      </c>
      <c r="K7" s="4" t="s">
        <v>49</v>
      </c>
      <c r="L7" s="3">
        <v>46174</v>
      </c>
      <c r="M7" s="4" t="s">
        <v>81</v>
      </c>
      <c r="N7" s="4" t="s">
        <v>47</v>
      </c>
      <c r="O7" s="4" t="s">
        <v>51</v>
      </c>
      <c r="P7" s="4" t="s">
        <v>47</v>
      </c>
      <c r="Q7" s="2">
        <v>1</v>
      </c>
      <c r="R7" s="2">
        <v>17</v>
      </c>
      <c r="S7" s="4" t="s">
        <v>52</v>
      </c>
      <c r="T7" s="4" t="s">
        <v>70</v>
      </c>
      <c r="U7" s="4" t="s">
        <v>47</v>
      </c>
      <c r="V7" s="5">
        <v>0.57999999999999996</v>
      </c>
      <c r="W7" s="5">
        <v>0</v>
      </c>
      <c r="X7" s="5">
        <v>100</v>
      </c>
      <c r="Y7" s="5">
        <v>202.42</v>
      </c>
      <c r="Z7" s="4" t="s">
        <v>47</v>
      </c>
      <c r="AA7" s="5" t="s">
        <v>47</v>
      </c>
      <c r="AB7" s="4" t="s">
        <v>54</v>
      </c>
      <c r="AC7" s="4" t="s">
        <v>47</v>
      </c>
      <c r="AD7" s="5">
        <v>0</v>
      </c>
      <c r="AE7" s="4" t="s">
        <v>55</v>
      </c>
      <c r="AF7" s="3">
        <v>46174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71</v>
      </c>
      <c r="AO7" s="4" t="s">
        <v>47</v>
      </c>
      <c r="AP7" s="4" t="s">
        <v>47</v>
      </c>
      <c r="AQ7" s="4" t="s">
        <v>47</v>
      </c>
    </row>
    <row r="8" spans="1:43" x14ac:dyDescent="0.25">
      <c r="A8" s="2">
        <v>1891456</v>
      </c>
      <c r="B8" s="3">
        <v>46141</v>
      </c>
      <c r="C8" s="4" t="s">
        <v>77</v>
      </c>
      <c r="D8" s="2">
        <v>1800759</v>
      </c>
      <c r="E8" s="4" t="s">
        <v>82</v>
      </c>
      <c r="F8" s="4" t="s">
        <v>83</v>
      </c>
      <c r="G8" s="2">
        <v>782194420</v>
      </c>
      <c r="H8" s="4" t="s">
        <v>84</v>
      </c>
      <c r="I8" s="4" t="s">
        <v>47</v>
      </c>
      <c r="J8" s="4" t="s">
        <v>48</v>
      </c>
      <c r="K8" s="4" t="s">
        <v>49</v>
      </c>
      <c r="L8" s="3">
        <v>46143</v>
      </c>
      <c r="M8" s="4" t="s">
        <v>50</v>
      </c>
      <c r="N8" s="4" t="s">
        <v>47</v>
      </c>
      <c r="O8" s="4" t="s">
        <v>51</v>
      </c>
      <c r="P8" s="4" t="s">
        <v>47</v>
      </c>
      <c r="Q8" s="2">
        <v>1</v>
      </c>
      <c r="R8" s="2">
        <v>17</v>
      </c>
      <c r="S8" s="4" t="s">
        <v>52</v>
      </c>
      <c r="T8" s="4" t="s">
        <v>53</v>
      </c>
      <c r="U8" s="4" t="s">
        <v>47</v>
      </c>
      <c r="V8" s="5">
        <v>0.67</v>
      </c>
      <c r="W8" s="5">
        <v>0</v>
      </c>
      <c r="X8" s="5">
        <v>100</v>
      </c>
      <c r="Y8" s="5">
        <v>231.33</v>
      </c>
      <c r="Z8" s="4" t="s">
        <v>47</v>
      </c>
      <c r="AA8" s="5" t="s">
        <v>47</v>
      </c>
      <c r="AB8" s="4" t="s">
        <v>54</v>
      </c>
      <c r="AC8" s="4" t="s">
        <v>47</v>
      </c>
      <c r="AD8" s="5">
        <v>0</v>
      </c>
      <c r="AE8" s="4" t="s">
        <v>55</v>
      </c>
      <c r="AF8" s="3">
        <v>46143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60</v>
      </c>
      <c r="AO8" s="4" t="s">
        <v>47</v>
      </c>
      <c r="AP8" s="4" t="s">
        <v>47</v>
      </c>
      <c r="AQ8" s="4" t="s">
        <v>47</v>
      </c>
    </row>
    <row r="9" spans="1:43" x14ac:dyDescent="0.25">
      <c r="A9" s="2">
        <v>1891456</v>
      </c>
      <c r="B9" s="3">
        <v>46141</v>
      </c>
      <c r="C9" s="4" t="s">
        <v>77</v>
      </c>
      <c r="D9" s="2">
        <v>1800759</v>
      </c>
      <c r="E9" s="4" t="s">
        <v>85</v>
      </c>
      <c r="F9" s="4" t="s">
        <v>86</v>
      </c>
      <c r="G9" s="2">
        <v>813462573</v>
      </c>
      <c r="H9" s="4" t="s">
        <v>87</v>
      </c>
      <c r="I9" s="4" t="s">
        <v>47</v>
      </c>
      <c r="J9" s="4" t="s">
        <v>48</v>
      </c>
      <c r="K9" s="4" t="s">
        <v>49</v>
      </c>
      <c r="L9" s="3">
        <v>46143</v>
      </c>
      <c r="M9" s="4" t="s">
        <v>50</v>
      </c>
      <c r="N9" s="4" t="s">
        <v>47</v>
      </c>
      <c r="O9" s="4" t="s">
        <v>51</v>
      </c>
      <c r="P9" s="4" t="s">
        <v>47</v>
      </c>
      <c r="Q9" s="2">
        <v>1</v>
      </c>
      <c r="R9" s="2">
        <v>17</v>
      </c>
      <c r="S9" s="4" t="s">
        <v>52</v>
      </c>
      <c r="T9" s="4" t="s">
        <v>70</v>
      </c>
      <c r="U9" s="4" t="s">
        <v>47</v>
      </c>
      <c r="V9" s="5">
        <v>0.67</v>
      </c>
      <c r="W9" s="5">
        <v>0</v>
      </c>
      <c r="X9" s="5">
        <v>100</v>
      </c>
      <c r="Y9" s="5">
        <v>231.33</v>
      </c>
      <c r="Z9" s="4" t="s">
        <v>47</v>
      </c>
      <c r="AA9" s="5" t="s">
        <v>47</v>
      </c>
      <c r="AB9" s="4" t="s">
        <v>54</v>
      </c>
      <c r="AC9" s="4" t="s">
        <v>47</v>
      </c>
      <c r="AD9" s="5">
        <v>0</v>
      </c>
      <c r="AE9" s="4" t="s">
        <v>55</v>
      </c>
      <c r="AF9" s="3">
        <v>46143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71</v>
      </c>
      <c r="AO9" s="4" t="s">
        <v>47</v>
      </c>
      <c r="AP9" s="4" t="s">
        <v>47</v>
      </c>
      <c r="AQ9" s="4" t="s">
        <v>47</v>
      </c>
    </row>
    <row r="10" spans="1:43" x14ac:dyDescent="0.25">
      <c r="A10" s="2">
        <v>1891456</v>
      </c>
      <c r="B10" s="3">
        <v>46141</v>
      </c>
      <c r="C10" s="4" t="s">
        <v>88</v>
      </c>
      <c r="D10" s="2">
        <v>1800776</v>
      </c>
      <c r="E10" s="4" t="s">
        <v>89</v>
      </c>
      <c r="F10" s="4" t="s">
        <v>90</v>
      </c>
      <c r="G10" s="2">
        <v>24964063</v>
      </c>
      <c r="H10" s="4" t="s">
        <v>91</v>
      </c>
      <c r="I10" s="4" t="s">
        <v>47</v>
      </c>
      <c r="J10" s="4" t="s">
        <v>48</v>
      </c>
      <c r="K10" s="4" t="s">
        <v>49</v>
      </c>
      <c r="L10" s="3">
        <v>46143</v>
      </c>
      <c r="M10" s="4" t="s">
        <v>50</v>
      </c>
      <c r="N10" s="4" t="s">
        <v>47</v>
      </c>
      <c r="O10" s="4" t="s">
        <v>51</v>
      </c>
      <c r="P10" s="4" t="s">
        <v>47</v>
      </c>
      <c r="Q10" s="2">
        <v>1</v>
      </c>
      <c r="R10" s="2">
        <v>17</v>
      </c>
      <c r="S10" s="4" t="s">
        <v>52</v>
      </c>
      <c r="T10" s="4" t="s">
        <v>53</v>
      </c>
      <c r="U10" s="4" t="s">
        <v>47</v>
      </c>
      <c r="V10" s="5">
        <v>0.67</v>
      </c>
      <c r="W10" s="5">
        <v>0</v>
      </c>
      <c r="X10" s="5">
        <v>100</v>
      </c>
      <c r="Y10" s="5">
        <v>231.33</v>
      </c>
      <c r="Z10" s="4" t="s">
        <v>47</v>
      </c>
      <c r="AA10" s="5" t="s">
        <v>47</v>
      </c>
      <c r="AB10" s="4" t="s">
        <v>54</v>
      </c>
      <c r="AC10" s="4" t="s">
        <v>47</v>
      </c>
      <c r="AD10" s="5">
        <v>0</v>
      </c>
      <c r="AE10" s="4" t="s">
        <v>55</v>
      </c>
      <c r="AF10" s="3">
        <v>46143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60</v>
      </c>
      <c r="AO10" s="4" t="s">
        <v>47</v>
      </c>
      <c r="AP10" s="4" t="s">
        <v>47</v>
      </c>
      <c r="AQ10" s="4" t="s">
        <v>47</v>
      </c>
    </row>
    <row r="11" spans="1:43" s="10" customFormat="1" x14ac:dyDescent="0.25">
      <c r="A11" s="7">
        <v>1891456</v>
      </c>
      <c r="B11" s="8">
        <v>46141</v>
      </c>
      <c r="C11" s="6" t="s">
        <v>92</v>
      </c>
      <c r="D11" s="7">
        <v>1855975</v>
      </c>
      <c r="E11" s="6" t="s">
        <v>93</v>
      </c>
      <c r="F11" s="6" t="s">
        <v>94</v>
      </c>
      <c r="G11" s="7">
        <v>262912594</v>
      </c>
      <c r="H11" s="6" t="s">
        <v>47</v>
      </c>
      <c r="I11" s="6" t="s">
        <v>47</v>
      </c>
      <c r="J11" s="6" t="s">
        <v>48</v>
      </c>
      <c r="K11" s="6" t="s">
        <v>49</v>
      </c>
      <c r="L11" s="8">
        <v>46023</v>
      </c>
      <c r="M11" s="6" t="s">
        <v>95</v>
      </c>
      <c r="N11" s="6" t="s">
        <v>47</v>
      </c>
      <c r="O11" s="6" t="s">
        <v>96</v>
      </c>
      <c r="P11" s="6" t="s">
        <v>96</v>
      </c>
      <c r="Q11" s="7">
        <v>0</v>
      </c>
      <c r="R11" s="7">
        <v>17</v>
      </c>
      <c r="S11" s="6" t="s">
        <v>52</v>
      </c>
      <c r="T11" s="6" t="s">
        <v>97</v>
      </c>
      <c r="U11" s="6" t="s">
        <v>47</v>
      </c>
      <c r="V11" s="9">
        <v>1</v>
      </c>
      <c r="W11" s="9">
        <v>0</v>
      </c>
      <c r="X11" s="9">
        <v>100</v>
      </c>
      <c r="Y11" s="9">
        <v>1272.33</v>
      </c>
      <c r="Z11" s="6" t="s">
        <v>47</v>
      </c>
      <c r="AA11" s="9" t="s">
        <v>47</v>
      </c>
      <c r="AB11" s="6" t="s">
        <v>98</v>
      </c>
      <c r="AC11" s="6" t="s">
        <v>47</v>
      </c>
      <c r="AD11" s="9">
        <v>0</v>
      </c>
      <c r="AE11" s="6" t="s">
        <v>99</v>
      </c>
      <c r="AF11" s="8">
        <v>38047</v>
      </c>
      <c r="AG11" s="6" t="s">
        <v>47</v>
      </c>
      <c r="AH11" s="6" t="s">
        <v>47</v>
      </c>
      <c r="AI11" s="6" t="s">
        <v>47</v>
      </c>
      <c r="AJ11" s="6" t="s">
        <v>47</v>
      </c>
      <c r="AK11" s="6" t="s">
        <v>47</v>
      </c>
      <c r="AL11" s="6" t="s">
        <v>47</v>
      </c>
      <c r="AM11" s="6" t="s">
        <v>47</v>
      </c>
      <c r="AN11" s="6" t="s">
        <v>100</v>
      </c>
      <c r="AO11" s="6" t="s">
        <v>47</v>
      </c>
      <c r="AP11" s="6" t="s">
        <v>47</v>
      </c>
      <c r="AQ11" s="6" t="s">
        <v>47</v>
      </c>
    </row>
    <row r="12" spans="1:43" x14ac:dyDescent="0.25">
      <c r="A12" s="2">
        <v>1891456</v>
      </c>
      <c r="B12" s="3">
        <v>46141</v>
      </c>
      <c r="C12" s="4" t="s">
        <v>92</v>
      </c>
      <c r="D12" s="2">
        <v>1855975</v>
      </c>
      <c r="E12" s="4" t="s">
        <v>101</v>
      </c>
      <c r="F12" s="4" t="s">
        <v>102</v>
      </c>
      <c r="G12" s="2">
        <v>846920185</v>
      </c>
      <c r="H12" s="4" t="s">
        <v>103</v>
      </c>
      <c r="I12" s="4" t="s">
        <v>47</v>
      </c>
      <c r="J12" s="4" t="s">
        <v>48</v>
      </c>
      <c r="K12" s="4" t="s">
        <v>49</v>
      </c>
      <c r="L12" s="3">
        <v>46023</v>
      </c>
      <c r="M12" s="4" t="s">
        <v>95</v>
      </c>
      <c r="N12" s="4" t="s">
        <v>47</v>
      </c>
      <c r="O12" s="4" t="s">
        <v>51</v>
      </c>
      <c r="P12" s="4" t="s">
        <v>47</v>
      </c>
      <c r="Q12" s="2">
        <v>1</v>
      </c>
      <c r="R12" s="2">
        <v>17</v>
      </c>
      <c r="S12" s="4" t="s">
        <v>52</v>
      </c>
      <c r="T12" s="4" t="s">
        <v>104</v>
      </c>
      <c r="U12" s="4" t="s">
        <v>47</v>
      </c>
      <c r="V12" s="5">
        <v>0</v>
      </c>
      <c r="W12" s="5">
        <v>0</v>
      </c>
      <c r="X12" s="5">
        <v>100</v>
      </c>
      <c r="Y12" s="5">
        <v>19</v>
      </c>
      <c r="Z12" s="4" t="s">
        <v>47</v>
      </c>
      <c r="AA12" s="5" t="s">
        <v>47</v>
      </c>
      <c r="AB12" s="4" t="s">
        <v>105</v>
      </c>
      <c r="AC12" s="4" t="s">
        <v>47</v>
      </c>
      <c r="AD12" s="5">
        <v>0</v>
      </c>
      <c r="AE12" s="4" t="s">
        <v>106</v>
      </c>
      <c r="AF12" s="3">
        <v>46023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107</v>
      </c>
      <c r="AO12" s="4" t="s">
        <v>47</v>
      </c>
      <c r="AP12" s="4" t="s">
        <v>47</v>
      </c>
      <c r="AQ12" s="4" t="s">
        <v>47</v>
      </c>
    </row>
    <row r="13" spans="1:43" x14ac:dyDescent="0.25">
      <c r="A13" s="2">
        <v>1891456</v>
      </c>
      <c r="B13" s="3">
        <v>46141</v>
      </c>
      <c r="C13" s="4" t="s">
        <v>92</v>
      </c>
      <c r="D13" s="2">
        <v>1855975</v>
      </c>
      <c r="E13" s="4" t="s">
        <v>101</v>
      </c>
      <c r="F13" s="4" t="s">
        <v>102</v>
      </c>
      <c r="G13" s="2">
        <v>846920185</v>
      </c>
      <c r="H13" s="4" t="s">
        <v>103</v>
      </c>
      <c r="I13" s="4" t="s">
        <v>47</v>
      </c>
      <c r="J13" s="4" t="s">
        <v>48</v>
      </c>
      <c r="K13" s="4" t="s">
        <v>49</v>
      </c>
      <c r="L13" s="3">
        <v>46023</v>
      </c>
      <c r="M13" s="4" t="s">
        <v>95</v>
      </c>
      <c r="N13" s="4" t="s">
        <v>47</v>
      </c>
      <c r="O13" s="4" t="s">
        <v>51</v>
      </c>
      <c r="P13" s="4" t="s">
        <v>47</v>
      </c>
      <c r="Q13" s="2">
        <v>1</v>
      </c>
      <c r="R13" s="2">
        <v>17</v>
      </c>
      <c r="S13" s="4" t="s">
        <v>52</v>
      </c>
      <c r="T13" s="4" t="s">
        <v>104</v>
      </c>
      <c r="U13" s="4" t="s">
        <v>47</v>
      </c>
      <c r="V13" s="5">
        <v>-0.67</v>
      </c>
      <c r="W13" s="5">
        <v>0</v>
      </c>
      <c r="X13" s="5">
        <v>100</v>
      </c>
      <c r="Y13" s="5">
        <v>-38</v>
      </c>
      <c r="Z13" s="4" t="s">
        <v>47</v>
      </c>
      <c r="AA13" s="5" t="s">
        <v>47</v>
      </c>
      <c r="AB13" s="4" t="s">
        <v>54</v>
      </c>
      <c r="AC13" s="4" t="s">
        <v>47</v>
      </c>
      <c r="AD13" s="5">
        <v>0</v>
      </c>
      <c r="AE13" s="4" t="s">
        <v>55</v>
      </c>
      <c r="AF13" s="3">
        <v>46023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107</v>
      </c>
      <c r="AO13" s="4" t="s">
        <v>47</v>
      </c>
      <c r="AP13" s="4" t="s">
        <v>47</v>
      </c>
      <c r="AQ13" s="4" t="s">
        <v>47</v>
      </c>
    </row>
    <row r="14" spans="1:43" x14ac:dyDescent="0.25">
      <c r="A14" s="2">
        <v>1891456</v>
      </c>
      <c r="B14" s="3">
        <v>46141</v>
      </c>
      <c r="C14" s="4" t="s">
        <v>108</v>
      </c>
      <c r="D14" s="2">
        <v>1900606</v>
      </c>
      <c r="E14" s="4" t="s">
        <v>109</v>
      </c>
      <c r="F14" s="4" t="s">
        <v>110</v>
      </c>
      <c r="G14" s="2">
        <v>236826343</v>
      </c>
      <c r="H14" s="4" t="s">
        <v>111</v>
      </c>
      <c r="I14" s="4" t="s">
        <v>47</v>
      </c>
      <c r="J14" s="4" t="s">
        <v>48</v>
      </c>
      <c r="K14" s="4" t="s">
        <v>49</v>
      </c>
      <c r="L14" s="3">
        <v>46143</v>
      </c>
      <c r="M14" s="4" t="s">
        <v>50</v>
      </c>
      <c r="N14" s="4" t="s">
        <v>47</v>
      </c>
      <c r="O14" s="4" t="s">
        <v>51</v>
      </c>
      <c r="P14" s="4" t="s">
        <v>47</v>
      </c>
      <c r="Q14" s="2">
        <v>1</v>
      </c>
      <c r="R14" s="2">
        <v>17</v>
      </c>
      <c r="S14" s="4" t="s">
        <v>52</v>
      </c>
      <c r="T14" s="4" t="s">
        <v>53</v>
      </c>
      <c r="U14" s="4" t="s">
        <v>47</v>
      </c>
      <c r="V14" s="5">
        <v>0.67</v>
      </c>
      <c r="W14" s="5">
        <v>0</v>
      </c>
      <c r="X14" s="5">
        <v>100</v>
      </c>
      <c r="Y14" s="5">
        <v>231.33</v>
      </c>
      <c r="Z14" s="4" t="s">
        <v>47</v>
      </c>
      <c r="AA14" s="5" t="s">
        <v>47</v>
      </c>
      <c r="AB14" s="4" t="s">
        <v>54</v>
      </c>
      <c r="AC14" s="4" t="s">
        <v>47</v>
      </c>
      <c r="AD14" s="5">
        <v>0</v>
      </c>
      <c r="AE14" s="4" t="s">
        <v>55</v>
      </c>
      <c r="AF14" s="3">
        <v>46143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60</v>
      </c>
      <c r="AO14" s="4" t="s">
        <v>47</v>
      </c>
      <c r="AP14" s="4" t="s">
        <v>47</v>
      </c>
      <c r="AQ14" s="4" t="s">
        <v>47</v>
      </c>
    </row>
    <row r="15" spans="1:43" x14ac:dyDescent="0.25">
      <c r="A15" s="2">
        <v>1891456</v>
      </c>
      <c r="B15" s="3">
        <v>46141</v>
      </c>
      <c r="C15" s="4" t="s">
        <v>112</v>
      </c>
      <c r="D15" s="2">
        <v>1903197</v>
      </c>
      <c r="E15" s="4" t="s">
        <v>113</v>
      </c>
      <c r="F15" s="4" t="s">
        <v>114</v>
      </c>
      <c r="G15" s="2">
        <v>750642143</v>
      </c>
      <c r="H15" s="4" t="s">
        <v>115</v>
      </c>
      <c r="I15" s="4" t="s">
        <v>47</v>
      </c>
      <c r="J15" s="4" t="s">
        <v>48</v>
      </c>
      <c r="K15" s="4" t="s">
        <v>49</v>
      </c>
      <c r="L15" s="3">
        <v>46143</v>
      </c>
      <c r="M15" s="4" t="s">
        <v>50</v>
      </c>
      <c r="N15" s="4" t="s">
        <v>47</v>
      </c>
      <c r="O15" s="4" t="s">
        <v>51</v>
      </c>
      <c r="P15" s="4" t="s">
        <v>47</v>
      </c>
      <c r="Q15" s="2">
        <v>1</v>
      </c>
      <c r="R15" s="2">
        <v>17</v>
      </c>
      <c r="S15" s="4" t="s">
        <v>52</v>
      </c>
      <c r="T15" s="4" t="s">
        <v>53</v>
      </c>
      <c r="U15" s="4" t="s">
        <v>47</v>
      </c>
      <c r="V15" s="5">
        <v>0.67</v>
      </c>
      <c r="W15" s="5">
        <v>0</v>
      </c>
      <c r="X15" s="5">
        <v>100</v>
      </c>
      <c r="Y15" s="5">
        <v>231.33</v>
      </c>
      <c r="Z15" s="4" t="s">
        <v>47</v>
      </c>
      <c r="AA15" s="5" t="s">
        <v>47</v>
      </c>
      <c r="AB15" s="4" t="s">
        <v>54</v>
      </c>
      <c r="AC15" s="4" t="s">
        <v>47</v>
      </c>
      <c r="AD15" s="5">
        <v>0</v>
      </c>
      <c r="AE15" s="4" t="s">
        <v>55</v>
      </c>
      <c r="AF15" s="3">
        <v>46143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60</v>
      </c>
      <c r="AO15" s="4" t="s">
        <v>47</v>
      </c>
      <c r="AP15" s="4" t="s">
        <v>47</v>
      </c>
      <c r="AQ15" s="4" t="s">
        <v>47</v>
      </c>
    </row>
    <row r="16" spans="1:43" x14ac:dyDescent="0.25">
      <c r="A16" s="2">
        <v>1891456</v>
      </c>
      <c r="B16" s="3">
        <v>46141</v>
      </c>
      <c r="C16" s="4" t="s">
        <v>116</v>
      </c>
      <c r="D16" s="2">
        <v>1913090</v>
      </c>
      <c r="E16" s="4" t="s">
        <v>117</v>
      </c>
      <c r="F16" s="4" t="s">
        <v>118</v>
      </c>
      <c r="G16" s="2">
        <v>626246634</v>
      </c>
      <c r="H16" s="4" t="s">
        <v>119</v>
      </c>
      <c r="I16" s="4" t="s">
        <v>47</v>
      </c>
      <c r="J16" s="4" t="s">
        <v>48</v>
      </c>
      <c r="K16" s="4" t="s">
        <v>49</v>
      </c>
      <c r="L16" s="3">
        <v>46143</v>
      </c>
      <c r="M16" s="4" t="s">
        <v>50</v>
      </c>
      <c r="N16" s="4" t="s">
        <v>47</v>
      </c>
      <c r="O16" s="4" t="s">
        <v>51</v>
      </c>
      <c r="P16" s="4" t="s">
        <v>47</v>
      </c>
      <c r="Q16" s="2">
        <v>1</v>
      </c>
      <c r="R16" s="2">
        <v>17</v>
      </c>
      <c r="S16" s="4" t="s">
        <v>52</v>
      </c>
      <c r="T16" s="4" t="s">
        <v>53</v>
      </c>
      <c r="U16" s="4" t="s">
        <v>47</v>
      </c>
      <c r="V16" s="5">
        <v>-0.67</v>
      </c>
      <c r="W16" s="5">
        <v>0</v>
      </c>
      <c r="X16" s="5">
        <v>100</v>
      </c>
      <c r="Y16" s="5">
        <v>-231.33</v>
      </c>
      <c r="Z16" s="4" t="s">
        <v>47</v>
      </c>
      <c r="AA16" s="5" t="s">
        <v>47</v>
      </c>
      <c r="AB16" s="4" t="s">
        <v>54</v>
      </c>
      <c r="AC16" s="4" t="s">
        <v>47</v>
      </c>
      <c r="AD16" s="5">
        <v>0</v>
      </c>
      <c r="AE16" s="4" t="s">
        <v>55</v>
      </c>
      <c r="AF16" s="3">
        <v>46143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56</v>
      </c>
      <c r="AO16" s="4" t="s">
        <v>47</v>
      </c>
      <c r="AP16" s="4" t="s">
        <v>47</v>
      </c>
      <c r="AQ16" s="4" t="s">
        <v>47</v>
      </c>
    </row>
    <row r="17" spans="1:43" x14ac:dyDescent="0.25">
      <c r="A17" s="2">
        <v>1891456</v>
      </c>
      <c r="B17" s="3">
        <v>46141</v>
      </c>
      <c r="C17" s="4" t="s">
        <v>116</v>
      </c>
      <c r="D17" s="2">
        <v>1913090</v>
      </c>
      <c r="E17" s="4" t="s">
        <v>120</v>
      </c>
      <c r="F17" s="4" t="s">
        <v>121</v>
      </c>
      <c r="G17" s="2">
        <v>423760103</v>
      </c>
      <c r="H17" s="4" t="s">
        <v>122</v>
      </c>
      <c r="I17" s="4" t="s">
        <v>47</v>
      </c>
      <c r="J17" s="4" t="s">
        <v>48</v>
      </c>
      <c r="K17" s="4" t="s">
        <v>49</v>
      </c>
      <c r="L17" s="3">
        <v>46143</v>
      </c>
      <c r="M17" s="4" t="s">
        <v>50</v>
      </c>
      <c r="N17" s="4" t="s">
        <v>47</v>
      </c>
      <c r="O17" s="4" t="s">
        <v>51</v>
      </c>
      <c r="P17" s="4" t="s">
        <v>47</v>
      </c>
      <c r="Q17" s="2">
        <v>1</v>
      </c>
      <c r="R17" s="2">
        <v>17</v>
      </c>
      <c r="S17" s="4" t="s">
        <v>52</v>
      </c>
      <c r="T17" s="4" t="s">
        <v>70</v>
      </c>
      <c r="U17" s="4" t="s">
        <v>47</v>
      </c>
      <c r="V17" s="5">
        <v>0.67</v>
      </c>
      <c r="W17" s="5">
        <v>0</v>
      </c>
      <c r="X17" s="5">
        <v>100</v>
      </c>
      <c r="Y17" s="5">
        <v>231.33</v>
      </c>
      <c r="Z17" s="4" t="s">
        <v>47</v>
      </c>
      <c r="AA17" s="5" t="s">
        <v>47</v>
      </c>
      <c r="AB17" s="4" t="s">
        <v>54</v>
      </c>
      <c r="AC17" s="4" t="s">
        <v>47</v>
      </c>
      <c r="AD17" s="5">
        <v>0</v>
      </c>
      <c r="AE17" s="4" t="s">
        <v>55</v>
      </c>
      <c r="AF17" s="3">
        <v>46143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71</v>
      </c>
      <c r="AO17" s="4" t="s">
        <v>47</v>
      </c>
      <c r="AP17" s="4" t="s">
        <v>47</v>
      </c>
      <c r="AQ17" s="4" t="s">
        <v>47</v>
      </c>
    </row>
    <row r="18" spans="1:43" x14ac:dyDescent="0.25">
      <c r="A18" s="2">
        <v>1891456</v>
      </c>
      <c r="B18" s="3">
        <v>46141</v>
      </c>
      <c r="C18" s="4" t="s">
        <v>123</v>
      </c>
      <c r="D18" s="2">
        <v>1969216</v>
      </c>
      <c r="E18" s="4" t="s">
        <v>124</v>
      </c>
      <c r="F18" s="4" t="s">
        <v>125</v>
      </c>
      <c r="G18" s="2">
        <v>243543063</v>
      </c>
      <c r="H18" s="4" t="s">
        <v>126</v>
      </c>
      <c r="I18" s="4" t="s">
        <v>47</v>
      </c>
      <c r="J18" s="4" t="s">
        <v>48</v>
      </c>
      <c r="K18" s="4" t="s">
        <v>49</v>
      </c>
      <c r="L18" s="3">
        <v>46204</v>
      </c>
      <c r="M18" s="4" t="s">
        <v>127</v>
      </c>
      <c r="N18" s="4" t="s">
        <v>47</v>
      </c>
      <c r="O18" s="4" t="s">
        <v>51</v>
      </c>
      <c r="P18" s="4" t="s">
        <v>47</v>
      </c>
      <c r="Q18" s="2">
        <v>1</v>
      </c>
      <c r="R18" s="2">
        <v>17</v>
      </c>
      <c r="S18" s="4" t="s">
        <v>52</v>
      </c>
      <c r="T18" s="4" t="s">
        <v>53</v>
      </c>
      <c r="U18" s="4" t="s">
        <v>47</v>
      </c>
      <c r="V18" s="5">
        <v>0.5</v>
      </c>
      <c r="W18" s="5">
        <v>0</v>
      </c>
      <c r="X18" s="5">
        <v>100</v>
      </c>
      <c r="Y18" s="5">
        <v>173.5</v>
      </c>
      <c r="Z18" s="4" t="s">
        <v>47</v>
      </c>
      <c r="AA18" s="5" t="s">
        <v>47</v>
      </c>
      <c r="AB18" s="4" t="s">
        <v>54</v>
      </c>
      <c r="AC18" s="4" t="s">
        <v>47</v>
      </c>
      <c r="AD18" s="5">
        <v>0</v>
      </c>
      <c r="AE18" s="4" t="s">
        <v>55</v>
      </c>
      <c r="AF18" s="3">
        <v>46204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60</v>
      </c>
      <c r="AO18" s="4" t="s">
        <v>47</v>
      </c>
      <c r="AP18" s="4" t="s">
        <v>47</v>
      </c>
      <c r="AQ18" s="4" t="s">
        <v>47</v>
      </c>
    </row>
    <row r="19" spans="1:43" x14ac:dyDescent="0.25">
      <c r="A19" s="2">
        <v>1891456</v>
      </c>
      <c r="B19" s="3">
        <v>46141</v>
      </c>
      <c r="C19" s="4" t="s">
        <v>128</v>
      </c>
      <c r="D19" s="2">
        <v>1986712</v>
      </c>
      <c r="E19" s="4" t="s">
        <v>129</v>
      </c>
      <c r="F19" s="4" t="s">
        <v>130</v>
      </c>
      <c r="G19" s="2">
        <v>273416025</v>
      </c>
      <c r="H19" s="4" t="s">
        <v>131</v>
      </c>
      <c r="I19" s="4" t="s">
        <v>47</v>
      </c>
      <c r="J19" s="4" t="s">
        <v>48</v>
      </c>
      <c r="K19" s="4" t="s">
        <v>49</v>
      </c>
      <c r="L19" s="3">
        <v>46082</v>
      </c>
      <c r="M19" s="4" t="s">
        <v>132</v>
      </c>
      <c r="N19" s="4" t="s">
        <v>47</v>
      </c>
      <c r="O19" s="4" t="s">
        <v>51</v>
      </c>
      <c r="P19" s="4" t="s">
        <v>47</v>
      </c>
      <c r="Q19" s="2">
        <v>1</v>
      </c>
      <c r="R19" s="2">
        <v>17</v>
      </c>
      <c r="S19" s="4" t="s">
        <v>52</v>
      </c>
      <c r="T19" s="4" t="s">
        <v>53</v>
      </c>
      <c r="U19" s="4" t="s">
        <v>47</v>
      </c>
      <c r="V19" s="5">
        <v>0</v>
      </c>
      <c r="W19" s="5">
        <v>0</v>
      </c>
      <c r="X19" s="5">
        <v>100</v>
      </c>
      <c r="Y19" s="5">
        <v>115.66</v>
      </c>
      <c r="Z19" s="4" t="s">
        <v>47</v>
      </c>
      <c r="AA19" s="5" t="s">
        <v>47</v>
      </c>
      <c r="AB19" s="4" t="s">
        <v>105</v>
      </c>
      <c r="AC19" s="4" t="s">
        <v>47</v>
      </c>
      <c r="AD19" s="5">
        <v>0</v>
      </c>
      <c r="AE19" s="4" t="s">
        <v>106</v>
      </c>
      <c r="AF19" s="3">
        <v>46082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56</v>
      </c>
      <c r="AO19" s="4" t="s">
        <v>47</v>
      </c>
      <c r="AP19" s="4" t="s">
        <v>47</v>
      </c>
      <c r="AQ19" s="4" t="s">
        <v>47</v>
      </c>
    </row>
    <row r="20" spans="1:43" x14ac:dyDescent="0.25">
      <c r="A20" s="2">
        <v>1891456</v>
      </c>
      <c r="B20" s="3">
        <v>46141</v>
      </c>
      <c r="C20" s="4" t="s">
        <v>128</v>
      </c>
      <c r="D20" s="2">
        <v>1986712</v>
      </c>
      <c r="E20" s="4" t="s">
        <v>129</v>
      </c>
      <c r="F20" s="4" t="s">
        <v>130</v>
      </c>
      <c r="G20" s="2">
        <v>273416025</v>
      </c>
      <c r="H20" s="4" t="s">
        <v>131</v>
      </c>
      <c r="I20" s="4" t="s">
        <v>47</v>
      </c>
      <c r="J20" s="4" t="s">
        <v>48</v>
      </c>
      <c r="K20" s="4" t="s">
        <v>49</v>
      </c>
      <c r="L20" s="3">
        <v>46082</v>
      </c>
      <c r="M20" s="4" t="s">
        <v>132</v>
      </c>
      <c r="N20" s="4" t="s">
        <v>47</v>
      </c>
      <c r="O20" s="4" t="s">
        <v>51</v>
      </c>
      <c r="P20" s="4" t="s">
        <v>47</v>
      </c>
      <c r="Q20" s="2">
        <v>1</v>
      </c>
      <c r="R20" s="2">
        <v>17</v>
      </c>
      <c r="S20" s="4" t="s">
        <v>52</v>
      </c>
      <c r="T20" s="4" t="s">
        <v>53</v>
      </c>
      <c r="U20" s="4" t="s">
        <v>47</v>
      </c>
      <c r="V20" s="5">
        <v>0.33</v>
      </c>
      <c r="W20" s="5">
        <v>0</v>
      </c>
      <c r="X20" s="5">
        <v>100</v>
      </c>
      <c r="Y20" s="5">
        <v>115.67</v>
      </c>
      <c r="Z20" s="4" t="s">
        <v>47</v>
      </c>
      <c r="AA20" s="5" t="s">
        <v>47</v>
      </c>
      <c r="AB20" s="4" t="s">
        <v>54</v>
      </c>
      <c r="AC20" s="4" t="s">
        <v>47</v>
      </c>
      <c r="AD20" s="5">
        <v>0</v>
      </c>
      <c r="AE20" s="4" t="s">
        <v>55</v>
      </c>
      <c r="AF20" s="3">
        <v>46082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56</v>
      </c>
      <c r="AO20" s="4" t="s">
        <v>47</v>
      </c>
      <c r="AP20" s="4" t="s">
        <v>47</v>
      </c>
      <c r="AQ20" s="4" t="s">
        <v>47</v>
      </c>
    </row>
    <row r="21" spans="1:43" x14ac:dyDescent="0.25">
      <c r="A21" s="2">
        <v>1891456</v>
      </c>
      <c r="B21" s="3">
        <v>46141</v>
      </c>
      <c r="C21" s="4" t="s">
        <v>133</v>
      </c>
      <c r="D21" s="2">
        <v>1509744</v>
      </c>
      <c r="E21" s="4" t="s">
        <v>134</v>
      </c>
      <c r="F21" s="4" t="s">
        <v>135</v>
      </c>
      <c r="G21" s="4" t="s">
        <v>47</v>
      </c>
      <c r="H21" s="4" t="s">
        <v>47</v>
      </c>
      <c r="I21" s="4" t="s">
        <v>47</v>
      </c>
      <c r="J21" s="4" t="s">
        <v>136</v>
      </c>
      <c r="K21" s="4" t="s">
        <v>49</v>
      </c>
      <c r="L21" s="3">
        <v>46143</v>
      </c>
      <c r="M21" s="4" t="s">
        <v>50</v>
      </c>
      <c r="N21" s="4" t="s">
        <v>47</v>
      </c>
      <c r="O21" s="4" t="s">
        <v>51</v>
      </c>
      <c r="P21" s="4" t="s">
        <v>96</v>
      </c>
      <c r="Q21" s="2">
        <v>1</v>
      </c>
      <c r="R21" s="2">
        <v>17</v>
      </c>
      <c r="S21" s="4" t="s">
        <v>52</v>
      </c>
      <c r="T21" s="4" t="s">
        <v>47</v>
      </c>
      <c r="U21" s="4" t="s">
        <v>47</v>
      </c>
      <c r="V21" s="5">
        <v>22</v>
      </c>
      <c r="W21" s="5">
        <v>137.61000000000001</v>
      </c>
      <c r="X21" s="5">
        <v>100</v>
      </c>
      <c r="Y21" s="5">
        <v>30.27</v>
      </c>
      <c r="Z21" s="5">
        <v>0</v>
      </c>
      <c r="AA21" s="5">
        <v>0</v>
      </c>
      <c r="AB21" s="4" t="s">
        <v>54</v>
      </c>
      <c r="AC21" s="4" t="s">
        <v>47</v>
      </c>
      <c r="AD21" s="5">
        <v>0</v>
      </c>
      <c r="AE21" s="4" t="s">
        <v>55</v>
      </c>
      <c r="AF21" s="3">
        <v>45931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47</v>
      </c>
      <c r="AO21" s="4" t="s">
        <v>47</v>
      </c>
      <c r="AP21" s="4" t="s">
        <v>47</v>
      </c>
      <c r="AQ21" s="4" t="s">
        <v>137</v>
      </c>
    </row>
    <row r="22" spans="1:43" x14ac:dyDescent="0.25">
      <c r="A22" s="2">
        <v>1891456</v>
      </c>
      <c r="B22" s="3">
        <v>46141</v>
      </c>
      <c r="C22" s="4" t="s">
        <v>133</v>
      </c>
      <c r="D22" s="2">
        <v>1509744</v>
      </c>
      <c r="E22" s="4" t="s">
        <v>138</v>
      </c>
      <c r="F22" s="4" t="s">
        <v>139</v>
      </c>
      <c r="G22" s="4" t="s">
        <v>47</v>
      </c>
      <c r="H22" s="4" t="s">
        <v>47</v>
      </c>
      <c r="I22" s="4" t="s">
        <v>47</v>
      </c>
      <c r="J22" s="4" t="s">
        <v>136</v>
      </c>
      <c r="K22" s="4" t="s">
        <v>49</v>
      </c>
      <c r="L22" s="3">
        <v>46143</v>
      </c>
      <c r="M22" s="4" t="s">
        <v>50</v>
      </c>
      <c r="N22" s="4" t="s">
        <v>47</v>
      </c>
      <c r="O22" s="4" t="s">
        <v>51</v>
      </c>
      <c r="P22" s="4" t="s">
        <v>96</v>
      </c>
      <c r="Q22" s="2">
        <v>1</v>
      </c>
      <c r="R22" s="2">
        <v>17</v>
      </c>
      <c r="S22" s="4" t="s">
        <v>52</v>
      </c>
      <c r="T22" s="4" t="s">
        <v>47</v>
      </c>
      <c r="U22" s="4" t="s">
        <v>47</v>
      </c>
      <c r="V22" s="5">
        <v>22</v>
      </c>
      <c r="W22" s="5">
        <v>155.27000000000001</v>
      </c>
      <c r="X22" s="5">
        <v>100</v>
      </c>
      <c r="Y22" s="5">
        <v>34.159999999999997</v>
      </c>
      <c r="Z22" s="5">
        <v>0</v>
      </c>
      <c r="AA22" s="5">
        <v>0</v>
      </c>
      <c r="AB22" s="4" t="s">
        <v>54</v>
      </c>
      <c r="AC22" s="4" t="s">
        <v>47</v>
      </c>
      <c r="AD22" s="5">
        <v>0</v>
      </c>
      <c r="AE22" s="4" t="s">
        <v>55</v>
      </c>
      <c r="AF22" s="3">
        <v>45962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47</v>
      </c>
      <c r="AO22" s="4" t="s">
        <v>47</v>
      </c>
      <c r="AP22" s="4" t="s">
        <v>47</v>
      </c>
      <c r="AQ22" s="4" t="s">
        <v>137</v>
      </c>
    </row>
    <row r="23" spans="1:43" x14ac:dyDescent="0.25">
      <c r="A23" s="2">
        <v>1891456</v>
      </c>
      <c r="B23" s="3">
        <v>46141</v>
      </c>
      <c r="C23" s="4" t="s">
        <v>133</v>
      </c>
      <c r="D23" s="2">
        <v>1509744</v>
      </c>
      <c r="E23" s="4" t="s">
        <v>140</v>
      </c>
      <c r="F23" s="4" t="s">
        <v>141</v>
      </c>
      <c r="G23" s="4" t="s">
        <v>47</v>
      </c>
      <c r="H23" s="4" t="s">
        <v>47</v>
      </c>
      <c r="I23" s="4" t="s">
        <v>47</v>
      </c>
      <c r="J23" s="4" t="s">
        <v>136</v>
      </c>
      <c r="K23" s="4" t="s">
        <v>49</v>
      </c>
      <c r="L23" s="3">
        <v>46143</v>
      </c>
      <c r="M23" s="4" t="s">
        <v>50</v>
      </c>
      <c r="N23" s="4" t="s">
        <v>47</v>
      </c>
      <c r="O23" s="4" t="s">
        <v>51</v>
      </c>
      <c r="P23" s="4" t="s">
        <v>96</v>
      </c>
      <c r="Q23" s="2">
        <v>1</v>
      </c>
      <c r="R23" s="2">
        <v>17</v>
      </c>
      <c r="S23" s="4" t="s">
        <v>52</v>
      </c>
      <c r="T23" s="4" t="s">
        <v>47</v>
      </c>
      <c r="U23" s="4" t="s">
        <v>47</v>
      </c>
      <c r="V23" s="5">
        <v>22</v>
      </c>
      <c r="W23" s="5">
        <v>176.44</v>
      </c>
      <c r="X23" s="5">
        <v>100</v>
      </c>
      <c r="Y23" s="5">
        <v>38.82</v>
      </c>
      <c r="Z23" s="5">
        <v>0</v>
      </c>
      <c r="AA23" s="5">
        <v>0</v>
      </c>
      <c r="AB23" s="4" t="s">
        <v>54</v>
      </c>
      <c r="AC23" s="4" t="s">
        <v>47</v>
      </c>
      <c r="AD23" s="5">
        <v>0</v>
      </c>
      <c r="AE23" s="4" t="s">
        <v>55</v>
      </c>
      <c r="AF23" s="3">
        <v>46054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47</v>
      </c>
      <c r="AO23" s="4" t="s">
        <v>47</v>
      </c>
      <c r="AP23" s="4" t="s">
        <v>47</v>
      </c>
      <c r="AQ23" s="4" t="s">
        <v>137</v>
      </c>
    </row>
    <row r="24" spans="1:43" x14ac:dyDescent="0.25">
      <c r="A24" s="2">
        <v>1891456</v>
      </c>
      <c r="B24" s="3">
        <v>46141</v>
      </c>
      <c r="C24" s="4" t="s">
        <v>133</v>
      </c>
      <c r="D24" s="2">
        <v>1509744</v>
      </c>
      <c r="E24" s="4" t="s">
        <v>142</v>
      </c>
      <c r="F24" s="4" t="s">
        <v>143</v>
      </c>
      <c r="G24" s="4" t="s">
        <v>47</v>
      </c>
      <c r="H24" s="4" t="s">
        <v>47</v>
      </c>
      <c r="I24" s="4" t="s">
        <v>47</v>
      </c>
      <c r="J24" s="4" t="s">
        <v>136</v>
      </c>
      <c r="K24" s="4" t="s">
        <v>49</v>
      </c>
      <c r="L24" s="3">
        <v>46143</v>
      </c>
      <c r="M24" s="4" t="s">
        <v>50</v>
      </c>
      <c r="N24" s="4" t="s">
        <v>47</v>
      </c>
      <c r="O24" s="4" t="s">
        <v>51</v>
      </c>
      <c r="P24" s="4" t="s">
        <v>96</v>
      </c>
      <c r="Q24" s="2">
        <v>1</v>
      </c>
      <c r="R24" s="2">
        <v>17</v>
      </c>
      <c r="S24" s="4" t="s">
        <v>52</v>
      </c>
      <c r="T24" s="4" t="s">
        <v>47</v>
      </c>
      <c r="U24" s="4" t="s">
        <v>47</v>
      </c>
      <c r="V24" s="5">
        <v>22</v>
      </c>
      <c r="W24" s="5">
        <v>1808.64</v>
      </c>
      <c r="X24" s="5">
        <v>100</v>
      </c>
      <c r="Y24" s="5">
        <v>397.92</v>
      </c>
      <c r="Z24" s="5">
        <v>0</v>
      </c>
      <c r="AA24" s="5">
        <v>0</v>
      </c>
      <c r="AB24" s="4" t="s">
        <v>144</v>
      </c>
      <c r="AC24" s="4" t="s">
        <v>47</v>
      </c>
      <c r="AD24" s="5">
        <v>0</v>
      </c>
      <c r="AE24" s="4" t="s">
        <v>145</v>
      </c>
      <c r="AF24" s="3">
        <v>46143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47</v>
      </c>
      <c r="AO24" s="4" t="s">
        <v>47</v>
      </c>
      <c r="AP24" s="4" t="s">
        <v>47</v>
      </c>
      <c r="AQ24" s="4" t="s">
        <v>137</v>
      </c>
    </row>
    <row r="25" spans="1:43" x14ac:dyDescent="0.25">
      <c r="A25" s="2">
        <v>1891456</v>
      </c>
      <c r="B25" s="3">
        <v>46141</v>
      </c>
      <c r="C25" s="4" t="s">
        <v>146</v>
      </c>
      <c r="D25" s="2">
        <v>1510420</v>
      </c>
      <c r="E25" s="4" t="s">
        <v>147</v>
      </c>
      <c r="F25" s="4" t="s">
        <v>148</v>
      </c>
      <c r="G25" s="4" t="s">
        <v>47</v>
      </c>
      <c r="H25" s="4" t="s">
        <v>47</v>
      </c>
      <c r="I25" s="4" t="s">
        <v>47</v>
      </c>
      <c r="J25" s="4" t="s">
        <v>149</v>
      </c>
      <c r="K25" s="4" t="s">
        <v>150</v>
      </c>
      <c r="L25" s="3">
        <v>46143</v>
      </c>
      <c r="M25" s="4" t="s">
        <v>50</v>
      </c>
      <c r="N25" s="4" t="s">
        <v>47</v>
      </c>
      <c r="O25" s="4" t="s">
        <v>96</v>
      </c>
      <c r="P25" s="4" t="s">
        <v>96</v>
      </c>
      <c r="Q25" s="2">
        <v>1</v>
      </c>
      <c r="R25" s="2">
        <v>3</v>
      </c>
      <c r="S25" s="4" t="s">
        <v>151</v>
      </c>
      <c r="T25" s="4" t="s">
        <v>47</v>
      </c>
      <c r="U25" s="4" t="s">
        <v>47</v>
      </c>
      <c r="V25" s="5">
        <v>10</v>
      </c>
      <c r="W25" s="5">
        <v>52.78</v>
      </c>
      <c r="X25" s="5">
        <v>100</v>
      </c>
      <c r="Y25" s="5">
        <v>5.28</v>
      </c>
      <c r="Z25" s="4" t="s">
        <v>47</v>
      </c>
      <c r="AA25" s="5" t="s">
        <v>47</v>
      </c>
      <c r="AB25" s="4" t="s">
        <v>152</v>
      </c>
      <c r="AC25" s="4" t="s">
        <v>47</v>
      </c>
      <c r="AD25" s="5">
        <v>0</v>
      </c>
      <c r="AE25" s="4" t="s">
        <v>153</v>
      </c>
      <c r="AF25" s="3">
        <v>44586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47</v>
      </c>
      <c r="AO25" s="4" t="s">
        <v>47</v>
      </c>
      <c r="AP25" s="4" t="s">
        <v>47</v>
      </c>
      <c r="AQ25" s="4" t="s">
        <v>47</v>
      </c>
    </row>
    <row r="26" spans="1:43" x14ac:dyDescent="0.25">
      <c r="A26" s="2">
        <v>1891456</v>
      </c>
      <c r="B26" s="3">
        <v>46141</v>
      </c>
      <c r="C26" s="4" t="s">
        <v>154</v>
      </c>
      <c r="D26" s="2">
        <v>1545980</v>
      </c>
      <c r="E26" s="4" t="s">
        <v>155</v>
      </c>
      <c r="F26" s="4" t="s">
        <v>156</v>
      </c>
      <c r="G26" s="4" t="s">
        <v>47</v>
      </c>
      <c r="H26" s="4" t="s">
        <v>47</v>
      </c>
      <c r="I26" s="4" t="s">
        <v>47</v>
      </c>
      <c r="J26" s="4" t="s">
        <v>136</v>
      </c>
      <c r="K26" s="4" t="s">
        <v>49</v>
      </c>
      <c r="L26" s="3">
        <v>46143</v>
      </c>
      <c r="M26" s="4" t="s">
        <v>50</v>
      </c>
      <c r="N26" s="4" t="s">
        <v>47</v>
      </c>
      <c r="O26" s="4" t="s">
        <v>96</v>
      </c>
      <c r="P26" s="4" t="s">
        <v>96</v>
      </c>
      <c r="Q26" s="2">
        <v>1</v>
      </c>
      <c r="R26" s="2">
        <v>17</v>
      </c>
      <c r="S26" s="4" t="s">
        <v>52</v>
      </c>
      <c r="T26" s="4" t="s">
        <v>47</v>
      </c>
      <c r="U26" s="4" t="s">
        <v>47</v>
      </c>
      <c r="V26" s="5">
        <v>11</v>
      </c>
      <c r="W26" s="5">
        <v>141.47999999999999</v>
      </c>
      <c r="X26" s="5">
        <v>100</v>
      </c>
      <c r="Y26" s="5">
        <v>15.56</v>
      </c>
      <c r="Z26" s="5">
        <v>0</v>
      </c>
      <c r="AA26" s="5">
        <v>0</v>
      </c>
      <c r="AB26" s="4" t="s">
        <v>157</v>
      </c>
      <c r="AC26" s="4" t="s">
        <v>47</v>
      </c>
      <c r="AD26" s="5">
        <v>0</v>
      </c>
      <c r="AE26" s="4" t="s">
        <v>158</v>
      </c>
      <c r="AF26" s="3">
        <v>45689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47</v>
      </c>
      <c r="AO26" s="4" t="s">
        <v>47</v>
      </c>
      <c r="AP26" s="4" t="s">
        <v>47</v>
      </c>
      <c r="AQ26" s="4" t="s">
        <v>137</v>
      </c>
    </row>
    <row r="27" spans="1:43" x14ac:dyDescent="0.25">
      <c r="A27" s="2">
        <v>1891456</v>
      </c>
      <c r="B27" s="3">
        <v>46141</v>
      </c>
      <c r="C27" s="4" t="s">
        <v>159</v>
      </c>
      <c r="D27" s="2">
        <v>1673763</v>
      </c>
      <c r="E27" s="4" t="s">
        <v>160</v>
      </c>
      <c r="F27" s="4" t="s">
        <v>161</v>
      </c>
      <c r="G27" s="4" t="s">
        <v>47</v>
      </c>
      <c r="H27" s="4" t="s">
        <v>47</v>
      </c>
      <c r="I27" s="4" t="s">
        <v>47</v>
      </c>
      <c r="J27" s="4" t="s">
        <v>136</v>
      </c>
      <c r="K27" s="4" t="s">
        <v>49</v>
      </c>
      <c r="L27" s="3">
        <v>46143</v>
      </c>
      <c r="M27" s="4" t="s">
        <v>50</v>
      </c>
      <c r="N27" s="4" t="s">
        <v>47</v>
      </c>
      <c r="O27" s="4" t="s">
        <v>96</v>
      </c>
      <c r="P27" s="4" t="s">
        <v>96</v>
      </c>
      <c r="Q27" s="2">
        <v>1</v>
      </c>
      <c r="R27" s="2">
        <v>17</v>
      </c>
      <c r="S27" s="4" t="s">
        <v>52</v>
      </c>
      <c r="T27" s="4" t="s">
        <v>47</v>
      </c>
      <c r="U27" s="4" t="s">
        <v>47</v>
      </c>
      <c r="V27" s="5">
        <v>22</v>
      </c>
      <c r="W27" s="5">
        <v>138.55000000000001</v>
      </c>
      <c r="X27" s="5">
        <v>100</v>
      </c>
      <c r="Y27" s="5">
        <v>30.48</v>
      </c>
      <c r="Z27" s="5">
        <v>0</v>
      </c>
      <c r="AA27" s="5">
        <v>0</v>
      </c>
      <c r="AB27" s="4" t="s">
        <v>162</v>
      </c>
      <c r="AC27" s="4" t="s">
        <v>47</v>
      </c>
      <c r="AD27" s="5">
        <v>0</v>
      </c>
      <c r="AE27" s="4" t="s">
        <v>163</v>
      </c>
      <c r="AF27" s="3">
        <v>45566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47</v>
      </c>
      <c r="AO27" s="4" t="s">
        <v>47</v>
      </c>
      <c r="AP27" s="4" t="s">
        <v>47</v>
      </c>
      <c r="AQ27" s="4" t="s">
        <v>137</v>
      </c>
    </row>
    <row r="28" spans="1:43" x14ac:dyDescent="0.25">
      <c r="A28" s="2">
        <v>1891456</v>
      </c>
      <c r="B28" s="3">
        <v>46141</v>
      </c>
      <c r="C28" s="4" t="s">
        <v>164</v>
      </c>
      <c r="D28" s="2">
        <v>1737425</v>
      </c>
      <c r="E28" s="4" t="s">
        <v>165</v>
      </c>
      <c r="F28" s="4" t="s">
        <v>166</v>
      </c>
      <c r="G28" s="4" t="s">
        <v>47</v>
      </c>
      <c r="H28" s="4" t="s">
        <v>47</v>
      </c>
      <c r="I28" s="4" t="s">
        <v>47</v>
      </c>
      <c r="J28" s="4" t="s">
        <v>149</v>
      </c>
      <c r="K28" s="4" t="s">
        <v>150</v>
      </c>
      <c r="L28" s="3">
        <v>46174</v>
      </c>
      <c r="M28" s="4" t="s">
        <v>81</v>
      </c>
      <c r="N28" s="4" t="s">
        <v>47</v>
      </c>
      <c r="O28" s="4" t="s">
        <v>51</v>
      </c>
      <c r="P28" s="4" t="s">
        <v>96</v>
      </c>
      <c r="Q28" s="2">
        <v>1</v>
      </c>
      <c r="R28" s="2">
        <v>60</v>
      </c>
      <c r="S28" s="4" t="s">
        <v>167</v>
      </c>
      <c r="T28" s="4" t="s">
        <v>47</v>
      </c>
      <c r="U28" s="4" t="s">
        <v>47</v>
      </c>
      <c r="V28" s="5">
        <v>10</v>
      </c>
      <c r="W28" s="5">
        <v>12.24</v>
      </c>
      <c r="X28" s="5">
        <v>100</v>
      </c>
      <c r="Y28" s="5">
        <v>1.22</v>
      </c>
      <c r="Z28" s="4" t="s">
        <v>47</v>
      </c>
      <c r="AA28" s="5" t="s">
        <v>47</v>
      </c>
      <c r="AB28" s="4" t="s">
        <v>168</v>
      </c>
      <c r="AC28" s="4" t="s">
        <v>47</v>
      </c>
      <c r="AD28" s="5">
        <v>0</v>
      </c>
      <c r="AE28" s="4" t="s">
        <v>169</v>
      </c>
      <c r="AF28" s="3">
        <v>46143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47</v>
      </c>
      <c r="AO28" s="4" t="s">
        <v>47</v>
      </c>
      <c r="AP28" s="4" t="s">
        <v>47</v>
      </c>
      <c r="AQ28" s="4" t="s">
        <v>47</v>
      </c>
    </row>
    <row r="29" spans="1:43" x14ac:dyDescent="0.25">
      <c r="A29" s="2">
        <v>1891456</v>
      </c>
      <c r="B29" s="3">
        <v>46141</v>
      </c>
      <c r="C29" s="4" t="s">
        <v>170</v>
      </c>
      <c r="D29" s="2">
        <v>1755893</v>
      </c>
      <c r="E29" s="4" t="s">
        <v>171</v>
      </c>
      <c r="F29" s="4" t="s">
        <v>172</v>
      </c>
      <c r="G29" s="4" t="s">
        <v>47</v>
      </c>
      <c r="H29" s="4" t="s">
        <v>47</v>
      </c>
      <c r="I29" s="4" t="s">
        <v>47</v>
      </c>
      <c r="J29" s="4" t="s">
        <v>149</v>
      </c>
      <c r="K29" s="4" t="s">
        <v>150</v>
      </c>
      <c r="L29" s="3">
        <v>46143</v>
      </c>
      <c r="M29" s="4" t="s">
        <v>50</v>
      </c>
      <c r="N29" s="4" t="s">
        <v>47</v>
      </c>
      <c r="O29" s="4" t="s">
        <v>51</v>
      </c>
      <c r="P29" s="4" t="s">
        <v>96</v>
      </c>
      <c r="Q29" s="2">
        <v>2</v>
      </c>
      <c r="R29" s="2">
        <v>60</v>
      </c>
      <c r="S29" s="4" t="s">
        <v>167</v>
      </c>
      <c r="T29" s="4" t="s">
        <v>47</v>
      </c>
      <c r="U29" s="4" t="s">
        <v>47</v>
      </c>
      <c r="V29" s="5">
        <v>10</v>
      </c>
      <c r="W29" s="5">
        <v>23.99</v>
      </c>
      <c r="X29" s="5">
        <v>100</v>
      </c>
      <c r="Y29" s="5">
        <v>2.4</v>
      </c>
      <c r="Z29" s="4" t="s">
        <v>47</v>
      </c>
      <c r="AA29" s="5" t="s">
        <v>47</v>
      </c>
      <c r="AB29" s="4" t="s">
        <v>168</v>
      </c>
      <c r="AC29" s="4" t="s">
        <v>47</v>
      </c>
      <c r="AD29" s="5">
        <v>0</v>
      </c>
      <c r="AE29" s="4" t="s">
        <v>169</v>
      </c>
      <c r="AF29" s="3">
        <v>45871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47</v>
      </c>
      <c r="AO29" s="4" t="s">
        <v>47</v>
      </c>
      <c r="AP29" s="4" t="s">
        <v>47</v>
      </c>
      <c r="AQ29" s="4" t="s">
        <v>47</v>
      </c>
    </row>
    <row r="30" spans="1:43" x14ac:dyDescent="0.25">
      <c r="A30" s="2">
        <v>1891456</v>
      </c>
      <c r="B30" s="3">
        <v>46141</v>
      </c>
      <c r="C30" s="4" t="s">
        <v>170</v>
      </c>
      <c r="D30" s="2">
        <v>1755893</v>
      </c>
      <c r="E30" s="4" t="s">
        <v>173</v>
      </c>
      <c r="F30" s="4" t="s">
        <v>174</v>
      </c>
      <c r="G30" s="4" t="s">
        <v>47</v>
      </c>
      <c r="H30" s="4" t="s">
        <v>47</v>
      </c>
      <c r="I30" s="4" t="s">
        <v>47</v>
      </c>
      <c r="J30" s="4" t="s">
        <v>149</v>
      </c>
      <c r="K30" s="4" t="s">
        <v>150</v>
      </c>
      <c r="L30" s="3">
        <v>46143</v>
      </c>
      <c r="M30" s="4" t="s">
        <v>50</v>
      </c>
      <c r="N30" s="4" t="s">
        <v>47</v>
      </c>
      <c r="O30" s="4" t="s">
        <v>51</v>
      </c>
      <c r="P30" s="4" t="s">
        <v>96</v>
      </c>
      <c r="Q30" s="2">
        <v>1</v>
      </c>
      <c r="R30" s="2">
        <v>60</v>
      </c>
      <c r="S30" s="4" t="s">
        <v>167</v>
      </c>
      <c r="T30" s="4" t="s">
        <v>47</v>
      </c>
      <c r="U30" s="4" t="s">
        <v>47</v>
      </c>
      <c r="V30" s="5">
        <v>10</v>
      </c>
      <c r="W30" s="5">
        <v>12.99</v>
      </c>
      <c r="X30" s="5">
        <v>100</v>
      </c>
      <c r="Y30" s="5">
        <v>1.3</v>
      </c>
      <c r="Z30" s="4" t="s">
        <v>47</v>
      </c>
      <c r="AA30" s="5" t="s">
        <v>47</v>
      </c>
      <c r="AB30" s="4" t="s">
        <v>168</v>
      </c>
      <c r="AC30" s="4" t="s">
        <v>47</v>
      </c>
      <c r="AD30" s="5">
        <v>0</v>
      </c>
      <c r="AE30" s="4" t="s">
        <v>169</v>
      </c>
      <c r="AF30" s="3">
        <v>45879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47</v>
      </c>
      <c r="AO30" s="4" t="s">
        <v>47</v>
      </c>
      <c r="AP30" s="4" t="s">
        <v>47</v>
      </c>
      <c r="AQ30" s="4" t="s">
        <v>47</v>
      </c>
    </row>
    <row r="31" spans="1:43" x14ac:dyDescent="0.25">
      <c r="A31" s="2">
        <v>1891456</v>
      </c>
      <c r="B31" s="3">
        <v>46141</v>
      </c>
      <c r="C31" s="4" t="s">
        <v>175</v>
      </c>
      <c r="D31" s="2">
        <v>1831491</v>
      </c>
      <c r="E31" s="4" t="s">
        <v>176</v>
      </c>
      <c r="F31" s="4" t="s">
        <v>177</v>
      </c>
      <c r="G31" s="4" t="s">
        <v>47</v>
      </c>
      <c r="H31" s="4" t="s">
        <v>47</v>
      </c>
      <c r="I31" s="4" t="s">
        <v>47</v>
      </c>
      <c r="J31" s="4" t="s">
        <v>136</v>
      </c>
      <c r="K31" s="4" t="s">
        <v>49</v>
      </c>
      <c r="L31" s="3">
        <v>46143</v>
      </c>
      <c r="M31" s="4" t="s">
        <v>50</v>
      </c>
      <c r="N31" s="4" t="s">
        <v>47</v>
      </c>
      <c r="O31" s="4" t="s">
        <v>51</v>
      </c>
      <c r="P31" s="4" t="s">
        <v>96</v>
      </c>
      <c r="Q31" s="2">
        <v>1</v>
      </c>
      <c r="R31" s="2">
        <v>17</v>
      </c>
      <c r="S31" s="4" t="s">
        <v>52</v>
      </c>
      <c r="T31" s="4" t="s">
        <v>47</v>
      </c>
      <c r="U31" s="4" t="s">
        <v>47</v>
      </c>
      <c r="V31" s="5">
        <v>22</v>
      </c>
      <c r="W31" s="5">
        <v>130.87</v>
      </c>
      <c r="X31" s="5">
        <v>100</v>
      </c>
      <c r="Y31" s="5">
        <v>28.79</v>
      </c>
      <c r="Z31" s="5">
        <v>0</v>
      </c>
      <c r="AA31" s="5">
        <v>0</v>
      </c>
      <c r="AB31" s="4" t="s">
        <v>54</v>
      </c>
      <c r="AC31" s="4" t="s">
        <v>47</v>
      </c>
      <c r="AD31" s="5">
        <v>0</v>
      </c>
      <c r="AE31" s="4" t="s">
        <v>55</v>
      </c>
      <c r="AF31" s="3">
        <v>45839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47</v>
      </c>
      <c r="AO31" s="4" t="s">
        <v>47</v>
      </c>
      <c r="AP31" s="4" t="s">
        <v>47</v>
      </c>
      <c r="AQ31" s="4" t="s">
        <v>137</v>
      </c>
    </row>
    <row r="32" spans="1:43" x14ac:dyDescent="0.25">
      <c r="A32" s="2">
        <v>1891456</v>
      </c>
      <c r="B32" s="3">
        <v>46141</v>
      </c>
      <c r="C32" s="4" t="s">
        <v>175</v>
      </c>
      <c r="D32" s="2">
        <v>1831491</v>
      </c>
      <c r="E32" s="4" t="s">
        <v>178</v>
      </c>
      <c r="F32" s="4" t="s">
        <v>179</v>
      </c>
      <c r="G32" s="4" t="s">
        <v>47</v>
      </c>
      <c r="H32" s="4" t="s">
        <v>47</v>
      </c>
      <c r="I32" s="4" t="s">
        <v>47</v>
      </c>
      <c r="J32" s="4" t="s">
        <v>149</v>
      </c>
      <c r="K32" s="4" t="s">
        <v>150</v>
      </c>
      <c r="L32" s="3">
        <v>46143</v>
      </c>
      <c r="M32" s="4" t="s">
        <v>50</v>
      </c>
      <c r="N32" s="4" t="s">
        <v>47</v>
      </c>
      <c r="O32" s="4" t="s">
        <v>51</v>
      </c>
      <c r="P32" s="4" t="s">
        <v>96</v>
      </c>
      <c r="Q32" s="2">
        <v>2</v>
      </c>
      <c r="R32" s="2">
        <v>60</v>
      </c>
      <c r="S32" s="4" t="s">
        <v>167</v>
      </c>
      <c r="T32" s="4" t="s">
        <v>47</v>
      </c>
      <c r="U32" s="4" t="s">
        <v>47</v>
      </c>
      <c r="V32" s="5">
        <v>10</v>
      </c>
      <c r="W32" s="5">
        <v>26.88</v>
      </c>
      <c r="X32" s="5">
        <v>100</v>
      </c>
      <c r="Y32" s="5">
        <v>2.69</v>
      </c>
      <c r="Z32" s="4" t="s">
        <v>47</v>
      </c>
      <c r="AA32" s="5" t="s">
        <v>47</v>
      </c>
      <c r="AB32" s="4" t="s">
        <v>168</v>
      </c>
      <c r="AC32" s="4" t="s">
        <v>47</v>
      </c>
      <c r="AD32" s="5">
        <v>0</v>
      </c>
      <c r="AE32" s="4" t="s">
        <v>169</v>
      </c>
      <c r="AF32" s="3">
        <v>45808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47</v>
      </c>
      <c r="AO32" s="4" t="s">
        <v>47</v>
      </c>
      <c r="AP32" s="4" t="s">
        <v>47</v>
      </c>
      <c r="AQ32" s="4" t="s">
        <v>47</v>
      </c>
    </row>
    <row r="33" spans="1:43" x14ac:dyDescent="0.25">
      <c r="A33" s="2">
        <v>1891456</v>
      </c>
      <c r="B33" s="3">
        <v>46141</v>
      </c>
      <c r="C33" s="4" t="s">
        <v>175</v>
      </c>
      <c r="D33" s="2">
        <v>1831491</v>
      </c>
      <c r="E33" s="4" t="s">
        <v>180</v>
      </c>
      <c r="F33" s="4" t="s">
        <v>181</v>
      </c>
      <c r="G33" s="4" t="s">
        <v>47</v>
      </c>
      <c r="H33" s="4" t="s">
        <v>47</v>
      </c>
      <c r="I33" s="4" t="s">
        <v>47</v>
      </c>
      <c r="J33" s="4" t="s">
        <v>149</v>
      </c>
      <c r="K33" s="4" t="s">
        <v>150</v>
      </c>
      <c r="L33" s="3">
        <v>46143</v>
      </c>
      <c r="M33" s="4" t="s">
        <v>50</v>
      </c>
      <c r="N33" s="4" t="s">
        <v>47</v>
      </c>
      <c r="O33" s="4" t="s">
        <v>51</v>
      </c>
      <c r="P33" s="4" t="s">
        <v>96</v>
      </c>
      <c r="Q33" s="2">
        <v>2</v>
      </c>
      <c r="R33" s="2">
        <v>60</v>
      </c>
      <c r="S33" s="4" t="s">
        <v>167</v>
      </c>
      <c r="T33" s="4" t="s">
        <v>47</v>
      </c>
      <c r="U33" s="4" t="s">
        <v>47</v>
      </c>
      <c r="V33" s="5">
        <v>10</v>
      </c>
      <c r="W33" s="5">
        <v>26.88</v>
      </c>
      <c r="X33" s="5">
        <v>100</v>
      </c>
      <c r="Y33" s="5">
        <v>2.69</v>
      </c>
      <c r="Z33" s="4" t="s">
        <v>47</v>
      </c>
      <c r="AA33" s="5" t="s">
        <v>47</v>
      </c>
      <c r="AB33" s="4" t="s">
        <v>168</v>
      </c>
      <c r="AC33" s="4" t="s">
        <v>47</v>
      </c>
      <c r="AD33" s="5">
        <v>0</v>
      </c>
      <c r="AE33" s="4" t="s">
        <v>169</v>
      </c>
      <c r="AF33" s="3">
        <v>45808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47</v>
      </c>
      <c r="AO33" s="4" t="s">
        <v>47</v>
      </c>
      <c r="AP33" s="4" t="s">
        <v>47</v>
      </c>
      <c r="AQ33" s="4" t="s">
        <v>47</v>
      </c>
    </row>
    <row r="34" spans="1:43" x14ac:dyDescent="0.25">
      <c r="A34" s="2">
        <v>1891456</v>
      </c>
      <c r="B34" s="3">
        <v>46141</v>
      </c>
      <c r="C34" s="4" t="s">
        <v>175</v>
      </c>
      <c r="D34" s="2">
        <v>1831491</v>
      </c>
      <c r="E34" s="4" t="s">
        <v>182</v>
      </c>
      <c r="F34" s="4" t="s">
        <v>183</v>
      </c>
      <c r="G34" s="4" t="s">
        <v>47</v>
      </c>
      <c r="H34" s="4" t="s">
        <v>47</v>
      </c>
      <c r="I34" s="4" t="s">
        <v>47</v>
      </c>
      <c r="J34" s="4" t="s">
        <v>149</v>
      </c>
      <c r="K34" s="4" t="s">
        <v>150</v>
      </c>
      <c r="L34" s="3">
        <v>46143</v>
      </c>
      <c r="M34" s="4" t="s">
        <v>50</v>
      </c>
      <c r="N34" s="4" t="s">
        <v>47</v>
      </c>
      <c r="O34" s="4" t="s">
        <v>51</v>
      </c>
      <c r="P34" s="4" t="s">
        <v>96</v>
      </c>
      <c r="Q34" s="2">
        <v>2</v>
      </c>
      <c r="R34" s="2">
        <v>60</v>
      </c>
      <c r="S34" s="4" t="s">
        <v>167</v>
      </c>
      <c r="T34" s="4" t="s">
        <v>47</v>
      </c>
      <c r="U34" s="4" t="s">
        <v>47</v>
      </c>
      <c r="V34" s="5">
        <v>10</v>
      </c>
      <c r="W34" s="5">
        <v>26.88</v>
      </c>
      <c r="X34" s="5">
        <v>100</v>
      </c>
      <c r="Y34" s="5">
        <v>2.69</v>
      </c>
      <c r="Z34" s="4" t="s">
        <v>47</v>
      </c>
      <c r="AA34" s="5" t="s">
        <v>47</v>
      </c>
      <c r="AB34" s="4" t="s">
        <v>168</v>
      </c>
      <c r="AC34" s="4" t="s">
        <v>47</v>
      </c>
      <c r="AD34" s="5">
        <v>0</v>
      </c>
      <c r="AE34" s="4" t="s">
        <v>169</v>
      </c>
      <c r="AF34" s="3">
        <v>45808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47</v>
      </c>
      <c r="AO34" s="4" t="s">
        <v>47</v>
      </c>
      <c r="AP34" s="4" t="s">
        <v>47</v>
      </c>
      <c r="AQ34" s="4" t="s">
        <v>47</v>
      </c>
    </row>
    <row r="35" spans="1:43" x14ac:dyDescent="0.25">
      <c r="A35" s="2">
        <v>1891456</v>
      </c>
      <c r="B35" s="3">
        <v>46141</v>
      </c>
      <c r="C35" s="4" t="s">
        <v>175</v>
      </c>
      <c r="D35" s="2">
        <v>1831491</v>
      </c>
      <c r="E35" s="4" t="s">
        <v>184</v>
      </c>
      <c r="F35" s="4" t="s">
        <v>185</v>
      </c>
      <c r="G35" s="4" t="s">
        <v>47</v>
      </c>
      <c r="H35" s="4" t="s">
        <v>47</v>
      </c>
      <c r="I35" s="4" t="s">
        <v>47</v>
      </c>
      <c r="J35" s="4" t="s">
        <v>149</v>
      </c>
      <c r="K35" s="4" t="s">
        <v>150</v>
      </c>
      <c r="L35" s="3">
        <v>46143</v>
      </c>
      <c r="M35" s="4" t="s">
        <v>50</v>
      </c>
      <c r="N35" s="4" t="s">
        <v>47</v>
      </c>
      <c r="O35" s="4" t="s">
        <v>51</v>
      </c>
      <c r="P35" s="4" t="s">
        <v>96</v>
      </c>
      <c r="Q35" s="2">
        <v>1</v>
      </c>
      <c r="R35" s="2">
        <v>60</v>
      </c>
      <c r="S35" s="4" t="s">
        <v>167</v>
      </c>
      <c r="T35" s="4" t="s">
        <v>47</v>
      </c>
      <c r="U35" s="4" t="s">
        <v>47</v>
      </c>
      <c r="V35" s="5">
        <v>10</v>
      </c>
      <c r="W35" s="5">
        <v>13.93</v>
      </c>
      <c r="X35" s="5">
        <v>100</v>
      </c>
      <c r="Y35" s="5">
        <v>1.39</v>
      </c>
      <c r="Z35" s="4" t="s">
        <v>47</v>
      </c>
      <c r="AA35" s="5" t="s">
        <v>47</v>
      </c>
      <c r="AB35" s="4" t="s">
        <v>168</v>
      </c>
      <c r="AC35" s="4" t="s">
        <v>47</v>
      </c>
      <c r="AD35" s="5">
        <v>0</v>
      </c>
      <c r="AE35" s="4" t="s">
        <v>169</v>
      </c>
      <c r="AF35" s="3">
        <v>45809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47</v>
      </c>
      <c r="AO35" s="4" t="s">
        <v>47</v>
      </c>
      <c r="AP35" s="4" t="s">
        <v>47</v>
      </c>
      <c r="AQ35" s="4" t="s">
        <v>47</v>
      </c>
    </row>
    <row r="36" spans="1:43" x14ac:dyDescent="0.25">
      <c r="A36" s="2">
        <v>1891456</v>
      </c>
      <c r="B36" s="3">
        <v>46141</v>
      </c>
      <c r="C36" s="4" t="s">
        <v>175</v>
      </c>
      <c r="D36" s="2">
        <v>1831491</v>
      </c>
      <c r="E36" s="4" t="s">
        <v>186</v>
      </c>
      <c r="F36" s="4" t="s">
        <v>187</v>
      </c>
      <c r="G36" s="4" t="s">
        <v>47</v>
      </c>
      <c r="H36" s="4" t="s">
        <v>47</v>
      </c>
      <c r="I36" s="4" t="s">
        <v>47</v>
      </c>
      <c r="J36" s="4" t="s">
        <v>149</v>
      </c>
      <c r="K36" s="4" t="s">
        <v>150</v>
      </c>
      <c r="L36" s="3">
        <v>46143</v>
      </c>
      <c r="M36" s="4" t="s">
        <v>50</v>
      </c>
      <c r="N36" s="4" t="s">
        <v>47</v>
      </c>
      <c r="O36" s="4" t="s">
        <v>51</v>
      </c>
      <c r="P36" s="4" t="s">
        <v>96</v>
      </c>
      <c r="Q36" s="2">
        <v>6</v>
      </c>
      <c r="R36" s="2">
        <v>60</v>
      </c>
      <c r="S36" s="4" t="s">
        <v>167</v>
      </c>
      <c r="T36" s="4" t="s">
        <v>47</v>
      </c>
      <c r="U36" s="4" t="s">
        <v>47</v>
      </c>
      <c r="V36" s="5">
        <v>10</v>
      </c>
      <c r="W36" s="5">
        <v>46.8</v>
      </c>
      <c r="X36" s="5">
        <v>100</v>
      </c>
      <c r="Y36" s="5">
        <v>4.68</v>
      </c>
      <c r="Z36" s="4" t="s">
        <v>47</v>
      </c>
      <c r="AA36" s="5" t="s">
        <v>47</v>
      </c>
      <c r="AB36" s="4" t="s">
        <v>168</v>
      </c>
      <c r="AC36" s="4" t="s">
        <v>47</v>
      </c>
      <c r="AD36" s="5">
        <v>0</v>
      </c>
      <c r="AE36" s="4" t="s">
        <v>169</v>
      </c>
      <c r="AF36" s="3">
        <v>45809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47</v>
      </c>
      <c r="AO36" s="4" t="s">
        <v>47</v>
      </c>
      <c r="AP36" s="4" t="s">
        <v>47</v>
      </c>
      <c r="AQ36" s="4" t="s">
        <v>47</v>
      </c>
    </row>
    <row r="37" spans="1:43" x14ac:dyDescent="0.25">
      <c r="A37" s="2">
        <v>1891456</v>
      </c>
      <c r="B37" s="3">
        <v>46141</v>
      </c>
      <c r="C37" s="4" t="s">
        <v>175</v>
      </c>
      <c r="D37" s="2">
        <v>1831491</v>
      </c>
      <c r="E37" s="4" t="s">
        <v>188</v>
      </c>
      <c r="F37" s="4" t="s">
        <v>189</v>
      </c>
      <c r="G37" s="4" t="s">
        <v>47</v>
      </c>
      <c r="H37" s="4" t="s">
        <v>47</v>
      </c>
      <c r="I37" s="4" t="s">
        <v>47</v>
      </c>
      <c r="J37" s="4" t="s">
        <v>149</v>
      </c>
      <c r="K37" s="4" t="s">
        <v>150</v>
      </c>
      <c r="L37" s="3">
        <v>46143</v>
      </c>
      <c r="M37" s="4" t="s">
        <v>50</v>
      </c>
      <c r="N37" s="4" t="s">
        <v>47</v>
      </c>
      <c r="O37" s="4" t="s">
        <v>51</v>
      </c>
      <c r="P37" s="4" t="s">
        <v>96</v>
      </c>
      <c r="Q37" s="2">
        <v>2</v>
      </c>
      <c r="R37" s="2">
        <v>60</v>
      </c>
      <c r="S37" s="4" t="s">
        <v>167</v>
      </c>
      <c r="T37" s="4" t="s">
        <v>47</v>
      </c>
      <c r="U37" s="4" t="s">
        <v>47</v>
      </c>
      <c r="V37" s="5">
        <v>10</v>
      </c>
      <c r="W37" s="5">
        <v>26.88</v>
      </c>
      <c r="X37" s="5">
        <v>100</v>
      </c>
      <c r="Y37" s="5">
        <v>2.69</v>
      </c>
      <c r="Z37" s="4" t="s">
        <v>47</v>
      </c>
      <c r="AA37" s="5" t="s">
        <v>47</v>
      </c>
      <c r="AB37" s="4" t="s">
        <v>168</v>
      </c>
      <c r="AC37" s="4" t="s">
        <v>47</v>
      </c>
      <c r="AD37" s="5">
        <v>0</v>
      </c>
      <c r="AE37" s="4" t="s">
        <v>169</v>
      </c>
      <c r="AF37" s="3">
        <v>45809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47</v>
      </c>
      <c r="AO37" s="4" t="s">
        <v>47</v>
      </c>
      <c r="AP37" s="4" t="s">
        <v>47</v>
      </c>
      <c r="AQ37" s="4" t="s">
        <v>47</v>
      </c>
    </row>
    <row r="38" spans="1:43" x14ac:dyDescent="0.25">
      <c r="A38" s="2">
        <v>1891456</v>
      </c>
      <c r="B38" s="3">
        <v>46141</v>
      </c>
      <c r="C38" s="4" t="s">
        <v>175</v>
      </c>
      <c r="D38" s="2">
        <v>1831491</v>
      </c>
      <c r="E38" s="4" t="s">
        <v>190</v>
      </c>
      <c r="F38" s="4" t="s">
        <v>191</v>
      </c>
      <c r="G38" s="4" t="s">
        <v>47</v>
      </c>
      <c r="H38" s="4" t="s">
        <v>47</v>
      </c>
      <c r="I38" s="4" t="s">
        <v>47</v>
      </c>
      <c r="J38" s="4" t="s">
        <v>149</v>
      </c>
      <c r="K38" s="4" t="s">
        <v>150</v>
      </c>
      <c r="L38" s="3">
        <v>46143</v>
      </c>
      <c r="M38" s="4" t="s">
        <v>50</v>
      </c>
      <c r="N38" s="4" t="s">
        <v>47</v>
      </c>
      <c r="O38" s="4" t="s">
        <v>51</v>
      </c>
      <c r="P38" s="4" t="s">
        <v>96</v>
      </c>
      <c r="Q38" s="2">
        <v>2</v>
      </c>
      <c r="R38" s="2">
        <v>60</v>
      </c>
      <c r="S38" s="4" t="s">
        <v>167</v>
      </c>
      <c r="T38" s="4" t="s">
        <v>47</v>
      </c>
      <c r="U38" s="4" t="s">
        <v>47</v>
      </c>
      <c r="V38" s="5">
        <v>10</v>
      </c>
      <c r="W38" s="5">
        <v>26.88</v>
      </c>
      <c r="X38" s="5">
        <v>100</v>
      </c>
      <c r="Y38" s="5">
        <v>2.69</v>
      </c>
      <c r="Z38" s="4" t="s">
        <v>47</v>
      </c>
      <c r="AA38" s="5" t="s">
        <v>47</v>
      </c>
      <c r="AB38" s="4" t="s">
        <v>168</v>
      </c>
      <c r="AC38" s="4" t="s">
        <v>47</v>
      </c>
      <c r="AD38" s="5">
        <v>0</v>
      </c>
      <c r="AE38" s="4" t="s">
        <v>169</v>
      </c>
      <c r="AF38" s="3">
        <v>45816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47</v>
      </c>
      <c r="AO38" s="4" t="s">
        <v>47</v>
      </c>
      <c r="AP38" s="4" t="s">
        <v>47</v>
      </c>
      <c r="AQ38" s="4" t="s">
        <v>47</v>
      </c>
    </row>
    <row r="39" spans="1:43" x14ac:dyDescent="0.25">
      <c r="A39" s="2">
        <v>1891456</v>
      </c>
      <c r="B39" s="3">
        <v>46141</v>
      </c>
      <c r="C39" s="4" t="s">
        <v>175</v>
      </c>
      <c r="D39" s="2">
        <v>1831491</v>
      </c>
      <c r="E39" s="4" t="s">
        <v>192</v>
      </c>
      <c r="F39" s="4" t="s">
        <v>193</v>
      </c>
      <c r="G39" s="4" t="s">
        <v>47</v>
      </c>
      <c r="H39" s="4" t="s">
        <v>47</v>
      </c>
      <c r="I39" s="4" t="s">
        <v>47</v>
      </c>
      <c r="J39" s="4" t="s">
        <v>149</v>
      </c>
      <c r="K39" s="4" t="s">
        <v>150</v>
      </c>
      <c r="L39" s="3">
        <v>46143</v>
      </c>
      <c r="M39" s="4" t="s">
        <v>50</v>
      </c>
      <c r="N39" s="4" t="s">
        <v>47</v>
      </c>
      <c r="O39" s="4" t="s">
        <v>51</v>
      </c>
      <c r="P39" s="4" t="s">
        <v>96</v>
      </c>
      <c r="Q39" s="2">
        <v>2</v>
      </c>
      <c r="R39" s="2">
        <v>60</v>
      </c>
      <c r="S39" s="4" t="s">
        <v>167</v>
      </c>
      <c r="T39" s="4" t="s">
        <v>47</v>
      </c>
      <c r="U39" s="4" t="s">
        <v>47</v>
      </c>
      <c r="V39" s="5">
        <v>10</v>
      </c>
      <c r="W39" s="5">
        <v>26.88</v>
      </c>
      <c r="X39" s="5">
        <v>100</v>
      </c>
      <c r="Y39" s="5">
        <v>2.69</v>
      </c>
      <c r="Z39" s="4" t="s">
        <v>47</v>
      </c>
      <c r="AA39" s="5" t="s">
        <v>47</v>
      </c>
      <c r="AB39" s="4" t="s">
        <v>168</v>
      </c>
      <c r="AC39" s="4" t="s">
        <v>47</v>
      </c>
      <c r="AD39" s="5">
        <v>0</v>
      </c>
      <c r="AE39" s="4" t="s">
        <v>169</v>
      </c>
      <c r="AF39" s="3">
        <v>45839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47</v>
      </c>
      <c r="AO39" s="4" t="s">
        <v>47</v>
      </c>
      <c r="AP39" s="4" t="s">
        <v>47</v>
      </c>
      <c r="AQ39" s="4" t="s">
        <v>47</v>
      </c>
    </row>
    <row r="40" spans="1:43" x14ac:dyDescent="0.25">
      <c r="A40" s="2">
        <v>1891456</v>
      </c>
      <c r="B40" s="3">
        <v>46141</v>
      </c>
      <c r="C40" s="4" t="s">
        <v>175</v>
      </c>
      <c r="D40" s="2">
        <v>1831491</v>
      </c>
      <c r="E40" s="4" t="s">
        <v>194</v>
      </c>
      <c r="F40" s="4" t="s">
        <v>195</v>
      </c>
      <c r="G40" s="4" t="s">
        <v>47</v>
      </c>
      <c r="H40" s="4" t="s">
        <v>47</v>
      </c>
      <c r="I40" s="4" t="s">
        <v>47</v>
      </c>
      <c r="J40" s="4" t="s">
        <v>149</v>
      </c>
      <c r="K40" s="4" t="s">
        <v>150</v>
      </c>
      <c r="L40" s="3">
        <v>46143</v>
      </c>
      <c r="M40" s="4" t="s">
        <v>50</v>
      </c>
      <c r="N40" s="4" t="s">
        <v>47</v>
      </c>
      <c r="O40" s="4" t="s">
        <v>51</v>
      </c>
      <c r="P40" s="4" t="s">
        <v>96</v>
      </c>
      <c r="Q40" s="2">
        <v>1</v>
      </c>
      <c r="R40" s="2">
        <v>60</v>
      </c>
      <c r="S40" s="4" t="s">
        <v>167</v>
      </c>
      <c r="T40" s="4" t="s">
        <v>47</v>
      </c>
      <c r="U40" s="4" t="s">
        <v>47</v>
      </c>
      <c r="V40" s="5">
        <v>10</v>
      </c>
      <c r="W40" s="5">
        <v>13.93</v>
      </c>
      <c r="X40" s="5">
        <v>100</v>
      </c>
      <c r="Y40" s="5">
        <v>1.39</v>
      </c>
      <c r="Z40" s="4" t="s">
        <v>47</v>
      </c>
      <c r="AA40" s="5" t="s">
        <v>47</v>
      </c>
      <c r="AB40" s="4" t="s">
        <v>168</v>
      </c>
      <c r="AC40" s="4" t="s">
        <v>47</v>
      </c>
      <c r="AD40" s="5">
        <v>0</v>
      </c>
      <c r="AE40" s="4" t="s">
        <v>169</v>
      </c>
      <c r="AF40" s="3">
        <v>45816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47</v>
      </c>
      <c r="AO40" s="4" t="s">
        <v>47</v>
      </c>
      <c r="AP40" s="4" t="s">
        <v>47</v>
      </c>
      <c r="AQ40" s="4" t="s">
        <v>47</v>
      </c>
    </row>
    <row r="41" spans="1:43" x14ac:dyDescent="0.25">
      <c r="A41" s="2">
        <v>1891456</v>
      </c>
      <c r="B41" s="3">
        <v>46141</v>
      </c>
      <c r="C41" s="4" t="s">
        <v>175</v>
      </c>
      <c r="D41" s="2">
        <v>1831491</v>
      </c>
      <c r="E41" s="4" t="s">
        <v>196</v>
      </c>
      <c r="F41" s="4" t="s">
        <v>197</v>
      </c>
      <c r="G41" s="4" t="s">
        <v>47</v>
      </c>
      <c r="H41" s="4" t="s">
        <v>47</v>
      </c>
      <c r="I41" s="4" t="s">
        <v>47</v>
      </c>
      <c r="J41" s="4" t="s">
        <v>149</v>
      </c>
      <c r="K41" s="4" t="s">
        <v>150</v>
      </c>
      <c r="L41" s="3">
        <v>46143</v>
      </c>
      <c r="M41" s="4" t="s">
        <v>50</v>
      </c>
      <c r="N41" s="4" t="s">
        <v>47</v>
      </c>
      <c r="O41" s="4" t="s">
        <v>51</v>
      </c>
      <c r="P41" s="4" t="s">
        <v>96</v>
      </c>
      <c r="Q41" s="2">
        <v>1</v>
      </c>
      <c r="R41" s="2">
        <v>60</v>
      </c>
      <c r="S41" s="4" t="s">
        <v>167</v>
      </c>
      <c r="T41" s="4" t="s">
        <v>47</v>
      </c>
      <c r="U41" s="4" t="s">
        <v>47</v>
      </c>
      <c r="V41" s="5">
        <v>10</v>
      </c>
      <c r="W41" s="5">
        <v>13.93</v>
      </c>
      <c r="X41" s="5">
        <v>100</v>
      </c>
      <c r="Y41" s="5">
        <v>1.39</v>
      </c>
      <c r="Z41" s="4" t="s">
        <v>47</v>
      </c>
      <c r="AA41" s="5" t="s">
        <v>47</v>
      </c>
      <c r="AB41" s="4" t="s">
        <v>168</v>
      </c>
      <c r="AC41" s="4" t="s">
        <v>47</v>
      </c>
      <c r="AD41" s="5">
        <v>0</v>
      </c>
      <c r="AE41" s="4" t="s">
        <v>169</v>
      </c>
      <c r="AF41" s="3">
        <v>45817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47</v>
      </c>
      <c r="AO41" s="4" t="s">
        <v>47</v>
      </c>
      <c r="AP41" s="4" t="s">
        <v>47</v>
      </c>
      <c r="AQ41" s="4" t="s">
        <v>47</v>
      </c>
    </row>
    <row r="42" spans="1:43" x14ac:dyDescent="0.25">
      <c r="A42" s="2">
        <v>1891456</v>
      </c>
      <c r="B42" s="3">
        <v>46141</v>
      </c>
      <c r="C42" s="4" t="s">
        <v>175</v>
      </c>
      <c r="D42" s="2">
        <v>1831491</v>
      </c>
      <c r="E42" s="4" t="s">
        <v>198</v>
      </c>
      <c r="F42" s="4" t="s">
        <v>199</v>
      </c>
      <c r="G42" s="4" t="s">
        <v>47</v>
      </c>
      <c r="H42" s="4" t="s">
        <v>47</v>
      </c>
      <c r="I42" s="4" t="s">
        <v>47</v>
      </c>
      <c r="J42" s="4" t="s">
        <v>149</v>
      </c>
      <c r="K42" s="4" t="s">
        <v>150</v>
      </c>
      <c r="L42" s="3">
        <v>46143</v>
      </c>
      <c r="M42" s="4" t="s">
        <v>50</v>
      </c>
      <c r="N42" s="4" t="s">
        <v>47</v>
      </c>
      <c r="O42" s="4" t="s">
        <v>51</v>
      </c>
      <c r="P42" s="4" t="s">
        <v>96</v>
      </c>
      <c r="Q42" s="2">
        <v>2</v>
      </c>
      <c r="R42" s="2">
        <v>60</v>
      </c>
      <c r="S42" s="4" t="s">
        <v>167</v>
      </c>
      <c r="T42" s="4" t="s">
        <v>47</v>
      </c>
      <c r="U42" s="4" t="s">
        <v>47</v>
      </c>
      <c r="V42" s="5">
        <v>10</v>
      </c>
      <c r="W42" s="5">
        <v>26.88</v>
      </c>
      <c r="X42" s="5">
        <v>100</v>
      </c>
      <c r="Y42" s="5">
        <v>2.69</v>
      </c>
      <c r="Z42" s="4" t="s">
        <v>47</v>
      </c>
      <c r="AA42" s="5" t="s">
        <v>47</v>
      </c>
      <c r="AB42" s="4" t="s">
        <v>168</v>
      </c>
      <c r="AC42" s="4" t="s">
        <v>47</v>
      </c>
      <c r="AD42" s="5">
        <v>0</v>
      </c>
      <c r="AE42" s="4" t="s">
        <v>169</v>
      </c>
      <c r="AF42" s="3">
        <v>45817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47</v>
      </c>
      <c r="AO42" s="4" t="s">
        <v>47</v>
      </c>
      <c r="AP42" s="4" t="s">
        <v>47</v>
      </c>
      <c r="AQ42" s="4" t="s">
        <v>47</v>
      </c>
    </row>
    <row r="43" spans="1:43" x14ac:dyDescent="0.25">
      <c r="A43" s="2">
        <v>1891456</v>
      </c>
      <c r="B43" s="3">
        <v>46141</v>
      </c>
      <c r="C43" s="4" t="s">
        <v>175</v>
      </c>
      <c r="D43" s="2">
        <v>1831491</v>
      </c>
      <c r="E43" s="4" t="s">
        <v>200</v>
      </c>
      <c r="F43" s="4" t="s">
        <v>201</v>
      </c>
      <c r="G43" s="4" t="s">
        <v>47</v>
      </c>
      <c r="H43" s="4" t="s">
        <v>47</v>
      </c>
      <c r="I43" s="4" t="s">
        <v>47</v>
      </c>
      <c r="J43" s="4" t="s">
        <v>149</v>
      </c>
      <c r="K43" s="4" t="s">
        <v>150</v>
      </c>
      <c r="L43" s="3">
        <v>46143</v>
      </c>
      <c r="M43" s="4" t="s">
        <v>50</v>
      </c>
      <c r="N43" s="4" t="s">
        <v>47</v>
      </c>
      <c r="O43" s="4" t="s">
        <v>51</v>
      </c>
      <c r="P43" s="4" t="s">
        <v>96</v>
      </c>
      <c r="Q43" s="2">
        <v>1</v>
      </c>
      <c r="R43" s="2">
        <v>60</v>
      </c>
      <c r="S43" s="4" t="s">
        <v>167</v>
      </c>
      <c r="T43" s="4" t="s">
        <v>47</v>
      </c>
      <c r="U43" s="4" t="s">
        <v>47</v>
      </c>
      <c r="V43" s="5">
        <v>10</v>
      </c>
      <c r="W43" s="5">
        <v>13.93</v>
      </c>
      <c r="X43" s="5">
        <v>100</v>
      </c>
      <c r="Y43" s="5">
        <v>1.39</v>
      </c>
      <c r="Z43" s="4" t="s">
        <v>47</v>
      </c>
      <c r="AA43" s="5" t="s">
        <v>47</v>
      </c>
      <c r="AB43" s="4" t="s">
        <v>168</v>
      </c>
      <c r="AC43" s="4" t="s">
        <v>47</v>
      </c>
      <c r="AD43" s="5">
        <v>0</v>
      </c>
      <c r="AE43" s="4" t="s">
        <v>169</v>
      </c>
      <c r="AF43" s="3">
        <v>45870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47</v>
      </c>
      <c r="AO43" s="4" t="s">
        <v>47</v>
      </c>
      <c r="AP43" s="4" t="s">
        <v>47</v>
      </c>
      <c r="AQ43" s="4" t="s">
        <v>47</v>
      </c>
    </row>
    <row r="44" spans="1:43" x14ac:dyDescent="0.25">
      <c r="A44" s="2">
        <v>1891456</v>
      </c>
      <c r="B44" s="3">
        <v>46141</v>
      </c>
      <c r="C44" s="4" t="s">
        <v>175</v>
      </c>
      <c r="D44" s="2">
        <v>1831491</v>
      </c>
      <c r="E44" s="4" t="s">
        <v>202</v>
      </c>
      <c r="F44" s="4" t="s">
        <v>203</v>
      </c>
      <c r="G44" s="4" t="s">
        <v>47</v>
      </c>
      <c r="H44" s="4" t="s">
        <v>47</v>
      </c>
      <c r="I44" s="4" t="s">
        <v>47</v>
      </c>
      <c r="J44" s="4" t="s">
        <v>149</v>
      </c>
      <c r="K44" s="4" t="s">
        <v>150</v>
      </c>
      <c r="L44" s="3">
        <v>46143</v>
      </c>
      <c r="M44" s="4" t="s">
        <v>50</v>
      </c>
      <c r="N44" s="4" t="s">
        <v>47</v>
      </c>
      <c r="O44" s="4" t="s">
        <v>51</v>
      </c>
      <c r="P44" s="4" t="s">
        <v>96</v>
      </c>
      <c r="Q44" s="2">
        <v>1</v>
      </c>
      <c r="R44" s="2">
        <v>60</v>
      </c>
      <c r="S44" s="4" t="s">
        <v>167</v>
      </c>
      <c r="T44" s="4" t="s">
        <v>47</v>
      </c>
      <c r="U44" s="4" t="s">
        <v>47</v>
      </c>
      <c r="V44" s="5">
        <v>10</v>
      </c>
      <c r="W44" s="5">
        <v>13.93</v>
      </c>
      <c r="X44" s="5">
        <v>100</v>
      </c>
      <c r="Y44" s="5">
        <v>1.39</v>
      </c>
      <c r="Z44" s="4" t="s">
        <v>47</v>
      </c>
      <c r="AA44" s="5" t="s">
        <v>47</v>
      </c>
      <c r="AB44" s="4" t="s">
        <v>168</v>
      </c>
      <c r="AC44" s="4" t="s">
        <v>47</v>
      </c>
      <c r="AD44" s="5">
        <v>0</v>
      </c>
      <c r="AE44" s="4" t="s">
        <v>169</v>
      </c>
      <c r="AF44" s="3">
        <v>45839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47</v>
      </c>
      <c r="AO44" s="4" t="s">
        <v>47</v>
      </c>
      <c r="AP44" s="4" t="s">
        <v>47</v>
      </c>
      <c r="AQ44" s="4" t="s">
        <v>47</v>
      </c>
    </row>
    <row r="45" spans="1:43" x14ac:dyDescent="0.25">
      <c r="A45" s="2">
        <v>1891456</v>
      </c>
      <c r="B45" s="3">
        <v>46141</v>
      </c>
      <c r="C45" s="4" t="s">
        <v>175</v>
      </c>
      <c r="D45" s="2">
        <v>1831491</v>
      </c>
      <c r="E45" s="4" t="s">
        <v>204</v>
      </c>
      <c r="F45" s="4" t="s">
        <v>205</v>
      </c>
      <c r="G45" s="4" t="s">
        <v>47</v>
      </c>
      <c r="H45" s="4" t="s">
        <v>47</v>
      </c>
      <c r="I45" s="4" t="s">
        <v>47</v>
      </c>
      <c r="J45" s="4" t="s">
        <v>149</v>
      </c>
      <c r="K45" s="4" t="s">
        <v>150</v>
      </c>
      <c r="L45" s="3">
        <v>46143</v>
      </c>
      <c r="M45" s="4" t="s">
        <v>50</v>
      </c>
      <c r="N45" s="4" t="s">
        <v>47</v>
      </c>
      <c r="O45" s="4" t="s">
        <v>51</v>
      </c>
      <c r="P45" s="4" t="s">
        <v>96</v>
      </c>
      <c r="Q45" s="2">
        <v>2</v>
      </c>
      <c r="R45" s="2">
        <v>60</v>
      </c>
      <c r="S45" s="4" t="s">
        <v>167</v>
      </c>
      <c r="T45" s="4" t="s">
        <v>47</v>
      </c>
      <c r="U45" s="4" t="s">
        <v>47</v>
      </c>
      <c r="V45" s="5">
        <v>10</v>
      </c>
      <c r="W45" s="5">
        <v>26.88</v>
      </c>
      <c r="X45" s="5">
        <v>100</v>
      </c>
      <c r="Y45" s="5">
        <v>2.69</v>
      </c>
      <c r="Z45" s="4" t="s">
        <v>47</v>
      </c>
      <c r="AA45" s="5" t="s">
        <v>47</v>
      </c>
      <c r="AB45" s="4" t="s">
        <v>168</v>
      </c>
      <c r="AC45" s="4" t="s">
        <v>47</v>
      </c>
      <c r="AD45" s="5">
        <v>0</v>
      </c>
      <c r="AE45" s="4" t="s">
        <v>169</v>
      </c>
      <c r="AF45" s="3">
        <v>45839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47</v>
      </c>
      <c r="AO45" s="4" t="s">
        <v>47</v>
      </c>
      <c r="AP45" s="4" t="s">
        <v>47</v>
      </c>
      <c r="AQ45" s="4" t="s">
        <v>47</v>
      </c>
    </row>
    <row r="46" spans="1:43" x14ac:dyDescent="0.25">
      <c r="A46" s="2">
        <v>1891456</v>
      </c>
      <c r="B46" s="3">
        <v>46141</v>
      </c>
      <c r="C46" s="4" t="s">
        <v>175</v>
      </c>
      <c r="D46" s="2">
        <v>1831491</v>
      </c>
      <c r="E46" s="4" t="s">
        <v>206</v>
      </c>
      <c r="F46" s="4" t="s">
        <v>207</v>
      </c>
      <c r="G46" s="4" t="s">
        <v>47</v>
      </c>
      <c r="H46" s="4" t="s">
        <v>47</v>
      </c>
      <c r="I46" s="4" t="s">
        <v>47</v>
      </c>
      <c r="J46" s="4" t="s">
        <v>149</v>
      </c>
      <c r="K46" s="4" t="s">
        <v>150</v>
      </c>
      <c r="L46" s="3">
        <v>46143</v>
      </c>
      <c r="M46" s="4" t="s">
        <v>50</v>
      </c>
      <c r="N46" s="4" t="s">
        <v>47</v>
      </c>
      <c r="O46" s="4" t="s">
        <v>51</v>
      </c>
      <c r="P46" s="4" t="s">
        <v>96</v>
      </c>
      <c r="Q46" s="2">
        <v>3</v>
      </c>
      <c r="R46" s="2">
        <v>60</v>
      </c>
      <c r="S46" s="4" t="s">
        <v>167</v>
      </c>
      <c r="T46" s="4" t="s">
        <v>47</v>
      </c>
      <c r="U46" s="4" t="s">
        <v>47</v>
      </c>
      <c r="V46" s="5">
        <v>10</v>
      </c>
      <c r="W46" s="5">
        <v>46.8</v>
      </c>
      <c r="X46" s="5">
        <v>100</v>
      </c>
      <c r="Y46" s="5">
        <v>4.68</v>
      </c>
      <c r="Z46" s="4" t="s">
        <v>47</v>
      </c>
      <c r="AA46" s="5" t="s">
        <v>47</v>
      </c>
      <c r="AB46" s="4" t="s">
        <v>168</v>
      </c>
      <c r="AC46" s="4" t="s">
        <v>47</v>
      </c>
      <c r="AD46" s="5">
        <v>0</v>
      </c>
      <c r="AE46" s="4" t="s">
        <v>169</v>
      </c>
      <c r="AF46" s="3">
        <v>45839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47</v>
      </c>
      <c r="AO46" s="4" t="s">
        <v>47</v>
      </c>
      <c r="AP46" s="4" t="s">
        <v>47</v>
      </c>
      <c r="AQ46" s="4" t="s">
        <v>47</v>
      </c>
    </row>
    <row r="47" spans="1:43" x14ac:dyDescent="0.25">
      <c r="A47" s="2">
        <v>1891456</v>
      </c>
      <c r="B47" s="3">
        <v>46141</v>
      </c>
      <c r="C47" s="4" t="s">
        <v>175</v>
      </c>
      <c r="D47" s="2">
        <v>1831491</v>
      </c>
      <c r="E47" s="4" t="s">
        <v>208</v>
      </c>
      <c r="F47" s="4" t="s">
        <v>209</v>
      </c>
      <c r="G47" s="4" t="s">
        <v>47</v>
      </c>
      <c r="H47" s="4" t="s">
        <v>47</v>
      </c>
      <c r="I47" s="4" t="s">
        <v>47</v>
      </c>
      <c r="J47" s="4" t="s">
        <v>149</v>
      </c>
      <c r="K47" s="4" t="s">
        <v>150</v>
      </c>
      <c r="L47" s="3">
        <v>46143</v>
      </c>
      <c r="M47" s="4" t="s">
        <v>50</v>
      </c>
      <c r="N47" s="4" t="s">
        <v>47</v>
      </c>
      <c r="O47" s="4" t="s">
        <v>51</v>
      </c>
      <c r="P47" s="4" t="s">
        <v>96</v>
      </c>
      <c r="Q47" s="2">
        <v>1</v>
      </c>
      <c r="R47" s="2">
        <v>60</v>
      </c>
      <c r="S47" s="4" t="s">
        <v>167</v>
      </c>
      <c r="T47" s="4" t="s">
        <v>47</v>
      </c>
      <c r="U47" s="4" t="s">
        <v>47</v>
      </c>
      <c r="V47" s="5">
        <v>10</v>
      </c>
      <c r="W47" s="5">
        <v>13.93</v>
      </c>
      <c r="X47" s="5">
        <v>100</v>
      </c>
      <c r="Y47" s="5">
        <v>1.39</v>
      </c>
      <c r="Z47" s="4" t="s">
        <v>47</v>
      </c>
      <c r="AA47" s="5" t="s">
        <v>47</v>
      </c>
      <c r="AB47" s="4" t="s">
        <v>168</v>
      </c>
      <c r="AC47" s="4" t="s">
        <v>47</v>
      </c>
      <c r="AD47" s="5">
        <v>0</v>
      </c>
      <c r="AE47" s="4" t="s">
        <v>169</v>
      </c>
      <c r="AF47" s="3">
        <v>45839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47</v>
      </c>
      <c r="AO47" s="4" t="s">
        <v>47</v>
      </c>
      <c r="AP47" s="4" t="s">
        <v>47</v>
      </c>
      <c r="AQ47" s="4" t="s">
        <v>47</v>
      </c>
    </row>
    <row r="48" spans="1:43" x14ac:dyDescent="0.25">
      <c r="A48" s="2">
        <v>1891456</v>
      </c>
      <c r="B48" s="3">
        <v>46141</v>
      </c>
      <c r="C48" s="4" t="s">
        <v>175</v>
      </c>
      <c r="D48" s="2">
        <v>1831491</v>
      </c>
      <c r="E48" s="4" t="s">
        <v>210</v>
      </c>
      <c r="F48" s="4" t="s">
        <v>211</v>
      </c>
      <c r="G48" s="4" t="s">
        <v>47</v>
      </c>
      <c r="H48" s="4" t="s">
        <v>47</v>
      </c>
      <c r="I48" s="4" t="s">
        <v>47</v>
      </c>
      <c r="J48" s="4" t="s">
        <v>149</v>
      </c>
      <c r="K48" s="4" t="s">
        <v>150</v>
      </c>
      <c r="L48" s="3">
        <v>46143</v>
      </c>
      <c r="M48" s="4" t="s">
        <v>50</v>
      </c>
      <c r="N48" s="4" t="s">
        <v>47</v>
      </c>
      <c r="O48" s="4" t="s">
        <v>51</v>
      </c>
      <c r="P48" s="4" t="s">
        <v>96</v>
      </c>
      <c r="Q48" s="2">
        <v>1</v>
      </c>
      <c r="R48" s="2">
        <v>60</v>
      </c>
      <c r="S48" s="4" t="s">
        <v>167</v>
      </c>
      <c r="T48" s="4" t="s">
        <v>47</v>
      </c>
      <c r="U48" s="4" t="s">
        <v>47</v>
      </c>
      <c r="V48" s="5">
        <v>10</v>
      </c>
      <c r="W48" s="5">
        <v>14.93</v>
      </c>
      <c r="X48" s="5">
        <v>100</v>
      </c>
      <c r="Y48" s="5">
        <v>1.49</v>
      </c>
      <c r="Z48" s="4" t="s">
        <v>47</v>
      </c>
      <c r="AA48" s="5" t="s">
        <v>47</v>
      </c>
      <c r="AB48" s="4" t="s">
        <v>168</v>
      </c>
      <c r="AC48" s="4" t="s">
        <v>47</v>
      </c>
      <c r="AD48" s="5">
        <v>0</v>
      </c>
      <c r="AE48" s="4" t="s">
        <v>169</v>
      </c>
      <c r="AF48" s="3">
        <v>45870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47</v>
      </c>
      <c r="AO48" s="4" t="s">
        <v>47</v>
      </c>
      <c r="AP48" s="4" t="s">
        <v>47</v>
      </c>
      <c r="AQ48" s="4" t="s">
        <v>47</v>
      </c>
    </row>
    <row r="49" spans="1:43" x14ac:dyDescent="0.25">
      <c r="A49" s="2">
        <v>1891456</v>
      </c>
      <c r="B49" s="3">
        <v>46141</v>
      </c>
      <c r="C49" s="4" t="s">
        <v>175</v>
      </c>
      <c r="D49" s="2">
        <v>1831491</v>
      </c>
      <c r="E49" s="4" t="s">
        <v>212</v>
      </c>
      <c r="F49" s="4" t="s">
        <v>213</v>
      </c>
      <c r="G49" s="4" t="s">
        <v>47</v>
      </c>
      <c r="H49" s="4" t="s">
        <v>47</v>
      </c>
      <c r="I49" s="4" t="s">
        <v>47</v>
      </c>
      <c r="J49" s="4" t="s">
        <v>149</v>
      </c>
      <c r="K49" s="4" t="s">
        <v>150</v>
      </c>
      <c r="L49" s="3">
        <v>46143</v>
      </c>
      <c r="M49" s="4" t="s">
        <v>50</v>
      </c>
      <c r="N49" s="4" t="s">
        <v>47</v>
      </c>
      <c r="O49" s="4" t="s">
        <v>51</v>
      </c>
      <c r="P49" s="4" t="s">
        <v>96</v>
      </c>
      <c r="Q49" s="2">
        <v>1</v>
      </c>
      <c r="R49" s="2">
        <v>60</v>
      </c>
      <c r="S49" s="4" t="s">
        <v>167</v>
      </c>
      <c r="T49" s="4" t="s">
        <v>47</v>
      </c>
      <c r="U49" s="4" t="s">
        <v>47</v>
      </c>
      <c r="V49" s="5">
        <v>10</v>
      </c>
      <c r="W49" s="5">
        <v>14.93</v>
      </c>
      <c r="X49" s="5">
        <v>100</v>
      </c>
      <c r="Y49" s="5">
        <v>1.49</v>
      </c>
      <c r="Z49" s="4" t="s">
        <v>47</v>
      </c>
      <c r="AA49" s="5" t="s">
        <v>47</v>
      </c>
      <c r="AB49" s="4" t="s">
        <v>168</v>
      </c>
      <c r="AC49" s="4" t="s">
        <v>47</v>
      </c>
      <c r="AD49" s="5">
        <v>0</v>
      </c>
      <c r="AE49" s="4" t="s">
        <v>169</v>
      </c>
      <c r="AF49" s="3">
        <v>45870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47</v>
      </c>
      <c r="AO49" s="4" t="s">
        <v>47</v>
      </c>
      <c r="AP49" s="4" t="s">
        <v>47</v>
      </c>
      <c r="AQ49" s="4" t="s">
        <v>47</v>
      </c>
    </row>
    <row r="50" spans="1:43" x14ac:dyDescent="0.25">
      <c r="A50" s="2">
        <v>1891456</v>
      </c>
      <c r="B50" s="3">
        <v>46141</v>
      </c>
      <c r="C50" s="4" t="s">
        <v>175</v>
      </c>
      <c r="D50" s="2">
        <v>1831491</v>
      </c>
      <c r="E50" s="4" t="s">
        <v>214</v>
      </c>
      <c r="F50" s="4" t="s">
        <v>215</v>
      </c>
      <c r="G50" s="4" t="s">
        <v>47</v>
      </c>
      <c r="H50" s="4" t="s">
        <v>47</v>
      </c>
      <c r="I50" s="4" t="s">
        <v>47</v>
      </c>
      <c r="J50" s="4" t="s">
        <v>149</v>
      </c>
      <c r="K50" s="4" t="s">
        <v>150</v>
      </c>
      <c r="L50" s="3">
        <v>46143</v>
      </c>
      <c r="M50" s="4" t="s">
        <v>50</v>
      </c>
      <c r="N50" s="4" t="s">
        <v>47</v>
      </c>
      <c r="O50" s="4" t="s">
        <v>51</v>
      </c>
      <c r="P50" s="4" t="s">
        <v>96</v>
      </c>
      <c r="Q50" s="2">
        <v>1</v>
      </c>
      <c r="R50" s="2">
        <v>60</v>
      </c>
      <c r="S50" s="4" t="s">
        <v>167</v>
      </c>
      <c r="T50" s="4" t="s">
        <v>47</v>
      </c>
      <c r="U50" s="4" t="s">
        <v>47</v>
      </c>
      <c r="V50" s="5">
        <v>10</v>
      </c>
      <c r="W50" s="5">
        <v>14.93</v>
      </c>
      <c r="X50" s="5">
        <v>100</v>
      </c>
      <c r="Y50" s="5">
        <v>1.49</v>
      </c>
      <c r="Z50" s="4" t="s">
        <v>47</v>
      </c>
      <c r="AA50" s="5" t="s">
        <v>47</v>
      </c>
      <c r="AB50" s="4" t="s">
        <v>168</v>
      </c>
      <c r="AC50" s="4" t="s">
        <v>47</v>
      </c>
      <c r="AD50" s="5">
        <v>0</v>
      </c>
      <c r="AE50" s="4" t="s">
        <v>169</v>
      </c>
      <c r="AF50" s="3">
        <v>45870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47</v>
      </c>
      <c r="AO50" s="4" t="s">
        <v>47</v>
      </c>
      <c r="AP50" s="4" t="s">
        <v>47</v>
      </c>
      <c r="AQ50" s="4" t="s">
        <v>47</v>
      </c>
    </row>
    <row r="51" spans="1:43" x14ac:dyDescent="0.25">
      <c r="A51" s="2">
        <v>1891456</v>
      </c>
      <c r="B51" s="3">
        <v>46141</v>
      </c>
      <c r="C51" s="4" t="s">
        <v>175</v>
      </c>
      <c r="D51" s="2">
        <v>1831491</v>
      </c>
      <c r="E51" s="4" t="s">
        <v>216</v>
      </c>
      <c r="F51" s="4" t="s">
        <v>217</v>
      </c>
      <c r="G51" s="4" t="s">
        <v>47</v>
      </c>
      <c r="H51" s="4" t="s">
        <v>47</v>
      </c>
      <c r="I51" s="4" t="s">
        <v>47</v>
      </c>
      <c r="J51" s="4" t="s">
        <v>149</v>
      </c>
      <c r="K51" s="4" t="s">
        <v>150</v>
      </c>
      <c r="L51" s="3">
        <v>46143</v>
      </c>
      <c r="M51" s="4" t="s">
        <v>50</v>
      </c>
      <c r="N51" s="4" t="s">
        <v>47</v>
      </c>
      <c r="O51" s="4" t="s">
        <v>51</v>
      </c>
      <c r="P51" s="4" t="s">
        <v>96</v>
      </c>
      <c r="Q51" s="2">
        <v>1</v>
      </c>
      <c r="R51" s="2">
        <v>60</v>
      </c>
      <c r="S51" s="4" t="s">
        <v>167</v>
      </c>
      <c r="T51" s="4" t="s">
        <v>47</v>
      </c>
      <c r="U51" s="4" t="s">
        <v>47</v>
      </c>
      <c r="V51" s="5">
        <v>10</v>
      </c>
      <c r="W51" s="5">
        <v>14.93</v>
      </c>
      <c r="X51" s="5">
        <v>100</v>
      </c>
      <c r="Y51" s="5">
        <v>1.49</v>
      </c>
      <c r="Z51" s="4" t="s">
        <v>47</v>
      </c>
      <c r="AA51" s="5" t="s">
        <v>47</v>
      </c>
      <c r="AB51" s="4" t="s">
        <v>168</v>
      </c>
      <c r="AC51" s="4" t="s">
        <v>47</v>
      </c>
      <c r="AD51" s="5">
        <v>0</v>
      </c>
      <c r="AE51" s="4" t="s">
        <v>169</v>
      </c>
      <c r="AF51" s="3">
        <v>45871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47</v>
      </c>
      <c r="AO51" s="4" t="s">
        <v>47</v>
      </c>
      <c r="AP51" s="4" t="s">
        <v>47</v>
      </c>
      <c r="AQ51" s="4" t="s">
        <v>47</v>
      </c>
    </row>
    <row r="52" spans="1:43" x14ac:dyDescent="0.25">
      <c r="A52" s="2">
        <v>1891456</v>
      </c>
      <c r="B52" s="3">
        <v>46141</v>
      </c>
      <c r="C52" s="4" t="s">
        <v>175</v>
      </c>
      <c r="D52" s="2">
        <v>1831491</v>
      </c>
      <c r="E52" s="4" t="s">
        <v>218</v>
      </c>
      <c r="F52" s="4" t="s">
        <v>219</v>
      </c>
      <c r="G52" s="4" t="s">
        <v>47</v>
      </c>
      <c r="H52" s="4" t="s">
        <v>47</v>
      </c>
      <c r="I52" s="4" t="s">
        <v>47</v>
      </c>
      <c r="J52" s="4" t="s">
        <v>149</v>
      </c>
      <c r="K52" s="4" t="s">
        <v>150</v>
      </c>
      <c r="L52" s="3">
        <v>46143</v>
      </c>
      <c r="M52" s="4" t="s">
        <v>50</v>
      </c>
      <c r="N52" s="4" t="s">
        <v>47</v>
      </c>
      <c r="O52" s="4" t="s">
        <v>51</v>
      </c>
      <c r="P52" s="4" t="s">
        <v>96</v>
      </c>
      <c r="Q52" s="2">
        <v>1</v>
      </c>
      <c r="R52" s="2">
        <v>60</v>
      </c>
      <c r="S52" s="4" t="s">
        <v>167</v>
      </c>
      <c r="T52" s="4" t="s">
        <v>47</v>
      </c>
      <c r="U52" s="4" t="s">
        <v>47</v>
      </c>
      <c r="V52" s="5">
        <v>10</v>
      </c>
      <c r="W52" s="5">
        <v>14.93</v>
      </c>
      <c r="X52" s="5">
        <v>100</v>
      </c>
      <c r="Y52" s="5">
        <v>1.49</v>
      </c>
      <c r="Z52" s="4" t="s">
        <v>47</v>
      </c>
      <c r="AA52" s="5" t="s">
        <v>47</v>
      </c>
      <c r="AB52" s="4" t="s">
        <v>168</v>
      </c>
      <c r="AC52" s="4" t="s">
        <v>47</v>
      </c>
      <c r="AD52" s="5">
        <v>0</v>
      </c>
      <c r="AE52" s="4" t="s">
        <v>169</v>
      </c>
      <c r="AF52" s="3">
        <v>45962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47</v>
      </c>
      <c r="AO52" s="4" t="s">
        <v>47</v>
      </c>
      <c r="AP52" s="4" t="s">
        <v>47</v>
      </c>
      <c r="AQ52" s="4" t="s">
        <v>47</v>
      </c>
    </row>
    <row r="53" spans="1:43" x14ac:dyDescent="0.25">
      <c r="A53" s="2">
        <v>1891456</v>
      </c>
      <c r="B53" s="3">
        <v>46141</v>
      </c>
      <c r="C53" s="4" t="s">
        <v>175</v>
      </c>
      <c r="D53" s="2">
        <v>1831491</v>
      </c>
      <c r="E53" s="4" t="s">
        <v>220</v>
      </c>
      <c r="F53" s="4" t="s">
        <v>221</v>
      </c>
      <c r="G53" s="4" t="s">
        <v>47</v>
      </c>
      <c r="H53" s="4" t="s">
        <v>47</v>
      </c>
      <c r="I53" s="4" t="s">
        <v>47</v>
      </c>
      <c r="J53" s="4" t="s">
        <v>149</v>
      </c>
      <c r="K53" s="4" t="s">
        <v>150</v>
      </c>
      <c r="L53" s="3">
        <v>46143</v>
      </c>
      <c r="M53" s="4" t="s">
        <v>50</v>
      </c>
      <c r="N53" s="4" t="s">
        <v>47</v>
      </c>
      <c r="O53" s="4" t="s">
        <v>51</v>
      </c>
      <c r="P53" s="4" t="s">
        <v>96</v>
      </c>
      <c r="Q53" s="2">
        <v>2</v>
      </c>
      <c r="R53" s="2">
        <v>60</v>
      </c>
      <c r="S53" s="4" t="s">
        <v>167</v>
      </c>
      <c r="T53" s="4" t="s">
        <v>47</v>
      </c>
      <c r="U53" s="4" t="s">
        <v>47</v>
      </c>
      <c r="V53" s="5">
        <v>10</v>
      </c>
      <c r="W53" s="5">
        <v>26.88</v>
      </c>
      <c r="X53" s="5">
        <v>100</v>
      </c>
      <c r="Y53" s="5">
        <v>2.69</v>
      </c>
      <c r="Z53" s="4" t="s">
        <v>47</v>
      </c>
      <c r="AA53" s="5" t="s">
        <v>47</v>
      </c>
      <c r="AB53" s="4" t="s">
        <v>168</v>
      </c>
      <c r="AC53" s="4" t="s">
        <v>47</v>
      </c>
      <c r="AD53" s="5">
        <v>0</v>
      </c>
      <c r="AE53" s="4" t="s">
        <v>169</v>
      </c>
      <c r="AF53" s="3">
        <v>45962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47</v>
      </c>
      <c r="AO53" s="4" t="s">
        <v>47</v>
      </c>
      <c r="AP53" s="4" t="s">
        <v>47</v>
      </c>
      <c r="AQ53" s="4" t="s">
        <v>47</v>
      </c>
    </row>
    <row r="54" spans="1:43" x14ac:dyDescent="0.25">
      <c r="A54" s="2">
        <v>1891456</v>
      </c>
      <c r="B54" s="3">
        <v>46141</v>
      </c>
      <c r="C54" s="4" t="s">
        <v>175</v>
      </c>
      <c r="D54" s="2">
        <v>1831491</v>
      </c>
      <c r="E54" s="4" t="s">
        <v>222</v>
      </c>
      <c r="F54" s="4" t="s">
        <v>223</v>
      </c>
      <c r="G54" s="4" t="s">
        <v>47</v>
      </c>
      <c r="H54" s="4" t="s">
        <v>47</v>
      </c>
      <c r="I54" s="4" t="s">
        <v>47</v>
      </c>
      <c r="J54" s="4" t="s">
        <v>149</v>
      </c>
      <c r="K54" s="4" t="s">
        <v>150</v>
      </c>
      <c r="L54" s="3">
        <v>46143</v>
      </c>
      <c r="M54" s="4" t="s">
        <v>50</v>
      </c>
      <c r="N54" s="4" t="s">
        <v>47</v>
      </c>
      <c r="O54" s="4" t="s">
        <v>51</v>
      </c>
      <c r="P54" s="4" t="s">
        <v>96</v>
      </c>
      <c r="Q54" s="2">
        <v>2</v>
      </c>
      <c r="R54" s="2">
        <v>60</v>
      </c>
      <c r="S54" s="4" t="s">
        <v>167</v>
      </c>
      <c r="T54" s="4" t="s">
        <v>47</v>
      </c>
      <c r="U54" s="4" t="s">
        <v>47</v>
      </c>
      <c r="V54" s="5">
        <v>10</v>
      </c>
      <c r="W54" s="5">
        <v>26.88</v>
      </c>
      <c r="X54" s="5">
        <v>100</v>
      </c>
      <c r="Y54" s="5">
        <v>2.69</v>
      </c>
      <c r="Z54" s="4" t="s">
        <v>47</v>
      </c>
      <c r="AA54" s="5" t="s">
        <v>47</v>
      </c>
      <c r="AB54" s="4" t="s">
        <v>168</v>
      </c>
      <c r="AC54" s="4" t="s">
        <v>47</v>
      </c>
      <c r="AD54" s="5">
        <v>0</v>
      </c>
      <c r="AE54" s="4" t="s">
        <v>169</v>
      </c>
      <c r="AF54" s="3">
        <v>45901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47</v>
      </c>
      <c r="AO54" s="4" t="s">
        <v>47</v>
      </c>
      <c r="AP54" s="4" t="s">
        <v>47</v>
      </c>
      <c r="AQ54" s="4" t="s">
        <v>47</v>
      </c>
    </row>
    <row r="55" spans="1:43" x14ac:dyDescent="0.25">
      <c r="A55" s="2">
        <v>1891456</v>
      </c>
      <c r="B55" s="3">
        <v>46141</v>
      </c>
      <c r="C55" s="4" t="s">
        <v>175</v>
      </c>
      <c r="D55" s="2">
        <v>1831491</v>
      </c>
      <c r="E55" s="4" t="s">
        <v>224</v>
      </c>
      <c r="F55" s="4" t="s">
        <v>225</v>
      </c>
      <c r="G55" s="4" t="s">
        <v>47</v>
      </c>
      <c r="H55" s="4" t="s">
        <v>47</v>
      </c>
      <c r="I55" s="4" t="s">
        <v>47</v>
      </c>
      <c r="J55" s="4" t="s">
        <v>149</v>
      </c>
      <c r="K55" s="4" t="s">
        <v>150</v>
      </c>
      <c r="L55" s="3">
        <v>46174</v>
      </c>
      <c r="M55" s="4" t="s">
        <v>81</v>
      </c>
      <c r="N55" s="4" t="s">
        <v>47</v>
      </c>
      <c r="O55" s="4" t="s">
        <v>51</v>
      </c>
      <c r="P55" s="4" t="s">
        <v>96</v>
      </c>
      <c r="Q55" s="2">
        <v>1</v>
      </c>
      <c r="R55" s="2">
        <v>60</v>
      </c>
      <c r="S55" s="4" t="s">
        <v>167</v>
      </c>
      <c r="T55" s="4" t="s">
        <v>47</v>
      </c>
      <c r="U55" s="4" t="s">
        <v>47</v>
      </c>
      <c r="V55" s="5">
        <v>10</v>
      </c>
      <c r="W55" s="5">
        <v>14.93</v>
      </c>
      <c r="X55" s="5">
        <v>100</v>
      </c>
      <c r="Y55" s="5">
        <v>1.49</v>
      </c>
      <c r="Z55" s="4" t="s">
        <v>47</v>
      </c>
      <c r="AA55" s="5" t="s">
        <v>47</v>
      </c>
      <c r="AB55" s="4" t="s">
        <v>168</v>
      </c>
      <c r="AC55" s="4" t="s">
        <v>47</v>
      </c>
      <c r="AD55" s="5">
        <v>0</v>
      </c>
      <c r="AE55" s="4" t="s">
        <v>169</v>
      </c>
      <c r="AF55" s="3">
        <v>45962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47</v>
      </c>
      <c r="AO55" s="4" t="s">
        <v>47</v>
      </c>
      <c r="AP55" s="4" t="s">
        <v>47</v>
      </c>
      <c r="AQ55" s="4" t="s">
        <v>47</v>
      </c>
    </row>
    <row r="56" spans="1:43" x14ac:dyDescent="0.25">
      <c r="A56" s="2">
        <v>1891456</v>
      </c>
      <c r="B56" s="3">
        <v>46141</v>
      </c>
      <c r="C56" s="4" t="s">
        <v>175</v>
      </c>
      <c r="D56" s="2">
        <v>1831491</v>
      </c>
      <c r="E56" s="4" t="s">
        <v>224</v>
      </c>
      <c r="F56" s="4" t="s">
        <v>225</v>
      </c>
      <c r="G56" s="4" t="s">
        <v>47</v>
      </c>
      <c r="H56" s="4" t="s">
        <v>47</v>
      </c>
      <c r="I56" s="4" t="s">
        <v>47</v>
      </c>
      <c r="J56" s="4" t="s">
        <v>149</v>
      </c>
      <c r="K56" s="4" t="s">
        <v>150</v>
      </c>
      <c r="L56" s="3">
        <v>46174</v>
      </c>
      <c r="M56" s="4" t="s">
        <v>81</v>
      </c>
      <c r="N56" s="4" t="s">
        <v>47</v>
      </c>
      <c r="O56" s="4" t="s">
        <v>51</v>
      </c>
      <c r="P56" s="4" t="s">
        <v>96</v>
      </c>
      <c r="Q56" s="2">
        <v>1</v>
      </c>
      <c r="R56" s="2">
        <v>60</v>
      </c>
      <c r="S56" s="4" t="s">
        <v>167</v>
      </c>
      <c r="T56" s="4" t="s">
        <v>47</v>
      </c>
      <c r="U56" s="4" t="s">
        <v>47</v>
      </c>
      <c r="V56" s="5">
        <v>15</v>
      </c>
      <c r="W56" s="5">
        <v>-14.93</v>
      </c>
      <c r="X56" s="5">
        <v>100</v>
      </c>
      <c r="Y56" s="5">
        <v>-2.2400000000000002</v>
      </c>
      <c r="Z56" s="4" t="s">
        <v>47</v>
      </c>
      <c r="AA56" s="5" t="s">
        <v>47</v>
      </c>
      <c r="AB56" s="4" t="s">
        <v>168</v>
      </c>
      <c r="AC56" s="4" t="s">
        <v>47</v>
      </c>
      <c r="AD56" s="5">
        <v>0</v>
      </c>
      <c r="AE56" s="4" t="s">
        <v>169</v>
      </c>
      <c r="AF56" s="3">
        <v>45962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47</v>
      </c>
      <c r="AO56" s="4" t="s">
        <v>47</v>
      </c>
      <c r="AP56" s="4" t="s">
        <v>47</v>
      </c>
      <c r="AQ56" s="4" t="s">
        <v>47</v>
      </c>
    </row>
    <row r="57" spans="1:43" x14ac:dyDescent="0.25">
      <c r="A57" s="2">
        <v>1891456</v>
      </c>
      <c r="B57" s="3">
        <v>46141</v>
      </c>
      <c r="C57" s="4" t="s">
        <v>175</v>
      </c>
      <c r="D57" s="2">
        <v>1831491</v>
      </c>
      <c r="E57" s="4" t="s">
        <v>226</v>
      </c>
      <c r="F57" s="4" t="s">
        <v>227</v>
      </c>
      <c r="G57" s="4" t="s">
        <v>47</v>
      </c>
      <c r="H57" s="4" t="s">
        <v>47</v>
      </c>
      <c r="I57" s="4" t="s">
        <v>47</v>
      </c>
      <c r="J57" s="4" t="s">
        <v>149</v>
      </c>
      <c r="K57" s="4" t="s">
        <v>150</v>
      </c>
      <c r="L57" s="3">
        <v>46143</v>
      </c>
      <c r="M57" s="4" t="s">
        <v>50</v>
      </c>
      <c r="N57" s="4" t="s">
        <v>47</v>
      </c>
      <c r="O57" s="4" t="s">
        <v>51</v>
      </c>
      <c r="P57" s="4" t="s">
        <v>96</v>
      </c>
      <c r="Q57" s="2">
        <v>1</v>
      </c>
      <c r="R57" s="2">
        <v>60</v>
      </c>
      <c r="S57" s="4" t="s">
        <v>167</v>
      </c>
      <c r="T57" s="4" t="s">
        <v>47</v>
      </c>
      <c r="U57" s="4" t="s">
        <v>47</v>
      </c>
      <c r="V57" s="5">
        <v>10</v>
      </c>
      <c r="W57" s="5">
        <v>14.93</v>
      </c>
      <c r="X57" s="5">
        <v>100</v>
      </c>
      <c r="Y57" s="5">
        <v>1.49</v>
      </c>
      <c r="Z57" s="4" t="s">
        <v>47</v>
      </c>
      <c r="AA57" s="5" t="s">
        <v>47</v>
      </c>
      <c r="AB57" s="4" t="s">
        <v>168</v>
      </c>
      <c r="AC57" s="4" t="s">
        <v>47</v>
      </c>
      <c r="AD57" s="5">
        <v>0</v>
      </c>
      <c r="AE57" s="4" t="s">
        <v>169</v>
      </c>
      <c r="AF57" s="3">
        <v>45962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47</v>
      </c>
      <c r="AO57" s="4" t="s">
        <v>47</v>
      </c>
      <c r="AP57" s="4" t="s">
        <v>47</v>
      </c>
      <c r="AQ57" s="4" t="s">
        <v>47</v>
      </c>
    </row>
    <row r="58" spans="1:43" x14ac:dyDescent="0.25">
      <c r="A58" s="2">
        <v>1891456</v>
      </c>
      <c r="B58" s="3">
        <v>46141</v>
      </c>
      <c r="C58" s="4" t="s">
        <v>175</v>
      </c>
      <c r="D58" s="2">
        <v>1831491</v>
      </c>
      <c r="E58" s="4" t="s">
        <v>228</v>
      </c>
      <c r="F58" s="4" t="s">
        <v>229</v>
      </c>
      <c r="G58" s="4" t="s">
        <v>47</v>
      </c>
      <c r="H58" s="4" t="s">
        <v>47</v>
      </c>
      <c r="I58" s="4" t="s">
        <v>47</v>
      </c>
      <c r="J58" s="4" t="s">
        <v>149</v>
      </c>
      <c r="K58" s="4" t="s">
        <v>150</v>
      </c>
      <c r="L58" s="3">
        <v>46143</v>
      </c>
      <c r="M58" s="4" t="s">
        <v>50</v>
      </c>
      <c r="N58" s="4" t="s">
        <v>47</v>
      </c>
      <c r="O58" s="4" t="s">
        <v>51</v>
      </c>
      <c r="P58" s="4" t="s">
        <v>96</v>
      </c>
      <c r="Q58" s="2">
        <v>2</v>
      </c>
      <c r="R58" s="2">
        <v>60</v>
      </c>
      <c r="S58" s="4" t="s">
        <v>167</v>
      </c>
      <c r="T58" s="4" t="s">
        <v>47</v>
      </c>
      <c r="U58" s="4" t="s">
        <v>47</v>
      </c>
      <c r="V58" s="5">
        <v>10</v>
      </c>
      <c r="W58" s="5">
        <v>26.88</v>
      </c>
      <c r="X58" s="5">
        <v>100</v>
      </c>
      <c r="Y58" s="5">
        <v>2.69</v>
      </c>
      <c r="Z58" s="4" t="s">
        <v>47</v>
      </c>
      <c r="AA58" s="5" t="s">
        <v>47</v>
      </c>
      <c r="AB58" s="4" t="s">
        <v>168</v>
      </c>
      <c r="AC58" s="4" t="s">
        <v>47</v>
      </c>
      <c r="AD58" s="5">
        <v>0</v>
      </c>
      <c r="AE58" s="4" t="s">
        <v>169</v>
      </c>
      <c r="AF58" s="3">
        <v>45962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47</v>
      </c>
      <c r="AO58" s="4" t="s">
        <v>47</v>
      </c>
      <c r="AP58" s="4" t="s">
        <v>47</v>
      </c>
      <c r="AQ58" s="4" t="s">
        <v>47</v>
      </c>
    </row>
    <row r="59" spans="1:43" x14ac:dyDescent="0.25">
      <c r="A59" s="2">
        <v>1891456</v>
      </c>
      <c r="B59" s="3">
        <v>46141</v>
      </c>
      <c r="C59" s="4" t="s">
        <v>175</v>
      </c>
      <c r="D59" s="2">
        <v>1831491</v>
      </c>
      <c r="E59" s="4" t="s">
        <v>230</v>
      </c>
      <c r="F59" s="4" t="s">
        <v>231</v>
      </c>
      <c r="G59" s="4" t="s">
        <v>47</v>
      </c>
      <c r="H59" s="4" t="s">
        <v>47</v>
      </c>
      <c r="I59" s="4" t="s">
        <v>47</v>
      </c>
      <c r="J59" s="4" t="s">
        <v>149</v>
      </c>
      <c r="K59" s="4" t="s">
        <v>150</v>
      </c>
      <c r="L59" s="3">
        <v>46143</v>
      </c>
      <c r="M59" s="4" t="s">
        <v>50</v>
      </c>
      <c r="N59" s="4" t="s">
        <v>47</v>
      </c>
      <c r="O59" s="4" t="s">
        <v>51</v>
      </c>
      <c r="P59" s="4" t="s">
        <v>96</v>
      </c>
      <c r="Q59" s="2">
        <v>1</v>
      </c>
      <c r="R59" s="2">
        <v>60</v>
      </c>
      <c r="S59" s="4" t="s">
        <v>167</v>
      </c>
      <c r="T59" s="4" t="s">
        <v>47</v>
      </c>
      <c r="U59" s="4" t="s">
        <v>47</v>
      </c>
      <c r="V59" s="5">
        <v>10</v>
      </c>
      <c r="W59" s="5">
        <v>14.93</v>
      </c>
      <c r="X59" s="5">
        <v>100</v>
      </c>
      <c r="Y59" s="5">
        <v>1.49</v>
      </c>
      <c r="Z59" s="4" t="s">
        <v>47</v>
      </c>
      <c r="AA59" s="5" t="s">
        <v>47</v>
      </c>
      <c r="AB59" s="4" t="s">
        <v>168</v>
      </c>
      <c r="AC59" s="4" t="s">
        <v>47</v>
      </c>
      <c r="AD59" s="5">
        <v>0</v>
      </c>
      <c r="AE59" s="4" t="s">
        <v>169</v>
      </c>
      <c r="AF59" s="3">
        <v>45992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47</v>
      </c>
      <c r="AO59" s="4" t="s">
        <v>47</v>
      </c>
      <c r="AP59" s="4" t="s">
        <v>47</v>
      </c>
      <c r="AQ59" s="4" t="s">
        <v>47</v>
      </c>
    </row>
    <row r="60" spans="1:43" x14ac:dyDescent="0.25">
      <c r="A60" s="2">
        <v>1891456</v>
      </c>
      <c r="B60" s="3">
        <v>46141</v>
      </c>
      <c r="C60" s="4" t="s">
        <v>175</v>
      </c>
      <c r="D60" s="2">
        <v>1831491</v>
      </c>
      <c r="E60" s="4" t="s">
        <v>232</v>
      </c>
      <c r="F60" s="4" t="s">
        <v>233</v>
      </c>
      <c r="G60" s="4" t="s">
        <v>47</v>
      </c>
      <c r="H60" s="4" t="s">
        <v>47</v>
      </c>
      <c r="I60" s="4" t="s">
        <v>47</v>
      </c>
      <c r="J60" s="4" t="s">
        <v>149</v>
      </c>
      <c r="K60" s="4" t="s">
        <v>150</v>
      </c>
      <c r="L60" s="3">
        <v>46143</v>
      </c>
      <c r="M60" s="4" t="s">
        <v>50</v>
      </c>
      <c r="N60" s="4" t="s">
        <v>47</v>
      </c>
      <c r="O60" s="4" t="s">
        <v>51</v>
      </c>
      <c r="P60" s="4" t="s">
        <v>96</v>
      </c>
      <c r="Q60" s="2">
        <v>2</v>
      </c>
      <c r="R60" s="2">
        <v>60</v>
      </c>
      <c r="S60" s="4" t="s">
        <v>167</v>
      </c>
      <c r="T60" s="4" t="s">
        <v>47</v>
      </c>
      <c r="U60" s="4" t="s">
        <v>47</v>
      </c>
      <c r="V60" s="5">
        <v>10</v>
      </c>
      <c r="W60" s="5">
        <v>26.88</v>
      </c>
      <c r="X60" s="5">
        <v>100</v>
      </c>
      <c r="Y60" s="5">
        <v>2.69</v>
      </c>
      <c r="Z60" s="4" t="s">
        <v>47</v>
      </c>
      <c r="AA60" s="5" t="s">
        <v>47</v>
      </c>
      <c r="AB60" s="4" t="s">
        <v>168</v>
      </c>
      <c r="AC60" s="4" t="s">
        <v>47</v>
      </c>
      <c r="AD60" s="5">
        <v>0</v>
      </c>
      <c r="AE60" s="4" t="s">
        <v>169</v>
      </c>
      <c r="AF60" s="3">
        <v>45992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47</v>
      </c>
      <c r="AO60" s="4" t="s">
        <v>47</v>
      </c>
      <c r="AP60" s="4" t="s">
        <v>47</v>
      </c>
      <c r="AQ60" s="4" t="s">
        <v>47</v>
      </c>
    </row>
    <row r="61" spans="1:43" x14ac:dyDescent="0.25">
      <c r="A61" s="2">
        <v>1891456</v>
      </c>
      <c r="B61" s="3">
        <v>46141</v>
      </c>
      <c r="C61" s="4" t="s">
        <v>175</v>
      </c>
      <c r="D61" s="2">
        <v>1831491</v>
      </c>
      <c r="E61" s="4" t="s">
        <v>234</v>
      </c>
      <c r="F61" s="4" t="s">
        <v>235</v>
      </c>
      <c r="G61" s="4" t="s">
        <v>47</v>
      </c>
      <c r="H61" s="4" t="s">
        <v>47</v>
      </c>
      <c r="I61" s="4" t="s">
        <v>47</v>
      </c>
      <c r="J61" s="4" t="s">
        <v>149</v>
      </c>
      <c r="K61" s="4" t="s">
        <v>150</v>
      </c>
      <c r="L61" s="3">
        <v>46143</v>
      </c>
      <c r="M61" s="4" t="s">
        <v>50</v>
      </c>
      <c r="N61" s="4" t="s">
        <v>47</v>
      </c>
      <c r="O61" s="4" t="s">
        <v>51</v>
      </c>
      <c r="P61" s="4" t="s">
        <v>96</v>
      </c>
      <c r="Q61" s="2">
        <v>1</v>
      </c>
      <c r="R61" s="2">
        <v>60</v>
      </c>
      <c r="S61" s="4" t="s">
        <v>167</v>
      </c>
      <c r="T61" s="4" t="s">
        <v>47</v>
      </c>
      <c r="U61" s="4" t="s">
        <v>47</v>
      </c>
      <c r="V61" s="5">
        <v>10</v>
      </c>
      <c r="W61" s="5">
        <v>14.93</v>
      </c>
      <c r="X61" s="5">
        <v>100</v>
      </c>
      <c r="Y61" s="5">
        <v>1.49</v>
      </c>
      <c r="Z61" s="4" t="s">
        <v>47</v>
      </c>
      <c r="AA61" s="5" t="s">
        <v>47</v>
      </c>
      <c r="AB61" s="4" t="s">
        <v>168</v>
      </c>
      <c r="AC61" s="4" t="s">
        <v>47</v>
      </c>
      <c r="AD61" s="5">
        <v>0</v>
      </c>
      <c r="AE61" s="4" t="s">
        <v>169</v>
      </c>
      <c r="AF61" s="3">
        <v>46023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47</v>
      </c>
      <c r="AO61" s="4" t="s">
        <v>47</v>
      </c>
      <c r="AP61" s="4" t="s">
        <v>47</v>
      </c>
      <c r="AQ61" s="4" t="s">
        <v>47</v>
      </c>
    </row>
    <row r="62" spans="1:43" x14ac:dyDescent="0.25">
      <c r="A62" s="2">
        <v>1891456</v>
      </c>
      <c r="B62" s="3">
        <v>46141</v>
      </c>
      <c r="C62" s="4" t="s">
        <v>175</v>
      </c>
      <c r="D62" s="2">
        <v>1831491</v>
      </c>
      <c r="E62" s="4" t="s">
        <v>236</v>
      </c>
      <c r="F62" s="4" t="s">
        <v>237</v>
      </c>
      <c r="G62" s="4" t="s">
        <v>47</v>
      </c>
      <c r="H62" s="4" t="s">
        <v>47</v>
      </c>
      <c r="I62" s="4" t="s">
        <v>47</v>
      </c>
      <c r="J62" s="4" t="s">
        <v>149</v>
      </c>
      <c r="K62" s="4" t="s">
        <v>150</v>
      </c>
      <c r="L62" s="3">
        <v>46143</v>
      </c>
      <c r="M62" s="4" t="s">
        <v>50</v>
      </c>
      <c r="N62" s="4" t="s">
        <v>47</v>
      </c>
      <c r="O62" s="4" t="s">
        <v>51</v>
      </c>
      <c r="P62" s="4" t="s">
        <v>96</v>
      </c>
      <c r="Q62" s="2">
        <v>1</v>
      </c>
      <c r="R62" s="2">
        <v>60</v>
      </c>
      <c r="S62" s="4" t="s">
        <v>167</v>
      </c>
      <c r="T62" s="4" t="s">
        <v>47</v>
      </c>
      <c r="U62" s="4" t="s">
        <v>47</v>
      </c>
      <c r="V62" s="5">
        <v>10</v>
      </c>
      <c r="W62" s="5">
        <v>14.93</v>
      </c>
      <c r="X62" s="5">
        <v>100</v>
      </c>
      <c r="Y62" s="5">
        <v>1.49</v>
      </c>
      <c r="Z62" s="4" t="s">
        <v>47</v>
      </c>
      <c r="AA62" s="5" t="s">
        <v>47</v>
      </c>
      <c r="AB62" s="4" t="s">
        <v>168</v>
      </c>
      <c r="AC62" s="4" t="s">
        <v>47</v>
      </c>
      <c r="AD62" s="5">
        <v>0</v>
      </c>
      <c r="AE62" s="4" t="s">
        <v>169</v>
      </c>
      <c r="AF62" s="3">
        <v>46023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47</v>
      </c>
      <c r="AO62" s="4" t="s">
        <v>47</v>
      </c>
      <c r="AP62" s="4" t="s">
        <v>47</v>
      </c>
      <c r="AQ62" s="4" t="s">
        <v>47</v>
      </c>
    </row>
    <row r="63" spans="1:43" x14ac:dyDescent="0.25">
      <c r="A63" s="2">
        <v>1891456</v>
      </c>
      <c r="B63" s="3">
        <v>46141</v>
      </c>
      <c r="C63" s="4" t="s">
        <v>175</v>
      </c>
      <c r="D63" s="2">
        <v>1831491</v>
      </c>
      <c r="E63" s="4" t="s">
        <v>238</v>
      </c>
      <c r="F63" s="4" t="s">
        <v>239</v>
      </c>
      <c r="G63" s="4" t="s">
        <v>47</v>
      </c>
      <c r="H63" s="4" t="s">
        <v>47</v>
      </c>
      <c r="I63" s="4" t="s">
        <v>47</v>
      </c>
      <c r="J63" s="4" t="s">
        <v>149</v>
      </c>
      <c r="K63" s="4" t="s">
        <v>150</v>
      </c>
      <c r="L63" s="3">
        <v>46143</v>
      </c>
      <c r="M63" s="4" t="s">
        <v>50</v>
      </c>
      <c r="N63" s="4" t="s">
        <v>47</v>
      </c>
      <c r="O63" s="4" t="s">
        <v>51</v>
      </c>
      <c r="P63" s="4" t="s">
        <v>96</v>
      </c>
      <c r="Q63" s="2">
        <v>1</v>
      </c>
      <c r="R63" s="2">
        <v>60</v>
      </c>
      <c r="S63" s="4" t="s">
        <v>167</v>
      </c>
      <c r="T63" s="4" t="s">
        <v>47</v>
      </c>
      <c r="U63" s="4" t="s">
        <v>47</v>
      </c>
      <c r="V63" s="5">
        <v>10</v>
      </c>
      <c r="W63" s="5">
        <v>14.93</v>
      </c>
      <c r="X63" s="5">
        <v>100</v>
      </c>
      <c r="Y63" s="5">
        <v>1.49</v>
      </c>
      <c r="Z63" s="4" t="s">
        <v>47</v>
      </c>
      <c r="AA63" s="5" t="s">
        <v>47</v>
      </c>
      <c r="AB63" s="4" t="s">
        <v>168</v>
      </c>
      <c r="AC63" s="4" t="s">
        <v>47</v>
      </c>
      <c r="AD63" s="5">
        <v>0</v>
      </c>
      <c r="AE63" s="4" t="s">
        <v>169</v>
      </c>
      <c r="AF63" s="3">
        <v>46023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47</v>
      </c>
      <c r="AO63" s="4" t="s">
        <v>47</v>
      </c>
      <c r="AP63" s="4" t="s">
        <v>47</v>
      </c>
      <c r="AQ63" s="4" t="s">
        <v>47</v>
      </c>
    </row>
    <row r="64" spans="1:43" x14ac:dyDescent="0.25">
      <c r="A64" s="2">
        <v>1891456</v>
      </c>
      <c r="B64" s="3">
        <v>46141</v>
      </c>
      <c r="C64" s="4" t="s">
        <v>175</v>
      </c>
      <c r="D64" s="2">
        <v>1831491</v>
      </c>
      <c r="E64" s="4" t="s">
        <v>240</v>
      </c>
      <c r="F64" s="4" t="s">
        <v>241</v>
      </c>
      <c r="G64" s="4" t="s">
        <v>47</v>
      </c>
      <c r="H64" s="4" t="s">
        <v>47</v>
      </c>
      <c r="I64" s="4" t="s">
        <v>47</v>
      </c>
      <c r="J64" s="4" t="s">
        <v>149</v>
      </c>
      <c r="K64" s="4" t="s">
        <v>150</v>
      </c>
      <c r="L64" s="3">
        <v>46143</v>
      </c>
      <c r="M64" s="4" t="s">
        <v>50</v>
      </c>
      <c r="N64" s="4" t="s">
        <v>47</v>
      </c>
      <c r="O64" s="4" t="s">
        <v>51</v>
      </c>
      <c r="P64" s="4" t="s">
        <v>96</v>
      </c>
      <c r="Q64" s="2">
        <v>1</v>
      </c>
      <c r="R64" s="2">
        <v>60</v>
      </c>
      <c r="S64" s="4" t="s">
        <v>167</v>
      </c>
      <c r="T64" s="4" t="s">
        <v>47</v>
      </c>
      <c r="U64" s="4" t="s">
        <v>47</v>
      </c>
      <c r="V64" s="5">
        <v>10</v>
      </c>
      <c r="W64" s="5">
        <v>14.93</v>
      </c>
      <c r="X64" s="5">
        <v>100</v>
      </c>
      <c r="Y64" s="5">
        <v>1.49</v>
      </c>
      <c r="Z64" s="4" t="s">
        <v>47</v>
      </c>
      <c r="AA64" s="5" t="s">
        <v>47</v>
      </c>
      <c r="AB64" s="4" t="s">
        <v>168</v>
      </c>
      <c r="AC64" s="4" t="s">
        <v>47</v>
      </c>
      <c r="AD64" s="5">
        <v>0</v>
      </c>
      <c r="AE64" s="4" t="s">
        <v>169</v>
      </c>
      <c r="AF64" s="3">
        <v>46023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47</v>
      </c>
      <c r="AO64" s="4" t="s">
        <v>47</v>
      </c>
      <c r="AP64" s="4" t="s">
        <v>47</v>
      </c>
      <c r="AQ64" s="4" t="s">
        <v>47</v>
      </c>
    </row>
    <row r="65" spans="1:43" x14ac:dyDescent="0.25">
      <c r="A65" s="2">
        <v>1891456</v>
      </c>
      <c r="B65" s="3">
        <v>46141</v>
      </c>
      <c r="C65" s="4" t="s">
        <v>175</v>
      </c>
      <c r="D65" s="2">
        <v>1831491</v>
      </c>
      <c r="E65" s="4" t="s">
        <v>242</v>
      </c>
      <c r="F65" s="4" t="s">
        <v>243</v>
      </c>
      <c r="G65" s="4" t="s">
        <v>47</v>
      </c>
      <c r="H65" s="4" t="s">
        <v>47</v>
      </c>
      <c r="I65" s="4" t="s">
        <v>47</v>
      </c>
      <c r="J65" s="4" t="s">
        <v>149</v>
      </c>
      <c r="K65" s="4" t="s">
        <v>150</v>
      </c>
      <c r="L65" s="3">
        <v>46143</v>
      </c>
      <c r="M65" s="4" t="s">
        <v>50</v>
      </c>
      <c r="N65" s="4" t="s">
        <v>47</v>
      </c>
      <c r="O65" s="4" t="s">
        <v>51</v>
      </c>
      <c r="P65" s="4" t="s">
        <v>96</v>
      </c>
      <c r="Q65" s="2">
        <v>2</v>
      </c>
      <c r="R65" s="2">
        <v>60</v>
      </c>
      <c r="S65" s="4" t="s">
        <v>167</v>
      </c>
      <c r="T65" s="4" t="s">
        <v>47</v>
      </c>
      <c r="U65" s="4" t="s">
        <v>47</v>
      </c>
      <c r="V65" s="5">
        <v>10</v>
      </c>
      <c r="W65" s="5">
        <v>26.88</v>
      </c>
      <c r="X65" s="5">
        <v>100</v>
      </c>
      <c r="Y65" s="5">
        <v>2.69</v>
      </c>
      <c r="Z65" s="4" t="s">
        <v>47</v>
      </c>
      <c r="AA65" s="5" t="s">
        <v>47</v>
      </c>
      <c r="AB65" s="4" t="s">
        <v>168</v>
      </c>
      <c r="AC65" s="4" t="s">
        <v>47</v>
      </c>
      <c r="AD65" s="5">
        <v>0</v>
      </c>
      <c r="AE65" s="4" t="s">
        <v>169</v>
      </c>
      <c r="AF65" s="3">
        <v>45976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47</v>
      </c>
      <c r="AO65" s="4" t="s">
        <v>47</v>
      </c>
      <c r="AP65" s="4" t="s">
        <v>47</v>
      </c>
      <c r="AQ65" s="4" t="s">
        <v>47</v>
      </c>
    </row>
    <row r="66" spans="1:43" x14ac:dyDescent="0.25">
      <c r="A66" s="2">
        <v>1891456</v>
      </c>
      <c r="B66" s="3">
        <v>46141</v>
      </c>
      <c r="C66" s="4" t="s">
        <v>175</v>
      </c>
      <c r="D66" s="2">
        <v>1831491</v>
      </c>
      <c r="E66" s="4" t="s">
        <v>244</v>
      </c>
      <c r="F66" s="4" t="s">
        <v>245</v>
      </c>
      <c r="G66" s="4" t="s">
        <v>47</v>
      </c>
      <c r="H66" s="4" t="s">
        <v>47</v>
      </c>
      <c r="I66" s="4" t="s">
        <v>47</v>
      </c>
      <c r="J66" s="4" t="s">
        <v>149</v>
      </c>
      <c r="K66" s="4" t="s">
        <v>150</v>
      </c>
      <c r="L66" s="3">
        <v>46143</v>
      </c>
      <c r="M66" s="4" t="s">
        <v>50</v>
      </c>
      <c r="N66" s="4" t="s">
        <v>47</v>
      </c>
      <c r="O66" s="4" t="s">
        <v>51</v>
      </c>
      <c r="P66" s="4" t="s">
        <v>96</v>
      </c>
      <c r="Q66" s="2">
        <v>1</v>
      </c>
      <c r="R66" s="2">
        <v>60</v>
      </c>
      <c r="S66" s="4" t="s">
        <v>167</v>
      </c>
      <c r="T66" s="4" t="s">
        <v>47</v>
      </c>
      <c r="U66" s="4" t="s">
        <v>47</v>
      </c>
      <c r="V66" s="5">
        <v>10</v>
      </c>
      <c r="W66" s="5">
        <v>14.93</v>
      </c>
      <c r="X66" s="5">
        <v>100</v>
      </c>
      <c r="Y66" s="5">
        <v>1.49</v>
      </c>
      <c r="Z66" s="4" t="s">
        <v>47</v>
      </c>
      <c r="AA66" s="5" t="s">
        <v>47</v>
      </c>
      <c r="AB66" s="4" t="s">
        <v>168</v>
      </c>
      <c r="AC66" s="4" t="s">
        <v>47</v>
      </c>
      <c r="AD66" s="5">
        <v>0</v>
      </c>
      <c r="AE66" s="4" t="s">
        <v>169</v>
      </c>
      <c r="AF66" s="3">
        <v>45978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47</v>
      </c>
      <c r="AO66" s="4" t="s">
        <v>47</v>
      </c>
      <c r="AP66" s="4" t="s">
        <v>47</v>
      </c>
      <c r="AQ66" s="4" t="s">
        <v>47</v>
      </c>
    </row>
    <row r="67" spans="1:43" x14ac:dyDescent="0.25">
      <c r="A67" s="2">
        <v>1891456</v>
      </c>
      <c r="B67" s="3">
        <v>46141</v>
      </c>
      <c r="C67" s="4" t="s">
        <v>175</v>
      </c>
      <c r="D67" s="2">
        <v>1831491</v>
      </c>
      <c r="E67" s="4" t="s">
        <v>246</v>
      </c>
      <c r="F67" s="4" t="s">
        <v>247</v>
      </c>
      <c r="G67" s="4" t="s">
        <v>47</v>
      </c>
      <c r="H67" s="4" t="s">
        <v>47</v>
      </c>
      <c r="I67" s="4" t="s">
        <v>47</v>
      </c>
      <c r="J67" s="4" t="s">
        <v>149</v>
      </c>
      <c r="K67" s="4" t="s">
        <v>150</v>
      </c>
      <c r="L67" s="3">
        <v>46143</v>
      </c>
      <c r="M67" s="4" t="s">
        <v>50</v>
      </c>
      <c r="N67" s="4" t="s">
        <v>47</v>
      </c>
      <c r="O67" s="4" t="s">
        <v>51</v>
      </c>
      <c r="P67" s="4" t="s">
        <v>96</v>
      </c>
      <c r="Q67" s="2">
        <v>1</v>
      </c>
      <c r="R67" s="2">
        <v>60</v>
      </c>
      <c r="S67" s="4" t="s">
        <v>167</v>
      </c>
      <c r="T67" s="4" t="s">
        <v>47</v>
      </c>
      <c r="U67" s="4" t="s">
        <v>47</v>
      </c>
      <c r="V67" s="5">
        <v>10</v>
      </c>
      <c r="W67" s="5">
        <v>14.93</v>
      </c>
      <c r="X67" s="5">
        <v>100</v>
      </c>
      <c r="Y67" s="5">
        <v>1.49</v>
      </c>
      <c r="Z67" s="4" t="s">
        <v>47</v>
      </c>
      <c r="AA67" s="5" t="s">
        <v>47</v>
      </c>
      <c r="AB67" s="4" t="s">
        <v>168</v>
      </c>
      <c r="AC67" s="4" t="s">
        <v>47</v>
      </c>
      <c r="AD67" s="5">
        <v>0</v>
      </c>
      <c r="AE67" s="4" t="s">
        <v>169</v>
      </c>
      <c r="AF67" s="3">
        <v>46023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47</v>
      </c>
      <c r="AO67" s="4" t="s">
        <v>47</v>
      </c>
      <c r="AP67" s="4" t="s">
        <v>47</v>
      </c>
      <c r="AQ67" s="4" t="s">
        <v>47</v>
      </c>
    </row>
    <row r="68" spans="1:43" x14ac:dyDescent="0.25">
      <c r="A68" s="2">
        <v>1891456</v>
      </c>
      <c r="B68" s="3">
        <v>46141</v>
      </c>
      <c r="C68" s="4" t="s">
        <v>175</v>
      </c>
      <c r="D68" s="2">
        <v>1831491</v>
      </c>
      <c r="E68" s="4" t="s">
        <v>248</v>
      </c>
      <c r="F68" s="4" t="s">
        <v>249</v>
      </c>
      <c r="G68" s="4" t="s">
        <v>47</v>
      </c>
      <c r="H68" s="4" t="s">
        <v>47</v>
      </c>
      <c r="I68" s="4" t="s">
        <v>47</v>
      </c>
      <c r="J68" s="4" t="s">
        <v>149</v>
      </c>
      <c r="K68" s="4" t="s">
        <v>150</v>
      </c>
      <c r="L68" s="3">
        <v>46143</v>
      </c>
      <c r="M68" s="4" t="s">
        <v>50</v>
      </c>
      <c r="N68" s="4" t="s">
        <v>47</v>
      </c>
      <c r="O68" s="4" t="s">
        <v>51</v>
      </c>
      <c r="P68" s="4" t="s">
        <v>96</v>
      </c>
      <c r="Q68" s="2">
        <v>1</v>
      </c>
      <c r="R68" s="2">
        <v>60</v>
      </c>
      <c r="S68" s="4" t="s">
        <v>167</v>
      </c>
      <c r="T68" s="4" t="s">
        <v>47</v>
      </c>
      <c r="U68" s="4" t="s">
        <v>47</v>
      </c>
      <c r="V68" s="5">
        <v>10</v>
      </c>
      <c r="W68" s="5">
        <v>14.93</v>
      </c>
      <c r="X68" s="5">
        <v>100</v>
      </c>
      <c r="Y68" s="5">
        <v>1.49</v>
      </c>
      <c r="Z68" s="4" t="s">
        <v>47</v>
      </c>
      <c r="AA68" s="5" t="s">
        <v>47</v>
      </c>
      <c r="AB68" s="4" t="s">
        <v>168</v>
      </c>
      <c r="AC68" s="4" t="s">
        <v>47</v>
      </c>
      <c r="AD68" s="5">
        <v>0</v>
      </c>
      <c r="AE68" s="4" t="s">
        <v>169</v>
      </c>
      <c r="AF68" s="3">
        <v>46023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47</v>
      </c>
      <c r="AO68" s="4" t="s">
        <v>47</v>
      </c>
      <c r="AP68" s="4" t="s">
        <v>47</v>
      </c>
      <c r="AQ68" s="4" t="s">
        <v>47</v>
      </c>
    </row>
    <row r="69" spans="1:43" x14ac:dyDescent="0.25">
      <c r="A69" s="2">
        <v>1891456</v>
      </c>
      <c r="B69" s="3">
        <v>46141</v>
      </c>
      <c r="C69" s="4" t="s">
        <v>175</v>
      </c>
      <c r="D69" s="2">
        <v>1831491</v>
      </c>
      <c r="E69" s="4" t="s">
        <v>250</v>
      </c>
      <c r="F69" s="4" t="s">
        <v>251</v>
      </c>
      <c r="G69" s="4" t="s">
        <v>47</v>
      </c>
      <c r="H69" s="4" t="s">
        <v>47</v>
      </c>
      <c r="I69" s="4" t="s">
        <v>47</v>
      </c>
      <c r="J69" s="4" t="s">
        <v>149</v>
      </c>
      <c r="K69" s="4" t="s">
        <v>150</v>
      </c>
      <c r="L69" s="3">
        <v>46143</v>
      </c>
      <c r="M69" s="4" t="s">
        <v>50</v>
      </c>
      <c r="N69" s="4" t="s">
        <v>47</v>
      </c>
      <c r="O69" s="4" t="s">
        <v>51</v>
      </c>
      <c r="P69" s="4" t="s">
        <v>96</v>
      </c>
      <c r="Q69" s="2">
        <v>1</v>
      </c>
      <c r="R69" s="2">
        <v>60</v>
      </c>
      <c r="S69" s="4" t="s">
        <v>167</v>
      </c>
      <c r="T69" s="4" t="s">
        <v>47</v>
      </c>
      <c r="U69" s="4" t="s">
        <v>47</v>
      </c>
      <c r="V69" s="5">
        <v>10</v>
      </c>
      <c r="W69" s="5">
        <v>14.93</v>
      </c>
      <c r="X69" s="5">
        <v>100</v>
      </c>
      <c r="Y69" s="5">
        <v>1.49</v>
      </c>
      <c r="Z69" s="4" t="s">
        <v>47</v>
      </c>
      <c r="AA69" s="5" t="s">
        <v>47</v>
      </c>
      <c r="AB69" s="4" t="s">
        <v>168</v>
      </c>
      <c r="AC69" s="4" t="s">
        <v>47</v>
      </c>
      <c r="AD69" s="5">
        <v>0</v>
      </c>
      <c r="AE69" s="4" t="s">
        <v>169</v>
      </c>
      <c r="AF69" s="3">
        <v>46023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47</v>
      </c>
      <c r="AO69" s="4" t="s">
        <v>47</v>
      </c>
      <c r="AP69" s="4" t="s">
        <v>47</v>
      </c>
      <c r="AQ69" s="4" t="s">
        <v>47</v>
      </c>
    </row>
    <row r="70" spans="1:43" x14ac:dyDescent="0.25">
      <c r="A70" s="2">
        <v>1891456</v>
      </c>
      <c r="B70" s="3">
        <v>46141</v>
      </c>
      <c r="C70" s="4" t="s">
        <v>175</v>
      </c>
      <c r="D70" s="2">
        <v>1831491</v>
      </c>
      <c r="E70" s="4" t="s">
        <v>252</v>
      </c>
      <c r="F70" s="4" t="s">
        <v>253</v>
      </c>
      <c r="G70" s="4" t="s">
        <v>47</v>
      </c>
      <c r="H70" s="4" t="s">
        <v>47</v>
      </c>
      <c r="I70" s="4" t="s">
        <v>47</v>
      </c>
      <c r="J70" s="4" t="s">
        <v>149</v>
      </c>
      <c r="K70" s="4" t="s">
        <v>150</v>
      </c>
      <c r="L70" s="3">
        <v>46143</v>
      </c>
      <c r="M70" s="4" t="s">
        <v>50</v>
      </c>
      <c r="N70" s="4" t="s">
        <v>47</v>
      </c>
      <c r="O70" s="4" t="s">
        <v>51</v>
      </c>
      <c r="P70" s="4" t="s">
        <v>96</v>
      </c>
      <c r="Q70" s="2">
        <v>2</v>
      </c>
      <c r="R70" s="2">
        <v>60</v>
      </c>
      <c r="S70" s="4" t="s">
        <v>167</v>
      </c>
      <c r="T70" s="4" t="s">
        <v>47</v>
      </c>
      <c r="U70" s="4" t="s">
        <v>47</v>
      </c>
      <c r="V70" s="5">
        <v>10</v>
      </c>
      <c r="W70" s="5">
        <v>26.88</v>
      </c>
      <c r="X70" s="5">
        <v>100</v>
      </c>
      <c r="Y70" s="5">
        <v>2.69</v>
      </c>
      <c r="Z70" s="4" t="s">
        <v>47</v>
      </c>
      <c r="AA70" s="5" t="s">
        <v>47</v>
      </c>
      <c r="AB70" s="4" t="s">
        <v>168</v>
      </c>
      <c r="AC70" s="4" t="s">
        <v>47</v>
      </c>
      <c r="AD70" s="5">
        <v>0</v>
      </c>
      <c r="AE70" s="4" t="s">
        <v>169</v>
      </c>
      <c r="AF70" s="3">
        <v>46023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47</v>
      </c>
      <c r="AO70" s="4" t="s">
        <v>47</v>
      </c>
      <c r="AP70" s="4" t="s">
        <v>47</v>
      </c>
      <c r="AQ70" s="4" t="s">
        <v>47</v>
      </c>
    </row>
    <row r="71" spans="1:43" x14ac:dyDescent="0.25">
      <c r="A71" s="2">
        <v>1891456</v>
      </c>
      <c r="B71" s="3">
        <v>46141</v>
      </c>
      <c r="C71" s="4" t="s">
        <v>175</v>
      </c>
      <c r="D71" s="2">
        <v>1831491</v>
      </c>
      <c r="E71" s="4" t="s">
        <v>254</v>
      </c>
      <c r="F71" s="4" t="s">
        <v>255</v>
      </c>
      <c r="G71" s="4" t="s">
        <v>47</v>
      </c>
      <c r="H71" s="4" t="s">
        <v>47</v>
      </c>
      <c r="I71" s="4" t="s">
        <v>47</v>
      </c>
      <c r="J71" s="4" t="s">
        <v>149</v>
      </c>
      <c r="K71" s="4" t="s">
        <v>150</v>
      </c>
      <c r="L71" s="3">
        <v>46143</v>
      </c>
      <c r="M71" s="4" t="s">
        <v>50</v>
      </c>
      <c r="N71" s="4" t="s">
        <v>47</v>
      </c>
      <c r="O71" s="4" t="s">
        <v>51</v>
      </c>
      <c r="P71" s="4" t="s">
        <v>96</v>
      </c>
      <c r="Q71" s="2">
        <v>1</v>
      </c>
      <c r="R71" s="2">
        <v>60</v>
      </c>
      <c r="S71" s="4" t="s">
        <v>167</v>
      </c>
      <c r="T71" s="4" t="s">
        <v>47</v>
      </c>
      <c r="U71" s="4" t="s">
        <v>47</v>
      </c>
      <c r="V71" s="5">
        <v>10</v>
      </c>
      <c r="W71" s="5">
        <v>14.93</v>
      </c>
      <c r="X71" s="5">
        <v>100</v>
      </c>
      <c r="Y71" s="5">
        <v>1.49</v>
      </c>
      <c r="Z71" s="4" t="s">
        <v>47</v>
      </c>
      <c r="AA71" s="5" t="s">
        <v>47</v>
      </c>
      <c r="AB71" s="4" t="s">
        <v>168</v>
      </c>
      <c r="AC71" s="4" t="s">
        <v>47</v>
      </c>
      <c r="AD71" s="5">
        <v>0</v>
      </c>
      <c r="AE71" s="4" t="s">
        <v>169</v>
      </c>
      <c r="AF71" s="3">
        <v>45994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47</v>
      </c>
      <c r="AO71" s="4" t="s">
        <v>47</v>
      </c>
      <c r="AP71" s="4" t="s">
        <v>47</v>
      </c>
      <c r="AQ71" s="4" t="s">
        <v>47</v>
      </c>
    </row>
    <row r="72" spans="1:43" x14ac:dyDescent="0.25">
      <c r="A72" s="2">
        <v>1891456</v>
      </c>
      <c r="B72" s="3">
        <v>46141</v>
      </c>
      <c r="C72" s="4" t="s">
        <v>175</v>
      </c>
      <c r="D72" s="2">
        <v>1831491</v>
      </c>
      <c r="E72" s="4" t="s">
        <v>256</v>
      </c>
      <c r="F72" s="4" t="s">
        <v>257</v>
      </c>
      <c r="G72" s="4" t="s">
        <v>47</v>
      </c>
      <c r="H72" s="4" t="s">
        <v>47</v>
      </c>
      <c r="I72" s="4" t="s">
        <v>47</v>
      </c>
      <c r="J72" s="4" t="s">
        <v>149</v>
      </c>
      <c r="K72" s="4" t="s">
        <v>150</v>
      </c>
      <c r="L72" s="3">
        <v>46174</v>
      </c>
      <c r="M72" s="4" t="s">
        <v>81</v>
      </c>
      <c r="N72" s="4" t="s">
        <v>47</v>
      </c>
      <c r="O72" s="4" t="s">
        <v>51</v>
      </c>
      <c r="P72" s="4" t="s">
        <v>96</v>
      </c>
      <c r="Q72" s="2">
        <v>2</v>
      </c>
      <c r="R72" s="2">
        <v>60</v>
      </c>
      <c r="S72" s="4" t="s">
        <v>167</v>
      </c>
      <c r="T72" s="4" t="s">
        <v>47</v>
      </c>
      <c r="U72" s="4" t="s">
        <v>47</v>
      </c>
      <c r="V72" s="5">
        <v>10</v>
      </c>
      <c r="W72" s="5">
        <v>26.88</v>
      </c>
      <c r="X72" s="5">
        <v>100</v>
      </c>
      <c r="Y72" s="5">
        <v>2.69</v>
      </c>
      <c r="Z72" s="4" t="s">
        <v>47</v>
      </c>
      <c r="AA72" s="5" t="s">
        <v>47</v>
      </c>
      <c r="AB72" s="4" t="s">
        <v>168</v>
      </c>
      <c r="AC72" s="4" t="s">
        <v>47</v>
      </c>
      <c r="AD72" s="5">
        <v>0</v>
      </c>
      <c r="AE72" s="4" t="s">
        <v>169</v>
      </c>
      <c r="AF72" s="3">
        <v>46023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47</v>
      </c>
      <c r="AO72" s="4" t="s">
        <v>47</v>
      </c>
      <c r="AP72" s="4" t="s">
        <v>47</v>
      </c>
      <c r="AQ72" s="4" t="s">
        <v>47</v>
      </c>
    </row>
    <row r="73" spans="1:43" x14ac:dyDescent="0.25">
      <c r="A73" s="2">
        <v>1891456</v>
      </c>
      <c r="B73" s="3">
        <v>46141</v>
      </c>
      <c r="C73" s="4" t="s">
        <v>175</v>
      </c>
      <c r="D73" s="2">
        <v>1831491</v>
      </c>
      <c r="E73" s="4" t="s">
        <v>258</v>
      </c>
      <c r="F73" s="4" t="s">
        <v>259</v>
      </c>
      <c r="G73" s="4" t="s">
        <v>47</v>
      </c>
      <c r="H73" s="4" t="s">
        <v>47</v>
      </c>
      <c r="I73" s="4" t="s">
        <v>47</v>
      </c>
      <c r="J73" s="4" t="s">
        <v>149</v>
      </c>
      <c r="K73" s="4" t="s">
        <v>150</v>
      </c>
      <c r="L73" s="3">
        <v>46174</v>
      </c>
      <c r="M73" s="4" t="s">
        <v>81</v>
      </c>
      <c r="N73" s="4" t="s">
        <v>47</v>
      </c>
      <c r="O73" s="4" t="s">
        <v>51</v>
      </c>
      <c r="P73" s="4" t="s">
        <v>96</v>
      </c>
      <c r="Q73" s="2">
        <v>3</v>
      </c>
      <c r="R73" s="2">
        <v>60</v>
      </c>
      <c r="S73" s="4" t="s">
        <v>167</v>
      </c>
      <c r="T73" s="4" t="s">
        <v>47</v>
      </c>
      <c r="U73" s="4" t="s">
        <v>47</v>
      </c>
      <c r="V73" s="5">
        <v>10</v>
      </c>
      <c r="W73" s="5">
        <v>46.8</v>
      </c>
      <c r="X73" s="5">
        <v>100</v>
      </c>
      <c r="Y73" s="5">
        <v>4.68</v>
      </c>
      <c r="Z73" s="4" t="s">
        <v>47</v>
      </c>
      <c r="AA73" s="5" t="s">
        <v>47</v>
      </c>
      <c r="AB73" s="4" t="s">
        <v>168</v>
      </c>
      <c r="AC73" s="4" t="s">
        <v>47</v>
      </c>
      <c r="AD73" s="5">
        <v>0</v>
      </c>
      <c r="AE73" s="4" t="s">
        <v>169</v>
      </c>
      <c r="AF73" s="3">
        <v>46023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47</v>
      </c>
      <c r="AO73" s="4" t="s">
        <v>47</v>
      </c>
      <c r="AP73" s="4" t="s">
        <v>47</v>
      </c>
      <c r="AQ73" s="4" t="s">
        <v>47</v>
      </c>
    </row>
    <row r="74" spans="1:43" x14ac:dyDescent="0.25">
      <c r="A74" s="2">
        <v>1891456</v>
      </c>
      <c r="B74" s="3">
        <v>46141</v>
      </c>
      <c r="C74" s="4" t="s">
        <v>175</v>
      </c>
      <c r="D74" s="2">
        <v>1831491</v>
      </c>
      <c r="E74" s="4" t="s">
        <v>260</v>
      </c>
      <c r="F74" s="4" t="s">
        <v>261</v>
      </c>
      <c r="G74" s="4" t="s">
        <v>47</v>
      </c>
      <c r="H74" s="4" t="s">
        <v>47</v>
      </c>
      <c r="I74" s="4" t="s">
        <v>47</v>
      </c>
      <c r="J74" s="4" t="s">
        <v>149</v>
      </c>
      <c r="K74" s="4" t="s">
        <v>150</v>
      </c>
      <c r="L74" s="3">
        <v>46143</v>
      </c>
      <c r="M74" s="4" t="s">
        <v>50</v>
      </c>
      <c r="N74" s="4" t="s">
        <v>47</v>
      </c>
      <c r="O74" s="4" t="s">
        <v>51</v>
      </c>
      <c r="P74" s="4" t="s">
        <v>96</v>
      </c>
      <c r="Q74" s="2">
        <v>2</v>
      </c>
      <c r="R74" s="2">
        <v>60</v>
      </c>
      <c r="S74" s="4" t="s">
        <v>167</v>
      </c>
      <c r="T74" s="4" t="s">
        <v>47</v>
      </c>
      <c r="U74" s="4" t="s">
        <v>47</v>
      </c>
      <c r="V74" s="5">
        <v>10</v>
      </c>
      <c r="W74" s="5">
        <v>26.88</v>
      </c>
      <c r="X74" s="5">
        <v>100</v>
      </c>
      <c r="Y74" s="5">
        <v>37.69</v>
      </c>
      <c r="Z74" s="4" t="s">
        <v>47</v>
      </c>
      <c r="AA74" s="5" t="s">
        <v>47</v>
      </c>
      <c r="AB74" s="4" t="s">
        <v>168</v>
      </c>
      <c r="AC74" s="4" t="s">
        <v>47</v>
      </c>
      <c r="AD74" s="5">
        <v>0</v>
      </c>
      <c r="AE74" s="4" t="s">
        <v>169</v>
      </c>
      <c r="AF74" s="3">
        <v>46143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47</v>
      </c>
      <c r="AO74" s="4" t="s">
        <v>47</v>
      </c>
      <c r="AP74" s="4" t="s">
        <v>47</v>
      </c>
      <c r="AQ74" s="4" t="s">
        <v>47</v>
      </c>
    </row>
    <row r="75" spans="1:43" x14ac:dyDescent="0.25">
      <c r="A75" s="2">
        <v>1891456</v>
      </c>
      <c r="B75" s="3">
        <v>46141</v>
      </c>
      <c r="C75" s="4" t="s">
        <v>262</v>
      </c>
      <c r="D75" s="2">
        <v>1875462</v>
      </c>
      <c r="E75" s="4" t="s">
        <v>263</v>
      </c>
      <c r="F75" s="4" t="s">
        <v>264</v>
      </c>
      <c r="G75" s="4" t="s">
        <v>47</v>
      </c>
      <c r="H75" s="4" t="s">
        <v>47</v>
      </c>
      <c r="I75" s="4" t="s">
        <v>47</v>
      </c>
      <c r="J75" s="4" t="s">
        <v>136</v>
      </c>
      <c r="K75" s="4" t="s">
        <v>49</v>
      </c>
      <c r="L75" s="3">
        <v>46113</v>
      </c>
      <c r="M75" s="4" t="s">
        <v>265</v>
      </c>
      <c r="N75" s="4" t="s">
        <v>47</v>
      </c>
      <c r="O75" s="4" t="s">
        <v>96</v>
      </c>
      <c r="P75" s="4" t="s">
        <v>96</v>
      </c>
      <c r="Q75" s="2">
        <v>1</v>
      </c>
      <c r="R75" s="2">
        <v>17</v>
      </c>
      <c r="S75" s="4" t="s">
        <v>52</v>
      </c>
      <c r="T75" s="4" t="s">
        <v>47</v>
      </c>
      <c r="U75" s="4" t="s">
        <v>47</v>
      </c>
      <c r="V75" s="5">
        <v>22</v>
      </c>
      <c r="W75" s="5">
        <v>186.54</v>
      </c>
      <c r="X75" s="5">
        <v>100</v>
      </c>
      <c r="Y75" s="5">
        <v>41.04</v>
      </c>
      <c r="Z75" s="5">
        <v>0</v>
      </c>
      <c r="AA75" s="5">
        <v>0</v>
      </c>
      <c r="AB75" s="4" t="s">
        <v>162</v>
      </c>
      <c r="AC75" s="4" t="s">
        <v>47</v>
      </c>
      <c r="AD75" s="5">
        <v>0</v>
      </c>
      <c r="AE75" s="4" t="s">
        <v>163</v>
      </c>
      <c r="AF75" s="3">
        <v>45658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47</v>
      </c>
      <c r="AO75" s="4" t="s">
        <v>47</v>
      </c>
      <c r="AP75" s="4" t="s">
        <v>47</v>
      </c>
      <c r="AQ75" s="4" t="s">
        <v>137</v>
      </c>
    </row>
    <row r="76" spans="1:43" x14ac:dyDescent="0.25">
      <c r="A76" s="2">
        <v>1891456</v>
      </c>
      <c r="B76" s="3">
        <v>46141</v>
      </c>
      <c r="C76" s="4" t="s">
        <v>262</v>
      </c>
      <c r="D76" s="2">
        <v>1875462</v>
      </c>
      <c r="E76" s="4" t="s">
        <v>266</v>
      </c>
      <c r="F76" s="4" t="s">
        <v>267</v>
      </c>
      <c r="G76" s="4" t="s">
        <v>47</v>
      </c>
      <c r="H76" s="4" t="s">
        <v>47</v>
      </c>
      <c r="I76" s="4" t="s">
        <v>47</v>
      </c>
      <c r="J76" s="4" t="s">
        <v>136</v>
      </c>
      <c r="K76" s="4" t="s">
        <v>49</v>
      </c>
      <c r="L76" s="3">
        <v>46143</v>
      </c>
      <c r="M76" s="4" t="s">
        <v>50</v>
      </c>
      <c r="N76" s="4" t="s">
        <v>47</v>
      </c>
      <c r="O76" s="4" t="s">
        <v>96</v>
      </c>
      <c r="P76" s="4" t="s">
        <v>96</v>
      </c>
      <c r="Q76" s="2">
        <v>1</v>
      </c>
      <c r="R76" s="2">
        <v>17</v>
      </c>
      <c r="S76" s="4" t="s">
        <v>52</v>
      </c>
      <c r="T76" s="4" t="s">
        <v>47</v>
      </c>
      <c r="U76" s="4" t="s">
        <v>47</v>
      </c>
      <c r="V76" s="5">
        <v>1</v>
      </c>
      <c r="W76" s="5">
        <v>124.54</v>
      </c>
      <c r="X76" s="5">
        <v>100</v>
      </c>
      <c r="Y76" s="5">
        <v>1.25</v>
      </c>
      <c r="Z76" s="5">
        <v>0</v>
      </c>
      <c r="AA76" s="5">
        <v>0</v>
      </c>
      <c r="AB76" s="4" t="s">
        <v>162</v>
      </c>
      <c r="AC76" s="4" t="s">
        <v>47</v>
      </c>
      <c r="AD76" s="5">
        <v>0</v>
      </c>
      <c r="AE76" s="4" t="s">
        <v>163</v>
      </c>
      <c r="AF76" s="3">
        <v>45658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47</v>
      </c>
      <c r="AO76" s="4" t="s">
        <v>47</v>
      </c>
      <c r="AP76" s="4" t="s">
        <v>47</v>
      </c>
      <c r="AQ76" s="4" t="s">
        <v>137</v>
      </c>
    </row>
    <row r="77" spans="1:43" x14ac:dyDescent="0.25">
      <c r="A77" s="2">
        <v>1891456</v>
      </c>
      <c r="B77" s="3">
        <v>46141</v>
      </c>
      <c r="C77" s="4" t="s">
        <v>262</v>
      </c>
      <c r="D77" s="2">
        <v>1875462</v>
      </c>
      <c r="E77" s="4" t="s">
        <v>268</v>
      </c>
      <c r="F77" s="4" t="s">
        <v>269</v>
      </c>
      <c r="G77" s="4" t="s">
        <v>47</v>
      </c>
      <c r="H77" s="4" t="s">
        <v>47</v>
      </c>
      <c r="I77" s="4" t="s">
        <v>47</v>
      </c>
      <c r="J77" s="4" t="s">
        <v>136</v>
      </c>
      <c r="K77" s="4" t="s">
        <v>49</v>
      </c>
      <c r="L77" s="3">
        <v>46143</v>
      </c>
      <c r="M77" s="4" t="s">
        <v>50</v>
      </c>
      <c r="N77" s="4" t="s">
        <v>47</v>
      </c>
      <c r="O77" s="4" t="s">
        <v>51</v>
      </c>
      <c r="P77" s="4" t="s">
        <v>96</v>
      </c>
      <c r="Q77" s="2">
        <v>1</v>
      </c>
      <c r="R77" s="2">
        <v>17</v>
      </c>
      <c r="S77" s="4" t="s">
        <v>52</v>
      </c>
      <c r="T77" s="4" t="s">
        <v>47</v>
      </c>
      <c r="U77" s="4" t="s">
        <v>47</v>
      </c>
      <c r="V77" s="5">
        <v>22</v>
      </c>
      <c r="W77" s="5">
        <v>129.72</v>
      </c>
      <c r="X77" s="5">
        <v>100</v>
      </c>
      <c r="Y77" s="5">
        <v>28.54</v>
      </c>
      <c r="Z77" s="5">
        <v>0</v>
      </c>
      <c r="AA77" s="5">
        <v>0</v>
      </c>
      <c r="AB77" s="4" t="s">
        <v>270</v>
      </c>
      <c r="AC77" s="4" t="s">
        <v>47</v>
      </c>
      <c r="AD77" s="5">
        <v>0</v>
      </c>
      <c r="AE77" s="4" t="s">
        <v>271</v>
      </c>
      <c r="AF77" s="3">
        <v>45962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47</v>
      </c>
      <c r="AO77" s="4" t="s">
        <v>47</v>
      </c>
      <c r="AP77" s="4" t="s">
        <v>47</v>
      </c>
      <c r="AQ77" s="4" t="s">
        <v>137</v>
      </c>
    </row>
    <row r="78" spans="1:43" x14ac:dyDescent="0.25">
      <c r="A78" s="2">
        <v>1891456</v>
      </c>
      <c r="B78" s="3">
        <v>46141</v>
      </c>
      <c r="C78" s="4" t="s">
        <v>262</v>
      </c>
      <c r="D78" s="2">
        <v>1875462</v>
      </c>
      <c r="E78" s="4" t="s">
        <v>272</v>
      </c>
      <c r="F78" s="4" t="s">
        <v>273</v>
      </c>
      <c r="G78" s="4" t="s">
        <v>47</v>
      </c>
      <c r="H78" s="4" t="s">
        <v>47</v>
      </c>
      <c r="I78" s="4" t="s">
        <v>47</v>
      </c>
      <c r="J78" s="4" t="s">
        <v>149</v>
      </c>
      <c r="K78" s="4" t="s">
        <v>150</v>
      </c>
      <c r="L78" s="3">
        <v>46143</v>
      </c>
      <c r="M78" s="4" t="s">
        <v>50</v>
      </c>
      <c r="N78" s="4" t="s">
        <v>47</v>
      </c>
      <c r="O78" s="4" t="s">
        <v>96</v>
      </c>
      <c r="P78" s="4" t="s">
        <v>96</v>
      </c>
      <c r="Q78" s="2">
        <v>2</v>
      </c>
      <c r="R78" s="2">
        <v>60</v>
      </c>
      <c r="S78" s="4" t="s">
        <v>167</v>
      </c>
      <c r="T78" s="4" t="s">
        <v>47</v>
      </c>
      <c r="U78" s="4" t="s">
        <v>47</v>
      </c>
      <c r="V78" s="5">
        <v>10</v>
      </c>
      <c r="W78" s="5">
        <v>23.99</v>
      </c>
      <c r="X78" s="5">
        <v>100</v>
      </c>
      <c r="Y78" s="5">
        <v>2.4</v>
      </c>
      <c r="Z78" s="4" t="s">
        <v>47</v>
      </c>
      <c r="AA78" s="5" t="s">
        <v>47</v>
      </c>
      <c r="AB78" s="4" t="s">
        <v>152</v>
      </c>
      <c r="AC78" s="4" t="s">
        <v>47</v>
      </c>
      <c r="AD78" s="5">
        <v>0</v>
      </c>
      <c r="AE78" s="4" t="s">
        <v>153</v>
      </c>
      <c r="AF78" s="3">
        <v>45713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47</v>
      </c>
      <c r="AO78" s="4" t="s">
        <v>47</v>
      </c>
      <c r="AP78" s="4" t="s">
        <v>47</v>
      </c>
      <c r="AQ78" s="4" t="s">
        <v>47</v>
      </c>
    </row>
    <row r="79" spans="1:43" x14ac:dyDescent="0.25">
      <c r="A79" s="2">
        <v>1891456</v>
      </c>
      <c r="B79" s="3">
        <v>46141</v>
      </c>
      <c r="C79" s="4" t="s">
        <v>274</v>
      </c>
      <c r="D79" s="2">
        <v>1982315</v>
      </c>
      <c r="E79" s="4" t="s">
        <v>275</v>
      </c>
      <c r="F79" s="4" t="s">
        <v>276</v>
      </c>
      <c r="G79" s="4" t="s">
        <v>47</v>
      </c>
      <c r="H79" s="4" t="s">
        <v>47</v>
      </c>
      <c r="I79" s="4" t="s">
        <v>277</v>
      </c>
      <c r="J79" s="4" t="s">
        <v>136</v>
      </c>
      <c r="K79" s="4" t="s">
        <v>49</v>
      </c>
      <c r="L79" s="3">
        <v>45901</v>
      </c>
      <c r="M79" s="4" t="s">
        <v>278</v>
      </c>
      <c r="N79" s="4" t="s">
        <v>47</v>
      </c>
      <c r="O79" s="4" t="s">
        <v>51</v>
      </c>
      <c r="P79" s="4" t="s">
        <v>96</v>
      </c>
      <c r="Q79" s="2">
        <v>1</v>
      </c>
      <c r="R79" s="2">
        <v>17</v>
      </c>
      <c r="S79" s="4" t="s">
        <v>52</v>
      </c>
      <c r="T79" s="4" t="s">
        <v>47</v>
      </c>
      <c r="U79" s="4" t="s">
        <v>47</v>
      </c>
      <c r="V79" s="5">
        <v>22</v>
      </c>
      <c r="W79" s="5">
        <v>-112.62</v>
      </c>
      <c r="X79" s="5">
        <v>100</v>
      </c>
      <c r="Y79" s="5">
        <v>-24.78</v>
      </c>
      <c r="Z79" s="5">
        <v>0</v>
      </c>
      <c r="AA79" s="5">
        <v>0</v>
      </c>
      <c r="AB79" s="4" t="s">
        <v>279</v>
      </c>
      <c r="AC79" s="4" t="s">
        <v>47</v>
      </c>
      <c r="AD79" s="5">
        <v>0</v>
      </c>
      <c r="AE79" s="4" t="s">
        <v>280</v>
      </c>
      <c r="AF79" s="3">
        <v>45870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47</v>
      </c>
      <c r="AO79" s="4" t="s">
        <v>47</v>
      </c>
      <c r="AP79" s="4" t="s">
        <v>47</v>
      </c>
      <c r="AQ79" s="4" t="s">
        <v>47</v>
      </c>
    </row>
    <row r="80" spans="1:43" x14ac:dyDescent="0.25">
      <c r="A80" s="2">
        <v>1891456</v>
      </c>
      <c r="B80" s="3">
        <v>46141</v>
      </c>
      <c r="C80" s="4" t="s">
        <v>274</v>
      </c>
      <c r="D80" s="2">
        <v>1982315</v>
      </c>
      <c r="E80" s="4" t="s">
        <v>275</v>
      </c>
      <c r="F80" s="4" t="s">
        <v>276</v>
      </c>
      <c r="G80" s="4" t="s">
        <v>47</v>
      </c>
      <c r="H80" s="4" t="s">
        <v>47</v>
      </c>
      <c r="I80" s="4" t="s">
        <v>277</v>
      </c>
      <c r="J80" s="4" t="s">
        <v>136</v>
      </c>
      <c r="K80" s="4" t="s">
        <v>49</v>
      </c>
      <c r="L80" s="3">
        <v>45931</v>
      </c>
      <c r="M80" s="4" t="s">
        <v>281</v>
      </c>
      <c r="N80" s="4" t="s">
        <v>47</v>
      </c>
      <c r="O80" s="4" t="s">
        <v>51</v>
      </c>
      <c r="P80" s="4" t="s">
        <v>96</v>
      </c>
      <c r="Q80" s="2">
        <v>1</v>
      </c>
      <c r="R80" s="2">
        <v>17</v>
      </c>
      <c r="S80" s="4" t="s">
        <v>52</v>
      </c>
      <c r="T80" s="4" t="s">
        <v>47</v>
      </c>
      <c r="U80" s="4" t="s">
        <v>47</v>
      </c>
      <c r="V80" s="5">
        <v>22</v>
      </c>
      <c r="W80" s="5">
        <v>-112.62</v>
      </c>
      <c r="X80" s="5">
        <v>100</v>
      </c>
      <c r="Y80" s="5">
        <v>-24.78</v>
      </c>
      <c r="Z80" s="5">
        <v>0</v>
      </c>
      <c r="AA80" s="5">
        <v>0</v>
      </c>
      <c r="AB80" s="4" t="s">
        <v>279</v>
      </c>
      <c r="AC80" s="4" t="s">
        <v>47</v>
      </c>
      <c r="AD80" s="5">
        <v>0</v>
      </c>
      <c r="AE80" s="4" t="s">
        <v>280</v>
      </c>
      <c r="AF80" s="3">
        <v>45870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47</v>
      </c>
      <c r="AO80" s="4" t="s">
        <v>47</v>
      </c>
      <c r="AP80" s="4" t="s">
        <v>47</v>
      </c>
      <c r="AQ80" s="4" t="s">
        <v>47</v>
      </c>
    </row>
    <row r="81" spans="1:43" x14ac:dyDescent="0.25">
      <c r="A81" s="2">
        <v>1891456</v>
      </c>
      <c r="B81" s="3">
        <v>46141</v>
      </c>
      <c r="C81" s="4" t="s">
        <v>274</v>
      </c>
      <c r="D81" s="2">
        <v>1982315</v>
      </c>
      <c r="E81" s="4" t="s">
        <v>275</v>
      </c>
      <c r="F81" s="4" t="s">
        <v>276</v>
      </c>
      <c r="G81" s="4" t="s">
        <v>47</v>
      </c>
      <c r="H81" s="4" t="s">
        <v>47</v>
      </c>
      <c r="I81" s="4" t="s">
        <v>277</v>
      </c>
      <c r="J81" s="4" t="s">
        <v>136</v>
      </c>
      <c r="K81" s="4" t="s">
        <v>49</v>
      </c>
      <c r="L81" s="3">
        <v>45962</v>
      </c>
      <c r="M81" s="4" t="s">
        <v>282</v>
      </c>
      <c r="N81" s="4" t="s">
        <v>47</v>
      </c>
      <c r="O81" s="4" t="s">
        <v>51</v>
      </c>
      <c r="P81" s="4" t="s">
        <v>96</v>
      </c>
      <c r="Q81" s="2">
        <v>1</v>
      </c>
      <c r="R81" s="2">
        <v>17</v>
      </c>
      <c r="S81" s="4" t="s">
        <v>52</v>
      </c>
      <c r="T81" s="4" t="s">
        <v>47</v>
      </c>
      <c r="U81" s="4" t="s">
        <v>47</v>
      </c>
      <c r="V81" s="5">
        <v>22</v>
      </c>
      <c r="W81" s="5">
        <v>-112.62</v>
      </c>
      <c r="X81" s="5">
        <v>100</v>
      </c>
      <c r="Y81" s="5">
        <v>-24.78</v>
      </c>
      <c r="Z81" s="5">
        <v>0</v>
      </c>
      <c r="AA81" s="5">
        <v>0</v>
      </c>
      <c r="AB81" s="4" t="s">
        <v>279</v>
      </c>
      <c r="AC81" s="4" t="s">
        <v>47</v>
      </c>
      <c r="AD81" s="5">
        <v>0</v>
      </c>
      <c r="AE81" s="4" t="s">
        <v>280</v>
      </c>
      <c r="AF81" s="3">
        <v>45870</v>
      </c>
      <c r="AG81" s="4" t="s">
        <v>47</v>
      </c>
      <c r="AH81" s="4" t="s">
        <v>47</v>
      </c>
      <c r="AI81" s="4" t="s">
        <v>47</v>
      </c>
      <c r="AJ81" s="4" t="s">
        <v>47</v>
      </c>
      <c r="AK81" s="4" t="s">
        <v>47</v>
      </c>
      <c r="AL81" s="4" t="s">
        <v>47</v>
      </c>
      <c r="AM81" s="4" t="s">
        <v>47</v>
      </c>
      <c r="AN81" s="4" t="s">
        <v>47</v>
      </c>
      <c r="AO81" s="4" t="s">
        <v>47</v>
      </c>
      <c r="AP81" s="4" t="s">
        <v>47</v>
      </c>
      <c r="AQ81" s="4" t="s">
        <v>47</v>
      </c>
    </row>
    <row r="82" spans="1:43" x14ac:dyDescent="0.25">
      <c r="A82" s="2">
        <v>1891456</v>
      </c>
      <c r="B82" s="3">
        <v>46141</v>
      </c>
      <c r="C82" s="4" t="s">
        <v>274</v>
      </c>
      <c r="D82" s="2">
        <v>1982315</v>
      </c>
      <c r="E82" s="4" t="s">
        <v>275</v>
      </c>
      <c r="F82" s="4" t="s">
        <v>276</v>
      </c>
      <c r="G82" s="4" t="s">
        <v>47</v>
      </c>
      <c r="H82" s="4" t="s">
        <v>47</v>
      </c>
      <c r="I82" s="4" t="s">
        <v>277</v>
      </c>
      <c r="J82" s="4" t="s">
        <v>136</v>
      </c>
      <c r="K82" s="4" t="s">
        <v>49</v>
      </c>
      <c r="L82" s="3">
        <v>45992</v>
      </c>
      <c r="M82" s="4" t="s">
        <v>283</v>
      </c>
      <c r="N82" s="4" t="s">
        <v>47</v>
      </c>
      <c r="O82" s="4" t="s">
        <v>51</v>
      </c>
      <c r="P82" s="4" t="s">
        <v>96</v>
      </c>
      <c r="Q82" s="2">
        <v>1</v>
      </c>
      <c r="R82" s="2">
        <v>17</v>
      </c>
      <c r="S82" s="4" t="s">
        <v>52</v>
      </c>
      <c r="T82" s="4" t="s">
        <v>47</v>
      </c>
      <c r="U82" s="4" t="s">
        <v>47</v>
      </c>
      <c r="V82" s="5">
        <v>22</v>
      </c>
      <c r="W82" s="5">
        <v>-112.62</v>
      </c>
      <c r="X82" s="5">
        <v>100</v>
      </c>
      <c r="Y82" s="5">
        <v>-24.78</v>
      </c>
      <c r="Z82" s="5">
        <v>0</v>
      </c>
      <c r="AA82" s="5">
        <v>0</v>
      </c>
      <c r="AB82" s="4" t="s">
        <v>279</v>
      </c>
      <c r="AC82" s="4" t="s">
        <v>47</v>
      </c>
      <c r="AD82" s="5">
        <v>0</v>
      </c>
      <c r="AE82" s="4" t="s">
        <v>280</v>
      </c>
      <c r="AF82" s="3">
        <v>45870</v>
      </c>
      <c r="AG82" s="4" t="s">
        <v>47</v>
      </c>
      <c r="AH82" s="4" t="s">
        <v>47</v>
      </c>
      <c r="AI82" s="4" t="s">
        <v>47</v>
      </c>
      <c r="AJ82" s="4" t="s">
        <v>47</v>
      </c>
      <c r="AK82" s="4" t="s">
        <v>47</v>
      </c>
      <c r="AL82" s="4" t="s">
        <v>47</v>
      </c>
      <c r="AM82" s="4" t="s">
        <v>47</v>
      </c>
      <c r="AN82" s="4" t="s">
        <v>47</v>
      </c>
      <c r="AO82" s="4" t="s">
        <v>47</v>
      </c>
      <c r="AP82" s="4" t="s">
        <v>47</v>
      </c>
      <c r="AQ82" s="4" t="s">
        <v>47</v>
      </c>
    </row>
    <row r="83" spans="1:43" x14ac:dyDescent="0.25">
      <c r="A83" s="2">
        <v>1891456</v>
      </c>
      <c r="B83" s="3">
        <v>46141</v>
      </c>
      <c r="C83" s="4" t="s">
        <v>274</v>
      </c>
      <c r="D83" s="2">
        <v>1982315</v>
      </c>
      <c r="E83" s="4" t="s">
        <v>275</v>
      </c>
      <c r="F83" s="4" t="s">
        <v>276</v>
      </c>
      <c r="G83" s="4" t="s">
        <v>47</v>
      </c>
      <c r="H83" s="4" t="s">
        <v>47</v>
      </c>
      <c r="I83" s="4" t="s">
        <v>277</v>
      </c>
      <c r="J83" s="4" t="s">
        <v>136</v>
      </c>
      <c r="K83" s="4" t="s">
        <v>49</v>
      </c>
      <c r="L83" s="3">
        <v>46023</v>
      </c>
      <c r="M83" s="4" t="s">
        <v>95</v>
      </c>
      <c r="N83" s="4" t="s">
        <v>47</v>
      </c>
      <c r="O83" s="4" t="s">
        <v>51</v>
      </c>
      <c r="P83" s="4" t="s">
        <v>96</v>
      </c>
      <c r="Q83" s="2">
        <v>1</v>
      </c>
      <c r="R83" s="2">
        <v>17</v>
      </c>
      <c r="S83" s="4" t="s">
        <v>52</v>
      </c>
      <c r="T83" s="4" t="s">
        <v>47</v>
      </c>
      <c r="U83" s="4" t="s">
        <v>47</v>
      </c>
      <c r="V83" s="5">
        <v>22</v>
      </c>
      <c r="W83" s="5">
        <v>-112.62</v>
      </c>
      <c r="X83" s="5">
        <v>100</v>
      </c>
      <c r="Y83" s="5">
        <v>-24.78</v>
      </c>
      <c r="Z83" s="5">
        <v>0</v>
      </c>
      <c r="AA83" s="5">
        <v>0</v>
      </c>
      <c r="AB83" s="4" t="s">
        <v>279</v>
      </c>
      <c r="AC83" s="4" t="s">
        <v>47</v>
      </c>
      <c r="AD83" s="5">
        <v>0</v>
      </c>
      <c r="AE83" s="4" t="s">
        <v>280</v>
      </c>
      <c r="AF83" s="3">
        <v>45870</v>
      </c>
      <c r="AG83" s="4" t="s">
        <v>47</v>
      </c>
      <c r="AH83" s="4" t="s">
        <v>47</v>
      </c>
      <c r="AI83" s="4" t="s">
        <v>47</v>
      </c>
      <c r="AJ83" s="4" t="s">
        <v>47</v>
      </c>
      <c r="AK83" s="4" t="s">
        <v>47</v>
      </c>
      <c r="AL83" s="4" t="s">
        <v>47</v>
      </c>
      <c r="AM83" s="4" t="s">
        <v>47</v>
      </c>
      <c r="AN83" s="4" t="s">
        <v>47</v>
      </c>
      <c r="AO83" s="4" t="s">
        <v>47</v>
      </c>
      <c r="AP83" s="4" t="s">
        <v>47</v>
      </c>
      <c r="AQ83" s="4" t="s">
        <v>47</v>
      </c>
    </row>
    <row r="84" spans="1:43" x14ac:dyDescent="0.25">
      <c r="A84" s="2">
        <v>1891456</v>
      </c>
      <c r="B84" s="3">
        <v>46141</v>
      </c>
      <c r="C84" s="4" t="s">
        <v>274</v>
      </c>
      <c r="D84" s="2">
        <v>1982315</v>
      </c>
      <c r="E84" s="4" t="s">
        <v>275</v>
      </c>
      <c r="F84" s="4" t="s">
        <v>276</v>
      </c>
      <c r="G84" s="4" t="s">
        <v>47</v>
      </c>
      <c r="H84" s="4" t="s">
        <v>47</v>
      </c>
      <c r="I84" s="4" t="s">
        <v>277</v>
      </c>
      <c r="J84" s="4" t="s">
        <v>136</v>
      </c>
      <c r="K84" s="4" t="s">
        <v>49</v>
      </c>
      <c r="L84" s="3">
        <v>46054</v>
      </c>
      <c r="M84" s="4" t="s">
        <v>284</v>
      </c>
      <c r="N84" s="4" t="s">
        <v>47</v>
      </c>
      <c r="O84" s="4" t="s">
        <v>51</v>
      </c>
      <c r="P84" s="4" t="s">
        <v>96</v>
      </c>
      <c r="Q84" s="2">
        <v>1</v>
      </c>
      <c r="R84" s="2">
        <v>17</v>
      </c>
      <c r="S84" s="4" t="s">
        <v>52</v>
      </c>
      <c r="T84" s="4" t="s">
        <v>47</v>
      </c>
      <c r="U84" s="4" t="s">
        <v>47</v>
      </c>
      <c r="V84" s="5">
        <v>22</v>
      </c>
      <c r="W84" s="5">
        <v>-112.62</v>
      </c>
      <c r="X84" s="5">
        <v>100</v>
      </c>
      <c r="Y84" s="5">
        <v>-24.78</v>
      </c>
      <c r="Z84" s="5">
        <v>0</v>
      </c>
      <c r="AA84" s="5">
        <v>0</v>
      </c>
      <c r="AB84" s="4" t="s">
        <v>279</v>
      </c>
      <c r="AC84" s="4" t="s">
        <v>47</v>
      </c>
      <c r="AD84" s="5">
        <v>0</v>
      </c>
      <c r="AE84" s="4" t="s">
        <v>280</v>
      </c>
      <c r="AF84" s="3">
        <v>45870</v>
      </c>
      <c r="AG84" s="4" t="s">
        <v>47</v>
      </c>
      <c r="AH84" s="4" t="s">
        <v>47</v>
      </c>
      <c r="AI84" s="4" t="s">
        <v>47</v>
      </c>
      <c r="AJ84" s="4" t="s">
        <v>47</v>
      </c>
      <c r="AK84" s="4" t="s">
        <v>47</v>
      </c>
      <c r="AL84" s="4" t="s">
        <v>47</v>
      </c>
      <c r="AM84" s="4" t="s">
        <v>47</v>
      </c>
      <c r="AN84" s="4" t="s">
        <v>47</v>
      </c>
      <c r="AO84" s="4" t="s">
        <v>47</v>
      </c>
      <c r="AP84" s="4" t="s">
        <v>47</v>
      </c>
      <c r="AQ84" s="4" t="s">
        <v>47</v>
      </c>
    </row>
    <row r="85" spans="1:43" x14ac:dyDescent="0.25">
      <c r="A85" s="2">
        <v>1891456</v>
      </c>
      <c r="B85" s="3">
        <v>46141</v>
      </c>
      <c r="C85" s="4" t="s">
        <v>274</v>
      </c>
      <c r="D85" s="2">
        <v>1982315</v>
      </c>
      <c r="E85" s="4" t="s">
        <v>275</v>
      </c>
      <c r="F85" s="4" t="s">
        <v>276</v>
      </c>
      <c r="G85" s="4" t="s">
        <v>47</v>
      </c>
      <c r="H85" s="4" t="s">
        <v>47</v>
      </c>
      <c r="I85" s="4" t="s">
        <v>277</v>
      </c>
      <c r="J85" s="4" t="s">
        <v>136</v>
      </c>
      <c r="K85" s="4" t="s">
        <v>49</v>
      </c>
      <c r="L85" s="3">
        <v>46082</v>
      </c>
      <c r="M85" s="4" t="s">
        <v>132</v>
      </c>
      <c r="N85" s="4" t="s">
        <v>47</v>
      </c>
      <c r="O85" s="4" t="s">
        <v>51</v>
      </c>
      <c r="P85" s="4" t="s">
        <v>96</v>
      </c>
      <c r="Q85" s="2">
        <v>1</v>
      </c>
      <c r="R85" s="2">
        <v>17</v>
      </c>
      <c r="S85" s="4" t="s">
        <v>52</v>
      </c>
      <c r="T85" s="4" t="s">
        <v>47</v>
      </c>
      <c r="U85" s="4" t="s">
        <v>47</v>
      </c>
      <c r="V85" s="5">
        <v>22</v>
      </c>
      <c r="W85" s="5">
        <v>-112.62</v>
      </c>
      <c r="X85" s="5">
        <v>100</v>
      </c>
      <c r="Y85" s="5">
        <v>-24.78</v>
      </c>
      <c r="Z85" s="5">
        <v>0</v>
      </c>
      <c r="AA85" s="5">
        <v>0</v>
      </c>
      <c r="AB85" s="4" t="s">
        <v>279</v>
      </c>
      <c r="AC85" s="4" t="s">
        <v>47</v>
      </c>
      <c r="AD85" s="5">
        <v>0</v>
      </c>
      <c r="AE85" s="4" t="s">
        <v>280</v>
      </c>
      <c r="AF85" s="3">
        <v>45870</v>
      </c>
      <c r="AG85" s="4" t="s">
        <v>47</v>
      </c>
      <c r="AH85" s="4" t="s">
        <v>47</v>
      </c>
      <c r="AI85" s="4" t="s">
        <v>47</v>
      </c>
      <c r="AJ85" s="4" t="s">
        <v>47</v>
      </c>
      <c r="AK85" s="4" t="s">
        <v>47</v>
      </c>
      <c r="AL85" s="4" t="s">
        <v>47</v>
      </c>
      <c r="AM85" s="4" t="s">
        <v>47</v>
      </c>
      <c r="AN85" s="4" t="s">
        <v>47</v>
      </c>
      <c r="AO85" s="4" t="s">
        <v>47</v>
      </c>
      <c r="AP85" s="4" t="s">
        <v>47</v>
      </c>
      <c r="AQ85" s="4" t="s">
        <v>47</v>
      </c>
    </row>
    <row r="86" spans="1:43" x14ac:dyDescent="0.25">
      <c r="A86" s="2">
        <v>1891456</v>
      </c>
      <c r="B86" s="3">
        <v>46141</v>
      </c>
      <c r="C86" s="4" t="s">
        <v>274</v>
      </c>
      <c r="D86" s="2">
        <v>1982315</v>
      </c>
      <c r="E86" s="4" t="s">
        <v>275</v>
      </c>
      <c r="F86" s="4" t="s">
        <v>276</v>
      </c>
      <c r="G86" s="4" t="s">
        <v>47</v>
      </c>
      <c r="H86" s="4" t="s">
        <v>47</v>
      </c>
      <c r="I86" s="4" t="s">
        <v>277</v>
      </c>
      <c r="J86" s="4" t="s">
        <v>136</v>
      </c>
      <c r="K86" s="4" t="s">
        <v>49</v>
      </c>
      <c r="L86" s="3">
        <v>46113</v>
      </c>
      <c r="M86" s="4" t="s">
        <v>265</v>
      </c>
      <c r="N86" s="4" t="s">
        <v>47</v>
      </c>
      <c r="O86" s="4" t="s">
        <v>51</v>
      </c>
      <c r="P86" s="4" t="s">
        <v>96</v>
      </c>
      <c r="Q86" s="2">
        <v>1</v>
      </c>
      <c r="R86" s="2">
        <v>17</v>
      </c>
      <c r="S86" s="4" t="s">
        <v>52</v>
      </c>
      <c r="T86" s="4" t="s">
        <v>47</v>
      </c>
      <c r="U86" s="4" t="s">
        <v>47</v>
      </c>
      <c r="V86" s="5">
        <v>22</v>
      </c>
      <c r="W86" s="5">
        <v>-112.62</v>
      </c>
      <c r="X86" s="5">
        <v>100</v>
      </c>
      <c r="Y86" s="5">
        <v>-24.78</v>
      </c>
      <c r="Z86" s="5">
        <v>0</v>
      </c>
      <c r="AA86" s="5">
        <v>0</v>
      </c>
      <c r="AB86" s="4" t="s">
        <v>279</v>
      </c>
      <c r="AC86" s="4" t="s">
        <v>47</v>
      </c>
      <c r="AD86" s="5">
        <v>0</v>
      </c>
      <c r="AE86" s="4" t="s">
        <v>280</v>
      </c>
      <c r="AF86" s="3">
        <v>45870</v>
      </c>
      <c r="AG86" s="4" t="s">
        <v>47</v>
      </c>
      <c r="AH86" s="4" t="s">
        <v>47</v>
      </c>
      <c r="AI86" s="4" t="s">
        <v>47</v>
      </c>
      <c r="AJ86" s="4" t="s">
        <v>47</v>
      </c>
      <c r="AK86" s="4" t="s">
        <v>47</v>
      </c>
      <c r="AL86" s="4" t="s">
        <v>47</v>
      </c>
      <c r="AM86" s="4" t="s">
        <v>47</v>
      </c>
      <c r="AN86" s="4" t="s">
        <v>47</v>
      </c>
      <c r="AO86" s="4" t="s">
        <v>47</v>
      </c>
      <c r="AP86" s="4" t="s">
        <v>47</v>
      </c>
      <c r="AQ86" s="4" t="s">
        <v>47</v>
      </c>
    </row>
    <row r="87" spans="1:43" x14ac:dyDescent="0.25">
      <c r="A87" s="2">
        <v>1891456</v>
      </c>
      <c r="B87" s="3">
        <v>46141</v>
      </c>
      <c r="C87" s="4" t="s">
        <v>274</v>
      </c>
      <c r="D87" s="2">
        <v>1982315</v>
      </c>
      <c r="E87" s="4" t="s">
        <v>285</v>
      </c>
      <c r="F87" s="4" t="s">
        <v>286</v>
      </c>
      <c r="G87" s="4" t="s">
        <v>47</v>
      </c>
      <c r="H87" s="4" t="s">
        <v>47</v>
      </c>
      <c r="I87" s="4" t="s">
        <v>47</v>
      </c>
      <c r="J87" s="4" t="s">
        <v>136</v>
      </c>
      <c r="K87" s="4" t="s">
        <v>49</v>
      </c>
      <c r="L87" s="3">
        <v>46143</v>
      </c>
      <c r="M87" s="4" t="s">
        <v>50</v>
      </c>
      <c r="N87" s="4" t="s">
        <v>47</v>
      </c>
      <c r="O87" s="4" t="s">
        <v>51</v>
      </c>
      <c r="P87" s="4" t="s">
        <v>96</v>
      </c>
      <c r="Q87" s="2">
        <v>1</v>
      </c>
      <c r="R87" s="2">
        <v>17</v>
      </c>
      <c r="S87" s="4" t="s">
        <v>52</v>
      </c>
      <c r="T87" s="4" t="s">
        <v>47</v>
      </c>
      <c r="U87" s="4" t="s">
        <v>47</v>
      </c>
      <c r="V87" s="5">
        <v>26</v>
      </c>
      <c r="W87" s="5">
        <v>146.80000000000001</v>
      </c>
      <c r="X87" s="5">
        <v>100</v>
      </c>
      <c r="Y87" s="5">
        <v>38.17</v>
      </c>
      <c r="Z87" s="5">
        <v>0</v>
      </c>
      <c r="AA87" s="5">
        <v>0</v>
      </c>
      <c r="AB87" s="4" t="s">
        <v>270</v>
      </c>
      <c r="AC87" s="4" t="s">
        <v>47</v>
      </c>
      <c r="AD87" s="5">
        <v>0</v>
      </c>
      <c r="AE87" s="4" t="s">
        <v>271</v>
      </c>
      <c r="AF87" s="3">
        <v>45992</v>
      </c>
      <c r="AG87" s="4" t="s">
        <v>47</v>
      </c>
      <c r="AH87" s="4" t="s">
        <v>47</v>
      </c>
      <c r="AI87" s="4" t="s">
        <v>47</v>
      </c>
      <c r="AJ87" s="4" t="s">
        <v>47</v>
      </c>
      <c r="AK87" s="4" t="s">
        <v>47</v>
      </c>
      <c r="AL87" s="4" t="s">
        <v>47</v>
      </c>
      <c r="AM87" s="4" t="s">
        <v>47</v>
      </c>
      <c r="AN87" s="4" t="s">
        <v>47</v>
      </c>
      <c r="AO87" s="4" t="s">
        <v>47</v>
      </c>
      <c r="AP87" s="4" t="s">
        <v>47</v>
      </c>
      <c r="AQ87" s="4" t="s">
        <v>137</v>
      </c>
    </row>
    <row r="88" spans="1:43" x14ac:dyDescent="0.25">
      <c r="A88" s="2">
        <v>1891456</v>
      </c>
      <c r="B88" s="3">
        <v>46141</v>
      </c>
      <c r="C88" s="4" t="s">
        <v>274</v>
      </c>
      <c r="D88" s="2">
        <v>1982315</v>
      </c>
      <c r="E88" s="4" t="s">
        <v>287</v>
      </c>
      <c r="F88" s="4" t="s">
        <v>288</v>
      </c>
      <c r="G88" s="4" t="s">
        <v>47</v>
      </c>
      <c r="H88" s="4" t="s">
        <v>47</v>
      </c>
      <c r="I88" s="4" t="s">
        <v>47</v>
      </c>
      <c r="J88" s="4" t="s">
        <v>136</v>
      </c>
      <c r="K88" s="4" t="s">
        <v>49</v>
      </c>
      <c r="L88" s="3">
        <v>46143</v>
      </c>
      <c r="M88" s="4" t="s">
        <v>50</v>
      </c>
      <c r="N88" s="4" t="s">
        <v>47</v>
      </c>
      <c r="O88" s="4" t="s">
        <v>51</v>
      </c>
      <c r="P88" s="4" t="s">
        <v>96</v>
      </c>
      <c r="Q88" s="2">
        <v>1</v>
      </c>
      <c r="R88" s="2">
        <v>17</v>
      </c>
      <c r="S88" s="4" t="s">
        <v>52</v>
      </c>
      <c r="T88" s="4" t="s">
        <v>47</v>
      </c>
      <c r="U88" s="4" t="s">
        <v>47</v>
      </c>
      <c r="V88" s="5">
        <v>22</v>
      </c>
      <c r="W88" s="5">
        <v>146.35</v>
      </c>
      <c r="X88" s="5">
        <v>100</v>
      </c>
      <c r="Y88" s="5">
        <v>32.200000000000003</v>
      </c>
      <c r="Z88" s="5">
        <v>0</v>
      </c>
      <c r="AA88" s="5">
        <v>0</v>
      </c>
      <c r="AB88" s="4" t="s">
        <v>270</v>
      </c>
      <c r="AC88" s="4" t="s">
        <v>47</v>
      </c>
      <c r="AD88" s="5">
        <v>0</v>
      </c>
      <c r="AE88" s="4" t="s">
        <v>271</v>
      </c>
      <c r="AF88" s="3">
        <v>46113</v>
      </c>
      <c r="AG88" s="4" t="s">
        <v>47</v>
      </c>
      <c r="AH88" s="4" t="s">
        <v>47</v>
      </c>
      <c r="AI88" s="4" t="s">
        <v>47</v>
      </c>
      <c r="AJ88" s="4" t="s">
        <v>47</v>
      </c>
      <c r="AK88" s="4" t="s">
        <v>47</v>
      </c>
      <c r="AL88" s="4" t="s">
        <v>47</v>
      </c>
      <c r="AM88" s="4" t="s">
        <v>47</v>
      </c>
      <c r="AN88" s="4" t="s">
        <v>47</v>
      </c>
      <c r="AO88" s="4" t="s">
        <v>47</v>
      </c>
      <c r="AP88" s="4" t="s">
        <v>47</v>
      </c>
      <c r="AQ88" s="4" t="s">
        <v>137</v>
      </c>
    </row>
    <row r="89" spans="1:43" x14ac:dyDescent="0.25">
      <c r="A89" s="2">
        <v>1891456</v>
      </c>
      <c r="B89" s="3">
        <v>46141</v>
      </c>
      <c r="C89" s="4" t="s">
        <v>47</v>
      </c>
      <c r="D89" s="2" t="s">
        <v>47</v>
      </c>
      <c r="E89" s="4" t="s">
        <v>47</v>
      </c>
      <c r="F89" s="4" t="s">
        <v>47</v>
      </c>
      <c r="G89" s="4" t="s">
        <v>47</v>
      </c>
      <c r="H89" s="4" t="s">
        <v>47</v>
      </c>
      <c r="I89" s="4" t="s">
        <v>47</v>
      </c>
      <c r="J89" s="4" t="s">
        <v>47</v>
      </c>
      <c r="K89" s="4" t="s">
        <v>47</v>
      </c>
      <c r="L89" s="4" t="s">
        <v>47</v>
      </c>
      <c r="M89" s="4" t="s">
        <v>265</v>
      </c>
      <c r="N89" s="4" t="s">
        <v>47</v>
      </c>
      <c r="O89" s="4" t="s">
        <v>47</v>
      </c>
      <c r="P89" s="4" t="s">
        <v>47</v>
      </c>
      <c r="Q89" s="4" t="s">
        <v>47</v>
      </c>
      <c r="R89" s="4" t="s">
        <v>47</v>
      </c>
      <c r="S89" s="4" t="s">
        <v>47</v>
      </c>
      <c r="T89" s="4" t="s">
        <v>47</v>
      </c>
      <c r="U89" s="4" t="s">
        <v>47</v>
      </c>
      <c r="V89" s="5" t="s">
        <v>47</v>
      </c>
      <c r="W89" s="4" t="s">
        <v>47</v>
      </c>
      <c r="X89" s="5" t="s">
        <v>47</v>
      </c>
      <c r="Y89" s="4" t="s">
        <v>47</v>
      </c>
      <c r="Z89" s="4" t="s">
        <v>47</v>
      </c>
      <c r="AA89" s="5" t="s">
        <v>47</v>
      </c>
      <c r="AB89" s="4" t="s">
        <v>47</v>
      </c>
      <c r="AC89" s="4" t="s">
        <v>289</v>
      </c>
      <c r="AD89" s="5">
        <v>0</v>
      </c>
      <c r="AE89" s="4" t="s">
        <v>290</v>
      </c>
      <c r="AF89" s="4" t="s">
        <v>47</v>
      </c>
      <c r="AG89" s="4" t="s">
        <v>47</v>
      </c>
      <c r="AH89" s="4" t="s">
        <v>47</v>
      </c>
      <c r="AI89" s="4" t="s">
        <v>47</v>
      </c>
      <c r="AJ89" s="4" t="s">
        <v>47</v>
      </c>
      <c r="AK89" s="4" t="s">
        <v>47</v>
      </c>
      <c r="AL89" s="4" t="s">
        <v>47</v>
      </c>
      <c r="AM89" s="4" t="s">
        <v>47</v>
      </c>
      <c r="AN89" s="4" t="s">
        <v>47</v>
      </c>
      <c r="AO89" s="4" t="s">
        <v>47</v>
      </c>
      <c r="AP89" s="4" t="s">
        <v>47</v>
      </c>
      <c r="AQ89" s="4" t="s">
        <v>47</v>
      </c>
    </row>
    <row r="90" spans="1:43" x14ac:dyDescent="0.25">
      <c r="A90" s="2">
        <v>1891456</v>
      </c>
      <c r="B90" s="3">
        <v>46141</v>
      </c>
      <c r="C90" s="4" t="s">
        <v>47</v>
      </c>
      <c r="D90" s="2" t="s">
        <v>47</v>
      </c>
      <c r="E90" s="4" t="s">
        <v>47</v>
      </c>
      <c r="F90" s="4" t="s">
        <v>47</v>
      </c>
      <c r="G90" s="4" t="s">
        <v>47</v>
      </c>
      <c r="H90" s="4" t="s">
        <v>47</v>
      </c>
      <c r="I90" s="4" t="s">
        <v>47</v>
      </c>
      <c r="J90" s="4" t="s">
        <v>47</v>
      </c>
      <c r="K90" s="4" t="s">
        <v>47</v>
      </c>
      <c r="L90" s="4" t="s">
        <v>47</v>
      </c>
      <c r="M90" s="4" t="s">
        <v>265</v>
      </c>
      <c r="N90" s="4" t="s">
        <v>47</v>
      </c>
      <c r="O90" s="4" t="s">
        <v>47</v>
      </c>
      <c r="P90" s="4" t="s">
        <v>47</v>
      </c>
      <c r="Q90" s="4" t="s">
        <v>47</v>
      </c>
      <c r="R90" s="4" t="s">
        <v>47</v>
      </c>
      <c r="S90" s="4" t="s">
        <v>47</v>
      </c>
      <c r="T90" s="4" t="s">
        <v>47</v>
      </c>
      <c r="U90" s="4" t="s">
        <v>47</v>
      </c>
      <c r="V90" s="5" t="s">
        <v>47</v>
      </c>
      <c r="W90" s="4" t="s">
        <v>47</v>
      </c>
      <c r="X90" s="5" t="s">
        <v>47</v>
      </c>
      <c r="Y90" s="4" t="s">
        <v>47</v>
      </c>
      <c r="Z90" s="4" t="s">
        <v>47</v>
      </c>
      <c r="AA90" s="5" t="s">
        <v>47</v>
      </c>
      <c r="AB90" s="4" t="s">
        <v>47</v>
      </c>
      <c r="AC90" s="4" t="s">
        <v>291</v>
      </c>
      <c r="AD90" s="5">
        <v>0</v>
      </c>
      <c r="AE90" s="4" t="s">
        <v>292</v>
      </c>
      <c r="AF90" s="4" t="s">
        <v>47</v>
      </c>
      <c r="AG90" s="4" t="s">
        <v>47</v>
      </c>
      <c r="AH90" s="4" t="s">
        <v>47</v>
      </c>
      <c r="AI90" s="4" t="s">
        <v>47</v>
      </c>
      <c r="AJ90" s="4" t="s">
        <v>47</v>
      </c>
      <c r="AK90" s="4" t="s">
        <v>47</v>
      </c>
      <c r="AL90" s="4" t="s">
        <v>47</v>
      </c>
      <c r="AM90" s="4" t="s">
        <v>47</v>
      </c>
      <c r="AN90" s="4" t="s">
        <v>47</v>
      </c>
      <c r="AO90" s="4" t="s">
        <v>47</v>
      </c>
      <c r="AP90" s="4" t="s">
        <v>47</v>
      </c>
      <c r="AQ90" s="4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C20A0-E634-4660-A98B-90CC32A12863}">
  <dimension ref="A1:AR86"/>
  <sheetViews>
    <sheetView tabSelected="1" topLeftCell="D1" workbookViewId="0">
      <selection activeCell="O2" sqref="O2:O86"/>
    </sheetView>
  </sheetViews>
  <sheetFormatPr defaultRowHeight="13.2" x14ac:dyDescent="0.25"/>
  <cols>
    <col min="1" max="1" width="24.6640625" bestFit="1" customWidth="1"/>
    <col min="2" max="2" width="19.44140625" customWidth="1"/>
    <col min="3" max="3" width="28.5546875" bestFit="1" customWidth="1"/>
    <col min="4" max="4" width="13.33203125" bestFit="1" customWidth="1"/>
    <col min="5" max="6" width="11.44140625" bestFit="1" customWidth="1"/>
    <col min="7" max="7" width="15.33203125" bestFit="1" customWidth="1"/>
    <col min="8" max="8" width="11.33203125" customWidth="1"/>
    <col min="9" max="9" width="13.6640625" bestFit="1" customWidth="1"/>
    <col min="10" max="10" width="9.5546875" bestFit="1" customWidth="1"/>
    <col min="11" max="11" width="9.44140625" customWidth="1"/>
    <col min="12" max="12" width="11.44140625" bestFit="1" customWidth="1"/>
    <col min="13" max="13" width="13.6640625" bestFit="1" customWidth="1"/>
    <col min="14" max="14" width="19" bestFit="1" customWidth="1"/>
    <col min="15" max="15" width="21.33203125" bestFit="1" customWidth="1"/>
    <col min="16" max="16" width="16.6640625" customWidth="1"/>
    <col min="17" max="17" width="13.33203125" bestFit="1" customWidth="1"/>
    <col min="20" max="20" width="15" bestFit="1" customWidth="1"/>
    <col min="21" max="21" width="13.21875" bestFit="1" customWidth="1"/>
    <col min="22" max="22" width="9.33203125" customWidth="1"/>
  </cols>
  <sheetData>
    <row r="1" spans="1:44" x14ac:dyDescent="0.25">
      <c r="A1" s="1" t="s">
        <v>2</v>
      </c>
      <c r="B1" s="1" t="s">
        <v>3</v>
      </c>
      <c r="C1" s="1" t="s">
        <v>4</v>
      </c>
      <c r="D1" s="1" t="s">
        <v>5</v>
      </c>
      <c r="E1" s="1" t="s">
        <v>11</v>
      </c>
      <c r="F1" s="1" t="s">
        <v>12</v>
      </c>
      <c r="G1" s="1" t="s">
        <v>18</v>
      </c>
      <c r="H1" s="1" t="s">
        <v>19</v>
      </c>
      <c r="I1" s="1" t="s">
        <v>21</v>
      </c>
      <c r="J1" s="1" t="s">
        <v>22</v>
      </c>
      <c r="K1" s="1" t="s">
        <v>24</v>
      </c>
      <c r="L1" s="1" t="s">
        <v>27</v>
      </c>
      <c r="M1" s="1" t="s">
        <v>31</v>
      </c>
    </row>
    <row r="2" spans="1:44" s="10" customFormat="1" x14ac:dyDescent="0.25">
      <c r="A2" s="4" t="s">
        <v>77</v>
      </c>
      <c r="B2">
        <v>19396223</v>
      </c>
      <c r="C2" s="4" t="s">
        <v>78</v>
      </c>
      <c r="D2" s="4" t="s">
        <v>79</v>
      </c>
      <c r="E2" s="3">
        <v>46174</v>
      </c>
      <c r="F2" s="4" t="s">
        <v>81</v>
      </c>
      <c r="G2" s="4" t="s">
        <v>52</v>
      </c>
      <c r="H2" s="4" t="s">
        <v>70</v>
      </c>
      <c r="I2" s="5">
        <v>0.57999999999999996</v>
      </c>
      <c r="J2" s="5">
        <v>1</v>
      </c>
      <c r="K2" s="5">
        <v>202.42</v>
      </c>
      <c r="L2" s="4" t="s">
        <v>54</v>
      </c>
      <c r="M2" s="3">
        <v>46174</v>
      </c>
      <c r="N2" t="s">
        <v>293</v>
      </c>
      <c r="O2" s="15" t="s">
        <v>295</v>
      </c>
      <c r="P2">
        <f>347/12*7</f>
        <v>202.41666666666669</v>
      </c>
      <c r="Q2" s="4" t="s">
        <v>79</v>
      </c>
      <c r="R2" s="24" t="str">
        <f>CONCATENATE(Q2,67)</f>
        <v>00026415288K67</v>
      </c>
      <c r="S2"/>
      <c r="T2" s="4" t="s">
        <v>423</v>
      </c>
      <c r="U2" t="s">
        <v>424</v>
      </c>
      <c r="V2" s="14" t="str">
        <f>_xlfn.CONCAT(U2," ",T2)</f>
        <v>TAMMIE BERKSHIRE</v>
      </c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</row>
    <row r="3" spans="1:44" s="14" customFormat="1" x14ac:dyDescent="0.25">
      <c r="A3" s="4" t="s">
        <v>77</v>
      </c>
      <c r="B3">
        <v>19396223</v>
      </c>
      <c r="C3" s="4" t="s">
        <v>85</v>
      </c>
      <c r="D3" s="4" t="s">
        <v>86</v>
      </c>
      <c r="E3" s="3">
        <v>46143</v>
      </c>
      <c r="F3" s="4" t="s">
        <v>50</v>
      </c>
      <c r="G3" s="4" t="s">
        <v>52</v>
      </c>
      <c r="H3" s="4" t="s">
        <v>70</v>
      </c>
      <c r="I3" s="5">
        <v>0.67</v>
      </c>
      <c r="J3" s="5">
        <v>1</v>
      </c>
      <c r="K3" s="5">
        <v>231.33</v>
      </c>
      <c r="L3" s="4" t="s">
        <v>54</v>
      </c>
      <c r="M3" s="3">
        <v>46143</v>
      </c>
      <c r="N3" t="s">
        <v>293</v>
      </c>
      <c r="O3" t="s">
        <v>294</v>
      </c>
      <c r="P3"/>
      <c r="Q3" s="4" t="s">
        <v>86</v>
      </c>
      <c r="R3" s="24" t="str">
        <f>CONCATENATE(Q3,67)</f>
        <v>00026426494K67</v>
      </c>
      <c r="S3"/>
      <c r="T3" s="4" t="s">
        <v>427</v>
      </c>
      <c r="U3" t="s">
        <v>428</v>
      </c>
      <c r="V3" s="14" t="str">
        <f>_xlfn.CONCAT(U3," ",T3)</f>
        <v>LAWRENCE DRAGOZETICH</v>
      </c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 s="10"/>
    </row>
    <row r="4" spans="1:44" s="14" customFormat="1" x14ac:dyDescent="0.25">
      <c r="A4" s="4" t="s">
        <v>77</v>
      </c>
      <c r="B4">
        <v>19396223</v>
      </c>
      <c r="C4" s="4" t="s">
        <v>82</v>
      </c>
      <c r="D4" s="4" t="s">
        <v>83</v>
      </c>
      <c r="E4" s="3">
        <v>46143</v>
      </c>
      <c r="F4" s="4" t="s">
        <v>50</v>
      </c>
      <c r="G4" s="4" t="s">
        <v>52</v>
      </c>
      <c r="H4" s="4" t="s">
        <v>53</v>
      </c>
      <c r="I4" s="5">
        <v>0.67</v>
      </c>
      <c r="J4" s="5">
        <v>1</v>
      </c>
      <c r="K4" s="5">
        <v>231.33</v>
      </c>
      <c r="L4" s="4" t="s">
        <v>54</v>
      </c>
      <c r="M4" s="3">
        <v>46143</v>
      </c>
      <c r="N4" t="s">
        <v>293</v>
      </c>
      <c r="O4" t="s">
        <v>294</v>
      </c>
      <c r="P4"/>
      <c r="Q4" s="4" t="s">
        <v>83</v>
      </c>
      <c r="R4" s="24" t="str">
        <f>CONCATENATE(Q4,67)</f>
        <v>00026422214K67</v>
      </c>
      <c r="S4"/>
      <c r="T4" s="4" t="s">
        <v>437</v>
      </c>
      <c r="U4" t="s">
        <v>438</v>
      </c>
      <c r="V4" s="14" t="str">
        <f>_xlfn.CONCAT(U4," ",T4)</f>
        <v>KHAIRUNNISA BEGUM</v>
      </c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 s="10"/>
    </row>
    <row r="5" spans="1:44" s="14" customFormat="1" x14ac:dyDescent="0.25">
      <c r="A5" s="4" t="s">
        <v>61</v>
      </c>
      <c r="B5">
        <v>1706194</v>
      </c>
      <c r="C5" s="4" t="s">
        <v>62</v>
      </c>
      <c r="D5" s="4" t="s">
        <v>63</v>
      </c>
      <c r="E5" s="3">
        <v>46143</v>
      </c>
      <c r="F5" s="4" t="s">
        <v>50</v>
      </c>
      <c r="G5" s="4" t="s">
        <v>52</v>
      </c>
      <c r="H5" s="4" t="s">
        <v>53</v>
      </c>
      <c r="I5" s="5">
        <v>0.67</v>
      </c>
      <c r="J5" s="5">
        <v>1</v>
      </c>
      <c r="K5" s="5">
        <v>231.33</v>
      </c>
      <c r="L5" s="4" t="s">
        <v>54</v>
      </c>
      <c r="M5" s="3">
        <v>46143</v>
      </c>
      <c r="N5" t="s">
        <v>293</v>
      </c>
      <c r="O5" t="s">
        <v>294</v>
      </c>
      <c r="P5"/>
      <c r="Q5" s="4" t="s">
        <v>63</v>
      </c>
      <c r="R5" s="24" t="str">
        <f>CONCATENATE(Q5,67)</f>
        <v>00017506241K67</v>
      </c>
      <c r="S5"/>
      <c r="T5" s="4" t="s">
        <v>433</v>
      </c>
      <c r="U5" t="s">
        <v>434</v>
      </c>
      <c r="V5" s="14" t="str">
        <f>_xlfn.CONCAT(U5," ",T5)</f>
        <v>DEBRA ABSHER</v>
      </c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 s="10"/>
    </row>
    <row r="6" spans="1:44" s="14" customFormat="1" x14ac:dyDescent="0.25">
      <c r="A6" s="11" t="s">
        <v>133</v>
      </c>
      <c r="B6" s="14">
        <v>8244481</v>
      </c>
      <c r="C6" s="11" t="s">
        <v>142</v>
      </c>
      <c r="D6" s="11" t="s">
        <v>143</v>
      </c>
      <c r="E6" s="12">
        <v>46143</v>
      </c>
      <c r="F6" s="11" t="s">
        <v>50</v>
      </c>
      <c r="G6" s="11" t="s">
        <v>52</v>
      </c>
      <c r="H6" s="11" t="s">
        <v>47</v>
      </c>
      <c r="I6" s="13">
        <v>22</v>
      </c>
      <c r="J6" s="13">
        <v>1808.64</v>
      </c>
      <c r="K6" s="13">
        <v>397.92</v>
      </c>
      <c r="L6" s="11" t="s">
        <v>144</v>
      </c>
      <c r="M6" s="12">
        <v>46143</v>
      </c>
      <c r="N6" s="14" t="s">
        <v>300</v>
      </c>
      <c r="Q6" s="11" t="s">
        <v>143</v>
      </c>
      <c r="R6" s="14" t="str">
        <f>CONCATENATE(Q6,8)</f>
        <v>00001153878A8</v>
      </c>
      <c r="T6" s="11" t="s">
        <v>310</v>
      </c>
      <c r="U6" s="14" t="s">
        <v>311</v>
      </c>
      <c r="V6" s="14" t="str">
        <f>_xlfn.CONCAT(U6," ",T6)</f>
        <v>GAIL MONAHAN</v>
      </c>
    </row>
    <row r="7" spans="1:44" s="14" customFormat="1" x14ac:dyDescent="0.25">
      <c r="A7" s="11" t="s">
        <v>133</v>
      </c>
      <c r="B7" s="14">
        <v>8244481</v>
      </c>
      <c r="C7" s="11" t="s">
        <v>140</v>
      </c>
      <c r="D7" s="11" t="s">
        <v>141</v>
      </c>
      <c r="E7" s="12">
        <v>46143</v>
      </c>
      <c r="F7" s="11" t="s">
        <v>50</v>
      </c>
      <c r="G7" s="11" t="s">
        <v>52</v>
      </c>
      <c r="H7" s="11" t="s">
        <v>47</v>
      </c>
      <c r="I7" s="13">
        <v>22</v>
      </c>
      <c r="J7" s="13">
        <v>176.44</v>
      </c>
      <c r="K7" s="13">
        <v>38.82</v>
      </c>
      <c r="L7" s="11" t="s">
        <v>54</v>
      </c>
      <c r="M7" s="12">
        <v>46054</v>
      </c>
      <c r="N7" s="14" t="s">
        <v>300</v>
      </c>
      <c r="Q7" s="11" t="s">
        <v>141</v>
      </c>
      <c r="R7" s="14" t="str">
        <f>CONCATENATE(Q7,8)</f>
        <v>00001136123A8</v>
      </c>
      <c r="T7" s="11" t="s">
        <v>308</v>
      </c>
      <c r="U7" s="14" t="s">
        <v>309</v>
      </c>
      <c r="V7" s="14" t="str">
        <f>_xlfn.CONCAT(U7," ",T7)</f>
        <v>STEVE HOSELTON</v>
      </c>
    </row>
    <row r="8" spans="1:44" s="14" customFormat="1" x14ac:dyDescent="0.25">
      <c r="A8" s="11" t="s">
        <v>133</v>
      </c>
      <c r="B8" s="14">
        <v>8244481</v>
      </c>
      <c r="C8" s="11" t="s">
        <v>138</v>
      </c>
      <c r="D8" s="11" t="s">
        <v>139</v>
      </c>
      <c r="E8" s="12">
        <v>46143</v>
      </c>
      <c r="F8" s="11" t="s">
        <v>50</v>
      </c>
      <c r="G8" s="11" t="s">
        <v>52</v>
      </c>
      <c r="H8" s="11" t="s">
        <v>47</v>
      </c>
      <c r="I8" s="13">
        <v>22</v>
      </c>
      <c r="J8" s="13">
        <v>155.27000000000001</v>
      </c>
      <c r="K8" s="13">
        <v>34.159999999999997</v>
      </c>
      <c r="L8" s="11" t="s">
        <v>54</v>
      </c>
      <c r="M8" s="12">
        <v>45962</v>
      </c>
      <c r="N8" s="14" t="s">
        <v>300</v>
      </c>
      <c r="Q8" s="11" t="s">
        <v>139</v>
      </c>
      <c r="R8" s="14" t="str">
        <f>CONCATENATE(Q8,8)</f>
        <v>00001067067A8</v>
      </c>
      <c r="T8" s="11" t="s">
        <v>306</v>
      </c>
      <c r="U8" s="14" t="s">
        <v>307</v>
      </c>
      <c r="V8" s="14" t="str">
        <f>_xlfn.CONCAT(U8," ",T8)</f>
        <v>TIMOTHY BOSTON</v>
      </c>
    </row>
    <row r="9" spans="1:44" s="14" customFormat="1" x14ac:dyDescent="0.25">
      <c r="A9" s="11" t="s">
        <v>133</v>
      </c>
      <c r="B9" s="14">
        <v>8244481</v>
      </c>
      <c r="C9" s="11" t="s">
        <v>134</v>
      </c>
      <c r="D9" s="11" t="s">
        <v>135</v>
      </c>
      <c r="E9" s="12">
        <v>46143</v>
      </c>
      <c r="F9" s="11" t="s">
        <v>50</v>
      </c>
      <c r="G9" s="11" t="s">
        <v>52</v>
      </c>
      <c r="H9" s="11" t="s">
        <v>47</v>
      </c>
      <c r="I9" s="13">
        <v>22</v>
      </c>
      <c r="J9" s="13">
        <v>137.61000000000001</v>
      </c>
      <c r="K9" s="13">
        <v>30.27</v>
      </c>
      <c r="L9" s="11" t="s">
        <v>54</v>
      </c>
      <c r="M9" s="12">
        <v>45931</v>
      </c>
      <c r="N9" s="14" t="s">
        <v>300</v>
      </c>
      <c r="Q9" s="11" t="s">
        <v>135</v>
      </c>
      <c r="R9" s="14" t="str">
        <f>CONCATENATE(Q9,8)</f>
        <v>00001035274A8</v>
      </c>
      <c r="T9" s="11" t="s">
        <v>304</v>
      </c>
      <c r="U9" s="14" t="s">
        <v>305</v>
      </c>
      <c r="V9" s="14" t="str">
        <f>_xlfn.CONCAT(U9," ",T9)</f>
        <v>JENNIFER BUCK</v>
      </c>
      <c r="AR9" s="10"/>
    </row>
    <row r="10" spans="1:44" s="14" customFormat="1" x14ac:dyDescent="0.25">
      <c r="A10" s="6" t="s">
        <v>175</v>
      </c>
      <c r="B10" s="10">
        <v>18828278</v>
      </c>
      <c r="C10" s="6" t="s">
        <v>260</v>
      </c>
      <c r="D10" s="20">
        <v>9032267610</v>
      </c>
      <c r="E10" s="8">
        <v>46143</v>
      </c>
      <c r="F10" s="6" t="s">
        <v>50</v>
      </c>
      <c r="G10" s="6" t="s">
        <v>167</v>
      </c>
      <c r="H10" s="6" t="s">
        <v>47</v>
      </c>
      <c r="I10" s="9">
        <v>10</v>
      </c>
      <c r="J10" s="9">
        <v>376.9</v>
      </c>
      <c r="K10" s="9">
        <v>37.69</v>
      </c>
      <c r="L10" s="6" t="s">
        <v>168</v>
      </c>
      <c r="M10" s="8">
        <v>46143</v>
      </c>
      <c r="N10" s="10" t="s">
        <v>302</v>
      </c>
      <c r="O10" s="10"/>
      <c r="P10" s="10"/>
      <c r="Q10" s="20">
        <v>9032267610</v>
      </c>
      <c r="R10" s="10" t="str">
        <f>CONCATENATE(Q10,4)</f>
        <v>90322676104</v>
      </c>
      <c r="S10" s="10"/>
      <c r="T10" s="6" t="s">
        <v>411</v>
      </c>
      <c r="U10" s="10" t="s">
        <v>412</v>
      </c>
      <c r="V10" s="14" t="str">
        <f>_xlfn.CONCAT(U10," ",T10)</f>
        <v>Darlene Brooks</v>
      </c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</row>
    <row r="11" spans="1:44" s="14" customFormat="1" x14ac:dyDescent="0.25">
      <c r="A11" s="6" t="s">
        <v>175</v>
      </c>
      <c r="B11" s="10">
        <v>18828278</v>
      </c>
      <c r="C11" s="6" t="s">
        <v>234</v>
      </c>
      <c r="D11" s="20">
        <v>9031377640</v>
      </c>
      <c r="E11" s="8">
        <v>46143</v>
      </c>
      <c r="F11" s="6" t="s">
        <v>50</v>
      </c>
      <c r="G11" s="6" t="s">
        <v>167</v>
      </c>
      <c r="H11" s="6" t="s">
        <v>47</v>
      </c>
      <c r="I11" s="9">
        <v>10</v>
      </c>
      <c r="J11" s="9">
        <v>14.93</v>
      </c>
      <c r="K11" s="9">
        <v>1.49</v>
      </c>
      <c r="L11" s="6" t="s">
        <v>168</v>
      </c>
      <c r="M11" s="8">
        <v>46023</v>
      </c>
      <c r="N11" s="10" t="s">
        <v>302</v>
      </c>
      <c r="O11" s="10"/>
      <c r="P11" s="10"/>
      <c r="Q11" s="20">
        <v>9031377640</v>
      </c>
      <c r="R11" s="10" t="str">
        <f>CONCATENATE(Q11,4)</f>
        <v>90313776404</v>
      </c>
      <c r="S11" s="10"/>
      <c r="T11" s="6" t="s">
        <v>389</v>
      </c>
      <c r="U11" s="10" t="s">
        <v>390</v>
      </c>
      <c r="V11" s="14" t="str">
        <f>_xlfn.CONCAT(U11," ",T11)</f>
        <v>Michelle Shmikler</v>
      </c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</row>
    <row r="12" spans="1:44" s="14" customFormat="1" x14ac:dyDescent="0.25">
      <c r="A12" s="6" t="s">
        <v>175</v>
      </c>
      <c r="B12" s="10">
        <v>18828278</v>
      </c>
      <c r="C12" s="6" t="s">
        <v>236</v>
      </c>
      <c r="D12" s="20">
        <v>9031392680</v>
      </c>
      <c r="E12" s="8">
        <v>46143</v>
      </c>
      <c r="F12" s="6" t="s">
        <v>50</v>
      </c>
      <c r="G12" s="6" t="s">
        <v>167</v>
      </c>
      <c r="H12" s="6" t="s">
        <v>47</v>
      </c>
      <c r="I12" s="9">
        <v>10</v>
      </c>
      <c r="J12" s="9">
        <v>14.93</v>
      </c>
      <c r="K12" s="9">
        <v>1.49</v>
      </c>
      <c r="L12" s="6" t="s">
        <v>168</v>
      </c>
      <c r="M12" s="8">
        <v>46023</v>
      </c>
      <c r="N12" s="10" t="s">
        <v>302</v>
      </c>
      <c r="O12" s="10"/>
      <c r="P12" s="10"/>
      <c r="Q12" s="20">
        <v>9031392680</v>
      </c>
      <c r="R12" s="10" t="str">
        <f>CONCATENATE(Q12,4)</f>
        <v>90313926804</v>
      </c>
      <c r="S12" s="10"/>
      <c r="T12" s="6" t="s">
        <v>391</v>
      </c>
      <c r="U12" s="10" t="s">
        <v>392</v>
      </c>
      <c r="V12" s="14" t="str">
        <f>_xlfn.CONCAT(U12," ",T12)</f>
        <v>Bryan Eckmann</v>
      </c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</row>
    <row r="13" spans="1:44" s="14" customFormat="1" x14ac:dyDescent="0.25">
      <c r="A13" s="6" t="s">
        <v>175</v>
      </c>
      <c r="B13" s="10">
        <v>18828278</v>
      </c>
      <c r="C13" s="6" t="s">
        <v>238</v>
      </c>
      <c r="D13" s="20">
        <v>9031414170</v>
      </c>
      <c r="E13" s="8">
        <v>46143</v>
      </c>
      <c r="F13" s="6" t="s">
        <v>50</v>
      </c>
      <c r="G13" s="6" t="s">
        <v>167</v>
      </c>
      <c r="H13" s="6" t="s">
        <v>47</v>
      </c>
      <c r="I13" s="9">
        <v>10</v>
      </c>
      <c r="J13" s="9">
        <v>14.93</v>
      </c>
      <c r="K13" s="9">
        <v>1.49</v>
      </c>
      <c r="L13" s="6" t="s">
        <v>168</v>
      </c>
      <c r="M13" s="8">
        <v>46023</v>
      </c>
      <c r="N13" s="10" t="s">
        <v>302</v>
      </c>
      <c r="O13" s="10"/>
      <c r="P13" s="10"/>
      <c r="Q13" s="20">
        <v>9031414170</v>
      </c>
      <c r="R13" s="10" t="str">
        <f>CONCATENATE(Q13,4)</f>
        <v>90314141704</v>
      </c>
      <c r="S13" s="10"/>
      <c r="T13" s="6" t="s">
        <v>393</v>
      </c>
      <c r="U13" s="10" t="s">
        <v>394</v>
      </c>
      <c r="V13" s="14" t="str">
        <f>_xlfn.CONCAT(U13," ",T13)</f>
        <v>Deborah Kingdon</v>
      </c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</row>
    <row r="14" spans="1:44" s="14" customFormat="1" x14ac:dyDescent="0.25">
      <c r="A14" s="6" t="s">
        <v>175</v>
      </c>
      <c r="B14" s="10">
        <v>18828278</v>
      </c>
      <c r="C14" s="6" t="s">
        <v>240</v>
      </c>
      <c r="D14" s="20">
        <v>9031418110</v>
      </c>
      <c r="E14" s="8">
        <v>46143</v>
      </c>
      <c r="F14" s="6" t="s">
        <v>50</v>
      </c>
      <c r="G14" s="6" t="s">
        <v>167</v>
      </c>
      <c r="H14" s="6" t="s">
        <v>47</v>
      </c>
      <c r="I14" s="9">
        <v>10</v>
      </c>
      <c r="J14" s="9">
        <v>14.93</v>
      </c>
      <c r="K14" s="9">
        <v>1.49</v>
      </c>
      <c r="L14" s="6" t="s">
        <v>168</v>
      </c>
      <c r="M14" s="8">
        <v>46023</v>
      </c>
      <c r="N14" s="10" t="s">
        <v>302</v>
      </c>
      <c r="O14" s="10"/>
      <c r="P14" s="10"/>
      <c r="Q14" s="20">
        <v>9031418110</v>
      </c>
      <c r="R14" s="10" t="str">
        <f>CONCATENATE(Q14,4)</f>
        <v>90314181104</v>
      </c>
      <c r="S14" s="10"/>
      <c r="T14" s="6" t="s">
        <v>395</v>
      </c>
      <c r="U14" s="10" t="s">
        <v>396</v>
      </c>
      <c r="V14" s="14" t="str">
        <f>_xlfn.CONCAT(U14," ",T14)</f>
        <v>Debra Loeffler</v>
      </c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</row>
    <row r="15" spans="1:44" s="14" customFormat="1" x14ac:dyDescent="0.25">
      <c r="A15" s="6" t="s">
        <v>175</v>
      </c>
      <c r="B15" s="10">
        <v>18828278</v>
      </c>
      <c r="C15" s="6" t="s">
        <v>246</v>
      </c>
      <c r="D15" s="20">
        <v>9031492650</v>
      </c>
      <c r="E15" s="8">
        <v>46143</v>
      </c>
      <c r="F15" s="6" t="s">
        <v>50</v>
      </c>
      <c r="G15" s="6" t="s">
        <v>167</v>
      </c>
      <c r="H15" s="6" t="s">
        <v>47</v>
      </c>
      <c r="I15" s="9">
        <v>10</v>
      </c>
      <c r="J15" s="9">
        <v>14.93</v>
      </c>
      <c r="K15" s="9">
        <v>1.49</v>
      </c>
      <c r="L15" s="6" t="s">
        <v>168</v>
      </c>
      <c r="M15" s="8">
        <v>46023</v>
      </c>
      <c r="N15" s="10" t="s">
        <v>302</v>
      </c>
      <c r="O15" s="10"/>
      <c r="P15" s="10"/>
      <c r="Q15" s="20">
        <v>9031492650</v>
      </c>
      <c r="R15" s="10" t="str">
        <f>CONCATENATE(Q15,4)</f>
        <v>90314926504</v>
      </c>
      <c r="S15" s="10"/>
      <c r="T15" s="6" t="s">
        <v>400</v>
      </c>
      <c r="U15" s="10" t="s">
        <v>401</v>
      </c>
      <c r="V15" s="14" t="str">
        <f>_xlfn.CONCAT(U15," ",T15)</f>
        <v>Peter Dolk</v>
      </c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</row>
    <row r="16" spans="1:44" s="14" customFormat="1" x14ac:dyDescent="0.25">
      <c r="A16" s="6" t="s">
        <v>175</v>
      </c>
      <c r="B16" s="10">
        <v>18828278</v>
      </c>
      <c r="C16" s="6" t="s">
        <v>248</v>
      </c>
      <c r="D16" s="20">
        <v>9031492860</v>
      </c>
      <c r="E16" s="8">
        <v>46143</v>
      </c>
      <c r="F16" s="6" t="s">
        <v>50</v>
      </c>
      <c r="G16" s="6" t="s">
        <v>167</v>
      </c>
      <c r="H16" s="6" t="s">
        <v>47</v>
      </c>
      <c r="I16" s="9">
        <v>10</v>
      </c>
      <c r="J16" s="9">
        <v>14.93</v>
      </c>
      <c r="K16" s="9">
        <v>1.49</v>
      </c>
      <c r="L16" s="6" t="s">
        <v>168</v>
      </c>
      <c r="M16" s="8">
        <v>46023</v>
      </c>
      <c r="N16" s="10" t="s">
        <v>302</v>
      </c>
      <c r="O16" s="10"/>
      <c r="P16" s="10"/>
      <c r="Q16" s="20">
        <v>9031492860</v>
      </c>
      <c r="R16" s="10" t="str">
        <f>CONCATENATE(Q16,4)</f>
        <v>90314928604</v>
      </c>
      <c r="S16" s="10"/>
      <c r="T16" s="6" t="s">
        <v>402</v>
      </c>
      <c r="U16" s="10" t="s">
        <v>359</v>
      </c>
      <c r="V16" s="14" t="str">
        <f>_xlfn.CONCAT(U16," ",T16)</f>
        <v>Cheryl Griffin</v>
      </c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</row>
    <row r="17" spans="1:44" s="14" customFormat="1" x14ac:dyDescent="0.25">
      <c r="A17" s="6" t="s">
        <v>175</v>
      </c>
      <c r="B17" s="10">
        <v>18828278</v>
      </c>
      <c r="C17" s="6" t="s">
        <v>250</v>
      </c>
      <c r="D17" s="20">
        <v>9031517160</v>
      </c>
      <c r="E17" s="8">
        <v>46143</v>
      </c>
      <c r="F17" s="6" t="s">
        <v>50</v>
      </c>
      <c r="G17" s="6" t="s">
        <v>167</v>
      </c>
      <c r="H17" s="6" t="s">
        <v>47</v>
      </c>
      <c r="I17" s="9">
        <v>10</v>
      </c>
      <c r="J17" s="9">
        <v>14.93</v>
      </c>
      <c r="K17" s="9">
        <v>1.49</v>
      </c>
      <c r="L17" s="6" t="s">
        <v>168</v>
      </c>
      <c r="M17" s="8">
        <v>46023</v>
      </c>
      <c r="N17" s="10" t="s">
        <v>302</v>
      </c>
      <c r="O17" s="10"/>
      <c r="P17" s="10"/>
      <c r="Q17" s="20">
        <v>9031517160</v>
      </c>
      <c r="R17" s="10" t="str">
        <f>CONCATENATE(Q17,4)</f>
        <v>90315171604</v>
      </c>
      <c r="S17" s="10"/>
      <c r="T17" s="6" t="s">
        <v>403</v>
      </c>
      <c r="U17" s="10" t="s">
        <v>404</v>
      </c>
      <c r="V17" s="14" t="str">
        <f>_xlfn.CONCAT(U17," ",T17)</f>
        <v>Kristi Hofmann</v>
      </c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</row>
    <row r="18" spans="1:44" s="14" customFormat="1" x14ac:dyDescent="0.25">
      <c r="A18" s="6" t="s">
        <v>175</v>
      </c>
      <c r="B18" s="10">
        <v>18828278</v>
      </c>
      <c r="C18" s="6" t="s">
        <v>252</v>
      </c>
      <c r="D18" s="20">
        <v>9031517600</v>
      </c>
      <c r="E18" s="8">
        <v>46143</v>
      </c>
      <c r="F18" s="6" t="s">
        <v>50</v>
      </c>
      <c r="G18" s="6" t="s">
        <v>167</v>
      </c>
      <c r="H18" s="6" t="s">
        <v>47</v>
      </c>
      <c r="I18" s="9">
        <v>10</v>
      </c>
      <c r="J18" s="9">
        <v>26.88</v>
      </c>
      <c r="K18" s="9">
        <v>2.69</v>
      </c>
      <c r="L18" s="6" t="s">
        <v>168</v>
      </c>
      <c r="M18" s="8">
        <v>46023</v>
      </c>
      <c r="N18" s="10" t="s">
        <v>302</v>
      </c>
      <c r="O18" s="10"/>
      <c r="P18" s="10"/>
      <c r="Q18" s="20">
        <v>9031517600</v>
      </c>
      <c r="R18" s="10" t="str">
        <f>CONCATENATE(Q18,4)</f>
        <v>90315176004</v>
      </c>
      <c r="S18" s="10"/>
      <c r="T18" s="6" t="s">
        <v>405</v>
      </c>
      <c r="U18" s="10" t="s">
        <v>340</v>
      </c>
      <c r="V18" s="14" t="str">
        <f>_xlfn.CONCAT(U18," ",T18)</f>
        <v>David Overholt</v>
      </c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</row>
    <row r="19" spans="1:44" s="14" customFormat="1" x14ac:dyDescent="0.25">
      <c r="A19" s="6" t="s">
        <v>175</v>
      </c>
      <c r="B19" s="10">
        <v>18828278</v>
      </c>
      <c r="C19" s="6" t="s">
        <v>256</v>
      </c>
      <c r="D19" s="20">
        <v>9031611830</v>
      </c>
      <c r="E19" s="8">
        <v>46174</v>
      </c>
      <c r="F19" s="6" t="s">
        <v>81</v>
      </c>
      <c r="G19" s="6" t="s">
        <v>167</v>
      </c>
      <c r="H19" s="6" t="s">
        <v>47</v>
      </c>
      <c r="I19" s="9">
        <v>10</v>
      </c>
      <c r="J19" s="9">
        <v>26.88</v>
      </c>
      <c r="K19" s="9">
        <v>2.69</v>
      </c>
      <c r="L19" s="6" t="s">
        <v>168</v>
      </c>
      <c r="M19" s="8">
        <v>46023</v>
      </c>
      <c r="N19" s="10" t="s">
        <v>302</v>
      </c>
      <c r="O19" s="10"/>
      <c r="P19" s="10"/>
      <c r="Q19" s="20">
        <v>9031611830</v>
      </c>
      <c r="R19" s="10" t="str">
        <f>CONCATENATE(Q19,4)</f>
        <v>90316118304</v>
      </c>
      <c r="S19" s="10"/>
      <c r="T19" s="6" t="s">
        <v>408</v>
      </c>
      <c r="U19" s="10" t="s">
        <v>409</v>
      </c>
      <c r="V19" s="14" t="str">
        <f>_xlfn.CONCAT(U19," ",T19)</f>
        <v>Maria Ramos</v>
      </c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</row>
    <row r="20" spans="1:44" s="14" customFormat="1" x14ac:dyDescent="0.25">
      <c r="A20" s="6" t="s">
        <v>175</v>
      </c>
      <c r="B20" s="10">
        <v>18828278</v>
      </c>
      <c r="C20" s="6" t="s">
        <v>258</v>
      </c>
      <c r="D20" s="20">
        <v>9031611980</v>
      </c>
      <c r="E20" s="8">
        <v>46174</v>
      </c>
      <c r="F20" s="6" t="s">
        <v>81</v>
      </c>
      <c r="G20" s="6" t="s">
        <v>167</v>
      </c>
      <c r="H20" s="6" t="s">
        <v>47</v>
      </c>
      <c r="I20" s="9">
        <v>10</v>
      </c>
      <c r="J20" s="9">
        <v>46.8</v>
      </c>
      <c r="K20" s="9">
        <v>4.68</v>
      </c>
      <c r="L20" s="6" t="s">
        <v>168</v>
      </c>
      <c r="M20" s="8">
        <v>46023</v>
      </c>
      <c r="N20" s="10" t="s">
        <v>302</v>
      </c>
      <c r="O20" s="10"/>
      <c r="P20" s="10"/>
      <c r="Q20" s="20">
        <v>9031611980</v>
      </c>
      <c r="R20" s="10" t="str">
        <f>CONCATENATE(Q20,4)</f>
        <v>90316119804</v>
      </c>
      <c r="S20" s="10"/>
      <c r="T20" s="6" t="s">
        <v>408</v>
      </c>
      <c r="U20" s="10" t="s">
        <v>410</v>
      </c>
      <c r="V20" s="14" t="str">
        <f>_xlfn.CONCAT(U20," ",T20)</f>
        <v>Salfrie Ramos</v>
      </c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</row>
    <row r="21" spans="1:44" s="14" customFormat="1" x14ac:dyDescent="0.25">
      <c r="A21" s="6" t="s">
        <v>175</v>
      </c>
      <c r="B21" s="10">
        <v>18828278</v>
      </c>
      <c r="C21" s="6" t="s">
        <v>254</v>
      </c>
      <c r="D21" s="20">
        <v>9031522530</v>
      </c>
      <c r="E21" s="8">
        <v>46143</v>
      </c>
      <c r="F21" s="6" t="s">
        <v>50</v>
      </c>
      <c r="G21" s="6" t="s">
        <v>167</v>
      </c>
      <c r="H21" s="6" t="s">
        <v>47</v>
      </c>
      <c r="I21" s="9">
        <v>10</v>
      </c>
      <c r="J21" s="9">
        <v>14.93</v>
      </c>
      <c r="K21" s="9">
        <v>1.49</v>
      </c>
      <c r="L21" s="6" t="s">
        <v>168</v>
      </c>
      <c r="M21" s="8">
        <v>45994</v>
      </c>
      <c r="N21" s="10" t="s">
        <v>302</v>
      </c>
      <c r="O21" s="10"/>
      <c r="P21" s="10"/>
      <c r="Q21" s="20">
        <v>9031522530</v>
      </c>
      <c r="R21" s="10" t="str">
        <f>CONCATENATE(Q21,4)</f>
        <v>90315225304</v>
      </c>
      <c r="S21" s="10"/>
      <c r="T21" s="6" t="s">
        <v>406</v>
      </c>
      <c r="U21" s="10" t="s">
        <v>407</v>
      </c>
      <c r="V21" s="14" t="str">
        <f>_xlfn.CONCAT(U21," ",T21)</f>
        <v>Virginia Dinges</v>
      </c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</row>
    <row r="22" spans="1:44" s="14" customFormat="1" x14ac:dyDescent="0.25">
      <c r="A22" s="6" t="s">
        <v>175</v>
      </c>
      <c r="B22" s="10">
        <v>18828278</v>
      </c>
      <c r="C22" s="6" t="s">
        <v>230</v>
      </c>
      <c r="D22" s="20">
        <v>9031317020</v>
      </c>
      <c r="E22" s="8">
        <v>46143</v>
      </c>
      <c r="F22" s="6" t="s">
        <v>50</v>
      </c>
      <c r="G22" s="6" t="s">
        <v>167</v>
      </c>
      <c r="H22" s="6" t="s">
        <v>47</v>
      </c>
      <c r="I22" s="9">
        <v>10</v>
      </c>
      <c r="J22" s="9">
        <v>14.93</v>
      </c>
      <c r="K22" s="9">
        <v>1.49</v>
      </c>
      <c r="L22" s="6" t="s">
        <v>168</v>
      </c>
      <c r="M22" s="8">
        <v>45992</v>
      </c>
      <c r="N22" s="10" t="s">
        <v>302</v>
      </c>
      <c r="O22" s="10"/>
      <c r="P22" s="10"/>
      <c r="Q22" s="20">
        <v>9031317020</v>
      </c>
      <c r="R22" s="10" t="str">
        <f>CONCATENATE(Q22,4)</f>
        <v>90313170204</v>
      </c>
      <c r="S22" s="10"/>
      <c r="T22" s="6" t="s">
        <v>386</v>
      </c>
      <c r="U22" s="10" t="s">
        <v>387</v>
      </c>
      <c r="V22" s="14" t="str">
        <f>_xlfn.CONCAT(U22," ",T22)</f>
        <v>Penny Hancock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</row>
    <row r="23" spans="1:44" x14ac:dyDescent="0.25">
      <c r="A23" s="6" t="s">
        <v>175</v>
      </c>
      <c r="B23" s="10">
        <v>18828278</v>
      </c>
      <c r="C23" s="6" t="s">
        <v>232</v>
      </c>
      <c r="D23" s="20">
        <v>9031323610</v>
      </c>
      <c r="E23" s="8">
        <v>46143</v>
      </c>
      <c r="F23" s="6" t="s">
        <v>50</v>
      </c>
      <c r="G23" s="6" t="s">
        <v>167</v>
      </c>
      <c r="H23" s="6" t="s">
        <v>47</v>
      </c>
      <c r="I23" s="9">
        <v>10</v>
      </c>
      <c r="J23" s="9">
        <v>26.88</v>
      </c>
      <c r="K23" s="9">
        <v>2.69</v>
      </c>
      <c r="L23" s="6" t="s">
        <v>168</v>
      </c>
      <c r="M23" s="8">
        <v>45992</v>
      </c>
      <c r="N23" s="10" t="s">
        <v>302</v>
      </c>
      <c r="O23" s="10"/>
      <c r="P23" s="10"/>
      <c r="Q23" s="20">
        <v>9031323610</v>
      </c>
      <c r="R23" s="10" t="str">
        <f>CONCATENATE(Q23,4)</f>
        <v>90313236104</v>
      </c>
      <c r="S23" s="10"/>
      <c r="T23" s="6" t="s">
        <v>388</v>
      </c>
      <c r="U23" s="10" t="s">
        <v>340</v>
      </c>
      <c r="V23" s="14" t="str">
        <f>_xlfn.CONCAT(U23," ",T23)</f>
        <v>David Proeber</v>
      </c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</row>
    <row r="24" spans="1:44" x14ac:dyDescent="0.25">
      <c r="A24" s="6" t="s">
        <v>175</v>
      </c>
      <c r="B24" s="10">
        <v>18828278</v>
      </c>
      <c r="C24" s="6" t="s">
        <v>244</v>
      </c>
      <c r="D24" s="20">
        <v>9031431760</v>
      </c>
      <c r="E24" s="8">
        <v>46143</v>
      </c>
      <c r="F24" s="6" t="s">
        <v>50</v>
      </c>
      <c r="G24" s="6" t="s">
        <v>167</v>
      </c>
      <c r="H24" s="6" t="s">
        <v>47</v>
      </c>
      <c r="I24" s="9">
        <v>10</v>
      </c>
      <c r="J24" s="9">
        <v>14.93</v>
      </c>
      <c r="K24" s="9">
        <v>1.49</v>
      </c>
      <c r="L24" s="6" t="s">
        <v>168</v>
      </c>
      <c r="M24" s="8">
        <v>45978</v>
      </c>
      <c r="N24" s="10" t="s">
        <v>302</v>
      </c>
      <c r="O24" s="10"/>
      <c r="P24" s="10"/>
      <c r="Q24" s="20">
        <v>9031431760</v>
      </c>
      <c r="R24" s="10" t="str">
        <f>CONCATENATE(Q24,4)</f>
        <v>90314317604</v>
      </c>
      <c r="S24" s="10"/>
      <c r="T24" s="6" t="s">
        <v>398</v>
      </c>
      <c r="U24" s="10" t="s">
        <v>399</v>
      </c>
      <c r="V24" s="14" t="str">
        <f>_xlfn.CONCAT(U24," ",T24)</f>
        <v>Cynthia Freed</v>
      </c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</row>
    <row r="25" spans="1:44" x14ac:dyDescent="0.25">
      <c r="A25" s="6" t="s">
        <v>175</v>
      </c>
      <c r="B25" s="10">
        <v>18828278</v>
      </c>
      <c r="C25" s="6" t="s">
        <v>242</v>
      </c>
      <c r="D25" s="20">
        <v>9031424040</v>
      </c>
      <c r="E25" s="8">
        <v>46143</v>
      </c>
      <c r="F25" s="6" t="s">
        <v>50</v>
      </c>
      <c r="G25" s="6" t="s">
        <v>167</v>
      </c>
      <c r="H25" s="6" t="s">
        <v>47</v>
      </c>
      <c r="I25" s="9">
        <v>10</v>
      </c>
      <c r="J25" s="9">
        <v>26.88</v>
      </c>
      <c r="K25" s="9">
        <v>2.69</v>
      </c>
      <c r="L25" s="6" t="s">
        <v>168</v>
      </c>
      <c r="M25" s="8">
        <v>45976</v>
      </c>
      <c r="N25" s="10" t="s">
        <v>302</v>
      </c>
      <c r="O25" s="10"/>
      <c r="P25" s="10"/>
      <c r="Q25" s="20">
        <v>9031424040</v>
      </c>
      <c r="R25" s="10" t="str">
        <f>CONCATENATE(Q25,4)</f>
        <v>90314240404</v>
      </c>
      <c r="S25" s="10"/>
      <c r="T25" s="6" t="s">
        <v>397</v>
      </c>
      <c r="U25" s="10" t="s">
        <v>353</v>
      </c>
      <c r="V25" s="14" t="str">
        <f>_xlfn.CONCAT(U25," ",T25)</f>
        <v>Thomas Priaulx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</row>
    <row r="26" spans="1:44" x14ac:dyDescent="0.25">
      <c r="A26" s="6" t="s">
        <v>175</v>
      </c>
      <c r="B26" s="10">
        <v>18828278</v>
      </c>
      <c r="C26" s="6" t="s">
        <v>218</v>
      </c>
      <c r="D26" s="20">
        <v>9030982390</v>
      </c>
      <c r="E26" s="8">
        <v>46143</v>
      </c>
      <c r="F26" s="6" t="s">
        <v>50</v>
      </c>
      <c r="G26" s="6" t="s">
        <v>167</v>
      </c>
      <c r="H26" s="6" t="s">
        <v>47</v>
      </c>
      <c r="I26" s="9">
        <v>10</v>
      </c>
      <c r="J26" s="9">
        <v>14.93</v>
      </c>
      <c r="K26" s="9">
        <v>1.49</v>
      </c>
      <c r="L26" s="6" t="s">
        <v>168</v>
      </c>
      <c r="M26" s="8">
        <v>45962</v>
      </c>
      <c r="N26" s="10" t="s">
        <v>302</v>
      </c>
      <c r="O26" s="10"/>
      <c r="P26" s="10"/>
      <c r="Q26" s="20">
        <v>9030982390</v>
      </c>
      <c r="R26" s="10" t="str">
        <f>CONCATENATE(Q26,4)</f>
        <v>90309823904</v>
      </c>
      <c r="S26" s="10"/>
      <c r="T26" s="6" t="s">
        <v>374</v>
      </c>
      <c r="U26" s="10" t="s">
        <v>375</v>
      </c>
      <c r="V26" s="14" t="str">
        <f>_xlfn.CONCAT(U26," ",T26)</f>
        <v>Patrick Rolfs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</row>
    <row r="27" spans="1:44" x14ac:dyDescent="0.25">
      <c r="A27" s="6" t="s">
        <v>175</v>
      </c>
      <c r="B27" s="10">
        <v>18828278</v>
      </c>
      <c r="C27" s="6" t="s">
        <v>220</v>
      </c>
      <c r="D27" s="20">
        <v>9030996000</v>
      </c>
      <c r="E27" s="8">
        <v>46143</v>
      </c>
      <c r="F27" s="6" t="s">
        <v>50</v>
      </c>
      <c r="G27" s="6" t="s">
        <v>167</v>
      </c>
      <c r="H27" s="6" t="s">
        <v>47</v>
      </c>
      <c r="I27" s="9">
        <v>10</v>
      </c>
      <c r="J27" s="9">
        <v>26.88</v>
      </c>
      <c r="K27" s="9">
        <v>2.69</v>
      </c>
      <c r="L27" s="6" t="s">
        <v>168</v>
      </c>
      <c r="M27" s="8">
        <v>45962</v>
      </c>
      <c r="N27" s="10" t="s">
        <v>302</v>
      </c>
      <c r="O27" s="10"/>
      <c r="P27" s="10"/>
      <c r="Q27" s="20">
        <v>9030996000</v>
      </c>
      <c r="R27" s="10" t="str">
        <f>CONCATENATE(Q27,4)</f>
        <v>90309960004</v>
      </c>
      <c r="S27" s="10"/>
      <c r="T27" s="6" t="s">
        <v>376</v>
      </c>
      <c r="U27" s="10" t="s">
        <v>377</v>
      </c>
      <c r="V27" s="14" t="str">
        <f>_xlfn.CONCAT(U27," ",T27)</f>
        <v>Dana Quiram</v>
      </c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</row>
    <row r="28" spans="1:44" x14ac:dyDescent="0.25">
      <c r="A28" s="6" t="s">
        <v>175</v>
      </c>
      <c r="B28" s="10">
        <v>18828278</v>
      </c>
      <c r="C28" s="6" t="s">
        <v>224</v>
      </c>
      <c r="D28" s="20">
        <v>9031221000</v>
      </c>
      <c r="E28" s="8">
        <v>46174</v>
      </c>
      <c r="F28" s="6" t="s">
        <v>81</v>
      </c>
      <c r="G28" s="6" t="s">
        <v>167</v>
      </c>
      <c r="H28" s="6" t="s">
        <v>47</v>
      </c>
      <c r="I28" s="9">
        <v>10</v>
      </c>
      <c r="J28" s="9">
        <v>14.93</v>
      </c>
      <c r="K28" s="9">
        <v>1.49</v>
      </c>
      <c r="L28" s="6" t="s">
        <v>168</v>
      </c>
      <c r="M28" s="8">
        <v>45962</v>
      </c>
      <c r="N28" s="10" t="s">
        <v>302</v>
      </c>
      <c r="O28" s="10"/>
      <c r="P28" s="10"/>
      <c r="Q28" s="20">
        <v>9031221000</v>
      </c>
      <c r="R28" s="10" t="str">
        <f>CONCATENATE(Q28,4)</f>
        <v>90312210004</v>
      </c>
      <c r="S28" s="10"/>
      <c r="T28" s="6" t="s">
        <v>380</v>
      </c>
      <c r="U28" s="10" t="s">
        <v>381</v>
      </c>
      <c r="V28" s="14" t="str">
        <f>_xlfn.CONCAT(U28," ",T28)</f>
        <v>Sydney Shumaker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</row>
    <row r="29" spans="1:44" x14ac:dyDescent="0.25">
      <c r="A29" s="6" t="s">
        <v>175</v>
      </c>
      <c r="B29" s="10">
        <v>18828278</v>
      </c>
      <c r="C29" s="6" t="s">
        <v>226</v>
      </c>
      <c r="D29" s="20">
        <v>9031241060</v>
      </c>
      <c r="E29" s="8">
        <v>46143</v>
      </c>
      <c r="F29" s="6" t="s">
        <v>50</v>
      </c>
      <c r="G29" s="6" t="s">
        <v>167</v>
      </c>
      <c r="H29" s="6" t="s">
        <v>47</v>
      </c>
      <c r="I29" s="9">
        <v>10</v>
      </c>
      <c r="J29" s="9">
        <v>14.93</v>
      </c>
      <c r="K29" s="9">
        <v>1.49</v>
      </c>
      <c r="L29" s="6" t="s">
        <v>168</v>
      </c>
      <c r="M29" s="8">
        <v>45962</v>
      </c>
      <c r="N29" s="10" t="s">
        <v>302</v>
      </c>
      <c r="O29" s="10"/>
      <c r="P29" s="10"/>
      <c r="Q29" s="20">
        <v>9031241060</v>
      </c>
      <c r="R29" s="10" t="str">
        <f>CONCATENATE(Q29,4)</f>
        <v>90312410604</v>
      </c>
      <c r="S29" s="10"/>
      <c r="T29" s="6" t="s">
        <v>382</v>
      </c>
      <c r="U29" s="10" t="s">
        <v>383</v>
      </c>
      <c r="V29" s="14" t="str">
        <f>_xlfn.CONCAT(U29," ",T29)</f>
        <v>Hannelore Heckmann</v>
      </c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</row>
    <row r="30" spans="1:44" x14ac:dyDescent="0.25">
      <c r="A30" s="6" t="s">
        <v>175</v>
      </c>
      <c r="B30" s="10">
        <v>18828278</v>
      </c>
      <c r="C30" s="6" t="s">
        <v>228</v>
      </c>
      <c r="D30" s="20">
        <v>9031246400</v>
      </c>
      <c r="E30" s="8">
        <v>46143</v>
      </c>
      <c r="F30" s="6" t="s">
        <v>50</v>
      </c>
      <c r="G30" s="6" t="s">
        <v>167</v>
      </c>
      <c r="H30" s="6" t="s">
        <v>47</v>
      </c>
      <c r="I30" s="9">
        <v>10</v>
      </c>
      <c r="J30" s="9">
        <v>26.88</v>
      </c>
      <c r="K30" s="9">
        <v>2.69</v>
      </c>
      <c r="L30" s="6" t="s">
        <v>168</v>
      </c>
      <c r="M30" s="8">
        <v>45962</v>
      </c>
      <c r="N30" s="10" t="s">
        <v>302</v>
      </c>
      <c r="O30" s="10"/>
      <c r="P30" s="10"/>
      <c r="Q30" s="20">
        <v>9031246400</v>
      </c>
      <c r="R30" s="10" t="str">
        <f>CONCATENATE(Q30,4)</f>
        <v>90312464004</v>
      </c>
      <c r="S30" s="10"/>
      <c r="T30" s="6" t="s">
        <v>384</v>
      </c>
      <c r="U30" s="10" t="s">
        <v>385</v>
      </c>
      <c r="V30" s="14" t="str">
        <f>_xlfn.CONCAT(U30," ",T30)</f>
        <v>Linda Forbes</v>
      </c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</row>
    <row r="31" spans="1:44" x14ac:dyDescent="0.25">
      <c r="A31" s="6" t="s">
        <v>175</v>
      </c>
      <c r="B31" s="10">
        <v>18828278</v>
      </c>
      <c r="C31" s="6" t="s">
        <v>224</v>
      </c>
      <c r="D31" s="20">
        <v>9031221000</v>
      </c>
      <c r="E31" s="8">
        <v>46174</v>
      </c>
      <c r="F31" s="6" t="s">
        <v>81</v>
      </c>
      <c r="G31" s="6" t="s">
        <v>167</v>
      </c>
      <c r="H31" s="6" t="s">
        <v>47</v>
      </c>
      <c r="I31" s="9">
        <v>15</v>
      </c>
      <c r="J31" s="9">
        <v>-14.93</v>
      </c>
      <c r="K31" s="9">
        <v>-2.2400000000000002</v>
      </c>
      <c r="L31" s="6" t="s">
        <v>168</v>
      </c>
      <c r="M31" s="8">
        <v>45962</v>
      </c>
      <c r="N31" s="10" t="s">
        <v>303</v>
      </c>
      <c r="O31" s="10"/>
      <c r="P31" s="10"/>
      <c r="Q31" s="20">
        <v>9031221000</v>
      </c>
      <c r="R31" s="10" t="str">
        <f>CONCATENATE(Q31,2)</f>
        <v>90312210002</v>
      </c>
      <c r="S31" s="10"/>
      <c r="T31" s="6" t="s">
        <v>380</v>
      </c>
      <c r="U31" s="10" t="s">
        <v>381</v>
      </c>
      <c r="V31" s="14" t="str">
        <f>_xlfn.CONCAT(U31," ",T31)</f>
        <v>Sydney Shumaker</v>
      </c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</row>
    <row r="32" spans="1:44" x14ac:dyDescent="0.25">
      <c r="A32" s="6" t="s">
        <v>175</v>
      </c>
      <c r="B32" s="10">
        <v>18828278</v>
      </c>
      <c r="C32" s="6" t="s">
        <v>222</v>
      </c>
      <c r="D32" s="20">
        <v>9031076870</v>
      </c>
      <c r="E32" s="8">
        <v>46143</v>
      </c>
      <c r="F32" s="6" t="s">
        <v>50</v>
      </c>
      <c r="G32" s="6" t="s">
        <v>167</v>
      </c>
      <c r="H32" s="6" t="s">
        <v>47</v>
      </c>
      <c r="I32" s="9">
        <v>10</v>
      </c>
      <c r="J32" s="9">
        <v>26.88</v>
      </c>
      <c r="K32" s="9">
        <v>2.69</v>
      </c>
      <c r="L32" s="6" t="s">
        <v>168</v>
      </c>
      <c r="M32" s="8">
        <v>45901</v>
      </c>
      <c r="N32" s="10" t="s">
        <v>302</v>
      </c>
      <c r="O32" s="10"/>
      <c r="P32" s="10"/>
      <c r="Q32" s="20">
        <v>9031076870</v>
      </c>
      <c r="R32" s="10" t="str">
        <f>CONCATENATE(Q32,4)</f>
        <v>90310768704</v>
      </c>
      <c r="S32" s="10"/>
      <c r="T32" s="6" t="s">
        <v>378</v>
      </c>
      <c r="U32" s="10" t="s">
        <v>379</v>
      </c>
      <c r="V32" s="14" t="str">
        <f>_xlfn.CONCAT(U32," ",T32)</f>
        <v>James Trost</v>
      </c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</row>
    <row r="33" spans="1:44" x14ac:dyDescent="0.25">
      <c r="A33" s="6" t="s">
        <v>175</v>
      </c>
      <c r="B33" s="10">
        <v>18828278</v>
      </c>
      <c r="C33" s="6" t="s">
        <v>216</v>
      </c>
      <c r="D33" s="20">
        <v>9030924610</v>
      </c>
      <c r="E33" s="8">
        <v>46143</v>
      </c>
      <c r="F33" s="6" t="s">
        <v>50</v>
      </c>
      <c r="G33" s="6" t="s">
        <v>167</v>
      </c>
      <c r="H33" s="6" t="s">
        <v>47</v>
      </c>
      <c r="I33" s="9">
        <v>10</v>
      </c>
      <c r="J33" s="9">
        <v>14.93</v>
      </c>
      <c r="K33" s="9">
        <v>1.49</v>
      </c>
      <c r="L33" s="6" t="s">
        <v>168</v>
      </c>
      <c r="M33" s="8">
        <v>45871</v>
      </c>
      <c r="N33" s="10" t="s">
        <v>302</v>
      </c>
      <c r="O33" s="10"/>
      <c r="P33" s="10"/>
      <c r="Q33" s="20">
        <v>9030924610</v>
      </c>
      <c r="R33" s="10" t="str">
        <f>CONCATENATE(Q33,4)</f>
        <v>90309246104</v>
      </c>
      <c r="S33" s="10"/>
      <c r="T33" s="6" t="s">
        <v>372</v>
      </c>
      <c r="U33" s="10" t="s">
        <v>373</v>
      </c>
      <c r="V33" s="14" t="str">
        <f>_xlfn.CONCAT(U33," ",T33)</f>
        <v>Robin Fewell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</row>
    <row r="34" spans="1:44" x14ac:dyDescent="0.25">
      <c r="A34" s="6" t="s">
        <v>175</v>
      </c>
      <c r="B34" s="10">
        <v>18828278</v>
      </c>
      <c r="C34" s="6" t="s">
        <v>200</v>
      </c>
      <c r="D34" s="20">
        <v>9030652540</v>
      </c>
      <c r="E34" s="8">
        <v>46143</v>
      </c>
      <c r="F34" s="6" t="s">
        <v>50</v>
      </c>
      <c r="G34" s="6" t="s">
        <v>167</v>
      </c>
      <c r="H34" s="6" t="s">
        <v>47</v>
      </c>
      <c r="I34" s="9">
        <v>10</v>
      </c>
      <c r="J34" s="9">
        <v>13.93</v>
      </c>
      <c r="K34" s="9">
        <v>1.39</v>
      </c>
      <c r="L34" s="6" t="s">
        <v>168</v>
      </c>
      <c r="M34" s="8">
        <v>45870</v>
      </c>
      <c r="N34" s="10" t="s">
        <v>302</v>
      </c>
      <c r="O34" s="10"/>
      <c r="P34" s="10"/>
      <c r="Q34" s="20">
        <v>9030652540</v>
      </c>
      <c r="R34" s="10" t="str">
        <f>CONCATENATE(Q34,4)</f>
        <v>90306525404</v>
      </c>
      <c r="S34" s="10"/>
      <c r="T34" s="6" t="s">
        <v>356</v>
      </c>
      <c r="U34" s="10" t="s">
        <v>357</v>
      </c>
      <c r="V34" s="14" t="str">
        <f>_xlfn.CONCAT(U34," ",T34)</f>
        <v>John Sciutto</v>
      </c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</row>
    <row r="35" spans="1:44" x14ac:dyDescent="0.25">
      <c r="A35" s="6" t="s">
        <v>175</v>
      </c>
      <c r="B35" s="10">
        <v>18828278</v>
      </c>
      <c r="C35" s="6" t="s">
        <v>210</v>
      </c>
      <c r="D35" s="20">
        <v>9030782820</v>
      </c>
      <c r="E35" s="8">
        <v>46143</v>
      </c>
      <c r="F35" s="6" t="s">
        <v>50</v>
      </c>
      <c r="G35" s="6" t="s">
        <v>167</v>
      </c>
      <c r="H35" s="6" t="s">
        <v>47</v>
      </c>
      <c r="I35" s="9">
        <v>10</v>
      </c>
      <c r="J35" s="9">
        <v>14.93</v>
      </c>
      <c r="K35" s="9">
        <v>1.49</v>
      </c>
      <c r="L35" s="6" t="s">
        <v>168</v>
      </c>
      <c r="M35" s="8">
        <v>45870</v>
      </c>
      <c r="N35" s="10" t="s">
        <v>302</v>
      </c>
      <c r="O35" s="10"/>
      <c r="P35" s="10"/>
      <c r="Q35" s="20">
        <v>9030782820</v>
      </c>
      <c r="R35" s="10" t="str">
        <f>CONCATENATE(Q35,4)</f>
        <v>90307828204</v>
      </c>
      <c r="S35" s="10"/>
      <c r="T35" s="6" t="s">
        <v>367</v>
      </c>
      <c r="U35" s="10" t="s">
        <v>368</v>
      </c>
      <c r="V35" s="14" t="str">
        <f>_xlfn.CONCAT(U35," ",T35)</f>
        <v>Kenneth Kasprzak</v>
      </c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spans="1:44" x14ac:dyDescent="0.25">
      <c r="A36" s="6" t="s">
        <v>175</v>
      </c>
      <c r="B36" s="10">
        <v>18828278</v>
      </c>
      <c r="C36" s="6" t="s">
        <v>212</v>
      </c>
      <c r="D36" s="20">
        <v>9030840840</v>
      </c>
      <c r="E36" s="8">
        <v>46143</v>
      </c>
      <c r="F36" s="6" t="s">
        <v>50</v>
      </c>
      <c r="G36" s="6" t="s">
        <v>167</v>
      </c>
      <c r="H36" s="6" t="s">
        <v>47</v>
      </c>
      <c r="I36" s="9">
        <v>10</v>
      </c>
      <c r="J36" s="9">
        <v>14.93</v>
      </c>
      <c r="K36" s="9">
        <v>1.49</v>
      </c>
      <c r="L36" s="6" t="s">
        <v>168</v>
      </c>
      <c r="M36" s="8">
        <v>45870</v>
      </c>
      <c r="N36" s="10" t="s">
        <v>302</v>
      </c>
      <c r="O36" s="10"/>
      <c r="P36" s="10"/>
      <c r="Q36" s="20">
        <v>9030840840</v>
      </c>
      <c r="R36" s="10" t="str">
        <f>CONCATENATE(Q36,4)</f>
        <v>90308408404</v>
      </c>
      <c r="S36" s="10"/>
      <c r="T36" s="6" t="s">
        <v>369</v>
      </c>
      <c r="U36" s="10" t="s">
        <v>370</v>
      </c>
      <c r="V36" s="14" t="str">
        <f>_xlfn.CONCAT(U36," ",T36)</f>
        <v>Jacqueline Galloway</v>
      </c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1:44" x14ac:dyDescent="0.25">
      <c r="A37" s="6" t="s">
        <v>175</v>
      </c>
      <c r="B37" s="10">
        <v>18828278</v>
      </c>
      <c r="C37" s="6" t="s">
        <v>214</v>
      </c>
      <c r="D37" s="20">
        <v>9030895100</v>
      </c>
      <c r="E37" s="8">
        <v>46143</v>
      </c>
      <c r="F37" s="6" t="s">
        <v>50</v>
      </c>
      <c r="G37" s="6" t="s">
        <v>167</v>
      </c>
      <c r="H37" s="6" t="s">
        <v>47</v>
      </c>
      <c r="I37" s="9">
        <v>10</v>
      </c>
      <c r="J37" s="9">
        <v>14.93</v>
      </c>
      <c r="K37" s="9">
        <v>1.49</v>
      </c>
      <c r="L37" s="6" t="s">
        <v>168</v>
      </c>
      <c r="M37" s="8">
        <v>45870</v>
      </c>
      <c r="N37" s="10" t="s">
        <v>302</v>
      </c>
      <c r="O37" s="10"/>
      <c r="P37" s="10"/>
      <c r="Q37" s="20">
        <v>9030895100</v>
      </c>
      <c r="R37" s="10" t="str">
        <f>CONCATENATE(Q37,4)</f>
        <v>90308951004</v>
      </c>
      <c r="S37" s="10"/>
      <c r="T37" s="6" t="s">
        <v>371</v>
      </c>
      <c r="U37" s="10" t="s">
        <v>353</v>
      </c>
      <c r="V37" s="14" t="str">
        <f>_xlfn.CONCAT(U37," ",T37)</f>
        <v>Thomas Stokes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1:44" x14ac:dyDescent="0.25">
      <c r="A38" s="11" t="s">
        <v>175</v>
      </c>
      <c r="B38" s="14">
        <v>18828278</v>
      </c>
      <c r="C38" s="11" t="s">
        <v>176</v>
      </c>
      <c r="D38" s="11" t="s">
        <v>177</v>
      </c>
      <c r="E38" s="12">
        <v>46143</v>
      </c>
      <c r="F38" s="11" t="s">
        <v>50</v>
      </c>
      <c r="G38" s="11" t="s">
        <v>52</v>
      </c>
      <c r="H38" s="11" t="s">
        <v>47</v>
      </c>
      <c r="I38" s="13">
        <v>22</v>
      </c>
      <c r="J38" s="13">
        <v>130.87</v>
      </c>
      <c r="K38" s="13">
        <v>28.79</v>
      </c>
      <c r="L38" s="11" t="s">
        <v>54</v>
      </c>
      <c r="M38" s="12">
        <v>45839</v>
      </c>
      <c r="N38" s="14" t="s">
        <v>300</v>
      </c>
      <c r="O38" s="14"/>
      <c r="P38" s="14"/>
      <c r="Q38" s="11" t="s">
        <v>177</v>
      </c>
      <c r="R38" s="14" t="str">
        <f>CONCATENATE(Q38,8)</f>
        <v>00001001198A8</v>
      </c>
      <c r="S38" s="14"/>
      <c r="T38" s="11" t="s">
        <v>314</v>
      </c>
      <c r="U38" s="14" t="s">
        <v>315</v>
      </c>
      <c r="V38" s="14" t="str">
        <f>_xlfn.CONCAT(U38," ",T38)</f>
        <v>SUSAN MCCLURE</v>
      </c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</row>
    <row r="39" spans="1:44" x14ac:dyDescent="0.25">
      <c r="A39" s="6" t="s">
        <v>175</v>
      </c>
      <c r="B39" s="10">
        <v>18828278</v>
      </c>
      <c r="C39" s="6" t="s">
        <v>192</v>
      </c>
      <c r="D39" s="20">
        <v>9030645550</v>
      </c>
      <c r="E39" s="8">
        <v>46143</v>
      </c>
      <c r="F39" s="6" t="s">
        <v>50</v>
      </c>
      <c r="G39" s="6" t="s">
        <v>167</v>
      </c>
      <c r="H39" s="6" t="s">
        <v>47</v>
      </c>
      <c r="I39" s="9">
        <v>10</v>
      </c>
      <c r="J39" s="9">
        <v>26.88</v>
      </c>
      <c r="K39" s="9">
        <v>2.69</v>
      </c>
      <c r="L39" s="6" t="s">
        <v>168</v>
      </c>
      <c r="M39" s="8">
        <v>45839</v>
      </c>
      <c r="N39" s="10" t="s">
        <v>302</v>
      </c>
      <c r="O39" s="10"/>
      <c r="P39" s="10"/>
      <c r="Q39" s="20">
        <v>9030645550</v>
      </c>
      <c r="R39" s="10" t="str">
        <f>CONCATENATE(Q39,4)</f>
        <v>90306455504</v>
      </c>
      <c r="S39" s="10"/>
      <c r="T39" s="6" t="s">
        <v>349</v>
      </c>
      <c r="U39" s="10" t="s">
        <v>344</v>
      </c>
      <c r="V39" s="14" t="str">
        <f>_xlfn.CONCAT(U39," ",T39)</f>
        <v>Eric Johnson</v>
      </c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</row>
    <row r="40" spans="1:44" s="10" customFormat="1" x14ac:dyDescent="0.25">
      <c r="A40" s="6" t="s">
        <v>175</v>
      </c>
      <c r="B40" s="10">
        <v>18828278</v>
      </c>
      <c r="C40" s="6" t="s">
        <v>202</v>
      </c>
      <c r="D40" s="20">
        <v>9030675550</v>
      </c>
      <c r="E40" s="8">
        <v>46143</v>
      </c>
      <c r="F40" s="6" t="s">
        <v>50</v>
      </c>
      <c r="G40" s="6" t="s">
        <v>167</v>
      </c>
      <c r="H40" s="6" t="s">
        <v>47</v>
      </c>
      <c r="I40" s="9">
        <v>10</v>
      </c>
      <c r="J40" s="9">
        <v>13.93</v>
      </c>
      <c r="K40" s="9">
        <v>1.39</v>
      </c>
      <c r="L40" s="6" t="s">
        <v>168</v>
      </c>
      <c r="M40" s="8">
        <v>45839</v>
      </c>
      <c r="N40" s="10" t="s">
        <v>302</v>
      </c>
      <c r="Q40" s="20">
        <v>9030675550</v>
      </c>
      <c r="R40" s="10" t="str">
        <f>CONCATENATE(Q40,4)</f>
        <v>90306755504</v>
      </c>
      <c r="T40" s="6" t="s">
        <v>358</v>
      </c>
      <c r="U40" s="10" t="s">
        <v>359</v>
      </c>
      <c r="V40" s="14" t="str">
        <f>_xlfn.CONCAT(U40," ",T40)</f>
        <v>Cheryl Simmons-Hutson</v>
      </c>
      <c r="AR40"/>
    </row>
    <row r="41" spans="1:44" s="10" customFormat="1" x14ac:dyDescent="0.25">
      <c r="A41" s="6" t="s">
        <v>175</v>
      </c>
      <c r="B41" s="10">
        <v>18828278</v>
      </c>
      <c r="C41" s="6" t="s">
        <v>204</v>
      </c>
      <c r="D41" s="20">
        <v>9030683010</v>
      </c>
      <c r="E41" s="8">
        <v>46143</v>
      </c>
      <c r="F41" s="6" t="s">
        <v>50</v>
      </c>
      <c r="G41" s="6" t="s">
        <v>167</v>
      </c>
      <c r="H41" s="6" t="s">
        <v>47</v>
      </c>
      <c r="I41" s="9">
        <v>10</v>
      </c>
      <c r="J41" s="9">
        <v>26.88</v>
      </c>
      <c r="K41" s="9">
        <v>2.69</v>
      </c>
      <c r="L41" s="6" t="s">
        <v>168</v>
      </c>
      <c r="M41" s="8">
        <v>45839</v>
      </c>
      <c r="N41" s="10" t="s">
        <v>302</v>
      </c>
      <c r="Q41" s="20">
        <v>9030683010</v>
      </c>
      <c r="R41" s="10" t="str">
        <f>CONCATENATE(Q41,4)</f>
        <v>90306830104</v>
      </c>
      <c r="T41" s="6" t="s">
        <v>360</v>
      </c>
      <c r="U41" s="10" t="s">
        <v>361</v>
      </c>
      <c r="V41" s="14" t="str">
        <f>_xlfn.CONCAT(U41," ",T41)</f>
        <v>Edward Bond</v>
      </c>
      <c r="AR41"/>
    </row>
    <row r="42" spans="1:44" s="10" customFormat="1" x14ac:dyDescent="0.25">
      <c r="A42" s="6" t="s">
        <v>175</v>
      </c>
      <c r="B42" s="10">
        <v>18828278</v>
      </c>
      <c r="C42" s="6" t="s">
        <v>206</v>
      </c>
      <c r="D42" s="20">
        <v>9030703310</v>
      </c>
      <c r="E42" s="8">
        <v>46143</v>
      </c>
      <c r="F42" s="6" t="s">
        <v>50</v>
      </c>
      <c r="G42" s="6" t="s">
        <v>167</v>
      </c>
      <c r="H42" s="6" t="s">
        <v>47</v>
      </c>
      <c r="I42" s="9">
        <v>10</v>
      </c>
      <c r="J42" s="9">
        <v>46.8</v>
      </c>
      <c r="K42" s="9">
        <v>4.68</v>
      </c>
      <c r="L42" s="6" t="s">
        <v>168</v>
      </c>
      <c r="M42" s="8">
        <v>45839</v>
      </c>
      <c r="N42" s="10" t="s">
        <v>302</v>
      </c>
      <c r="Q42" s="20">
        <v>9030703310</v>
      </c>
      <c r="R42" s="10" t="str">
        <f>CONCATENATE(Q42,4)</f>
        <v>90307033104</v>
      </c>
      <c r="T42" s="6" t="s">
        <v>362</v>
      </c>
      <c r="U42" s="10" t="s">
        <v>363</v>
      </c>
      <c r="V42" s="14" t="str">
        <f>_xlfn.CONCAT(U42," ",T42)</f>
        <v>Shaji Sharad</v>
      </c>
      <c r="W42" s="10" t="s">
        <v>364</v>
      </c>
      <c r="AR42"/>
    </row>
    <row r="43" spans="1:44" s="10" customFormat="1" x14ac:dyDescent="0.25">
      <c r="A43" s="6" t="s">
        <v>175</v>
      </c>
      <c r="B43" s="10">
        <v>18828278</v>
      </c>
      <c r="C43" s="6" t="s">
        <v>208</v>
      </c>
      <c r="D43" s="20">
        <v>9030719950</v>
      </c>
      <c r="E43" s="8">
        <v>46143</v>
      </c>
      <c r="F43" s="6" t="s">
        <v>50</v>
      </c>
      <c r="G43" s="6" t="s">
        <v>167</v>
      </c>
      <c r="H43" s="6" t="s">
        <v>47</v>
      </c>
      <c r="I43" s="9">
        <v>10</v>
      </c>
      <c r="J43" s="9">
        <v>13.93</v>
      </c>
      <c r="K43" s="9">
        <v>1.39</v>
      </c>
      <c r="L43" s="6" t="s">
        <v>168</v>
      </c>
      <c r="M43" s="8">
        <v>45839</v>
      </c>
      <c r="N43" s="10" t="s">
        <v>302</v>
      </c>
      <c r="Q43" s="20">
        <v>9030719950</v>
      </c>
      <c r="R43" s="10" t="str">
        <f>CONCATENATE(Q43,4)</f>
        <v>90307199504</v>
      </c>
      <c r="T43" s="6" t="s">
        <v>365</v>
      </c>
      <c r="U43" s="10" t="s">
        <v>366</v>
      </c>
      <c r="V43" s="14" t="str">
        <f>_xlfn.CONCAT(U43," ",T43)</f>
        <v>Mary Boma</v>
      </c>
    </row>
    <row r="44" spans="1:44" s="10" customFormat="1" x14ac:dyDescent="0.25">
      <c r="A44" s="6" t="s">
        <v>175</v>
      </c>
      <c r="B44" s="10">
        <v>18828278</v>
      </c>
      <c r="C44" s="6" t="s">
        <v>196</v>
      </c>
      <c r="D44" s="20">
        <v>9030651770</v>
      </c>
      <c r="E44" s="8">
        <v>46143</v>
      </c>
      <c r="F44" s="6" t="s">
        <v>50</v>
      </c>
      <c r="G44" s="6" t="s">
        <v>167</v>
      </c>
      <c r="H44" s="6" t="s">
        <v>47</v>
      </c>
      <c r="I44" s="9">
        <v>10</v>
      </c>
      <c r="J44" s="9">
        <v>13.93</v>
      </c>
      <c r="K44" s="9">
        <v>1.39</v>
      </c>
      <c r="L44" s="6" t="s">
        <v>168</v>
      </c>
      <c r="M44" s="8">
        <v>45817</v>
      </c>
      <c r="N44" s="10" t="s">
        <v>302</v>
      </c>
      <c r="Q44" s="20">
        <v>9030651770</v>
      </c>
      <c r="R44" s="10" t="str">
        <f>CONCATENATE(Q44,4)</f>
        <v>90306517704</v>
      </c>
      <c r="T44" s="6" t="s">
        <v>352</v>
      </c>
      <c r="U44" s="10" t="s">
        <v>353</v>
      </c>
      <c r="V44" s="14" t="str">
        <f>_xlfn.CONCAT(U44," ",T44)</f>
        <v>Thomas Thompson</v>
      </c>
      <c r="AR44"/>
    </row>
    <row r="45" spans="1:44" s="10" customFormat="1" x14ac:dyDescent="0.25">
      <c r="A45" s="6" t="s">
        <v>175</v>
      </c>
      <c r="B45" s="10">
        <v>18828278</v>
      </c>
      <c r="C45" s="6" t="s">
        <v>198</v>
      </c>
      <c r="D45" s="20">
        <v>9030652040</v>
      </c>
      <c r="E45" s="8">
        <v>46143</v>
      </c>
      <c r="F45" s="6" t="s">
        <v>50</v>
      </c>
      <c r="G45" s="6" t="s">
        <v>167</v>
      </c>
      <c r="H45" s="6" t="s">
        <v>47</v>
      </c>
      <c r="I45" s="9">
        <v>10</v>
      </c>
      <c r="J45" s="9">
        <v>26.88</v>
      </c>
      <c r="K45" s="9">
        <v>2.69</v>
      </c>
      <c r="L45" s="6" t="s">
        <v>168</v>
      </c>
      <c r="M45" s="8">
        <v>45817</v>
      </c>
      <c r="N45" s="10" t="s">
        <v>302</v>
      </c>
      <c r="Q45" s="20">
        <v>9030652040</v>
      </c>
      <c r="R45" s="10" t="str">
        <f>CONCATENATE(Q45,4)</f>
        <v>90306520404</v>
      </c>
      <c r="T45" s="6" t="s">
        <v>354</v>
      </c>
      <c r="U45" s="10" t="s">
        <v>355</v>
      </c>
      <c r="V45" s="14" t="str">
        <f>_xlfn.CONCAT(U45," ",T45)</f>
        <v>Nancy Dauer</v>
      </c>
      <c r="AR45"/>
    </row>
    <row r="46" spans="1:44" s="10" customFormat="1" x14ac:dyDescent="0.25">
      <c r="A46" s="6" t="s">
        <v>175</v>
      </c>
      <c r="B46" s="10">
        <v>18828278</v>
      </c>
      <c r="C46" s="6" t="s">
        <v>190</v>
      </c>
      <c r="D46" s="20">
        <v>9030645140</v>
      </c>
      <c r="E46" s="8">
        <v>46143</v>
      </c>
      <c r="F46" s="6" t="s">
        <v>50</v>
      </c>
      <c r="G46" s="6" t="s">
        <v>167</v>
      </c>
      <c r="H46" s="6" t="s">
        <v>47</v>
      </c>
      <c r="I46" s="9">
        <v>10</v>
      </c>
      <c r="J46" s="9">
        <v>26.88</v>
      </c>
      <c r="K46" s="9">
        <v>2.69</v>
      </c>
      <c r="L46" s="6" t="s">
        <v>168</v>
      </c>
      <c r="M46" s="8">
        <v>45816</v>
      </c>
      <c r="N46" s="10" t="s">
        <v>302</v>
      </c>
      <c r="Q46" s="20">
        <v>9030645140</v>
      </c>
      <c r="R46" s="10" t="str">
        <f>CONCATENATE(Q46,4)</f>
        <v>90306451404</v>
      </c>
      <c r="T46" s="6" t="s">
        <v>347</v>
      </c>
      <c r="U46" s="10" t="s">
        <v>348</v>
      </c>
      <c r="V46" s="14" t="str">
        <f>_xlfn.CONCAT(U46," ",T46)</f>
        <v>Ron Ferris</v>
      </c>
      <c r="AR46"/>
    </row>
    <row r="47" spans="1:44" s="10" customFormat="1" x14ac:dyDescent="0.25">
      <c r="A47" s="6" t="s">
        <v>175</v>
      </c>
      <c r="B47" s="10">
        <v>18828278</v>
      </c>
      <c r="C47" s="6" t="s">
        <v>194</v>
      </c>
      <c r="D47" s="20">
        <v>9030645560</v>
      </c>
      <c r="E47" s="8">
        <v>46143</v>
      </c>
      <c r="F47" s="6" t="s">
        <v>50</v>
      </c>
      <c r="G47" s="6" t="s">
        <v>167</v>
      </c>
      <c r="H47" s="6" t="s">
        <v>47</v>
      </c>
      <c r="I47" s="9">
        <v>10</v>
      </c>
      <c r="J47" s="9">
        <v>13.93</v>
      </c>
      <c r="K47" s="9">
        <v>1.39</v>
      </c>
      <c r="L47" s="6" t="s">
        <v>168</v>
      </c>
      <c r="M47" s="8">
        <v>45816</v>
      </c>
      <c r="N47" s="10" t="s">
        <v>302</v>
      </c>
      <c r="Q47" s="20">
        <v>9030645560</v>
      </c>
      <c r="R47" s="10" t="str">
        <f>CONCATENATE(Q47,4)</f>
        <v>90306455604</v>
      </c>
      <c r="T47" s="6" t="s">
        <v>350</v>
      </c>
      <c r="U47" s="10" t="s">
        <v>351</v>
      </c>
      <c r="V47" s="14" t="str">
        <f>_xlfn.CONCAT(U47," ",T47)</f>
        <v>Victoria Shirkey</v>
      </c>
      <c r="AR47"/>
    </row>
    <row r="48" spans="1:44" s="10" customFormat="1" x14ac:dyDescent="0.25">
      <c r="A48" s="6" t="s">
        <v>175</v>
      </c>
      <c r="B48" s="10">
        <v>18828278</v>
      </c>
      <c r="C48" s="6" t="s">
        <v>184</v>
      </c>
      <c r="D48" s="20">
        <v>9030572460</v>
      </c>
      <c r="E48" s="8">
        <v>46143</v>
      </c>
      <c r="F48" s="6" t="s">
        <v>50</v>
      </c>
      <c r="G48" s="6" t="s">
        <v>167</v>
      </c>
      <c r="H48" s="6" t="s">
        <v>47</v>
      </c>
      <c r="I48" s="9">
        <v>10</v>
      </c>
      <c r="J48" s="9">
        <v>13.93</v>
      </c>
      <c r="K48" s="9">
        <v>1.39</v>
      </c>
      <c r="L48" s="6" t="s">
        <v>168</v>
      </c>
      <c r="M48" s="8">
        <v>45809</v>
      </c>
      <c r="N48" s="10" t="s">
        <v>302</v>
      </c>
      <c r="Q48" s="20">
        <v>9030572460</v>
      </c>
      <c r="R48" s="10" t="str">
        <f>CONCATENATE(Q48,4)</f>
        <v>90305724604</v>
      </c>
      <c r="T48" s="6" t="s">
        <v>341</v>
      </c>
      <c r="U48" s="10" t="s">
        <v>342</v>
      </c>
      <c r="V48" s="14" t="str">
        <f>_xlfn.CONCAT(U48," ",T48)</f>
        <v>Robert Shaw</v>
      </c>
      <c r="AR48"/>
    </row>
    <row r="49" spans="1:44" s="10" customFormat="1" x14ac:dyDescent="0.25">
      <c r="A49" s="6" t="s">
        <v>175</v>
      </c>
      <c r="B49" s="10">
        <v>18828278</v>
      </c>
      <c r="C49" s="6" t="s">
        <v>186</v>
      </c>
      <c r="D49" s="20">
        <v>9030577770</v>
      </c>
      <c r="E49" s="8">
        <v>46143</v>
      </c>
      <c r="F49" s="6" t="s">
        <v>50</v>
      </c>
      <c r="G49" s="6" t="s">
        <v>167</v>
      </c>
      <c r="H49" s="6" t="s">
        <v>47</v>
      </c>
      <c r="I49" s="9">
        <v>10</v>
      </c>
      <c r="J49" s="9">
        <v>46.8</v>
      </c>
      <c r="K49" s="9">
        <v>4.68</v>
      </c>
      <c r="L49" s="6" t="s">
        <v>168</v>
      </c>
      <c r="M49" s="8">
        <v>45809</v>
      </c>
      <c r="N49" s="10" t="s">
        <v>302</v>
      </c>
      <c r="Q49" s="20">
        <v>9030577770</v>
      </c>
      <c r="R49" s="10" t="str">
        <f>CONCATENATE(Q49,4)</f>
        <v>90305777704</v>
      </c>
      <c r="T49" s="6" t="s">
        <v>343</v>
      </c>
      <c r="U49" s="10" t="s">
        <v>344</v>
      </c>
      <c r="V49" s="14" t="str">
        <f>_xlfn.CONCAT(U49," ",T49)</f>
        <v>Eric Sisco</v>
      </c>
      <c r="AR49"/>
    </row>
    <row r="50" spans="1:44" s="10" customFormat="1" x14ac:dyDescent="0.25">
      <c r="A50" s="6" t="s">
        <v>175</v>
      </c>
      <c r="B50" s="10">
        <v>18828278</v>
      </c>
      <c r="C50" s="6" t="s">
        <v>188</v>
      </c>
      <c r="D50" s="20">
        <v>9030582430</v>
      </c>
      <c r="E50" s="8">
        <v>46143</v>
      </c>
      <c r="F50" s="6" t="s">
        <v>50</v>
      </c>
      <c r="G50" s="6" t="s">
        <v>167</v>
      </c>
      <c r="H50" s="6" t="s">
        <v>47</v>
      </c>
      <c r="I50" s="9">
        <v>10</v>
      </c>
      <c r="J50" s="9">
        <v>26.88</v>
      </c>
      <c r="K50" s="9">
        <v>2.69</v>
      </c>
      <c r="L50" s="6" t="s">
        <v>168</v>
      </c>
      <c r="M50" s="8">
        <v>45809</v>
      </c>
      <c r="N50" s="10" t="s">
        <v>302</v>
      </c>
      <c r="Q50" s="20">
        <v>9030582430</v>
      </c>
      <c r="R50" s="10" t="str">
        <f>CONCATENATE(Q50,4)</f>
        <v>90305824304</v>
      </c>
      <c r="T50" s="6" t="s">
        <v>345</v>
      </c>
      <c r="U50" s="10" t="s">
        <v>346</v>
      </c>
      <c r="V50" s="14" t="str">
        <f>_xlfn.CONCAT(U50," ",T50)</f>
        <v>Laurie Round</v>
      </c>
      <c r="AR50"/>
    </row>
    <row r="51" spans="1:44" s="10" customFormat="1" x14ac:dyDescent="0.25">
      <c r="A51" s="6" t="s">
        <v>175</v>
      </c>
      <c r="B51" s="10">
        <v>18828278</v>
      </c>
      <c r="C51" s="6" t="s">
        <v>178</v>
      </c>
      <c r="D51" s="20">
        <v>9030509330</v>
      </c>
      <c r="E51" s="8">
        <v>46143</v>
      </c>
      <c r="F51" s="6" t="s">
        <v>50</v>
      </c>
      <c r="G51" s="6" t="s">
        <v>167</v>
      </c>
      <c r="H51" s="6" t="s">
        <v>47</v>
      </c>
      <c r="I51" s="9">
        <v>10</v>
      </c>
      <c r="J51" s="9">
        <v>26.88</v>
      </c>
      <c r="K51" s="9">
        <v>2.69</v>
      </c>
      <c r="L51" s="6" t="s">
        <v>168</v>
      </c>
      <c r="M51" s="8">
        <v>45808</v>
      </c>
      <c r="N51" s="10" t="s">
        <v>302</v>
      </c>
      <c r="Q51" s="20">
        <v>9030509330</v>
      </c>
      <c r="R51" s="10" t="str">
        <f>CONCATENATE(Q51,4)</f>
        <v>90305093304</v>
      </c>
      <c r="T51" s="6" t="s">
        <v>335</v>
      </c>
      <c r="U51" s="10" t="s">
        <v>336</v>
      </c>
      <c r="V51" s="14" t="str">
        <f>_xlfn.CONCAT(U51," ",T51)</f>
        <v>Gerald Urish</v>
      </c>
      <c r="AR51"/>
    </row>
    <row r="52" spans="1:44" s="10" customFormat="1" x14ac:dyDescent="0.25">
      <c r="A52" s="6" t="s">
        <v>175</v>
      </c>
      <c r="B52" s="10">
        <v>18828278</v>
      </c>
      <c r="C52" s="6" t="s">
        <v>180</v>
      </c>
      <c r="D52" s="20">
        <v>9030544330</v>
      </c>
      <c r="E52" s="8">
        <v>46143</v>
      </c>
      <c r="F52" s="6" t="s">
        <v>50</v>
      </c>
      <c r="G52" s="6" t="s">
        <v>167</v>
      </c>
      <c r="H52" s="6" t="s">
        <v>47</v>
      </c>
      <c r="I52" s="9">
        <v>10</v>
      </c>
      <c r="J52" s="9">
        <v>26.88</v>
      </c>
      <c r="K52" s="9">
        <v>2.69</v>
      </c>
      <c r="L52" s="6" t="s">
        <v>168</v>
      </c>
      <c r="M52" s="8">
        <v>45808</v>
      </c>
      <c r="N52" s="10" t="s">
        <v>302</v>
      </c>
      <c r="Q52" s="20">
        <v>9030544330</v>
      </c>
      <c r="R52" s="10" t="str">
        <f>CONCATENATE(Q52,4)</f>
        <v>90305443304</v>
      </c>
      <c r="T52" s="6" t="s">
        <v>337</v>
      </c>
      <c r="U52" s="10" t="s">
        <v>338</v>
      </c>
      <c r="V52" s="14" t="str">
        <f>_xlfn.CONCAT(U52," ",T52)</f>
        <v>Brianna Gambetti</v>
      </c>
      <c r="AR52"/>
    </row>
    <row r="53" spans="1:44" s="10" customFormat="1" x14ac:dyDescent="0.25">
      <c r="A53" s="6" t="s">
        <v>175</v>
      </c>
      <c r="B53" s="10">
        <v>18828278</v>
      </c>
      <c r="C53" s="6" t="s">
        <v>182</v>
      </c>
      <c r="D53" s="20">
        <v>9030558330</v>
      </c>
      <c r="E53" s="8">
        <v>46143</v>
      </c>
      <c r="F53" s="6" t="s">
        <v>50</v>
      </c>
      <c r="G53" s="6" t="s">
        <v>167</v>
      </c>
      <c r="H53" s="6" t="s">
        <v>47</v>
      </c>
      <c r="I53" s="9">
        <v>10</v>
      </c>
      <c r="J53" s="9">
        <v>26.88</v>
      </c>
      <c r="K53" s="9">
        <v>2.69</v>
      </c>
      <c r="L53" s="6" t="s">
        <v>168</v>
      </c>
      <c r="M53" s="8">
        <v>45808</v>
      </c>
      <c r="N53" s="10" t="s">
        <v>302</v>
      </c>
      <c r="Q53" s="20">
        <v>9030558330</v>
      </c>
      <c r="R53" s="10" t="str">
        <f>CONCATENATE(Q53,4)</f>
        <v>90305583304</v>
      </c>
      <c r="T53" s="6" t="s">
        <v>339</v>
      </c>
      <c r="U53" s="10" t="s">
        <v>340</v>
      </c>
      <c r="V53" s="14" t="str">
        <f>_xlfn.CONCAT(U53," ",T53)</f>
        <v>David Taylor</v>
      </c>
      <c r="AR53"/>
    </row>
    <row r="54" spans="1:44" s="10" customFormat="1" x14ac:dyDescent="0.25">
      <c r="A54" s="4" t="s">
        <v>123</v>
      </c>
      <c r="B54">
        <v>21283956</v>
      </c>
      <c r="C54" s="4" t="s">
        <v>124</v>
      </c>
      <c r="D54" s="4" t="s">
        <v>125</v>
      </c>
      <c r="E54" s="3">
        <v>46204</v>
      </c>
      <c r="F54" s="4" t="s">
        <v>127</v>
      </c>
      <c r="G54" s="4" t="s">
        <v>52</v>
      </c>
      <c r="H54" s="4" t="s">
        <v>53</v>
      </c>
      <c r="I54" s="5">
        <v>0.5</v>
      </c>
      <c r="J54" s="5">
        <v>1</v>
      </c>
      <c r="K54" s="5">
        <v>173.5</v>
      </c>
      <c r="L54" s="4" t="s">
        <v>54</v>
      </c>
      <c r="M54" s="3">
        <v>46204</v>
      </c>
      <c r="N54" t="s">
        <v>293</v>
      </c>
      <c r="O54" s="15" t="s">
        <v>296</v>
      </c>
      <c r="P54">
        <f>347/12*6</f>
        <v>173.5</v>
      </c>
      <c r="Q54" s="4" t="s">
        <v>125</v>
      </c>
      <c r="R54" s="24" t="str">
        <f>CONCATENATE(Q54,67)</f>
        <v>00026424182K67</v>
      </c>
      <c r="S54"/>
      <c r="T54" s="4" t="s">
        <v>421</v>
      </c>
      <c r="U54" t="s">
        <v>422</v>
      </c>
      <c r="V54" s="14" t="str">
        <f>_xlfn.CONCAT(U54," ",T54)</f>
        <v>CELINA RODRIGUEZ</v>
      </c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</row>
    <row r="55" spans="1:44" s="10" customFormat="1" x14ac:dyDescent="0.25">
      <c r="A55" s="6" t="s">
        <v>146</v>
      </c>
      <c r="B55" s="10">
        <v>7146581</v>
      </c>
      <c r="C55" s="6" t="s">
        <v>147</v>
      </c>
      <c r="D55" s="20">
        <v>9025228750</v>
      </c>
      <c r="E55" s="8">
        <v>46143</v>
      </c>
      <c r="F55" s="6" t="s">
        <v>50</v>
      </c>
      <c r="G55" s="6" t="s">
        <v>151</v>
      </c>
      <c r="H55" s="6" t="s">
        <v>47</v>
      </c>
      <c r="I55" s="9">
        <v>10</v>
      </c>
      <c r="J55" s="9">
        <v>52.78</v>
      </c>
      <c r="K55" s="9">
        <v>5.28</v>
      </c>
      <c r="L55" s="6" t="s">
        <v>152</v>
      </c>
      <c r="M55" s="8">
        <v>44586</v>
      </c>
      <c r="N55" s="10" t="s">
        <v>302</v>
      </c>
      <c r="Q55" s="20">
        <v>9025228750</v>
      </c>
      <c r="R55" s="10" t="str">
        <f>CONCATENATE(Q55,4)</f>
        <v>90252287504</v>
      </c>
      <c r="T55" s="6" t="s">
        <v>327</v>
      </c>
      <c r="U55" s="10" t="s">
        <v>328</v>
      </c>
      <c r="V55" s="14" t="str">
        <f>_xlfn.CONCAT(U55," ",T55)</f>
        <v>Barbara Hanahan</v>
      </c>
      <c r="AR55" s="14"/>
    </row>
    <row r="56" spans="1:44" s="10" customFormat="1" x14ac:dyDescent="0.25">
      <c r="A56" s="11" t="s">
        <v>159</v>
      </c>
      <c r="B56" s="14">
        <v>17528908</v>
      </c>
      <c r="C56" s="11" t="s">
        <v>160</v>
      </c>
      <c r="D56" s="11" t="s">
        <v>161</v>
      </c>
      <c r="E56" s="12">
        <v>46143</v>
      </c>
      <c r="F56" s="11" t="s">
        <v>50</v>
      </c>
      <c r="G56" s="11" t="s">
        <v>52</v>
      </c>
      <c r="H56" s="11" t="s">
        <v>47</v>
      </c>
      <c r="I56" s="13">
        <v>22</v>
      </c>
      <c r="J56" s="13">
        <v>138.55000000000001</v>
      </c>
      <c r="K56" s="13">
        <v>30.48</v>
      </c>
      <c r="L56" s="11" t="s">
        <v>162</v>
      </c>
      <c r="M56" s="12">
        <v>45566</v>
      </c>
      <c r="N56" s="14" t="s">
        <v>300</v>
      </c>
      <c r="O56" s="14"/>
      <c r="P56" s="14"/>
      <c r="Q56" s="11" t="s">
        <v>161</v>
      </c>
      <c r="R56" s="14" t="str">
        <f>CONCATENATE(Q56,8)</f>
        <v>00000871454A8</v>
      </c>
      <c r="S56" s="14"/>
      <c r="T56" s="11" t="s">
        <v>312</v>
      </c>
      <c r="U56" s="14" t="s">
        <v>313</v>
      </c>
      <c r="V56" s="14" t="str">
        <f>_xlfn.CONCAT(U56," ",T56)</f>
        <v>TIMMY BRACE</v>
      </c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</row>
    <row r="57" spans="1:44" s="10" customFormat="1" x14ac:dyDescent="0.25">
      <c r="A57" s="11" t="s">
        <v>262</v>
      </c>
      <c r="B57" s="25" t="s">
        <v>448</v>
      </c>
      <c r="C57" s="11" t="s">
        <v>268</v>
      </c>
      <c r="D57" s="11" t="s">
        <v>269</v>
      </c>
      <c r="E57" s="12">
        <v>46143</v>
      </c>
      <c r="F57" s="11" t="s">
        <v>50</v>
      </c>
      <c r="G57" s="11" t="s">
        <v>52</v>
      </c>
      <c r="H57" s="11" t="s">
        <v>47</v>
      </c>
      <c r="I57" s="13">
        <v>22</v>
      </c>
      <c r="J57" s="13">
        <v>129.72</v>
      </c>
      <c r="K57" s="13">
        <v>28.54</v>
      </c>
      <c r="L57" s="11" t="s">
        <v>270</v>
      </c>
      <c r="M57" s="12">
        <v>45962</v>
      </c>
      <c r="N57" s="14" t="s">
        <v>300</v>
      </c>
      <c r="O57" s="14"/>
      <c r="P57" s="14"/>
      <c r="Q57" s="11" t="s">
        <v>269</v>
      </c>
      <c r="R57" s="14" t="str">
        <f>CONCATENATE(Q57,8)</f>
        <v>00001067366A8</v>
      </c>
      <c r="S57" s="14"/>
      <c r="T57" s="11" t="s">
        <v>318</v>
      </c>
      <c r="U57" s="14" t="s">
        <v>319</v>
      </c>
      <c r="V57" s="14" t="str">
        <f>_xlfn.CONCAT(U57," ",T57)</f>
        <v>KAREN BROWELL</v>
      </c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</row>
    <row r="58" spans="1:44" s="10" customFormat="1" x14ac:dyDescent="0.25">
      <c r="A58" s="6" t="s">
        <v>262</v>
      </c>
      <c r="B58" s="10" t="s">
        <v>448</v>
      </c>
      <c r="C58" s="6" t="s">
        <v>272</v>
      </c>
      <c r="D58" s="20">
        <v>9030115330</v>
      </c>
      <c r="E58" s="8">
        <v>46143</v>
      </c>
      <c r="F58" s="6" t="s">
        <v>50</v>
      </c>
      <c r="G58" s="6" t="s">
        <v>167</v>
      </c>
      <c r="H58" s="6" t="s">
        <v>47</v>
      </c>
      <c r="I58" s="9">
        <v>10</v>
      </c>
      <c r="J58" s="9">
        <v>23.99</v>
      </c>
      <c r="K58" s="9">
        <v>2.4</v>
      </c>
      <c r="L58" s="6" t="s">
        <v>152</v>
      </c>
      <c r="M58" s="8">
        <v>45713</v>
      </c>
      <c r="N58" s="10" t="s">
        <v>302</v>
      </c>
      <c r="Q58" s="20">
        <v>9030115330</v>
      </c>
      <c r="R58" s="10" t="str">
        <f>CONCATENATE(Q58,4)</f>
        <v>90301153304</v>
      </c>
      <c r="T58" s="6" t="s">
        <v>413</v>
      </c>
      <c r="U58" s="10" t="s">
        <v>414</v>
      </c>
      <c r="V58" s="14" t="str">
        <f>_xlfn.CONCAT(U58," ",T58)</f>
        <v>Jon Rudden</v>
      </c>
    </row>
    <row r="59" spans="1:44" s="10" customFormat="1" x14ac:dyDescent="0.25">
      <c r="A59" s="11" t="s">
        <v>262</v>
      </c>
      <c r="B59" s="14" t="s">
        <v>448</v>
      </c>
      <c r="C59" s="11" t="s">
        <v>263</v>
      </c>
      <c r="D59" s="11" t="s">
        <v>264</v>
      </c>
      <c r="E59" s="12">
        <v>46113</v>
      </c>
      <c r="F59" s="11" t="s">
        <v>265</v>
      </c>
      <c r="G59" s="11" t="s">
        <v>52</v>
      </c>
      <c r="H59" s="11" t="s">
        <v>47</v>
      </c>
      <c r="I59" s="13">
        <v>22</v>
      </c>
      <c r="J59" s="13">
        <v>186.54</v>
      </c>
      <c r="K59" s="13">
        <v>41.04</v>
      </c>
      <c r="L59" s="11" t="s">
        <v>162</v>
      </c>
      <c r="M59" s="12">
        <v>45658</v>
      </c>
      <c r="N59" s="14" t="s">
        <v>300</v>
      </c>
      <c r="O59" s="14"/>
      <c r="P59" s="14"/>
      <c r="Q59" s="11" t="s">
        <v>264</v>
      </c>
      <c r="R59" s="14" t="str">
        <f>CONCATENATE(Q59,8)</f>
        <v>00000926201A8</v>
      </c>
      <c r="S59" s="14"/>
      <c r="T59" s="11" t="s">
        <v>316</v>
      </c>
      <c r="U59" s="14" t="s">
        <v>317</v>
      </c>
      <c r="V59" s="14" t="str">
        <f>_xlfn.CONCAT(U59," ",T59)</f>
        <v>CHARLENE ROSE</v>
      </c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</row>
    <row r="60" spans="1:44" s="10" customFormat="1" x14ac:dyDescent="0.25">
      <c r="A60" s="11" t="s">
        <v>262</v>
      </c>
      <c r="B60" s="14" t="s">
        <v>448</v>
      </c>
      <c r="C60" s="11" t="s">
        <v>266</v>
      </c>
      <c r="D60" s="11" t="s">
        <v>267</v>
      </c>
      <c r="E60" s="12">
        <v>46143</v>
      </c>
      <c r="F60" s="11" t="s">
        <v>50</v>
      </c>
      <c r="G60" s="11" t="s">
        <v>52</v>
      </c>
      <c r="H60" s="11" t="s">
        <v>47</v>
      </c>
      <c r="I60" s="13">
        <v>1</v>
      </c>
      <c r="J60" s="13">
        <v>124.54</v>
      </c>
      <c r="K60" s="13">
        <v>1.25</v>
      </c>
      <c r="L60" s="11" t="s">
        <v>162</v>
      </c>
      <c r="M60" s="12">
        <v>45658</v>
      </c>
      <c r="N60" s="14" t="s">
        <v>298</v>
      </c>
      <c r="O60" s="14"/>
      <c r="P60" s="14"/>
      <c r="Q60" s="11" t="s">
        <v>267</v>
      </c>
      <c r="R60" s="14" t="str">
        <f>CONCATENATE(Q60,8)</f>
        <v>00000941582A8</v>
      </c>
      <c r="S60" s="14"/>
      <c r="T60" s="11" t="s">
        <v>444</v>
      </c>
      <c r="U60" s="14" t="s">
        <v>445</v>
      </c>
      <c r="V60" s="14" t="str">
        <f>_xlfn.CONCAT(U60," ",T60)</f>
        <v>ROBERT BALTZERSEN</v>
      </c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</row>
    <row r="61" spans="1:44" s="10" customFormat="1" x14ac:dyDescent="0.25">
      <c r="A61" s="6" t="s">
        <v>170</v>
      </c>
      <c r="B61" s="26" t="s">
        <v>449</v>
      </c>
      <c r="C61" s="6" t="s">
        <v>173</v>
      </c>
      <c r="D61" s="20">
        <v>9030969880</v>
      </c>
      <c r="E61" s="8">
        <v>46143</v>
      </c>
      <c r="F61" s="6" t="s">
        <v>50</v>
      </c>
      <c r="G61" s="6" t="s">
        <v>167</v>
      </c>
      <c r="H61" s="6" t="s">
        <v>47</v>
      </c>
      <c r="I61" s="9">
        <v>10</v>
      </c>
      <c r="J61" s="9">
        <v>12.99</v>
      </c>
      <c r="K61" s="9">
        <v>1.3</v>
      </c>
      <c r="L61" s="6" t="s">
        <v>168</v>
      </c>
      <c r="M61" s="8">
        <v>45879</v>
      </c>
      <c r="N61" s="10" t="s">
        <v>302</v>
      </c>
      <c r="Q61" s="20">
        <v>9030969880</v>
      </c>
      <c r="R61" s="10" t="str">
        <f>CONCATENATE(Q61,4)</f>
        <v>90309698804</v>
      </c>
      <c r="T61" s="6" t="s">
        <v>333</v>
      </c>
      <c r="U61" s="10" t="s">
        <v>334</v>
      </c>
      <c r="V61" s="14" t="str">
        <f>_xlfn.CONCAT(U61," ",T61)</f>
        <v>Hengameh Estakhri</v>
      </c>
      <c r="AR61"/>
    </row>
    <row r="62" spans="1:44" s="10" customFormat="1" x14ac:dyDescent="0.25">
      <c r="A62" s="6" t="s">
        <v>170</v>
      </c>
      <c r="B62" s="26" t="s">
        <v>449</v>
      </c>
      <c r="C62" s="6" t="s">
        <v>171</v>
      </c>
      <c r="D62" s="20">
        <v>9030925080</v>
      </c>
      <c r="E62" s="8">
        <v>46143</v>
      </c>
      <c r="F62" s="6" t="s">
        <v>50</v>
      </c>
      <c r="G62" s="6" t="s">
        <v>167</v>
      </c>
      <c r="H62" s="6" t="s">
        <v>47</v>
      </c>
      <c r="I62" s="9">
        <v>10</v>
      </c>
      <c r="J62" s="9">
        <v>23.99</v>
      </c>
      <c r="K62" s="9">
        <v>2.4</v>
      </c>
      <c r="L62" s="6" t="s">
        <v>168</v>
      </c>
      <c r="M62" s="8">
        <v>45871</v>
      </c>
      <c r="N62" s="10" t="s">
        <v>302</v>
      </c>
      <c r="Q62" s="20">
        <v>9030925080</v>
      </c>
      <c r="R62" s="10" t="str">
        <f>CONCATENATE(Q62,4)</f>
        <v>90309250804</v>
      </c>
      <c r="T62" s="6" t="s">
        <v>331</v>
      </c>
      <c r="U62" s="10" t="s">
        <v>332</v>
      </c>
      <c r="V62" s="14" t="str">
        <f>_xlfn.CONCAT(U62," ",T62)</f>
        <v>Ryan Danley</v>
      </c>
      <c r="AR62"/>
    </row>
    <row r="63" spans="1:44" s="10" customFormat="1" x14ac:dyDescent="0.25">
      <c r="A63" s="4" t="s">
        <v>128</v>
      </c>
      <c r="B63">
        <v>21646325</v>
      </c>
      <c r="C63" s="4" t="s">
        <v>129</v>
      </c>
      <c r="D63" s="4" t="s">
        <v>130</v>
      </c>
      <c r="E63" s="3">
        <v>46082</v>
      </c>
      <c r="F63" s="4" t="s">
        <v>132</v>
      </c>
      <c r="G63" s="4" t="s">
        <v>52</v>
      </c>
      <c r="H63" s="4" t="s">
        <v>53</v>
      </c>
      <c r="I63" s="5">
        <v>0</v>
      </c>
      <c r="J63" s="5">
        <v>1</v>
      </c>
      <c r="K63" s="5">
        <v>231.33</v>
      </c>
      <c r="L63" s="4" t="s">
        <v>105</v>
      </c>
      <c r="M63" s="3">
        <v>46082</v>
      </c>
      <c r="N63" t="s">
        <v>293</v>
      </c>
      <c r="O63" t="s">
        <v>294</v>
      </c>
      <c r="P63"/>
      <c r="Q63" s="4" t="s">
        <v>130</v>
      </c>
      <c r="R63" s="24" t="str">
        <f>CONCATENATE(Q63,67)</f>
        <v>00024848882K67</v>
      </c>
      <c r="S63"/>
      <c r="T63" s="4" t="s">
        <v>419</v>
      </c>
      <c r="U63" t="s">
        <v>420</v>
      </c>
      <c r="V63" s="14" t="str">
        <f>_xlfn.CONCAT(U63," ",T63)</f>
        <v>JULIETA DUARTE</v>
      </c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</row>
    <row r="64" spans="1:44" s="10" customFormat="1" x14ac:dyDescent="0.25">
      <c r="A64" s="6" t="s">
        <v>164</v>
      </c>
      <c r="B64" s="10">
        <v>17554531</v>
      </c>
      <c r="C64" s="6" t="s">
        <v>165</v>
      </c>
      <c r="D64" s="20">
        <v>9032250000</v>
      </c>
      <c r="E64" s="8">
        <v>46174</v>
      </c>
      <c r="F64" s="6" t="s">
        <v>81</v>
      </c>
      <c r="G64" s="6" t="s">
        <v>167</v>
      </c>
      <c r="H64" s="6" t="s">
        <v>47</v>
      </c>
      <c r="I64" s="9">
        <v>10</v>
      </c>
      <c r="J64" s="9">
        <v>12.24</v>
      </c>
      <c r="K64" s="9">
        <v>1.22</v>
      </c>
      <c r="L64" s="6" t="s">
        <v>168</v>
      </c>
      <c r="M64" s="8">
        <v>46143</v>
      </c>
      <c r="N64" s="10" t="s">
        <v>302</v>
      </c>
      <c r="Q64" s="20">
        <v>9032250000</v>
      </c>
      <c r="R64" s="10" t="str">
        <f>CONCATENATE(Q64,4)</f>
        <v>90322500004</v>
      </c>
      <c r="T64" s="6" t="s">
        <v>329</v>
      </c>
      <c r="U64" s="10" t="s">
        <v>330</v>
      </c>
      <c r="V64" s="14" t="str">
        <f>_xlfn.CONCAT(U64," ",T64)</f>
        <v>Karen Miller</v>
      </c>
      <c r="AR64" s="14"/>
    </row>
    <row r="65" spans="1:44" s="10" customFormat="1" x14ac:dyDescent="0.25">
      <c r="A65" s="4" t="s">
        <v>72</v>
      </c>
      <c r="B65">
        <v>9213293</v>
      </c>
      <c r="C65" s="4" t="s">
        <v>73</v>
      </c>
      <c r="D65" s="4" t="s">
        <v>74</v>
      </c>
      <c r="E65" s="3">
        <v>46143</v>
      </c>
      <c r="F65" s="4" t="s">
        <v>50</v>
      </c>
      <c r="G65" s="4" t="s">
        <v>52</v>
      </c>
      <c r="H65" s="4" t="s">
        <v>53</v>
      </c>
      <c r="I65" s="5">
        <v>0.67</v>
      </c>
      <c r="J65" s="5">
        <v>1</v>
      </c>
      <c r="K65" s="5">
        <v>231.33</v>
      </c>
      <c r="L65" s="4" t="s">
        <v>54</v>
      </c>
      <c r="M65" s="3">
        <v>46143</v>
      </c>
      <c r="N65" t="s">
        <v>293</v>
      </c>
      <c r="O65" t="s">
        <v>294</v>
      </c>
      <c r="P65"/>
      <c r="Q65" s="4" t="s">
        <v>74</v>
      </c>
      <c r="R65" s="24" t="str">
        <f>CONCATENATE(Q65,67)</f>
        <v>00026413635K67</v>
      </c>
      <c r="S65"/>
      <c r="T65" s="4" t="s">
        <v>435</v>
      </c>
      <c r="U65" t="s">
        <v>436</v>
      </c>
      <c r="V65" s="14" t="str">
        <f>_xlfn.CONCAT(U65," ",T65)</f>
        <v>BICH HUYNH</v>
      </c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</row>
    <row r="66" spans="1:44" s="10" customFormat="1" x14ac:dyDescent="0.25">
      <c r="A66" s="16" t="s">
        <v>92</v>
      </c>
      <c r="B66" s="19">
        <v>19645587</v>
      </c>
      <c r="C66" s="16" t="s">
        <v>101</v>
      </c>
      <c r="D66" s="16" t="s">
        <v>102</v>
      </c>
      <c r="E66" s="17">
        <v>46023</v>
      </c>
      <c r="F66" s="16" t="s">
        <v>95</v>
      </c>
      <c r="G66" s="16" t="s">
        <v>52</v>
      </c>
      <c r="H66" s="16" t="s">
        <v>104</v>
      </c>
      <c r="I66" s="18">
        <v>-0.67</v>
      </c>
      <c r="J66" s="18">
        <v>-38</v>
      </c>
      <c r="K66" s="18">
        <v>-38</v>
      </c>
      <c r="L66" s="16" t="s">
        <v>54</v>
      </c>
      <c r="M66" s="17">
        <v>46023</v>
      </c>
      <c r="N66" s="19" t="s">
        <v>297</v>
      </c>
      <c r="O66" s="19"/>
      <c r="P66" s="19"/>
      <c r="Q66" s="16" t="s">
        <v>102</v>
      </c>
      <c r="R66" s="19" t="str">
        <f>CONCATENATE(Q66,9)</f>
        <v>00024569416K9</v>
      </c>
      <c r="S66" s="19"/>
      <c r="T66" s="16" t="s">
        <v>446</v>
      </c>
      <c r="U66" s="19" t="s">
        <v>447</v>
      </c>
      <c r="V66" s="14" t="str">
        <f>_xlfn.CONCAT(U66," ",T66)</f>
        <v>SHERWOOD BLITSTEIN</v>
      </c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</row>
    <row r="67" spans="1:44" s="10" customFormat="1" x14ac:dyDescent="0.25">
      <c r="A67" s="16" t="s">
        <v>92</v>
      </c>
      <c r="B67" s="19">
        <v>19645587</v>
      </c>
      <c r="C67" s="16" t="s">
        <v>101</v>
      </c>
      <c r="D67" s="16" t="s">
        <v>102</v>
      </c>
      <c r="E67" s="17">
        <v>46023</v>
      </c>
      <c r="F67" s="16" t="s">
        <v>95</v>
      </c>
      <c r="G67" s="16" t="s">
        <v>52</v>
      </c>
      <c r="H67" s="16" t="s">
        <v>104</v>
      </c>
      <c r="I67" s="18">
        <v>0</v>
      </c>
      <c r="J67" s="18">
        <v>19</v>
      </c>
      <c r="K67" s="18">
        <v>19</v>
      </c>
      <c r="L67" s="16" t="s">
        <v>105</v>
      </c>
      <c r="M67" s="17">
        <v>46023</v>
      </c>
      <c r="N67" s="19" t="s">
        <v>297</v>
      </c>
      <c r="O67" s="19"/>
      <c r="P67" s="19"/>
      <c r="Q67" s="16" t="s">
        <v>102</v>
      </c>
      <c r="R67" s="19" t="str">
        <f>CONCATENATE(Q67,9)</f>
        <v>00024569416K9</v>
      </c>
      <c r="S67" s="19"/>
      <c r="T67" s="16" t="s">
        <v>446</v>
      </c>
      <c r="U67" s="19" t="s">
        <v>447</v>
      </c>
      <c r="V67" s="14" t="str">
        <f>_xlfn.CONCAT(U67," ",T67)</f>
        <v>SHERWOOD BLITSTEIN</v>
      </c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</row>
    <row r="68" spans="1:44" s="10" customFormat="1" x14ac:dyDescent="0.25">
      <c r="A68" s="11" t="s">
        <v>154</v>
      </c>
      <c r="B68" s="14">
        <v>9079571</v>
      </c>
      <c r="C68" s="11" t="s">
        <v>155</v>
      </c>
      <c r="D68" s="11" t="s">
        <v>156</v>
      </c>
      <c r="E68" s="12">
        <v>46143</v>
      </c>
      <c r="F68" s="11" t="s">
        <v>50</v>
      </c>
      <c r="G68" s="11" t="s">
        <v>52</v>
      </c>
      <c r="H68" s="11" t="s">
        <v>47</v>
      </c>
      <c r="I68" s="13">
        <v>11</v>
      </c>
      <c r="J68" s="13">
        <v>141.47999999999999</v>
      </c>
      <c r="K68" s="13">
        <v>15.56</v>
      </c>
      <c r="L68" s="11" t="s">
        <v>157</v>
      </c>
      <c r="M68" s="12">
        <v>45689</v>
      </c>
      <c r="N68" s="14" t="s">
        <v>299</v>
      </c>
      <c r="O68" s="14"/>
      <c r="P68" s="14"/>
      <c r="Q68" s="11" t="s">
        <v>156</v>
      </c>
      <c r="R68" s="14" t="str">
        <f>CONCATENATE(Q68,8)</f>
        <v>00000959227A8</v>
      </c>
      <c r="S68" s="14"/>
      <c r="T68" s="11" t="s">
        <v>323</v>
      </c>
      <c r="U68" s="14" t="s">
        <v>324</v>
      </c>
      <c r="V68" s="14" t="str">
        <f>_xlfn.CONCAT(U68," ",T68)</f>
        <v>BRUCE WHITE</v>
      </c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</row>
    <row r="69" spans="1:44" s="24" customFormat="1" x14ac:dyDescent="0.25">
      <c r="A69" s="11" t="s">
        <v>274</v>
      </c>
      <c r="B69" s="14">
        <v>21618313</v>
      </c>
      <c r="C69" s="11" t="s">
        <v>287</v>
      </c>
      <c r="D69" s="11" t="s">
        <v>288</v>
      </c>
      <c r="E69" s="12">
        <v>46143</v>
      </c>
      <c r="F69" s="11" t="s">
        <v>50</v>
      </c>
      <c r="G69" s="11" t="s">
        <v>52</v>
      </c>
      <c r="H69" s="11" t="s">
        <v>47</v>
      </c>
      <c r="I69" s="13">
        <v>22</v>
      </c>
      <c r="J69" s="13">
        <v>146.35</v>
      </c>
      <c r="K69" s="13">
        <v>32.200000000000003</v>
      </c>
      <c r="L69" s="11" t="s">
        <v>270</v>
      </c>
      <c r="M69" s="12">
        <v>46113</v>
      </c>
      <c r="N69" s="14" t="s">
        <v>300</v>
      </c>
      <c r="O69" s="14"/>
      <c r="P69" s="14"/>
      <c r="Q69" s="11" t="s">
        <v>288</v>
      </c>
      <c r="R69" s="14" t="str">
        <f>CONCATENATE(Q69,8)</f>
        <v>00001154902A8</v>
      </c>
      <c r="S69" s="14"/>
      <c r="T69" s="11" t="s">
        <v>321</v>
      </c>
      <c r="U69" s="14" t="s">
        <v>322</v>
      </c>
      <c r="V69" s="14" t="str">
        <f>_xlfn.CONCAT(U69," ",T69)</f>
        <v>KENNETH KLEINFELTER</v>
      </c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</row>
    <row r="70" spans="1:44" s="10" customFormat="1" x14ac:dyDescent="0.25">
      <c r="A70" s="11" t="s">
        <v>274</v>
      </c>
      <c r="B70" s="14">
        <v>21618313</v>
      </c>
      <c r="C70" s="11" t="s">
        <v>285</v>
      </c>
      <c r="D70" s="11" t="s">
        <v>286</v>
      </c>
      <c r="E70" s="12">
        <v>46143</v>
      </c>
      <c r="F70" s="11" t="s">
        <v>50</v>
      </c>
      <c r="G70" s="11" t="s">
        <v>52</v>
      </c>
      <c r="H70" s="11" t="s">
        <v>47</v>
      </c>
      <c r="I70" s="13">
        <v>26</v>
      </c>
      <c r="J70" s="13">
        <v>146.80000000000001</v>
      </c>
      <c r="K70" s="13">
        <v>38.17</v>
      </c>
      <c r="L70" s="11" t="s">
        <v>270</v>
      </c>
      <c r="M70" s="12">
        <v>45992</v>
      </c>
      <c r="N70" s="14" t="s">
        <v>301</v>
      </c>
      <c r="O70" s="14"/>
      <c r="P70" s="14"/>
      <c r="Q70" s="11" t="s">
        <v>286</v>
      </c>
      <c r="R70" s="14" t="str">
        <f>CONCATENATE(Q70,8)</f>
        <v>00001076680A8</v>
      </c>
      <c r="S70" s="14"/>
      <c r="T70" s="11" t="s">
        <v>325</v>
      </c>
      <c r="U70" s="14" t="s">
        <v>326</v>
      </c>
      <c r="V70" s="14" t="str">
        <f>_xlfn.CONCAT(U70," ",T70)</f>
        <v>PAUL SCHWARTZ</v>
      </c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</row>
    <row r="71" spans="1:44" s="10" customFormat="1" x14ac:dyDescent="0.25">
      <c r="A71" s="11" t="s">
        <v>274</v>
      </c>
      <c r="B71" s="14">
        <v>21618313</v>
      </c>
      <c r="C71" s="11" t="s">
        <v>275</v>
      </c>
      <c r="D71" s="11" t="s">
        <v>276</v>
      </c>
      <c r="E71" s="12">
        <v>45901</v>
      </c>
      <c r="F71" s="11" t="s">
        <v>278</v>
      </c>
      <c r="G71" s="11" t="s">
        <v>52</v>
      </c>
      <c r="H71" s="11" t="s">
        <v>47</v>
      </c>
      <c r="I71" s="13">
        <v>22</v>
      </c>
      <c r="J71" s="13">
        <v>-112.62</v>
      </c>
      <c r="K71" s="13">
        <v>-24.78</v>
      </c>
      <c r="L71" s="11" t="s">
        <v>279</v>
      </c>
      <c r="M71" s="12">
        <v>45870</v>
      </c>
      <c r="N71" s="14" t="s">
        <v>300</v>
      </c>
      <c r="O71" s="14"/>
      <c r="P71" s="14"/>
      <c r="Q71" s="11" t="s">
        <v>276</v>
      </c>
      <c r="R71" s="14" t="str">
        <f>CONCATENATE(Q71,8)</f>
        <v>00001028740A8</v>
      </c>
      <c r="S71" s="14"/>
      <c r="T71" s="11" t="s">
        <v>320</v>
      </c>
      <c r="U71" s="14" t="s">
        <v>319</v>
      </c>
      <c r="V71" s="14" t="str">
        <f>_xlfn.CONCAT(U71," ",T71)</f>
        <v>KAREN PAINTER</v>
      </c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</row>
    <row r="72" spans="1:44" s="10" customFormat="1" x14ac:dyDescent="0.25">
      <c r="A72" s="11" t="s">
        <v>274</v>
      </c>
      <c r="B72" s="14">
        <v>21618313</v>
      </c>
      <c r="C72" s="11" t="s">
        <v>275</v>
      </c>
      <c r="D72" s="11" t="s">
        <v>276</v>
      </c>
      <c r="E72" s="12">
        <v>45931</v>
      </c>
      <c r="F72" s="11" t="s">
        <v>281</v>
      </c>
      <c r="G72" s="11" t="s">
        <v>52</v>
      </c>
      <c r="H72" s="11" t="s">
        <v>47</v>
      </c>
      <c r="I72" s="13">
        <v>22</v>
      </c>
      <c r="J72" s="13">
        <v>-112.62</v>
      </c>
      <c r="K72" s="13">
        <v>-24.78</v>
      </c>
      <c r="L72" s="11" t="s">
        <v>279</v>
      </c>
      <c r="M72" s="12">
        <v>45870</v>
      </c>
      <c r="N72" s="14" t="s">
        <v>300</v>
      </c>
      <c r="O72" s="14"/>
      <c r="P72" s="14"/>
      <c r="Q72" s="11" t="s">
        <v>276</v>
      </c>
      <c r="R72" s="14" t="str">
        <f>CONCATENATE(Q72,8)</f>
        <v>00001028740A8</v>
      </c>
      <c r="S72" s="14"/>
      <c r="T72" s="11" t="s">
        <v>320</v>
      </c>
      <c r="U72" s="14" t="s">
        <v>319</v>
      </c>
      <c r="V72" s="14" t="str">
        <f>_xlfn.CONCAT(U72," ",T72)</f>
        <v>KAREN PAINTER</v>
      </c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</row>
    <row r="73" spans="1:44" s="10" customFormat="1" x14ac:dyDescent="0.25">
      <c r="A73" s="11" t="s">
        <v>274</v>
      </c>
      <c r="B73" s="14">
        <v>21618313</v>
      </c>
      <c r="C73" s="11" t="s">
        <v>275</v>
      </c>
      <c r="D73" s="11" t="s">
        <v>276</v>
      </c>
      <c r="E73" s="12">
        <v>45962</v>
      </c>
      <c r="F73" s="11" t="s">
        <v>282</v>
      </c>
      <c r="G73" s="11" t="s">
        <v>52</v>
      </c>
      <c r="H73" s="11" t="s">
        <v>47</v>
      </c>
      <c r="I73" s="13">
        <v>22</v>
      </c>
      <c r="J73" s="13">
        <v>-112.62</v>
      </c>
      <c r="K73" s="13">
        <v>-24.78</v>
      </c>
      <c r="L73" s="11" t="s">
        <v>279</v>
      </c>
      <c r="M73" s="12">
        <v>45870</v>
      </c>
      <c r="N73" s="14" t="s">
        <v>300</v>
      </c>
      <c r="O73" s="14"/>
      <c r="P73" s="14"/>
      <c r="Q73" s="11" t="s">
        <v>276</v>
      </c>
      <c r="R73" s="14" t="str">
        <f>CONCATENATE(Q73,8)</f>
        <v>00001028740A8</v>
      </c>
      <c r="S73" s="14"/>
      <c r="T73" s="11" t="s">
        <v>320</v>
      </c>
      <c r="U73" s="14" t="s">
        <v>319</v>
      </c>
      <c r="V73" s="14" t="str">
        <f>_xlfn.CONCAT(U73," ",T73)</f>
        <v>KAREN PAINTER</v>
      </c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</row>
    <row r="74" spans="1:44" s="10" customFormat="1" x14ac:dyDescent="0.25">
      <c r="A74" s="11" t="s">
        <v>274</v>
      </c>
      <c r="B74" s="14">
        <v>21618313</v>
      </c>
      <c r="C74" s="11" t="s">
        <v>275</v>
      </c>
      <c r="D74" s="11" t="s">
        <v>276</v>
      </c>
      <c r="E74" s="12">
        <v>45992</v>
      </c>
      <c r="F74" s="11" t="s">
        <v>283</v>
      </c>
      <c r="G74" s="11" t="s">
        <v>52</v>
      </c>
      <c r="H74" s="11" t="s">
        <v>47</v>
      </c>
      <c r="I74" s="13">
        <v>22</v>
      </c>
      <c r="J74" s="13">
        <v>-112.62</v>
      </c>
      <c r="K74" s="13">
        <v>-24.78</v>
      </c>
      <c r="L74" s="11" t="s">
        <v>279</v>
      </c>
      <c r="M74" s="12">
        <v>45870</v>
      </c>
      <c r="N74" s="14" t="s">
        <v>300</v>
      </c>
      <c r="O74" s="14"/>
      <c r="P74" s="14"/>
      <c r="Q74" s="11" t="s">
        <v>276</v>
      </c>
      <c r="R74" s="14" t="str">
        <f>CONCATENATE(Q74,8)</f>
        <v>00001028740A8</v>
      </c>
      <c r="S74" s="14"/>
      <c r="T74" s="11" t="s">
        <v>320</v>
      </c>
      <c r="U74" s="14" t="s">
        <v>319</v>
      </c>
      <c r="V74" s="14" t="str">
        <f>_xlfn.CONCAT(U74," ",T74)</f>
        <v>KAREN PAINTER</v>
      </c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</row>
    <row r="75" spans="1:44" s="10" customFormat="1" x14ac:dyDescent="0.25">
      <c r="A75" s="11" t="s">
        <v>274</v>
      </c>
      <c r="B75" s="14">
        <v>21618313</v>
      </c>
      <c r="C75" s="11" t="s">
        <v>275</v>
      </c>
      <c r="D75" s="11" t="s">
        <v>276</v>
      </c>
      <c r="E75" s="12">
        <v>46023</v>
      </c>
      <c r="F75" s="11" t="s">
        <v>95</v>
      </c>
      <c r="G75" s="11" t="s">
        <v>52</v>
      </c>
      <c r="H75" s="11" t="s">
        <v>47</v>
      </c>
      <c r="I75" s="13">
        <v>22</v>
      </c>
      <c r="J75" s="13">
        <v>-112.62</v>
      </c>
      <c r="K75" s="13">
        <v>-24.78</v>
      </c>
      <c r="L75" s="11" t="s">
        <v>279</v>
      </c>
      <c r="M75" s="12">
        <v>45870</v>
      </c>
      <c r="N75" s="14" t="s">
        <v>300</v>
      </c>
      <c r="O75" s="14"/>
      <c r="P75" s="14"/>
      <c r="Q75" s="11" t="s">
        <v>276</v>
      </c>
      <c r="R75" s="14" t="str">
        <f>CONCATENATE(Q75,8)</f>
        <v>00001028740A8</v>
      </c>
      <c r="S75" s="14"/>
      <c r="T75" s="11" t="s">
        <v>320</v>
      </c>
      <c r="U75" s="14" t="s">
        <v>319</v>
      </c>
      <c r="V75" s="14" t="str">
        <f>_xlfn.CONCAT(U75," ",T75)</f>
        <v>KAREN PAINTER</v>
      </c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</row>
    <row r="76" spans="1:44" s="10" customFormat="1" x14ac:dyDescent="0.25">
      <c r="A76" s="11" t="s">
        <v>274</v>
      </c>
      <c r="B76" s="14">
        <v>21618313</v>
      </c>
      <c r="C76" s="11" t="s">
        <v>275</v>
      </c>
      <c r="D76" s="11" t="s">
        <v>276</v>
      </c>
      <c r="E76" s="12">
        <v>46054</v>
      </c>
      <c r="F76" s="11" t="s">
        <v>284</v>
      </c>
      <c r="G76" s="11" t="s">
        <v>52</v>
      </c>
      <c r="H76" s="11" t="s">
        <v>47</v>
      </c>
      <c r="I76" s="13">
        <v>22</v>
      </c>
      <c r="J76" s="13">
        <v>-112.62</v>
      </c>
      <c r="K76" s="13">
        <v>-24.78</v>
      </c>
      <c r="L76" s="11" t="s">
        <v>279</v>
      </c>
      <c r="M76" s="12">
        <v>45870</v>
      </c>
      <c r="N76" s="14" t="s">
        <v>300</v>
      </c>
      <c r="O76" s="14"/>
      <c r="P76" s="14"/>
      <c r="Q76" s="11" t="s">
        <v>276</v>
      </c>
      <c r="R76" s="14" t="str">
        <f>CONCATENATE(Q76,8)</f>
        <v>00001028740A8</v>
      </c>
      <c r="S76" s="14"/>
      <c r="T76" s="11" t="s">
        <v>320</v>
      </c>
      <c r="U76" s="14" t="s">
        <v>319</v>
      </c>
      <c r="V76" s="14" t="str">
        <f>_xlfn.CONCAT(U76," ",T76)</f>
        <v>KAREN PAINTER</v>
      </c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</row>
    <row r="77" spans="1:44" s="10" customFormat="1" x14ac:dyDescent="0.25">
      <c r="A77" s="11" t="s">
        <v>274</v>
      </c>
      <c r="B77" s="14">
        <v>21618313</v>
      </c>
      <c r="C77" s="11" t="s">
        <v>275</v>
      </c>
      <c r="D77" s="11" t="s">
        <v>276</v>
      </c>
      <c r="E77" s="12">
        <v>46082</v>
      </c>
      <c r="F77" s="11" t="s">
        <v>132</v>
      </c>
      <c r="G77" s="11" t="s">
        <v>52</v>
      </c>
      <c r="H77" s="11" t="s">
        <v>47</v>
      </c>
      <c r="I77" s="13">
        <v>22</v>
      </c>
      <c r="J77" s="13">
        <v>-112.62</v>
      </c>
      <c r="K77" s="13">
        <v>-24.78</v>
      </c>
      <c r="L77" s="11" t="s">
        <v>279</v>
      </c>
      <c r="M77" s="12">
        <v>45870</v>
      </c>
      <c r="N77" s="14" t="s">
        <v>300</v>
      </c>
      <c r="O77" s="14"/>
      <c r="P77" s="14"/>
      <c r="Q77" s="11" t="s">
        <v>276</v>
      </c>
      <c r="R77" s="14" t="str">
        <f>CONCATENATE(Q77,8)</f>
        <v>00001028740A8</v>
      </c>
      <c r="S77" s="14"/>
      <c r="T77" s="11" t="s">
        <v>320</v>
      </c>
      <c r="U77" s="14" t="s">
        <v>319</v>
      </c>
      <c r="V77" s="14" t="str">
        <f>_xlfn.CONCAT(U77," ",T77)</f>
        <v>KAREN PAINTER</v>
      </c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</row>
    <row r="78" spans="1:44" s="10" customFormat="1" x14ac:dyDescent="0.25">
      <c r="A78" s="11" t="s">
        <v>274</v>
      </c>
      <c r="B78" s="14">
        <v>21618313</v>
      </c>
      <c r="C78" s="11" t="s">
        <v>275</v>
      </c>
      <c r="D78" s="11" t="s">
        <v>276</v>
      </c>
      <c r="E78" s="12">
        <v>46113</v>
      </c>
      <c r="F78" s="11" t="s">
        <v>265</v>
      </c>
      <c r="G78" s="11" t="s">
        <v>52</v>
      </c>
      <c r="H78" s="11" t="s">
        <v>47</v>
      </c>
      <c r="I78" s="13">
        <v>22</v>
      </c>
      <c r="J78" s="13">
        <v>-112.62</v>
      </c>
      <c r="K78" s="13">
        <v>-24.78</v>
      </c>
      <c r="L78" s="11" t="s">
        <v>279</v>
      </c>
      <c r="M78" s="12">
        <v>45870</v>
      </c>
      <c r="N78" s="14" t="s">
        <v>300</v>
      </c>
      <c r="O78" s="14"/>
      <c r="P78" s="14"/>
      <c r="Q78" s="11" t="s">
        <v>276</v>
      </c>
      <c r="R78" s="14" t="str">
        <f>CONCATENATE(Q78,8)</f>
        <v>00001028740A8</v>
      </c>
      <c r="S78" s="14"/>
      <c r="T78" s="11" t="s">
        <v>320</v>
      </c>
      <c r="U78" s="14" t="s">
        <v>319</v>
      </c>
      <c r="V78" s="14" t="str">
        <f>_xlfn.CONCAT(U78," ",T78)</f>
        <v>KAREN PAINTER</v>
      </c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</row>
    <row r="79" spans="1:44" s="10" customFormat="1" x14ac:dyDescent="0.25">
      <c r="A79" s="4" t="s">
        <v>88</v>
      </c>
      <c r="B79">
        <v>19200754</v>
      </c>
      <c r="C79" s="4" t="s">
        <v>89</v>
      </c>
      <c r="D79" s="4" t="s">
        <v>90</v>
      </c>
      <c r="E79" s="3">
        <v>46143</v>
      </c>
      <c r="F79" s="4" t="s">
        <v>50</v>
      </c>
      <c r="G79" s="4" t="s">
        <v>52</v>
      </c>
      <c r="H79" s="4" t="s">
        <v>53</v>
      </c>
      <c r="I79" s="5">
        <v>0.67</v>
      </c>
      <c r="J79" s="5">
        <v>1</v>
      </c>
      <c r="K79" s="5">
        <v>231.33</v>
      </c>
      <c r="L79" s="4" t="s">
        <v>54</v>
      </c>
      <c r="M79" s="3">
        <v>46143</v>
      </c>
      <c r="N79" t="s">
        <v>293</v>
      </c>
      <c r="O79" t="s">
        <v>294</v>
      </c>
      <c r="P79"/>
      <c r="Q79" s="4" t="s">
        <v>90</v>
      </c>
      <c r="R79" s="24" t="str">
        <f>CONCATENATE(Q79,67)</f>
        <v>00026423200K67</v>
      </c>
      <c r="S79"/>
      <c r="T79" s="4" t="s">
        <v>439</v>
      </c>
      <c r="U79" t="s">
        <v>440</v>
      </c>
      <c r="V79" s="14" t="str">
        <f>_xlfn.CONCAT(U79," ",T79)</f>
        <v>LIBRADO HIDALGO</v>
      </c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</row>
    <row r="80" spans="1:44" s="10" customFormat="1" x14ac:dyDescent="0.25">
      <c r="A80" s="4" t="s">
        <v>108</v>
      </c>
      <c r="B80">
        <v>20490188</v>
      </c>
      <c r="C80" s="4" t="s">
        <v>109</v>
      </c>
      <c r="D80" s="4" t="s">
        <v>110</v>
      </c>
      <c r="E80" s="3">
        <v>46143</v>
      </c>
      <c r="F80" s="4" t="s">
        <v>50</v>
      </c>
      <c r="G80" s="4" t="s">
        <v>52</v>
      </c>
      <c r="H80" s="4" t="s">
        <v>53</v>
      </c>
      <c r="I80" s="5">
        <v>0.67</v>
      </c>
      <c r="J80" s="5">
        <v>1</v>
      </c>
      <c r="K80" s="5">
        <v>231.33</v>
      </c>
      <c r="L80" s="4" t="s">
        <v>54</v>
      </c>
      <c r="M80" s="3">
        <v>46143</v>
      </c>
      <c r="N80" t="s">
        <v>293</v>
      </c>
      <c r="O80" t="s">
        <v>294</v>
      </c>
      <c r="P80"/>
      <c r="Q80" s="4" t="s">
        <v>110</v>
      </c>
      <c r="R80" s="24" t="str">
        <f>CONCATENATE(Q80,67)</f>
        <v>00026415867K67</v>
      </c>
      <c r="S80"/>
      <c r="T80" s="4" t="s">
        <v>441</v>
      </c>
      <c r="U80" t="s">
        <v>430</v>
      </c>
      <c r="V80" s="14" t="str">
        <f>_xlfn.CONCAT(U80," ",T80)</f>
        <v>JOHN BAERTSCHI</v>
      </c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</row>
    <row r="81" spans="1:44" s="10" customFormat="1" x14ac:dyDescent="0.25">
      <c r="A81" s="4" t="s">
        <v>116</v>
      </c>
      <c r="B81">
        <v>7565575</v>
      </c>
      <c r="C81" s="4" t="s">
        <v>117</v>
      </c>
      <c r="D81" s="4" t="s">
        <v>118</v>
      </c>
      <c r="E81" s="3">
        <v>46143</v>
      </c>
      <c r="F81" s="4" t="s">
        <v>50</v>
      </c>
      <c r="G81" s="4" t="s">
        <v>52</v>
      </c>
      <c r="H81" s="4" t="s">
        <v>53</v>
      </c>
      <c r="I81" s="5">
        <v>-0.67</v>
      </c>
      <c r="J81" s="5">
        <v>-1</v>
      </c>
      <c r="K81" s="5">
        <v>-231.33</v>
      </c>
      <c r="L81" s="4" t="s">
        <v>54</v>
      </c>
      <c r="M81" s="3">
        <v>46143</v>
      </c>
      <c r="N81" t="s">
        <v>293</v>
      </c>
      <c r="O81" t="s">
        <v>294</v>
      </c>
      <c r="P81"/>
      <c r="Q81" s="4" t="s">
        <v>118</v>
      </c>
      <c r="R81" s="24" t="str">
        <f>CONCATENATE(Q81,67)</f>
        <v>00026223632K67</v>
      </c>
      <c r="S81"/>
      <c r="T81" s="4" t="s">
        <v>417</v>
      </c>
      <c r="U81" t="s">
        <v>418</v>
      </c>
      <c r="V81" s="14" t="str">
        <f>_xlfn.CONCAT(U81," ",T81)</f>
        <v>DARRYL REED</v>
      </c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</row>
    <row r="82" spans="1:44" s="10" customFormat="1" x14ac:dyDescent="0.25">
      <c r="A82" s="4" t="s">
        <v>116</v>
      </c>
      <c r="B82">
        <v>7565575</v>
      </c>
      <c r="C82" s="4" t="s">
        <v>120</v>
      </c>
      <c r="D82" s="4" t="s">
        <v>121</v>
      </c>
      <c r="E82" s="3">
        <v>46143</v>
      </c>
      <c r="F82" s="4" t="s">
        <v>50</v>
      </c>
      <c r="G82" s="4" t="s">
        <v>52</v>
      </c>
      <c r="H82" s="4" t="s">
        <v>70</v>
      </c>
      <c r="I82" s="5">
        <v>0.67</v>
      </c>
      <c r="J82" s="5">
        <v>1</v>
      </c>
      <c r="K82" s="5">
        <v>231.33</v>
      </c>
      <c r="L82" s="4" t="s">
        <v>54</v>
      </c>
      <c r="M82" s="3">
        <v>46143</v>
      </c>
      <c r="N82" t="s">
        <v>293</v>
      </c>
      <c r="O82" t="s">
        <v>294</v>
      </c>
      <c r="P82"/>
      <c r="Q82" s="4" t="s">
        <v>121</v>
      </c>
      <c r="R82" s="24" t="str">
        <f>CONCATENATE(Q82,67)</f>
        <v>00026428954K67</v>
      </c>
      <c r="S82"/>
      <c r="T82" s="4" t="s">
        <v>429</v>
      </c>
      <c r="U82" t="s">
        <v>430</v>
      </c>
      <c r="V82" s="14" t="str">
        <f>_xlfn.CONCAT(U82," ",T82)</f>
        <v>JOHN BEAUPIED</v>
      </c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</row>
    <row r="83" spans="1:44" s="10" customFormat="1" x14ac:dyDescent="0.25">
      <c r="A83" s="21" t="s">
        <v>43</v>
      </c>
      <c r="B83" s="24">
        <v>8307933</v>
      </c>
      <c r="C83" s="21" t="s">
        <v>44</v>
      </c>
      <c r="D83" s="21" t="s">
        <v>45</v>
      </c>
      <c r="E83" s="22">
        <v>46143</v>
      </c>
      <c r="F83" s="21" t="s">
        <v>50</v>
      </c>
      <c r="G83" s="21" t="s">
        <v>52</v>
      </c>
      <c r="H83" s="21" t="s">
        <v>53</v>
      </c>
      <c r="I83" s="23">
        <v>-0.67</v>
      </c>
      <c r="J83" s="23">
        <v>-1</v>
      </c>
      <c r="K83" s="23">
        <v>-231.33</v>
      </c>
      <c r="L83" s="21" t="s">
        <v>54</v>
      </c>
      <c r="M83" s="22">
        <v>46143</v>
      </c>
      <c r="N83" s="24" t="s">
        <v>293</v>
      </c>
      <c r="O83" s="24" t="s">
        <v>294</v>
      </c>
      <c r="P83" s="24"/>
      <c r="Q83" s="21" t="s">
        <v>45</v>
      </c>
      <c r="R83" s="24" t="str">
        <f>CONCATENATE(Q83,67)</f>
        <v>00026260016K67</v>
      </c>
      <c r="S83" s="24"/>
      <c r="T83" s="21" t="s">
        <v>415</v>
      </c>
      <c r="U83" s="24" t="s">
        <v>416</v>
      </c>
      <c r="V83" s="14" t="str">
        <f>_xlfn.CONCAT(U83," ",T83)</f>
        <v>ANNA YI</v>
      </c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</row>
    <row r="84" spans="1:44" s="10" customFormat="1" x14ac:dyDescent="0.25">
      <c r="A84" s="4" t="s">
        <v>43</v>
      </c>
      <c r="B84">
        <v>8307933</v>
      </c>
      <c r="C84" s="4" t="s">
        <v>57</v>
      </c>
      <c r="D84" s="4" t="s">
        <v>58</v>
      </c>
      <c r="E84" s="3">
        <v>46143</v>
      </c>
      <c r="F84" s="4" t="s">
        <v>50</v>
      </c>
      <c r="G84" s="4" t="s">
        <v>52</v>
      </c>
      <c r="H84" s="4" t="s">
        <v>53</v>
      </c>
      <c r="I84" s="5">
        <v>0.67</v>
      </c>
      <c r="J84" s="5">
        <v>1</v>
      </c>
      <c r="K84" s="5">
        <v>231.33</v>
      </c>
      <c r="L84" s="4" t="s">
        <v>54</v>
      </c>
      <c r="M84" s="3">
        <v>46143</v>
      </c>
      <c r="N84" t="s">
        <v>293</v>
      </c>
      <c r="O84" t="s">
        <v>294</v>
      </c>
      <c r="P84"/>
      <c r="Q84" s="4" t="s">
        <v>58</v>
      </c>
      <c r="R84" s="24" t="str">
        <f>CONCATENATE(Q84,67)</f>
        <v>00026417432K67</v>
      </c>
      <c r="S84"/>
      <c r="T84" s="4" t="s">
        <v>431</v>
      </c>
      <c r="U84" t="s">
        <v>432</v>
      </c>
      <c r="V84" s="14" t="str">
        <f>_xlfn.CONCAT(U84," ",T84)</f>
        <v>VINCE TARALLO</v>
      </c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</row>
    <row r="85" spans="1:44" s="19" customFormat="1" x14ac:dyDescent="0.25">
      <c r="A85" s="4" t="s">
        <v>112</v>
      </c>
      <c r="B85">
        <v>20212926</v>
      </c>
      <c r="C85" s="4" t="s">
        <v>113</v>
      </c>
      <c r="D85" s="4" t="s">
        <v>114</v>
      </c>
      <c r="E85" s="3">
        <v>46143</v>
      </c>
      <c r="F85" s="4" t="s">
        <v>50</v>
      </c>
      <c r="G85" s="4" t="s">
        <v>52</v>
      </c>
      <c r="H85" s="4" t="s">
        <v>53</v>
      </c>
      <c r="I85" s="5">
        <v>0.67</v>
      </c>
      <c r="J85" s="5">
        <v>1</v>
      </c>
      <c r="K85" s="5">
        <v>231.33</v>
      </c>
      <c r="L85" s="4" t="s">
        <v>54</v>
      </c>
      <c r="M85" s="3">
        <v>46143</v>
      </c>
      <c r="N85" t="s">
        <v>293</v>
      </c>
      <c r="O85" t="s">
        <v>294</v>
      </c>
      <c r="P85"/>
      <c r="Q85" s="4" t="s">
        <v>114</v>
      </c>
      <c r="R85" s="24" t="str">
        <f>CONCATENATE(Q85,67)</f>
        <v>00026413680K67</v>
      </c>
      <c r="S85"/>
      <c r="T85" s="4" t="s">
        <v>442</v>
      </c>
      <c r="U85" t="s">
        <v>443</v>
      </c>
      <c r="V85" s="14" t="str">
        <f>_xlfn.CONCAT(U85," ",T85)</f>
        <v>ALFREDO LESCANO</v>
      </c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 s="10"/>
    </row>
    <row r="86" spans="1:44" s="19" customFormat="1" x14ac:dyDescent="0.25">
      <c r="A86" s="4" t="s">
        <v>66</v>
      </c>
      <c r="B86">
        <v>16633294</v>
      </c>
      <c r="C86" s="4" t="s">
        <v>67</v>
      </c>
      <c r="D86" s="4" t="s">
        <v>68</v>
      </c>
      <c r="E86" s="3">
        <v>46143</v>
      </c>
      <c r="F86" s="4" t="s">
        <v>50</v>
      </c>
      <c r="G86" s="4" t="s">
        <v>52</v>
      </c>
      <c r="H86" s="4" t="s">
        <v>70</v>
      </c>
      <c r="I86" s="5">
        <v>0.67</v>
      </c>
      <c r="J86" s="5">
        <v>1</v>
      </c>
      <c r="K86" s="5">
        <v>231.33</v>
      </c>
      <c r="L86" s="4" t="s">
        <v>54</v>
      </c>
      <c r="M86" s="3">
        <v>46143</v>
      </c>
      <c r="N86" t="s">
        <v>293</v>
      </c>
      <c r="O86" t="s">
        <v>294</v>
      </c>
      <c r="P86"/>
      <c r="Q86" s="4" t="s">
        <v>68</v>
      </c>
      <c r="R86" s="24" t="str">
        <f>CONCATENATE(Q86,67)</f>
        <v>00026426888K67</v>
      </c>
      <c r="S86"/>
      <c r="T86" s="4" t="s">
        <v>425</v>
      </c>
      <c r="U86" t="s">
        <v>426</v>
      </c>
      <c r="V86" s="14" t="str">
        <f>_xlfn.CONCAT(U86," ",T86)</f>
        <v>HOWARD FISHMAN</v>
      </c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 s="10"/>
    </row>
  </sheetData>
  <sortState xmlns:xlrd2="http://schemas.microsoft.com/office/spreadsheetml/2017/richdata2" ref="A2:AR86">
    <sortCondition ref="A2:A86"/>
    <sortCondition descending="1" ref="M2:M86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</cp:lastModifiedBy>
  <dcterms:created xsi:type="dcterms:W3CDTF">2026-05-01T06:00:21Z</dcterms:created>
  <dcterms:modified xsi:type="dcterms:W3CDTF">2026-05-04T15:47:46Z</dcterms:modified>
</cp:coreProperties>
</file>