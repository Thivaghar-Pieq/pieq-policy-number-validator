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4-1-26\"/>
    </mc:Choice>
  </mc:AlternateContent>
  <xr:revisionPtr revIDLastSave="0" documentId="13_ncr:1_{E7648FEB-69A7-4744-8122-93E6152DAFCF}" xr6:coauthVersionLast="47" xr6:coauthVersionMax="47" xr10:uidLastSave="{00000000-0000-0000-0000-000000000000}"/>
  <bookViews>
    <workbookView xWindow="-120" yWindow="-120" windowWidth="29040" windowHeight="16440" activeTab="1" xr2:uid="{4CDF9647-5D67-47AA-880A-7C2925A7BB05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V78" i="2" l="1"/>
  <c r="V72" i="2"/>
  <c r="V50" i="2"/>
  <c r="V51" i="2"/>
  <c r="V14" i="2"/>
  <c r="V63" i="2"/>
  <c r="V47" i="2"/>
  <c r="V64" i="2"/>
  <c r="V65" i="2"/>
  <c r="V66" i="2"/>
  <c r="V67" i="2"/>
  <c r="V52" i="2"/>
  <c r="V68" i="2"/>
  <c r="V69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62" i="2"/>
  <c r="V70" i="2"/>
  <c r="V71" i="2"/>
  <c r="V36" i="2"/>
  <c r="V37" i="2"/>
  <c r="V38" i="2"/>
  <c r="V39" i="2"/>
  <c r="V40" i="2"/>
  <c r="V41" i="2"/>
  <c r="V48" i="2"/>
  <c r="V53" i="2"/>
  <c r="V54" i="2"/>
  <c r="V8" i="2"/>
  <c r="V12" i="2"/>
  <c r="V79" i="2"/>
  <c r="V2" i="2"/>
  <c r="V73" i="2"/>
  <c r="V90" i="2"/>
  <c r="V94" i="2"/>
  <c r="V55" i="2"/>
  <c r="V101" i="2"/>
  <c r="V80" i="2"/>
  <c r="V86" i="2"/>
  <c r="V91" i="2"/>
  <c r="V74" i="2"/>
  <c r="V11" i="2"/>
  <c r="V92" i="2"/>
  <c r="V9" i="2"/>
  <c r="V75" i="2"/>
  <c r="V56" i="2"/>
  <c r="V57" i="2"/>
  <c r="V58" i="2"/>
  <c r="V100" i="2"/>
  <c r="V76" i="2"/>
  <c r="V81" i="2"/>
  <c r="V3" i="2"/>
  <c r="V89" i="2"/>
  <c r="V95" i="2"/>
  <c r="V96" i="2"/>
  <c r="V97" i="2"/>
  <c r="V59" i="2"/>
  <c r="V60" i="2"/>
  <c r="V13" i="2"/>
  <c r="V45" i="2"/>
  <c r="V46" i="2"/>
  <c r="V82" i="2"/>
  <c r="V4" i="2"/>
  <c r="V10" i="2"/>
  <c r="V49" i="2"/>
  <c r="V61" i="2"/>
  <c r="V44" i="2"/>
  <c r="V83" i="2"/>
  <c r="V5" i="2"/>
  <c r="V6" i="2"/>
  <c r="V7" i="2"/>
  <c r="V85" i="2"/>
  <c r="V98" i="2"/>
  <c r="V93" i="2"/>
  <c r="V42" i="2"/>
  <c r="V84" i="2"/>
  <c r="V87" i="2"/>
  <c r="V99" i="2"/>
  <c r="V43" i="2"/>
  <c r="V88" i="2"/>
  <c r="V77" i="2"/>
  <c r="S88" i="2"/>
  <c r="S43" i="2"/>
  <c r="S99" i="2"/>
  <c r="S87" i="2"/>
  <c r="S84" i="2"/>
  <c r="S42" i="2"/>
  <c r="S93" i="2"/>
  <c r="S98" i="2"/>
  <c r="S85" i="2"/>
  <c r="S7" i="2"/>
  <c r="S6" i="2"/>
  <c r="S5" i="2"/>
  <c r="S83" i="2"/>
  <c r="S44" i="2"/>
  <c r="S61" i="2"/>
  <c r="S49" i="2"/>
  <c r="S10" i="2"/>
  <c r="S4" i="2"/>
  <c r="S82" i="2"/>
  <c r="S46" i="2"/>
  <c r="S45" i="2"/>
  <c r="S13" i="2"/>
  <c r="S60" i="2"/>
  <c r="S59" i="2"/>
  <c r="S97" i="2"/>
  <c r="S96" i="2"/>
  <c r="S95" i="2"/>
  <c r="S89" i="2"/>
  <c r="S3" i="2"/>
  <c r="S81" i="2"/>
  <c r="S76" i="2"/>
  <c r="S100" i="2"/>
  <c r="S58" i="2"/>
  <c r="S57" i="2"/>
  <c r="S56" i="2"/>
  <c r="S75" i="2"/>
  <c r="S9" i="2"/>
  <c r="S92" i="2"/>
  <c r="S11" i="2"/>
  <c r="S74" i="2"/>
  <c r="S91" i="2"/>
  <c r="S86" i="2"/>
  <c r="S80" i="2"/>
  <c r="S101" i="2"/>
  <c r="S55" i="2"/>
  <c r="S94" i="2"/>
  <c r="S90" i="2"/>
  <c r="S73" i="2"/>
  <c r="S2" i="2"/>
  <c r="S79" i="2"/>
  <c r="S12" i="2"/>
  <c r="S8" i="2"/>
  <c r="S54" i="2"/>
  <c r="S53" i="2"/>
  <c r="S48" i="2"/>
  <c r="S41" i="2"/>
  <c r="S40" i="2"/>
  <c r="S39" i="2"/>
  <c r="S38" i="2"/>
  <c r="S37" i="2"/>
  <c r="S36" i="2"/>
  <c r="S71" i="2"/>
  <c r="S70" i="2"/>
  <c r="S62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69" i="2"/>
  <c r="S68" i="2"/>
  <c r="S52" i="2"/>
  <c r="S67" i="2"/>
  <c r="S66" i="2"/>
  <c r="S65" i="2"/>
  <c r="S64" i="2"/>
  <c r="S47" i="2"/>
  <c r="S63" i="2"/>
  <c r="S14" i="2"/>
  <c r="S51" i="2"/>
  <c r="S50" i="2"/>
  <c r="S72" i="2"/>
  <c r="S78" i="2"/>
  <c r="S77" i="2"/>
  <c r="Q88" i="2"/>
  <c r="Q54" i="2"/>
  <c r="Q81" i="2"/>
  <c r="Q78" i="2"/>
  <c r="Q77" i="2"/>
  <c r="Q9" i="2"/>
  <c r="Q12" i="2"/>
</calcChain>
</file>

<file path=xl/sharedStrings.xml><?xml version="1.0" encoding="utf-8"?>
<sst xmlns="http://schemas.openxmlformats.org/spreadsheetml/2006/main" count="4409" uniqueCount="551">
  <si>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</si>
  <si>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</si>
  <si>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</si>
  <si>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</si>
  <si>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</si>
  <si>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</si>
  <si>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</si>
  <si>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</si>
  <si>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</si>
  <si>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</si>
  <si>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</si>
  <si>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</si>
  <si>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</si>
  <si>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</si>
  <si>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</si>
  <si>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</si>
  <si>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</si>
  <si>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</si>
  <si>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</si>
  <si>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</si>
  <si>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</si>
  <si>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</si>
  <si>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</si>
  <si>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</si>
  <si>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</si>
  <si>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</si>
  <si>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</si>
  <si>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</si>
  <si>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</si>
  <si>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</si>
  <si>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</si>
  <si>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</si>
  <si>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</si>
  <si>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</si>
  <si>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</si>
  <si>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</si>
  <si>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</si>
  <si>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</si>
  <si>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</si>
  <si>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</si>
  <si>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</si>
  <si>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</si>
  <si>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</si>
  <si>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HORN JEFFREY E</t>
  </si>
  <si>
    <t>ROSENSTIEL DONNA L</t>
  </si>
  <si>
    <t>00026315743K</t>
  </si>
  <si>
    <t>5Q41Q90VF17</t>
  </si>
  <si>
    <t/>
  </si>
  <si>
    <t>MA</t>
  </si>
  <si>
    <t>LV</t>
  </si>
  <si>
    <t>APR</t>
  </si>
  <si>
    <t>F</t>
  </si>
  <si>
    <t>MEDICARE</t>
  </si>
  <si>
    <t>MER</t>
  </si>
  <si>
    <t>FIRST YEAR COMMISSIONS</t>
  </si>
  <si>
    <t>ARCF</t>
  </si>
  <si>
    <t>H1468</t>
  </si>
  <si>
    <t>CHOI ANDREW J</t>
  </si>
  <si>
    <t>NAGY JAMES I</t>
  </si>
  <si>
    <t>00012193466K</t>
  </si>
  <si>
    <t>9WV4D14RR50</t>
  </si>
  <si>
    <t>JAN</t>
  </si>
  <si>
    <t>MEP</t>
  </si>
  <si>
    <t>H7617</t>
  </si>
  <si>
    <t>TEIPEL GREGORY K</t>
  </si>
  <si>
    <t>RIGGS JAMES E</t>
  </si>
  <si>
    <t>00017542360K</t>
  </si>
  <si>
    <t>9YP3PJ7WY09</t>
  </si>
  <si>
    <t>H5216</t>
  </si>
  <si>
    <t>HICKEY SR QUINTIN H</t>
  </si>
  <si>
    <t>00026273527K</t>
  </si>
  <si>
    <t>6FM8EY9YP58</t>
  </si>
  <si>
    <t>H4141</t>
  </si>
  <si>
    <t>VIJH RAVI</t>
  </si>
  <si>
    <t>00026323516K</t>
  </si>
  <si>
    <t>2MD2RE6VJ90</t>
  </si>
  <si>
    <t>VIJH SHVETA</t>
  </si>
  <si>
    <t>00026326476K</t>
  </si>
  <si>
    <t>3AU6PG3DD46</t>
  </si>
  <si>
    <t>HUNSBERGER ANTHONY J</t>
  </si>
  <si>
    <t>KOPKA SUE A</t>
  </si>
  <si>
    <t>00022162882K</t>
  </si>
  <si>
    <t>1TE0DY6YQ14</t>
  </si>
  <si>
    <t>H4329</t>
  </si>
  <si>
    <t>DUSZCZYK PAWEL</t>
  </si>
  <si>
    <t>00023268932K</t>
  </si>
  <si>
    <t>1WD0TF8AK38</t>
  </si>
  <si>
    <t>MAR</t>
  </si>
  <si>
    <t>R</t>
  </si>
  <si>
    <t>RENEWAL COMMISSIONS</t>
  </si>
  <si>
    <t>ARCM</t>
  </si>
  <si>
    <t>FEB</t>
  </si>
  <si>
    <t>MAY</t>
  </si>
  <si>
    <t>MEDICARE 2ND HALF FIRST YEAR COMM</t>
  </si>
  <si>
    <t>MED2</t>
  </si>
  <si>
    <t>WALLACE ELIZABETH C</t>
  </si>
  <si>
    <t>00026304089K</t>
  </si>
  <si>
    <t>3PT2C82TA13</t>
  </si>
  <si>
    <t>WALLACE II LOWELL C</t>
  </si>
  <si>
    <t>00026308245K</t>
  </si>
  <si>
    <t>3VV9NN7NE28</t>
  </si>
  <si>
    <t>HOFFMANN JASON R</t>
  </si>
  <si>
    <t>COSTA DANIEL A</t>
  </si>
  <si>
    <t>00020444605K</t>
  </si>
  <si>
    <t>4JA5FE2AH74</t>
  </si>
  <si>
    <t>DEC</t>
  </si>
  <si>
    <t>WALENGA DALE J</t>
  </si>
  <si>
    <t>WALKER JOSEPH</t>
  </si>
  <si>
    <t>00023649753K</t>
  </si>
  <si>
    <t>2QJ3F44JQ78</t>
  </si>
  <si>
    <t>YALE RICHARD A A</t>
  </si>
  <si>
    <t>LEVIN CAROLE</t>
  </si>
  <si>
    <t>00023846296K</t>
  </si>
  <si>
    <t>7CD8WW9YE64</t>
  </si>
  <si>
    <t>DRAPAC STEPHANIE E</t>
  </si>
  <si>
    <t>COZZI NICKI</t>
  </si>
  <si>
    <t>00019869938K</t>
  </si>
  <si>
    <t>1H28WE4GH27</t>
  </si>
  <si>
    <t>HANSFORD GREGORY</t>
  </si>
  <si>
    <t>RUCKER REEVE DOROTHY M</t>
  </si>
  <si>
    <t>00026048901K</t>
  </si>
  <si>
    <t>1GY2M45FV24</t>
  </si>
  <si>
    <t>HERRERA-LARSEN ESTHER M</t>
  </si>
  <si>
    <t>SALINAS NANCY</t>
  </si>
  <si>
    <t>00024359857K</t>
  </si>
  <si>
    <t>9G01TX1TU04</t>
  </si>
  <si>
    <t>ARENDT WARREN J</t>
  </si>
  <si>
    <t>00026300510K</t>
  </si>
  <si>
    <t>3PF2N41QK81</t>
  </si>
  <si>
    <t>PORTUGAL GARY</t>
  </si>
  <si>
    <t>HOALT MARIA R</t>
  </si>
  <si>
    <t>00015985030K</t>
  </si>
  <si>
    <t>7D48QJ3XC54</t>
  </si>
  <si>
    <t>CRAIG ARNETTA E</t>
  </si>
  <si>
    <t>00018270287K</t>
  </si>
  <si>
    <t>7NG3V94GN14</t>
  </si>
  <si>
    <t>WILLIES KAY F</t>
  </si>
  <si>
    <t>00023072316K</t>
  </si>
  <si>
    <t>5DG0MR3NQ26</t>
  </si>
  <si>
    <t>LANCE RUSSELL G</t>
  </si>
  <si>
    <t>00023765948K</t>
  </si>
  <si>
    <t>8X28JG6VG26</t>
  </si>
  <si>
    <t>KAUS MICHELLE G</t>
  </si>
  <si>
    <t>00026216744K</t>
  </si>
  <si>
    <t>1VJ4YV9JM05</t>
  </si>
  <si>
    <t>DOAN KIET</t>
  </si>
  <si>
    <t>00026313233K</t>
  </si>
  <si>
    <t>2QD7KG7YN51</t>
  </si>
  <si>
    <t>H1036</t>
  </si>
  <si>
    <t>SOLIS JR ALFRED</t>
  </si>
  <si>
    <t>00026325506K</t>
  </si>
  <si>
    <t>7VX1TD4GG02</t>
  </si>
  <si>
    <t>ABDUL SAADIA S</t>
  </si>
  <si>
    <t>HARGRAY BETTY ANNE</t>
  </si>
  <si>
    <t>00019907161K</t>
  </si>
  <si>
    <t>2D78TH6AC56</t>
  </si>
  <si>
    <t>HUSSAINI ZAREEFUNNISA S</t>
  </si>
  <si>
    <t>00021502269K</t>
  </si>
  <si>
    <t>7CP2CM1DW07</t>
  </si>
  <si>
    <t>HUSSAINI SYED S</t>
  </si>
  <si>
    <t>00021505553K</t>
  </si>
  <si>
    <t>8YU3GE0UR87</t>
  </si>
  <si>
    <t>POLONSKY ROGER H</t>
  </si>
  <si>
    <t>00023655018K</t>
  </si>
  <si>
    <t>7AN9TX6YR22</t>
  </si>
  <si>
    <t>HINCHSLIFF JAMES C</t>
  </si>
  <si>
    <t>00026306332K</t>
  </si>
  <si>
    <t>5GC1E95HJ17</t>
  </si>
  <si>
    <t>SANTOS RICARDO D</t>
  </si>
  <si>
    <t>AHMED SHAHRUKH Z</t>
  </si>
  <si>
    <t>00026316342K</t>
  </si>
  <si>
    <t>7AT9CM8KK41</t>
  </si>
  <si>
    <t>THANADABOUTH PATSAMON</t>
  </si>
  <si>
    <t>KOULABOUTH NIMITH</t>
  </si>
  <si>
    <t>00026306799K</t>
  </si>
  <si>
    <t>9W86UG0AP78</t>
  </si>
  <si>
    <t>SCHUMANN BARRY L</t>
  </si>
  <si>
    <t>NAGY LEEDS PHYLLIS M</t>
  </si>
  <si>
    <t>00024952699K</t>
  </si>
  <si>
    <t>3VG3T84PT78</t>
  </si>
  <si>
    <t>TAUGNER CHRISTIAN</t>
  </si>
  <si>
    <t>COLLINS NORMA K</t>
  </si>
  <si>
    <t>00026318786K</t>
  </si>
  <si>
    <t>7EX8J08XX35</t>
  </si>
  <si>
    <t>DUNAVANT MICHAEL</t>
  </si>
  <si>
    <t>PARSONS LOIS A</t>
  </si>
  <si>
    <t>00024453204K</t>
  </si>
  <si>
    <t>6EX0DN2NP18</t>
  </si>
  <si>
    <t>BRANDT STEVEN K</t>
  </si>
  <si>
    <t>IACOVETTA CHRISTINE L</t>
  </si>
  <si>
    <t>00026042332K</t>
  </si>
  <si>
    <t>8YC4GR6PK60</t>
  </si>
  <si>
    <t>FOUST WILLIAM D</t>
  </si>
  <si>
    <t>00026302022K</t>
  </si>
  <si>
    <t>4M00EM4YV05</t>
  </si>
  <si>
    <t>PORTUGAL STACEY A</t>
  </si>
  <si>
    <t>STARKS EARNESTINE</t>
  </si>
  <si>
    <t>00026060207K</t>
  </si>
  <si>
    <t>6RK2HK9AV03</t>
  </si>
  <si>
    <t>SERIO TOM E</t>
  </si>
  <si>
    <t>ZULKOSKI TAMANE</t>
  </si>
  <si>
    <t>00026150044K</t>
  </si>
  <si>
    <t>2Q50CY1VE27</t>
  </si>
  <si>
    <t>BAERTSCHI VICKI A</t>
  </si>
  <si>
    <t>00026301430K</t>
  </si>
  <si>
    <t>5EM7EU7AA68</t>
  </si>
  <si>
    <t>TORRES JOSE</t>
  </si>
  <si>
    <t>ANTONIO JULIANA</t>
  </si>
  <si>
    <t>00026303905K</t>
  </si>
  <si>
    <t>2MN9F19HE12</t>
  </si>
  <si>
    <t>SHAPIRO ROBERT A</t>
  </si>
  <si>
    <t>REED DARRYL</t>
  </si>
  <si>
    <t>00026223632K</t>
  </si>
  <si>
    <t>1HK5HF0DM65</t>
  </si>
  <si>
    <t>FUENTES VICTOR</t>
  </si>
  <si>
    <t>RILEY LYDIA D</t>
  </si>
  <si>
    <t>00024697948K</t>
  </si>
  <si>
    <t>4PJ8UK4ME29</t>
  </si>
  <si>
    <t>SHULMAN JAKE P</t>
  </si>
  <si>
    <t>VELMS DAVID W</t>
  </si>
  <si>
    <t>00025445542K</t>
  </si>
  <si>
    <t>6JX1JF9TP18</t>
  </si>
  <si>
    <t>NEVAREZ ANTONIA</t>
  </si>
  <si>
    <t>AL KHAFAJI BETOOL</t>
  </si>
  <si>
    <t>00012978613K</t>
  </si>
  <si>
    <t>5FC9KE5JV26</t>
  </si>
  <si>
    <t>DUARTE JULIETA</t>
  </si>
  <si>
    <t>00024848882K</t>
  </si>
  <si>
    <t>1KA2VW4DX97</t>
  </si>
  <si>
    <t>TEJEDA RAMON</t>
  </si>
  <si>
    <t>00025746940K</t>
  </si>
  <si>
    <t>2JF4T90KA92</t>
  </si>
  <si>
    <t>VARGAS ARACELY</t>
  </si>
  <si>
    <t>00025856242K</t>
  </si>
  <si>
    <t>9CY7X94RN78</t>
  </si>
  <si>
    <t>SHEPARD JILL M</t>
  </si>
  <si>
    <t>SULLIVAN RICHARD J</t>
  </si>
  <si>
    <t>00006948323K</t>
  </si>
  <si>
    <t>5YJ7G75NG61</t>
  </si>
  <si>
    <t>BROUSSEAU CHRISTOPHER</t>
  </si>
  <si>
    <t>ELDRIDGE SHEILA J</t>
  </si>
  <si>
    <t>00011005827K</t>
  </si>
  <si>
    <t>1DE7QW4HP73</t>
  </si>
  <si>
    <t>H5619</t>
  </si>
  <si>
    <t>EKSTAM DIANA M</t>
  </si>
  <si>
    <t>00000973438A</t>
  </si>
  <si>
    <t>MS</t>
  </si>
  <si>
    <t>N</t>
  </si>
  <si>
    <t>VOLPE GAIL M</t>
  </si>
  <si>
    <t>00001158475A</t>
  </si>
  <si>
    <t>MED SUPP ANNUALIZED STANDARD</t>
  </si>
  <si>
    <t>MSAS</t>
  </si>
  <si>
    <t>Hanahan Barbara</t>
  </si>
  <si>
    <t>9025228750</t>
  </si>
  <si>
    <t>IN</t>
  </si>
  <si>
    <t>CB</t>
  </si>
  <si>
    <t>DENTAL</t>
  </si>
  <si>
    <t>COMPBENEFITS RENEWAL COMMISSION</t>
  </si>
  <si>
    <t>CRCM</t>
  </si>
  <si>
    <t>KEPHART NORMA K</t>
  </si>
  <si>
    <t>00000808018A</t>
  </si>
  <si>
    <t>MED SUPP RENEWAL ACHIEVE</t>
  </si>
  <si>
    <t>MSRA</t>
  </si>
  <si>
    <t>INSKIPT DEBORAH L</t>
  </si>
  <si>
    <t>Labrador Christopher</t>
  </si>
  <si>
    <t>9032164340</t>
  </si>
  <si>
    <t>VISION</t>
  </si>
  <si>
    <t>COMPBENEFITS FIRST YEAR COMMISSION</t>
  </si>
  <si>
    <t>CRCF</t>
  </si>
  <si>
    <t>MCCORKLE MICHELLE</t>
  </si>
  <si>
    <t>Danley Ryan</t>
  </si>
  <si>
    <t>9030925080</t>
  </si>
  <si>
    <t>Estakhri Hengameh</t>
  </si>
  <si>
    <t>9030969880</t>
  </si>
  <si>
    <t>Halbig Frederick</t>
  </si>
  <si>
    <t>9031474920</t>
  </si>
  <si>
    <t>Eckoff Elyse</t>
  </si>
  <si>
    <t>9032193260</t>
  </si>
  <si>
    <t>MAX RONALD J</t>
  </si>
  <si>
    <t>KRESHTOOL BARBARA</t>
  </si>
  <si>
    <t>00001069510A</t>
  </si>
  <si>
    <t>MAZUREK ROBERT J</t>
  </si>
  <si>
    <t>00001154024A</t>
  </si>
  <si>
    <t>ZAND BANAFSHEH</t>
  </si>
  <si>
    <t>00001154712A</t>
  </si>
  <si>
    <t>THOMAS SUZANNE E</t>
  </si>
  <si>
    <t>00001157532A</t>
  </si>
  <si>
    <t>KASPRZAK KENNETH W</t>
  </si>
  <si>
    <t>00001150853A</t>
  </si>
  <si>
    <t>Gambetti Brianna</t>
  </si>
  <si>
    <t>9030544330</t>
  </si>
  <si>
    <t>Taylor David</t>
  </si>
  <si>
    <t>9030558330</t>
  </si>
  <si>
    <t>Shaw Robert</t>
  </si>
  <si>
    <t>9030572460</t>
  </si>
  <si>
    <t>Sisco Eric</t>
  </si>
  <si>
    <t>9030577770</t>
  </si>
  <si>
    <t>Ferris Ron</t>
  </si>
  <si>
    <t>9030645140</t>
  </si>
  <si>
    <t>Shirkey Victoria</t>
  </si>
  <si>
    <t>9030645560</t>
  </si>
  <si>
    <t>Simmons-Hutson Cheryl</t>
  </si>
  <si>
    <t>9030675550</t>
  </si>
  <si>
    <t>Boma Mary</t>
  </si>
  <si>
    <t>9030719950</t>
  </si>
  <si>
    <t>Galloway Jacqueline</t>
  </si>
  <si>
    <t>9030840840</t>
  </si>
  <si>
    <t>Stokes Thomas</t>
  </si>
  <si>
    <t>9030895100</t>
  </si>
  <si>
    <t>Rolfs Patrick</t>
  </si>
  <si>
    <t>9030982390</t>
  </si>
  <si>
    <t>Quiram Dana</t>
  </si>
  <si>
    <t>9030996000</t>
  </si>
  <si>
    <t>Alfrey Jackie</t>
  </si>
  <si>
    <t>9031044060</t>
  </si>
  <si>
    <t>Heckmann Hannelore</t>
  </si>
  <si>
    <t>9031241060</t>
  </si>
  <si>
    <t>Forbes Linda</t>
  </si>
  <si>
    <t>9031246400</t>
  </si>
  <si>
    <t>Shmikler Michelle</t>
  </si>
  <si>
    <t>9031377640</t>
  </si>
  <si>
    <t>Loeffler Debra</t>
  </si>
  <si>
    <t>9031418110</t>
  </si>
  <si>
    <t>Priaulx Thomas</t>
  </si>
  <si>
    <t>9031424040</t>
  </si>
  <si>
    <t>Freed Cynthia</t>
  </si>
  <si>
    <t>9031431760</t>
  </si>
  <si>
    <t>Moody Paulette</t>
  </si>
  <si>
    <t>9031456350</t>
  </si>
  <si>
    <t>Hofmann Kristi</t>
  </si>
  <si>
    <t>9031517160</t>
  </si>
  <si>
    <t>Yoder Judith</t>
  </si>
  <si>
    <t>9031703920</t>
  </si>
  <si>
    <t>Mazurek Brianne</t>
  </si>
  <si>
    <t>9031732990</t>
  </si>
  <si>
    <t>Deiss Stacia</t>
  </si>
  <si>
    <t>9031748930</t>
  </si>
  <si>
    <t>Hauersperger Danielle</t>
  </si>
  <si>
    <t>9031841280</t>
  </si>
  <si>
    <t>White Ryleigh</t>
  </si>
  <si>
    <t>9031841850</t>
  </si>
  <si>
    <t>Gardner Jessica</t>
  </si>
  <si>
    <t>9031849520</t>
  </si>
  <si>
    <t>KOZACHECK ANNE MARIE</t>
  </si>
  <si>
    <t>ROSE CHARLENE D</t>
  </si>
  <si>
    <t>00000926201A</t>
  </si>
  <si>
    <t>HEALTH RISK ASSESSMENT PAYMENT</t>
  </si>
  <si>
    <t>HRAP</t>
  </si>
  <si>
    <t>INTERNAL COLLECTION-CASHFLOW</t>
  </si>
  <si>
    <t>ICCF</t>
  </si>
  <si>
    <t>INTERNAL COLLECTION-FLAT AMT</t>
  </si>
  <si>
    <t>ICFA</t>
  </si>
  <si>
    <t>IFG EXTERNAL COMMISSIONS</t>
  </si>
  <si>
    <t>IFGC</t>
  </si>
  <si>
    <t>Humana Dental &amp; Vision</t>
  </si>
  <si>
    <t>Humana Dental &amp; Vision 15%</t>
  </si>
  <si>
    <t>Humana Annualized MS OE,UW,GI</t>
  </si>
  <si>
    <t>Humana 65-80 AL, AZ, AR, GA, etc. All Except N OE &amp; UW</t>
  </si>
  <si>
    <t>Humana AL, AZ, AR, GA, etc. Plan N OE &amp; UW</t>
  </si>
  <si>
    <t>Humana 2026</t>
  </si>
  <si>
    <t>[%/$=694]</t>
  </si>
  <si>
    <t>[%/$=347][prorate=10/12]</t>
  </si>
  <si>
    <t>Humana MAPD 2026*</t>
  </si>
  <si>
    <t>[%/$=347][prorate=9/12]</t>
  </si>
  <si>
    <t>[%/$=347][prorate=8/12]</t>
  </si>
  <si>
    <t>2026 Humana like plan changes</t>
  </si>
  <si>
    <t>[%/$=165][prorate=9/12]</t>
  </si>
  <si>
    <t>Humana MAPD 2025*</t>
  </si>
  <si>
    <t>[%/$=313][prorate=1/12]</t>
  </si>
  <si>
    <t>[%/$=347][prorate=1/12]</t>
  </si>
  <si>
    <t>[%/$=165][prorate=11/12]</t>
  </si>
  <si>
    <t>[%/$=313][prorate=9/12]</t>
  </si>
  <si>
    <t>WILLIES</t>
  </si>
  <si>
    <t>KAY</t>
  </si>
  <si>
    <t>LANCE</t>
  </si>
  <si>
    <t>RUSSELL</t>
  </si>
  <si>
    <t>TEJEDA</t>
  </si>
  <si>
    <t>RAMON</t>
  </si>
  <si>
    <t>EKSTAM</t>
  </si>
  <si>
    <t>DIANA</t>
  </si>
  <si>
    <t>VOLPE</t>
  </si>
  <si>
    <t>GAIL</t>
  </si>
  <si>
    <t>KASPRZAK</t>
  </si>
  <si>
    <t>KENNETH</t>
  </si>
  <si>
    <t>ROSE</t>
  </si>
  <si>
    <t>CHARLENE</t>
  </si>
  <si>
    <t>KEPHART</t>
  </si>
  <si>
    <t>NORMA</t>
  </si>
  <si>
    <t>KRESHTOOL</t>
  </si>
  <si>
    <t>BARBARA</t>
  </si>
  <si>
    <t>MAZUREK</t>
  </si>
  <si>
    <t>ROBERT</t>
  </si>
  <si>
    <t>ZAND</t>
  </si>
  <si>
    <t>BANAFSHEH</t>
  </si>
  <si>
    <t>THOMAS</t>
  </si>
  <si>
    <t>SUZANNE</t>
  </si>
  <si>
    <t>Hanahan</t>
  </si>
  <si>
    <t>Barbara</t>
  </si>
  <si>
    <t>Danley</t>
  </si>
  <si>
    <t>Ryan</t>
  </si>
  <si>
    <t>Estakhri</t>
  </si>
  <si>
    <t>Hengameh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</si>
  <si>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</si>
  <si>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</si>
  <si>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</si>
  <si>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</si>
  <si>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</si>
  <si>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</si>
  <si>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</si>
  <si>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</si>
  <si>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Ferris</t>
  </si>
  <si>
    <t>Ron</t>
  </si>
  <si>
    <t>Shirkey</t>
  </si>
  <si>
    <t>Victoria</t>
  </si>
  <si>
    <t>Simmons-Hutson</t>
  </si>
  <si>
    <t>Cheryl</t>
  </si>
  <si>
    <t>Boma</t>
  </si>
  <si>
    <t>Mary</t>
  </si>
  <si>
    <t>Galloway</t>
  </si>
  <si>
    <t>Jacqueline</t>
  </si>
  <si>
    <t>Stokes</t>
  </si>
  <si>
    <t>Thomas</t>
  </si>
  <si>
    <t>Rolfs</t>
  </si>
  <si>
    <t>Patrick</t>
  </si>
  <si>
    <t>Quiram</t>
  </si>
  <si>
    <t>Dana</t>
  </si>
  <si>
    <t>Alfrey</t>
  </si>
  <si>
    <t>Jackie</t>
  </si>
  <si>
    <t>Heckmann</t>
  </si>
  <si>
    <t>Hannelore</t>
  </si>
  <si>
    <t>Forbes</t>
  </si>
  <si>
    <t>Linda</t>
  </si>
  <si>
    <t>Shmikler</t>
  </si>
  <si>
    <t>Michelle</t>
  </si>
  <si>
    <t>Loeffler</t>
  </si>
  <si>
    <t>Debra</t>
  </si>
  <si>
    <t>Priaulx</t>
  </si>
  <si>
    <t>Freed</t>
  </si>
  <si>
    <t>Cynthia</t>
  </si>
  <si>
    <t>Moody</t>
  </si>
  <si>
    <t>Paulette</t>
  </si>
  <si>
    <t>Hofmann</t>
  </si>
  <si>
    <t>Kristi</t>
  </si>
  <si>
    <t>Labrador</t>
  </si>
  <si>
    <t>Christopher</t>
  </si>
  <si>
    <t>Halbig</t>
  </si>
  <si>
    <t>Frederick</t>
  </si>
  <si>
    <t>Eckoff</t>
  </si>
  <si>
    <t>Elyse</t>
  </si>
  <si>
    <t>Yoder</t>
  </si>
  <si>
    <t>Judith</t>
  </si>
  <si>
    <t>Mazurek</t>
  </si>
  <si>
    <t>Brianne</t>
  </si>
  <si>
    <t>Deiss</t>
  </si>
  <si>
    <t>Stacia</t>
  </si>
  <si>
    <t>Hauersperger</t>
  </si>
  <si>
    <t>Danielle</t>
  </si>
  <si>
    <t>White</t>
  </si>
  <si>
    <t>Ryleigh</t>
  </si>
  <si>
    <t>Gardner</t>
  </si>
  <si>
    <t>Jessica</t>
  </si>
  <si>
    <t>COSTA</t>
  </si>
  <si>
    <t>DANIEL</t>
  </si>
  <si>
    <t>DUSZCZYK</t>
  </si>
  <si>
    <t>PAWEL</t>
  </si>
  <si>
    <t>IACOVETTA</t>
  </si>
  <si>
    <t>CHRISTINE</t>
  </si>
  <si>
    <t>NAGY</t>
  </si>
  <si>
    <t>JAMES</t>
  </si>
  <si>
    <t>CRAIG</t>
  </si>
  <si>
    <t>ARNETTA</t>
  </si>
  <si>
    <t>HARGRAY</t>
  </si>
  <si>
    <t>BETTY</t>
  </si>
  <si>
    <t>BETOOL</t>
  </si>
  <si>
    <t>SULLIVAN</t>
  </si>
  <si>
    <t>RICHARD</t>
  </si>
  <si>
    <t>HICKEY</t>
  </si>
  <si>
    <t>QUINTIN</t>
  </si>
  <si>
    <t>KOPKA</t>
  </si>
  <si>
    <t>SUE</t>
  </si>
  <si>
    <t>LEVIN</t>
  </si>
  <si>
    <t>CAROLE</t>
  </si>
  <si>
    <t>HOALT</t>
  </si>
  <si>
    <t>MARIA</t>
  </si>
  <si>
    <t>PHYLLIS</t>
  </si>
  <si>
    <t>VELMS</t>
  </si>
  <si>
    <t>DAVID</t>
  </si>
  <si>
    <t>VARGAS</t>
  </si>
  <si>
    <t>ARACELY</t>
  </si>
  <si>
    <t>ELDRIDGE</t>
  </si>
  <si>
    <t>SHEILA</t>
  </si>
  <si>
    <t>DUARTE</t>
  </si>
  <si>
    <t>JULIETA</t>
  </si>
  <si>
    <t>WALKER</t>
  </si>
  <si>
    <t>JOSEPH</t>
  </si>
  <si>
    <t>SOLIS</t>
  </si>
  <si>
    <t>ALFRED</t>
  </si>
  <si>
    <t>HINCHSLIFF</t>
  </si>
  <si>
    <t>REED</t>
  </si>
  <si>
    <t>DARRYL</t>
  </si>
  <si>
    <t>RIGGS</t>
  </si>
  <si>
    <t>VIJH</t>
  </si>
  <si>
    <t>RAVI</t>
  </si>
  <si>
    <t>SHVETA</t>
  </si>
  <si>
    <t>WALLACE</t>
  </si>
  <si>
    <t>ELIZABETH</t>
  </si>
  <si>
    <t>LOWELL</t>
  </si>
  <si>
    <t>COZZI</t>
  </si>
  <si>
    <t>NICKI</t>
  </si>
  <si>
    <t>SALINAS</t>
  </si>
  <si>
    <t>NANCY</t>
  </si>
  <si>
    <t>ARENDT</t>
  </si>
  <si>
    <t>WARREN</t>
  </si>
  <si>
    <t>KAUS</t>
  </si>
  <si>
    <t>MICHELLE</t>
  </si>
  <si>
    <t>POLONSKY</t>
  </si>
  <si>
    <t>ROGER</t>
  </si>
  <si>
    <t>FOUST</t>
  </si>
  <si>
    <t>WILLIAM</t>
  </si>
  <si>
    <t>ROSENSTIEL</t>
  </si>
  <si>
    <t>DONNA</t>
  </si>
  <si>
    <t>RUCKER</t>
  </si>
  <si>
    <t>DOROTHY</t>
  </si>
  <si>
    <t>DOAN</t>
  </si>
  <si>
    <t>KIET</t>
  </si>
  <si>
    <t>HUSSAINI</t>
  </si>
  <si>
    <t>ZAREEFUNNISA</t>
  </si>
  <si>
    <t>SYED</t>
  </si>
  <si>
    <t>AHMED</t>
  </si>
  <si>
    <t>SHAHRUKH</t>
  </si>
  <si>
    <t>KOULABOUTH</t>
  </si>
  <si>
    <t>NIMITH</t>
  </si>
  <si>
    <t>COLLINS</t>
  </si>
  <si>
    <t>PARSONS</t>
  </si>
  <si>
    <t>LOIS</t>
  </si>
  <si>
    <t>STARKS</t>
  </si>
  <si>
    <t>EARNESTINE</t>
  </si>
  <si>
    <t>BAERTSCHI</t>
  </si>
  <si>
    <t>VICKI</t>
  </si>
  <si>
    <t>ANTONIO</t>
  </si>
  <si>
    <t>JULIANA</t>
  </si>
  <si>
    <t>RILEY</t>
  </si>
  <si>
    <t>LYDIA</t>
  </si>
  <si>
    <t>ZULKOSKI</t>
  </si>
  <si>
    <t>TAMANE</t>
  </si>
  <si>
    <t>AL KHAFAJI</t>
  </si>
  <si>
    <t>17528908N</t>
  </si>
  <si>
    <t>19278370old</t>
  </si>
  <si>
    <t>18710070N</t>
  </si>
  <si>
    <t>21646325L1</t>
  </si>
  <si>
    <t>18201929L2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</si>
</sst>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19" fillId="0" borderId="0" xfId="0" applyFont="1"/>
    <xf numFmtId="0" fontId="0" fillId="33" borderId="0" xfId="0" applyNumberFormat="1" applyFill="1" applyAlignment="1">
      <alignment horizontal="left" vertical="top"/>
    </xf>
    <xf numFmtId="0" fontId="19" fillId="33" borderId="0" xfId="0" applyFont="1" applyFill="1"/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  <xf numFmtId="49" fontId="19" fillId="0" borderId="0" xfId="0" applyNumberFormat="1" applyFont="1" applyAlignment="1">
      <alignment horizontal="left" vertical="top"/>
    </xf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7232-A98E-4EC5-B1E7-9FD21C8B0156}">
  <dimension ref="A1:AQ106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36.8554687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46113</v>
      </c>
      <c r="C2" s="4" t="s">
        <v>43</v>
      </c>
      <c r="D2" s="2">
        <v>1267028</v>
      </c>
      <c r="E2" s="4" t="s">
        <v>44</v>
      </c>
      <c r="F2" s="4" t="s">
        <v>45</v>
      </c>
      <c r="G2" s="2">
        <v>556514346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46113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0.75</v>
      </c>
      <c r="W2" s="5">
        <v>0</v>
      </c>
      <c r="X2" s="5">
        <v>100</v>
      </c>
      <c r="Y2" s="5">
        <v>260.25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46113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46113</v>
      </c>
      <c r="C3" s="4" t="s">
        <v>57</v>
      </c>
      <c r="D3" s="2">
        <v>1466196</v>
      </c>
      <c r="E3" s="4" t="s">
        <v>58</v>
      </c>
      <c r="F3" s="4" t="s">
        <v>59</v>
      </c>
      <c r="G3" s="2">
        <v>530531412</v>
      </c>
      <c r="H3" s="4" t="s">
        <v>60</v>
      </c>
      <c r="I3" s="4" t="s">
        <v>47</v>
      </c>
      <c r="J3" s="4" t="s">
        <v>48</v>
      </c>
      <c r="K3" s="4" t="s">
        <v>49</v>
      </c>
      <c r="L3" s="3">
        <v>46023</v>
      </c>
      <c r="M3" s="4" t="s">
        <v>61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62</v>
      </c>
      <c r="U3" s="4" t="s">
        <v>47</v>
      </c>
      <c r="V3" s="5">
        <v>-0.75</v>
      </c>
      <c r="W3" s="5">
        <v>0</v>
      </c>
      <c r="X3" s="5">
        <v>100</v>
      </c>
      <c r="Y3" s="5">
        <v>-260.25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46023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63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46113</v>
      </c>
      <c r="C4" s="4" t="s">
        <v>64</v>
      </c>
      <c r="D4" s="2">
        <v>1509770</v>
      </c>
      <c r="E4" s="4" t="s">
        <v>65</v>
      </c>
      <c r="F4" s="4" t="s">
        <v>66</v>
      </c>
      <c r="G4" s="2">
        <v>371369394</v>
      </c>
      <c r="H4" s="4" t="s">
        <v>67</v>
      </c>
      <c r="I4" s="4" t="s">
        <v>47</v>
      </c>
      <c r="J4" s="4" t="s">
        <v>48</v>
      </c>
      <c r="K4" s="4" t="s">
        <v>49</v>
      </c>
      <c r="L4" s="3">
        <v>46113</v>
      </c>
      <c r="M4" s="4" t="s">
        <v>50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62</v>
      </c>
      <c r="U4" s="4" t="s">
        <v>47</v>
      </c>
      <c r="V4" s="5">
        <v>0.75</v>
      </c>
      <c r="W4" s="5">
        <v>0</v>
      </c>
      <c r="X4" s="5">
        <v>100</v>
      </c>
      <c r="Y4" s="5">
        <v>260.25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46113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68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46113</v>
      </c>
      <c r="C5" s="4" t="s">
        <v>64</v>
      </c>
      <c r="D5" s="2">
        <v>1509770</v>
      </c>
      <c r="E5" s="4" t="s">
        <v>69</v>
      </c>
      <c r="F5" s="4" t="s">
        <v>70</v>
      </c>
      <c r="G5" s="2">
        <v>668616435</v>
      </c>
      <c r="H5" s="4" t="s">
        <v>71</v>
      </c>
      <c r="I5" s="4" t="s">
        <v>47</v>
      </c>
      <c r="J5" s="4" t="s">
        <v>48</v>
      </c>
      <c r="K5" s="4" t="s">
        <v>49</v>
      </c>
      <c r="L5" s="3">
        <v>46113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53</v>
      </c>
      <c r="U5" s="4" t="s">
        <v>47</v>
      </c>
      <c r="V5" s="5">
        <v>-0.75</v>
      </c>
      <c r="W5" s="5">
        <v>0</v>
      </c>
      <c r="X5" s="5">
        <v>100</v>
      </c>
      <c r="Y5" s="5">
        <v>-260.25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46113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72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46113</v>
      </c>
      <c r="C6" s="4" t="s">
        <v>64</v>
      </c>
      <c r="D6" s="2">
        <v>1509770</v>
      </c>
      <c r="E6" s="4" t="s">
        <v>73</v>
      </c>
      <c r="F6" s="4" t="s">
        <v>74</v>
      </c>
      <c r="G6" s="2">
        <v>331055322</v>
      </c>
      <c r="H6" s="4" t="s">
        <v>75</v>
      </c>
      <c r="I6" s="4" t="s">
        <v>47</v>
      </c>
      <c r="J6" s="4" t="s">
        <v>48</v>
      </c>
      <c r="K6" s="4" t="s">
        <v>49</v>
      </c>
      <c r="L6" s="3">
        <v>46113</v>
      </c>
      <c r="M6" s="4" t="s">
        <v>50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62</v>
      </c>
      <c r="U6" s="4" t="s">
        <v>47</v>
      </c>
      <c r="V6" s="5">
        <v>0.75</v>
      </c>
      <c r="W6" s="5">
        <v>0</v>
      </c>
      <c r="X6" s="5">
        <v>100</v>
      </c>
      <c r="Y6" s="5">
        <v>260.25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46113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63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46113</v>
      </c>
      <c r="C7" s="4" t="s">
        <v>64</v>
      </c>
      <c r="D7" s="2">
        <v>1509770</v>
      </c>
      <c r="E7" s="4" t="s">
        <v>76</v>
      </c>
      <c r="F7" s="4" t="s">
        <v>77</v>
      </c>
      <c r="G7" s="2">
        <v>701055322</v>
      </c>
      <c r="H7" s="4" t="s">
        <v>78</v>
      </c>
      <c r="I7" s="4" t="s">
        <v>47</v>
      </c>
      <c r="J7" s="4" t="s">
        <v>48</v>
      </c>
      <c r="K7" s="4" t="s">
        <v>49</v>
      </c>
      <c r="L7" s="3">
        <v>46113</v>
      </c>
      <c r="M7" s="4" t="s">
        <v>50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62</v>
      </c>
      <c r="U7" s="4" t="s">
        <v>47</v>
      </c>
      <c r="V7" s="5">
        <v>0.75</v>
      </c>
      <c r="W7" s="5">
        <v>0</v>
      </c>
      <c r="X7" s="5">
        <v>100</v>
      </c>
      <c r="Y7" s="5">
        <v>260.25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46113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63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46113</v>
      </c>
      <c r="C8" s="4" t="s">
        <v>79</v>
      </c>
      <c r="D8" s="2">
        <v>1510420</v>
      </c>
      <c r="E8" s="4" t="s">
        <v>80</v>
      </c>
      <c r="F8" s="4" t="s">
        <v>81</v>
      </c>
      <c r="G8" s="2">
        <v>851322590</v>
      </c>
      <c r="H8" s="4" t="s">
        <v>82</v>
      </c>
      <c r="I8" s="4" t="s">
        <v>47</v>
      </c>
      <c r="J8" s="4" t="s">
        <v>48</v>
      </c>
      <c r="K8" s="4" t="s">
        <v>49</v>
      </c>
      <c r="L8" s="3">
        <v>46113</v>
      </c>
      <c r="M8" s="4" t="s">
        <v>50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0.75</v>
      </c>
      <c r="W8" s="5">
        <v>0</v>
      </c>
      <c r="X8" s="5">
        <v>100</v>
      </c>
      <c r="Y8" s="5">
        <v>260.25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46113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83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46113</v>
      </c>
      <c r="C9" s="4" t="s">
        <v>79</v>
      </c>
      <c r="D9" s="2">
        <v>1510420</v>
      </c>
      <c r="E9" s="4" t="s">
        <v>80</v>
      </c>
      <c r="F9" s="4" t="s">
        <v>81</v>
      </c>
      <c r="G9" s="2">
        <v>851322590</v>
      </c>
      <c r="H9" s="4" t="s">
        <v>82</v>
      </c>
      <c r="I9" s="4" t="s">
        <v>47</v>
      </c>
      <c r="J9" s="4" t="s">
        <v>48</v>
      </c>
      <c r="K9" s="4" t="s">
        <v>49</v>
      </c>
      <c r="L9" s="3">
        <v>46023</v>
      </c>
      <c r="M9" s="4" t="s">
        <v>61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53</v>
      </c>
      <c r="U9" s="4" t="s">
        <v>47</v>
      </c>
      <c r="V9" s="5">
        <v>-0.75</v>
      </c>
      <c r="W9" s="5">
        <v>0</v>
      </c>
      <c r="X9" s="5">
        <v>100</v>
      </c>
      <c r="Y9" s="5">
        <v>-260.25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46023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83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46113</v>
      </c>
      <c r="C10" s="4" t="s">
        <v>79</v>
      </c>
      <c r="D10" s="2">
        <v>1510420</v>
      </c>
      <c r="E10" s="4" t="s">
        <v>84</v>
      </c>
      <c r="F10" s="4" t="s">
        <v>85</v>
      </c>
      <c r="G10" s="2">
        <v>721687014</v>
      </c>
      <c r="H10" s="4" t="s">
        <v>86</v>
      </c>
      <c r="I10" s="4" t="s">
        <v>47</v>
      </c>
      <c r="J10" s="4" t="s">
        <v>48</v>
      </c>
      <c r="K10" s="4" t="s">
        <v>49</v>
      </c>
      <c r="L10" s="3">
        <v>46082</v>
      </c>
      <c r="M10" s="4" t="s">
        <v>87</v>
      </c>
      <c r="N10" s="4" t="s">
        <v>47</v>
      </c>
      <c r="O10" s="4" t="s">
        <v>88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62</v>
      </c>
      <c r="U10" s="4" t="s">
        <v>47</v>
      </c>
      <c r="V10" s="5">
        <v>1</v>
      </c>
      <c r="W10" s="5">
        <v>0</v>
      </c>
      <c r="X10" s="5">
        <v>100</v>
      </c>
      <c r="Y10" s="5">
        <v>28.91</v>
      </c>
      <c r="Z10" s="4" t="s">
        <v>47</v>
      </c>
      <c r="AA10" s="5" t="s">
        <v>47</v>
      </c>
      <c r="AB10" s="4" t="s">
        <v>89</v>
      </c>
      <c r="AC10" s="4" t="s">
        <v>47</v>
      </c>
      <c r="AD10" s="5">
        <v>0</v>
      </c>
      <c r="AE10" s="4" t="s">
        <v>90</v>
      </c>
      <c r="AF10" s="3">
        <v>45778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68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46113</v>
      </c>
      <c r="C11" s="4" t="s">
        <v>79</v>
      </c>
      <c r="D11" s="2">
        <v>1510420</v>
      </c>
      <c r="E11" s="4" t="s">
        <v>84</v>
      </c>
      <c r="F11" s="4" t="s">
        <v>85</v>
      </c>
      <c r="G11" s="2">
        <v>721687014</v>
      </c>
      <c r="H11" s="4" t="s">
        <v>86</v>
      </c>
      <c r="I11" s="4" t="s">
        <v>47</v>
      </c>
      <c r="J11" s="4" t="s">
        <v>48</v>
      </c>
      <c r="K11" s="4" t="s">
        <v>49</v>
      </c>
      <c r="L11" s="3">
        <v>46054</v>
      </c>
      <c r="M11" s="4" t="s">
        <v>91</v>
      </c>
      <c r="N11" s="4" t="s">
        <v>47</v>
      </c>
      <c r="O11" s="4" t="s">
        <v>88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62</v>
      </c>
      <c r="U11" s="4" t="s">
        <v>47</v>
      </c>
      <c r="V11" s="5">
        <v>1</v>
      </c>
      <c r="W11" s="5">
        <v>0</v>
      </c>
      <c r="X11" s="5">
        <v>100</v>
      </c>
      <c r="Y11" s="5">
        <v>28.91</v>
      </c>
      <c r="Z11" s="4" t="s">
        <v>47</v>
      </c>
      <c r="AA11" s="5" t="s">
        <v>47</v>
      </c>
      <c r="AB11" s="4" t="s">
        <v>89</v>
      </c>
      <c r="AC11" s="4" t="s">
        <v>47</v>
      </c>
      <c r="AD11" s="5">
        <v>0</v>
      </c>
      <c r="AE11" s="4" t="s">
        <v>90</v>
      </c>
      <c r="AF11" s="3">
        <v>45778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68</v>
      </c>
      <c r="AO11" s="4" t="s">
        <v>47</v>
      </c>
      <c r="AP11" s="4" t="s">
        <v>47</v>
      </c>
      <c r="AQ11" s="4" t="s">
        <v>47</v>
      </c>
    </row>
    <row r="12" spans="1:43" x14ac:dyDescent="0.2">
      <c r="A12" s="2">
        <v>1891456</v>
      </c>
      <c r="B12" s="3">
        <v>46113</v>
      </c>
      <c r="C12" s="4" t="s">
        <v>79</v>
      </c>
      <c r="D12" s="2">
        <v>1510420</v>
      </c>
      <c r="E12" s="4" t="s">
        <v>84</v>
      </c>
      <c r="F12" s="4" t="s">
        <v>85</v>
      </c>
      <c r="G12" s="2">
        <v>721687014</v>
      </c>
      <c r="H12" s="4" t="s">
        <v>86</v>
      </c>
      <c r="I12" s="4" t="s">
        <v>47</v>
      </c>
      <c r="J12" s="4" t="s">
        <v>48</v>
      </c>
      <c r="K12" s="4" t="s">
        <v>49</v>
      </c>
      <c r="L12" s="3">
        <v>46023</v>
      </c>
      <c r="M12" s="4" t="s">
        <v>61</v>
      </c>
      <c r="N12" s="4" t="s">
        <v>47</v>
      </c>
      <c r="O12" s="4" t="s">
        <v>88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62</v>
      </c>
      <c r="U12" s="4" t="s">
        <v>47</v>
      </c>
      <c r="V12" s="5">
        <v>1</v>
      </c>
      <c r="W12" s="5">
        <v>0</v>
      </c>
      <c r="X12" s="5">
        <v>100</v>
      </c>
      <c r="Y12" s="5">
        <v>28.91</v>
      </c>
      <c r="Z12" s="4" t="s">
        <v>47</v>
      </c>
      <c r="AA12" s="5" t="s">
        <v>47</v>
      </c>
      <c r="AB12" s="4" t="s">
        <v>89</v>
      </c>
      <c r="AC12" s="4" t="s">
        <v>47</v>
      </c>
      <c r="AD12" s="5">
        <v>0</v>
      </c>
      <c r="AE12" s="4" t="s">
        <v>90</v>
      </c>
      <c r="AF12" s="3">
        <v>45778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68</v>
      </c>
      <c r="AO12" s="4" t="s">
        <v>47</v>
      </c>
      <c r="AP12" s="4" t="s">
        <v>47</v>
      </c>
      <c r="AQ12" s="4" t="s">
        <v>47</v>
      </c>
    </row>
    <row r="13" spans="1:43" x14ac:dyDescent="0.2">
      <c r="A13" s="2">
        <v>1891456</v>
      </c>
      <c r="B13" s="3">
        <v>46113</v>
      </c>
      <c r="C13" s="4" t="s">
        <v>79</v>
      </c>
      <c r="D13" s="2">
        <v>1510420</v>
      </c>
      <c r="E13" s="4" t="s">
        <v>84</v>
      </c>
      <c r="F13" s="4" t="s">
        <v>85</v>
      </c>
      <c r="G13" s="2">
        <v>721687014</v>
      </c>
      <c r="H13" s="4" t="s">
        <v>86</v>
      </c>
      <c r="I13" s="4" t="s">
        <v>47</v>
      </c>
      <c r="J13" s="4" t="s">
        <v>48</v>
      </c>
      <c r="K13" s="4" t="s">
        <v>49</v>
      </c>
      <c r="L13" s="3">
        <v>45778</v>
      </c>
      <c r="M13" s="4" t="s">
        <v>92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62</v>
      </c>
      <c r="U13" s="4" t="s">
        <v>47</v>
      </c>
      <c r="V13" s="5">
        <v>0</v>
      </c>
      <c r="W13" s="5">
        <v>0</v>
      </c>
      <c r="X13" s="5">
        <v>100</v>
      </c>
      <c r="Y13" s="5">
        <v>234.74</v>
      </c>
      <c r="Z13" s="4" t="s">
        <v>47</v>
      </c>
      <c r="AA13" s="5" t="s">
        <v>47</v>
      </c>
      <c r="AB13" s="4" t="s">
        <v>93</v>
      </c>
      <c r="AC13" s="4" t="s">
        <v>47</v>
      </c>
      <c r="AD13" s="5">
        <v>0</v>
      </c>
      <c r="AE13" s="4" t="s">
        <v>94</v>
      </c>
      <c r="AF13" s="3">
        <v>45778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68</v>
      </c>
      <c r="AO13" s="4" t="s">
        <v>47</v>
      </c>
      <c r="AP13" s="4" t="s">
        <v>47</v>
      </c>
      <c r="AQ13" s="4" t="s">
        <v>47</v>
      </c>
    </row>
    <row r="14" spans="1:43" x14ac:dyDescent="0.2">
      <c r="A14" s="2">
        <v>1891456</v>
      </c>
      <c r="B14" s="3">
        <v>46113</v>
      </c>
      <c r="C14" s="4" t="s">
        <v>79</v>
      </c>
      <c r="D14" s="2">
        <v>1510420</v>
      </c>
      <c r="E14" s="4" t="s">
        <v>84</v>
      </c>
      <c r="F14" s="4" t="s">
        <v>85</v>
      </c>
      <c r="G14" s="2">
        <v>721687014</v>
      </c>
      <c r="H14" s="4" t="s">
        <v>86</v>
      </c>
      <c r="I14" s="4" t="s">
        <v>47</v>
      </c>
      <c r="J14" s="4" t="s">
        <v>48</v>
      </c>
      <c r="K14" s="4" t="s">
        <v>49</v>
      </c>
      <c r="L14" s="3">
        <v>45778</v>
      </c>
      <c r="M14" s="4" t="s">
        <v>92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62</v>
      </c>
      <c r="U14" s="4" t="s">
        <v>47</v>
      </c>
      <c r="V14" s="5">
        <v>0.08</v>
      </c>
      <c r="W14" s="5">
        <v>0</v>
      </c>
      <c r="X14" s="5">
        <v>100</v>
      </c>
      <c r="Y14" s="5">
        <v>26.09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</v>
      </c>
      <c r="AE14" s="4" t="s">
        <v>55</v>
      </c>
      <c r="AF14" s="3">
        <v>45778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68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46113</v>
      </c>
      <c r="C15" s="4" t="s">
        <v>79</v>
      </c>
      <c r="D15" s="2">
        <v>1510420</v>
      </c>
      <c r="E15" s="4" t="s">
        <v>95</v>
      </c>
      <c r="F15" s="4" t="s">
        <v>96</v>
      </c>
      <c r="G15" s="2">
        <v>157522163</v>
      </c>
      <c r="H15" s="4" t="s">
        <v>97</v>
      </c>
      <c r="I15" s="4" t="s">
        <v>47</v>
      </c>
      <c r="J15" s="4" t="s">
        <v>48</v>
      </c>
      <c r="K15" s="4" t="s">
        <v>49</v>
      </c>
      <c r="L15" s="3">
        <v>46113</v>
      </c>
      <c r="M15" s="4" t="s">
        <v>50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62</v>
      </c>
      <c r="U15" s="4" t="s">
        <v>47</v>
      </c>
      <c r="V15" s="5">
        <v>0.75</v>
      </c>
      <c r="W15" s="5">
        <v>0</v>
      </c>
      <c r="X15" s="5">
        <v>100</v>
      </c>
      <c r="Y15" s="5">
        <v>260.25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46113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63</v>
      </c>
      <c r="AO15" s="4" t="s">
        <v>47</v>
      </c>
      <c r="AP15" s="4" t="s">
        <v>47</v>
      </c>
      <c r="AQ15" s="4" t="s">
        <v>47</v>
      </c>
    </row>
    <row r="16" spans="1:43" x14ac:dyDescent="0.2">
      <c r="A16" s="2">
        <v>1891456</v>
      </c>
      <c r="B16" s="3">
        <v>46113</v>
      </c>
      <c r="C16" s="4" t="s">
        <v>79</v>
      </c>
      <c r="D16" s="2">
        <v>1510420</v>
      </c>
      <c r="E16" s="4" t="s">
        <v>98</v>
      </c>
      <c r="F16" s="4" t="s">
        <v>99</v>
      </c>
      <c r="G16" s="2">
        <v>815154394</v>
      </c>
      <c r="H16" s="4" t="s">
        <v>100</v>
      </c>
      <c r="I16" s="4" t="s">
        <v>47</v>
      </c>
      <c r="J16" s="4" t="s">
        <v>48</v>
      </c>
      <c r="K16" s="4" t="s">
        <v>49</v>
      </c>
      <c r="L16" s="3">
        <v>46113</v>
      </c>
      <c r="M16" s="4" t="s">
        <v>50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62</v>
      </c>
      <c r="U16" s="4" t="s">
        <v>47</v>
      </c>
      <c r="V16" s="5">
        <v>0.75</v>
      </c>
      <c r="W16" s="5">
        <v>0</v>
      </c>
      <c r="X16" s="5">
        <v>100</v>
      </c>
      <c r="Y16" s="5">
        <v>260.25</v>
      </c>
      <c r="Z16" s="4" t="s">
        <v>47</v>
      </c>
      <c r="AA16" s="5" t="s">
        <v>47</v>
      </c>
      <c r="AB16" s="4" t="s">
        <v>54</v>
      </c>
      <c r="AC16" s="4" t="s">
        <v>47</v>
      </c>
      <c r="AD16" s="5">
        <v>0</v>
      </c>
      <c r="AE16" s="4" t="s">
        <v>55</v>
      </c>
      <c r="AF16" s="3">
        <v>46113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63</v>
      </c>
      <c r="AO16" s="4" t="s">
        <v>47</v>
      </c>
      <c r="AP16" s="4" t="s">
        <v>47</v>
      </c>
      <c r="AQ16" s="4" t="s">
        <v>47</v>
      </c>
    </row>
    <row r="17" spans="1:43" x14ac:dyDescent="0.2">
      <c r="A17" s="2">
        <v>1891456</v>
      </c>
      <c r="B17" s="3">
        <v>46113</v>
      </c>
      <c r="C17" s="4" t="s">
        <v>101</v>
      </c>
      <c r="D17" s="2">
        <v>1524629</v>
      </c>
      <c r="E17" s="4" t="s">
        <v>102</v>
      </c>
      <c r="F17" s="4" t="s">
        <v>103</v>
      </c>
      <c r="G17" s="2">
        <v>312662013</v>
      </c>
      <c r="H17" s="4" t="s">
        <v>104</v>
      </c>
      <c r="I17" s="4" t="s">
        <v>47</v>
      </c>
      <c r="J17" s="4" t="s">
        <v>48</v>
      </c>
      <c r="K17" s="4" t="s">
        <v>49</v>
      </c>
      <c r="L17" s="3">
        <v>45992</v>
      </c>
      <c r="M17" s="4" t="s">
        <v>105</v>
      </c>
      <c r="N17" s="4" t="s">
        <v>47</v>
      </c>
      <c r="O17" s="4" t="s">
        <v>88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62</v>
      </c>
      <c r="U17" s="4" t="s">
        <v>47</v>
      </c>
      <c r="V17" s="5">
        <v>1</v>
      </c>
      <c r="W17" s="5">
        <v>0</v>
      </c>
      <c r="X17" s="5">
        <v>100</v>
      </c>
      <c r="Y17" s="5">
        <v>26.08</v>
      </c>
      <c r="Z17" s="4" t="s">
        <v>47</v>
      </c>
      <c r="AA17" s="5" t="s">
        <v>47</v>
      </c>
      <c r="AB17" s="4" t="s">
        <v>89</v>
      </c>
      <c r="AC17" s="4" t="s">
        <v>47</v>
      </c>
      <c r="AD17" s="5">
        <v>0</v>
      </c>
      <c r="AE17" s="4" t="s">
        <v>90</v>
      </c>
      <c r="AF17" s="3">
        <v>45078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68</v>
      </c>
      <c r="AO17" s="4" t="s">
        <v>47</v>
      </c>
      <c r="AP17" s="4" t="s">
        <v>47</v>
      </c>
      <c r="AQ17" s="4" t="s">
        <v>47</v>
      </c>
    </row>
    <row r="18" spans="1:43" x14ac:dyDescent="0.2">
      <c r="A18" s="2">
        <v>1891456</v>
      </c>
      <c r="B18" s="3">
        <v>46113</v>
      </c>
      <c r="C18" s="4" t="s">
        <v>106</v>
      </c>
      <c r="D18" s="2">
        <v>1535078</v>
      </c>
      <c r="E18" s="4" t="s">
        <v>107</v>
      </c>
      <c r="F18" s="4" t="s">
        <v>108</v>
      </c>
      <c r="G18" s="2">
        <v>720636313</v>
      </c>
      <c r="H18" s="4" t="s">
        <v>109</v>
      </c>
      <c r="I18" s="4" t="s">
        <v>47</v>
      </c>
      <c r="J18" s="4" t="s">
        <v>48</v>
      </c>
      <c r="K18" s="4" t="s">
        <v>49</v>
      </c>
      <c r="L18" s="3">
        <v>46054</v>
      </c>
      <c r="M18" s="4" t="s">
        <v>91</v>
      </c>
      <c r="N18" s="4" t="s">
        <v>47</v>
      </c>
      <c r="O18" s="4" t="s">
        <v>88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62</v>
      </c>
      <c r="U18" s="4" t="s">
        <v>47</v>
      </c>
      <c r="V18" s="5">
        <v>1</v>
      </c>
      <c r="W18" s="5">
        <v>0</v>
      </c>
      <c r="X18" s="5">
        <v>100</v>
      </c>
      <c r="Y18" s="5">
        <v>28.91</v>
      </c>
      <c r="Z18" s="4" t="s">
        <v>47</v>
      </c>
      <c r="AA18" s="5" t="s">
        <v>47</v>
      </c>
      <c r="AB18" s="4" t="s">
        <v>89</v>
      </c>
      <c r="AC18" s="4" t="s">
        <v>47</v>
      </c>
      <c r="AD18" s="5">
        <v>0</v>
      </c>
      <c r="AE18" s="4" t="s">
        <v>90</v>
      </c>
      <c r="AF18" s="3">
        <v>45931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68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46113</v>
      </c>
      <c r="C19" s="4" t="s">
        <v>110</v>
      </c>
      <c r="D19" s="2">
        <v>1573279</v>
      </c>
      <c r="E19" s="4" t="s">
        <v>111</v>
      </c>
      <c r="F19" s="4" t="s">
        <v>112</v>
      </c>
      <c r="G19" s="2">
        <v>853971352</v>
      </c>
      <c r="H19" s="4" t="s">
        <v>113</v>
      </c>
      <c r="I19" s="4" t="s">
        <v>47</v>
      </c>
      <c r="J19" s="4" t="s">
        <v>48</v>
      </c>
      <c r="K19" s="4" t="s">
        <v>49</v>
      </c>
      <c r="L19" s="3">
        <v>46023</v>
      </c>
      <c r="M19" s="4" t="s">
        <v>61</v>
      </c>
      <c r="N19" s="4" t="s">
        <v>47</v>
      </c>
      <c r="O19" s="4" t="s">
        <v>51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53</v>
      </c>
      <c r="U19" s="4" t="s">
        <v>47</v>
      </c>
      <c r="V19" s="5">
        <v>-0.75</v>
      </c>
      <c r="W19" s="5">
        <v>0</v>
      </c>
      <c r="X19" s="5">
        <v>100</v>
      </c>
      <c r="Y19" s="5">
        <v>-260.25</v>
      </c>
      <c r="Z19" s="4" t="s">
        <v>47</v>
      </c>
      <c r="AA19" s="5" t="s">
        <v>47</v>
      </c>
      <c r="AB19" s="4" t="s">
        <v>54</v>
      </c>
      <c r="AC19" s="4" t="s">
        <v>47</v>
      </c>
      <c r="AD19" s="5">
        <v>0</v>
      </c>
      <c r="AE19" s="4" t="s">
        <v>55</v>
      </c>
      <c r="AF19" s="3">
        <v>46023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56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46113</v>
      </c>
      <c r="C20" s="4" t="s">
        <v>114</v>
      </c>
      <c r="D20" s="2">
        <v>1626475</v>
      </c>
      <c r="E20" s="4" t="s">
        <v>115</v>
      </c>
      <c r="F20" s="4" t="s">
        <v>116</v>
      </c>
      <c r="G20" s="2">
        <v>743674201</v>
      </c>
      <c r="H20" s="4" t="s">
        <v>117</v>
      </c>
      <c r="I20" s="4" t="s">
        <v>47</v>
      </c>
      <c r="J20" s="4" t="s">
        <v>48</v>
      </c>
      <c r="K20" s="4" t="s">
        <v>49</v>
      </c>
      <c r="L20" s="3">
        <v>46113</v>
      </c>
      <c r="M20" s="4" t="s">
        <v>50</v>
      </c>
      <c r="N20" s="4" t="s">
        <v>47</v>
      </c>
      <c r="O20" s="4" t="s">
        <v>51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62</v>
      </c>
      <c r="U20" s="4" t="s">
        <v>47</v>
      </c>
      <c r="V20" s="5">
        <v>0.75</v>
      </c>
      <c r="W20" s="5">
        <v>0</v>
      </c>
      <c r="X20" s="5">
        <v>100</v>
      </c>
      <c r="Y20" s="5">
        <v>260.25</v>
      </c>
      <c r="Z20" s="4" t="s">
        <v>47</v>
      </c>
      <c r="AA20" s="5" t="s">
        <v>47</v>
      </c>
      <c r="AB20" s="4" t="s">
        <v>54</v>
      </c>
      <c r="AC20" s="4" t="s">
        <v>47</v>
      </c>
      <c r="AD20" s="5">
        <v>0</v>
      </c>
      <c r="AE20" s="4" t="s">
        <v>55</v>
      </c>
      <c r="AF20" s="3">
        <v>46113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63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46113</v>
      </c>
      <c r="C21" s="4" t="s">
        <v>118</v>
      </c>
      <c r="D21" s="2">
        <v>1639670</v>
      </c>
      <c r="E21" s="4" t="s">
        <v>119</v>
      </c>
      <c r="F21" s="4" t="s">
        <v>120</v>
      </c>
      <c r="G21" s="2">
        <v>780908001</v>
      </c>
      <c r="H21" s="4" t="s">
        <v>121</v>
      </c>
      <c r="I21" s="4" t="s">
        <v>47</v>
      </c>
      <c r="J21" s="4" t="s">
        <v>48</v>
      </c>
      <c r="K21" s="4" t="s">
        <v>49</v>
      </c>
      <c r="L21" s="3">
        <v>46113</v>
      </c>
      <c r="M21" s="4" t="s">
        <v>50</v>
      </c>
      <c r="N21" s="4" t="s">
        <v>47</v>
      </c>
      <c r="O21" s="4" t="s">
        <v>51</v>
      </c>
      <c r="P21" s="4" t="s">
        <v>47</v>
      </c>
      <c r="Q21" s="2">
        <v>1</v>
      </c>
      <c r="R21" s="2">
        <v>17</v>
      </c>
      <c r="S21" s="4" t="s">
        <v>52</v>
      </c>
      <c r="T21" s="4" t="s">
        <v>53</v>
      </c>
      <c r="U21" s="4" t="s">
        <v>47</v>
      </c>
      <c r="V21" s="5">
        <v>0.75</v>
      </c>
      <c r="W21" s="5">
        <v>0</v>
      </c>
      <c r="X21" s="5">
        <v>100</v>
      </c>
      <c r="Y21" s="5">
        <v>260.25</v>
      </c>
      <c r="Z21" s="4" t="s">
        <v>47</v>
      </c>
      <c r="AA21" s="5" t="s">
        <v>47</v>
      </c>
      <c r="AB21" s="4" t="s">
        <v>54</v>
      </c>
      <c r="AC21" s="4" t="s">
        <v>47</v>
      </c>
      <c r="AD21" s="5">
        <v>0</v>
      </c>
      <c r="AE21" s="4" t="s">
        <v>55</v>
      </c>
      <c r="AF21" s="3">
        <v>46113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56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46113</v>
      </c>
      <c r="C22" s="4" t="s">
        <v>122</v>
      </c>
      <c r="D22" s="2">
        <v>1646082</v>
      </c>
      <c r="E22" s="4" t="s">
        <v>123</v>
      </c>
      <c r="F22" s="4" t="s">
        <v>124</v>
      </c>
      <c r="G22" s="2">
        <v>437693021</v>
      </c>
      <c r="H22" s="4" t="s">
        <v>125</v>
      </c>
      <c r="I22" s="4" t="s">
        <v>47</v>
      </c>
      <c r="J22" s="4" t="s">
        <v>48</v>
      </c>
      <c r="K22" s="4" t="s">
        <v>49</v>
      </c>
      <c r="L22" s="3">
        <v>46113</v>
      </c>
      <c r="M22" s="4" t="s">
        <v>50</v>
      </c>
      <c r="N22" s="4" t="s">
        <v>47</v>
      </c>
      <c r="O22" s="4" t="s">
        <v>51</v>
      </c>
      <c r="P22" s="4" t="s">
        <v>47</v>
      </c>
      <c r="Q22" s="2">
        <v>1</v>
      </c>
      <c r="R22" s="2">
        <v>17</v>
      </c>
      <c r="S22" s="4" t="s">
        <v>52</v>
      </c>
      <c r="T22" s="4" t="s">
        <v>62</v>
      </c>
      <c r="U22" s="4" t="s">
        <v>47</v>
      </c>
      <c r="V22" s="5">
        <v>0.75</v>
      </c>
      <c r="W22" s="5">
        <v>0</v>
      </c>
      <c r="X22" s="5">
        <v>100</v>
      </c>
      <c r="Y22" s="5">
        <v>260.25</v>
      </c>
      <c r="Z22" s="4" t="s">
        <v>47</v>
      </c>
      <c r="AA22" s="5" t="s">
        <v>47</v>
      </c>
      <c r="AB22" s="4" t="s">
        <v>54</v>
      </c>
      <c r="AC22" s="4" t="s">
        <v>47</v>
      </c>
      <c r="AD22" s="5">
        <v>0</v>
      </c>
      <c r="AE22" s="4" t="s">
        <v>55</v>
      </c>
      <c r="AF22" s="3">
        <v>46113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63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46113</v>
      </c>
      <c r="C23" s="4" t="s">
        <v>122</v>
      </c>
      <c r="D23" s="2">
        <v>1646082</v>
      </c>
      <c r="E23" s="4" t="s">
        <v>126</v>
      </c>
      <c r="F23" s="4" t="s">
        <v>127</v>
      </c>
      <c r="G23" s="2">
        <v>517032150</v>
      </c>
      <c r="H23" s="4" t="s">
        <v>128</v>
      </c>
      <c r="I23" s="4" t="s">
        <v>47</v>
      </c>
      <c r="J23" s="4" t="s">
        <v>48</v>
      </c>
      <c r="K23" s="4" t="s">
        <v>49</v>
      </c>
      <c r="L23" s="3">
        <v>46113</v>
      </c>
      <c r="M23" s="4" t="s">
        <v>50</v>
      </c>
      <c r="N23" s="4" t="s">
        <v>47</v>
      </c>
      <c r="O23" s="4" t="s">
        <v>51</v>
      </c>
      <c r="P23" s="4" t="s">
        <v>47</v>
      </c>
      <c r="Q23" s="2">
        <v>1</v>
      </c>
      <c r="R23" s="2">
        <v>17</v>
      </c>
      <c r="S23" s="4" t="s">
        <v>52</v>
      </c>
      <c r="T23" s="4" t="s">
        <v>62</v>
      </c>
      <c r="U23" s="4" t="s">
        <v>47</v>
      </c>
      <c r="V23" s="5">
        <v>0.75</v>
      </c>
      <c r="W23" s="5">
        <v>0</v>
      </c>
      <c r="X23" s="5">
        <v>100</v>
      </c>
      <c r="Y23" s="5">
        <v>260.25</v>
      </c>
      <c r="Z23" s="4" t="s">
        <v>47</v>
      </c>
      <c r="AA23" s="5" t="s">
        <v>47</v>
      </c>
      <c r="AB23" s="4" t="s">
        <v>54</v>
      </c>
      <c r="AC23" s="4" t="s">
        <v>47</v>
      </c>
      <c r="AD23" s="5">
        <v>0</v>
      </c>
      <c r="AE23" s="4" t="s">
        <v>55</v>
      </c>
      <c r="AF23" s="3">
        <v>46113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63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46113</v>
      </c>
      <c r="C24" s="4" t="s">
        <v>129</v>
      </c>
      <c r="D24" s="2">
        <v>1703942</v>
      </c>
      <c r="E24" s="4" t="s">
        <v>130</v>
      </c>
      <c r="F24" s="4" t="s">
        <v>131</v>
      </c>
      <c r="G24" s="2">
        <v>32577280</v>
      </c>
      <c r="H24" s="4" t="s">
        <v>132</v>
      </c>
      <c r="I24" s="4" t="s">
        <v>47</v>
      </c>
      <c r="J24" s="4" t="s">
        <v>48</v>
      </c>
      <c r="K24" s="4" t="s">
        <v>49</v>
      </c>
      <c r="L24" s="3">
        <v>46023</v>
      </c>
      <c r="M24" s="4" t="s">
        <v>61</v>
      </c>
      <c r="N24" s="4" t="s">
        <v>47</v>
      </c>
      <c r="O24" s="4" t="s">
        <v>51</v>
      </c>
      <c r="P24" s="4" t="s">
        <v>47</v>
      </c>
      <c r="Q24" s="2">
        <v>1</v>
      </c>
      <c r="R24" s="2">
        <v>17</v>
      </c>
      <c r="S24" s="4" t="s">
        <v>52</v>
      </c>
      <c r="T24" s="4" t="s">
        <v>53</v>
      </c>
      <c r="U24" s="4" t="s">
        <v>47</v>
      </c>
      <c r="V24" s="5">
        <v>-0.75</v>
      </c>
      <c r="W24" s="5">
        <v>0</v>
      </c>
      <c r="X24" s="5">
        <v>100</v>
      </c>
      <c r="Y24" s="5">
        <v>-260.25</v>
      </c>
      <c r="Z24" s="4" t="s">
        <v>47</v>
      </c>
      <c r="AA24" s="5" t="s">
        <v>47</v>
      </c>
      <c r="AB24" s="4" t="s">
        <v>54</v>
      </c>
      <c r="AC24" s="4" t="s">
        <v>47</v>
      </c>
      <c r="AD24" s="5">
        <v>0</v>
      </c>
      <c r="AE24" s="4" t="s">
        <v>55</v>
      </c>
      <c r="AF24" s="3">
        <v>46023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56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46113</v>
      </c>
      <c r="C25" s="4" t="s">
        <v>129</v>
      </c>
      <c r="D25" s="2">
        <v>1703942</v>
      </c>
      <c r="E25" s="4" t="s">
        <v>133</v>
      </c>
      <c r="F25" s="4" t="s">
        <v>134</v>
      </c>
      <c r="G25" s="2">
        <v>187681262</v>
      </c>
      <c r="H25" s="4" t="s">
        <v>135</v>
      </c>
      <c r="I25" s="4" t="s">
        <v>47</v>
      </c>
      <c r="J25" s="4" t="s">
        <v>48</v>
      </c>
      <c r="K25" s="4" t="s">
        <v>49</v>
      </c>
      <c r="L25" s="3">
        <v>46054</v>
      </c>
      <c r="M25" s="4" t="s">
        <v>91</v>
      </c>
      <c r="N25" s="4" t="s">
        <v>47</v>
      </c>
      <c r="O25" s="4" t="s">
        <v>51</v>
      </c>
      <c r="P25" s="4" t="s">
        <v>47</v>
      </c>
      <c r="Q25" s="2">
        <v>1</v>
      </c>
      <c r="R25" s="2">
        <v>17</v>
      </c>
      <c r="S25" s="4" t="s">
        <v>52</v>
      </c>
      <c r="T25" s="4" t="s">
        <v>62</v>
      </c>
      <c r="U25" s="4" t="s">
        <v>47</v>
      </c>
      <c r="V25" s="5">
        <v>-0.75</v>
      </c>
      <c r="W25" s="5">
        <v>0</v>
      </c>
      <c r="X25" s="5">
        <v>100</v>
      </c>
      <c r="Y25" s="5">
        <v>-260.25</v>
      </c>
      <c r="Z25" s="4" t="s">
        <v>47</v>
      </c>
      <c r="AA25" s="5" t="s">
        <v>47</v>
      </c>
      <c r="AB25" s="4" t="s">
        <v>54</v>
      </c>
      <c r="AC25" s="4" t="s">
        <v>47</v>
      </c>
      <c r="AD25" s="5">
        <v>0</v>
      </c>
      <c r="AE25" s="4" t="s">
        <v>55</v>
      </c>
      <c r="AF25" s="3">
        <v>46054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63</v>
      </c>
      <c r="AO25" s="4" t="s">
        <v>47</v>
      </c>
      <c r="AP25" s="4" t="s">
        <v>47</v>
      </c>
      <c r="AQ25" s="4" t="s">
        <v>47</v>
      </c>
    </row>
    <row r="26" spans="1:43" x14ac:dyDescent="0.2">
      <c r="A26" s="2">
        <v>1891456</v>
      </c>
      <c r="B26" s="3">
        <v>46113</v>
      </c>
      <c r="C26" s="4" t="s">
        <v>129</v>
      </c>
      <c r="D26" s="2">
        <v>1703942</v>
      </c>
      <c r="E26" s="4" t="s">
        <v>136</v>
      </c>
      <c r="F26" s="4" t="s">
        <v>137</v>
      </c>
      <c r="G26" s="2">
        <v>911856524</v>
      </c>
      <c r="H26" s="4" t="s">
        <v>138</v>
      </c>
      <c r="I26" s="4" t="s">
        <v>47</v>
      </c>
      <c r="J26" s="4" t="s">
        <v>48</v>
      </c>
      <c r="K26" s="4" t="s">
        <v>49</v>
      </c>
      <c r="L26" s="3">
        <v>46023</v>
      </c>
      <c r="M26" s="4" t="s">
        <v>61</v>
      </c>
      <c r="N26" s="4" t="s">
        <v>47</v>
      </c>
      <c r="O26" s="4" t="s">
        <v>51</v>
      </c>
      <c r="P26" s="4" t="s">
        <v>47</v>
      </c>
      <c r="Q26" s="2">
        <v>1</v>
      </c>
      <c r="R26" s="2">
        <v>17</v>
      </c>
      <c r="S26" s="4" t="s">
        <v>52</v>
      </c>
      <c r="T26" s="4" t="s">
        <v>62</v>
      </c>
      <c r="U26" s="4" t="s">
        <v>47</v>
      </c>
      <c r="V26" s="5">
        <v>-0.75</v>
      </c>
      <c r="W26" s="5">
        <v>0</v>
      </c>
      <c r="X26" s="5">
        <v>100</v>
      </c>
      <c r="Y26" s="5">
        <v>-123.75</v>
      </c>
      <c r="Z26" s="4" t="s">
        <v>47</v>
      </c>
      <c r="AA26" s="5" t="s">
        <v>47</v>
      </c>
      <c r="AB26" s="4" t="s">
        <v>54</v>
      </c>
      <c r="AC26" s="4" t="s">
        <v>47</v>
      </c>
      <c r="AD26" s="5">
        <v>0</v>
      </c>
      <c r="AE26" s="4" t="s">
        <v>55</v>
      </c>
      <c r="AF26" s="3">
        <v>46023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63</v>
      </c>
      <c r="AO26" s="4" t="s">
        <v>47</v>
      </c>
      <c r="AP26" s="4" t="s">
        <v>47</v>
      </c>
      <c r="AQ26" s="4" t="s">
        <v>47</v>
      </c>
    </row>
    <row r="27" spans="1:43" x14ac:dyDescent="0.2">
      <c r="A27" s="2">
        <v>1891456</v>
      </c>
      <c r="B27" s="3">
        <v>46113</v>
      </c>
      <c r="C27" s="4" t="s">
        <v>129</v>
      </c>
      <c r="D27" s="2">
        <v>1703942</v>
      </c>
      <c r="E27" s="4" t="s">
        <v>139</v>
      </c>
      <c r="F27" s="4" t="s">
        <v>140</v>
      </c>
      <c r="G27" s="2">
        <v>337900502</v>
      </c>
      <c r="H27" s="4" t="s">
        <v>141</v>
      </c>
      <c r="I27" s="4" t="s">
        <v>47</v>
      </c>
      <c r="J27" s="4" t="s">
        <v>48</v>
      </c>
      <c r="K27" s="4" t="s">
        <v>49</v>
      </c>
      <c r="L27" s="3">
        <v>46023</v>
      </c>
      <c r="M27" s="4" t="s">
        <v>61</v>
      </c>
      <c r="N27" s="4" t="s">
        <v>47</v>
      </c>
      <c r="O27" s="4" t="s">
        <v>51</v>
      </c>
      <c r="P27" s="4" t="s">
        <v>47</v>
      </c>
      <c r="Q27" s="2">
        <v>1</v>
      </c>
      <c r="R27" s="2">
        <v>17</v>
      </c>
      <c r="S27" s="4" t="s">
        <v>52</v>
      </c>
      <c r="T27" s="4" t="s">
        <v>62</v>
      </c>
      <c r="U27" s="4" t="s">
        <v>47</v>
      </c>
      <c r="V27" s="5">
        <v>0.92</v>
      </c>
      <c r="W27" s="5">
        <v>0</v>
      </c>
      <c r="X27" s="5">
        <v>100</v>
      </c>
      <c r="Y27" s="5">
        <v>151.25</v>
      </c>
      <c r="Z27" s="4" t="s">
        <v>47</v>
      </c>
      <c r="AA27" s="5" t="s">
        <v>47</v>
      </c>
      <c r="AB27" s="4" t="s">
        <v>54</v>
      </c>
      <c r="AC27" s="4" t="s">
        <v>47</v>
      </c>
      <c r="AD27" s="5">
        <v>0</v>
      </c>
      <c r="AE27" s="4" t="s">
        <v>55</v>
      </c>
      <c r="AF27" s="3">
        <v>46023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63</v>
      </c>
      <c r="AO27" s="4" t="s">
        <v>47</v>
      </c>
      <c r="AP27" s="4" t="s">
        <v>47</v>
      </c>
      <c r="AQ27" s="4" t="s">
        <v>47</v>
      </c>
    </row>
    <row r="28" spans="1:43" x14ac:dyDescent="0.2">
      <c r="A28" s="2">
        <v>1891456</v>
      </c>
      <c r="B28" s="3">
        <v>46113</v>
      </c>
      <c r="C28" s="4" t="s">
        <v>129</v>
      </c>
      <c r="D28" s="2">
        <v>1703942</v>
      </c>
      <c r="E28" s="4" t="s">
        <v>142</v>
      </c>
      <c r="F28" s="4" t="s">
        <v>143</v>
      </c>
      <c r="G28" s="2">
        <v>762261274</v>
      </c>
      <c r="H28" s="4" t="s">
        <v>144</v>
      </c>
      <c r="I28" s="4" t="s">
        <v>47</v>
      </c>
      <c r="J28" s="4" t="s">
        <v>48</v>
      </c>
      <c r="K28" s="4" t="s">
        <v>49</v>
      </c>
      <c r="L28" s="3">
        <v>46113</v>
      </c>
      <c r="M28" s="4" t="s">
        <v>50</v>
      </c>
      <c r="N28" s="4" t="s">
        <v>47</v>
      </c>
      <c r="O28" s="4" t="s">
        <v>51</v>
      </c>
      <c r="P28" s="4" t="s">
        <v>47</v>
      </c>
      <c r="Q28" s="2">
        <v>1</v>
      </c>
      <c r="R28" s="2">
        <v>17</v>
      </c>
      <c r="S28" s="4" t="s">
        <v>52</v>
      </c>
      <c r="T28" s="4" t="s">
        <v>62</v>
      </c>
      <c r="U28" s="4" t="s">
        <v>47</v>
      </c>
      <c r="V28" s="5">
        <v>0.75</v>
      </c>
      <c r="W28" s="5">
        <v>0</v>
      </c>
      <c r="X28" s="5">
        <v>100</v>
      </c>
      <c r="Y28" s="5">
        <v>260.25</v>
      </c>
      <c r="Z28" s="4" t="s">
        <v>47</v>
      </c>
      <c r="AA28" s="5" t="s">
        <v>47</v>
      </c>
      <c r="AB28" s="4" t="s">
        <v>54</v>
      </c>
      <c r="AC28" s="4" t="s">
        <v>47</v>
      </c>
      <c r="AD28" s="5">
        <v>0</v>
      </c>
      <c r="AE28" s="4" t="s">
        <v>55</v>
      </c>
      <c r="AF28" s="3">
        <v>46113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63</v>
      </c>
      <c r="AO28" s="4" t="s">
        <v>47</v>
      </c>
      <c r="AP28" s="4" t="s">
        <v>47</v>
      </c>
      <c r="AQ28" s="4" t="s">
        <v>47</v>
      </c>
    </row>
    <row r="29" spans="1:43" x14ac:dyDescent="0.2">
      <c r="A29" s="2">
        <v>1891456</v>
      </c>
      <c r="B29" s="3">
        <v>46113</v>
      </c>
      <c r="C29" s="4" t="s">
        <v>129</v>
      </c>
      <c r="D29" s="2">
        <v>1703942</v>
      </c>
      <c r="E29" s="4" t="s">
        <v>145</v>
      </c>
      <c r="F29" s="4" t="s">
        <v>146</v>
      </c>
      <c r="G29" s="2">
        <v>333324134</v>
      </c>
      <c r="H29" s="4" t="s">
        <v>147</v>
      </c>
      <c r="I29" s="4" t="s">
        <v>47</v>
      </c>
      <c r="J29" s="4" t="s">
        <v>48</v>
      </c>
      <c r="K29" s="4" t="s">
        <v>49</v>
      </c>
      <c r="L29" s="3">
        <v>46113</v>
      </c>
      <c r="M29" s="4" t="s">
        <v>50</v>
      </c>
      <c r="N29" s="4" t="s">
        <v>47</v>
      </c>
      <c r="O29" s="4" t="s">
        <v>51</v>
      </c>
      <c r="P29" s="4" t="s">
        <v>47</v>
      </c>
      <c r="Q29" s="2">
        <v>1</v>
      </c>
      <c r="R29" s="2">
        <v>17</v>
      </c>
      <c r="S29" s="4" t="s">
        <v>52</v>
      </c>
      <c r="T29" s="4" t="s">
        <v>53</v>
      </c>
      <c r="U29" s="4" t="s">
        <v>47</v>
      </c>
      <c r="V29" s="5">
        <v>0.75</v>
      </c>
      <c r="W29" s="5">
        <v>0</v>
      </c>
      <c r="X29" s="5">
        <v>100</v>
      </c>
      <c r="Y29" s="5">
        <v>260.25</v>
      </c>
      <c r="Z29" s="4" t="s">
        <v>47</v>
      </c>
      <c r="AA29" s="5" t="s">
        <v>47</v>
      </c>
      <c r="AB29" s="4" t="s">
        <v>54</v>
      </c>
      <c r="AC29" s="4" t="s">
        <v>47</v>
      </c>
      <c r="AD29" s="5">
        <v>0</v>
      </c>
      <c r="AE29" s="4" t="s">
        <v>55</v>
      </c>
      <c r="AF29" s="3">
        <v>46113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148</v>
      </c>
      <c r="AO29" s="4" t="s">
        <v>47</v>
      </c>
      <c r="AP29" s="4" t="s">
        <v>47</v>
      </c>
      <c r="AQ29" s="4" t="s">
        <v>47</v>
      </c>
    </row>
    <row r="30" spans="1:43" x14ac:dyDescent="0.2">
      <c r="A30" s="2">
        <v>1891456</v>
      </c>
      <c r="B30" s="3">
        <v>46113</v>
      </c>
      <c r="C30" s="4" t="s">
        <v>129</v>
      </c>
      <c r="D30" s="2">
        <v>1703942</v>
      </c>
      <c r="E30" s="4" t="s">
        <v>149</v>
      </c>
      <c r="F30" s="4" t="s">
        <v>150</v>
      </c>
      <c r="G30" s="2">
        <v>576004164</v>
      </c>
      <c r="H30" s="4" t="s">
        <v>151</v>
      </c>
      <c r="I30" s="4" t="s">
        <v>47</v>
      </c>
      <c r="J30" s="4" t="s">
        <v>48</v>
      </c>
      <c r="K30" s="4" t="s">
        <v>49</v>
      </c>
      <c r="L30" s="3">
        <v>46143</v>
      </c>
      <c r="M30" s="4" t="s">
        <v>92</v>
      </c>
      <c r="N30" s="4" t="s">
        <v>47</v>
      </c>
      <c r="O30" s="4" t="s">
        <v>51</v>
      </c>
      <c r="P30" s="4" t="s">
        <v>47</v>
      </c>
      <c r="Q30" s="2">
        <v>1</v>
      </c>
      <c r="R30" s="2">
        <v>17</v>
      </c>
      <c r="S30" s="4" t="s">
        <v>52</v>
      </c>
      <c r="T30" s="4" t="s">
        <v>62</v>
      </c>
      <c r="U30" s="4" t="s">
        <v>47</v>
      </c>
      <c r="V30" s="5">
        <v>0.67</v>
      </c>
      <c r="W30" s="5">
        <v>0</v>
      </c>
      <c r="X30" s="5">
        <v>100</v>
      </c>
      <c r="Y30" s="5">
        <v>231.33</v>
      </c>
      <c r="Z30" s="4" t="s">
        <v>47</v>
      </c>
      <c r="AA30" s="5" t="s">
        <v>47</v>
      </c>
      <c r="AB30" s="4" t="s">
        <v>54</v>
      </c>
      <c r="AC30" s="4" t="s">
        <v>47</v>
      </c>
      <c r="AD30" s="5">
        <v>0</v>
      </c>
      <c r="AE30" s="4" t="s">
        <v>55</v>
      </c>
      <c r="AF30" s="3">
        <v>46143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63</v>
      </c>
      <c r="AO30" s="4" t="s">
        <v>47</v>
      </c>
      <c r="AP30" s="4" t="s">
        <v>47</v>
      </c>
      <c r="AQ30" s="4" t="s">
        <v>47</v>
      </c>
    </row>
    <row r="31" spans="1:43" x14ac:dyDescent="0.2">
      <c r="A31" s="2">
        <v>1891456</v>
      </c>
      <c r="B31" s="3">
        <v>46113</v>
      </c>
      <c r="C31" s="4" t="s">
        <v>152</v>
      </c>
      <c r="D31" s="2">
        <v>1800759</v>
      </c>
      <c r="E31" s="4" t="s">
        <v>153</v>
      </c>
      <c r="F31" s="4" t="s">
        <v>154</v>
      </c>
      <c r="G31" s="2">
        <v>753510383</v>
      </c>
      <c r="H31" s="4" t="s">
        <v>155</v>
      </c>
      <c r="I31" s="4" t="s">
        <v>47</v>
      </c>
      <c r="J31" s="4" t="s">
        <v>48</v>
      </c>
      <c r="K31" s="4" t="s">
        <v>49</v>
      </c>
      <c r="L31" s="3">
        <v>46023</v>
      </c>
      <c r="M31" s="4" t="s">
        <v>61</v>
      </c>
      <c r="N31" s="4" t="s">
        <v>47</v>
      </c>
      <c r="O31" s="4" t="s">
        <v>51</v>
      </c>
      <c r="P31" s="4" t="s">
        <v>47</v>
      </c>
      <c r="Q31" s="2">
        <v>1</v>
      </c>
      <c r="R31" s="2">
        <v>17</v>
      </c>
      <c r="S31" s="4" t="s">
        <v>52</v>
      </c>
      <c r="T31" s="4" t="s">
        <v>62</v>
      </c>
      <c r="U31" s="4" t="s">
        <v>47</v>
      </c>
      <c r="V31" s="5">
        <v>-0.75</v>
      </c>
      <c r="W31" s="5">
        <v>0</v>
      </c>
      <c r="X31" s="5">
        <v>100</v>
      </c>
      <c r="Y31" s="5">
        <v>-260.25</v>
      </c>
      <c r="Z31" s="4" t="s">
        <v>47</v>
      </c>
      <c r="AA31" s="5" t="s">
        <v>47</v>
      </c>
      <c r="AB31" s="4" t="s">
        <v>54</v>
      </c>
      <c r="AC31" s="4" t="s">
        <v>47</v>
      </c>
      <c r="AD31" s="5">
        <v>0</v>
      </c>
      <c r="AE31" s="4" t="s">
        <v>55</v>
      </c>
      <c r="AF31" s="3">
        <v>46023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63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46113</v>
      </c>
      <c r="C32" s="4" t="s">
        <v>152</v>
      </c>
      <c r="D32" s="2">
        <v>1800759</v>
      </c>
      <c r="E32" s="4" t="s">
        <v>153</v>
      </c>
      <c r="F32" s="4" t="s">
        <v>154</v>
      </c>
      <c r="G32" s="2">
        <v>753510383</v>
      </c>
      <c r="H32" s="4" t="s">
        <v>155</v>
      </c>
      <c r="I32" s="4" t="s">
        <v>47</v>
      </c>
      <c r="J32" s="4" t="s">
        <v>48</v>
      </c>
      <c r="K32" s="4" t="s">
        <v>49</v>
      </c>
      <c r="L32" s="3">
        <v>46113</v>
      </c>
      <c r="M32" s="4" t="s">
        <v>50</v>
      </c>
      <c r="N32" s="4" t="s">
        <v>47</v>
      </c>
      <c r="O32" s="4" t="s">
        <v>51</v>
      </c>
      <c r="P32" s="4" t="s">
        <v>47</v>
      </c>
      <c r="Q32" s="2">
        <v>1</v>
      </c>
      <c r="R32" s="2">
        <v>17</v>
      </c>
      <c r="S32" s="4" t="s">
        <v>52</v>
      </c>
      <c r="T32" s="4" t="s">
        <v>53</v>
      </c>
      <c r="U32" s="4" t="s">
        <v>47</v>
      </c>
      <c r="V32" s="5">
        <v>0.75</v>
      </c>
      <c r="W32" s="5">
        <v>0</v>
      </c>
      <c r="X32" s="5">
        <v>100</v>
      </c>
      <c r="Y32" s="5">
        <v>260.25</v>
      </c>
      <c r="Z32" s="4" t="s">
        <v>47</v>
      </c>
      <c r="AA32" s="5" t="s">
        <v>47</v>
      </c>
      <c r="AB32" s="4" t="s">
        <v>54</v>
      </c>
      <c r="AC32" s="4" t="s">
        <v>47</v>
      </c>
      <c r="AD32" s="5">
        <v>0</v>
      </c>
      <c r="AE32" s="4" t="s">
        <v>55</v>
      </c>
      <c r="AF32" s="3">
        <v>46113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56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46113</v>
      </c>
      <c r="C33" s="4" t="s">
        <v>152</v>
      </c>
      <c r="D33" s="2">
        <v>1800759</v>
      </c>
      <c r="E33" s="4" t="s">
        <v>156</v>
      </c>
      <c r="F33" s="4" t="s">
        <v>157</v>
      </c>
      <c r="G33" s="2">
        <v>9854581</v>
      </c>
      <c r="H33" s="4" t="s">
        <v>158</v>
      </c>
      <c r="I33" s="4" t="s">
        <v>47</v>
      </c>
      <c r="J33" s="4" t="s">
        <v>48</v>
      </c>
      <c r="K33" s="4" t="s">
        <v>49</v>
      </c>
      <c r="L33" s="3">
        <v>46113</v>
      </c>
      <c r="M33" s="4" t="s">
        <v>50</v>
      </c>
      <c r="N33" s="4" t="s">
        <v>47</v>
      </c>
      <c r="O33" s="4" t="s">
        <v>51</v>
      </c>
      <c r="P33" s="4" t="s">
        <v>47</v>
      </c>
      <c r="Q33" s="2">
        <v>1</v>
      </c>
      <c r="R33" s="2">
        <v>17</v>
      </c>
      <c r="S33" s="4" t="s">
        <v>52</v>
      </c>
      <c r="T33" s="4" t="s">
        <v>53</v>
      </c>
      <c r="U33" s="4" t="s">
        <v>47</v>
      </c>
      <c r="V33" s="5">
        <v>0.75</v>
      </c>
      <c r="W33" s="5">
        <v>0</v>
      </c>
      <c r="X33" s="5">
        <v>100</v>
      </c>
      <c r="Y33" s="5">
        <v>260.25</v>
      </c>
      <c r="Z33" s="4" t="s">
        <v>47</v>
      </c>
      <c r="AA33" s="5" t="s">
        <v>47</v>
      </c>
      <c r="AB33" s="4" t="s">
        <v>54</v>
      </c>
      <c r="AC33" s="4" t="s">
        <v>47</v>
      </c>
      <c r="AD33" s="5">
        <v>0</v>
      </c>
      <c r="AE33" s="4" t="s">
        <v>55</v>
      </c>
      <c r="AF33" s="3">
        <v>46113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56</v>
      </c>
      <c r="AO33" s="4" t="s">
        <v>47</v>
      </c>
      <c r="AP33" s="4" t="s">
        <v>47</v>
      </c>
      <c r="AQ33" s="4" t="s">
        <v>47</v>
      </c>
    </row>
    <row r="34" spans="1:43" x14ac:dyDescent="0.2">
      <c r="A34" s="2">
        <v>1891456</v>
      </c>
      <c r="B34" s="3">
        <v>46113</v>
      </c>
      <c r="C34" s="4" t="s">
        <v>152</v>
      </c>
      <c r="D34" s="2">
        <v>1800759</v>
      </c>
      <c r="E34" s="4" t="s">
        <v>159</v>
      </c>
      <c r="F34" s="4" t="s">
        <v>160</v>
      </c>
      <c r="G34" s="2">
        <v>840656151</v>
      </c>
      <c r="H34" s="4" t="s">
        <v>161</v>
      </c>
      <c r="I34" s="4" t="s">
        <v>47</v>
      </c>
      <c r="J34" s="4" t="s">
        <v>48</v>
      </c>
      <c r="K34" s="4" t="s">
        <v>49</v>
      </c>
      <c r="L34" s="3">
        <v>46113</v>
      </c>
      <c r="M34" s="4" t="s">
        <v>50</v>
      </c>
      <c r="N34" s="4" t="s">
        <v>47</v>
      </c>
      <c r="O34" s="4" t="s">
        <v>51</v>
      </c>
      <c r="P34" s="4" t="s">
        <v>47</v>
      </c>
      <c r="Q34" s="2">
        <v>1</v>
      </c>
      <c r="R34" s="2">
        <v>17</v>
      </c>
      <c r="S34" s="4" t="s">
        <v>52</v>
      </c>
      <c r="T34" s="4" t="s">
        <v>53</v>
      </c>
      <c r="U34" s="4" t="s">
        <v>47</v>
      </c>
      <c r="V34" s="5">
        <v>0.75</v>
      </c>
      <c r="W34" s="5">
        <v>0</v>
      </c>
      <c r="X34" s="5">
        <v>100</v>
      </c>
      <c r="Y34" s="5">
        <v>260.25</v>
      </c>
      <c r="Z34" s="4" t="s">
        <v>47</v>
      </c>
      <c r="AA34" s="5" t="s">
        <v>47</v>
      </c>
      <c r="AB34" s="4" t="s">
        <v>54</v>
      </c>
      <c r="AC34" s="4" t="s">
        <v>47</v>
      </c>
      <c r="AD34" s="5">
        <v>0</v>
      </c>
      <c r="AE34" s="4" t="s">
        <v>55</v>
      </c>
      <c r="AF34" s="3">
        <v>46113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56</v>
      </c>
      <c r="AO34" s="4" t="s">
        <v>47</v>
      </c>
      <c r="AP34" s="4" t="s">
        <v>47</v>
      </c>
      <c r="AQ34" s="4" t="s">
        <v>47</v>
      </c>
    </row>
    <row r="35" spans="1:43" x14ac:dyDescent="0.2">
      <c r="A35" s="2">
        <v>1891456</v>
      </c>
      <c r="B35" s="3">
        <v>46113</v>
      </c>
      <c r="C35" s="4" t="s">
        <v>152</v>
      </c>
      <c r="D35" s="2">
        <v>1800759</v>
      </c>
      <c r="E35" s="4" t="s">
        <v>162</v>
      </c>
      <c r="F35" s="4" t="s">
        <v>163</v>
      </c>
      <c r="G35" s="2">
        <v>201366184</v>
      </c>
      <c r="H35" s="4" t="s">
        <v>164</v>
      </c>
      <c r="I35" s="4" t="s">
        <v>47</v>
      </c>
      <c r="J35" s="4" t="s">
        <v>48</v>
      </c>
      <c r="K35" s="4" t="s">
        <v>49</v>
      </c>
      <c r="L35" s="3">
        <v>46113</v>
      </c>
      <c r="M35" s="4" t="s">
        <v>50</v>
      </c>
      <c r="N35" s="4" t="s">
        <v>47</v>
      </c>
      <c r="O35" s="4" t="s">
        <v>51</v>
      </c>
      <c r="P35" s="4" t="s">
        <v>47</v>
      </c>
      <c r="Q35" s="2">
        <v>1</v>
      </c>
      <c r="R35" s="2">
        <v>17</v>
      </c>
      <c r="S35" s="4" t="s">
        <v>52</v>
      </c>
      <c r="T35" s="4" t="s">
        <v>62</v>
      </c>
      <c r="U35" s="4" t="s">
        <v>47</v>
      </c>
      <c r="V35" s="5">
        <v>0.75</v>
      </c>
      <c r="W35" s="5">
        <v>0</v>
      </c>
      <c r="X35" s="5">
        <v>100</v>
      </c>
      <c r="Y35" s="5">
        <v>260.25</v>
      </c>
      <c r="Z35" s="4" t="s">
        <v>47</v>
      </c>
      <c r="AA35" s="5" t="s">
        <v>47</v>
      </c>
      <c r="AB35" s="4" t="s">
        <v>54</v>
      </c>
      <c r="AC35" s="4" t="s">
        <v>47</v>
      </c>
      <c r="AD35" s="5">
        <v>0</v>
      </c>
      <c r="AE35" s="4" t="s">
        <v>55</v>
      </c>
      <c r="AF35" s="3">
        <v>46113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63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46113</v>
      </c>
      <c r="C36" s="4" t="s">
        <v>152</v>
      </c>
      <c r="D36" s="2">
        <v>1800759</v>
      </c>
      <c r="E36" s="4" t="s">
        <v>165</v>
      </c>
      <c r="F36" s="4" t="s">
        <v>166</v>
      </c>
      <c r="G36" s="2">
        <v>518285544</v>
      </c>
      <c r="H36" s="4" t="s">
        <v>167</v>
      </c>
      <c r="I36" s="4" t="s">
        <v>47</v>
      </c>
      <c r="J36" s="4" t="s">
        <v>48</v>
      </c>
      <c r="K36" s="4" t="s">
        <v>49</v>
      </c>
      <c r="L36" s="3">
        <v>46143</v>
      </c>
      <c r="M36" s="4" t="s">
        <v>92</v>
      </c>
      <c r="N36" s="4" t="s">
        <v>47</v>
      </c>
      <c r="O36" s="4" t="s">
        <v>51</v>
      </c>
      <c r="P36" s="4" t="s">
        <v>47</v>
      </c>
      <c r="Q36" s="2">
        <v>1</v>
      </c>
      <c r="R36" s="2">
        <v>17</v>
      </c>
      <c r="S36" s="4" t="s">
        <v>52</v>
      </c>
      <c r="T36" s="4" t="s">
        <v>62</v>
      </c>
      <c r="U36" s="4" t="s">
        <v>47</v>
      </c>
      <c r="V36" s="5">
        <v>0.67</v>
      </c>
      <c r="W36" s="5">
        <v>0</v>
      </c>
      <c r="X36" s="5">
        <v>100</v>
      </c>
      <c r="Y36" s="5">
        <v>231.33</v>
      </c>
      <c r="Z36" s="4" t="s">
        <v>47</v>
      </c>
      <c r="AA36" s="5" t="s">
        <v>47</v>
      </c>
      <c r="AB36" s="4" t="s">
        <v>54</v>
      </c>
      <c r="AC36" s="4" t="s">
        <v>47</v>
      </c>
      <c r="AD36" s="5">
        <v>0</v>
      </c>
      <c r="AE36" s="4" t="s">
        <v>55</v>
      </c>
      <c r="AF36" s="3">
        <v>46143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63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46113</v>
      </c>
      <c r="C37" s="4" t="s">
        <v>168</v>
      </c>
      <c r="D37" s="2">
        <v>1800776</v>
      </c>
      <c r="E37" s="4" t="s">
        <v>169</v>
      </c>
      <c r="F37" s="4" t="s">
        <v>170</v>
      </c>
      <c r="G37" s="2">
        <v>609321345</v>
      </c>
      <c r="H37" s="4" t="s">
        <v>171</v>
      </c>
      <c r="I37" s="4" t="s">
        <v>47</v>
      </c>
      <c r="J37" s="4" t="s">
        <v>48</v>
      </c>
      <c r="K37" s="4" t="s">
        <v>49</v>
      </c>
      <c r="L37" s="3">
        <v>46113</v>
      </c>
      <c r="M37" s="4" t="s">
        <v>50</v>
      </c>
      <c r="N37" s="4" t="s">
        <v>47</v>
      </c>
      <c r="O37" s="4" t="s">
        <v>51</v>
      </c>
      <c r="P37" s="4" t="s">
        <v>47</v>
      </c>
      <c r="Q37" s="2">
        <v>1</v>
      </c>
      <c r="R37" s="2">
        <v>17</v>
      </c>
      <c r="S37" s="4" t="s">
        <v>52</v>
      </c>
      <c r="T37" s="4" t="s">
        <v>53</v>
      </c>
      <c r="U37" s="4" t="s">
        <v>47</v>
      </c>
      <c r="V37" s="5">
        <v>0.75</v>
      </c>
      <c r="W37" s="5">
        <v>0</v>
      </c>
      <c r="X37" s="5">
        <v>100</v>
      </c>
      <c r="Y37" s="5">
        <v>260.25</v>
      </c>
      <c r="Z37" s="4" t="s">
        <v>47</v>
      </c>
      <c r="AA37" s="5" t="s">
        <v>47</v>
      </c>
      <c r="AB37" s="4" t="s">
        <v>54</v>
      </c>
      <c r="AC37" s="4" t="s">
        <v>47</v>
      </c>
      <c r="AD37" s="5">
        <v>0</v>
      </c>
      <c r="AE37" s="4" t="s">
        <v>55</v>
      </c>
      <c r="AF37" s="3">
        <v>46113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56</v>
      </c>
      <c r="AO37" s="4" t="s">
        <v>47</v>
      </c>
      <c r="AP37" s="4" t="s">
        <v>47</v>
      </c>
      <c r="AQ37" s="4" t="s">
        <v>47</v>
      </c>
    </row>
    <row r="38" spans="1:43" x14ac:dyDescent="0.2">
      <c r="A38" s="2">
        <v>1891456</v>
      </c>
      <c r="B38" s="3">
        <v>46113</v>
      </c>
      <c r="C38" s="4" t="s">
        <v>172</v>
      </c>
      <c r="D38" s="2">
        <v>1815448</v>
      </c>
      <c r="E38" s="4" t="s">
        <v>173</v>
      </c>
      <c r="F38" s="4" t="s">
        <v>174</v>
      </c>
      <c r="G38" s="2">
        <v>593589273</v>
      </c>
      <c r="H38" s="4" t="s">
        <v>175</v>
      </c>
      <c r="I38" s="4" t="s">
        <v>47</v>
      </c>
      <c r="J38" s="4" t="s">
        <v>48</v>
      </c>
      <c r="K38" s="4" t="s">
        <v>49</v>
      </c>
      <c r="L38" s="3">
        <v>46113</v>
      </c>
      <c r="M38" s="4" t="s">
        <v>50</v>
      </c>
      <c r="N38" s="4" t="s">
        <v>47</v>
      </c>
      <c r="O38" s="4" t="s">
        <v>51</v>
      </c>
      <c r="P38" s="4" t="s">
        <v>47</v>
      </c>
      <c r="Q38" s="2">
        <v>1</v>
      </c>
      <c r="R38" s="2">
        <v>17</v>
      </c>
      <c r="S38" s="4" t="s">
        <v>52</v>
      </c>
      <c r="T38" s="4" t="s">
        <v>53</v>
      </c>
      <c r="U38" s="4" t="s">
        <v>47</v>
      </c>
      <c r="V38" s="5">
        <v>0.75</v>
      </c>
      <c r="W38" s="5">
        <v>0</v>
      </c>
      <c r="X38" s="5">
        <v>100</v>
      </c>
      <c r="Y38" s="5">
        <v>260.25</v>
      </c>
      <c r="Z38" s="4" t="s">
        <v>47</v>
      </c>
      <c r="AA38" s="5" t="s">
        <v>47</v>
      </c>
      <c r="AB38" s="4" t="s">
        <v>54</v>
      </c>
      <c r="AC38" s="4" t="s">
        <v>47</v>
      </c>
      <c r="AD38" s="5">
        <v>0</v>
      </c>
      <c r="AE38" s="4" t="s">
        <v>55</v>
      </c>
      <c r="AF38" s="3">
        <v>46113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56</v>
      </c>
      <c r="AO38" s="4" t="s">
        <v>47</v>
      </c>
      <c r="AP38" s="4" t="s">
        <v>47</v>
      </c>
      <c r="AQ38" s="4" t="s">
        <v>47</v>
      </c>
    </row>
    <row r="39" spans="1:43" x14ac:dyDescent="0.2">
      <c r="A39" s="2">
        <v>1891456</v>
      </c>
      <c r="B39" s="3">
        <v>46113</v>
      </c>
      <c r="C39" s="4" t="s">
        <v>176</v>
      </c>
      <c r="D39" s="2">
        <v>1815594</v>
      </c>
      <c r="E39" s="4" t="s">
        <v>177</v>
      </c>
      <c r="F39" s="4" t="s">
        <v>178</v>
      </c>
      <c r="G39" s="2">
        <v>808495571</v>
      </c>
      <c r="H39" s="4" t="s">
        <v>179</v>
      </c>
      <c r="I39" s="4" t="s">
        <v>47</v>
      </c>
      <c r="J39" s="4" t="s">
        <v>48</v>
      </c>
      <c r="K39" s="4" t="s">
        <v>49</v>
      </c>
      <c r="L39" s="3">
        <v>46023</v>
      </c>
      <c r="M39" s="4" t="s">
        <v>61</v>
      </c>
      <c r="N39" s="4" t="s">
        <v>47</v>
      </c>
      <c r="O39" s="4" t="s">
        <v>51</v>
      </c>
      <c r="P39" s="4" t="s">
        <v>47</v>
      </c>
      <c r="Q39" s="2">
        <v>1</v>
      </c>
      <c r="R39" s="2">
        <v>17</v>
      </c>
      <c r="S39" s="4" t="s">
        <v>52</v>
      </c>
      <c r="T39" s="4" t="s">
        <v>53</v>
      </c>
      <c r="U39" s="4" t="s">
        <v>47</v>
      </c>
      <c r="V39" s="5">
        <v>-0.75</v>
      </c>
      <c r="W39" s="5">
        <v>0</v>
      </c>
      <c r="X39" s="5">
        <v>100</v>
      </c>
      <c r="Y39" s="5">
        <v>-260.25</v>
      </c>
      <c r="Z39" s="4" t="s">
        <v>47</v>
      </c>
      <c r="AA39" s="5" t="s">
        <v>47</v>
      </c>
      <c r="AB39" s="4" t="s">
        <v>54</v>
      </c>
      <c r="AC39" s="4" t="s">
        <v>47</v>
      </c>
      <c r="AD39" s="5">
        <v>0</v>
      </c>
      <c r="AE39" s="4" t="s">
        <v>55</v>
      </c>
      <c r="AF39" s="3">
        <v>46023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56</v>
      </c>
      <c r="AO39" s="4" t="s">
        <v>47</v>
      </c>
      <c r="AP39" s="4" t="s">
        <v>47</v>
      </c>
      <c r="AQ39" s="4" t="s">
        <v>47</v>
      </c>
    </row>
    <row r="40" spans="1:43" x14ac:dyDescent="0.2">
      <c r="A40" s="2">
        <v>1891456</v>
      </c>
      <c r="B40" s="3">
        <v>46113</v>
      </c>
      <c r="C40" s="4" t="s">
        <v>180</v>
      </c>
      <c r="D40" s="2">
        <v>1831320</v>
      </c>
      <c r="E40" s="4" t="s">
        <v>181</v>
      </c>
      <c r="F40" s="4" t="s">
        <v>182</v>
      </c>
      <c r="G40" s="2">
        <v>824002858</v>
      </c>
      <c r="H40" s="4" t="s">
        <v>183</v>
      </c>
      <c r="I40" s="4" t="s">
        <v>47</v>
      </c>
      <c r="J40" s="4" t="s">
        <v>48</v>
      </c>
      <c r="K40" s="4" t="s">
        <v>49</v>
      </c>
      <c r="L40" s="3">
        <v>46113</v>
      </c>
      <c r="M40" s="4" t="s">
        <v>50</v>
      </c>
      <c r="N40" s="4" t="s">
        <v>47</v>
      </c>
      <c r="O40" s="4" t="s">
        <v>51</v>
      </c>
      <c r="P40" s="4" t="s">
        <v>47</v>
      </c>
      <c r="Q40" s="2">
        <v>1</v>
      </c>
      <c r="R40" s="2">
        <v>17</v>
      </c>
      <c r="S40" s="4" t="s">
        <v>52</v>
      </c>
      <c r="T40" s="4" t="s">
        <v>53</v>
      </c>
      <c r="U40" s="4" t="s">
        <v>47</v>
      </c>
      <c r="V40" s="5">
        <v>0.75</v>
      </c>
      <c r="W40" s="5">
        <v>0</v>
      </c>
      <c r="X40" s="5">
        <v>100</v>
      </c>
      <c r="Y40" s="5">
        <v>260.25</v>
      </c>
      <c r="Z40" s="4" t="s">
        <v>47</v>
      </c>
      <c r="AA40" s="5" t="s">
        <v>47</v>
      </c>
      <c r="AB40" s="4" t="s">
        <v>54</v>
      </c>
      <c r="AC40" s="4" t="s">
        <v>47</v>
      </c>
      <c r="AD40" s="5">
        <v>0</v>
      </c>
      <c r="AE40" s="4" t="s">
        <v>55</v>
      </c>
      <c r="AF40" s="3">
        <v>46113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56</v>
      </c>
      <c r="AO40" s="4" t="s">
        <v>47</v>
      </c>
      <c r="AP40" s="4" t="s">
        <v>47</v>
      </c>
      <c r="AQ40" s="4" t="s">
        <v>47</v>
      </c>
    </row>
    <row r="41" spans="1:43" x14ac:dyDescent="0.2">
      <c r="A41" s="2">
        <v>1891456</v>
      </c>
      <c r="B41" s="3">
        <v>46113</v>
      </c>
      <c r="C41" s="4" t="s">
        <v>184</v>
      </c>
      <c r="D41" s="2">
        <v>1831491</v>
      </c>
      <c r="E41" s="4" t="s">
        <v>185</v>
      </c>
      <c r="F41" s="4" t="s">
        <v>186</v>
      </c>
      <c r="G41" s="2">
        <v>841768439</v>
      </c>
      <c r="H41" s="4" t="s">
        <v>187</v>
      </c>
      <c r="I41" s="4" t="s">
        <v>47</v>
      </c>
      <c r="J41" s="4" t="s">
        <v>48</v>
      </c>
      <c r="K41" s="4" t="s">
        <v>49</v>
      </c>
      <c r="L41" s="3">
        <v>46113</v>
      </c>
      <c r="M41" s="4" t="s">
        <v>50</v>
      </c>
      <c r="N41" s="4" t="s">
        <v>47</v>
      </c>
      <c r="O41" s="4" t="s">
        <v>51</v>
      </c>
      <c r="P41" s="4" t="s">
        <v>47</v>
      </c>
      <c r="Q41" s="2">
        <v>1</v>
      </c>
      <c r="R41" s="2">
        <v>17</v>
      </c>
      <c r="S41" s="4" t="s">
        <v>52</v>
      </c>
      <c r="T41" s="4" t="s">
        <v>53</v>
      </c>
      <c r="U41" s="4" t="s">
        <v>47</v>
      </c>
      <c r="V41" s="5">
        <v>0.75</v>
      </c>
      <c r="W41" s="5">
        <v>0</v>
      </c>
      <c r="X41" s="5">
        <v>100</v>
      </c>
      <c r="Y41" s="5">
        <v>260.25</v>
      </c>
      <c r="Z41" s="4" t="s">
        <v>47</v>
      </c>
      <c r="AA41" s="5" t="s">
        <v>47</v>
      </c>
      <c r="AB41" s="4" t="s">
        <v>54</v>
      </c>
      <c r="AC41" s="4" t="s">
        <v>47</v>
      </c>
      <c r="AD41" s="5">
        <v>0</v>
      </c>
      <c r="AE41" s="4" t="s">
        <v>55</v>
      </c>
      <c r="AF41" s="3">
        <v>46113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56</v>
      </c>
      <c r="AO41" s="4" t="s">
        <v>47</v>
      </c>
      <c r="AP41" s="4" t="s">
        <v>47</v>
      </c>
      <c r="AQ41" s="4" t="s">
        <v>47</v>
      </c>
    </row>
    <row r="42" spans="1:43" x14ac:dyDescent="0.2">
      <c r="A42" s="2">
        <v>1891456</v>
      </c>
      <c r="B42" s="3">
        <v>46113</v>
      </c>
      <c r="C42" s="4" t="s">
        <v>188</v>
      </c>
      <c r="D42" s="2">
        <v>1832195</v>
      </c>
      <c r="E42" s="4" t="s">
        <v>189</v>
      </c>
      <c r="F42" s="4" t="s">
        <v>190</v>
      </c>
      <c r="G42" s="2">
        <v>980421575</v>
      </c>
      <c r="H42" s="4" t="s">
        <v>191</v>
      </c>
      <c r="I42" s="4" t="s">
        <v>47</v>
      </c>
      <c r="J42" s="4" t="s">
        <v>48</v>
      </c>
      <c r="K42" s="4" t="s">
        <v>49</v>
      </c>
      <c r="L42" s="3">
        <v>46054</v>
      </c>
      <c r="M42" s="4" t="s">
        <v>91</v>
      </c>
      <c r="N42" s="4" t="s">
        <v>47</v>
      </c>
      <c r="O42" s="4" t="s">
        <v>51</v>
      </c>
      <c r="P42" s="4" t="s">
        <v>47</v>
      </c>
      <c r="Q42" s="2">
        <v>1</v>
      </c>
      <c r="R42" s="2">
        <v>17</v>
      </c>
      <c r="S42" s="4" t="s">
        <v>52</v>
      </c>
      <c r="T42" s="4" t="s">
        <v>62</v>
      </c>
      <c r="U42" s="4" t="s">
        <v>47</v>
      </c>
      <c r="V42" s="5">
        <v>0</v>
      </c>
      <c r="W42" s="5">
        <v>0</v>
      </c>
      <c r="X42" s="5">
        <v>100</v>
      </c>
      <c r="Y42" s="5">
        <v>-289.17</v>
      </c>
      <c r="Z42" s="4" t="s">
        <v>47</v>
      </c>
      <c r="AA42" s="5" t="s">
        <v>47</v>
      </c>
      <c r="AB42" s="4" t="s">
        <v>93</v>
      </c>
      <c r="AC42" s="4" t="s">
        <v>47</v>
      </c>
      <c r="AD42" s="5">
        <v>0</v>
      </c>
      <c r="AE42" s="4" t="s">
        <v>94</v>
      </c>
      <c r="AF42" s="3">
        <v>46054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63</v>
      </c>
      <c r="AO42" s="4" t="s">
        <v>47</v>
      </c>
      <c r="AP42" s="4" t="s">
        <v>47</v>
      </c>
      <c r="AQ42" s="4" t="s">
        <v>47</v>
      </c>
    </row>
    <row r="43" spans="1:43" x14ac:dyDescent="0.2">
      <c r="A43" s="2">
        <v>1891456</v>
      </c>
      <c r="B43" s="3">
        <v>46113</v>
      </c>
      <c r="C43" s="4" t="s">
        <v>188</v>
      </c>
      <c r="D43" s="2">
        <v>1832195</v>
      </c>
      <c r="E43" s="4" t="s">
        <v>189</v>
      </c>
      <c r="F43" s="4" t="s">
        <v>190</v>
      </c>
      <c r="G43" s="2">
        <v>980421575</v>
      </c>
      <c r="H43" s="4" t="s">
        <v>191</v>
      </c>
      <c r="I43" s="4" t="s">
        <v>47</v>
      </c>
      <c r="J43" s="4" t="s">
        <v>48</v>
      </c>
      <c r="K43" s="4" t="s">
        <v>49</v>
      </c>
      <c r="L43" s="3">
        <v>46054</v>
      </c>
      <c r="M43" s="4" t="s">
        <v>91</v>
      </c>
      <c r="N43" s="4" t="s">
        <v>47</v>
      </c>
      <c r="O43" s="4" t="s">
        <v>51</v>
      </c>
      <c r="P43" s="4" t="s">
        <v>47</v>
      </c>
      <c r="Q43" s="2">
        <v>1</v>
      </c>
      <c r="R43" s="2">
        <v>17</v>
      </c>
      <c r="S43" s="4" t="s">
        <v>52</v>
      </c>
      <c r="T43" s="4" t="s">
        <v>62</v>
      </c>
      <c r="U43" s="4" t="s">
        <v>47</v>
      </c>
      <c r="V43" s="5">
        <v>-0.67</v>
      </c>
      <c r="W43" s="5">
        <v>0</v>
      </c>
      <c r="X43" s="5">
        <v>100</v>
      </c>
      <c r="Y43" s="5">
        <v>-231.33</v>
      </c>
      <c r="Z43" s="4" t="s">
        <v>47</v>
      </c>
      <c r="AA43" s="5" t="s">
        <v>47</v>
      </c>
      <c r="AB43" s="4" t="s">
        <v>54</v>
      </c>
      <c r="AC43" s="4" t="s">
        <v>47</v>
      </c>
      <c r="AD43" s="5">
        <v>0</v>
      </c>
      <c r="AE43" s="4" t="s">
        <v>55</v>
      </c>
      <c r="AF43" s="3">
        <v>46054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63</v>
      </c>
      <c r="AO43" s="4" t="s">
        <v>47</v>
      </c>
      <c r="AP43" s="4" t="s">
        <v>47</v>
      </c>
      <c r="AQ43" s="4" t="s">
        <v>47</v>
      </c>
    </row>
    <row r="44" spans="1:43" x14ac:dyDescent="0.2">
      <c r="A44" s="2">
        <v>1891456</v>
      </c>
      <c r="B44" s="3">
        <v>46113</v>
      </c>
      <c r="C44" s="4" t="s">
        <v>188</v>
      </c>
      <c r="D44" s="2">
        <v>1832195</v>
      </c>
      <c r="E44" s="4" t="s">
        <v>192</v>
      </c>
      <c r="F44" s="4" t="s">
        <v>193</v>
      </c>
      <c r="G44" s="2">
        <v>815771265</v>
      </c>
      <c r="H44" s="4" t="s">
        <v>194</v>
      </c>
      <c r="I44" s="4" t="s">
        <v>47</v>
      </c>
      <c r="J44" s="4" t="s">
        <v>48</v>
      </c>
      <c r="K44" s="4" t="s">
        <v>49</v>
      </c>
      <c r="L44" s="3">
        <v>46113</v>
      </c>
      <c r="M44" s="4" t="s">
        <v>50</v>
      </c>
      <c r="N44" s="4" t="s">
        <v>47</v>
      </c>
      <c r="O44" s="4" t="s">
        <v>51</v>
      </c>
      <c r="P44" s="4" t="s">
        <v>47</v>
      </c>
      <c r="Q44" s="2">
        <v>1</v>
      </c>
      <c r="R44" s="2">
        <v>17</v>
      </c>
      <c r="S44" s="4" t="s">
        <v>52</v>
      </c>
      <c r="T44" s="4" t="s">
        <v>62</v>
      </c>
      <c r="U44" s="4" t="s">
        <v>47</v>
      </c>
      <c r="V44" s="5">
        <v>0.75</v>
      </c>
      <c r="W44" s="5">
        <v>0</v>
      </c>
      <c r="X44" s="5">
        <v>100</v>
      </c>
      <c r="Y44" s="5">
        <v>260.25</v>
      </c>
      <c r="Z44" s="4" t="s">
        <v>47</v>
      </c>
      <c r="AA44" s="5" t="s">
        <v>47</v>
      </c>
      <c r="AB44" s="4" t="s">
        <v>54</v>
      </c>
      <c r="AC44" s="4" t="s">
        <v>47</v>
      </c>
      <c r="AD44" s="5">
        <v>0</v>
      </c>
      <c r="AE44" s="4" t="s">
        <v>55</v>
      </c>
      <c r="AF44" s="3">
        <v>46113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63</v>
      </c>
      <c r="AO44" s="4" t="s">
        <v>47</v>
      </c>
      <c r="AP44" s="4" t="s">
        <v>47</v>
      </c>
      <c r="AQ44" s="4" t="s">
        <v>47</v>
      </c>
    </row>
    <row r="45" spans="1:43" x14ac:dyDescent="0.2">
      <c r="A45" s="2">
        <v>1891456</v>
      </c>
      <c r="B45" s="3">
        <v>46113</v>
      </c>
      <c r="C45" s="4" t="s">
        <v>195</v>
      </c>
      <c r="D45" s="2">
        <v>1855975</v>
      </c>
      <c r="E45" s="4" t="s">
        <v>196</v>
      </c>
      <c r="F45" s="4" t="s">
        <v>197</v>
      </c>
      <c r="G45" s="2">
        <v>627056420</v>
      </c>
      <c r="H45" s="4" t="s">
        <v>198</v>
      </c>
      <c r="I45" s="4" t="s">
        <v>47</v>
      </c>
      <c r="J45" s="4" t="s">
        <v>48</v>
      </c>
      <c r="K45" s="4" t="s">
        <v>49</v>
      </c>
      <c r="L45" s="3">
        <v>46113</v>
      </c>
      <c r="M45" s="4" t="s">
        <v>50</v>
      </c>
      <c r="N45" s="4" t="s">
        <v>47</v>
      </c>
      <c r="O45" s="4" t="s">
        <v>51</v>
      </c>
      <c r="P45" s="4" t="s">
        <v>47</v>
      </c>
      <c r="Q45" s="2">
        <v>1</v>
      </c>
      <c r="R45" s="2">
        <v>17</v>
      </c>
      <c r="S45" s="4" t="s">
        <v>52</v>
      </c>
      <c r="T45" s="4" t="s">
        <v>53</v>
      </c>
      <c r="U45" s="4" t="s">
        <v>47</v>
      </c>
      <c r="V45" s="5">
        <v>0.75</v>
      </c>
      <c r="W45" s="5">
        <v>0</v>
      </c>
      <c r="X45" s="5">
        <v>100</v>
      </c>
      <c r="Y45" s="5">
        <v>260.25</v>
      </c>
      <c r="Z45" s="4" t="s">
        <v>47</v>
      </c>
      <c r="AA45" s="5" t="s">
        <v>47</v>
      </c>
      <c r="AB45" s="4" t="s">
        <v>54</v>
      </c>
      <c r="AC45" s="4" t="s">
        <v>47</v>
      </c>
      <c r="AD45" s="5">
        <v>0</v>
      </c>
      <c r="AE45" s="4" t="s">
        <v>55</v>
      </c>
      <c r="AF45" s="3">
        <v>46113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56</v>
      </c>
      <c r="AO45" s="4" t="s">
        <v>47</v>
      </c>
      <c r="AP45" s="4" t="s">
        <v>47</v>
      </c>
      <c r="AQ45" s="4" t="s">
        <v>47</v>
      </c>
    </row>
    <row r="46" spans="1:43" x14ac:dyDescent="0.2">
      <c r="A46" s="2">
        <v>1891456</v>
      </c>
      <c r="B46" s="3">
        <v>46113</v>
      </c>
      <c r="C46" s="4" t="s">
        <v>199</v>
      </c>
      <c r="D46" s="2">
        <v>1900606</v>
      </c>
      <c r="E46" s="4" t="s">
        <v>200</v>
      </c>
      <c r="F46" s="4" t="s">
        <v>201</v>
      </c>
      <c r="G46" s="2">
        <v>425074113</v>
      </c>
      <c r="H46" s="4" t="s">
        <v>202</v>
      </c>
      <c r="I46" s="4" t="s">
        <v>47</v>
      </c>
      <c r="J46" s="4" t="s">
        <v>48</v>
      </c>
      <c r="K46" s="4" t="s">
        <v>49</v>
      </c>
      <c r="L46" s="3">
        <v>46082</v>
      </c>
      <c r="M46" s="4" t="s">
        <v>87</v>
      </c>
      <c r="N46" s="4" t="s">
        <v>47</v>
      </c>
      <c r="O46" s="4" t="s">
        <v>51</v>
      </c>
      <c r="P46" s="4" t="s">
        <v>47</v>
      </c>
      <c r="Q46" s="2">
        <v>1</v>
      </c>
      <c r="R46" s="2">
        <v>17</v>
      </c>
      <c r="S46" s="4" t="s">
        <v>52</v>
      </c>
      <c r="T46" s="4" t="s">
        <v>53</v>
      </c>
      <c r="U46" s="4" t="s">
        <v>47</v>
      </c>
      <c r="V46" s="5">
        <v>0.83</v>
      </c>
      <c r="W46" s="5">
        <v>0</v>
      </c>
      <c r="X46" s="5">
        <v>100</v>
      </c>
      <c r="Y46" s="5">
        <v>289.17</v>
      </c>
      <c r="Z46" s="4" t="s">
        <v>47</v>
      </c>
      <c r="AA46" s="5" t="s">
        <v>47</v>
      </c>
      <c r="AB46" s="4" t="s">
        <v>54</v>
      </c>
      <c r="AC46" s="4" t="s">
        <v>47</v>
      </c>
      <c r="AD46" s="5">
        <v>0</v>
      </c>
      <c r="AE46" s="4" t="s">
        <v>55</v>
      </c>
      <c r="AF46" s="3">
        <v>46082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56</v>
      </c>
      <c r="AO46" s="4" t="s">
        <v>47</v>
      </c>
      <c r="AP46" s="4" t="s">
        <v>47</v>
      </c>
      <c r="AQ46" s="4" t="s">
        <v>47</v>
      </c>
    </row>
    <row r="47" spans="1:43" x14ac:dyDescent="0.2">
      <c r="A47" s="2">
        <v>1891456</v>
      </c>
      <c r="B47" s="3">
        <v>46113</v>
      </c>
      <c r="C47" s="4" t="s">
        <v>199</v>
      </c>
      <c r="D47" s="2">
        <v>1900606</v>
      </c>
      <c r="E47" s="4" t="s">
        <v>203</v>
      </c>
      <c r="F47" s="4" t="s">
        <v>204</v>
      </c>
      <c r="G47" s="2">
        <v>695826343</v>
      </c>
      <c r="H47" s="4" t="s">
        <v>205</v>
      </c>
      <c r="I47" s="4" t="s">
        <v>47</v>
      </c>
      <c r="J47" s="4" t="s">
        <v>48</v>
      </c>
      <c r="K47" s="4" t="s">
        <v>49</v>
      </c>
      <c r="L47" s="3">
        <v>46113</v>
      </c>
      <c r="M47" s="4" t="s">
        <v>50</v>
      </c>
      <c r="N47" s="4" t="s">
        <v>47</v>
      </c>
      <c r="O47" s="4" t="s">
        <v>51</v>
      </c>
      <c r="P47" s="4" t="s">
        <v>47</v>
      </c>
      <c r="Q47" s="2">
        <v>1</v>
      </c>
      <c r="R47" s="2">
        <v>17</v>
      </c>
      <c r="S47" s="4" t="s">
        <v>52</v>
      </c>
      <c r="T47" s="4" t="s">
        <v>53</v>
      </c>
      <c r="U47" s="4" t="s">
        <v>47</v>
      </c>
      <c r="V47" s="5">
        <v>0.75</v>
      </c>
      <c r="W47" s="5">
        <v>0</v>
      </c>
      <c r="X47" s="5">
        <v>100</v>
      </c>
      <c r="Y47" s="5">
        <v>260.25</v>
      </c>
      <c r="Z47" s="4" t="s">
        <v>47</v>
      </c>
      <c r="AA47" s="5" t="s">
        <v>47</v>
      </c>
      <c r="AB47" s="4" t="s">
        <v>54</v>
      </c>
      <c r="AC47" s="4" t="s">
        <v>47</v>
      </c>
      <c r="AD47" s="5">
        <v>0</v>
      </c>
      <c r="AE47" s="4" t="s">
        <v>55</v>
      </c>
      <c r="AF47" s="3">
        <v>46113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56</v>
      </c>
      <c r="AO47" s="4" t="s">
        <v>47</v>
      </c>
      <c r="AP47" s="4" t="s">
        <v>47</v>
      </c>
      <c r="AQ47" s="4" t="s">
        <v>47</v>
      </c>
    </row>
    <row r="48" spans="1:43" x14ac:dyDescent="0.2">
      <c r="A48" s="2">
        <v>1891456</v>
      </c>
      <c r="B48" s="3">
        <v>46113</v>
      </c>
      <c r="C48" s="4" t="s">
        <v>206</v>
      </c>
      <c r="D48" s="2">
        <v>1903197</v>
      </c>
      <c r="E48" s="4" t="s">
        <v>207</v>
      </c>
      <c r="F48" s="4" t="s">
        <v>208</v>
      </c>
      <c r="G48" s="2">
        <v>129355481</v>
      </c>
      <c r="H48" s="4" t="s">
        <v>209</v>
      </c>
      <c r="I48" s="4" t="s">
        <v>47</v>
      </c>
      <c r="J48" s="4" t="s">
        <v>48</v>
      </c>
      <c r="K48" s="4" t="s">
        <v>49</v>
      </c>
      <c r="L48" s="3">
        <v>46113</v>
      </c>
      <c r="M48" s="4" t="s">
        <v>50</v>
      </c>
      <c r="N48" s="4" t="s">
        <v>47</v>
      </c>
      <c r="O48" s="4" t="s">
        <v>51</v>
      </c>
      <c r="P48" s="4" t="s">
        <v>47</v>
      </c>
      <c r="Q48" s="2">
        <v>1</v>
      </c>
      <c r="R48" s="2">
        <v>17</v>
      </c>
      <c r="S48" s="4" t="s">
        <v>52</v>
      </c>
      <c r="T48" s="4" t="s">
        <v>53</v>
      </c>
      <c r="U48" s="4" t="s">
        <v>47</v>
      </c>
      <c r="V48" s="5">
        <v>0.75</v>
      </c>
      <c r="W48" s="5">
        <v>0</v>
      </c>
      <c r="X48" s="5">
        <v>100</v>
      </c>
      <c r="Y48" s="5">
        <v>260.25</v>
      </c>
      <c r="Z48" s="4" t="s">
        <v>47</v>
      </c>
      <c r="AA48" s="5" t="s">
        <v>47</v>
      </c>
      <c r="AB48" s="4" t="s">
        <v>54</v>
      </c>
      <c r="AC48" s="4" t="s">
        <v>47</v>
      </c>
      <c r="AD48" s="5">
        <v>0</v>
      </c>
      <c r="AE48" s="4" t="s">
        <v>55</v>
      </c>
      <c r="AF48" s="3">
        <v>46113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56</v>
      </c>
      <c r="AO48" s="4" t="s">
        <v>47</v>
      </c>
      <c r="AP48" s="4" t="s">
        <v>47</v>
      </c>
      <c r="AQ48" s="4" t="s">
        <v>47</v>
      </c>
    </row>
    <row r="49" spans="1:43" x14ac:dyDescent="0.2">
      <c r="A49" s="2">
        <v>1891456</v>
      </c>
      <c r="B49" s="3">
        <v>46113</v>
      </c>
      <c r="C49" s="4" t="s">
        <v>210</v>
      </c>
      <c r="D49" s="2">
        <v>1913090</v>
      </c>
      <c r="E49" s="4" t="s">
        <v>211</v>
      </c>
      <c r="F49" s="4" t="s">
        <v>212</v>
      </c>
      <c r="G49" s="2">
        <v>626246634</v>
      </c>
      <c r="H49" s="4" t="s">
        <v>213</v>
      </c>
      <c r="I49" s="4" t="s">
        <v>47</v>
      </c>
      <c r="J49" s="4" t="s">
        <v>48</v>
      </c>
      <c r="K49" s="4" t="s">
        <v>49</v>
      </c>
      <c r="L49" s="3">
        <v>46143</v>
      </c>
      <c r="M49" s="4" t="s">
        <v>92</v>
      </c>
      <c r="N49" s="4" t="s">
        <v>47</v>
      </c>
      <c r="O49" s="4" t="s">
        <v>51</v>
      </c>
      <c r="P49" s="4" t="s">
        <v>47</v>
      </c>
      <c r="Q49" s="2">
        <v>1</v>
      </c>
      <c r="R49" s="2">
        <v>17</v>
      </c>
      <c r="S49" s="4" t="s">
        <v>52</v>
      </c>
      <c r="T49" s="4" t="s">
        <v>53</v>
      </c>
      <c r="U49" s="4" t="s">
        <v>47</v>
      </c>
      <c r="V49" s="5">
        <v>0.67</v>
      </c>
      <c r="W49" s="5">
        <v>0</v>
      </c>
      <c r="X49" s="5">
        <v>100</v>
      </c>
      <c r="Y49" s="5">
        <v>231.33</v>
      </c>
      <c r="Z49" s="4" t="s">
        <v>47</v>
      </c>
      <c r="AA49" s="5" t="s">
        <v>47</v>
      </c>
      <c r="AB49" s="4" t="s">
        <v>54</v>
      </c>
      <c r="AC49" s="4" t="s">
        <v>47</v>
      </c>
      <c r="AD49" s="5">
        <v>0</v>
      </c>
      <c r="AE49" s="4" t="s">
        <v>55</v>
      </c>
      <c r="AF49" s="3">
        <v>46143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83</v>
      </c>
      <c r="AO49" s="4" t="s">
        <v>47</v>
      </c>
      <c r="AP49" s="4" t="s">
        <v>47</v>
      </c>
      <c r="AQ49" s="4" t="s">
        <v>47</v>
      </c>
    </row>
    <row r="50" spans="1:43" x14ac:dyDescent="0.2">
      <c r="A50" s="2">
        <v>1891456</v>
      </c>
      <c r="B50" s="3">
        <v>46113</v>
      </c>
      <c r="C50" s="4" t="s">
        <v>214</v>
      </c>
      <c r="D50" s="2">
        <v>1969216</v>
      </c>
      <c r="E50" s="4" t="s">
        <v>215</v>
      </c>
      <c r="F50" s="4" t="s">
        <v>216</v>
      </c>
      <c r="G50" s="2">
        <v>432676215</v>
      </c>
      <c r="H50" s="4" t="s">
        <v>217</v>
      </c>
      <c r="I50" s="4" t="s">
        <v>47</v>
      </c>
      <c r="J50" s="4" t="s">
        <v>48</v>
      </c>
      <c r="K50" s="4" t="s">
        <v>49</v>
      </c>
      <c r="L50" s="3">
        <v>46023</v>
      </c>
      <c r="M50" s="4" t="s">
        <v>61</v>
      </c>
      <c r="N50" s="4" t="s">
        <v>47</v>
      </c>
      <c r="O50" s="4" t="s">
        <v>51</v>
      </c>
      <c r="P50" s="4" t="s">
        <v>47</v>
      </c>
      <c r="Q50" s="2">
        <v>1</v>
      </c>
      <c r="R50" s="2">
        <v>17</v>
      </c>
      <c r="S50" s="4" t="s">
        <v>52</v>
      </c>
      <c r="T50" s="4" t="s">
        <v>53</v>
      </c>
      <c r="U50" s="4" t="s">
        <v>47</v>
      </c>
      <c r="V50" s="5">
        <v>0.75</v>
      </c>
      <c r="W50" s="5">
        <v>0</v>
      </c>
      <c r="X50" s="5">
        <v>100</v>
      </c>
      <c r="Y50" s="5">
        <v>260.25</v>
      </c>
      <c r="Z50" s="4" t="s">
        <v>47</v>
      </c>
      <c r="AA50" s="5" t="s">
        <v>47</v>
      </c>
      <c r="AB50" s="4" t="s">
        <v>54</v>
      </c>
      <c r="AC50" s="4" t="s">
        <v>47</v>
      </c>
      <c r="AD50" s="5">
        <v>0</v>
      </c>
      <c r="AE50" s="4" t="s">
        <v>55</v>
      </c>
      <c r="AF50" s="3">
        <v>46023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56</v>
      </c>
      <c r="AO50" s="4" t="s">
        <v>47</v>
      </c>
      <c r="AP50" s="4" t="s">
        <v>47</v>
      </c>
      <c r="AQ50" s="4" t="s">
        <v>47</v>
      </c>
    </row>
    <row r="51" spans="1:43" x14ac:dyDescent="0.2">
      <c r="A51" s="2">
        <v>1891456</v>
      </c>
      <c r="B51" s="3">
        <v>46113</v>
      </c>
      <c r="C51" s="4" t="s">
        <v>218</v>
      </c>
      <c r="D51" s="2">
        <v>1978067</v>
      </c>
      <c r="E51" s="4" t="s">
        <v>219</v>
      </c>
      <c r="F51" s="4" t="s">
        <v>220</v>
      </c>
      <c r="G51" s="2">
        <v>122363437</v>
      </c>
      <c r="H51" s="4" t="s">
        <v>221</v>
      </c>
      <c r="I51" s="4" t="s">
        <v>47</v>
      </c>
      <c r="J51" s="4" t="s">
        <v>48</v>
      </c>
      <c r="K51" s="4" t="s">
        <v>49</v>
      </c>
      <c r="L51" s="3">
        <v>46054</v>
      </c>
      <c r="M51" s="4" t="s">
        <v>91</v>
      </c>
      <c r="N51" s="4" t="s">
        <v>47</v>
      </c>
      <c r="O51" s="4" t="s">
        <v>51</v>
      </c>
      <c r="P51" s="4" t="s">
        <v>47</v>
      </c>
      <c r="Q51" s="2">
        <v>1</v>
      </c>
      <c r="R51" s="2">
        <v>17</v>
      </c>
      <c r="S51" s="4" t="s">
        <v>52</v>
      </c>
      <c r="T51" s="4" t="s">
        <v>53</v>
      </c>
      <c r="U51" s="4" t="s">
        <v>47</v>
      </c>
      <c r="V51" s="5">
        <v>0</v>
      </c>
      <c r="W51" s="5">
        <v>0</v>
      </c>
      <c r="X51" s="5">
        <v>100</v>
      </c>
      <c r="Y51" s="5">
        <v>-260.25</v>
      </c>
      <c r="Z51" s="4" t="s">
        <v>47</v>
      </c>
      <c r="AA51" s="5" t="s">
        <v>47</v>
      </c>
      <c r="AB51" s="4" t="s">
        <v>93</v>
      </c>
      <c r="AC51" s="4" t="s">
        <v>47</v>
      </c>
      <c r="AD51" s="5">
        <v>0</v>
      </c>
      <c r="AE51" s="4" t="s">
        <v>94</v>
      </c>
      <c r="AF51" s="3">
        <v>46054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148</v>
      </c>
      <c r="AO51" s="4" t="s">
        <v>47</v>
      </c>
      <c r="AP51" s="4" t="s">
        <v>47</v>
      </c>
      <c r="AQ51" s="4" t="s">
        <v>47</v>
      </c>
    </row>
    <row r="52" spans="1:43" x14ac:dyDescent="0.2">
      <c r="A52" s="2">
        <v>1891456</v>
      </c>
      <c r="B52" s="3">
        <v>46113</v>
      </c>
      <c r="C52" s="4" t="s">
        <v>218</v>
      </c>
      <c r="D52" s="2">
        <v>1978067</v>
      </c>
      <c r="E52" s="4" t="s">
        <v>219</v>
      </c>
      <c r="F52" s="4" t="s">
        <v>220</v>
      </c>
      <c r="G52" s="2">
        <v>122363437</v>
      </c>
      <c r="H52" s="4" t="s">
        <v>221</v>
      </c>
      <c r="I52" s="4" t="s">
        <v>47</v>
      </c>
      <c r="J52" s="4" t="s">
        <v>48</v>
      </c>
      <c r="K52" s="4" t="s">
        <v>49</v>
      </c>
      <c r="L52" s="3">
        <v>46054</v>
      </c>
      <c r="M52" s="4" t="s">
        <v>91</v>
      </c>
      <c r="N52" s="4" t="s">
        <v>47</v>
      </c>
      <c r="O52" s="4" t="s">
        <v>51</v>
      </c>
      <c r="P52" s="4" t="s">
        <v>47</v>
      </c>
      <c r="Q52" s="2">
        <v>1</v>
      </c>
      <c r="R52" s="2">
        <v>17</v>
      </c>
      <c r="S52" s="4" t="s">
        <v>52</v>
      </c>
      <c r="T52" s="4" t="s">
        <v>53</v>
      </c>
      <c r="U52" s="4" t="s">
        <v>47</v>
      </c>
      <c r="V52" s="5">
        <v>-0.75</v>
      </c>
      <c r="W52" s="5">
        <v>0</v>
      </c>
      <c r="X52" s="5">
        <v>100</v>
      </c>
      <c r="Y52" s="5">
        <v>-260.25</v>
      </c>
      <c r="Z52" s="4" t="s">
        <v>47</v>
      </c>
      <c r="AA52" s="5" t="s">
        <v>47</v>
      </c>
      <c r="AB52" s="4" t="s">
        <v>54</v>
      </c>
      <c r="AC52" s="4" t="s">
        <v>47</v>
      </c>
      <c r="AD52" s="5">
        <v>0</v>
      </c>
      <c r="AE52" s="4" t="s">
        <v>55</v>
      </c>
      <c r="AF52" s="3">
        <v>46054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148</v>
      </c>
      <c r="AO52" s="4" t="s">
        <v>47</v>
      </c>
      <c r="AP52" s="4" t="s">
        <v>47</v>
      </c>
      <c r="AQ52" s="4" t="s">
        <v>47</v>
      </c>
    </row>
    <row r="53" spans="1:43" x14ac:dyDescent="0.2">
      <c r="A53" s="2">
        <v>1891456</v>
      </c>
      <c r="B53" s="3">
        <v>46113</v>
      </c>
      <c r="C53" s="4" t="s">
        <v>222</v>
      </c>
      <c r="D53" s="2">
        <v>1986712</v>
      </c>
      <c r="E53" s="4" t="s">
        <v>223</v>
      </c>
      <c r="F53" s="4" t="s">
        <v>224</v>
      </c>
      <c r="G53" s="2">
        <v>704137393</v>
      </c>
      <c r="H53" s="4" t="s">
        <v>225</v>
      </c>
      <c r="I53" s="4" t="s">
        <v>47</v>
      </c>
      <c r="J53" s="4" t="s">
        <v>48</v>
      </c>
      <c r="K53" s="4" t="s">
        <v>49</v>
      </c>
      <c r="L53" s="3">
        <v>46023</v>
      </c>
      <c r="M53" s="4" t="s">
        <v>61</v>
      </c>
      <c r="N53" s="4" t="s">
        <v>47</v>
      </c>
      <c r="O53" s="4" t="s">
        <v>51</v>
      </c>
      <c r="P53" s="4" t="s">
        <v>47</v>
      </c>
      <c r="Q53" s="2">
        <v>1</v>
      </c>
      <c r="R53" s="2">
        <v>17</v>
      </c>
      <c r="S53" s="4" t="s">
        <v>52</v>
      </c>
      <c r="T53" s="4" t="s">
        <v>62</v>
      </c>
      <c r="U53" s="4" t="s">
        <v>47</v>
      </c>
      <c r="V53" s="5">
        <v>-0.75</v>
      </c>
      <c r="W53" s="5">
        <v>0</v>
      </c>
      <c r="X53" s="5">
        <v>100</v>
      </c>
      <c r="Y53" s="5">
        <v>-260.25</v>
      </c>
      <c r="Z53" s="4" t="s">
        <v>47</v>
      </c>
      <c r="AA53" s="5" t="s">
        <v>47</v>
      </c>
      <c r="AB53" s="4" t="s">
        <v>54</v>
      </c>
      <c r="AC53" s="4" t="s">
        <v>47</v>
      </c>
      <c r="AD53" s="5">
        <v>0</v>
      </c>
      <c r="AE53" s="4" t="s">
        <v>55</v>
      </c>
      <c r="AF53" s="3">
        <v>46023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63</v>
      </c>
      <c r="AO53" s="4" t="s">
        <v>47</v>
      </c>
      <c r="AP53" s="4" t="s">
        <v>47</v>
      </c>
      <c r="AQ53" s="4" t="s">
        <v>47</v>
      </c>
    </row>
    <row r="54" spans="1:43" x14ac:dyDescent="0.2">
      <c r="A54" s="2">
        <v>1891456</v>
      </c>
      <c r="B54" s="3">
        <v>46113</v>
      </c>
      <c r="C54" s="4" t="s">
        <v>222</v>
      </c>
      <c r="D54" s="2">
        <v>1986712</v>
      </c>
      <c r="E54" s="4" t="s">
        <v>226</v>
      </c>
      <c r="F54" s="4" t="s">
        <v>227</v>
      </c>
      <c r="G54" s="2">
        <v>273416025</v>
      </c>
      <c r="H54" s="4" t="s">
        <v>228</v>
      </c>
      <c r="I54" s="4" t="s">
        <v>47</v>
      </c>
      <c r="J54" s="4" t="s">
        <v>48</v>
      </c>
      <c r="K54" s="4" t="s">
        <v>49</v>
      </c>
      <c r="L54" s="3">
        <v>46023</v>
      </c>
      <c r="M54" s="4" t="s">
        <v>61</v>
      </c>
      <c r="N54" s="4" t="s">
        <v>47</v>
      </c>
      <c r="O54" s="4" t="s">
        <v>51</v>
      </c>
      <c r="P54" s="4" t="s">
        <v>47</v>
      </c>
      <c r="Q54" s="2">
        <v>1</v>
      </c>
      <c r="R54" s="2">
        <v>17</v>
      </c>
      <c r="S54" s="4" t="s">
        <v>52</v>
      </c>
      <c r="T54" s="4" t="s">
        <v>62</v>
      </c>
      <c r="U54" s="4" t="s">
        <v>47</v>
      </c>
      <c r="V54" s="5">
        <v>0</v>
      </c>
      <c r="W54" s="5">
        <v>0</v>
      </c>
      <c r="X54" s="5">
        <v>100</v>
      </c>
      <c r="Y54" s="5">
        <v>28.93</v>
      </c>
      <c r="Z54" s="4" t="s">
        <v>47</v>
      </c>
      <c r="AA54" s="5" t="s">
        <v>47</v>
      </c>
      <c r="AB54" s="4" t="s">
        <v>93</v>
      </c>
      <c r="AC54" s="4" t="s">
        <v>47</v>
      </c>
      <c r="AD54" s="5">
        <v>0</v>
      </c>
      <c r="AE54" s="4" t="s">
        <v>94</v>
      </c>
      <c r="AF54" s="3">
        <v>46023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63</v>
      </c>
      <c r="AO54" s="4" t="s">
        <v>47</v>
      </c>
      <c r="AP54" s="4" t="s">
        <v>47</v>
      </c>
      <c r="AQ54" s="4" t="s">
        <v>47</v>
      </c>
    </row>
    <row r="55" spans="1:43" x14ac:dyDescent="0.2">
      <c r="A55" s="2">
        <v>1891456</v>
      </c>
      <c r="B55" s="3">
        <v>46113</v>
      </c>
      <c r="C55" s="4" t="s">
        <v>222</v>
      </c>
      <c r="D55" s="2">
        <v>1986712</v>
      </c>
      <c r="E55" s="4" t="s">
        <v>226</v>
      </c>
      <c r="F55" s="4" t="s">
        <v>227</v>
      </c>
      <c r="G55" s="2">
        <v>273416025</v>
      </c>
      <c r="H55" s="4" t="s">
        <v>228</v>
      </c>
      <c r="I55" s="4" t="s">
        <v>47</v>
      </c>
      <c r="J55" s="4" t="s">
        <v>48</v>
      </c>
      <c r="K55" s="4" t="s">
        <v>49</v>
      </c>
      <c r="L55" s="3">
        <v>46023</v>
      </c>
      <c r="M55" s="4" t="s">
        <v>61</v>
      </c>
      <c r="N55" s="4" t="s">
        <v>47</v>
      </c>
      <c r="O55" s="4" t="s">
        <v>51</v>
      </c>
      <c r="P55" s="4" t="s">
        <v>47</v>
      </c>
      <c r="Q55" s="2">
        <v>1</v>
      </c>
      <c r="R55" s="2">
        <v>17</v>
      </c>
      <c r="S55" s="4" t="s">
        <v>52</v>
      </c>
      <c r="T55" s="4" t="s">
        <v>62</v>
      </c>
      <c r="U55" s="4" t="s">
        <v>47</v>
      </c>
      <c r="V55" s="5">
        <v>0.08</v>
      </c>
      <c r="W55" s="5">
        <v>0</v>
      </c>
      <c r="X55" s="5">
        <v>100</v>
      </c>
      <c r="Y55" s="5">
        <v>28.91</v>
      </c>
      <c r="Z55" s="4" t="s">
        <v>47</v>
      </c>
      <c r="AA55" s="5" t="s">
        <v>47</v>
      </c>
      <c r="AB55" s="4" t="s">
        <v>54</v>
      </c>
      <c r="AC55" s="4" t="s">
        <v>47</v>
      </c>
      <c r="AD55" s="5">
        <v>0</v>
      </c>
      <c r="AE55" s="4" t="s">
        <v>55</v>
      </c>
      <c r="AF55" s="3">
        <v>46023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63</v>
      </c>
      <c r="AO55" s="4" t="s">
        <v>47</v>
      </c>
      <c r="AP55" s="4" t="s">
        <v>47</v>
      </c>
      <c r="AQ55" s="4" t="s">
        <v>47</v>
      </c>
    </row>
    <row r="56" spans="1:43" x14ac:dyDescent="0.2">
      <c r="A56" s="2">
        <v>1891456</v>
      </c>
      <c r="B56" s="3">
        <v>46113</v>
      </c>
      <c r="C56" s="4" t="s">
        <v>222</v>
      </c>
      <c r="D56" s="2">
        <v>1986712</v>
      </c>
      <c r="E56" s="4" t="s">
        <v>229</v>
      </c>
      <c r="F56" s="4" t="s">
        <v>230</v>
      </c>
      <c r="G56" s="2">
        <v>127466050</v>
      </c>
      <c r="H56" s="4" t="s">
        <v>231</v>
      </c>
      <c r="I56" s="4" t="s">
        <v>47</v>
      </c>
      <c r="J56" s="4" t="s">
        <v>48</v>
      </c>
      <c r="K56" s="4" t="s">
        <v>49</v>
      </c>
      <c r="L56" s="3">
        <v>46023</v>
      </c>
      <c r="M56" s="4" t="s">
        <v>61</v>
      </c>
      <c r="N56" s="4" t="s">
        <v>47</v>
      </c>
      <c r="O56" s="4" t="s">
        <v>51</v>
      </c>
      <c r="P56" s="4" t="s">
        <v>47</v>
      </c>
      <c r="Q56" s="2">
        <v>1</v>
      </c>
      <c r="R56" s="2">
        <v>17</v>
      </c>
      <c r="S56" s="4" t="s">
        <v>52</v>
      </c>
      <c r="T56" s="4" t="s">
        <v>53</v>
      </c>
      <c r="U56" s="4" t="s">
        <v>47</v>
      </c>
      <c r="V56" s="5">
        <v>0</v>
      </c>
      <c r="W56" s="5">
        <v>0</v>
      </c>
      <c r="X56" s="5">
        <v>100</v>
      </c>
      <c r="Y56" s="5">
        <v>-347</v>
      </c>
      <c r="Z56" s="4" t="s">
        <v>47</v>
      </c>
      <c r="AA56" s="5" t="s">
        <v>47</v>
      </c>
      <c r="AB56" s="4" t="s">
        <v>93</v>
      </c>
      <c r="AC56" s="4" t="s">
        <v>47</v>
      </c>
      <c r="AD56" s="5">
        <v>0</v>
      </c>
      <c r="AE56" s="4" t="s">
        <v>94</v>
      </c>
      <c r="AF56" s="3">
        <v>46023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83</v>
      </c>
      <c r="AO56" s="4" t="s">
        <v>47</v>
      </c>
      <c r="AP56" s="4" t="s">
        <v>47</v>
      </c>
      <c r="AQ56" s="4" t="s">
        <v>47</v>
      </c>
    </row>
    <row r="57" spans="1:43" x14ac:dyDescent="0.2">
      <c r="A57" s="2">
        <v>1891456</v>
      </c>
      <c r="B57" s="3">
        <v>46113</v>
      </c>
      <c r="C57" s="4" t="s">
        <v>222</v>
      </c>
      <c r="D57" s="2">
        <v>1986712</v>
      </c>
      <c r="E57" s="4" t="s">
        <v>229</v>
      </c>
      <c r="F57" s="4" t="s">
        <v>230</v>
      </c>
      <c r="G57" s="2">
        <v>127466050</v>
      </c>
      <c r="H57" s="4" t="s">
        <v>231</v>
      </c>
      <c r="I57" s="4" t="s">
        <v>47</v>
      </c>
      <c r="J57" s="4" t="s">
        <v>48</v>
      </c>
      <c r="K57" s="4" t="s">
        <v>49</v>
      </c>
      <c r="L57" s="3">
        <v>46023</v>
      </c>
      <c r="M57" s="4" t="s">
        <v>61</v>
      </c>
      <c r="N57" s="4" t="s">
        <v>47</v>
      </c>
      <c r="O57" s="4" t="s">
        <v>51</v>
      </c>
      <c r="P57" s="4" t="s">
        <v>47</v>
      </c>
      <c r="Q57" s="2">
        <v>1</v>
      </c>
      <c r="R57" s="2">
        <v>17</v>
      </c>
      <c r="S57" s="4" t="s">
        <v>52</v>
      </c>
      <c r="T57" s="4" t="s">
        <v>53</v>
      </c>
      <c r="U57" s="4" t="s">
        <v>47</v>
      </c>
      <c r="V57" s="5">
        <v>-1</v>
      </c>
      <c r="W57" s="5">
        <v>0</v>
      </c>
      <c r="X57" s="5">
        <v>100</v>
      </c>
      <c r="Y57" s="5">
        <v>-347</v>
      </c>
      <c r="Z57" s="4" t="s">
        <v>47</v>
      </c>
      <c r="AA57" s="5" t="s">
        <v>47</v>
      </c>
      <c r="AB57" s="4" t="s">
        <v>54</v>
      </c>
      <c r="AC57" s="4" t="s">
        <v>47</v>
      </c>
      <c r="AD57" s="5">
        <v>0</v>
      </c>
      <c r="AE57" s="4" t="s">
        <v>55</v>
      </c>
      <c r="AF57" s="3">
        <v>46023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83</v>
      </c>
      <c r="AO57" s="4" t="s">
        <v>47</v>
      </c>
      <c r="AP57" s="4" t="s">
        <v>47</v>
      </c>
      <c r="AQ57" s="4" t="s">
        <v>47</v>
      </c>
    </row>
    <row r="58" spans="1:43" x14ac:dyDescent="0.2">
      <c r="A58" s="2">
        <v>1891456</v>
      </c>
      <c r="B58" s="3">
        <v>46113</v>
      </c>
      <c r="C58" s="4" t="s">
        <v>222</v>
      </c>
      <c r="D58" s="2">
        <v>1986712</v>
      </c>
      <c r="E58" s="4" t="s">
        <v>232</v>
      </c>
      <c r="F58" s="4" t="s">
        <v>233</v>
      </c>
      <c r="G58" s="2">
        <v>817850055</v>
      </c>
      <c r="H58" s="4" t="s">
        <v>234</v>
      </c>
      <c r="I58" s="4" t="s">
        <v>47</v>
      </c>
      <c r="J58" s="4" t="s">
        <v>48</v>
      </c>
      <c r="K58" s="4" t="s">
        <v>49</v>
      </c>
      <c r="L58" s="3">
        <v>46023</v>
      </c>
      <c r="M58" s="4" t="s">
        <v>61</v>
      </c>
      <c r="N58" s="4" t="s">
        <v>47</v>
      </c>
      <c r="O58" s="4" t="s">
        <v>51</v>
      </c>
      <c r="P58" s="4" t="s">
        <v>47</v>
      </c>
      <c r="Q58" s="2">
        <v>1</v>
      </c>
      <c r="R58" s="2">
        <v>17</v>
      </c>
      <c r="S58" s="4" t="s">
        <v>52</v>
      </c>
      <c r="T58" s="4" t="s">
        <v>53</v>
      </c>
      <c r="U58" s="4" t="s">
        <v>47</v>
      </c>
      <c r="V58" s="5">
        <v>-0.75</v>
      </c>
      <c r="W58" s="5">
        <v>0</v>
      </c>
      <c r="X58" s="5">
        <v>100</v>
      </c>
      <c r="Y58" s="5">
        <v>-260.25</v>
      </c>
      <c r="Z58" s="4" t="s">
        <v>47</v>
      </c>
      <c r="AA58" s="5" t="s">
        <v>47</v>
      </c>
      <c r="AB58" s="4" t="s">
        <v>54</v>
      </c>
      <c r="AC58" s="4" t="s">
        <v>47</v>
      </c>
      <c r="AD58" s="5">
        <v>0</v>
      </c>
      <c r="AE58" s="4" t="s">
        <v>55</v>
      </c>
      <c r="AF58" s="3">
        <v>46023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56</v>
      </c>
      <c r="AO58" s="4" t="s">
        <v>47</v>
      </c>
      <c r="AP58" s="4" t="s">
        <v>47</v>
      </c>
      <c r="AQ58" s="4" t="s">
        <v>47</v>
      </c>
    </row>
    <row r="59" spans="1:43" x14ac:dyDescent="0.2">
      <c r="A59" s="2">
        <v>1891456</v>
      </c>
      <c r="B59" s="3">
        <v>46113</v>
      </c>
      <c r="C59" s="4" t="s">
        <v>235</v>
      </c>
      <c r="D59" s="2">
        <v>1989690</v>
      </c>
      <c r="E59" s="4" t="s">
        <v>236</v>
      </c>
      <c r="F59" s="4" t="s">
        <v>237</v>
      </c>
      <c r="G59" s="2">
        <v>698860594</v>
      </c>
      <c r="H59" s="4" t="s">
        <v>238</v>
      </c>
      <c r="I59" s="4" t="s">
        <v>47</v>
      </c>
      <c r="J59" s="4" t="s">
        <v>48</v>
      </c>
      <c r="K59" s="4" t="s">
        <v>49</v>
      </c>
      <c r="L59" s="3">
        <v>46023</v>
      </c>
      <c r="M59" s="4" t="s">
        <v>61</v>
      </c>
      <c r="N59" s="4" t="s">
        <v>47</v>
      </c>
      <c r="O59" s="4" t="s">
        <v>51</v>
      </c>
      <c r="P59" s="4" t="s">
        <v>47</v>
      </c>
      <c r="Q59" s="2">
        <v>1</v>
      </c>
      <c r="R59" s="2">
        <v>17</v>
      </c>
      <c r="S59" s="4" t="s">
        <v>52</v>
      </c>
      <c r="T59" s="4" t="s">
        <v>62</v>
      </c>
      <c r="U59" s="4" t="s">
        <v>47</v>
      </c>
      <c r="V59" s="5">
        <v>-0.75</v>
      </c>
      <c r="W59" s="5">
        <v>0</v>
      </c>
      <c r="X59" s="5">
        <v>100</v>
      </c>
      <c r="Y59" s="5">
        <v>-260.25</v>
      </c>
      <c r="Z59" s="4" t="s">
        <v>47</v>
      </c>
      <c r="AA59" s="5" t="s">
        <v>47</v>
      </c>
      <c r="AB59" s="4" t="s">
        <v>54</v>
      </c>
      <c r="AC59" s="4" t="s">
        <v>47</v>
      </c>
      <c r="AD59" s="5">
        <v>0</v>
      </c>
      <c r="AE59" s="4" t="s">
        <v>55</v>
      </c>
      <c r="AF59" s="3">
        <v>46023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63</v>
      </c>
      <c r="AO59" s="4" t="s">
        <v>47</v>
      </c>
      <c r="AP59" s="4" t="s">
        <v>47</v>
      </c>
      <c r="AQ59" s="4" t="s">
        <v>47</v>
      </c>
    </row>
    <row r="60" spans="1:43" x14ac:dyDescent="0.2">
      <c r="A60" s="2">
        <v>1891456</v>
      </c>
      <c r="B60" s="3">
        <v>46113</v>
      </c>
      <c r="C60" s="4" t="s">
        <v>239</v>
      </c>
      <c r="D60" s="2">
        <v>1998939</v>
      </c>
      <c r="E60" s="4" t="s">
        <v>240</v>
      </c>
      <c r="F60" s="4" t="s">
        <v>241</v>
      </c>
      <c r="G60" s="2">
        <v>862629512</v>
      </c>
      <c r="H60" s="4" t="s">
        <v>242</v>
      </c>
      <c r="I60" s="4" t="s">
        <v>47</v>
      </c>
      <c r="J60" s="4" t="s">
        <v>48</v>
      </c>
      <c r="K60" s="4" t="s">
        <v>49</v>
      </c>
      <c r="L60" s="3">
        <v>46023</v>
      </c>
      <c r="M60" s="4" t="s">
        <v>61</v>
      </c>
      <c r="N60" s="4" t="s">
        <v>47</v>
      </c>
      <c r="O60" s="4" t="s">
        <v>51</v>
      </c>
      <c r="P60" s="4" t="s">
        <v>47</v>
      </c>
      <c r="Q60" s="2">
        <v>1</v>
      </c>
      <c r="R60" s="2">
        <v>17</v>
      </c>
      <c r="S60" s="4" t="s">
        <v>52</v>
      </c>
      <c r="T60" s="4" t="s">
        <v>53</v>
      </c>
      <c r="U60" s="4" t="s">
        <v>47</v>
      </c>
      <c r="V60" s="5">
        <v>-0.75</v>
      </c>
      <c r="W60" s="5">
        <v>0</v>
      </c>
      <c r="X60" s="5">
        <v>100</v>
      </c>
      <c r="Y60" s="5">
        <v>-260.25</v>
      </c>
      <c r="Z60" s="4" t="s">
        <v>47</v>
      </c>
      <c r="AA60" s="5" t="s">
        <v>47</v>
      </c>
      <c r="AB60" s="4" t="s">
        <v>54</v>
      </c>
      <c r="AC60" s="4" t="s">
        <v>47</v>
      </c>
      <c r="AD60" s="5">
        <v>0</v>
      </c>
      <c r="AE60" s="4" t="s">
        <v>55</v>
      </c>
      <c r="AF60" s="3">
        <v>46023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243</v>
      </c>
      <c r="AO60" s="4" t="s">
        <v>47</v>
      </c>
      <c r="AP60" s="4" t="s">
        <v>47</v>
      </c>
      <c r="AQ60" s="4" t="s">
        <v>47</v>
      </c>
    </row>
    <row r="61" spans="1:43" x14ac:dyDescent="0.2">
      <c r="A61" s="2">
        <v>1891456</v>
      </c>
      <c r="B61" s="3">
        <v>46113</v>
      </c>
      <c r="C61" s="4" t="s">
        <v>79</v>
      </c>
      <c r="D61" s="2">
        <v>1510420</v>
      </c>
      <c r="E61" s="4" t="s">
        <v>244</v>
      </c>
      <c r="F61" s="4" t="s">
        <v>245</v>
      </c>
      <c r="G61" s="4" t="s">
        <v>47</v>
      </c>
      <c r="H61" s="4" t="s">
        <v>47</v>
      </c>
      <c r="I61" s="4" t="s">
        <v>47</v>
      </c>
      <c r="J61" s="4" t="s">
        <v>246</v>
      </c>
      <c r="K61" s="4" t="s">
        <v>49</v>
      </c>
      <c r="L61" s="3">
        <v>46113</v>
      </c>
      <c r="M61" s="4" t="s">
        <v>50</v>
      </c>
      <c r="N61" s="4" t="s">
        <v>47</v>
      </c>
      <c r="O61" s="4" t="s">
        <v>88</v>
      </c>
      <c r="P61" s="4" t="s">
        <v>88</v>
      </c>
      <c r="Q61" s="2">
        <v>1</v>
      </c>
      <c r="R61" s="2">
        <v>17</v>
      </c>
      <c r="S61" s="4" t="s">
        <v>52</v>
      </c>
      <c r="T61" s="4" t="s">
        <v>47</v>
      </c>
      <c r="U61" s="4" t="s">
        <v>47</v>
      </c>
      <c r="V61" s="5">
        <v>22</v>
      </c>
      <c r="W61" s="5">
        <v>203.18</v>
      </c>
      <c r="X61" s="5">
        <v>100</v>
      </c>
      <c r="Y61" s="5">
        <v>44.7</v>
      </c>
      <c r="Z61" s="5">
        <v>0</v>
      </c>
      <c r="AA61" s="5">
        <v>0</v>
      </c>
      <c r="AB61" s="4" t="s">
        <v>89</v>
      </c>
      <c r="AC61" s="4" t="s">
        <v>47</v>
      </c>
      <c r="AD61" s="5">
        <v>0</v>
      </c>
      <c r="AE61" s="4" t="s">
        <v>90</v>
      </c>
      <c r="AF61" s="3">
        <v>45748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247</v>
      </c>
    </row>
    <row r="62" spans="1:43" x14ac:dyDescent="0.2">
      <c r="A62" s="2">
        <v>1891456</v>
      </c>
      <c r="B62" s="3">
        <v>46113</v>
      </c>
      <c r="C62" s="4" t="s">
        <v>79</v>
      </c>
      <c r="D62" s="2">
        <v>1510420</v>
      </c>
      <c r="E62" s="4" t="s">
        <v>248</v>
      </c>
      <c r="F62" s="4" t="s">
        <v>249</v>
      </c>
      <c r="G62" s="4" t="s">
        <v>47</v>
      </c>
      <c r="H62" s="4" t="s">
        <v>47</v>
      </c>
      <c r="I62" s="4" t="s">
        <v>47</v>
      </c>
      <c r="J62" s="4" t="s">
        <v>246</v>
      </c>
      <c r="K62" s="4" t="s">
        <v>49</v>
      </c>
      <c r="L62" s="3">
        <v>46113</v>
      </c>
      <c r="M62" s="4" t="s">
        <v>50</v>
      </c>
      <c r="N62" s="4" t="s">
        <v>47</v>
      </c>
      <c r="O62" s="4" t="s">
        <v>51</v>
      </c>
      <c r="P62" s="4" t="s">
        <v>88</v>
      </c>
      <c r="Q62" s="2">
        <v>1</v>
      </c>
      <c r="R62" s="2">
        <v>17</v>
      </c>
      <c r="S62" s="4" t="s">
        <v>52</v>
      </c>
      <c r="T62" s="4" t="s">
        <v>47</v>
      </c>
      <c r="U62" s="4" t="s">
        <v>47</v>
      </c>
      <c r="V62" s="5">
        <v>22</v>
      </c>
      <c r="W62" s="5">
        <v>2487</v>
      </c>
      <c r="X62" s="5">
        <v>100</v>
      </c>
      <c r="Y62" s="5">
        <v>547.20000000000005</v>
      </c>
      <c r="Z62" s="5">
        <v>0</v>
      </c>
      <c r="AA62" s="5">
        <v>0</v>
      </c>
      <c r="AB62" s="4" t="s">
        <v>250</v>
      </c>
      <c r="AC62" s="4" t="s">
        <v>47</v>
      </c>
      <c r="AD62" s="5">
        <v>0</v>
      </c>
      <c r="AE62" s="4" t="s">
        <v>251</v>
      </c>
      <c r="AF62" s="3">
        <v>46113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247</v>
      </c>
    </row>
    <row r="63" spans="1:43" x14ac:dyDescent="0.2">
      <c r="A63" s="2">
        <v>1891456</v>
      </c>
      <c r="B63" s="3">
        <v>46113</v>
      </c>
      <c r="C63" s="4" t="s">
        <v>79</v>
      </c>
      <c r="D63" s="2">
        <v>1510420</v>
      </c>
      <c r="E63" s="4" t="s">
        <v>252</v>
      </c>
      <c r="F63" s="4" t="s">
        <v>253</v>
      </c>
      <c r="G63" s="4" t="s">
        <v>47</v>
      </c>
      <c r="H63" s="4" t="s">
        <v>47</v>
      </c>
      <c r="I63" s="4" t="s">
        <v>47</v>
      </c>
      <c r="J63" s="4" t="s">
        <v>254</v>
      </c>
      <c r="K63" s="4" t="s">
        <v>255</v>
      </c>
      <c r="L63" s="3">
        <v>46113</v>
      </c>
      <c r="M63" s="4" t="s">
        <v>50</v>
      </c>
      <c r="N63" s="4" t="s">
        <v>47</v>
      </c>
      <c r="O63" s="4" t="s">
        <v>88</v>
      </c>
      <c r="P63" s="4" t="s">
        <v>88</v>
      </c>
      <c r="Q63" s="2">
        <v>1</v>
      </c>
      <c r="R63" s="2">
        <v>3</v>
      </c>
      <c r="S63" s="4" t="s">
        <v>256</v>
      </c>
      <c r="T63" s="4" t="s">
        <v>47</v>
      </c>
      <c r="U63" s="4" t="s">
        <v>47</v>
      </c>
      <c r="V63" s="5">
        <v>10</v>
      </c>
      <c r="W63" s="5">
        <v>52.78</v>
      </c>
      <c r="X63" s="5">
        <v>100</v>
      </c>
      <c r="Y63" s="5">
        <v>5.28</v>
      </c>
      <c r="Z63" s="4" t="s">
        <v>47</v>
      </c>
      <c r="AA63" s="5" t="s">
        <v>47</v>
      </c>
      <c r="AB63" s="4" t="s">
        <v>257</v>
      </c>
      <c r="AC63" s="4" t="s">
        <v>47</v>
      </c>
      <c r="AD63" s="5">
        <v>0</v>
      </c>
      <c r="AE63" s="4" t="s">
        <v>258</v>
      </c>
      <c r="AF63" s="3">
        <v>44586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x14ac:dyDescent="0.2">
      <c r="A64" s="2">
        <v>1891456</v>
      </c>
      <c r="B64" s="3">
        <v>46113</v>
      </c>
      <c r="C64" s="4" t="s">
        <v>101</v>
      </c>
      <c r="D64" s="2">
        <v>1524629</v>
      </c>
      <c r="E64" s="4" t="s">
        <v>259</v>
      </c>
      <c r="F64" s="4" t="s">
        <v>260</v>
      </c>
      <c r="G64" s="4" t="s">
        <v>47</v>
      </c>
      <c r="H64" s="4" t="s">
        <v>47</v>
      </c>
      <c r="I64" s="4" t="s">
        <v>47</v>
      </c>
      <c r="J64" s="4" t="s">
        <v>246</v>
      </c>
      <c r="K64" s="4" t="s">
        <v>49</v>
      </c>
      <c r="L64" s="3">
        <v>46113</v>
      </c>
      <c r="M64" s="4" t="s">
        <v>50</v>
      </c>
      <c r="N64" s="4" t="s">
        <v>47</v>
      </c>
      <c r="O64" s="4" t="s">
        <v>88</v>
      </c>
      <c r="P64" s="4" t="s">
        <v>88</v>
      </c>
      <c r="Q64" s="2">
        <v>1</v>
      </c>
      <c r="R64" s="2">
        <v>17</v>
      </c>
      <c r="S64" s="4" t="s">
        <v>52</v>
      </c>
      <c r="T64" s="4" t="s">
        <v>47</v>
      </c>
      <c r="U64" s="4" t="s">
        <v>47</v>
      </c>
      <c r="V64" s="5">
        <v>26</v>
      </c>
      <c r="W64" s="5">
        <v>84.94</v>
      </c>
      <c r="X64" s="5">
        <v>100</v>
      </c>
      <c r="Y64" s="5">
        <v>22.08</v>
      </c>
      <c r="Z64" s="5">
        <v>0</v>
      </c>
      <c r="AA64" s="5">
        <v>0</v>
      </c>
      <c r="AB64" s="4" t="s">
        <v>261</v>
      </c>
      <c r="AC64" s="4" t="s">
        <v>47</v>
      </c>
      <c r="AD64" s="5">
        <v>0</v>
      </c>
      <c r="AE64" s="4" t="s">
        <v>262</v>
      </c>
      <c r="AF64" s="3">
        <v>45323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247</v>
      </c>
    </row>
    <row r="65" spans="1:43" x14ac:dyDescent="0.2">
      <c r="A65" s="2">
        <v>1891456</v>
      </c>
      <c r="B65" s="3">
        <v>46113</v>
      </c>
      <c r="C65" s="4" t="s">
        <v>263</v>
      </c>
      <c r="D65" s="2">
        <v>1673763</v>
      </c>
      <c r="E65" s="4" t="s">
        <v>264</v>
      </c>
      <c r="F65" s="4" t="s">
        <v>265</v>
      </c>
      <c r="G65" s="4" t="s">
        <v>47</v>
      </c>
      <c r="H65" s="4" t="s">
        <v>47</v>
      </c>
      <c r="I65" s="4" t="s">
        <v>47</v>
      </c>
      <c r="J65" s="4" t="s">
        <v>254</v>
      </c>
      <c r="K65" s="4" t="s">
        <v>255</v>
      </c>
      <c r="L65" s="3">
        <v>46113</v>
      </c>
      <c r="M65" s="4" t="s">
        <v>50</v>
      </c>
      <c r="N65" s="4" t="s">
        <v>47</v>
      </c>
      <c r="O65" s="4" t="s">
        <v>51</v>
      </c>
      <c r="P65" s="4" t="s">
        <v>88</v>
      </c>
      <c r="Q65" s="2">
        <v>1</v>
      </c>
      <c r="R65" s="2">
        <v>60</v>
      </c>
      <c r="S65" s="4" t="s">
        <v>266</v>
      </c>
      <c r="T65" s="4" t="s">
        <v>47</v>
      </c>
      <c r="U65" s="4" t="s">
        <v>47</v>
      </c>
      <c r="V65" s="5">
        <v>15</v>
      </c>
      <c r="W65" s="5">
        <v>12.99</v>
      </c>
      <c r="X65" s="5">
        <v>100</v>
      </c>
      <c r="Y65" s="5">
        <v>36.950000000000003</v>
      </c>
      <c r="Z65" s="4" t="s">
        <v>47</v>
      </c>
      <c r="AA65" s="5" t="s">
        <v>47</v>
      </c>
      <c r="AB65" s="4" t="s">
        <v>267</v>
      </c>
      <c r="AC65" s="4" t="s">
        <v>47</v>
      </c>
      <c r="AD65" s="5">
        <v>0</v>
      </c>
      <c r="AE65" s="4" t="s">
        <v>268</v>
      </c>
      <c r="AF65" s="3">
        <v>46113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x14ac:dyDescent="0.2">
      <c r="A66" s="2">
        <v>1891456</v>
      </c>
      <c r="B66" s="3">
        <v>46113</v>
      </c>
      <c r="C66" s="4" t="s">
        <v>269</v>
      </c>
      <c r="D66" s="2">
        <v>1755893</v>
      </c>
      <c r="E66" s="4" t="s">
        <v>270</v>
      </c>
      <c r="F66" s="4" t="s">
        <v>271</v>
      </c>
      <c r="G66" s="4" t="s">
        <v>47</v>
      </c>
      <c r="H66" s="4" t="s">
        <v>47</v>
      </c>
      <c r="I66" s="4" t="s">
        <v>47</v>
      </c>
      <c r="J66" s="4" t="s">
        <v>254</v>
      </c>
      <c r="K66" s="4" t="s">
        <v>255</v>
      </c>
      <c r="L66" s="3">
        <v>46113</v>
      </c>
      <c r="M66" s="4" t="s">
        <v>50</v>
      </c>
      <c r="N66" s="4" t="s">
        <v>47</v>
      </c>
      <c r="O66" s="4" t="s">
        <v>51</v>
      </c>
      <c r="P66" s="4" t="s">
        <v>88</v>
      </c>
      <c r="Q66" s="2">
        <v>2</v>
      </c>
      <c r="R66" s="2">
        <v>60</v>
      </c>
      <c r="S66" s="4" t="s">
        <v>266</v>
      </c>
      <c r="T66" s="4" t="s">
        <v>47</v>
      </c>
      <c r="U66" s="4" t="s">
        <v>47</v>
      </c>
      <c r="V66" s="5">
        <v>10</v>
      </c>
      <c r="W66" s="5">
        <v>23.99</v>
      </c>
      <c r="X66" s="5">
        <v>100</v>
      </c>
      <c r="Y66" s="5">
        <v>2.4</v>
      </c>
      <c r="Z66" s="4" t="s">
        <v>47</v>
      </c>
      <c r="AA66" s="5" t="s">
        <v>47</v>
      </c>
      <c r="AB66" s="4" t="s">
        <v>267</v>
      </c>
      <c r="AC66" s="4" t="s">
        <v>47</v>
      </c>
      <c r="AD66" s="5">
        <v>0</v>
      </c>
      <c r="AE66" s="4" t="s">
        <v>268</v>
      </c>
      <c r="AF66" s="3">
        <v>45871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47</v>
      </c>
    </row>
    <row r="67" spans="1:43" x14ac:dyDescent="0.2">
      <c r="A67" s="2">
        <v>1891456</v>
      </c>
      <c r="B67" s="3">
        <v>46113</v>
      </c>
      <c r="C67" s="4" t="s">
        <v>269</v>
      </c>
      <c r="D67" s="2">
        <v>1755893</v>
      </c>
      <c r="E67" s="4" t="s">
        <v>272</v>
      </c>
      <c r="F67" s="4" t="s">
        <v>273</v>
      </c>
      <c r="G67" s="4" t="s">
        <v>47</v>
      </c>
      <c r="H67" s="4" t="s">
        <v>47</v>
      </c>
      <c r="I67" s="4" t="s">
        <v>47</v>
      </c>
      <c r="J67" s="4" t="s">
        <v>254</v>
      </c>
      <c r="K67" s="4" t="s">
        <v>255</v>
      </c>
      <c r="L67" s="3">
        <v>46113</v>
      </c>
      <c r="M67" s="4" t="s">
        <v>50</v>
      </c>
      <c r="N67" s="4" t="s">
        <v>47</v>
      </c>
      <c r="O67" s="4" t="s">
        <v>51</v>
      </c>
      <c r="P67" s="4" t="s">
        <v>88</v>
      </c>
      <c r="Q67" s="2">
        <v>1</v>
      </c>
      <c r="R67" s="2">
        <v>60</v>
      </c>
      <c r="S67" s="4" t="s">
        <v>266</v>
      </c>
      <c r="T67" s="4" t="s">
        <v>47</v>
      </c>
      <c r="U67" s="4" t="s">
        <v>47</v>
      </c>
      <c r="V67" s="5">
        <v>10</v>
      </c>
      <c r="W67" s="5">
        <v>12.99</v>
      </c>
      <c r="X67" s="5">
        <v>100</v>
      </c>
      <c r="Y67" s="5">
        <v>1.3</v>
      </c>
      <c r="Z67" s="4" t="s">
        <v>47</v>
      </c>
      <c r="AA67" s="5" t="s">
        <v>47</v>
      </c>
      <c r="AB67" s="4" t="s">
        <v>267</v>
      </c>
      <c r="AC67" s="4" t="s">
        <v>47</v>
      </c>
      <c r="AD67" s="5">
        <v>0</v>
      </c>
      <c r="AE67" s="4" t="s">
        <v>268</v>
      </c>
      <c r="AF67" s="3">
        <v>45879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47</v>
      </c>
    </row>
    <row r="68" spans="1:43" x14ac:dyDescent="0.2">
      <c r="A68" s="2">
        <v>1891456</v>
      </c>
      <c r="B68" s="3">
        <v>46113</v>
      </c>
      <c r="C68" s="4" t="s">
        <v>269</v>
      </c>
      <c r="D68" s="2">
        <v>1755893</v>
      </c>
      <c r="E68" s="4" t="s">
        <v>274</v>
      </c>
      <c r="F68" s="4" t="s">
        <v>275</v>
      </c>
      <c r="G68" s="4" t="s">
        <v>47</v>
      </c>
      <c r="H68" s="4" t="s">
        <v>47</v>
      </c>
      <c r="I68" s="4" t="s">
        <v>47</v>
      </c>
      <c r="J68" s="4" t="s">
        <v>254</v>
      </c>
      <c r="K68" s="4" t="s">
        <v>255</v>
      </c>
      <c r="L68" s="3">
        <v>46113</v>
      </c>
      <c r="M68" s="4" t="s">
        <v>50</v>
      </c>
      <c r="N68" s="4" t="s">
        <v>47</v>
      </c>
      <c r="O68" s="4" t="s">
        <v>51</v>
      </c>
      <c r="P68" s="4" t="s">
        <v>88</v>
      </c>
      <c r="Q68" s="2">
        <v>2</v>
      </c>
      <c r="R68" s="2">
        <v>60</v>
      </c>
      <c r="S68" s="4" t="s">
        <v>266</v>
      </c>
      <c r="T68" s="4" t="s">
        <v>47</v>
      </c>
      <c r="U68" s="4" t="s">
        <v>47</v>
      </c>
      <c r="V68" s="5">
        <v>15</v>
      </c>
      <c r="W68" s="5">
        <v>23.99</v>
      </c>
      <c r="X68" s="5">
        <v>100</v>
      </c>
      <c r="Y68" s="5">
        <v>3.6</v>
      </c>
      <c r="Z68" s="4" t="s">
        <v>47</v>
      </c>
      <c r="AA68" s="5" t="s">
        <v>47</v>
      </c>
      <c r="AB68" s="4" t="s">
        <v>267</v>
      </c>
      <c r="AC68" s="4" t="s">
        <v>47</v>
      </c>
      <c r="AD68" s="5">
        <v>0</v>
      </c>
      <c r="AE68" s="4" t="s">
        <v>268</v>
      </c>
      <c r="AF68" s="3">
        <v>45992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spans="1:43" x14ac:dyDescent="0.2">
      <c r="A69" s="2">
        <v>1891456</v>
      </c>
      <c r="B69" s="3">
        <v>46113</v>
      </c>
      <c r="C69" s="4" t="s">
        <v>269</v>
      </c>
      <c r="D69" s="2">
        <v>1755893</v>
      </c>
      <c r="E69" s="4" t="s">
        <v>276</v>
      </c>
      <c r="F69" s="4" t="s">
        <v>277</v>
      </c>
      <c r="G69" s="4" t="s">
        <v>47</v>
      </c>
      <c r="H69" s="4" t="s">
        <v>47</v>
      </c>
      <c r="I69" s="4" t="s">
        <v>47</v>
      </c>
      <c r="J69" s="4" t="s">
        <v>254</v>
      </c>
      <c r="K69" s="4" t="s">
        <v>255</v>
      </c>
      <c r="L69" s="3">
        <v>46113</v>
      </c>
      <c r="M69" s="4" t="s">
        <v>50</v>
      </c>
      <c r="N69" s="4" t="s">
        <v>47</v>
      </c>
      <c r="O69" s="4" t="s">
        <v>51</v>
      </c>
      <c r="P69" s="4" t="s">
        <v>88</v>
      </c>
      <c r="Q69" s="2">
        <v>1</v>
      </c>
      <c r="R69" s="2">
        <v>60</v>
      </c>
      <c r="S69" s="4" t="s">
        <v>266</v>
      </c>
      <c r="T69" s="4" t="s">
        <v>47</v>
      </c>
      <c r="U69" s="4" t="s">
        <v>47</v>
      </c>
      <c r="V69" s="5">
        <v>15</v>
      </c>
      <c r="W69" s="5">
        <v>12.99</v>
      </c>
      <c r="X69" s="5">
        <v>100</v>
      </c>
      <c r="Y69" s="5">
        <v>36.950000000000003</v>
      </c>
      <c r="Z69" s="4" t="s">
        <v>47</v>
      </c>
      <c r="AA69" s="5" t="s">
        <v>47</v>
      </c>
      <c r="AB69" s="4" t="s">
        <v>267</v>
      </c>
      <c r="AC69" s="4" t="s">
        <v>47</v>
      </c>
      <c r="AD69" s="5">
        <v>0</v>
      </c>
      <c r="AE69" s="4" t="s">
        <v>268</v>
      </c>
      <c r="AF69" s="3">
        <v>46117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47</v>
      </c>
    </row>
    <row r="70" spans="1:43" x14ac:dyDescent="0.2">
      <c r="A70" s="2">
        <v>1891456</v>
      </c>
      <c r="B70" s="3">
        <v>46113</v>
      </c>
      <c r="C70" s="4" t="s">
        <v>278</v>
      </c>
      <c r="D70" s="2">
        <v>1775329</v>
      </c>
      <c r="E70" s="4" t="s">
        <v>279</v>
      </c>
      <c r="F70" s="4" t="s">
        <v>280</v>
      </c>
      <c r="G70" s="4" t="s">
        <v>47</v>
      </c>
      <c r="H70" s="4" t="s">
        <v>47</v>
      </c>
      <c r="I70" s="4" t="s">
        <v>47</v>
      </c>
      <c r="J70" s="4" t="s">
        <v>246</v>
      </c>
      <c r="K70" s="4" t="s">
        <v>49</v>
      </c>
      <c r="L70" s="3">
        <v>46113</v>
      </c>
      <c r="M70" s="4" t="s">
        <v>50</v>
      </c>
      <c r="N70" s="4" t="s">
        <v>47</v>
      </c>
      <c r="O70" s="4" t="s">
        <v>51</v>
      </c>
      <c r="P70" s="4" t="s">
        <v>88</v>
      </c>
      <c r="Q70" s="2">
        <v>1</v>
      </c>
      <c r="R70" s="2">
        <v>17</v>
      </c>
      <c r="S70" s="4" t="s">
        <v>52</v>
      </c>
      <c r="T70" s="4" t="s">
        <v>47</v>
      </c>
      <c r="U70" s="4" t="s">
        <v>47</v>
      </c>
      <c r="V70" s="5">
        <v>15</v>
      </c>
      <c r="W70" s="5">
        <v>4164.84</v>
      </c>
      <c r="X70" s="5">
        <v>100</v>
      </c>
      <c r="Y70" s="5">
        <v>624.72</v>
      </c>
      <c r="Z70" s="5">
        <v>0</v>
      </c>
      <c r="AA70" s="5">
        <v>0</v>
      </c>
      <c r="AB70" s="4" t="s">
        <v>250</v>
      </c>
      <c r="AC70" s="4" t="s">
        <v>47</v>
      </c>
      <c r="AD70" s="5">
        <v>0</v>
      </c>
      <c r="AE70" s="4" t="s">
        <v>251</v>
      </c>
      <c r="AF70" s="3">
        <v>46113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247</v>
      </c>
    </row>
    <row r="71" spans="1:43" x14ac:dyDescent="0.2">
      <c r="A71" s="2">
        <v>1891456</v>
      </c>
      <c r="B71" s="3">
        <v>46113</v>
      </c>
      <c r="C71" s="4" t="s">
        <v>278</v>
      </c>
      <c r="D71" s="2">
        <v>1775329</v>
      </c>
      <c r="E71" s="4" t="s">
        <v>281</v>
      </c>
      <c r="F71" s="4" t="s">
        <v>282</v>
      </c>
      <c r="G71" s="4" t="s">
        <v>47</v>
      </c>
      <c r="H71" s="4" t="s">
        <v>47</v>
      </c>
      <c r="I71" s="4" t="s">
        <v>47</v>
      </c>
      <c r="J71" s="4" t="s">
        <v>246</v>
      </c>
      <c r="K71" s="4" t="s">
        <v>49</v>
      </c>
      <c r="L71" s="3">
        <v>46113</v>
      </c>
      <c r="M71" s="4" t="s">
        <v>50</v>
      </c>
      <c r="N71" s="4" t="s">
        <v>47</v>
      </c>
      <c r="O71" s="4" t="s">
        <v>51</v>
      </c>
      <c r="P71" s="4" t="s">
        <v>88</v>
      </c>
      <c r="Q71" s="2">
        <v>1</v>
      </c>
      <c r="R71" s="2">
        <v>17</v>
      </c>
      <c r="S71" s="4" t="s">
        <v>52</v>
      </c>
      <c r="T71" s="4" t="s">
        <v>47</v>
      </c>
      <c r="U71" s="4" t="s">
        <v>47</v>
      </c>
      <c r="V71" s="5">
        <v>15</v>
      </c>
      <c r="W71" s="5">
        <v>2797.44</v>
      </c>
      <c r="X71" s="5">
        <v>100</v>
      </c>
      <c r="Y71" s="5">
        <v>419.64</v>
      </c>
      <c r="Z71" s="5">
        <v>0</v>
      </c>
      <c r="AA71" s="5">
        <v>0</v>
      </c>
      <c r="AB71" s="4" t="s">
        <v>250</v>
      </c>
      <c r="AC71" s="4" t="s">
        <v>47</v>
      </c>
      <c r="AD71" s="5">
        <v>0</v>
      </c>
      <c r="AE71" s="4" t="s">
        <v>251</v>
      </c>
      <c r="AF71" s="3">
        <v>46113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247</v>
      </c>
    </row>
    <row r="72" spans="1:43" x14ac:dyDescent="0.2">
      <c r="A72" s="2">
        <v>1891456</v>
      </c>
      <c r="B72" s="3">
        <v>46113</v>
      </c>
      <c r="C72" s="4" t="s">
        <v>278</v>
      </c>
      <c r="D72" s="2">
        <v>1775329</v>
      </c>
      <c r="E72" s="4" t="s">
        <v>283</v>
      </c>
      <c r="F72" s="4" t="s">
        <v>284</v>
      </c>
      <c r="G72" s="4" t="s">
        <v>47</v>
      </c>
      <c r="H72" s="4" t="s">
        <v>47</v>
      </c>
      <c r="I72" s="4" t="s">
        <v>47</v>
      </c>
      <c r="J72" s="4" t="s">
        <v>246</v>
      </c>
      <c r="K72" s="4" t="s">
        <v>49</v>
      </c>
      <c r="L72" s="3">
        <v>46143</v>
      </c>
      <c r="M72" s="4" t="s">
        <v>92</v>
      </c>
      <c r="N72" s="4" t="s">
        <v>47</v>
      </c>
      <c r="O72" s="4" t="s">
        <v>51</v>
      </c>
      <c r="P72" s="4" t="s">
        <v>88</v>
      </c>
      <c r="Q72" s="2">
        <v>1</v>
      </c>
      <c r="R72" s="2">
        <v>17</v>
      </c>
      <c r="S72" s="4" t="s">
        <v>52</v>
      </c>
      <c r="T72" s="4" t="s">
        <v>47</v>
      </c>
      <c r="U72" s="4" t="s">
        <v>47</v>
      </c>
      <c r="V72" s="5">
        <v>15</v>
      </c>
      <c r="W72" s="5">
        <v>2206.08</v>
      </c>
      <c r="X72" s="5">
        <v>100</v>
      </c>
      <c r="Y72" s="5">
        <v>330.96</v>
      </c>
      <c r="Z72" s="5">
        <v>0</v>
      </c>
      <c r="AA72" s="5">
        <v>0</v>
      </c>
      <c r="AB72" s="4" t="s">
        <v>250</v>
      </c>
      <c r="AC72" s="4" t="s">
        <v>47</v>
      </c>
      <c r="AD72" s="5">
        <v>0</v>
      </c>
      <c r="AE72" s="4" t="s">
        <v>251</v>
      </c>
      <c r="AF72" s="3">
        <v>46143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247</v>
      </c>
    </row>
    <row r="73" spans="1:43" x14ac:dyDescent="0.2">
      <c r="A73" s="2">
        <v>1891456</v>
      </c>
      <c r="B73" s="3">
        <v>46113</v>
      </c>
      <c r="C73" s="4" t="s">
        <v>278</v>
      </c>
      <c r="D73" s="2">
        <v>1775329</v>
      </c>
      <c r="E73" s="4" t="s">
        <v>285</v>
      </c>
      <c r="F73" s="4" t="s">
        <v>286</v>
      </c>
      <c r="G73" s="4" t="s">
        <v>47</v>
      </c>
      <c r="H73" s="4" t="s">
        <v>47</v>
      </c>
      <c r="I73" s="4" t="s">
        <v>47</v>
      </c>
      <c r="J73" s="4" t="s">
        <v>246</v>
      </c>
      <c r="K73" s="4" t="s">
        <v>49</v>
      </c>
      <c r="L73" s="3">
        <v>46113</v>
      </c>
      <c r="M73" s="4" t="s">
        <v>50</v>
      </c>
      <c r="N73" s="4" t="s">
        <v>47</v>
      </c>
      <c r="O73" s="4" t="s">
        <v>51</v>
      </c>
      <c r="P73" s="4" t="s">
        <v>88</v>
      </c>
      <c r="Q73" s="2">
        <v>1</v>
      </c>
      <c r="R73" s="2">
        <v>17</v>
      </c>
      <c r="S73" s="4" t="s">
        <v>52</v>
      </c>
      <c r="T73" s="4" t="s">
        <v>47</v>
      </c>
      <c r="U73" s="4" t="s">
        <v>47</v>
      </c>
      <c r="V73" s="5">
        <v>15</v>
      </c>
      <c r="W73" s="5">
        <v>1941.36</v>
      </c>
      <c r="X73" s="5">
        <v>100</v>
      </c>
      <c r="Y73" s="5">
        <v>291.24</v>
      </c>
      <c r="Z73" s="5">
        <v>0</v>
      </c>
      <c r="AA73" s="5">
        <v>0</v>
      </c>
      <c r="AB73" s="4" t="s">
        <v>250</v>
      </c>
      <c r="AC73" s="4" t="s">
        <v>47</v>
      </c>
      <c r="AD73" s="5">
        <v>0</v>
      </c>
      <c r="AE73" s="4" t="s">
        <v>251</v>
      </c>
      <c r="AF73" s="3">
        <v>46113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247</v>
      </c>
    </row>
    <row r="74" spans="1:43" x14ac:dyDescent="0.2">
      <c r="A74" s="2">
        <v>1891456</v>
      </c>
      <c r="B74" s="3">
        <v>46113</v>
      </c>
      <c r="C74" s="4" t="s">
        <v>184</v>
      </c>
      <c r="D74" s="2">
        <v>1831491</v>
      </c>
      <c r="E74" s="4" t="s">
        <v>287</v>
      </c>
      <c r="F74" s="4" t="s">
        <v>288</v>
      </c>
      <c r="G74" s="4" t="s">
        <v>47</v>
      </c>
      <c r="H74" s="4" t="s">
        <v>47</v>
      </c>
      <c r="I74" s="4" t="s">
        <v>47</v>
      </c>
      <c r="J74" s="4" t="s">
        <v>246</v>
      </c>
      <c r="K74" s="4" t="s">
        <v>49</v>
      </c>
      <c r="L74" s="3">
        <v>46113</v>
      </c>
      <c r="M74" s="4" t="s">
        <v>50</v>
      </c>
      <c r="N74" s="4" t="s">
        <v>47</v>
      </c>
      <c r="O74" s="4" t="s">
        <v>51</v>
      </c>
      <c r="P74" s="4" t="s">
        <v>88</v>
      </c>
      <c r="Q74" s="2">
        <v>1</v>
      </c>
      <c r="R74" s="2">
        <v>17</v>
      </c>
      <c r="S74" s="4" t="s">
        <v>52</v>
      </c>
      <c r="T74" s="4" t="s">
        <v>47</v>
      </c>
      <c r="U74" s="4" t="s">
        <v>47</v>
      </c>
      <c r="V74" s="5">
        <v>22</v>
      </c>
      <c r="W74" s="5">
        <v>2329.08</v>
      </c>
      <c r="X74" s="5">
        <v>100</v>
      </c>
      <c r="Y74" s="5">
        <v>512.4</v>
      </c>
      <c r="Z74" s="5">
        <v>0</v>
      </c>
      <c r="AA74" s="5">
        <v>0</v>
      </c>
      <c r="AB74" s="4" t="s">
        <v>250</v>
      </c>
      <c r="AC74" s="4" t="s">
        <v>47</v>
      </c>
      <c r="AD74" s="5">
        <v>0</v>
      </c>
      <c r="AE74" s="4" t="s">
        <v>251</v>
      </c>
      <c r="AF74" s="3">
        <v>46113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247</v>
      </c>
    </row>
    <row r="75" spans="1:43" x14ac:dyDescent="0.2">
      <c r="A75" s="2">
        <v>1891456</v>
      </c>
      <c r="B75" s="3">
        <v>46113</v>
      </c>
      <c r="C75" s="4" t="s">
        <v>184</v>
      </c>
      <c r="D75" s="2">
        <v>1831491</v>
      </c>
      <c r="E75" s="4" t="s">
        <v>289</v>
      </c>
      <c r="F75" s="4" t="s">
        <v>290</v>
      </c>
      <c r="G75" s="4" t="s">
        <v>47</v>
      </c>
      <c r="H75" s="4" t="s">
        <v>47</v>
      </c>
      <c r="I75" s="4" t="s">
        <v>47</v>
      </c>
      <c r="J75" s="4" t="s">
        <v>254</v>
      </c>
      <c r="K75" s="4" t="s">
        <v>255</v>
      </c>
      <c r="L75" s="3">
        <v>46113</v>
      </c>
      <c r="M75" s="4" t="s">
        <v>50</v>
      </c>
      <c r="N75" s="4" t="s">
        <v>47</v>
      </c>
      <c r="O75" s="4" t="s">
        <v>51</v>
      </c>
      <c r="P75" s="4" t="s">
        <v>88</v>
      </c>
      <c r="Q75" s="2">
        <v>2</v>
      </c>
      <c r="R75" s="2">
        <v>60</v>
      </c>
      <c r="S75" s="4" t="s">
        <v>266</v>
      </c>
      <c r="T75" s="4" t="s">
        <v>47</v>
      </c>
      <c r="U75" s="4" t="s">
        <v>47</v>
      </c>
      <c r="V75" s="5">
        <v>10</v>
      </c>
      <c r="W75" s="5">
        <v>26.88</v>
      </c>
      <c r="X75" s="5">
        <v>100</v>
      </c>
      <c r="Y75" s="5">
        <v>2.69</v>
      </c>
      <c r="Z75" s="4" t="s">
        <v>47</v>
      </c>
      <c r="AA75" s="5" t="s">
        <v>47</v>
      </c>
      <c r="AB75" s="4" t="s">
        <v>267</v>
      </c>
      <c r="AC75" s="4" t="s">
        <v>47</v>
      </c>
      <c r="AD75" s="5">
        <v>0</v>
      </c>
      <c r="AE75" s="4" t="s">
        <v>268</v>
      </c>
      <c r="AF75" s="3">
        <v>45808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47</v>
      </c>
    </row>
    <row r="76" spans="1:43" x14ac:dyDescent="0.2">
      <c r="A76" s="2">
        <v>1891456</v>
      </c>
      <c r="B76" s="3">
        <v>46113</v>
      </c>
      <c r="C76" s="4" t="s">
        <v>184</v>
      </c>
      <c r="D76" s="2">
        <v>1831491</v>
      </c>
      <c r="E76" s="4" t="s">
        <v>291</v>
      </c>
      <c r="F76" s="4" t="s">
        <v>292</v>
      </c>
      <c r="G76" s="4" t="s">
        <v>47</v>
      </c>
      <c r="H76" s="4" t="s">
        <v>47</v>
      </c>
      <c r="I76" s="4" t="s">
        <v>47</v>
      </c>
      <c r="J76" s="4" t="s">
        <v>254</v>
      </c>
      <c r="K76" s="4" t="s">
        <v>255</v>
      </c>
      <c r="L76" s="3">
        <v>46113</v>
      </c>
      <c r="M76" s="4" t="s">
        <v>50</v>
      </c>
      <c r="N76" s="4" t="s">
        <v>47</v>
      </c>
      <c r="O76" s="4" t="s">
        <v>51</v>
      </c>
      <c r="P76" s="4" t="s">
        <v>88</v>
      </c>
      <c r="Q76" s="2">
        <v>2</v>
      </c>
      <c r="R76" s="2">
        <v>60</v>
      </c>
      <c r="S76" s="4" t="s">
        <v>266</v>
      </c>
      <c r="T76" s="4" t="s">
        <v>47</v>
      </c>
      <c r="U76" s="4" t="s">
        <v>47</v>
      </c>
      <c r="V76" s="5">
        <v>10</v>
      </c>
      <c r="W76" s="5">
        <v>26.88</v>
      </c>
      <c r="X76" s="5">
        <v>100</v>
      </c>
      <c r="Y76" s="5">
        <v>2.69</v>
      </c>
      <c r="Z76" s="4" t="s">
        <v>47</v>
      </c>
      <c r="AA76" s="5" t="s">
        <v>47</v>
      </c>
      <c r="AB76" s="4" t="s">
        <v>267</v>
      </c>
      <c r="AC76" s="4" t="s">
        <v>47</v>
      </c>
      <c r="AD76" s="5">
        <v>0</v>
      </c>
      <c r="AE76" s="4" t="s">
        <v>268</v>
      </c>
      <c r="AF76" s="3">
        <v>45808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47</v>
      </c>
    </row>
    <row r="77" spans="1:43" x14ac:dyDescent="0.2">
      <c r="A77" s="2">
        <v>1891456</v>
      </c>
      <c r="B77" s="3">
        <v>46113</v>
      </c>
      <c r="C77" s="4" t="s">
        <v>184</v>
      </c>
      <c r="D77" s="2">
        <v>1831491</v>
      </c>
      <c r="E77" s="4" t="s">
        <v>293</v>
      </c>
      <c r="F77" s="4" t="s">
        <v>294</v>
      </c>
      <c r="G77" s="4" t="s">
        <v>47</v>
      </c>
      <c r="H77" s="4" t="s">
        <v>47</v>
      </c>
      <c r="I77" s="4" t="s">
        <v>47</v>
      </c>
      <c r="J77" s="4" t="s">
        <v>254</v>
      </c>
      <c r="K77" s="4" t="s">
        <v>255</v>
      </c>
      <c r="L77" s="3">
        <v>46113</v>
      </c>
      <c r="M77" s="4" t="s">
        <v>50</v>
      </c>
      <c r="N77" s="4" t="s">
        <v>47</v>
      </c>
      <c r="O77" s="4" t="s">
        <v>51</v>
      </c>
      <c r="P77" s="4" t="s">
        <v>88</v>
      </c>
      <c r="Q77" s="2">
        <v>1</v>
      </c>
      <c r="R77" s="2">
        <v>60</v>
      </c>
      <c r="S77" s="4" t="s">
        <v>266</v>
      </c>
      <c r="T77" s="4" t="s">
        <v>47</v>
      </c>
      <c r="U77" s="4" t="s">
        <v>47</v>
      </c>
      <c r="V77" s="5">
        <v>10</v>
      </c>
      <c r="W77" s="5">
        <v>13.93</v>
      </c>
      <c r="X77" s="5">
        <v>100</v>
      </c>
      <c r="Y77" s="5">
        <v>1.39</v>
      </c>
      <c r="Z77" s="4" t="s">
        <v>47</v>
      </c>
      <c r="AA77" s="5" t="s">
        <v>47</v>
      </c>
      <c r="AB77" s="4" t="s">
        <v>267</v>
      </c>
      <c r="AC77" s="4" t="s">
        <v>47</v>
      </c>
      <c r="AD77" s="5">
        <v>0</v>
      </c>
      <c r="AE77" s="4" t="s">
        <v>268</v>
      </c>
      <c r="AF77" s="3">
        <v>45809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47</v>
      </c>
    </row>
    <row r="78" spans="1:43" x14ac:dyDescent="0.2">
      <c r="A78" s="2">
        <v>1891456</v>
      </c>
      <c r="B78" s="3">
        <v>46113</v>
      </c>
      <c r="C78" s="4" t="s">
        <v>184</v>
      </c>
      <c r="D78" s="2">
        <v>1831491</v>
      </c>
      <c r="E78" s="4" t="s">
        <v>295</v>
      </c>
      <c r="F78" s="4" t="s">
        <v>296</v>
      </c>
      <c r="G78" s="4" t="s">
        <v>47</v>
      </c>
      <c r="H78" s="4" t="s">
        <v>47</v>
      </c>
      <c r="I78" s="4" t="s">
        <v>47</v>
      </c>
      <c r="J78" s="4" t="s">
        <v>254</v>
      </c>
      <c r="K78" s="4" t="s">
        <v>255</v>
      </c>
      <c r="L78" s="3">
        <v>46113</v>
      </c>
      <c r="M78" s="4" t="s">
        <v>50</v>
      </c>
      <c r="N78" s="4" t="s">
        <v>47</v>
      </c>
      <c r="O78" s="4" t="s">
        <v>51</v>
      </c>
      <c r="P78" s="4" t="s">
        <v>88</v>
      </c>
      <c r="Q78" s="2">
        <v>6</v>
      </c>
      <c r="R78" s="2">
        <v>60</v>
      </c>
      <c r="S78" s="4" t="s">
        <v>266</v>
      </c>
      <c r="T78" s="4" t="s">
        <v>47</v>
      </c>
      <c r="U78" s="4" t="s">
        <v>47</v>
      </c>
      <c r="V78" s="5">
        <v>10</v>
      </c>
      <c r="W78" s="5">
        <v>46.8</v>
      </c>
      <c r="X78" s="5">
        <v>100</v>
      </c>
      <c r="Y78" s="5">
        <v>4.68</v>
      </c>
      <c r="Z78" s="4" t="s">
        <v>47</v>
      </c>
      <c r="AA78" s="5" t="s">
        <v>47</v>
      </c>
      <c r="AB78" s="4" t="s">
        <v>267</v>
      </c>
      <c r="AC78" s="4" t="s">
        <v>47</v>
      </c>
      <c r="AD78" s="5">
        <v>0</v>
      </c>
      <c r="AE78" s="4" t="s">
        <v>268</v>
      </c>
      <c r="AF78" s="3">
        <v>45809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spans="1:43" x14ac:dyDescent="0.2">
      <c r="A79" s="2">
        <v>1891456</v>
      </c>
      <c r="B79" s="3">
        <v>46113</v>
      </c>
      <c r="C79" s="4" t="s">
        <v>184</v>
      </c>
      <c r="D79" s="2">
        <v>1831491</v>
      </c>
      <c r="E79" s="4" t="s">
        <v>297</v>
      </c>
      <c r="F79" s="4" t="s">
        <v>298</v>
      </c>
      <c r="G79" s="4" t="s">
        <v>47</v>
      </c>
      <c r="H79" s="4" t="s">
        <v>47</v>
      </c>
      <c r="I79" s="4" t="s">
        <v>47</v>
      </c>
      <c r="J79" s="4" t="s">
        <v>254</v>
      </c>
      <c r="K79" s="4" t="s">
        <v>255</v>
      </c>
      <c r="L79" s="3">
        <v>46113</v>
      </c>
      <c r="M79" s="4" t="s">
        <v>50</v>
      </c>
      <c r="N79" s="4" t="s">
        <v>47</v>
      </c>
      <c r="O79" s="4" t="s">
        <v>51</v>
      </c>
      <c r="P79" s="4" t="s">
        <v>88</v>
      </c>
      <c r="Q79" s="2">
        <v>2</v>
      </c>
      <c r="R79" s="2">
        <v>60</v>
      </c>
      <c r="S79" s="4" t="s">
        <v>266</v>
      </c>
      <c r="T79" s="4" t="s">
        <v>47</v>
      </c>
      <c r="U79" s="4" t="s">
        <v>47</v>
      </c>
      <c r="V79" s="5">
        <v>10</v>
      </c>
      <c r="W79" s="5">
        <v>26.88</v>
      </c>
      <c r="X79" s="5">
        <v>100</v>
      </c>
      <c r="Y79" s="5">
        <v>2.69</v>
      </c>
      <c r="Z79" s="4" t="s">
        <v>47</v>
      </c>
      <c r="AA79" s="5" t="s">
        <v>47</v>
      </c>
      <c r="AB79" s="4" t="s">
        <v>267</v>
      </c>
      <c r="AC79" s="4" t="s">
        <v>47</v>
      </c>
      <c r="AD79" s="5">
        <v>0</v>
      </c>
      <c r="AE79" s="4" t="s">
        <v>268</v>
      </c>
      <c r="AF79" s="3">
        <v>45816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spans="1:43" x14ac:dyDescent="0.2">
      <c r="A80" s="2">
        <v>1891456</v>
      </c>
      <c r="B80" s="3">
        <v>46113</v>
      </c>
      <c r="C80" s="4" t="s">
        <v>184</v>
      </c>
      <c r="D80" s="2">
        <v>1831491</v>
      </c>
      <c r="E80" s="4" t="s">
        <v>299</v>
      </c>
      <c r="F80" s="4" t="s">
        <v>300</v>
      </c>
      <c r="G80" s="4" t="s">
        <v>47</v>
      </c>
      <c r="H80" s="4" t="s">
        <v>47</v>
      </c>
      <c r="I80" s="4" t="s">
        <v>47</v>
      </c>
      <c r="J80" s="4" t="s">
        <v>254</v>
      </c>
      <c r="K80" s="4" t="s">
        <v>255</v>
      </c>
      <c r="L80" s="3">
        <v>46113</v>
      </c>
      <c r="M80" s="4" t="s">
        <v>50</v>
      </c>
      <c r="N80" s="4" t="s">
        <v>47</v>
      </c>
      <c r="O80" s="4" t="s">
        <v>51</v>
      </c>
      <c r="P80" s="4" t="s">
        <v>88</v>
      </c>
      <c r="Q80" s="2">
        <v>1</v>
      </c>
      <c r="R80" s="2">
        <v>60</v>
      </c>
      <c r="S80" s="4" t="s">
        <v>266</v>
      </c>
      <c r="T80" s="4" t="s">
        <v>47</v>
      </c>
      <c r="U80" s="4" t="s">
        <v>47</v>
      </c>
      <c r="V80" s="5">
        <v>10</v>
      </c>
      <c r="W80" s="5">
        <v>13.93</v>
      </c>
      <c r="X80" s="5">
        <v>100</v>
      </c>
      <c r="Y80" s="5">
        <v>1.39</v>
      </c>
      <c r="Z80" s="4" t="s">
        <v>47</v>
      </c>
      <c r="AA80" s="5" t="s">
        <v>47</v>
      </c>
      <c r="AB80" s="4" t="s">
        <v>267</v>
      </c>
      <c r="AC80" s="4" t="s">
        <v>47</v>
      </c>
      <c r="AD80" s="5">
        <v>0</v>
      </c>
      <c r="AE80" s="4" t="s">
        <v>268</v>
      </c>
      <c r="AF80" s="3">
        <v>45816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  <row r="81" spans="1:43" x14ac:dyDescent="0.2">
      <c r="A81" s="2">
        <v>1891456</v>
      </c>
      <c r="B81" s="3">
        <v>46113</v>
      </c>
      <c r="C81" s="4" t="s">
        <v>184</v>
      </c>
      <c r="D81" s="2">
        <v>1831491</v>
      </c>
      <c r="E81" s="4" t="s">
        <v>301</v>
      </c>
      <c r="F81" s="4" t="s">
        <v>302</v>
      </c>
      <c r="G81" s="4" t="s">
        <v>47</v>
      </c>
      <c r="H81" s="4" t="s">
        <v>47</v>
      </c>
      <c r="I81" s="4" t="s">
        <v>47</v>
      </c>
      <c r="J81" s="4" t="s">
        <v>254</v>
      </c>
      <c r="K81" s="4" t="s">
        <v>255</v>
      </c>
      <c r="L81" s="3">
        <v>46113</v>
      </c>
      <c r="M81" s="4" t="s">
        <v>50</v>
      </c>
      <c r="N81" s="4" t="s">
        <v>47</v>
      </c>
      <c r="O81" s="4" t="s">
        <v>51</v>
      </c>
      <c r="P81" s="4" t="s">
        <v>88</v>
      </c>
      <c r="Q81" s="2">
        <v>1</v>
      </c>
      <c r="R81" s="2">
        <v>60</v>
      </c>
      <c r="S81" s="4" t="s">
        <v>266</v>
      </c>
      <c r="T81" s="4" t="s">
        <v>47</v>
      </c>
      <c r="U81" s="4" t="s">
        <v>47</v>
      </c>
      <c r="V81" s="5">
        <v>10</v>
      </c>
      <c r="W81" s="5">
        <v>13.93</v>
      </c>
      <c r="X81" s="5">
        <v>100</v>
      </c>
      <c r="Y81" s="5">
        <v>1.39</v>
      </c>
      <c r="Z81" s="4" t="s">
        <v>47</v>
      </c>
      <c r="AA81" s="5" t="s">
        <v>47</v>
      </c>
      <c r="AB81" s="4" t="s">
        <v>267</v>
      </c>
      <c r="AC81" s="4" t="s">
        <v>47</v>
      </c>
      <c r="AD81" s="5">
        <v>0</v>
      </c>
      <c r="AE81" s="4" t="s">
        <v>268</v>
      </c>
      <c r="AF81" s="3">
        <v>45839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47</v>
      </c>
    </row>
    <row r="82" spans="1:43" x14ac:dyDescent="0.2">
      <c r="A82" s="2">
        <v>1891456</v>
      </c>
      <c r="B82" s="3">
        <v>46113</v>
      </c>
      <c r="C82" s="4" t="s">
        <v>184</v>
      </c>
      <c r="D82" s="2">
        <v>1831491</v>
      </c>
      <c r="E82" s="4" t="s">
        <v>303</v>
      </c>
      <c r="F82" s="4" t="s">
        <v>304</v>
      </c>
      <c r="G82" s="4" t="s">
        <v>47</v>
      </c>
      <c r="H82" s="4" t="s">
        <v>47</v>
      </c>
      <c r="I82" s="4" t="s">
        <v>47</v>
      </c>
      <c r="J82" s="4" t="s">
        <v>254</v>
      </c>
      <c r="K82" s="4" t="s">
        <v>255</v>
      </c>
      <c r="L82" s="3">
        <v>46113</v>
      </c>
      <c r="M82" s="4" t="s">
        <v>50</v>
      </c>
      <c r="N82" s="4" t="s">
        <v>47</v>
      </c>
      <c r="O82" s="4" t="s">
        <v>51</v>
      </c>
      <c r="P82" s="4" t="s">
        <v>88</v>
      </c>
      <c r="Q82" s="2">
        <v>1</v>
      </c>
      <c r="R82" s="2">
        <v>60</v>
      </c>
      <c r="S82" s="4" t="s">
        <v>266</v>
      </c>
      <c r="T82" s="4" t="s">
        <v>47</v>
      </c>
      <c r="U82" s="4" t="s">
        <v>47</v>
      </c>
      <c r="V82" s="5">
        <v>10</v>
      </c>
      <c r="W82" s="5">
        <v>13.93</v>
      </c>
      <c r="X82" s="5">
        <v>100</v>
      </c>
      <c r="Y82" s="5">
        <v>1.39</v>
      </c>
      <c r="Z82" s="4" t="s">
        <v>47</v>
      </c>
      <c r="AA82" s="5" t="s">
        <v>47</v>
      </c>
      <c r="AB82" s="4" t="s">
        <v>267</v>
      </c>
      <c r="AC82" s="4" t="s">
        <v>47</v>
      </c>
      <c r="AD82" s="5">
        <v>0</v>
      </c>
      <c r="AE82" s="4" t="s">
        <v>268</v>
      </c>
      <c r="AF82" s="3">
        <v>45839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47</v>
      </c>
    </row>
    <row r="83" spans="1:43" x14ac:dyDescent="0.2">
      <c r="A83" s="2">
        <v>1891456</v>
      </c>
      <c r="B83" s="3">
        <v>46113</v>
      </c>
      <c r="C83" s="4" t="s">
        <v>184</v>
      </c>
      <c r="D83" s="2">
        <v>1831491</v>
      </c>
      <c r="E83" s="4" t="s">
        <v>305</v>
      </c>
      <c r="F83" s="4" t="s">
        <v>306</v>
      </c>
      <c r="G83" s="4" t="s">
        <v>47</v>
      </c>
      <c r="H83" s="4" t="s">
        <v>47</v>
      </c>
      <c r="I83" s="4" t="s">
        <v>47</v>
      </c>
      <c r="J83" s="4" t="s">
        <v>254</v>
      </c>
      <c r="K83" s="4" t="s">
        <v>255</v>
      </c>
      <c r="L83" s="3">
        <v>46113</v>
      </c>
      <c r="M83" s="4" t="s">
        <v>50</v>
      </c>
      <c r="N83" s="4" t="s">
        <v>47</v>
      </c>
      <c r="O83" s="4" t="s">
        <v>51</v>
      </c>
      <c r="P83" s="4" t="s">
        <v>88</v>
      </c>
      <c r="Q83" s="2">
        <v>1</v>
      </c>
      <c r="R83" s="2">
        <v>60</v>
      </c>
      <c r="S83" s="4" t="s">
        <v>266</v>
      </c>
      <c r="T83" s="4" t="s">
        <v>47</v>
      </c>
      <c r="U83" s="4" t="s">
        <v>47</v>
      </c>
      <c r="V83" s="5">
        <v>10</v>
      </c>
      <c r="W83" s="5">
        <v>14.93</v>
      </c>
      <c r="X83" s="5">
        <v>100</v>
      </c>
      <c r="Y83" s="5">
        <v>1.49</v>
      </c>
      <c r="Z83" s="4" t="s">
        <v>47</v>
      </c>
      <c r="AA83" s="5" t="s">
        <v>47</v>
      </c>
      <c r="AB83" s="4" t="s">
        <v>267</v>
      </c>
      <c r="AC83" s="4" t="s">
        <v>47</v>
      </c>
      <c r="AD83" s="5">
        <v>0</v>
      </c>
      <c r="AE83" s="4" t="s">
        <v>268</v>
      </c>
      <c r="AF83" s="3">
        <v>45870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spans="1:43" x14ac:dyDescent="0.2">
      <c r="A84" s="2">
        <v>1891456</v>
      </c>
      <c r="B84" s="3">
        <v>46113</v>
      </c>
      <c r="C84" s="4" t="s">
        <v>184</v>
      </c>
      <c r="D84" s="2">
        <v>1831491</v>
      </c>
      <c r="E84" s="4" t="s">
        <v>307</v>
      </c>
      <c r="F84" s="4" t="s">
        <v>308</v>
      </c>
      <c r="G84" s="4" t="s">
        <v>47</v>
      </c>
      <c r="H84" s="4" t="s">
        <v>47</v>
      </c>
      <c r="I84" s="4" t="s">
        <v>47</v>
      </c>
      <c r="J84" s="4" t="s">
        <v>254</v>
      </c>
      <c r="K84" s="4" t="s">
        <v>255</v>
      </c>
      <c r="L84" s="3">
        <v>46113</v>
      </c>
      <c r="M84" s="4" t="s">
        <v>50</v>
      </c>
      <c r="N84" s="4" t="s">
        <v>47</v>
      </c>
      <c r="O84" s="4" t="s">
        <v>51</v>
      </c>
      <c r="P84" s="4" t="s">
        <v>88</v>
      </c>
      <c r="Q84" s="2">
        <v>1</v>
      </c>
      <c r="R84" s="2">
        <v>60</v>
      </c>
      <c r="S84" s="4" t="s">
        <v>266</v>
      </c>
      <c r="T84" s="4" t="s">
        <v>47</v>
      </c>
      <c r="U84" s="4" t="s">
        <v>47</v>
      </c>
      <c r="V84" s="5">
        <v>10</v>
      </c>
      <c r="W84" s="5">
        <v>14.93</v>
      </c>
      <c r="X84" s="5">
        <v>100</v>
      </c>
      <c r="Y84" s="5">
        <v>1.49</v>
      </c>
      <c r="Z84" s="4" t="s">
        <v>47</v>
      </c>
      <c r="AA84" s="5" t="s">
        <v>47</v>
      </c>
      <c r="AB84" s="4" t="s">
        <v>267</v>
      </c>
      <c r="AC84" s="4" t="s">
        <v>47</v>
      </c>
      <c r="AD84" s="5">
        <v>0</v>
      </c>
      <c r="AE84" s="4" t="s">
        <v>268</v>
      </c>
      <c r="AF84" s="3">
        <v>45870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47</v>
      </c>
    </row>
    <row r="85" spans="1:43" x14ac:dyDescent="0.2">
      <c r="A85" s="2">
        <v>1891456</v>
      </c>
      <c r="B85" s="3">
        <v>46113</v>
      </c>
      <c r="C85" s="4" t="s">
        <v>184</v>
      </c>
      <c r="D85" s="2">
        <v>1831491</v>
      </c>
      <c r="E85" s="4" t="s">
        <v>309</v>
      </c>
      <c r="F85" s="4" t="s">
        <v>310</v>
      </c>
      <c r="G85" s="4" t="s">
        <v>47</v>
      </c>
      <c r="H85" s="4" t="s">
        <v>47</v>
      </c>
      <c r="I85" s="4" t="s">
        <v>47</v>
      </c>
      <c r="J85" s="4" t="s">
        <v>254</v>
      </c>
      <c r="K85" s="4" t="s">
        <v>255</v>
      </c>
      <c r="L85" s="3">
        <v>46113</v>
      </c>
      <c r="M85" s="4" t="s">
        <v>50</v>
      </c>
      <c r="N85" s="4" t="s">
        <v>47</v>
      </c>
      <c r="O85" s="4" t="s">
        <v>51</v>
      </c>
      <c r="P85" s="4" t="s">
        <v>88</v>
      </c>
      <c r="Q85" s="2">
        <v>1</v>
      </c>
      <c r="R85" s="2">
        <v>60</v>
      </c>
      <c r="S85" s="4" t="s">
        <v>266</v>
      </c>
      <c r="T85" s="4" t="s">
        <v>47</v>
      </c>
      <c r="U85" s="4" t="s">
        <v>47</v>
      </c>
      <c r="V85" s="5">
        <v>10</v>
      </c>
      <c r="W85" s="5">
        <v>14.93</v>
      </c>
      <c r="X85" s="5">
        <v>100</v>
      </c>
      <c r="Y85" s="5">
        <v>1.49</v>
      </c>
      <c r="Z85" s="4" t="s">
        <v>47</v>
      </c>
      <c r="AA85" s="5" t="s">
        <v>47</v>
      </c>
      <c r="AB85" s="4" t="s">
        <v>267</v>
      </c>
      <c r="AC85" s="4" t="s">
        <v>47</v>
      </c>
      <c r="AD85" s="5">
        <v>0</v>
      </c>
      <c r="AE85" s="4" t="s">
        <v>268</v>
      </c>
      <c r="AF85" s="3">
        <v>45962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spans="1:43" x14ac:dyDescent="0.2">
      <c r="A86" s="2">
        <v>1891456</v>
      </c>
      <c r="B86" s="3">
        <v>46113</v>
      </c>
      <c r="C86" s="4" t="s">
        <v>184</v>
      </c>
      <c r="D86" s="2">
        <v>1831491</v>
      </c>
      <c r="E86" s="4" t="s">
        <v>311</v>
      </c>
      <c r="F86" s="4" t="s">
        <v>312</v>
      </c>
      <c r="G86" s="4" t="s">
        <v>47</v>
      </c>
      <c r="H86" s="4" t="s">
        <v>47</v>
      </c>
      <c r="I86" s="4" t="s">
        <v>47</v>
      </c>
      <c r="J86" s="4" t="s">
        <v>254</v>
      </c>
      <c r="K86" s="4" t="s">
        <v>255</v>
      </c>
      <c r="L86" s="3">
        <v>46113</v>
      </c>
      <c r="M86" s="4" t="s">
        <v>50</v>
      </c>
      <c r="N86" s="4" t="s">
        <v>47</v>
      </c>
      <c r="O86" s="4" t="s">
        <v>51</v>
      </c>
      <c r="P86" s="4" t="s">
        <v>88</v>
      </c>
      <c r="Q86" s="2">
        <v>2</v>
      </c>
      <c r="R86" s="2">
        <v>60</v>
      </c>
      <c r="S86" s="4" t="s">
        <v>266</v>
      </c>
      <c r="T86" s="4" t="s">
        <v>47</v>
      </c>
      <c r="U86" s="4" t="s">
        <v>47</v>
      </c>
      <c r="V86" s="5">
        <v>10</v>
      </c>
      <c r="W86" s="5">
        <v>26.88</v>
      </c>
      <c r="X86" s="5">
        <v>100</v>
      </c>
      <c r="Y86" s="5">
        <v>2.69</v>
      </c>
      <c r="Z86" s="4" t="s">
        <v>47</v>
      </c>
      <c r="AA86" s="5" t="s">
        <v>47</v>
      </c>
      <c r="AB86" s="4" t="s">
        <v>267</v>
      </c>
      <c r="AC86" s="4" t="s">
        <v>47</v>
      </c>
      <c r="AD86" s="5">
        <v>0</v>
      </c>
      <c r="AE86" s="4" t="s">
        <v>268</v>
      </c>
      <c r="AF86" s="3">
        <v>45962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spans="1:43" x14ac:dyDescent="0.2">
      <c r="A87" s="2">
        <v>1891456</v>
      </c>
      <c r="B87" s="3">
        <v>46113</v>
      </c>
      <c r="C87" s="4" t="s">
        <v>184</v>
      </c>
      <c r="D87" s="2">
        <v>1831491</v>
      </c>
      <c r="E87" s="4" t="s">
        <v>313</v>
      </c>
      <c r="F87" s="4" t="s">
        <v>314</v>
      </c>
      <c r="G87" s="4" t="s">
        <v>47</v>
      </c>
      <c r="H87" s="4" t="s">
        <v>47</v>
      </c>
      <c r="I87" s="4" t="s">
        <v>47</v>
      </c>
      <c r="J87" s="4" t="s">
        <v>254</v>
      </c>
      <c r="K87" s="4" t="s">
        <v>255</v>
      </c>
      <c r="L87" s="3">
        <v>46113</v>
      </c>
      <c r="M87" s="4" t="s">
        <v>50</v>
      </c>
      <c r="N87" s="4" t="s">
        <v>47</v>
      </c>
      <c r="O87" s="4" t="s">
        <v>51</v>
      </c>
      <c r="P87" s="4" t="s">
        <v>88</v>
      </c>
      <c r="Q87" s="2">
        <v>1</v>
      </c>
      <c r="R87" s="2">
        <v>60</v>
      </c>
      <c r="S87" s="4" t="s">
        <v>266</v>
      </c>
      <c r="T87" s="4" t="s">
        <v>47</v>
      </c>
      <c r="U87" s="4" t="s">
        <v>47</v>
      </c>
      <c r="V87" s="5">
        <v>10</v>
      </c>
      <c r="W87" s="5">
        <v>14.93</v>
      </c>
      <c r="X87" s="5">
        <v>100</v>
      </c>
      <c r="Y87" s="5">
        <v>1.49</v>
      </c>
      <c r="Z87" s="4" t="s">
        <v>47</v>
      </c>
      <c r="AA87" s="5" t="s">
        <v>47</v>
      </c>
      <c r="AB87" s="4" t="s">
        <v>267</v>
      </c>
      <c r="AC87" s="4" t="s">
        <v>47</v>
      </c>
      <c r="AD87" s="5">
        <v>0</v>
      </c>
      <c r="AE87" s="4" t="s">
        <v>268</v>
      </c>
      <c r="AF87" s="3">
        <v>45901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47</v>
      </c>
    </row>
    <row r="88" spans="1:43" x14ac:dyDescent="0.2">
      <c r="A88" s="2">
        <v>1891456</v>
      </c>
      <c r="B88" s="3">
        <v>46113</v>
      </c>
      <c r="C88" s="4" t="s">
        <v>184</v>
      </c>
      <c r="D88" s="2">
        <v>1831491</v>
      </c>
      <c r="E88" s="4" t="s">
        <v>315</v>
      </c>
      <c r="F88" s="4" t="s">
        <v>316</v>
      </c>
      <c r="G88" s="4" t="s">
        <v>47</v>
      </c>
      <c r="H88" s="4" t="s">
        <v>47</v>
      </c>
      <c r="I88" s="4" t="s">
        <v>47</v>
      </c>
      <c r="J88" s="4" t="s">
        <v>254</v>
      </c>
      <c r="K88" s="4" t="s">
        <v>255</v>
      </c>
      <c r="L88" s="3">
        <v>46113</v>
      </c>
      <c r="M88" s="4" t="s">
        <v>50</v>
      </c>
      <c r="N88" s="4" t="s">
        <v>47</v>
      </c>
      <c r="O88" s="4" t="s">
        <v>51</v>
      </c>
      <c r="P88" s="4" t="s">
        <v>88</v>
      </c>
      <c r="Q88" s="2">
        <v>1</v>
      </c>
      <c r="R88" s="2">
        <v>60</v>
      </c>
      <c r="S88" s="4" t="s">
        <v>266</v>
      </c>
      <c r="T88" s="4" t="s">
        <v>47</v>
      </c>
      <c r="U88" s="4" t="s">
        <v>47</v>
      </c>
      <c r="V88" s="5">
        <v>10</v>
      </c>
      <c r="W88" s="5">
        <v>14.93</v>
      </c>
      <c r="X88" s="5">
        <v>100</v>
      </c>
      <c r="Y88" s="5">
        <v>1.49</v>
      </c>
      <c r="Z88" s="4" t="s">
        <v>47</v>
      </c>
      <c r="AA88" s="5" t="s">
        <v>47</v>
      </c>
      <c r="AB88" s="4" t="s">
        <v>267</v>
      </c>
      <c r="AC88" s="4" t="s">
        <v>47</v>
      </c>
      <c r="AD88" s="5">
        <v>0</v>
      </c>
      <c r="AE88" s="4" t="s">
        <v>268</v>
      </c>
      <c r="AF88" s="3">
        <v>45962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47</v>
      </c>
      <c r="AO88" s="4" t="s">
        <v>47</v>
      </c>
      <c r="AP88" s="4" t="s">
        <v>47</v>
      </c>
      <c r="AQ88" s="4" t="s">
        <v>47</v>
      </c>
    </row>
    <row r="89" spans="1:43" x14ac:dyDescent="0.2">
      <c r="A89" s="2">
        <v>1891456</v>
      </c>
      <c r="B89" s="3">
        <v>46113</v>
      </c>
      <c r="C89" s="4" t="s">
        <v>184</v>
      </c>
      <c r="D89" s="2">
        <v>1831491</v>
      </c>
      <c r="E89" s="4" t="s">
        <v>317</v>
      </c>
      <c r="F89" s="4" t="s">
        <v>318</v>
      </c>
      <c r="G89" s="4" t="s">
        <v>47</v>
      </c>
      <c r="H89" s="4" t="s">
        <v>47</v>
      </c>
      <c r="I89" s="4" t="s">
        <v>47</v>
      </c>
      <c r="J89" s="4" t="s">
        <v>254</v>
      </c>
      <c r="K89" s="4" t="s">
        <v>255</v>
      </c>
      <c r="L89" s="3">
        <v>46113</v>
      </c>
      <c r="M89" s="4" t="s">
        <v>50</v>
      </c>
      <c r="N89" s="4" t="s">
        <v>47</v>
      </c>
      <c r="O89" s="4" t="s">
        <v>51</v>
      </c>
      <c r="P89" s="4" t="s">
        <v>88</v>
      </c>
      <c r="Q89" s="2">
        <v>2</v>
      </c>
      <c r="R89" s="2">
        <v>60</v>
      </c>
      <c r="S89" s="4" t="s">
        <v>266</v>
      </c>
      <c r="T89" s="4" t="s">
        <v>47</v>
      </c>
      <c r="U89" s="4" t="s">
        <v>47</v>
      </c>
      <c r="V89" s="5">
        <v>10</v>
      </c>
      <c r="W89" s="5">
        <v>26.88</v>
      </c>
      <c r="X89" s="5">
        <v>100</v>
      </c>
      <c r="Y89" s="5">
        <v>2.69</v>
      </c>
      <c r="Z89" s="4" t="s">
        <v>47</v>
      </c>
      <c r="AA89" s="5" t="s">
        <v>47</v>
      </c>
      <c r="AB89" s="4" t="s">
        <v>267</v>
      </c>
      <c r="AC89" s="4" t="s">
        <v>47</v>
      </c>
      <c r="AD89" s="5">
        <v>0</v>
      </c>
      <c r="AE89" s="4" t="s">
        <v>268</v>
      </c>
      <c r="AF89" s="3">
        <v>45962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47</v>
      </c>
      <c r="AO89" s="4" t="s">
        <v>47</v>
      </c>
      <c r="AP89" s="4" t="s">
        <v>47</v>
      </c>
      <c r="AQ89" s="4" t="s">
        <v>47</v>
      </c>
    </row>
    <row r="90" spans="1:43" x14ac:dyDescent="0.2">
      <c r="A90" s="2">
        <v>1891456</v>
      </c>
      <c r="B90" s="3">
        <v>46113</v>
      </c>
      <c r="C90" s="4" t="s">
        <v>184</v>
      </c>
      <c r="D90" s="2">
        <v>1831491</v>
      </c>
      <c r="E90" s="4" t="s">
        <v>319</v>
      </c>
      <c r="F90" s="4" t="s">
        <v>320</v>
      </c>
      <c r="G90" s="4" t="s">
        <v>47</v>
      </c>
      <c r="H90" s="4" t="s">
        <v>47</v>
      </c>
      <c r="I90" s="4" t="s">
        <v>47</v>
      </c>
      <c r="J90" s="4" t="s">
        <v>254</v>
      </c>
      <c r="K90" s="4" t="s">
        <v>255</v>
      </c>
      <c r="L90" s="3">
        <v>46113</v>
      </c>
      <c r="M90" s="4" t="s">
        <v>50</v>
      </c>
      <c r="N90" s="4" t="s">
        <v>47</v>
      </c>
      <c r="O90" s="4" t="s">
        <v>51</v>
      </c>
      <c r="P90" s="4" t="s">
        <v>88</v>
      </c>
      <c r="Q90" s="2">
        <v>1</v>
      </c>
      <c r="R90" s="2">
        <v>60</v>
      </c>
      <c r="S90" s="4" t="s">
        <v>266</v>
      </c>
      <c r="T90" s="4" t="s">
        <v>47</v>
      </c>
      <c r="U90" s="4" t="s">
        <v>47</v>
      </c>
      <c r="V90" s="5">
        <v>10</v>
      </c>
      <c r="W90" s="5">
        <v>14.93</v>
      </c>
      <c r="X90" s="5">
        <v>100</v>
      </c>
      <c r="Y90" s="5">
        <v>1.49</v>
      </c>
      <c r="Z90" s="4" t="s">
        <v>47</v>
      </c>
      <c r="AA90" s="5" t="s">
        <v>47</v>
      </c>
      <c r="AB90" s="4" t="s">
        <v>267</v>
      </c>
      <c r="AC90" s="4" t="s">
        <v>47</v>
      </c>
      <c r="AD90" s="5">
        <v>0</v>
      </c>
      <c r="AE90" s="4" t="s">
        <v>268</v>
      </c>
      <c r="AF90" s="3">
        <v>46023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47</v>
      </c>
      <c r="AO90" s="4" t="s">
        <v>47</v>
      </c>
      <c r="AP90" s="4" t="s">
        <v>47</v>
      </c>
      <c r="AQ90" s="4" t="s">
        <v>47</v>
      </c>
    </row>
    <row r="91" spans="1:43" x14ac:dyDescent="0.2">
      <c r="A91" s="2">
        <v>1891456</v>
      </c>
      <c r="B91" s="3">
        <v>46113</v>
      </c>
      <c r="C91" s="4" t="s">
        <v>184</v>
      </c>
      <c r="D91" s="2">
        <v>1831491</v>
      </c>
      <c r="E91" s="4" t="s">
        <v>321</v>
      </c>
      <c r="F91" s="4" t="s">
        <v>322</v>
      </c>
      <c r="G91" s="4" t="s">
        <v>47</v>
      </c>
      <c r="H91" s="4" t="s">
        <v>47</v>
      </c>
      <c r="I91" s="4" t="s">
        <v>47</v>
      </c>
      <c r="J91" s="4" t="s">
        <v>254</v>
      </c>
      <c r="K91" s="4" t="s">
        <v>255</v>
      </c>
      <c r="L91" s="3">
        <v>46113</v>
      </c>
      <c r="M91" s="4" t="s">
        <v>50</v>
      </c>
      <c r="N91" s="4" t="s">
        <v>47</v>
      </c>
      <c r="O91" s="4" t="s">
        <v>51</v>
      </c>
      <c r="P91" s="4" t="s">
        <v>88</v>
      </c>
      <c r="Q91" s="2">
        <v>1</v>
      </c>
      <c r="R91" s="2">
        <v>60</v>
      </c>
      <c r="S91" s="4" t="s">
        <v>266</v>
      </c>
      <c r="T91" s="4" t="s">
        <v>47</v>
      </c>
      <c r="U91" s="4" t="s">
        <v>47</v>
      </c>
      <c r="V91" s="5">
        <v>10</v>
      </c>
      <c r="W91" s="5">
        <v>14.93</v>
      </c>
      <c r="X91" s="5">
        <v>100</v>
      </c>
      <c r="Y91" s="5">
        <v>1.49</v>
      </c>
      <c r="Z91" s="4" t="s">
        <v>47</v>
      </c>
      <c r="AA91" s="5" t="s">
        <v>47</v>
      </c>
      <c r="AB91" s="4" t="s">
        <v>267</v>
      </c>
      <c r="AC91" s="4" t="s">
        <v>47</v>
      </c>
      <c r="AD91" s="5">
        <v>0</v>
      </c>
      <c r="AE91" s="4" t="s">
        <v>268</v>
      </c>
      <c r="AF91" s="3">
        <v>46023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47</v>
      </c>
      <c r="AO91" s="4" t="s">
        <v>47</v>
      </c>
      <c r="AP91" s="4" t="s">
        <v>47</v>
      </c>
      <c r="AQ91" s="4" t="s">
        <v>47</v>
      </c>
    </row>
    <row r="92" spans="1:43" x14ac:dyDescent="0.2">
      <c r="A92" s="2">
        <v>1891456</v>
      </c>
      <c r="B92" s="3">
        <v>46113</v>
      </c>
      <c r="C92" s="4" t="s">
        <v>184</v>
      </c>
      <c r="D92" s="2">
        <v>1831491</v>
      </c>
      <c r="E92" s="4" t="s">
        <v>323</v>
      </c>
      <c r="F92" s="4" t="s">
        <v>324</v>
      </c>
      <c r="G92" s="4" t="s">
        <v>47</v>
      </c>
      <c r="H92" s="4" t="s">
        <v>47</v>
      </c>
      <c r="I92" s="4" t="s">
        <v>47</v>
      </c>
      <c r="J92" s="4" t="s">
        <v>254</v>
      </c>
      <c r="K92" s="4" t="s">
        <v>255</v>
      </c>
      <c r="L92" s="3">
        <v>46113</v>
      </c>
      <c r="M92" s="4" t="s">
        <v>50</v>
      </c>
      <c r="N92" s="4" t="s">
        <v>47</v>
      </c>
      <c r="O92" s="4" t="s">
        <v>51</v>
      </c>
      <c r="P92" s="4" t="s">
        <v>88</v>
      </c>
      <c r="Q92" s="2">
        <v>2</v>
      </c>
      <c r="R92" s="2">
        <v>60</v>
      </c>
      <c r="S92" s="4" t="s">
        <v>266</v>
      </c>
      <c r="T92" s="4" t="s">
        <v>47</v>
      </c>
      <c r="U92" s="4" t="s">
        <v>47</v>
      </c>
      <c r="V92" s="5">
        <v>10</v>
      </c>
      <c r="W92" s="5">
        <v>26.88</v>
      </c>
      <c r="X92" s="5">
        <v>100</v>
      </c>
      <c r="Y92" s="5">
        <v>2.69</v>
      </c>
      <c r="Z92" s="4" t="s">
        <v>47</v>
      </c>
      <c r="AA92" s="5" t="s">
        <v>47</v>
      </c>
      <c r="AB92" s="4" t="s">
        <v>267</v>
      </c>
      <c r="AC92" s="4" t="s">
        <v>47</v>
      </c>
      <c r="AD92" s="5">
        <v>0</v>
      </c>
      <c r="AE92" s="4" t="s">
        <v>268</v>
      </c>
      <c r="AF92" s="3">
        <v>45976</v>
      </c>
      <c r="AG92" s="4" t="s">
        <v>47</v>
      </c>
      <c r="AH92" s="4" t="s">
        <v>47</v>
      </c>
      <c r="AI92" s="4" t="s">
        <v>47</v>
      </c>
      <c r="AJ92" s="4" t="s">
        <v>47</v>
      </c>
      <c r="AK92" s="4" t="s">
        <v>47</v>
      </c>
      <c r="AL92" s="4" t="s">
        <v>47</v>
      </c>
      <c r="AM92" s="4" t="s">
        <v>47</v>
      </c>
      <c r="AN92" s="4" t="s">
        <v>47</v>
      </c>
      <c r="AO92" s="4" t="s">
        <v>47</v>
      </c>
      <c r="AP92" s="4" t="s">
        <v>47</v>
      </c>
      <c r="AQ92" s="4" t="s">
        <v>47</v>
      </c>
    </row>
    <row r="93" spans="1:43" x14ac:dyDescent="0.2">
      <c r="A93" s="2">
        <v>1891456</v>
      </c>
      <c r="B93" s="3">
        <v>46113</v>
      </c>
      <c r="C93" s="4" t="s">
        <v>184</v>
      </c>
      <c r="D93" s="2">
        <v>1831491</v>
      </c>
      <c r="E93" s="4" t="s">
        <v>325</v>
      </c>
      <c r="F93" s="4" t="s">
        <v>326</v>
      </c>
      <c r="G93" s="4" t="s">
        <v>47</v>
      </c>
      <c r="H93" s="4" t="s">
        <v>47</v>
      </c>
      <c r="I93" s="4" t="s">
        <v>47</v>
      </c>
      <c r="J93" s="4" t="s">
        <v>254</v>
      </c>
      <c r="K93" s="4" t="s">
        <v>255</v>
      </c>
      <c r="L93" s="3">
        <v>46113</v>
      </c>
      <c r="M93" s="4" t="s">
        <v>50</v>
      </c>
      <c r="N93" s="4" t="s">
        <v>47</v>
      </c>
      <c r="O93" s="4" t="s">
        <v>51</v>
      </c>
      <c r="P93" s="4" t="s">
        <v>88</v>
      </c>
      <c r="Q93" s="2">
        <v>1</v>
      </c>
      <c r="R93" s="2">
        <v>60</v>
      </c>
      <c r="S93" s="4" t="s">
        <v>266</v>
      </c>
      <c r="T93" s="4" t="s">
        <v>47</v>
      </c>
      <c r="U93" s="4" t="s">
        <v>47</v>
      </c>
      <c r="V93" s="5">
        <v>10</v>
      </c>
      <c r="W93" s="5">
        <v>14.93</v>
      </c>
      <c r="X93" s="5">
        <v>100</v>
      </c>
      <c r="Y93" s="5">
        <v>1.49</v>
      </c>
      <c r="Z93" s="4" t="s">
        <v>47</v>
      </c>
      <c r="AA93" s="5" t="s">
        <v>47</v>
      </c>
      <c r="AB93" s="4" t="s">
        <v>267</v>
      </c>
      <c r="AC93" s="4" t="s">
        <v>47</v>
      </c>
      <c r="AD93" s="5">
        <v>0</v>
      </c>
      <c r="AE93" s="4" t="s">
        <v>268</v>
      </c>
      <c r="AF93" s="3">
        <v>45978</v>
      </c>
      <c r="AG93" s="4" t="s">
        <v>47</v>
      </c>
      <c r="AH93" s="4" t="s">
        <v>47</v>
      </c>
      <c r="AI93" s="4" t="s">
        <v>47</v>
      </c>
      <c r="AJ93" s="4" t="s">
        <v>47</v>
      </c>
      <c r="AK93" s="4" t="s">
        <v>47</v>
      </c>
      <c r="AL93" s="4" t="s">
        <v>47</v>
      </c>
      <c r="AM93" s="4" t="s">
        <v>47</v>
      </c>
      <c r="AN93" s="4" t="s">
        <v>47</v>
      </c>
      <c r="AO93" s="4" t="s">
        <v>47</v>
      </c>
      <c r="AP93" s="4" t="s">
        <v>47</v>
      </c>
      <c r="AQ93" s="4" t="s">
        <v>47</v>
      </c>
    </row>
    <row r="94" spans="1:43" x14ac:dyDescent="0.2">
      <c r="A94" s="2">
        <v>1891456</v>
      </c>
      <c r="B94" s="3">
        <v>46113</v>
      </c>
      <c r="C94" s="4" t="s">
        <v>184</v>
      </c>
      <c r="D94" s="2">
        <v>1831491</v>
      </c>
      <c r="E94" s="4" t="s">
        <v>327</v>
      </c>
      <c r="F94" s="4" t="s">
        <v>328</v>
      </c>
      <c r="G94" s="4" t="s">
        <v>47</v>
      </c>
      <c r="H94" s="4" t="s">
        <v>47</v>
      </c>
      <c r="I94" s="4" t="s">
        <v>47</v>
      </c>
      <c r="J94" s="4" t="s">
        <v>254</v>
      </c>
      <c r="K94" s="4" t="s">
        <v>255</v>
      </c>
      <c r="L94" s="3">
        <v>46113</v>
      </c>
      <c r="M94" s="4" t="s">
        <v>50</v>
      </c>
      <c r="N94" s="4" t="s">
        <v>47</v>
      </c>
      <c r="O94" s="4" t="s">
        <v>51</v>
      </c>
      <c r="P94" s="4" t="s">
        <v>88</v>
      </c>
      <c r="Q94" s="2">
        <v>1</v>
      </c>
      <c r="R94" s="2">
        <v>60</v>
      </c>
      <c r="S94" s="4" t="s">
        <v>266</v>
      </c>
      <c r="T94" s="4" t="s">
        <v>47</v>
      </c>
      <c r="U94" s="4" t="s">
        <v>47</v>
      </c>
      <c r="V94" s="5">
        <v>10</v>
      </c>
      <c r="W94" s="5">
        <v>14.93</v>
      </c>
      <c r="X94" s="5">
        <v>100</v>
      </c>
      <c r="Y94" s="5">
        <v>1.49</v>
      </c>
      <c r="Z94" s="4" t="s">
        <v>47</v>
      </c>
      <c r="AA94" s="5" t="s">
        <v>47</v>
      </c>
      <c r="AB94" s="4" t="s">
        <v>267</v>
      </c>
      <c r="AC94" s="4" t="s">
        <v>47</v>
      </c>
      <c r="AD94" s="5">
        <v>0</v>
      </c>
      <c r="AE94" s="4" t="s">
        <v>268</v>
      </c>
      <c r="AF94" s="3">
        <v>46023</v>
      </c>
      <c r="AG94" s="4" t="s">
        <v>47</v>
      </c>
      <c r="AH94" s="4" t="s">
        <v>47</v>
      </c>
      <c r="AI94" s="4" t="s">
        <v>47</v>
      </c>
      <c r="AJ94" s="4" t="s">
        <v>47</v>
      </c>
      <c r="AK94" s="4" t="s">
        <v>47</v>
      </c>
      <c r="AL94" s="4" t="s">
        <v>47</v>
      </c>
      <c r="AM94" s="4" t="s">
        <v>47</v>
      </c>
      <c r="AN94" s="4" t="s">
        <v>47</v>
      </c>
      <c r="AO94" s="4" t="s">
        <v>47</v>
      </c>
      <c r="AP94" s="4" t="s">
        <v>47</v>
      </c>
      <c r="AQ94" s="4" t="s">
        <v>47</v>
      </c>
    </row>
    <row r="95" spans="1:43" x14ac:dyDescent="0.2">
      <c r="A95" s="2">
        <v>1891456</v>
      </c>
      <c r="B95" s="3">
        <v>46113</v>
      </c>
      <c r="C95" s="4" t="s">
        <v>184</v>
      </c>
      <c r="D95" s="2">
        <v>1831491</v>
      </c>
      <c r="E95" s="4" t="s">
        <v>329</v>
      </c>
      <c r="F95" s="4" t="s">
        <v>330</v>
      </c>
      <c r="G95" s="4" t="s">
        <v>47</v>
      </c>
      <c r="H95" s="4" t="s">
        <v>47</v>
      </c>
      <c r="I95" s="4" t="s">
        <v>47</v>
      </c>
      <c r="J95" s="4" t="s">
        <v>254</v>
      </c>
      <c r="K95" s="4" t="s">
        <v>255</v>
      </c>
      <c r="L95" s="3">
        <v>46113</v>
      </c>
      <c r="M95" s="4" t="s">
        <v>50</v>
      </c>
      <c r="N95" s="4" t="s">
        <v>47</v>
      </c>
      <c r="O95" s="4" t="s">
        <v>51</v>
      </c>
      <c r="P95" s="4" t="s">
        <v>88</v>
      </c>
      <c r="Q95" s="2">
        <v>1</v>
      </c>
      <c r="R95" s="2">
        <v>60</v>
      </c>
      <c r="S95" s="4" t="s">
        <v>266</v>
      </c>
      <c r="T95" s="4" t="s">
        <v>47</v>
      </c>
      <c r="U95" s="4" t="s">
        <v>47</v>
      </c>
      <c r="V95" s="5">
        <v>10</v>
      </c>
      <c r="W95" s="5">
        <v>14.93</v>
      </c>
      <c r="X95" s="5">
        <v>100</v>
      </c>
      <c r="Y95" s="5">
        <v>1.49</v>
      </c>
      <c r="Z95" s="4" t="s">
        <v>47</v>
      </c>
      <c r="AA95" s="5" t="s">
        <v>47</v>
      </c>
      <c r="AB95" s="4" t="s">
        <v>267</v>
      </c>
      <c r="AC95" s="4" t="s">
        <v>47</v>
      </c>
      <c r="AD95" s="5">
        <v>0</v>
      </c>
      <c r="AE95" s="4" t="s">
        <v>268</v>
      </c>
      <c r="AF95" s="3">
        <v>46023</v>
      </c>
      <c r="AG95" s="4" t="s">
        <v>47</v>
      </c>
      <c r="AH95" s="4" t="s">
        <v>47</v>
      </c>
      <c r="AI95" s="4" t="s">
        <v>47</v>
      </c>
      <c r="AJ95" s="4" t="s">
        <v>47</v>
      </c>
      <c r="AK95" s="4" t="s">
        <v>47</v>
      </c>
      <c r="AL95" s="4" t="s">
        <v>47</v>
      </c>
      <c r="AM95" s="4" t="s">
        <v>47</v>
      </c>
      <c r="AN95" s="4" t="s">
        <v>47</v>
      </c>
      <c r="AO95" s="4" t="s">
        <v>47</v>
      </c>
      <c r="AP95" s="4" t="s">
        <v>47</v>
      </c>
      <c r="AQ95" s="4" t="s">
        <v>47</v>
      </c>
    </row>
    <row r="96" spans="1:43" x14ac:dyDescent="0.2">
      <c r="A96" s="2">
        <v>1891456</v>
      </c>
      <c r="B96" s="3">
        <v>46113</v>
      </c>
      <c r="C96" s="4" t="s">
        <v>184</v>
      </c>
      <c r="D96" s="2">
        <v>1831491</v>
      </c>
      <c r="E96" s="4" t="s">
        <v>331</v>
      </c>
      <c r="F96" s="4" t="s">
        <v>332</v>
      </c>
      <c r="G96" s="4" t="s">
        <v>47</v>
      </c>
      <c r="H96" s="4" t="s">
        <v>47</v>
      </c>
      <c r="I96" s="4" t="s">
        <v>47</v>
      </c>
      <c r="J96" s="4" t="s">
        <v>254</v>
      </c>
      <c r="K96" s="4" t="s">
        <v>255</v>
      </c>
      <c r="L96" s="3">
        <v>46113</v>
      </c>
      <c r="M96" s="4" t="s">
        <v>50</v>
      </c>
      <c r="N96" s="4" t="s">
        <v>47</v>
      </c>
      <c r="O96" s="4" t="s">
        <v>51</v>
      </c>
      <c r="P96" s="4" t="s">
        <v>88</v>
      </c>
      <c r="Q96" s="2">
        <v>1</v>
      </c>
      <c r="R96" s="2">
        <v>60</v>
      </c>
      <c r="S96" s="4" t="s">
        <v>266</v>
      </c>
      <c r="T96" s="4" t="s">
        <v>47</v>
      </c>
      <c r="U96" s="4" t="s">
        <v>47</v>
      </c>
      <c r="V96" s="5">
        <v>15</v>
      </c>
      <c r="W96" s="5">
        <v>14.93</v>
      </c>
      <c r="X96" s="5">
        <v>100</v>
      </c>
      <c r="Y96" s="5">
        <v>2.2400000000000002</v>
      </c>
      <c r="Z96" s="4" t="s">
        <v>47</v>
      </c>
      <c r="AA96" s="5" t="s">
        <v>47</v>
      </c>
      <c r="AB96" s="4" t="s">
        <v>267</v>
      </c>
      <c r="AC96" s="4" t="s">
        <v>47</v>
      </c>
      <c r="AD96" s="5">
        <v>0</v>
      </c>
      <c r="AE96" s="4" t="s">
        <v>268</v>
      </c>
      <c r="AF96" s="3">
        <v>46027</v>
      </c>
      <c r="AG96" s="4" t="s">
        <v>47</v>
      </c>
      <c r="AH96" s="4" t="s">
        <v>47</v>
      </c>
      <c r="AI96" s="4" t="s">
        <v>47</v>
      </c>
      <c r="AJ96" s="4" t="s">
        <v>47</v>
      </c>
      <c r="AK96" s="4" t="s">
        <v>47</v>
      </c>
      <c r="AL96" s="4" t="s">
        <v>47</v>
      </c>
      <c r="AM96" s="4" t="s">
        <v>47</v>
      </c>
      <c r="AN96" s="4" t="s">
        <v>47</v>
      </c>
      <c r="AO96" s="4" t="s">
        <v>47</v>
      </c>
      <c r="AP96" s="4" t="s">
        <v>47</v>
      </c>
      <c r="AQ96" s="4" t="s">
        <v>47</v>
      </c>
    </row>
    <row r="97" spans="1:43" x14ac:dyDescent="0.2">
      <c r="A97" s="2">
        <v>1891456</v>
      </c>
      <c r="B97" s="3">
        <v>46113</v>
      </c>
      <c r="C97" s="4" t="s">
        <v>184</v>
      </c>
      <c r="D97" s="2">
        <v>1831491</v>
      </c>
      <c r="E97" s="4" t="s">
        <v>333</v>
      </c>
      <c r="F97" s="4" t="s">
        <v>334</v>
      </c>
      <c r="G97" s="4" t="s">
        <v>47</v>
      </c>
      <c r="H97" s="4" t="s">
        <v>47</v>
      </c>
      <c r="I97" s="4" t="s">
        <v>47</v>
      </c>
      <c r="J97" s="4" t="s">
        <v>254</v>
      </c>
      <c r="K97" s="4" t="s">
        <v>255</v>
      </c>
      <c r="L97" s="3">
        <v>46113</v>
      </c>
      <c r="M97" s="4" t="s">
        <v>50</v>
      </c>
      <c r="N97" s="4" t="s">
        <v>47</v>
      </c>
      <c r="O97" s="4" t="s">
        <v>51</v>
      </c>
      <c r="P97" s="4" t="s">
        <v>88</v>
      </c>
      <c r="Q97" s="2">
        <v>1</v>
      </c>
      <c r="R97" s="2">
        <v>60</v>
      </c>
      <c r="S97" s="4" t="s">
        <v>266</v>
      </c>
      <c r="T97" s="4" t="s">
        <v>47</v>
      </c>
      <c r="U97" s="4" t="s">
        <v>47</v>
      </c>
      <c r="V97" s="5">
        <v>15</v>
      </c>
      <c r="W97" s="5">
        <v>14.93</v>
      </c>
      <c r="X97" s="5">
        <v>100</v>
      </c>
      <c r="Y97" s="5">
        <v>2.2400000000000002</v>
      </c>
      <c r="Z97" s="4" t="s">
        <v>47</v>
      </c>
      <c r="AA97" s="5" t="s">
        <v>47</v>
      </c>
      <c r="AB97" s="4" t="s">
        <v>267</v>
      </c>
      <c r="AC97" s="4" t="s">
        <v>47</v>
      </c>
      <c r="AD97" s="5">
        <v>0</v>
      </c>
      <c r="AE97" s="4" t="s">
        <v>268</v>
      </c>
      <c r="AF97" s="3">
        <v>46054</v>
      </c>
      <c r="AG97" s="4" t="s">
        <v>47</v>
      </c>
      <c r="AH97" s="4" t="s">
        <v>47</v>
      </c>
      <c r="AI97" s="4" t="s">
        <v>47</v>
      </c>
      <c r="AJ97" s="4" t="s">
        <v>47</v>
      </c>
      <c r="AK97" s="4" t="s">
        <v>47</v>
      </c>
      <c r="AL97" s="4" t="s">
        <v>47</v>
      </c>
      <c r="AM97" s="4" t="s">
        <v>47</v>
      </c>
      <c r="AN97" s="4" t="s">
        <v>47</v>
      </c>
      <c r="AO97" s="4" t="s">
        <v>47</v>
      </c>
      <c r="AP97" s="4" t="s">
        <v>47</v>
      </c>
      <c r="AQ97" s="4" t="s">
        <v>47</v>
      </c>
    </row>
    <row r="98" spans="1:43" x14ac:dyDescent="0.2">
      <c r="A98" s="2">
        <v>1891456</v>
      </c>
      <c r="B98" s="3">
        <v>46113</v>
      </c>
      <c r="C98" s="4" t="s">
        <v>184</v>
      </c>
      <c r="D98" s="2">
        <v>1831491</v>
      </c>
      <c r="E98" s="4" t="s">
        <v>335</v>
      </c>
      <c r="F98" s="4" t="s">
        <v>336</v>
      </c>
      <c r="G98" s="4" t="s">
        <v>47</v>
      </c>
      <c r="H98" s="4" t="s">
        <v>47</v>
      </c>
      <c r="I98" s="4" t="s">
        <v>47</v>
      </c>
      <c r="J98" s="4" t="s">
        <v>254</v>
      </c>
      <c r="K98" s="4" t="s">
        <v>255</v>
      </c>
      <c r="L98" s="3">
        <v>46113</v>
      </c>
      <c r="M98" s="4" t="s">
        <v>50</v>
      </c>
      <c r="N98" s="4" t="s">
        <v>47</v>
      </c>
      <c r="O98" s="4" t="s">
        <v>51</v>
      </c>
      <c r="P98" s="4" t="s">
        <v>88</v>
      </c>
      <c r="Q98" s="2">
        <v>1</v>
      </c>
      <c r="R98" s="2">
        <v>60</v>
      </c>
      <c r="S98" s="4" t="s">
        <v>266</v>
      </c>
      <c r="T98" s="4" t="s">
        <v>47</v>
      </c>
      <c r="U98" s="4" t="s">
        <v>47</v>
      </c>
      <c r="V98" s="5">
        <v>15</v>
      </c>
      <c r="W98" s="5">
        <v>14.93</v>
      </c>
      <c r="X98" s="5">
        <v>100</v>
      </c>
      <c r="Y98" s="5">
        <v>2.2400000000000002</v>
      </c>
      <c r="Z98" s="4" t="s">
        <v>47</v>
      </c>
      <c r="AA98" s="5" t="s">
        <v>47</v>
      </c>
      <c r="AB98" s="4" t="s">
        <v>267</v>
      </c>
      <c r="AC98" s="4" t="s">
        <v>47</v>
      </c>
      <c r="AD98" s="5">
        <v>0</v>
      </c>
      <c r="AE98" s="4" t="s">
        <v>268</v>
      </c>
      <c r="AF98" s="3">
        <v>46054</v>
      </c>
      <c r="AG98" s="4" t="s">
        <v>47</v>
      </c>
      <c r="AH98" s="4" t="s">
        <v>47</v>
      </c>
      <c r="AI98" s="4" t="s">
        <v>47</v>
      </c>
      <c r="AJ98" s="4" t="s">
        <v>47</v>
      </c>
      <c r="AK98" s="4" t="s">
        <v>47</v>
      </c>
      <c r="AL98" s="4" t="s">
        <v>47</v>
      </c>
      <c r="AM98" s="4" t="s">
        <v>47</v>
      </c>
      <c r="AN98" s="4" t="s">
        <v>47</v>
      </c>
      <c r="AO98" s="4" t="s">
        <v>47</v>
      </c>
      <c r="AP98" s="4" t="s">
        <v>47</v>
      </c>
      <c r="AQ98" s="4" t="s">
        <v>47</v>
      </c>
    </row>
    <row r="99" spans="1:43" x14ac:dyDescent="0.2">
      <c r="A99" s="2">
        <v>1891456</v>
      </c>
      <c r="B99" s="3">
        <v>46113</v>
      </c>
      <c r="C99" s="4" t="s">
        <v>184</v>
      </c>
      <c r="D99" s="2">
        <v>1831491</v>
      </c>
      <c r="E99" s="4" t="s">
        <v>337</v>
      </c>
      <c r="F99" s="4" t="s">
        <v>338</v>
      </c>
      <c r="G99" s="4" t="s">
        <v>47</v>
      </c>
      <c r="H99" s="4" t="s">
        <v>47</v>
      </c>
      <c r="I99" s="4" t="s">
        <v>47</v>
      </c>
      <c r="J99" s="4" t="s">
        <v>254</v>
      </c>
      <c r="K99" s="4" t="s">
        <v>255</v>
      </c>
      <c r="L99" s="3">
        <v>46113</v>
      </c>
      <c r="M99" s="4" t="s">
        <v>50</v>
      </c>
      <c r="N99" s="4" t="s">
        <v>47</v>
      </c>
      <c r="O99" s="4" t="s">
        <v>51</v>
      </c>
      <c r="P99" s="4" t="s">
        <v>88</v>
      </c>
      <c r="Q99" s="2">
        <v>2</v>
      </c>
      <c r="R99" s="2">
        <v>60</v>
      </c>
      <c r="S99" s="4" t="s">
        <v>266</v>
      </c>
      <c r="T99" s="4" t="s">
        <v>47</v>
      </c>
      <c r="U99" s="4" t="s">
        <v>47</v>
      </c>
      <c r="V99" s="5">
        <v>15</v>
      </c>
      <c r="W99" s="5">
        <v>26.88</v>
      </c>
      <c r="X99" s="5">
        <v>100</v>
      </c>
      <c r="Y99" s="5">
        <v>4.03</v>
      </c>
      <c r="Z99" s="4" t="s">
        <v>47</v>
      </c>
      <c r="AA99" s="5" t="s">
        <v>47</v>
      </c>
      <c r="AB99" s="4" t="s">
        <v>267</v>
      </c>
      <c r="AC99" s="4" t="s">
        <v>47</v>
      </c>
      <c r="AD99" s="5">
        <v>0</v>
      </c>
      <c r="AE99" s="4" t="s">
        <v>268</v>
      </c>
      <c r="AF99" s="3">
        <v>46054</v>
      </c>
      <c r="AG99" s="4" t="s">
        <v>47</v>
      </c>
      <c r="AH99" s="4" t="s">
        <v>47</v>
      </c>
      <c r="AI99" s="4" t="s">
        <v>47</v>
      </c>
      <c r="AJ99" s="4" t="s">
        <v>47</v>
      </c>
      <c r="AK99" s="4" t="s">
        <v>47</v>
      </c>
      <c r="AL99" s="4" t="s">
        <v>47</v>
      </c>
      <c r="AM99" s="4" t="s">
        <v>47</v>
      </c>
      <c r="AN99" s="4" t="s">
        <v>47</v>
      </c>
      <c r="AO99" s="4" t="s">
        <v>47</v>
      </c>
      <c r="AP99" s="4" t="s">
        <v>47</v>
      </c>
      <c r="AQ99" s="4" t="s">
        <v>47</v>
      </c>
    </row>
    <row r="100" spans="1:43" x14ac:dyDescent="0.2">
      <c r="A100" s="2">
        <v>1891456</v>
      </c>
      <c r="B100" s="3">
        <v>46113</v>
      </c>
      <c r="C100" s="4" t="s">
        <v>184</v>
      </c>
      <c r="D100" s="2">
        <v>1831491</v>
      </c>
      <c r="E100" s="4" t="s">
        <v>339</v>
      </c>
      <c r="F100" s="4" t="s">
        <v>340</v>
      </c>
      <c r="G100" s="4" t="s">
        <v>47</v>
      </c>
      <c r="H100" s="4" t="s">
        <v>47</v>
      </c>
      <c r="I100" s="4" t="s">
        <v>47</v>
      </c>
      <c r="J100" s="4" t="s">
        <v>254</v>
      </c>
      <c r="K100" s="4" t="s">
        <v>255</v>
      </c>
      <c r="L100" s="3">
        <v>46113</v>
      </c>
      <c r="M100" s="4" t="s">
        <v>50</v>
      </c>
      <c r="N100" s="4" t="s">
        <v>47</v>
      </c>
      <c r="O100" s="4" t="s">
        <v>51</v>
      </c>
      <c r="P100" s="4" t="s">
        <v>88</v>
      </c>
      <c r="Q100" s="2">
        <v>1</v>
      </c>
      <c r="R100" s="2">
        <v>60</v>
      </c>
      <c r="S100" s="4" t="s">
        <v>266</v>
      </c>
      <c r="T100" s="4" t="s">
        <v>47</v>
      </c>
      <c r="U100" s="4" t="s">
        <v>47</v>
      </c>
      <c r="V100" s="5">
        <v>15</v>
      </c>
      <c r="W100" s="5">
        <v>14.93</v>
      </c>
      <c r="X100" s="5">
        <v>100</v>
      </c>
      <c r="Y100" s="5">
        <v>2.2400000000000002</v>
      </c>
      <c r="Z100" s="4" t="s">
        <v>47</v>
      </c>
      <c r="AA100" s="5" t="s">
        <v>47</v>
      </c>
      <c r="AB100" s="4" t="s">
        <v>267</v>
      </c>
      <c r="AC100" s="4" t="s">
        <v>47</v>
      </c>
      <c r="AD100" s="5">
        <v>0</v>
      </c>
      <c r="AE100" s="4" t="s">
        <v>268</v>
      </c>
      <c r="AF100" s="3">
        <v>46054</v>
      </c>
      <c r="AG100" s="4" t="s">
        <v>47</v>
      </c>
      <c r="AH100" s="4" t="s">
        <v>47</v>
      </c>
      <c r="AI100" s="4" t="s">
        <v>47</v>
      </c>
      <c r="AJ100" s="4" t="s">
        <v>47</v>
      </c>
      <c r="AK100" s="4" t="s">
        <v>47</v>
      </c>
      <c r="AL100" s="4" t="s">
        <v>47</v>
      </c>
      <c r="AM100" s="4" t="s">
        <v>47</v>
      </c>
      <c r="AN100" s="4" t="s">
        <v>47</v>
      </c>
      <c r="AO100" s="4" t="s">
        <v>47</v>
      </c>
      <c r="AP100" s="4" t="s">
        <v>47</v>
      </c>
      <c r="AQ100" s="4" t="s">
        <v>47</v>
      </c>
    </row>
    <row r="101" spans="1:43" x14ac:dyDescent="0.2">
      <c r="A101" s="2">
        <v>1891456</v>
      </c>
      <c r="B101" s="3">
        <v>46113</v>
      </c>
      <c r="C101" s="4" t="s">
        <v>184</v>
      </c>
      <c r="D101" s="2">
        <v>1831491</v>
      </c>
      <c r="E101" s="4" t="s">
        <v>341</v>
      </c>
      <c r="F101" s="4" t="s">
        <v>342</v>
      </c>
      <c r="G101" s="4" t="s">
        <v>47</v>
      </c>
      <c r="H101" s="4" t="s">
        <v>47</v>
      </c>
      <c r="I101" s="4" t="s">
        <v>47</v>
      </c>
      <c r="J101" s="4" t="s">
        <v>254</v>
      </c>
      <c r="K101" s="4" t="s">
        <v>255</v>
      </c>
      <c r="L101" s="3">
        <v>46113</v>
      </c>
      <c r="M101" s="4" t="s">
        <v>50</v>
      </c>
      <c r="N101" s="4" t="s">
        <v>47</v>
      </c>
      <c r="O101" s="4" t="s">
        <v>51</v>
      </c>
      <c r="P101" s="4" t="s">
        <v>88</v>
      </c>
      <c r="Q101" s="2">
        <v>2</v>
      </c>
      <c r="R101" s="2">
        <v>60</v>
      </c>
      <c r="S101" s="4" t="s">
        <v>266</v>
      </c>
      <c r="T101" s="4" t="s">
        <v>47</v>
      </c>
      <c r="U101" s="4" t="s">
        <v>47</v>
      </c>
      <c r="V101" s="5">
        <v>15</v>
      </c>
      <c r="W101" s="5">
        <v>26.88</v>
      </c>
      <c r="X101" s="5">
        <v>100</v>
      </c>
      <c r="Y101" s="5">
        <v>4.03</v>
      </c>
      <c r="Z101" s="4" t="s">
        <v>47</v>
      </c>
      <c r="AA101" s="5" t="s">
        <v>47</v>
      </c>
      <c r="AB101" s="4" t="s">
        <v>267</v>
      </c>
      <c r="AC101" s="4" t="s">
        <v>47</v>
      </c>
      <c r="AD101" s="5">
        <v>0</v>
      </c>
      <c r="AE101" s="4" t="s">
        <v>268</v>
      </c>
      <c r="AF101" s="3">
        <v>46054</v>
      </c>
      <c r="AG101" s="4" t="s">
        <v>47</v>
      </c>
      <c r="AH101" s="4" t="s">
        <v>47</v>
      </c>
      <c r="AI101" s="4" t="s">
        <v>47</v>
      </c>
      <c r="AJ101" s="4" t="s">
        <v>47</v>
      </c>
      <c r="AK101" s="4" t="s">
        <v>47</v>
      </c>
      <c r="AL101" s="4" t="s">
        <v>47</v>
      </c>
      <c r="AM101" s="4" t="s">
        <v>47</v>
      </c>
      <c r="AN101" s="4" t="s">
        <v>47</v>
      </c>
      <c r="AO101" s="4" t="s">
        <v>47</v>
      </c>
      <c r="AP101" s="4" t="s">
        <v>47</v>
      </c>
      <c r="AQ101" s="4" t="s">
        <v>47</v>
      </c>
    </row>
    <row r="102" spans="1:43" x14ac:dyDescent="0.2">
      <c r="A102" s="2">
        <v>1891456</v>
      </c>
      <c r="B102" s="3">
        <v>46113</v>
      </c>
      <c r="C102" s="4" t="s">
        <v>343</v>
      </c>
      <c r="D102" s="2">
        <v>1875462</v>
      </c>
      <c r="E102" s="4" t="s">
        <v>344</v>
      </c>
      <c r="F102" s="4" t="s">
        <v>345</v>
      </c>
      <c r="G102" s="4" t="s">
        <v>47</v>
      </c>
      <c r="H102" s="4" t="s">
        <v>47</v>
      </c>
      <c r="I102" s="4" t="s">
        <v>47</v>
      </c>
      <c r="J102" s="4" t="s">
        <v>246</v>
      </c>
      <c r="K102" s="4" t="s">
        <v>49</v>
      </c>
      <c r="L102" s="3">
        <v>46082</v>
      </c>
      <c r="M102" s="4" t="s">
        <v>87</v>
      </c>
      <c r="N102" s="4" t="s">
        <v>47</v>
      </c>
      <c r="O102" s="4" t="s">
        <v>88</v>
      </c>
      <c r="P102" s="4" t="s">
        <v>88</v>
      </c>
      <c r="Q102" s="2">
        <v>1</v>
      </c>
      <c r="R102" s="2">
        <v>17</v>
      </c>
      <c r="S102" s="4" t="s">
        <v>52</v>
      </c>
      <c r="T102" s="4" t="s">
        <v>47</v>
      </c>
      <c r="U102" s="4" t="s">
        <v>47</v>
      </c>
      <c r="V102" s="5">
        <v>22</v>
      </c>
      <c r="W102" s="5">
        <v>186.54</v>
      </c>
      <c r="X102" s="5">
        <v>100</v>
      </c>
      <c r="Y102" s="5">
        <v>41.04</v>
      </c>
      <c r="Z102" s="5">
        <v>0</v>
      </c>
      <c r="AA102" s="5">
        <v>0</v>
      </c>
      <c r="AB102" s="4" t="s">
        <v>261</v>
      </c>
      <c r="AC102" s="4" t="s">
        <v>47</v>
      </c>
      <c r="AD102" s="5">
        <v>0</v>
      </c>
      <c r="AE102" s="4" t="s">
        <v>262</v>
      </c>
      <c r="AF102" s="3">
        <v>45658</v>
      </c>
      <c r="AG102" s="4" t="s">
        <v>47</v>
      </c>
      <c r="AH102" s="4" t="s">
        <v>47</v>
      </c>
      <c r="AI102" s="4" t="s">
        <v>47</v>
      </c>
      <c r="AJ102" s="4" t="s">
        <v>47</v>
      </c>
      <c r="AK102" s="4" t="s">
        <v>47</v>
      </c>
      <c r="AL102" s="4" t="s">
        <v>47</v>
      </c>
      <c r="AM102" s="4" t="s">
        <v>47</v>
      </c>
      <c r="AN102" s="4" t="s">
        <v>47</v>
      </c>
      <c r="AO102" s="4" t="s">
        <v>47</v>
      </c>
      <c r="AP102" s="4" t="s">
        <v>47</v>
      </c>
      <c r="AQ102" s="4" t="s">
        <v>247</v>
      </c>
    </row>
    <row r="103" spans="1:43" x14ac:dyDescent="0.2">
      <c r="A103" s="2">
        <v>1891456</v>
      </c>
      <c r="B103" s="3">
        <v>46113</v>
      </c>
      <c r="C103" s="4" t="s">
        <v>47</v>
      </c>
      <c r="D103" s="2" t="s">
        <v>47</v>
      </c>
      <c r="E103" s="4" t="s">
        <v>47</v>
      </c>
      <c r="F103" s="4" t="s">
        <v>47</v>
      </c>
      <c r="G103" s="4" t="s">
        <v>47</v>
      </c>
      <c r="H103" s="4" t="s">
        <v>47</v>
      </c>
      <c r="I103" s="4" t="s">
        <v>47</v>
      </c>
      <c r="J103" s="4" t="s">
        <v>47</v>
      </c>
      <c r="K103" s="4" t="s">
        <v>47</v>
      </c>
      <c r="L103" s="4" t="s">
        <v>47</v>
      </c>
      <c r="M103" s="4" t="s">
        <v>50</v>
      </c>
      <c r="N103" s="4" t="s">
        <v>47</v>
      </c>
      <c r="O103" s="4" t="s">
        <v>47</v>
      </c>
      <c r="P103" s="4" t="s">
        <v>47</v>
      </c>
      <c r="Q103" s="4" t="s">
        <v>47</v>
      </c>
      <c r="R103" s="4" t="s">
        <v>47</v>
      </c>
      <c r="S103" s="4" t="s">
        <v>47</v>
      </c>
      <c r="T103" s="4" t="s">
        <v>47</v>
      </c>
      <c r="U103" s="4" t="s">
        <v>47</v>
      </c>
      <c r="V103" s="5" t="s">
        <v>47</v>
      </c>
      <c r="W103" s="4" t="s">
        <v>47</v>
      </c>
      <c r="X103" s="5" t="s">
        <v>47</v>
      </c>
      <c r="Y103" s="4" t="s">
        <v>47</v>
      </c>
      <c r="Z103" s="4" t="s">
        <v>47</v>
      </c>
      <c r="AA103" s="5" t="s">
        <v>47</v>
      </c>
      <c r="AB103" s="4" t="s">
        <v>47</v>
      </c>
      <c r="AC103" s="4" t="s">
        <v>346</v>
      </c>
      <c r="AD103" s="5">
        <v>0</v>
      </c>
      <c r="AE103" s="4" t="s">
        <v>347</v>
      </c>
      <c r="AF103" s="4" t="s">
        <v>47</v>
      </c>
      <c r="AG103" s="4" t="s">
        <v>47</v>
      </c>
      <c r="AH103" s="4" t="s">
        <v>47</v>
      </c>
      <c r="AI103" s="4" t="s">
        <v>47</v>
      </c>
      <c r="AJ103" s="4" t="s">
        <v>47</v>
      </c>
      <c r="AK103" s="4" t="s">
        <v>47</v>
      </c>
      <c r="AL103" s="4" t="s">
        <v>47</v>
      </c>
      <c r="AM103" s="4" t="s">
        <v>47</v>
      </c>
      <c r="AN103" s="4" t="s">
        <v>47</v>
      </c>
      <c r="AO103" s="4" t="s">
        <v>47</v>
      </c>
      <c r="AP103" s="4" t="s">
        <v>47</v>
      </c>
      <c r="AQ103" s="4" t="s">
        <v>47</v>
      </c>
    </row>
    <row r="104" spans="1:43" x14ac:dyDescent="0.2">
      <c r="A104" s="2">
        <v>1891456</v>
      </c>
      <c r="B104" s="3">
        <v>46113</v>
      </c>
      <c r="C104" s="4" t="s">
        <v>47</v>
      </c>
      <c r="D104" s="2" t="s">
        <v>47</v>
      </c>
      <c r="E104" s="4" t="s">
        <v>47</v>
      </c>
      <c r="F104" s="4" t="s">
        <v>47</v>
      </c>
      <c r="G104" s="4" t="s">
        <v>47</v>
      </c>
      <c r="H104" s="4" t="s">
        <v>47</v>
      </c>
      <c r="I104" s="4" t="s">
        <v>47</v>
      </c>
      <c r="J104" s="4" t="s">
        <v>47</v>
      </c>
      <c r="K104" s="4" t="s">
        <v>47</v>
      </c>
      <c r="L104" s="4" t="s">
        <v>47</v>
      </c>
      <c r="M104" s="4" t="s">
        <v>50</v>
      </c>
      <c r="N104" s="4" t="s">
        <v>47</v>
      </c>
      <c r="O104" s="4" t="s">
        <v>47</v>
      </c>
      <c r="P104" s="4" t="s">
        <v>47</v>
      </c>
      <c r="Q104" s="4" t="s">
        <v>47</v>
      </c>
      <c r="R104" s="4" t="s">
        <v>47</v>
      </c>
      <c r="S104" s="4" t="s">
        <v>47</v>
      </c>
      <c r="T104" s="4" t="s">
        <v>47</v>
      </c>
      <c r="U104" s="4" t="s">
        <v>47</v>
      </c>
      <c r="V104" s="5" t="s">
        <v>47</v>
      </c>
      <c r="W104" s="4" t="s">
        <v>47</v>
      </c>
      <c r="X104" s="5" t="s">
        <v>47</v>
      </c>
      <c r="Y104" s="4" t="s">
        <v>47</v>
      </c>
      <c r="Z104" s="4" t="s">
        <v>47</v>
      </c>
      <c r="AA104" s="5" t="s">
        <v>47</v>
      </c>
      <c r="AB104" s="4" t="s">
        <v>47</v>
      </c>
      <c r="AC104" s="4" t="s">
        <v>348</v>
      </c>
      <c r="AD104" s="5">
        <v>0</v>
      </c>
      <c r="AE104" s="4" t="s">
        <v>349</v>
      </c>
      <c r="AF104" s="4" t="s">
        <v>47</v>
      </c>
      <c r="AG104" s="4" t="s">
        <v>47</v>
      </c>
      <c r="AH104" s="4" t="s">
        <v>47</v>
      </c>
      <c r="AI104" s="4" t="s">
        <v>47</v>
      </c>
      <c r="AJ104" s="4" t="s">
        <v>47</v>
      </c>
      <c r="AK104" s="4" t="s">
        <v>47</v>
      </c>
      <c r="AL104" s="4" t="s">
        <v>47</v>
      </c>
      <c r="AM104" s="4" t="s">
        <v>47</v>
      </c>
      <c r="AN104" s="4" t="s">
        <v>47</v>
      </c>
      <c r="AO104" s="4" t="s">
        <v>47</v>
      </c>
      <c r="AP104" s="4" t="s">
        <v>47</v>
      </c>
      <c r="AQ104" s="4" t="s">
        <v>47</v>
      </c>
    </row>
    <row r="105" spans="1:43" x14ac:dyDescent="0.2">
      <c r="A105" s="2">
        <v>1891456</v>
      </c>
      <c r="B105" s="3">
        <v>46113</v>
      </c>
      <c r="C105" s="4" t="s">
        <v>47</v>
      </c>
      <c r="D105" s="2" t="s">
        <v>47</v>
      </c>
      <c r="E105" s="4" t="s">
        <v>47</v>
      </c>
      <c r="F105" s="4" t="s">
        <v>47</v>
      </c>
      <c r="G105" s="4" t="s">
        <v>47</v>
      </c>
      <c r="H105" s="4" t="s">
        <v>47</v>
      </c>
      <c r="I105" s="4" t="s">
        <v>47</v>
      </c>
      <c r="J105" s="4" t="s">
        <v>47</v>
      </c>
      <c r="K105" s="4" t="s">
        <v>47</v>
      </c>
      <c r="L105" s="4" t="s">
        <v>47</v>
      </c>
      <c r="M105" s="4" t="s">
        <v>50</v>
      </c>
      <c r="N105" s="4" t="s">
        <v>47</v>
      </c>
      <c r="O105" s="4" t="s">
        <v>47</v>
      </c>
      <c r="P105" s="4" t="s">
        <v>47</v>
      </c>
      <c r="Q105" s="4" t="s">
        <v>47</v>
      </c>
      <c r="R105" s="4" t="s">
        <v>47</v>
      </c>
      <c r="S105" s="4" t="s">
        <v>47</v>
      </c>
      <c r="T105" s="4" t="s">
        <v>47</v>
      </c>
      <c r="U105" s="4" t="s">
        <v>47</v>
      </c>
      <c r="V105" s="5" t="s">
        <v>47</v>
      </c>
      <c r="W105" s="4" t="s">
        <v>47</v>
      </c>
      <c r="X105" s="5" t="s">
        <v>47</v>
      </c>
      <c r="Y105" s="4" t="s">
        <v>47</v>
      </c>
      <c r="Z105" s="4" t="s">
        <v>47</v>
      </c>
      <c r="AA105" s="5" t="s">
        <v>47</v>
      </c>
      <c r="AB105" s="4" t="s">
        <v>47</v>
      </c>
      <c r="AC105" s="4" t="s">
        <v>350</v>
      </c>
      <c r="AD105" s="5">
        <v>0</v>
      </c>
      <c r="AE105" s="4" t="s">
        <v>351</v>
      </c>
      <c r="AF105" s="4" t="s">
        <v>47</v>
      </c>
      <c r="AG105" s="4" t="s">
        <v>47</v>
      </c>
      <c r="AH105" s="4" t="s">
        <v>47</v>
      </c>
      <c r="AI105" s="4" t="s">
        <v>47</v>
      </c>
      <c r="AJ105" s="4" t="s">
        <v>47</v>
      </c>
      <c r="AK105" s="4" t="s">
        <v>47</v>
      </c>
      <c r="AL105" s="4" t="s">
        <v>47</v>
      </c>
      <c r="AM105" s="4" t="s">
        <v>47</v>
      </c>
      <c r="AN105" s="4" t="s">
        <v>47</v>
      </c>
      <c r="AO105" s="4" t="s">
        <v>47</v>
      </c>
      <c r="AP105" s="4" t="s">
        <v>47</v>
      </c>
      <c r="AQ105" s="4" t="s">
        <v>47</v>
      </c>
    </row>
    <row r="106" spans="1:43" x14ac:dyDescent="0.2">
      <c r="A106" s="2">
        <v>1891456</v>
      </c>
      <c r="B106" s="3">
        <v>46113</v>
      </c>
      <c r="C106" s="4" t="s">
        <v>47</v>
      </c>
      <c r="D106" s="2" t="s">
        <v>47</v>
      </c>
      <c r="E106" s="4" t="s">
        <v>47</v>
      </c>
      <c r="F106" s="4" t="s">
        <v>47</v>
      </c>
      <c r="G106" s="4" t="s">
        <v>47</v>
      </c>
      <c r="H106" s="4" t="s">
        <v>47</v>
      </c>
      <c r="I106" s="4" t="s">
        <v>47</v>
      </c>
      <c r="J106" s="4" t="s">
        <v>47</v>
      </c>
      <c r="K106" s="4" t="s">
        <v>47</v>
      </c>
      <c r="L106" s="4" t="s">
        <v>47</v>
      </c>
      <c r="M106" s="4" t="s">
        <v>50</v>
      </c>
      <c r="N106" s="4" t="s">
        <v>47</v>
      </c>
      <c r="O106" s="4" t="s">
        <v>47</v>
      </c>
      <c r="P106" s="4" t="s">
        <v>47</v>
      </c>
      <c r="Q106" s="4" t="s">
        <v>47</v>
      </c>
      <c r="R106" s="4" t="s">
        <v>47</v>
      </c>
      <c r="S106" s="4" t="s">
        <v>47</v>
      </c>
      <c r="T106" s="4" t="s">
        <v>47</v>
      </c>
      <c r="U106" s="4" t="s">
        <v>47</v>
      </c>
      <c r="V106" s="5" t="s">
        <v>47</v>
      </c>
      <c r="W106" s="4" t="s">
        <v>47</v>
      </c>
      <c r="X106" s="5" t="s">
        <v>47</v>
      </c>
      <c r="Y106" s="4" t="s">
        <v>47</v>
      </c>
      <c r="Z106" s="4" t="s">
        <v>47</v>
      </c>
      <c r="AA106" s="5" t="s">
        <v>47</v>
      </c>
      <c r="AB106" s="4" t="s">
        <v>47</v>
      </c>
      <c r="AC106" s="4" t="s">
        <v>352</v>
      </c>
      <c r="AD106" s="5">
        <v>0</v>
      </c>
      <c r="AE106" s="4" t="s">
        <v>353</v>
      </c>
      <c r="AF106" s="4" t="s">
        <v>47</v>
      </c>
      <c r="AG106" s="4" t="s">
        <v>47</v>
      </c>
      <c r="AH106" s="4" t="s">
        <v>47</v>
      </c>
      <c r="AI106" s="4" t="s">
        <v>47</v>
      </c>
      <c r="AJ106" s="4" t="s">
        <v>47</v>
      </c>
      <c r="AK106" s="4" t="s">
        <v>47</v>
      </c>
      <c r="AL106" s="4" t="s">
        <v>47</v>
      </c>
      <c r="AM106" s="4" t="s">
        <v>47</v>
      </c>
      <c r="AN106" s="4" t="s">
        <v>47</v>
      </c>
      <c r="AO106" s="4" t="s">
        <v>47</v>
      </c>
      <c r="AP106" s="4" t="s">
        <v>47</v>
      </c>
      <c r="AQ106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DBEA-EDA1-43FC-8FBD-BD4E0D69EFA2}">
  <dimension ref="A1:AQ101"/>
  <sheetViews>
    <sheetView tabSelected="1" topLeftCell="D65" workbookViewId="0">
      <selection activeCell="P2" sqref="P2:P101"/>
    </sheetView>
  </sheetViews>
  <sheetFormatPr defaultRowHeight="12.75" x14ac:dyDescent="0.2"/>
  <cols>
    <col min="1" max="1" width="24.7109375" bestFit="1" customWidth="1"/>
    <col min="2" max="2" width="13" customWidth="1"/>
    <col min="3" max="3" width="20.28515625" customWidth="1"/>
    <col min="4" max="4" width="13.28515625" bestFit="1" customWidth="1"/>
    <col min="5" max="6" width="11.42578125" bestFit="1" customWidth="1"/>
    <col min="7" max="7" width="13.85546875" customWidth="1"/>
    <col min="8" max="8" width="6.28515625" customWidth="1"/>
    <col min="9" max="9" width="9.42578125" customWidth="1"/>
    <col min="10" max="10" width="9.5703125" bestFit="1" customWidth="1"/>
    <col min="11" max="11" width="12.42578125" bestFit="1" customWidth="1"/>
    <col min="12" max="12" width="15.28515625" bestFit="1" customWidth="1"/>
    <col min="13" max="13" width="15.42578125" customWidth="1"/>
    <col min="14" max="14" width="13.7109375" bestFit="1" customWidth="1"/>
    <col min="15" max="15" width="21.42578125" customWidth="1"/>
    <col min="16" max="16" width="22.5703125" bestFit="1" customWidth="1"/>
    <col min="18" max="18" width="13.42578125" bestFit="1" customWidth="1"/>
    <col min="19" max="20" width="15.42578125" bestFit="1" customWidth="1"/>
    <col min="21" max="21" width="15.28515625" bestFit="1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27</v>
      </c>
      <c r="N1" s="1" t="s">
        <v>31</v>
      </c>
    </row>
    <row r="2" spans="1:43" s="9" customFormat="1" x14ac:dyDescent="0.2">
      <c r="A2" s="4" t="s">
        <v>152</v>
      </c>
      <c r="B2">
        <v>19396223</v>
      </c>
      <c r="C2" s="4" t="s">
        <v>153</v>
      </c>
      <c r="D2" s="4" t="s">
        <v>154</v>
      </c>
      <c r="E2" s="3">
        <v>46023</v>
      </c>
      <c r="F2" s="4" t="s">
        <v>61</v>
      </c>
      <c r="G2" s="4" t="s">
        <v>52</v>
      </c>
      <c r="H2" s="4" t="s">
        <v>62</v>
      </c>
      <c r="I2" s="5">
        <v>-0.75</v>
      </c>
      <c r="J2" s="5">
        <v>0</v>
      </c>
      <c r="K2" s="5">
        <v>100</v>
      </c>
      <c r="L2" s="5">
        <v>-260.25</v>
      </c>
      <c r="M2" s="4" t="s">
        <v>54</v>
      </c>
      <c r="N2" s="3">
        <v>46023</v>
      </c>
      <c r="O2" t="s">
        <v>362</v>
      </c>
      <c r="P2" s="14" t="s">
        <v>363</v>
      </c>
      <c r="Q2"/>
      <c r="R2" s="4" t="s">
        <v>154</v>
      </c>
      <c r="S2" s="20" t="str">
        <f>CONCATENATE(R2,67)</f>
        <v>00019907161K67</v>
      </c>
      <c r="T2" s="4" t="s">
        <v>471</v>
      </c>
      <c r="U2" t="s">
        <v>472</v>
      </c>
      <c r="V2" t="str">
        <f>CONCATENATE(U2," ",T2)</f>
        <v>BETTY HARGRAY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s="13" customFormat="1" x14ac:dyDescent="0.2">
      <c r="A3" s="4" t="s">
        <v>152</v>
      </c>
      <c r="B3">
        <v>19396223</v>
      </c>
      <c r="C3" s="4" t="s">
        <v>165</v>
      </c>
      <c r="D3" s="4" t="s">
        <v>166</v>
      </c>
      <c r="E3" s="3">
        <v>46143</v>
      </c>
      <c r="F3" s="4" t="s">
        <v>92</v>
      </c>
      <c r="G3" s="4" t="s">
        <v>52</v>
      </c>
      <c r="H3" s="4" t="s">
        <v>62</v>
      </c>
      <c r="I3" s="5">
        <v>0.67</v>
      </c>
      <c r="J3" s="5">
        <v>0</v>
      </c>
      <c r="K3" s="5">
        <v>100</v>
      </c>
      <c r="L3" s="5">
        <v>231.33</v>
      </c>
      <c r="M3" s="4" t="s">
        <v>54</v>
      </c>
      <c r="N3" s="3">
        <v>46143</v>
      </c>
      <c r="O3" t="s">
        <v>362</v>
      </c>
      <c r="P3" s="14" t="s">
        <v>364</v>
      </c>
      <c r="Q3"/>
      <c r="R3" s="4" t="s">
        <v>166</v>
      </c>
      <c r="S3" s="20" t="str">
        <f>CONCATENATE(R3,67)</f>
        <v>00026306332K67</v>
      </c>
      <c r="T3" s="4" t="s">
        <v>497</v>
      </c>
      <c r="U3" t="s">
        <v>468</v>
      </c>
      <c r="V3" t="str">
        <f>CONCATENATE(U3," ",T3)</f>
        <v>JAMES HINCHSLIFF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13" customFormat="1" x14ac:dyDescent="0.2">
      <c r="A4" s="4" t="s">
        <v>152</v>
      </c>
      <c r="B4">
        <v>19396223</v>
      </c>
      <c r="C4" s="4" t="s">
        <v>162</v>
      </c>
      <c r="D4" s="4" t="s">
        <v>163</v>
      </c>
      <c r="E4" s="3">
        <v>46113</v>
      </c>
      <c r="F4" s="4" t="s">
        <v>50</v>
      </c>
      <c r="G4" s="4" t="s">
        <v>52</v>
      </c>
      <c r="H4" s="4" t="s">
        <v>62</v>
      </c>
      <c r="I4" s="5">
        <v>0.75</v>
      </c>
      <c r="J4" s="5">
        <v>0</v>
      </c>
      <c r="K4" s="5">
        <v>100</v>
      </c>
      <c r="L4" s="5">
        <v>260.25</v>
      </c>
      <c r="M4" s="4" t="s">
        <v>54</v>
      </c>
      <c r="N4" s="3">
        <v>46113</v>
      </c>
      <c r="O4" t="s">
        <v>362</v>
      </c>
      <c r="P4" s="14" t="s">
        <v>363</v>
      </c>
      <c r="Q4"/>
      <c r="R4" s="4" t="s">
        <v>163</v>
      </c>
      <c r="S4" s="20" t="str">
        <f>CONCATENATE(R4,67)</f>
        <v>00023655018K67</v>
      </c>
      <c r="T4" s="4" t="s">
        <v>515</v>
      </c>
      <c r="U4" t="s">
        <v>516</v>
      </c>
      <c r="V4" t="str">
        <f>CONCATENATE(U4," ",T4)</f>
        <v>ROGER POLONSKY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s="13" customFormat="1" x14ac:dyDescent="0.2">
      <c r="A5" s="4" t="s">
        <v>152</v>
      </c>
      <c r="B5">
        <v>19396223</v>
      </c>
      <c r="C5" s="4" t="s">
        <v>153</v>
      </c>
      <c r="D5" s="4" t="s">
        <v>154</v>
      </c>
      <c r="E5" s="3">
        <v>46113</v>
      </c>
      <c r="F5" s="4" t="s">
        <v>50</v>
      </c>
      <c r="G5" s="4" t="s">
        <v>52</v>
      </c>
      <c r="H5" s="4" t="s">
        <v>53</v>
      </c>
      <c r="I5" s="5">
        <v>0.75</v>
      </c>
      <c r="J5" s="5">
        <v>0</v>
      </c>
      <c r="K5" s="5">
        <v>100</v>
      </c>
      <c r="L5" s="5">
        <v>260.25</v>
      </c>
      <c r="M5" s="4" t="s">
        <v>54</v>
      </c>
      <c r="N5" s="3">
        <v>46113</v>
      </c>
      <c r="O5" t="s">
        <v>362</v>
      </c>
      <c r="P5" s="14" t="s">
        <v>363</v>
      </c>
      <c r="Q5"/>
      <c r="R5" s="4" t="s">
        <v>154</v>
      </c>
      <c r="S5" s="20" t="str">
        <f>CONCATENATE(R5,67)</f>
        <v>00019907161K67</v>
      </c>
      <c r="T5" s="4" t="s">
        <v>471</v>
      </c>
      <c r="U5" t="s">
        <v>472</v>
      </c>
      <c r="V5" t="str">
        <f>CONCATENATE(U5," ",T5)</f>
        <v>BETTY HARGRAY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s="13" customFormat="1" x14ac:dyDescent="0.2">
      <c r="A6" s="4" t="s">
        <v>152</v>
      </c>
      <c r="B6">
        <v>19396223</v>
      </c>
      <c r="C6" s="4" t="s">
        <v>156</v>
      </c>
      <c r="D6" s="4" t="s">
        <v>157</v>
      </c>
      <c r="E6" s="3">
        <v>46113</v>
      </c>
      <c r="F6" s="4" t="s">
        <v>50</v>
      </c>
      <c r="G6" s="4" t="s">
        <v>52</v>
      </c>
      <c r="H6" s="4" t="s">
        <v>53</v>
      </c>
      <c r="I6" s="5">
        <v>0.75</v>
      </c>
      <c r="J6" s="5">
        <v>0</v>
      </c>
      <c r="K6" s="5">
        <v>100</v>
      </c>
      <c r="L6" s="5">
        <v>260.25</v>
      </c>
      <c r="M6" s="4" t="s">
        <v>54</v>
      </c>
      <c r="N6" s="3">
        <v>46113</v>
      </c>
      <c r="O6" t="s">
        <v>362</v>
      </c>
      <c r="P6" s="14" t="s">
        <v>363</v>
      </c>
      <c r="Q6"/>
      <c r="R6" s="4" t="s">
        <v>157</v>
      </c>
      <c r="S6" s="20" t="str">
        <f>CONCATENATE(R6,67)</f>
        <v>00021502269K67</v>
      </c>
      <c r="T6" s="4" t="s">
        <v>525</v>
      </c>
      <c r="U6" t="s">
        <v>526</v>
      </c>
      <c r="V6" t="str">
        <f>CONCATENATE(U6," ",T6)</f>
        <v>ZAREEFUNNISA HUSSAINI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13" customFormat="1" x14ac:dyDescent="0.2">
      <c r="A7" s="4" t="s">
        <v>152</v>
      </c>
      <c r="B7">
        <v>19396223</v>
      </c>
      <c r="C7" s="4" t="s">
        <v>159</v>
      </c>
      <c r="D7" s="4" t="s">
        <v>160</v>
      </c>
      <c r="E7" s="3">
        <v>46113</v>
      </c>
      <c r="F7" s="4" t="s">
        <v>50</v>
      </c>
      <c r="G7" s="4" t="s">
        <v>52</v>
      </c>
      <c r="H7" s="4" t="s">
        <v>53</v>
      </c>
      <c r="I7" s="5">
        <v>0.75</v>
      </c>
      <c r="J7" s="5">
        <v>0</v>
      </c>
      <c r="K7" s="5">
        <v>100</v>
      </c>
      <c r="L7" s="5">
        <v>260.25</v>
      </c>
      <c r="M7" s="4" t="s">
        <v>54</v>
      </c>
      <c r="N7" s="3">
        <v>46113</v>
      </c>
      <c r="O7" t="s">
        <v>362</v>
      </c>
      <c r="P7" s="14" t="s">
        <v>363</v>
      </c>
      <c r="Q7"/>
      <c r="R7" s="4" t="s">
        <v>160</v>
      </c>
      <c r="S7" s="20" t="str">
        <f>CONCATENATE(R7,67)</f>
        <v>00021505553K67</v>
      </c>
      <c r="T7" s="4" t="s">
        <v>525</v>
      </c>
      <c r="U7" t="s">
        <v>527</v>
      </c>
      <c r="V7" t="str">
        <f>CONCATENATE(U7," ",T7)</f>
        <v>SYED HUSSAINI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13" customFormat="1" x14ac:dyDescent="0.2">
      <c r="A8" s="4" t="s">
        <v>188</v>
      </c>
      <c r="B8">
        <v>19491313</v>
      </c>
      <c r="C8" s="4" t="s">
        <v>189</v>
      </c>
      <c r="D8" s="4" t="s">
        <v>190</v>
      </c>
      <c r="E8" s="3">
        <v>46054</v>
      </c>
      <c r="F8" s="4" t="s">
        <v>91</v>
      </c>
      <c r="G8" s="4" t="s">
        <v>52</v>
      </c>
      <c r="H8" s="4" t="s">
        <v>62</v>
      </c>
      <c r="I8" s="5">
        <v>0</v>
      </c>
      <c r="J8" s="5">
        <v>0</v>
      </c>
      <c r="K8" s="5">
        <v>100</v>
      </c>
      <c r="L8" s="5">
        <v>-289.17</v>
      </c>
      <c r="M8" s="4" t="s">
        <v>93</v>
      </c>
      <c r="N8" s="3">
        <v>46054</v>
      </c>
      <c r="O8" t="s">
        <v>362</v>
      </c>
      <c r="P8" t="s">
        <v>361</v>
      </c>
      <c r="Q8"/>
      <c r="R8" s="4" t="s">
        <v>190</v>
      </c>
      <c r="S8" s="20" t="str">
        <f>CONCATENATE(R8,67)</f>
        <v>00026042332K67</v>
      </c>
      <c r="T8" s="4" t="s">
        <v>465</v>
      </c>
      <c r="U8" t="s">
        <v>466</v>
      </c>
      <c r="V8" t="str">
        <f>CONCATENATE(U8," ",T8)</f>
        <v>CHRISTINE IACOVETTA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13" customFormat="1" x14ac:dyDescent="0.2">
      <c r="A9" s="4" t="s">
        <v>188</v>
      </c>
      <c r="B9">
        <v>19491313</v>
      </c>
      <c r="C9" s="4" t="s">
        <v>189</v>
      </c>
      <c r="D9" s="4" t="s">
        <v>190</v>
      </c>
      <c r="E9" s="3">
        <v>46054</v>
      </c>
      <c r="F9" s="4" t="s">
        <v>91</v>
      </c>
      <c r="G9" s="4" t="s">
        <v>52</v>
      </c>
      <c r="H9" s="4" t="s">
        <v>62</v>
      </c>
      <c r="I9" s="5">
        <v>-0.67</v>
      </c>
      <c r="J9" s="5">
        <v>0</v>
      </c>
      <c r="K9" s="5">
        <v>100</v>
      </c>
      <c r="L9" s="5">
        <v>-231.33</v>
      </c>
      <c r="M9" s="4" t="s">
        <v>54</v>
      </c>
      <c r="N9" s="3">
        <v>46054</v>
      </c>
      <c r="O9" t="s">
        <v>362</v>
      </c>
      <c r="P9" s="14" t="s">
        <v>364</v>
      </c>
      <c r="Q9">
        <f>347/12*8</f>
        <v>231.33333333333334</v>
      </c>
      <c r="R9" s="4" t="s">
        <v>190</v>
      </c>
      <c r="S9" s="20" t="str">
        <f>CONCATENATE(R9,67)</f>
        <v>00026042332K67</v>
      </c>
      <c r="T9" s="4" t="s">
        <v>465</v>
      </c>
      <c r="U9" t="s">
        <v>466</v>
      </c>
      <c r="V9" t="str">
        <f>CONCATENATE(U9," ",T9)</f>
        <v>CHRISTINE IACOVETTA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13" customFormat="1" x14ac:dyDescent="0.2">
      <c r="A10" s="4" t="s">
        <v>188</v>
      </c>
      <c r="B10">
        <v>19491313</v>
      </c>
      <c r="C10" s="4" t="s">
        <v>192</v>
      </c>
      <c r="D10" s="4" t="s">
        <v>193</v>
      </c>
      <c r="E10" s="3">
        <v>46113</v>
      </c>
      <c r="F10" s="4" t="s">
        <v>50</v>
      </c>
      <c r="G10" s="4" t="s">
        <v>52</v>
      </c>
      <c r="H10" s="4" t="s">
        <v>62</v>
      </c>
      <c r="I10" s="5">
        <v>0.75</v>
      </c>
      <c r="J10" s="5">
        <v>0</v>
      </c>
      <c r="K10" s="5">
        <v>100</v>
      </c>
      <c r="L10" s="5">
        <v>260.25</v>
      </c>
      <c r="M10" s="4" t="s">
        <v>54</v>
      </c>
      <c r="N10" s="3">
        <v>46113</v>
      </c>
      <c r="O10" t="s">
        <v>362</v>
      </c>
      <c r="P10" s="14" t="s">
        <v>363</v>
      </c>
      <c r="Q10"/>
      <c r="R10" s="4" t="s">
        <v>193</v>
      </c>
      <c r="S10" s="20" t="str">
        <f>CONCATENATE(R10,67)</f>
        <v>00026302022K67</v>
      </c>
      <c r="T10" s="4" t="s">
        <v>517</v>
      </c>
      <c r="U10" t="s">
        <v>518</v>
      </c>
      <c r="V10" t="str">
        <f>CONCATENATE(U10," ",T10)</f>
        <v>WILLIAM FOUST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13" customFormat="1" x14ac:dyDescent="0.2">
      <c r="A11" s="4" t="s">
        <v>239</v>
      </c>
      <c r="B11">
        <v>21435997</v>
      </c>
      <c r="C11" s="4" t="s">
        <v>240</v>
      </c>
      <c r="D11" s="4" t="s">
        <v>241</v>
      </c>
      <c r="E11" s="3">
        <v>46023</v>
      </c>
      <c r="F11" s="4" t="s">
        <v>61</v>
      </c>
      <c r="G11" s="4" t="s">
        <v>52</v>
      </c>
      <c r="H11" s="4" t="s">
        <v>53</v>
      </c>
      <c r="I11" s="5">
        <v>-0.75</v>
      </c>
      <c r="J11" s="5">
        <v>0</v>
      </c>
      <c r="K11" s="5">
        <v>100</v>
      </c>
      <c r="L11" s="5">
        <v>-260.25</v>
      </c>
      <c r="M11" s="4" t="s">
        <v>54</v>
      </c>
      <c r="N11" s="3">
        <v>46023</v>
      </c>
      <c r="O11" t="s">
        <v>362</v>
      </c>
      <c r="P11" s="14" t="s">
        <v>363</v>
      </c>
      <c r="Q11"/>
      <c r="R11" s="4" t="s">
        <v>241</v>
      </c>
      <c r="S11" s="20" t="str">
        <f>CONCATENATE(R11,67)</f>
        <v>00011005827K67</v>
      </c>
      <c r="T11" s="4" t="s">
        <v>489</v>
      </c>
      <c r="U11" t="s">
        <v>490</v>
      </c>
      <c r="V11" t="str">
        <f>CONCATENATE(U11," ",T11)</f>
        <v>SHEILA ELDRIDGE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x14ac:dyDescent="0.2">
      <c r="A12" s="4" t="s">
        <v>57</v>
      </c>
      <c r="B12">
        <v>7470776</v>
      </c>
      <c r="C12" s="4" t="s">
        <v>58</v>
      </c>
      <c r="D12" s="4" t="s">
        <v>59</v>
      </c>
      <c r="E12" s="3">
        <v>46023</v>
      </c>
      <c r="F12" s="4" t="s">
        <v>61</v>
      </c>
      <c r="G12" s="4" t="s">
        <v>52</v>
      </c>
      <c r="H12" s="4" t="s">
        <v>62</v>
      </c>
      <c r="I12" s="5">
        <v>-0.75</v>
      </c>
      <c r="J12" s="5">
        <v>0</v>
      </c>
      <c r="K12" s="5">
        <v>100</v>
      </c>
      <c r="L12" s="5">
        <v>-260.25</v>
      </c>
      <c r="M12" s="4" t="s">
        <v>54</v>
      </c>
      <c r="N12" s="3">
        <v>46023</v>
      </c>
      <c r="O12" t="s">
        <v>362</v>
      </c>
      <c r="P12" s="14" t="s">
        <v>363</v>
      </c>
      <c r="Q12">
        <f>347/12*9</f>
        <v>260.25</v>
      </c>
      <c r="R12" s="4" t="s">
        <v>59</v>
      </c>
      <c r="S12" s="20" t="str">
        <f>CONCATENATE(R12,67)</f>
        <v>00012193466K67</v>
      </c>
      <c r="T12" s="4" t="s">
        <v>467</v>
      </c>
      <c r="U12" t="s">
        <v>468</v>
      </c>
      <c r="V12" t="str">
        <f>CONCATENATE(U12," ",T12)</f>
        <v>JAMES NAGY</v>
      </c>
    </row>
    <row r="13" spans="1:43" x14ac:dyDescent="0.2">
      <c r="A13" s="4" t="s">
        <v>114</v>
      </c>
      <c r="B13">
        <v>17126004</v>
      </c>
      <c r="C13" s="4" t="s">
        <v>115</v>
      </c>
      <c r="D13" s="4" t="s">
        <v>116</v>
      </c>
      <c r="E13" s="3">
        <v>46113</v>
      </c>
      <c r="F13" s="4" t="s">
        <v>50</v>
      </c>
      <c r="G13" s="4" t="s">
        <v>52</v>
      </c>
      <c r="H13" s="4" t="s">
        <v>62</v>
      </c>
      <c r="I13" s="5">
        <v>0.75</v>
      </c>
      <c r="J13" s="5">
        <v>0</v>
      </c>
      <c r="K13" s="5">
        <v>100</v>
      </c>
      <c r="L13" s="5">
        <v>260.25</v>
      </c>
      <c r="M13" s="4" t="s">
        <v>54</v>
      </c>
      <c r="N13" s="3">
        <v>46113</v>
      </c>
      <c r="O13" t="s">
        <v>362</v>
      </c>
      <c r="P13" s="14" t="s">
        <v>363</v>
      </c>
      <c r="R13" s="4" t="s">
        <v>116</v>
      </c>
      <c r="S13" s="20" t="str">
        <f>CONCATENATE(R13,67)</f>
        <v>00019869938K67</v>
      </c>
      <c r="T13" s="4" t="s">
        <v>507</v>
      </c>
      <c r="U13" t="s">
        <v>508</v>
      </c>
      <c r="V13" t="str">
        <f>CONCATENATE(U13," ",T13)</f>
        <v>NICKI COZZI</v>
      </c>
    </row>
    <row r="14" spans="1:43" x14ac:dyDescent="0.2">
      <c r="A14" s="10" t="s">
        <v>184</v>
      </c>
      <c r="B14" s="13">
        <v>18828278</v>
      </c>
      <c r="C14" s="10" t="s">
        <v>287</v>
      </c>
      <c r="D14" s="10" t="s">
        <v>288</v>
      </c>
      <c r="E14" s="11">
        <v>46113</v>
      </c>
      <c r="F14" s="10" t="s">
        <v>50</v>
      </c>
      <c r="G14" s="10" t="s">
        <v>52</v>
      </c>
      <c r="H14" s="10" t="s">
        <v>47</v>
      </c>
      <c r="I14" s="12">
        <v>22</v>
      </c>
      <c r="J14" s="12">
        <v>2329.08</v>
      </c>
      <c r="K14" s="12">
        <v>100</v>
      </c>
      <c r="L14" s="12">
        <v>512.4</v>
      </c>
      <c r="M14" s="10" t="s">
        <v>250</v>
      </c>
      <c r="N14" s="11">
        <v>46113</v>
      </c>
      <c r="O14" s="13" t="s">
        <v>357</v>
      </c>
      <c r="P14" s="13"/>
      <c r="Q14" s="13"/>
      <c r="R14" s="10" t="s">
        <v>288</v>
      </c>
      <c r="S14" s="13" t="str">
        <f>CONCATENATE(R14,8)</f>
        <v>00001150853A8</v>
      </c>
      <c r="T14" s="10" t="s">
        <v>382</v>
      </c>
      <c r="U14" s="13" t="s">
        <v>383</v>
      </c>
      <c r="V14" t="str">
        <f>CONCATENATE(U14," ",T14)</f>
        <v>KENNETH KASPRZAK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 spans="1:43" x14ac:dyDescent="0.2">
      <c r="A15" s="6" t="s">
        <v>184</v>
      </c>
      <c r="B15" s="9">
        <v>18828278</v>
      </c>
      <c r="C15" s="6" t="s">
        <v>289</v>
      </c>
      <c r="D15" s="6" t="s">
        <v>290</v>
      </c>
      <c r="E15" s="7">
        <v>46113</v>
      </c>
      <c r="F15" s="6" t="s">
        <v>50</v>
      </c>
      <c r="G15" s="6" t="s">
        <v>266</v>
      </c>
      <c r="H15" s="6" t="s">
        <v>47</v>
      </c>
      <c r="I15" s="8">
        <v>10</v>
      </c>
      <c r="J15" s="8">
        <v>26.88</v>
      </c>
      <c r="K15" s="8">
        <v>100</v>
      </c>
      <c r="L15" s="8">
        <v>2.69</v>
      </c>
      <c r="M15" s="6" t="s">
        <v>267</v>
      </c>
      <c r="N15" s="7">
        <v>45808</v>
      </c>
      <c r="O15" s="9" t="s">
        <v>354</v>
      </c>
      <c r="P15" s="9"/>
      <c r="Q15" s="9"/>
      <c r="R15" s="15">
        <v>9030544330</v>
      </c>
      <c r="S15" s="9" t="str">
        <f>CONCATENATE(R15,4)</f>
        <v>90305443304</v>
      </c>
      <c r="T15" s="6" t="s">
        <v>402</v>
      </c>
      <c r="U15" s="9" t="s">
        <v>403</v>
      </c>
      <c r="V15" t="str">
        <f>CONCATENATE(U15," ",T15)</f>
        <v>Brianna Gambetti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x14ac:dyDescent="0.2">
      <c r="A16" s="6" t="s">
        <v>184</v>
      </c>
      <c r="B16" s="9">
        <v>18828278</v>
      </c>
      <c r="C16" s="6" t="s">
        <v>291</v>
      </c>
      <c r="D16" s="6" t="s">
        <v>292</v>
      </c>
      <c r="E16" s="7">
        <v>46113</v>
      </c>
      <c r="F16" s="6" t="s">
        <v>50</v>
      </c>
      <c r="G16" s="6" t="s">
        <v>266</v>
      </c>
      <c r="H16" s="6" t="s">
        <v>47</v>
      </c>
      <c r="I16" s="8">
        <v>10</v>
      </c>
      <c r="J16" s="8">
        <v>26.88</v>
      </c>
      <c r="K16" s="8">
        <v>100</v>
      </c>
      <c r="L16" s="8">
        <v>2.69</v>
      </c>
      <c r="M16" s="6" t="s">
        <v>267</v>
      </c>
      <c r="N16" s="7">
        <v>45808</v>
      </c>
      <c r="O16" s="9" t="s">
        <v>354</v>
      </c>
      <c r="P16" s="9"/>
      <c r="Q16" s="9"/>
      <c r="R16" s="15">
        <v>9030558330</v>
      </c>
      <c r="S16" s="9" t="str">
        <f>CONCATENATE(R16,4)</f>
        <v>90305583304</v>
      </c>
      <c r="T16" s="6" t="s">
        <v>404</v>
      </c>
      <c r="U16" s="9" t="s">
        <v>405</v>
      </c>
      <c r="V16" t="str">
        <f>CONCATENATE(U16," ",T16)</f>
        <v>David Taylor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x14ac:dyDescent="0.2">
      <c r="A17" s="6" t="s">
        <v>184</v>
      </c>
      <c r="B17" s="9">
        <v>18828278</v>
      </c>
      <c r="C17" s="6" t="s">
        <v>293</v>
      </c>
      <c r="D17" s="6" t="s">
        <v>294</v>
      </c>
      <c r="E17" s="7">
        <v>46113</v>
      </c>
      <c r="F17" s="6" t="s">
        <v>50</v>
      </c>
      <c r="G17" s="6" t="s">
        <v>266</v>
      </c>
      <c r="H17" s="6" t="s">
        <v>47</v>
      </c>
      <c r="I17" s="8">
        <v>10</v>
      </c>
      <c r="J17" s="8">
        <v>13.93</v>
      </c>
      <c r="K17" s="8">
        <v>100</v>
      </c>
      <c r="L17" s="8">
        <v>1.39</v>
      </c>
      <c r="M17" s="6" t="s">
        <v>267</v>
      </c>
      <c r="N17" s="7">
        <v>45809</v>
      </c>
      <c r="O17" s="9" t="s">
        <v>354</v>
      </c>
      <c r="P17" s="9"/>
      <c r="Q17" s="9"/>
      <c r="R17" s="15">
        <v>9030572460</v>
      </c>
      <c r="S17" s="9" t="str">
        <f>CONCATENATE(R17,4)</f>
        <v>90305724604</v>
      </c>
      <c r="T17" s="6" t="s">
        <v>406</v>
      </c>
      <c r="U17" s="9" t="s">
        <v>407</v>
      </c>
      <c r="V17" t="str">
        <f>CONCATENATE(U17," ",T17)</f>
        <v>Robert Shaw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x14ac:dyDescent="0.2">
      <c r="A18" s="6" t="s">
        <v>184</v>
      </c>
      <c r="B18" s="9">
        <v>18828278</v>
      </c>
      <c r="C18" s="6" t="s">
        <v>295</v>
      </c>
      <c r="D18" s="6" t="s">
        <v>296</v>
      </c>
      <c r="E18" s="7">
        <v>46113</v>
      </c>
      <c r="F18" s="6" t="s">
        <v>50</v>
      </c>
      <c r="G18" s="6" t="s">
        <v>266</v>
      </c>
      <c r="H18" s="6" t="s">
        <v>47</v>
      </c>
      <c r="I18" s="8">
        <v>10</v>
      </c>
      <c r="J18" s="8">
        <v>46.8</v>
      </c>
      <c r="K18" s="8">
        <v>100</v>
      </c>
      <c r="L18" s="8">
        <v>4.68</v>
      </c>
      <c r="M18" s="6" t="s">
        <v>267</v>
      </c>
      <c r="N18" s="7">
        <v>45809</v>
      </c>
      <c r="O18" s="9" t="s">
        <v>354</v>
      </c>
      <c r="P18" s="9"/>
      <c r="Q18" s="9"/>
      <c r="R18" s="15">
        <v>9030577770</v>
      </c>
      <c r="S18" s="9" t="str">
        <f>CONCATENATE(R18,4)</f>
        <v>90305777704</v>
      </c>
      <c r="T18" s="6" t="s">
        <v>408</v>
      </c>
      <c r="U18" s="9" t="s">
        <v>409</v>
      </c>
      <c r="V18" t="str">
        <f>CONCATENATE(U18," ",T18)</f>
        <v>Eric Sisco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x14ac:dyDescent="0.2">
      <c r="A19" s="6" t="s">
        <v>184</v>
      </c>
      <c r="B19" s="9">
        <v>18828278</v>
      </c>
      <c r="C19" s="6" t="s">
        <v>297</v>
      </c>
      <c r="D19" s="6" t="s">
        <v>298</v>
      </c>
      <c r="E19" s="7">
        <v>46113</v>
      </c>
      <c r="F19" s="6" t="s">
        <v>50</v>
      </c>
      <c r="G19" s="6" t="s">
        <v>266</v>
      </c>
      <c r="H19" s="6" t="s">
        <v>47</v>
      </c>
      <c r="I19" s="8">
        <v>10</v>
      </c>
      <c r="J19" s="8">
        <v>26.88</v>
      </c>
      <c r="K19" s="8">
        <v>100</v>
      </c>
      <c r="L19" s="8">
        <v>2.69</v>
      </c>
      <c r="M19" s="6" t="s">
        <v>267</v>
      </c>
      <c r="N19" s="7">
        <v>45816</v>
      </c>
      <c r="O19" s="9" t="s">
        <v>354</v>
      </c>
      <c r="P19" s="9"/>
      <c r="Q19" s="9"/>
      <c r="R19" s="15">
        <v>9030645140</v>
      </c>
      <c r="S19" s="9" t="str">
        <f>CONCATENATE(R19,4)</f>
        <v>90306451404</v>
      </c>
      <c r="T19" s="6" t="s">
        <v>410</v>
      </c>
      <c r="U19" s="9" t="s">
        <v>411</v>
      </c>
      <c r="V19" t="str">
        <f>CONCATENATE(U19," ",T19)</f>
        <v>Ron Ferris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x14ac:dyDescent="0.2">
      <c r="A20" s="6" t="s">
        <v>184</v>
      </c>
      <c r="B20" s="9">
        <v>18828278</v>
      </c>
      <c r="C20" s="6" t="s">
        <v>299</v>
      </c>
      <c r="D20" s="6" t="s">
        <v>300</v>
      </c>
      <c r="E20" s="7">
        <v>46113</v>
      </c>
      <c r="F20" s="6" t="s">
        <v>50</v>
      </c>
      <c r="G20" s="6" t="s">
        <v>266</v>
      </c>
      <c r="H20" s="6" t="s">
        <v>47</v>
      </c>
      <c r="I20" s="8">
        <v>10</v>
      </c>
      <c r="J20" s="8">
        <v>13.93</v>
      </c>
      <c r="K20" s="8">
        <v>100</v>
      </c>
      <c r="L20" s="8">
        <v>1.39</v>
      </c>
      <c r="M20" s="6" t="s">
        <v>267</v>
      </c>
      <c r="N20" s="7">
        <v>45816</v>
      </c>
      <c r="O20" s="9" t="s">
        <v>354</v>
      </c>
      <c r="P20" s="9"/>
      <c r="Q20" s="9"/>
      <c r="R20" s="15">
        <v>9030645560</v>
      </c>
      <c r="S20" s="9" t="str">
        <f>CONCATENATE(R20,4)</f>
        <v>90306455604</v>
      </c>
      <c r="T20" s="6" t="s">
        <v>412</v>
      </c>
      <c r="U20" s="9" t="s">
        <v>413</v>
      </c>
      <c r="V20" t="str">
        <f>CONCATENATE(U20," ",T20)</f>
        <v>Victoria Shirkey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x14ac:dyDescent="0.2">
      <c r="A21" s="6" t="s">
        <v>184</v>
      </c>
      <c r="B21" s="9">
        <v>18828278</v>
      </c>
      <c r="C21" s="6" t="s">
        <v>301</v>
      </c>
      <c r="D21" s="6" t="s">
        <v>302</v>
      </c>
      <c r="E21" s="7">
        <v>46113</v>
      </c>
      <c r="F21" s="6" t="s">
        <v>50</v>
      </c>
      <c r="G21" s="6" t="s">
        <v>266</v>
      </c>
      <c r="H21" s="6" t="s">
        <v>47</v>
      </c>
      <c r="I21" s="8">
        <v>10</v>
      </c>
      <c r="J21" s="8">
        <v>13.93</v>
      </c>
      <c r="K21" s="8">
        <v>100</v>
      </c>
      <c r="L21" s="8">
        <v>1.39</v>
      </c>
      <c r="M21" s="6" t="s">
        <v>267</v>
      </c>
      <c r="N21" s="7">
        <v>45839</v>
      </c>
      <c r="O21" s="9" t="s">
        <v>354</v>
      </c>
      <c r="P21" s="9"/>
      <c r="Q21" s="9"/>
      <c r="R21" s="15">
        <v>9030675550</v>
      </c>
      <c r="S21" s="9" t="str">
        <f>CONCATENATE(R21,4)</f>
        <v>90306755504</v>
      </c>
      <c r="T21" s="6" t="s">
        <v>414</v>
      </c>
      <c r="U21" s="9" t="s">
        <v>415</v>
      </c>
      <c r="V21" t="str">
        <f>CONCATENATE(U21," ",T21)</f>
        <v>Cheryl Simmons-Hutson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x14ac:dyDescent="0.2">
      <c r="A22" s="6" t="s">
        <v>184</v>
      </c>
      <c r="B22" s="9">
        <v>18828278</v>
      </c>
      <c r="C22" s="6" t="s">
        <v>303</v>
      </c>
      <c r="D22" s="6" t="s">
        <v>304</v>
      </c>
      <c r="E22" s="7">
        <v>46113</v>
      </c>
      <c r="F22" s="6" t="s">
        <v>50</v>
      </c>
      <c r="G22" s="6" t="s">
        <v>266</v>
      </c>
      <c r="H22" s="6" t="s">
        <v>47</v>
      </c>
      <c r="I22" s="8">
        <v>10</v>
      </c>
      <c r="J22" s="8">
        <v>13.93</v>
      </c>
      <c r="K22" s="8">
        <v>100</v>
      </c>
      <c r="L22" s="8">
        <v>1.39</v>
      </c>
      <c r="M22" s="6" t="s">
        <v>267</v>
      </c>
      <c r="N22" s="7">
        <v>45839</v>
      </c>
      <c r="O22" s="9" t="s">
        <v>354</v>
      </c>
      <c r="P22" s="9"/>
      <c r="Q22" s="9"/>
      <c r="R22" s="15">
        <v>9030719950</v>
      </c>
      <c r="S22" s="9" t="str">
        <f>CONCATENATE(R22,4)</f>
        <v>90307199504</v>
      </c>
      <c r="T22" s="6" t="s">
        <v>416</v>
      </c>
      <c r="U22" s="9" t="s">
        <v>417</v>
      </c>
      <c r="V22" t="str">
        <f>CONCATENATE(U22," ",T22)</f>
        <v>Mary Boma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spans="1:43" x14ac:dyDescent="0.2">
      <c r="A23" s="6" t="s">
        <v>184</v>
      </c>
      <c r="B23" s="9">
        <v>18828278</v>
      </c>
      <c r="C23" s="6" t="s">
        <v>305</v>
      </c>
      <c r="D23" s="6" t="s">
        <v>306</v>
      </c>
      <c r="E23" s="7">
        <v>46113</v>
      </c>
      <c r="F23" s="6" t="s">
        <v>50</v>
      </c>
      <c r="G23" s="6" t="s">
        <v>266</v>
      </c>
      <c r="H23" s="6" t="s">
        <v>47</v>
      </c>
      <c r="I23" s="8">
        <v>10</v>
      </c>
      <c r="J23" s="8">
        <v>14.93</v>
      </c>
      <c r="K23" s="8">
        <v>100</v>
      </c>
      <c r="L23" s="8">
        <v>1.49</v>
      </c>
      <c r="M23" s="6" t="s">
        <v>267</v>
      </c>
      <c r="N23" s="7">
        <v>45870</v>
      </c>
      <c r="O23" s="9" t="s">
        <v>354</v>
      </c>
      <c r="P23" s="9"/>
      <c r="Q23" s="9"/>
      <c r="R23" s="15">
        <v>9030840840</v>
      </c>
      <c r="S23" s="9" t="str">
        <f>CONCATENATE(R23,4)</f>
        <v>90308408404</v>
      </c>
      <c r="T23" s="6" t="s">
        <v>418</v>
      </c>
      <c r="U23" s="9" t="s">
        <v>419</v>
      </c>
      <c r="V23" t="str">
        <f>CONCATENATE(U23," ",T23)</f>
        <v>Jacqueline Galloway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spans="1:43" x14ac:dyDescent="0.2">
      <c r="A24" s="6" t="s">
        <v>184</v>
      </c>
      <c r="B24" s="9">
        <v>18828278</v>
      </c>
      <c r="C24" s="6" t="s">
        <v>307</v>
      </c>
      <c r="D24" s="6" t="s">
        <v>308</v>
      </c>
      <c r="E24" s="7">
        <v>46113</v>
      </c>
      <c r="F24" s="6" t="s">
        <v>50</v>
      </c>
      <c r="G24" s="6" t="s">
        <v>266</v>
      </c>
      <c r="H24" s="6" t="s">
        <v>47</v>
      </c>
      <c r="I24" s="8">
        <v>10</v>
      </c>
      <c r="J24" s="8">
        <v>14.93</v>
      </c>
      <c r="K24" s="8">
        <v>100</v>
      </c>
      <c r="L24" s="8">
        <v>1.49</v>
      </c>
      <c r="M24" s="6" t="s">
        <v>267</v>
      </c>
      <c r="N24" s="7">
        <v>45870</v>
      </c>
      <c r="O24" s="9" t="s">
        <v>354</v>
      </c>
      <c r="P24" s="9"/>
      <c r="Q24" s="9"/>
      <c r="R24" s="15">
        <v>9030895100</v>
      </c>
      <c r="S24" s="9" t="str">
        <f>CONCATENATE(R24,4)</f>
        <v>90308951004</v>
      </c>
      <c r="T24" s="6" t="s">
        <v>420</v>
      </c>
      <c r="U24" s="9" t="s">
        <v>421</v>
      </c>
      <c r="V24" t="str">
        <f>CONCATENATE(U24," ",T24)</f>
        <v>Thomas Stokes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spans="1:43" x14ac:dyDescent="0.2">
      <c r="A25" s="6" t="s">
        <v>184</v>
      </c>
      <c r="B25" s="9">
        <v>18828278</v>
      </c>
      <c r="C25" s="6" t="s">
        <v>309</v>
      </c>
      <c r="D25" s="6" t="s">
        <v>310</v>
      </c>
      <c r="E25" s="7">
        <v>46113</v>
      </c>
      <c r="F25" s="6" t="s">
        <v>50</v>
      </c>
      <c r="G25" s="6" t="s">
        <v>266</v>
      </c>
      <c r="H25" s="6" t="s">
        <v>47</v>
      </c>
      <c r="I25" s="8">
        <v>10</v>
      </c>
      <c r="J25" s="8">
        <v>14.93</v>
      </c>
      <c r="K25" s="8">
        <v>100</v>
      </c>
      <c r="L25" s="8">
        <v>1.49</v>
      </c>
      <c r="M25" s="6" t="s">
        <v>267</v>
      </c>
      <c r="N25" s="7">
        <v>45962</v>
      </c>
      <c r="O25" s="9" t="s">
        <v>354</v>
      </c>
      <c r="P25" s="9"/>
      <c r="Q25" s="9"/>
      <c r="R25" s="15">
        <v>9030982390</v>
      </c>
      <c r="S25" s="9" t="str">
        <f>CONCATENATE(R25,4)</f>
        <v>90309823904</v>
      </c>
      <c r="T25" s="6" t="s">
        <v>422</v>
      </c>
      <c r="U25" s="9" t="s">
        <v>423</v>
      </c>
      <c r="V25" t="str">
        <f>CONCATENATE(U25," ",T25)</f>
        <v>Patrick Rolfs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spans="1:43" x14ac:dyDescent="0.2">
      <c r="A26" s="6" t="s">
        <v>184</v>
      </c>
      <c r="B26" s="9">
        <v>18828278</v>
      </c>
      <c r="C26" s="6" t="s">
        <v>311</v>
      </c>
      <c r="D26" s="6" t="s">
        <v>312</v>
      </c>
      <c r="E26" s="7">
        <v>46113</v>
      </c>
      <c r="F26" s="6" t="s">
        <v>50</v>
      </c>
      <c r="G26" s="6" t="s">
        <v>266</v>
      </c>
      <c r="H26" s="6" t="s">
        <v>47</v>
      </c>
      <c r="I26" s="8">
        <v>10</v>
      </c>
      <c r="J26" s="8">
        <v>26.88</v>
      </c>
      <c r="K26" s="8">
        <v>100</v>
      </c>
      <c r="L26" s="8">
        <v>2.69</v>
      </c>
      <c r="M26" s="6" t="s">
        <v>267</v>
      </c>
      <c r="N26" s="7">
        <v>45962</v>
      </c>
      <c r="O26" s="9" t="s">
        <v>354</v>
      </c>
      <c r="P26" s="9"/>
      <c r="Q26" s="9"/>
      <c r="R26" s="15">
        <v>9030996000</v>
      </c>
      <c r="S26" s="9" t="str">
        <f>CONCATENATE(R26,4)</f>
        <v>90309960004</v>
      </c>
      <c r="T26" s="6" t="s">
        <v>424</v>
      </c>
      <c r="U26" s="9" t="s">
        <v>425</v>
      </c>
      <c r="V26" t="str">
        <f>CONCATENATE(U26," ",T26)</f>
        <v>Dana Quiram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spans="1:43" x14ac:dyDescent="0.2">
      <c r="A27" s="6" t="s">
        <v>184</v>
      </c>
      <c r="B27" s="9">
        <v>18828278</v>
      </c>
      <c r="C27" s="6" t="s">
        <v>313</v>
      </c>
      <c r="D27" s="6" t="s">
        <v>314</v>
      </c>
      <c r="E27" s="7">
        <v>46113</v>
      </c>
      <c r="F27" s="6" t="s">
        <v>50</v>
      </c>
      <c r="G27" s="6" t="s">
        <v>266</v>
      </c>
      <c r="H27" s="6" t="s">
        <v>47</v>
      </c>
      <c r="I27" s="8">
        <v>10</v>
      </c>
      <c r="J27" s="8">
        <v>14.93</v>
      </c>
      <c r="K27" s="8">
        <v>100</v>
      </c>
      <c r="L27" s="8">
        <v>1.49</v>
      </c>
      <c r="M27" s="6" t="s">
        <v>267</v>
      </c>
      <c r="N27" s="7">
        <v>45901</v>
      </c>
      <c r="O27" s="9" t="s">
        <v>354</v>
      </c>
      <c r="P27" s="9"/>
      <c r="Q27" s="9"/>
      <c r="R27" s="15">
        <v>9031044060</v>
      </c>
      <c r="S27" s="9" t="str">
        <f>CONCATENATE(R27,4)</f>
        <v>90310440604</v>
      </c>
      <c r="T27" s="6" t="s">
        <v>426</v>
      </c>
      <c r="U27" s="9" t="s">
        <v>427</v>
      </c>
      <c r="V27" t="str">
        <f>CONCATENATE(U27," ",T27)</f>
        <v>Jackie Alfrey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spans="1:43" x14ac:dyDescent="0.2">
      <c r="A28" s="6" t="s">
        <v>184</v>
      </c>
      <c r="B28" s="9">
        <v>18828278</v>
      </c>
      <c r="C28" s="6" t="s">
        <v>315</v>
      </c>
      <c r="D28" s="6" t="s">
        <v>316</v>
      </c>
      <c r="E28" s="7">
        <v>46113</v>
      </c>
      <c r="F28" s="6" t="s">
        <v>50</v>
      </c>
      <c r="G28" s="6" t="s">
        <v>266</v>
      </c>
      <c r="H28" s="6" t="s">
        <v>47</v>
      </c>
      <c r="I28" s="8">
        <v>10</v>
      </c>
      <c r="J28" s="8">
        <v>14.93</v>
      </c>
      <c r="K28" s="8">
        <v>100</v>
      </c>
      <c r="L28" s="8">
        <v>1.49</v>
      </c>
      <c r="M28" s="6" t="s">
        <v>267</v>
      </c>
      <c r="N28" s="7">
        <v>45962</v>
      </c>
      <c r="O28" s="9" t="s">
        <v>354</v>
      </c>
      <c r="P28" s="9"/>
      <c r="Q28" s="9"/>
      <c r="R28" s="15">
        <v>9031241060</v>
      </c>
      <c r="S28" s="9" t="str">
        <f>CONCATENATE(R28,4)</f>
        <v>90312410604</v>
      </c>
      <c r="T28" s="6" t="s">
        <v>428</v>
      </c>
      <c r="U28" s="9" t="s">
        <v>429</v>
      </c>
      <c r="V28" t="str">
        <f>CONCATENATE(U28," ",T28)</f>
        <v>Hannelore Heckmann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spans="1:43" x14ac:dyDescent="0.2">
      <c r="A29" s="6" t="s">
        <v>184</v>
      </c>
      <c r="B29" s="9">
        <v>18828278</v>
      </c>
      <c r="C29" s="6" t="s">
        <v>317</v>
      </c>
      <c r="D29" s="6" t="s">
        <v>318</v>
      </c>
      <c r="E29" s="7">
        <v>46113</v>
      </c>
      <c r="F29" s="6" t="s">
        <v>50</v>
      </c>
      <c r="G29" s="6" t="s">
        <v>266</v>
      </c>
      <c r="H29" s="6" t="s">
        <v>47</v>
      </c>
      <c r="I29" s="8">
        <v>10</v>
      </c>
      <c r="J29" s="8">
        <v>26.88</v>
      </c>
      <c r="K29" s="8">
        <v>100</v>
      </c>
      <c r="L29" s="8">
        <v>2.69</v>
      </c>
      <c r="M29" s="6" t="s">
        <v>267</v>
      </c>
      <c r="N29" s="7">
        <v>45962</v>
      </c>
      <c r="O29" s="9" t="s">
        <v>354</v>
      </c>
      <c r="P29" s="9"/>
      <c r="Q29" s="9"/>
      <c r="R29" s="15">
        <v>9031246400</v>
      </c>
      <c r="S29" s="9" t="str">
        <f>CONCATENATE(R29,4)</f>
        <v>90312464004</v>
      </c>
      <c r="T29" s="6" t="s">
        <v>430</v>
      </c>
      <c r="U29" s="9" t="s">
        <v>431</v>
      </c>
      <c r="V29" t="str">
        <f>CONCATENATE(U29," ",T29)</f>
        <v>Linda Forbes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x14ac:dyDescent="0.2">
      <c r="A30" s="6" t="s">
        <v>184</v>
      </c>
      <c r="B30" s="9">
        <v>18828278</v>
      </c>
      <c r="C30" s="6" t="s">
        <v>319</v>
      </c>
      <c r="D30" s="6" t="s">
        <v>320</v>
      </c>
      <c r="E30" s="7">
        <v>46113</v>
      </c>
      <c r="F30" s="6" t="s">
        <v>50</v>
      </c>
      <c r="G30" s="6" t="s">
        <v>266</v>
      </c>
      <c r="H30" s="6" t="s">
        <v>47</v>
      </c>
      <c r="I30" s="8">
        <v>10</v>
      </c>
      <c r="J30" s="8">
        <v>14.93</v>
      </c>
      <c r="K30" s="8">
        <v>100</v>
      </c>
      <c r="L30" s="8">
        <v>1.49</v>
      </c>
      <c r="M30" s="6" t="s">
        <v>267</v>
      </c>
      <c r="N30" s="7">
        <v>46023</v>
      </c>
      <c r="O30" s="9" t="s">
        <v>354</v>
      </c>
      <c r="P30" s="9"/>
      <c r="Q30" s="9"/>
      <c r="R30" s="15">
        <v>9031377640</v>
      </c>
      <c r="S30" s="9" t="str">
        <f>CONCATENATE(R30,4)</f>
        <v>90313776404</v>
      </c>
      <c r="T30" s="6" t="s">
        <v>432</v>
      </c>
      <c r="U30" s="9" t="s">
        <v>433</v>
      </c>
      <c r="V30" t="str">
        <f>CONCATENATE(U30," ",T30)</f>
        <v>Michelle Shmikler</v>
      </c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spans="1:43" x14ac:dyDescent="0.2">
      <c r="A31" s="6" t="s">
        <v>184</v>
      </c>
      <c r="B31" s="9">
        <v>18828278</v>
      </c>
      <c r="C31" s="6" t="s">
        <v>321</v>
      </c>
      <c r="D31" s="6" t="s">
        <v>322</v>
      </c>
      <c r="E31" s="7">
        <v>46113</v>
      </c>
      <c r="F31" s="6" t="s">
        <v>50</v>
      </c>
      <c r="G31" s="6" t="s">
        <v>266</v>
      </c>
      <c r="H31" s="6" t="s">
        <v>47</v>
      </c>
      <c r="I31" s="8">
        <v>10</v>
      </c>
      <c r="J31" s="8">
        <v>14.93</v>
      </c>
      <c r="K31" s="8">
        <v>100</v>
      </c>
      <c r="L31" s="8">
        <v>1.49</v>
      </c>
      <c r="M31" s="6" t="s">
        <v>267</v>
      </c>
      <c r="N31" s="7">
        <v>46023</v>
      </c>
      <c r="O31" s="9" t="s">
        <v>354</v>
      </c>
      <c r="P31" s="9"/>
      <c r="Q31" s="9"/>
      <c r="R31" s="15">
        <v>9031418110</v>
      </c>
      <c r="S31" s="9" t="str">
        <f>CONCATENATE(R31,4)</f>
        <v>90314181104</v>
      </c>
      <c r="T31" s="6" t="s">
        <v>434</v>
      </c>
      <c r="U31" s="9" t="s">
        <v>435</v>
      </c>
      <c r="V31" t="str">
        <f>CONCATENATE(U31," ",T31)</f>
        <v>Debra Loeffler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x14ac:dyDescent="0.2">
      <c r="A32" s="6" t="s">
        <v>184</v>
      </c>
      <c r="B32" s="9">
        <v>18828278</v>
      </c>
      <c r="C32" s="6" t="s">
        <v>323</v>
      </c>
      <c r="D32" s="6" t="s">
        <v>324</v>
      </c>
      <c r="E32" s="7">
        <v>46113</v>
      </c>
      <c r="F32" s="6" t="s">
        <v>50</v>
      </c>
      <c r="G32" s="6" t="s">
        <v>266</v>
      </c>
      <c r="H32" s="6" t="s">
        <v>47</v>
      </c>
      <c r="I32" s="8">
        <v>10</v>
      </c>
      <c r="J32" s="8">
        <v>26.88</v>
      </c>
      <c r="K32" s="8">
        <v>100</v>
      </c>
      <c r="L32" s="8">
        <v>2.69</v>
      </c>
      <c r="M32" s="6" t="s">
        <v>267</v>
      </c>
      <c r="N32" s="7">
        <v>45976</v>
      </c>
      <c r="O32" s="9" t="s">
        <v>354</v>
      </c>
      <c r="P32" s="9"/>
      <c r="Q32" s="9"/>
      <c r="R32" s="15">
        <v>9031424040</v>
      </c>
      <c r="S32" s="9" t="str">
        <f>CONCATENATE(R32,4)</f>
        <v>90314240404</v>
      </c>
      <c r="T32" s="6" t="s">
        <v>436</v>
      </c>
      <c r="U32" s="9" t="s">
        <v>421</v>
      </c>
      <c r="V32" t="str">
        <f>CONCATENATE(U32," ",T32)</f>
        <v>Thomas Priaulx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spans="1:43" x14ac:dyDescent="0.2">
      <c r="A33" s="6" t="s">
        <v>184</v>
      </c>
      <c r="B33" s="9">
        <v>18828278</v>
      </c>
      <c r="C33" s="6" t="s">
        <v>325</v>
      </c>
      <c r="D33" s="6" t="s">
        <v>326</v>
      </c>
      <c r="E33" s="7">
        <v>46113</v>
      </c>
      <c r="F33" s="6" t="s">
        <v>50</v>
      </c>
      <c r="G33" s="6" t="s">
        <v>266</v>
      </c>
      <c r="H33" s="6" t="s">
        <v>47</v>
      </c>
      <c r="I33" s="8">
        <v>10</v>
      </c>
      <c r="J33" s="8">
        <v>14.93</v>
      </c>
      <c r="K33" s="8">
        <v>100</v>
      </c>
      <c r="L33" s="8">
        <v>1.49</v>
      </c>
      <c r="M33" s="6" t="s">
        <v>267</v>
      </c>
      <c r="N33" s="7">
        <v>45978</v>
      </c>
      <c r="O33" s="9" t="s">
        <v>354</v>
      </c>
      <c r="P33" s="9"/>
      <c r="Q33" s="9"/>
      <c r="R33" s="15">
        <v>9031431760</v>
      </c>
      <c r="S33" s="9" t="str">
        <f>CONCATENATE(R33,4)</f>
        <v>90314317604</v>
      </c>
      <c r="T33" s="6" t="s">
        <v>437</v>
      </c>
      <c r="U33" s="9" t="s">
        <v>438</v>
      </c>
      <c r="V33" t="str">
        <f>CONCATENATE(U33," ",T33)</f>
        <v>Cynthia Freed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spans="1:43" x14ac:dyDescent="0.2">
      <c r="A34" s="6" t="s">
        <v>184</v>
      </c>
      <c r="B34" s="9">
        <v>18828278</v>
      </c>
      <c r="C34" s="6" t="s">
        <v>327</v>
      </c>
      <c r="D34" s="6" t="s">
        <v>328</v>
      </c>
      <c r="E34" s="7">
        <v>46113</v>
      </c>
      <c r="F34" s="6" t="s">
        <v>50</v>
      </c>
      <c r="G34" s="6" t="s">
        <v>266</v>
      </c>
      <c r="H34" s="6" t="s">
        <v>47</v>
      </c>
      <c r="I34" s="8">
        <v>10</v>
      </c>
      <c r="J34" s="8">
        <v>14.93</v>
      </c>
      <c r="K34" s="8">
        <v>100</v>
      </c>
      <c r="L34" s="8">
        <v>1.49</v>
      </c>
      <c r="M34" s="6" t="s">
        <v>267</v>
      </c>
      <c r="N34" s="7">
        <v>46023</v>
      </c>
      <c r="O34" s="9" t="s">
        <v>354</v>
      </c>
      <c r="P34" s="9"/>
      <c r="Q34" s="9"/>
      <c r="R34" s="15">
        <v>9031456350</v>
      </c>
      <c r="S34" s="9" t="str">
        <f>CONCATENATE(R34,4)</f>
        <v>90314563504</v>
      </c>
      <c r="T34" s="6" t="s">
        <v>439</v>
      </c>
      <c r="U34" s="9" t="s">
        <v>440</v>
      </c>
      <c r="V34" t="str">
        <f>CONCATENATE(U34," ",T34)</f>
        <v>Paulette Moody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spans="1:43" x14ac:dyDescent="0.2">
      <c r="A35" s="6" t="s">
        <v>184</v>
      </c>
      <c r="B35" s="9">
        <v>18828278</v>
      </c>
      <c r="C35" s="6" t="s">
        <v>329</v>
      </c>
      <c r="D35" s="6" t="s">
        <v>330</v>
      </c>
      <c r="E35" s="7">
        <v>46113</v>
      </c>
      <c r="F35" s="6" t="s">
        <v>50</v>
      </c>
      <c r="G35" s="6" t="s">
        <v>266</v>
      </c>
      <c r="H35" s="6" t="s">
        <v>47</v>
      </c>
      <c r="I35" s="8">
        <v>10</v>
      </c>
      <c r="J35" s="8">
        <v>14.93</v>
      </c>
      <c r="K35" s="8">
        <v>100</v>
      </c>
      <c r="L35" s="8">
        <v>1.49</v>
      </c>
      <c r="M35" s="6" t="s">
        <v>267</v>
      </c>
      <c r="N35" s="7">
        <v>46023</v>
      </c>
      <c r="O35" s="9" t="s">
        <v>354</v>
      </c>
      <c r="P35" s="9"/>
      <c r="Q35" s="9"/>
      <c r="R35" s="15">
        <v>9031517160</v>
      </c>
      <c r="S35" s="9" t="str">
        <f>CONCATENATE(R35,4)</f>
        <v>90315171604</v>
      </c>
      <c r="T35" s="6" t="s">
        <v>441</v>
      </c>
      <c r="U35" s="9" t="s">
        <v>442</v>
      </c>
      <c r="V35" t="str">
        <f>CONCATENATE(U35," ",T35)</f>
        <v>Kristi Hofmann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spans="1:43" x14ac:dyDescent="0.2">
      <c r="A36" s="6" t="s">
        <v>184</v>
      </c>
      <c r="B36" s="9">
        <v>18828278</v>
      </c>
      <c r="C36" s="6" t="s">
        <v>331</v>
      </c>
      <c r="D36" s="6" t="s">
        <v>332</v>
      </c>
      <c r="E36" s="7">
        <v>46113</v>
      </c>
      <c r="F36" s="6" t="s">
        <v>50</v>
      </c>
      <c r="G36" s="6" t="s">
        <v>266</v>
      </c>
      <c r="H36" s="6" t="s">
        <v>47</v>
      </c>
      <c r="I36" s="8">
        <v>15</v>
      </c>
      <c r="J36" s="8">
        <v>14.933333333333335</v>
      </c>
      <c r="K36" s="8">
        <v>100</v>
      </c>
      <c r="L36" s="8">
        <v>2.2400000000000002</v>
      </c>
      <c r="M36" s="6" t="s">
        <v>267</v>
      </c>
      <c r="N36" s="7">
        <v>46027</v>
      </c>
      <c r="O36" s="9" t="s">
        <v>355</v>
      </c>
      <c r="P36" s="9"/>
      <c r="Q36" s="8"/>
      <c r="R36" s="15">
        <v>9031703920</v>
      </c>
      <c r="S36" s="9" t="str">
        <f>CONCATENATE(R36,2)</f>
        <v>90317039202</v>
      </c>
      <c r="T36" s="6" t="s">
        <v>449</v>
      </c>
      <c r="U36" s="9" t="s">
        <v>450</v>
      </c>
      <c r="V36" t="str">
        <f>CONCATENATE(U36," ",T36)</f>
        <v>Judith Yoder</v>
      </c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1:43" x14ac:dyDescent="0.2">
      <c r="A37" s="6" t="s">
        <v>184</v>
      </c>
      <c r="B37" s="9">
        <v>18828278</v>
      </c>
      <c r="C37" s="6" t="s">
        <v>333</v>
      </c>
      <c r="D37" s="6" t="s">
        <v>334</v>
      </c>
      <c r="E37" s="7">
        <v>46113</v>
      </c>
      <c r="F37" s="6" t="s">
        <v>50</v>
      </c>
      <c r="G37" s="6" t="s">
        <v>266</v>
      </c>
      <c r="H37" s="6" t="s">
        <v>47</v>
      </c>
      <c r="I37" s="8">
        <v>15</v>
      </c>
      <c r="J37" s="8">
        <v>14.933333333333335</v>
      </c>
      <c r="K37" s="8">
        <v>100</v>
      </c>
      <c r="L37" s="8">
        <v>2.2400000000000002</v>
      </c>
      <c r="M37" s="6" t="s">
        <v>267</v>
      </c>
      <c r="N37" s="7">
        <v>46054</v>
      </c>
      <c r="O37" s="9" t="s">
        <v>355</v>
      </c>
      <c r="P37" s="9"/>
      <c r="Q37" s="8"/>
      <c r="R37" s="15">
        <v>9031732990</v>
      </c>
      <c r="S37" s="9" t="str">
        <f>CONCATENATE(R37,2)</f>
        <v>90317329902</v>
      </c>
      <c r="T37" s="6" t="s">
        <v>451</v>
      </c>
      <c r="U37" s="9" t="s">
        <v>452</v>
      </c>
      <c r="V37" t="str">
        <f>CONCATENATE(U37," ",T37)</f>
        <v>Brianne Mazurek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spans="1:43" x14ac:dyDescent="0.2">
      <c r="A38" s="6" t="s">
        <v>184</v>
      </c>
      <c r="B38" s="9">
        <v>18828278</v>
      </c>
      <c r="C38" s="6" t="s">
        <v>335</v>
      </c>
      <c r="D38" s="6" t="s">
        <v>336</v>
      </c>
      <c r="E38" s="7">
        <v>46113</v>
      </c>
      <c r="F38" s="6" t="s">
        <v>50</v>
      </c>
      <c r="G38" s="6" t="s">
        <v>266</v>
      </c>
      <c r="H38" s="6" t="s">
        <v>47</v>
      </c>
      <c r="I38" s="8">
        <v>15</v>
      </c>
      <c r="J38" s="8">
        <v>14.933333333333335</v>
      </c>
      <c r="K38" s="8">
        <v>100</v>
      </c>
      <c r="L38" s="8">
        <v>2.2400000000000002</v>
      </c>
      <c r="M38" s="6" t="s">
        <v>267</v>
      </c>
      <c r="N38" s="7">
        <v>46054</v>
      </c>
      <c r="O38" s="9" t="s">
        <v>355</v>
      </c>
      <c r="P38" s="9"/>
      <c r="Q38" s="8"/>
      <c r="R38" s="15">
        <v>9031748930</v>
      </c>
      <c r="S38" s="9" t="str">
        <f>CONCATENATE(R38,2)</f>
        <v>90317489302</v>
      </c>
      <c r="T38" s="6" t="s">
        <v>453</v>
      </c>
      <c r="U38" s="9" t="s">
        <v>454</v>
      </c>
      <c r="V38" t="str">
        <f>CONCATENATE(U38," ",T38)</f>
        <v>Stacia Deiss</v>
      </c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spans="1:43" x14ac:dyDescent="0.2">
      <c r="A39" s="6" t="s">
        <v>184</v>
      </c>
      <c r="B39" s="9">
        <v>18828278</v>
      </c>
      <c r="C39" s="6" t="s">
        <v>337</v>
      </c>
      <c r="D39" s="6" t="s">
        <v>338</v>
      </c>
      <c r="E39" s="7">
        <v>46113</v>
      </c>
      <c r="F39" s="6" t="s">
        <v>50</v>
      </c>
      <c r="G39" s="6" t="s">
        <v>266</v>
      </c>
      <c r="H39" s="6" t="s">
        <v>47</v>
      </c>
      <c r="I39" s="8">
        <v>15</v>
      </c>
      <c r="J39" s="8">
        <v>26.866666666666671</v>
      </c>
      <c r="K39" s="8">
        <v>100</v>
      </c>
      <c r="L39" s="8">
        <v>4.03</v>
      </c>
      <c r="M39" s="6" t="s">
        <v>267</v>
      </c>
      <c r="N39" s="7">
        <v>46054</v>
      </c>
      <c r="O39" s="9" t="s">
        <v>355</v>
      </c>
      <c r="P39" s="9"/>
      <c r="Q39" s="8"/>
      <c r="R39" s="15">
        <v>9031841280</v>
      </c>
      <c r="S39" s="9" t="str">
        <f>CONCATENATE(R39,2)</f>
        <v>90318412802</v>
      </c>
      <c r="T39" s="6" t="s">
        <v>455</v>
      </c>
      <c r="U39" s="9" t="s">
        <v>456</v>
      </c>
      <c r="V39" t="str">
        <f>CONCATENATE(U39," ",T39)</f>
        <v>Danielle Hauersperger</v>
      </c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1:43" x14ac:dyDescent="0.2">
      <c r="A40" s="6" t="s">
        <v>184</v>
      </c>
      <c r="B40" s="9">
        <v>18828278</v>
      </c>
      <c r="C40" s="6" t="s">
        <v>339</v>
      </c>
      <c r="D40" s="6" t="s">
        <v>340</v>
      </c>
      <c r="E40" s="7">
        <v>46113</v>
      </c>
      <c r="F40" s="6" t="s">
        <v>50</v>
      </c>
      <c r="G40" s="6" t="s">
        <v>266</v>
      </c>
      <c r="H40" s="6" t="s">
        <v>47</v>
      </c>
      <c r="I40" s="8">
        <v>15</v>
      </c>
      <c r="J40" s="8">
        <v>14.933333333333335</v>
      </c>
      <c r="K40" s="8">
        <v>100</v>
      </c>
      <c r="L40" s="8">
        <v>2.2400000000000002</v>
      </c>
      <c r="M40" s="6" t="s">
        <v>267</v>
      </c>
      <c r="N40" s="7">
        <v>46054</v>
      </c>
      <c r="O40" s="9" t="s">
        <v>355</v>
      </c>
      <c r="P40" s="9"/>
      <c r="Q40" s="8"/>
      <c r="R40" s="15">
        <v>9031841850</v>
      </c>
      <c r="S40" s="9" t="str">
        <f>CONCATENATE(R40,2)</f>
        <v>90318418502</v>
      </c>
      <c r="T40" s="6" t="s">
        <v>457</v>
      </c>
      <c r="U40" s="9" t="s">
        <v>458</v>
      </c>
      <c r="V40" t="str">
        <f>CONCATENATE(U40," ",T40)</f>
        <v>Ryleigh White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x14ac:dyDescent="0.2">
      <c r="A41" s="6" t="s">
        <v>184</v>
      </c>
      <c r="B41" s="9">
        <v>18828278</v>
      </c>
      <c r="C41" s="6" t="s">
        <v>341</v>
      </c>
      <c r="D41" s="6" t="s">
        <v>342</v>
      </c>
      <c r="E41" s="7">
        <v>46113</v>
      </c>
      <c r="F41" s="6" t="s">
        <v>50</v>
      </c>
      <c r="G41" s="6" t="s">
        <v>266</v>
      </c>
      <c r="H41" s="6" t="s">
        <v>47</v>
      </c>
      <c r="I41" s="8">
        <v>15</v>
      </c>
      <c r="J41" s="8">
        <v>26.866666666666671</v>
      </c>
      <c r="K41" s="8">
        <v>100</v>
      </c>
      <c r="L41" s="8">
        <v>4.03</v>
      </c>
      <c r="M41" s="6" t="s">
        <v>267</v>
      </c>
      <c r="N41" s="7">
        <v>46054</v>
      </c>
      <c r="O41" s="9" t="s">
        <v>355</v>
      </c>
      <c r="P41" s="9"/>
      <c r="Q41" s="8"/>
      <c r="R41" s="15">
        <v>9031849520</v>
      </c>
      <c r="S41" s="9" t="str">
        <f>CONCATENATE(R41,2)</f>
        <v>90318495202</v>
      </c>
      <c r="T41" s="6" t="s">
        <v>459</v>
      </c>
      <c r="U41" s="9" t="s">
        <v>460</v>
      </c>
      <c r="V41" t="str">
        <f>CONCATENATE(U41," ",T41)</f>
        <v>Jessica Gardner</v>
      </c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spans="1:43" x14ac:dyDescent="0.2">
      <c r="A42" s="4" t="s">
        <v>184</v>
      </c>
      <c r="B42">
        <v>18828278</v>
      </c>
      <c r="C42" s="4" t="s">
        <v>185</v>
      </c>
      <c r="D42" s="4" t="s">
        <v>186</v>
      </c>
      <c r="E42" s="3">
        <v>46113</v>
      </c>
      <c r="F42" s="4" t="s">
        <v>50</v>
      </c>
      <c r="G42" s="4" t="s">
        <v>52</v>
      </c>
      <c r="H42" s="4" t="s">
        <v>53</v>
      </c>
      <c r="I42" s="5">
        <v>0.75</v>
      </c>
      <c r="J42" s="5">
        <v>0</v>
      </c>
      <c r="K42" s="5">
        <v>100</v>
      </c>
      <c r="L42" s="5">
        <v>260.25</v>
      </c>
      <c r="M42" s="4" t="s">
        <v>54</v>
      </c>
      <c r="N42" s="3">
        <v>46113</v>
      </c>
      <c r="O42" t="s">
        <v>362</v>
      </c>
      <c r="P42" s="14" t="s">
        <v>363</v>
      </c>
      <c r="R42" s="4" t="s">
        <v>186</v>
      </c>
      <c r="S42" s="20" t="str">
        <f>CONCATENATE(R42,67)</f>
        <v>00024453204K67</v>
      </c>
      <c r="T42" s="4" t="s">
        <v>533</v>
      </c>
      <c r="U42" t="s">
        <v>534</v>
      </c>
      <c r="V42" t="str">
        <f>CONCATENATE(U42," ",T42)</f>
        <v>LOIS PARSONS</v>
      </c>
    </row>
    <row r="43" spans="1:43" x14ac:dyDescent="0.2">
      <c r="A43" s="4" t="s">
        <v>214</v>
      </c>
      <c r="B43">
        <v>21283956</v>
      </c>
      <c r="C43" s="4" t="s">
        <v>215</v>
      </c>
      <c r="D43" s="4" t="s">
        <v>216</v>
      </c>
      <c r="E43" s="3">
        <v>46023</v>
      </c>
      <c r="F43" s="4" t="s">
        <v>61</v>
      </c>
      <c r="G43" s="4" t="s">
        <v>52</v>
      </c>
      <c r="H43" s="4" t="s">
        <v>53</v>
      </c>
      <c r="I43" s="5">
        <v>0.75</v>
      </c>
      <c r="J43" s="5">
        <v>0</v>
      </c>
      <c r="K43" s="5">
        <v>100</v>
      </c>
      <c r="L43" s="5">
        <v>260.25</v>
      </c>
      <c r="M43" s="4" t="s">
        <v>54</v>
      </c>
      <c r="N43" s="3">
        <v>46023</v>
      </c>
      <c r="O43" t="s">
        <v>362</v>
      </c>
      <c r="P43" s="14" t="s">
        <v>363</v>
      </c>
      <c r="R43" s="4" t="s">
        <v>216</v>
      </c>
      <c r="S43" s="20" t="str">
        <f>CONCATENATE(R43,67)</f>
        <v>00024697948K67</v>
      </c>
      <c r="T43" s="4" t="s">
        <v>541</v>
      </c>
      <c r="U43" t="s">
        <v>542</v>
      </c>
      <c r="V43" t="str">
        <f>CONCATENATE(U43," ",T43)</f>
        <v>LYDIA RILEY</v>
      </c>
    </row>
    <row r="44" spans="1:43" x14ac:dyDescent="0.2">
      <c r="A44" s="4" t="s">
        <v>118</v>
      </c>
      <c r="B44">
        <v>17094718</v>
      </c>
      <c r="C44" s="4" t="s">
        <v>119</v>
      </c>
      <c r="D44" s="4" t="s">
        <v>120</v>
      </c>
      <c r="E44" s="3">
        <v>46113</v>
      </c>
      <c r="F44" s="4" t="s">
        <v>50</v>
      </c>
      <c r="G44" s="4" t="s">
        <v>52</v>
      </c>
      <c r="H44" s="4" t="s">
        <v>53</v>
      </c>
      <c r="I44" s="5">
        <v>0.75</v>
      </c>
      <c r="J44" s="5">
        <v>0</v>
      </c>
      <c r="K44" s="5">
        <v>100</v>
      </c>
      <c r="L44" s="5">
        <v>260.25</v>
      </c>
      <c r="M44" s="4" t="s">
        <v>54</v>
      </c>
      <c r="N44" s="3">
        <v>46113</v>
      </c>
      <c r="O44" t="s">
        <v>362</v>
      </c>
      <c r="P44" s="14" t="s">
        <v>363</v>
      </c>
      <c r="R44" s="4" t="s">
        <v>120</v>
      </c>
      <c r="S44" s="20" t="str">
        <f>CONCATENATE(R44,67)</f>
        <v>00026048901K67</v>
      </c>
      <c r="T44" s="4" t="s">
        <v>521</v>
      </c>
      <c r="U44" t="s">
        <v>522</v>
      </c>
      <c r="V44" t="str">
        <f>CONCATENATE(U44," ",T44)</f>
        <v>DOROTHY RUCKER</v>
      </c>
    </row>
    <row r="45" spans="1:43" x14ac:dyDescent="0.2">
      <c r="A45" s="4" t="s">
        <v>122</v>
      </c>
      <c r="B45">
        <v>17301495</v>
      </c>
      <c r="C45" s="4" t="s">
        <v>123</v>
      </c>
      <c r="D45" s="4" t="s">
        <v>124</v>
      </c>
      <c r="E45" s="3">
        <v>46113</v>
      </c>
      <c r="F45" s="4" t="s">
        <v>50</v>
      </c>
      <c r="G45" s="4" t="s">
        <v>52</v>
      </c>
      <c r="H45" s="4" t="s">
        <v>62</v>
      </c>
      <c r="I45" s="5">
        <v>0.75</v>
      </c>
      <c r="J45" s="5">
        <v>0</v>
      </c>
      <c r="K45" s="5">
        <v>100</v>
      </c>
      <c r="L45" s="5">
        <v>260.25</v>
      </c>
      <c r="M45" s="4" t="s">
        <v>54</v>
      </c>
      <c r="N45" s="3">
        <v>46113</v>
      </c>
      <c r="O45" t="s">
        <v>362</v>
      </c>
      <c r="P45" s="14" t="s">
        <v>363</v>
      </c>
      <c r="R45" s="4" t="s">
        <v>124</v>
      </c>
      <c r="S45" s="20" t="str">
        <f>CONCATENATE(R45,67)</f>
        <v>00024359857K67</v>
      </c>
      <c r="T45" s="4" t="s">
        <v>509</v>
      </c>
      <c r="U45" t="s">
        <v>510</v>
      </c>
      <c r="V45" t="str">
        <f>CONCATENATE(U45," ",T45)</f>
        <v>NANCY SALINAS</v>
      </c>
    </row>
    <row r="46" spans="1:43" x14ac:dyDescent="0.2">
      <c r="A46" s="4" t="s">
        <v>122</v>
      </c>
      <c r="B46">
        <v>17301495</v>
      </c>
      <c r="C46" s="4" t="s">
        <v>126</v>
      </c>
      <c r="D46" s="4" t="s">
        <v>127</v>
      </c>
      <c r="E46" s="3">
        <v>46113</v>
      </c>
      <c r="F46" s="4" t="s">
        <v>50</v>
      </c>
      <c r="G46" s="4" t="s">
        <v>52</v>
      </c>
      <c r="H46" s="4" t="s">
        <v>62</v>
      </c>
      <c r="I46" s="5">
        <v>0.75</v>
      </c>
      <c r="J46" s="5">
        <v>0</v>
      </c>
      <c r="K46" s="5">
        <v>100</v>
      </c>
      <c r="L46" s="5">
        <v>260.25</v>
      </c>
      <c r="M46" s="4" t="s">
        <v>54</v>
      </c>
      <c r="N46" s="3">
        <v>46113</v>
      </c>
      <c r="O46" t="s">
        <v>362</v>
      </c>
      <c r="P46" s="14" t="s">
        <v>363</v>
      </c>
      <c r="R46" s="4" t="s">
        <v>127</v>
      </c>
      <c r="S46" s="20" t="str">
        <f>CONCATENATE(R46,67)</f>
        <v>00026300510K67</v>
      </c>
      <c r="T46" s="4" t="s">
        <v>511</v>
      </c>
      <c r="U46" t="s">
        <v>512</v>
      </c>
      <c r="V46" t="str">
        <f>CONCATENATE(U46," ",T46)</f>
        <v>WARREN ARENDT</v>
      </c>
    </row>
    <row r="47" spans="1:43" s="20" customFormat="1" x14ac:dyDescent="0.2">
      <c r="A47" s="10" t="s">
        <v>101</v>
      </c>
      <c r="B47" s="13">
        <v>15278437</v>
      </c>
      <c r="C47" s="10" t="s">
        <v>259</v>
      </c>
      <c r="D47" s="10" t="s">
        <v>260</v>
      </c>
      <c r="E47" s="11">
        <v>46113</v>
      </c>
      <c r="F47" s="10" t="s">
        <v>50</v>
      </c>
      <c r="G47" s="10" t="s">
        <v>52</v>
      </c>
      <c r="H47" s="10" t="s">
        <v>47</v>
      </c>
      <c r="I47" s="12">
        <v>26</v>
      </c>
      <c r="J47" s="12">
        <v>84.94</v>
      </c>
      <c r="K47" s="12">
        <v>100</v>
      </c>
      <c r="L47" s="12">
        <v>22.08</v>
      </c>
      <c r="M47" s="10" t="s">
        <v>261</v>
      </c>
      <c r="N47" s="11">
        <v>45323</v>
      </c>
      <c r="O47" s="13" t="s">
        <v>358</v>
      </c>
      <c r="P47" s="13"/>
      <c r="Q47" s="13"/>
      <c r="R47" s="10" t="s">
        <v>260</v>
      </c>
      <c r="S47" s="13" t="str">
        <f>CONCATENATE(R47,8)</f>
        <v>00000808018A8</v>
      </c>
      <c r="T47" s="10" t="s">
        <v>386</v>
      </c>
      <c r="U47" s="13" t="s">
        <v>387</v>
      </c>
      <c r="V47" t="str">
        <f>CONCATENATE(U47," ",T47)</f>
        <v>NORMA KEPHART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</row>
    <row r="48" spans="1:43" x14ac:dyDescent="0.2">
      <c r="A48" s="17" t="s">
        <v>101</v>
      </c>
      <c r="B48" s="20">
        <v>15278437</v>
      </c>
      <c r="C48" s="17" t="s">
        <v>102</v>
      </c>
      <c r="D48" s="17" t="s">
        <v>103</v>
      </c>
      <c r="E48" s="18">
        <v>45992</v>
      </c>
      <c r="F48" s="17" t="s">
        <v>105</v>
      </c>
      <c r="G48" s="17" t="s">
        <v>52</v>
      </c>
      <c r="H48" s="17" t="s">
        <v>62</v>
      </c>
      <c r="I48" s="19">
        <v>1</v>
      </c>
      <c r="J48" s="19">
        <v>0</v>
      </c>
      <c r="K48" s="19">
        <v>100</v>
      </c>
      <c r="L48" s="19">
        <v>26.08</v>
      </c>
      <c r="M48" s="17" t="s">
        <v>89</v>
      </c>
      <c r="N48" s="18">
        <v>45078</v>
      </c>
      <c r="O48" s="20" t="s">
        <v>367</v>
      </c>
      <c r="P48" s="21" t="s">
        <v>368</v>
      </c>
      <c r="Q48" s="20"/>
      <c r="R48" s="17" t="s">
        <v>103</v>
      </c>
      <c r="S48" s="20" t="str">
        <f>CONCATENATE(R48,6)</f>
        <v>00020444605K6</v>
      </c>
      <c r="T48" s="17" t="s">
        <v>461</v>
      </c>
      <c r="U48" s="20" t="s">
        <v>462</v>
      </c>
      <c r="V48" t="str">
        <f>CONCATENATE(U48," ",T48)</f>
        <v>DANIEL COSTA</v>
      </c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</row>
    <row r="49" spans="1:43" x14ac:dyDescent="0.2">
      <c r="A49" s="4" t="s">
        <v>43</v>
      </c>
      <c r="B49">
        <v>2158366</v>
      </c>
      <c r="C49" s="4" t="s">
        <v>44</v>
      </c>
      <c r="D49" s="4" t="s">
        <v>45</v>
      </c>
      <c r="E49" s="3">
        <v>46113</v>
      </c>
      <c r="F49" s="4" t="s">
        <v>50</v>
      </c>
      <c r="G49" s="4" t="s">
        <v>52</v>
      </c>
      <c r="H49" s="4" t="s">
        <v>53</v>
      </c>
      <c r="I49" s="5">
        <v>0.75</v>
      </c>
      <c r="J49" s="5">
        <v>0</v>
      </c>
      <c r="K49" s="5">
        <v>100</v>
      </c>
      <c r="L49" s="5">
        <v>260.25</v>
      </c>
      <c r="M49" s="4" t="s">
        <v>54</v>
      </c>
      <c r="N49" s="3">
        <v>46113</v>
      </c>
      <c r="O49" t="s">
        <v>362</v>
      </c>
      <c r="P49" s="14" t="s">
        <v>363</v>
      </c>
      <c r="R49" s="4" t="s">
        <v>45</v>
      </c>
      <c r="S49" s="20" t="str">
        <f>CONCATENATE(R49,67)</f>
        <v>00026315743K67</v>
      </c>
      <c r="T49" s="4" t="s">
        <v>519</v>
      </c>
      <c r="U49" t="s">
        <v>520</v>
      </c>
      <c r="V49" t="str">
        <f>CONCATENATE(U49," ",T49)</f>
        <v>DONNA ROSENSTIEL</v>
      </c>
    </row>
    <row r="50" spans="1:43" x14ac:dyDescent="0.2">
      <c r="A50" s="10" t="s">
        <v>79</v>
      </c>
      <c r="B50" s="13">
        <v>7146581</v>
      </c>
      <c r="C50" s="10" t="s">
        <v>244</v>
      </c>
      <c r="D50" s="10" t="s">
        <v>245</v>
      </c>
      <c r="E50" s="11">
        <v>46113</v>
      </c>
      <c r="F50" s="10" t="s">
        <v>50</v>
      </c>
      <c r="G50" s="10" t="s">
        <v>52</v>
      </c>
      <c r="H50" s="10" t="s">
        <v>47</v>
      </c>
      <c r="I50" s="12">
        <v>22</v>
      </c>
      <c r="J50" s="12">
        <v>203.18</v>
      </c>
      <c r="K50" s="12">
        <v>100</v>
      </c>
      <c r="L50" s="12">
        <v>44.7</v>
      </c>
      <c r="M50" s="10" t="s">
        <v>89</v>
      </c>
      <c r="N50" s="11">
        <v>45748</v>
      </c>
      <c r="O50" s="13" t="s">
        <v>357</v>
      </c>
      <c r="P50" s="13"/>
      <c r="Q50" s="13"/>
      <c r="R50" s="10" t="s">
        <v>245</v>
      </c>
      <c r="S50" s="13" t="str">
        <f>CONCATENATE(R50,8)</f>
        <v>00000973438A8</v>
      </c>
      <c r="T50" s="10" t="s">
        <v>378</v>
      </c>
      <c r="U50" s="13" t="s">
        <v>379</v>
      </c>
      <c r="V50" t="str">
        <f>CONCATENATE(U50," ",T50)</f>
        <v>DIANA EKSTAM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</row>
    <row r="51" spans="1:43" x14ac:dyDescent="0.2">
      <c r="A51" s="10" t="s">
        <v>79</v>
      </c>
      <c r="B51" s="13">
        <v>7146581</v>
      </c>
      <c r="C51" s="10" t="s">
        <v>248</v>
      </c>
      <c r="D51" s="10" t="s">
        <v>249</v>
      </c>
      <c r="E51" s="11">
        <v>46113</v>
      </c>
      <c r="F51" s="10" t="s">
        <v>50</v>
      </c>
      <c r="G51" s="10" t="s">
        <v>52</v>
      </c>
      <c r="H51" s="10" t="s">
        <v>47</v>
      </c>
      <c r="I51" s="12">
        <v>22</v>
      </c>
      <c r="J51" s="12">
        <v>2487</v>
      </c>
      <c r="K51" s="12">
        <v>100</v>
      </c>
      <c r="L51" s="12">
        <v>547.20000000000005</v>
      </c>
      <c r="M51" s="10" t="s">
        <v>250</v>
      </c>
      <c r="N51" s="11">
        <v>46113</v>
      </c>
      <c r="O51" s="13" t="s">
        <v>357</v>
      </c>
      <c r="P51" s="13"/>
      <c r="Q51" s="13"/>
      <c r="R51" s="10" t="s">
        <v>249</v>
      </c>
      <c r="S51" s="13" t="str">
        <f>CONCATENATE(R51,8)</f>
        <v>00001158475A8</v>
      </c>
      <c r="T51" s="10" t="s">
        <v>380</v>
      </c>
      <c r="U51" s="13" t="s">
        <v>381</v>
      </c>
      <c r="V51" t="str">
        <f>CONCATENATE(U51," ",T51)</f>
        <v>GAIL VOLPE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</row>
    <row r="52" spans="1:43" x14ac:dyDescent="0.2">
      <c r="A52" s="6" t="s">
        <v>79</v>
      </c>
      <c r="B52" s="9">
        <v>7146581</v>
      </c>
      <c r="C52" s="6" t="s">
        <v>252</v>
      </c>
      <c r="D52" s="6" t="s">
        <v>253</v>
      </c>
      <c r="E52" s="7">
        <v>46113</v>
      </c>
      <c r="F52" s="6" t="s">
        <v>50</v>
      </c>
      <c r="G52" s="6" t="s">
        <v>256</v>
      </c>
      <c r="H52" s="6" t="s">
        <v>47</v>
      </c>
      <c r="I52" s="8">
        <v>10</v>
      </c>
      <c r="J52" s="8">
        <v>52.78</v>
      </c>
      <c r="K52" s="8">
        <v>100</v>
      </c>
      <c r="L52" s="8">
        <v>5.28</v>
      </c>
      <c r="M52" s="6" t="s">
        <v>257</v>
      </c>
      <c r="N52" s="7">
        <v>44586</v>
      </c>
      <c r="O52" s="9" t="s">
        <v>354</v>
      </c>
      <c r="P52" s="9"/>
      <c r="Q52" s="9"/>
      <c r="R52" s="15">
        <v>9025228750</v>
      </c>
      <c r="S52" s="9" t="str">
        <f>CONCATENATE(R52,4)</f>
        <v>90252287504</v>
      </c>
      <c r="T52" s="6" t="s">
        <v>396</v>
      </c>
      <c r="U52" s="9" t="s">
        <v>397</v>
      </c>
      <c r="V52" t="str">
        <f>CONCATENATE(U52," ",T52)</f>
        <v>Barbara Hanahan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1:43" x14ac:dyDescent="0.2">
      <c r="A53" s="4" t="s">
        <v>79</v>
      </c>
      <c r="B53">
        <v>7146581</v>
      </c>
      <c r="C53" s="4" t="s">
        <v>84</v>
      </c>
      <c r="D53" s="4" t="s">
        <v>85</v>
      </c>
      <c r="E53" s="3">
        <v>45778</v>
      </c>
      <c r="F53" s="4" t="s">
        <v>92</v>
      </c>
      <c r="G53" s="4" t="s">
        <v>52</v>
      </c>
      <c r="H53" s="4" t="s">
        <v>62</v>
      </c>
      <c r="I53" s="5">
        <v>0.08</v>
      </c>
      <c r="J53" s="5">
        <v>0</v>
      </c>
      <c r="K53" s="5">
        <v>100</v>
      </c>
      <c r="L53" s="5">
        <v>26.09</v>
      </c>
      <c r="M53" s="4" t="s">
        <v>54</v>
      </c>
      <c r="N53" s="3">
        <v>45778</v>
      </c>
      <c r="O53" t="s">
        <v>367</v>
      </c>
      <c r="P53" s="14" t="s">
        <v>368</v>
      </c>
      <c r="R53" s="4" t="s">
        <v>85</v>
      </c>
      <c r="S53" s="20" t="str">
        <f>CONCATENATE(R53,6)</f>
        <v>00023268932K6</v>
      </c>
      <c r="T53" s="4" t="s">
        <v>463</v>
      </c>
      <c r="U53" t="s">
        <v>464</v>
      </c>
      <c r="V53" t="str">
        <f>CONCATENATE(U53," ",T53)</f>
        <v>PAWEL DUSZCZYK</v>
      </c>
    </row>
    <row r="54" spans="1:43" x14ac:dyDescent="0.2">
      <c r="A54" s="4" t="s">
        <v>79</v>
      </c>
      <c r="B54">
        <v>7146581</v>
      </c>
      <c r="C54" s="4" t="s">
        <v>84</v>
      </c>
      <c r="D54" s="4" t="s">
        <v>85</v>
      </c>
      <c r="E54" s="3">
        <v>45778</v>
      </c>
      <c r="F54" s="4" t="s">
        <v>92</v>
      </c>
      <c r="G54" s="4" t="s">
        <v>52</v>
      </c>
      <c r="H54" s="4" t="s">
        <v>62</v>
      </c>
      <c r="I54" s="5">
        <v>0</v>
      </c>
      <c r="J54" s="5">
        <v>0</v>
      </c>
      <c r="K54" s="5">
        <v>100</v>
      </c>
      <c r="L54" s="5">
        <v>234.74</v>
      </c>
      <c r="M54" s="4" t="s">
        <v>93</v>
      </c>
      <c r="N54" s="3">
        <v>45778</v>
      </c>
      <c r="O54" t="s">
        <v>367</v>
      </c>
      <c r="P54" s="14" t="s">
        <v>371</v>
      </c>
      <c r="Q54">
        <f>313/12*9</f>
        <v>234.75</v>
      </c>
      <c r="R54" s="4" t="s">
        <v>85</v>
      </c>
      <c r="S54" s="20" t="str">
        <f>CONCATENATE(R54,6)</f>
        <v>00023268932K6</v>
      </c>
      <c r="T54" s="4" t="s">
        <v>463</v>
      </c>
      <c r="U54" t="s">
        <v>464</v>
      </c>
      <c r="V54" t="str">
        <f>CONCATENATE(U54," ",T54)</f>
        <v>PAWEL DUSZCZYK</v>
      </c>
    </row>
    <row r="55" spans="1:43" x14ac:dyDescent="0.2">
      <c r="A55" s="4" t="s">
        <v>79</v>
      </c>
      <c r="B55">
        <v>7146581</v>
      </c>
      <c r="C55" s="4" t="s">
        <v>80</v>
      </c>
      <c r="D55" s="4" t="s">
        <v>81</v>
      </c>
      <c r="E55" s="3">
        <v>46023</v>
      </c>
      <c r="F55" s="4" t="s">
        <v>61</v>
      </c>
      <c r="G55" s="4" t="s">
        <v>52</v>
      </c>
      <c r="H55" s="4" t="s">
        <v>53</v>
      </c>
      <c r="I55" s="5">
        <v>-0.75</v>
      </c>
      <c r="J55" s="5">
        <v>0</v>
      </c>
      <c r="K55" s="5">
        <v>100</v>
      </c>
      <c r="L55" s="5">
        <v>-260.25</v>
      </c>
      <c r="M55" s="4" t="s">
        <v>54</v>
      </c>
      <c r="N55" s="3">
        <v>46023</v>
      </c>
      <c r="O55" t="s">
        <v>362</v>
      </c>
      <c r="P55" s="14" t="s">
        <v>363</v>
      </c>
      <c r="R55" s="4" t="s">
        <v>81</v>
      </c>
      <c r="S55" s="20" t="str">
        <f>CONCATENATE(R55,67)</f>
        <v>00022162882K67</v>
      </c>
      <c r="T55" s="4" t="s">
        <v>478</v>
      </c>
      <c r="U55" t="s">
        <v>479</v>
      </c>
      <c r="V55" t="str">
        <f>CONCATENATE(U55," ",T55)</f>
        <v>SUE KOPKA</v>
      </c>
    </row>
    <row r="56" spans="1:43" x14ac:dyDescent="0.2">
      <c r="A56" s="4" t="s">
        <v>79</v>
      </c>
      <c r="B56">
        <v>7146581</v>
      </c>
      <c r="C56" s="4" t="s">
        <v>84</v>
      </c>
      <c r="D56" s="4" t="s">
        <v>85</v>
      </c>
      <c r="E56" s="3">
        <v>46082</v>
      </c>
      <c r="F56" s="4" t="s">
        <v>87</v>
      </c>
      <c r="G56" s="4" t="s">
        <v>52</v>
      </c>
      <c r="H56" s="4" t="s">
        <v>62</v>
      </c>
      <c r="I56" s="5">
        <v>1</v>
      </c>
      <c r="J56" s="5">
        <v>0</v>
      </c>
      <c r="K56" s="5">
        <v>100</v>
      </c>
      <c r="L56" s="5">
        <v>28.91</v>
      </c>
      <c r="M56" s="4" t="s">
        <v>89</v>
      </c>
      <c r="N56" s="3">
        <v>45778</v>
      </c>
      <c r="O56" t="s">
        <v>362</v>
      </c>
      <c r="P56" s="14" t="s">
        <v>369</v>
      </c>
      <c r="R56" s="4" t="s">
        <v>85</v>
      </c>
      <c r="S56" s="20" t="str">
        <f>CONCATENATE(R56,67)</f>
        <v>00023268932K67</v>
      </c>
      <c r="T56" s="4" t="s">
        <v>463</v>
      </c>
      <c r="U56" t="s">
        <v>464</v>
      </c>
      <c r="V56" t="str">
        <f>CONCATENATE(U56," ",T56)</f>
        <v>PAWEL DUSZCZYK</v>
      </c>
    </row>
    <row r="57" spans="1:43" x14ac:dyDescent="0.2">
      <c r="A57" s="4" t="s">
        <v>79</v>
      </c>
      <c r="B57">
        <v>7146581</v>
      </c>
      <c r="C57" s="4" t="s">
        <v>84</v>
      </c>
      <c r="D57" s="4" t="s">
        <v>85</v>
      </c>
      <c r="E57" s="3">
        <v>46054</v>
      </c>
      <c r="F57" s="4" t="s">
        <v>91</v>
      </c>
      <c r="G57" s="4" t="s">
        <v>52</v>
      </c>
      <c r="H57" s="4" t="s">
        <v>62</v>
      </c>
      <c r="I57" s="5">
        <v>1</v>
      </c>
      <c r="J57" s="5">
        <v>0</v>
      </c>
      <c r="K57" s="5">
        <v>100</v>
      </c>
      <c r="L57" s="5">
        <v>28.91</v>
      </c>
      <c r="M57" s="4" t="s">
        <v>89</v>
      </c>
      <c r="N57" s="3">
        <v>45778</v>
      </c>
      <c r="O57" t="s">
        <v>362</v>
      </c>
      <c r="P57" s="14" t="s">
        <v>369</v>
      </c>
      <c r="R57" s="4" t="s">
        <v>85</v>
      </c>
      <c r="S57" s="20" t="str">
        <f>CONCATENATE(R57,67)</f>
        <v>00023268932K67</v>
      </c>
      <c r="T57" s="4" t="s">
        <v>463</v>
      </c>
      <c r="U57" t="s">
        <v>464</v>
      </c>
      <c r="V57" t="str">
        <f>CONCATENATE(U57," ",T57)</f>
        <v>PAWEL DUSZCZYK</v>
      </c>
    </row>
    <row r="58" spans="1:43" x14ac:dyDescent="0.2">
      <c r="A58" s="4" t="s">
        <v>79</v>
      </c>
      <c r="B58">
        <v>7146581</v>
      </c>
      <c r="C58" s="4" t="s">
        <v>84</v>
      </c>
      <c r="D58" s="4" t="s">
        <v>85</v>
      </c>
      <c r="E58" s="3">
        <v>46023</v>
      </c>
      <c r="F58" s="4" t="s">
        <v>61</v>
      </c>
      <c r="G58" s="4" t="s">
        <v>52</v>
      </c>
      <c r="H58" s="4" t="s">
        <v>62</v>
      </c>
      <c r="I58" s="5">
        <v>1</v>
      </c>
      <c r="J58" s="5">
        <v>0</v>
      </c>
      <c r="K58" s="5">
        <v>100</v>
      </c>
      <c r="L58" s="5">
        <v>28.91</v>
      </c>
      <c r="M58" s="4" t="s">
        <v>89</v>
      </c>
      <c r="N58" s="3">
        <v>45778</v>
      </c>
      <c r="O58" t="s">
        <v>362</v>
      </c>
      <c r="P58" s="14" t="s">
        <v>369</v>
      </c>
      <c r="R58" s="4" t="s">
        <v>85</v>
      </c>
      <c r="S58" s="20" t="str">
        <f>CONCATENATE(R58,67)</f>
        <v>00023268932K67</v>
      </c>
      <c r="T58" s="4" t="s">
        <v>463</v>
      </c>
      <c r="U58" t="s">
        <v>464</v>
      </c>
      <c r="V58" t="str">
        <f>CONCATENATE(U58," ",T58)</f>
        <v>PAWEL DUSZCZYK</v>
      </c>
    </row>
    <row r="59" spans="1:43" x14ac:dyDescent="0.2">
      <c r="A59" s="4" t="s">
        <v>79</v>
      </c>
      <c r="B59">
        <v>7146581</v>
      </c>
      <c r="C59" s="4" t="s">
        <v>95</v>
      </c>
      <c r="D59" s="4" t="s">
        <v>96</v>
      </c>
      <c r="E59" s="3">
        <v>46113</v>
      </c>
      <c r="F59" s="4" t="s">
        <v>50</v>
      </c>
      <c r="G59" s="4" t="s">
        <v>52</v>
      </c>
      <c r="H59" s="4" t="s">
        <v>62</v>
      </c>
      <c r="I59" s="5">
        <v>0.75</v>
      </c>
      <c r="J59" s="5">
        <v>0</v>
      </c>
      <c r="K59" s="5">
        <v>100</v>
      </c>
      <c r="L59" s="5">
        <v>260.25</v>
      </c>
      <c r="M59" s="4" t="s">
        <v>54</v>
      </c>
      <c r="N59" s="3">
        <v>46113</v>
      </c>
      <c r="O59" t="s">
        <v>362</v>
      </c>
      <c r="P59" s="14" t="s">
        <v>363</v>
      </c>
      <c r="R59" s="4" t="s">
        <v>96</v>
      </c>
      <c r="S59" s="20" t="str">
        <f>CONCATENATE(R59,67)</f>
        <v>00026304089K67</v>
      </c>
      <c r="T59" s="4" t="s">
        <v>504</v>
      </c>
      <c r="U59" t="s">
        <v>505</v>
      </c>
      <c r="V59" t="str">
        <f>CONCATENATE(U59," ",T59)</f>
        <v>ELIZABETH WALLACE</v>
      </c>
    </row>
    <row r="60" spans="1:43" x14ac:dyDescent="0.2">
      <c r="A60" s="4" t="s">
        <v>79</v>
      </c>
      <c r="B60">
        <v>7146581</v>
      </c>
      <c r="C60" s="4" t="s">
        <v>98</v>
      </c>
      <c r="D60" s="4" t="s">
        <v>99</v>
      </c>
      <c r="E60" s="3">
        <v>46113</v>
      </c>
      <c r="F60" s="4" t="s">
        <v>50</v>
      </c>
      <c r="G60" s="4" t="s">
        <v>52</v>
      </c>
      <c r="H60" s="4" t="s">
        <v>62</v>
      </c>
      <c r="I60" s="5">
        <v>0.75</v>
      </c>
      <c r="J60" s="5">
        <v>0</v>
      </c>
      <c r="K60" s="5">
        <v>100</v>
      </c>
      <c r="L60" s="5">
        <v>260.25</v>
      </c>
      <c r="M60" s="4" t="s">
        <v>54</v>
      </c>
      <c r="N60" s="3">
        <v>46113</v>
      </c>
      <c r="O60" t="s">
        <v>362</v>
      </c>
      <c r="P60" s="14" t="s">
        <v>363</v>
      </c>
      <c r="R60" s="4" t="s">
        <v>99</v>
      </c>
      <c r="S60" s="20" t="str">
        <f>CONCATENATE(R60,67)</f>
        <v>00026308245K67</v>
      </c>
      <c r="T60" s="4" t="s">
        <v>504</v>
      </c>
      <c r="U60" t="s">
        <v>506</v>
      </c>
      <c r="V60" t="str">
        <f>CONCATENATE(U60," ",T60)</f>
        <v>LOWELL WALLACE</v>
      </c>
    </row>
    <row r="61" spans="1:43" x14ac:dyDescent="0.2">
      <c r="A61" s="4" t="s">
        <v>79</v>
      </c>
      <c r="B61">
        <v>7146581</v>
      </c>
      <c r="C61" s="4" t="s">
        <v>80</v>
      </c>
      <c r="D61" s="4" t="s">
        <v>81</v>
      </c>
      <c r="E61" s="3">
        <v>46113</v>
      </c>
      <c r="F61" s="4" t="s">
        <v>50</v>
      </c>
      <c r="G61" s="4" t="s">
        <v>52</v>
      </c>
      <c r="H61" s="4" t="s">
        <v>53</v>
      </c>
      <c r="I61" s="5">
        <v>0.75</v>
      </c>
      <c r="J61" s="5">
        <v>0</v>
      </c>
      <c r="K61" s="5">
        <v>100</v>
      </c>
      <c r="L61" s="5">
        <v>260.25</v>
      </c>
      <c r="M61" s="4" t="s">
        <v>54</v>
      </c>
      <c r="N61" s="3">
        <v>46113</v>
      </c>
      <c r="O61" t="s">
        <v>362</v>
      </c>
      <c r="P61" s="14" t="s">
        <v>363</v>
      </c>
      <c r="R61" s="4" t="s">
        <v>81</v>
      </c>
      <c r="S61" s="20" t="str">
        <f>CONCATENATE(R61,67)</f>
        <v>00022162882K67</v>
      </c>
      <c r="T61" s="4" t="s">
        <v>478</v>
      </c>
      <c r="U61" t="s">
        <v>479</v>
      </c>
      <c r="V61" t="str">
        <f>CONCATENATE(U61," ",T61)</f>
        <v>SUE KOPKA</v>
      </c>
    </row>
    <row r="62" spans="1:43" x14ac:dyDescent="0.2">
      <c r="A62" s="6" t="s">
        <v>263</v>
      </c>
      <c r="B62" s="16" t="s">
        <v>546</v>
      </c>
      <c r="C62" s="6" t="s">
        <v>264</v>
      </c>
      <c r="D62" s="6" t="s">
        <v>265</v>
      </c>
      <c r="E62" s="7">
        <v>46113</v>
      </c>
      <c r="F62" s="6" t="s">
        <v>50</v>
      </c>
      <c r="G62" s="6" t="s">
        <v>266</v>
      </c>
      <c r="H62" s="6" t="s">
        <v>47</v>
      </c>
      <c r="I62" s="8">
        <v>15</v>
      </c>
      <c r="J62" s="8">
        <v>246.33333333333337</v>
      </c>
      <c r="K62" s="8">
        <v>100</v>
      </c>
      <c r="L62" s="8">
        <v>36.950000000000003</v>
      </c>
      <c r="M62" s="6" t="s">
        <v>267</v>
      </c>
      <c r="N62" s="7">
        <v>46113</v>
      </c>
      <c r="O62" s="9" t="s">
        <v>355</v>
      </c>
      <c r="P62" s="9"/>
      <c r="Q62" s="8"/>
      <c r="R62" s="15">
        <v>9032164340</v>
      </c>
      <c r="S62" s="9" t="str">
        <f>CONCATENATE(R62,2)</f>
        <v>90321643402</v>
      </c>
      <c r="T62" s="6" t="s">
        <v>443</v>
      </c>
      <c r="U62" s="9" t="s">
        <v>444</v>
      </c>
      <c r="V62" t="str">
        <f>CONCATENATE(U62," ",T62)</f>
        <v>Christopher Labrador</v>
      </c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spans="1:43" x14ac:dyDescent="0.2">
      <c r="A63" s="10" t="s">
        <v>343</v>
      </c>
      <c r="B63" s="23" t="s">
        <v>547</v>
      </c>
      <c r="C63" s="10" t="s">
        <v>344</v>
      </c>
      <c r="D63" s="10" t="s">
        <v>345</v>
      </c>
      <c r="E63" s="11">
        <v>46082</v>
      </c>
      <c r="F63" s="10" t="s">
        <v>87</v>
      </c>
      <c r="G63" s="10" t="s">
        <v>52</v>
      </c>
      <c r="H63" s="10" t="s">
        <v>47</v>
      </c>
      <c r="I63" s="12">
        <v>22</v>
      </c>
      <c r="J63" s="12">
        <v>186.54</v>
      </c>
      <c r="K63" s="12">
        <v>100</v>
      </c>
      <c r="L63" s="12">
        <v>41.04</v>
      </c>
      <c r="M63" s="10" t="s">
        <v>261</v>
      </c>
      <c r="N63" s="11">
        <v>45658</v>
      </c>
      <c r="O63" s="13" t="s">
        <v>357</v>
      </c>
      <c r="P63" s="13"/>
      <c r="Q63" s="13"/>
      <c r="R63" s="10" t="s">
        <v>345</v>
      </c>
      <c r="S63" s="13" t="str">
        <f>CONCATENATE(R63,8)</f>
        <v>00000926201A8</v>
      </c>
      <c r="T63" s="10" t="s">
        <v>384</v>
      </c>
      <c r="U63" s="13" t="s">
        <v>385</v>
      </c>
      <c r="V63" t="str">
        <f>CONCATENATE(U63," ",T63)</f>
        <v>CHARLENE ROSE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</row>
    <row r="64" spans="1:43" x14ac:dyDescent="0.2">
      <c r="A64" s="10" t="s">
        <v>278</v>
      </c>
      <c r="B64" s="13">
        <v>5442438</v>
      </c>
      <c r="C64" s="10" t="s">
        <v>279</v>
      </c>
      <c r="D64" s="10" t="s">
        <v>280</v>
      </c>
      <c r="E64" s="11">
        <v>46113</v>
      </c>
      <c r="F64" s="10" t="s">
        <v>50</v>
      </c>
      <c r="G64" s="10" t="s">
        <v>52</v>
      </c>
      <c r="H64" s="10" t="s">
        <v>47</v>
      </c>
      <c r="I64" s="12">
        <v>15</v>
      </c>
      <c r="J64" s="12">
        <v>4164.84</v>
      </c>
      <c r="K64" s="12">
        <v>100</v>
      </c>
      <c r="L64" s="12">
        <v>624.72</v>
      </c>
      <c r="M64" s="10" t="s">
        <v>250</v>
      </c>
      <c r="N64" s="11">
        <v>46113</v>
      </c>
      <c r="O64" s="13" t="s">
        <v>356</v>
      </c>
      <c r="P64" s="13"/>
      <c r="Q64" s="13"/>
      <c r="R64" s="10" t="s">
        <v>280</v>
      </c>
      <c r="S64" s="13" t="str">
        <f>CONCATENATE(R64,8)</f>
        <v>00001069510A8</v>
      </c>
      <c r="T64" s="10" t="s">
        <v>388</v>
      </c>
      <c r="U64" s="13" t="s">
        <v>389</v>
      </c>
      <c r="V64" t="str">
        <f>CONCATENATE(U64," ",T64)</f>
        <v>BARBARA KRESHTOOL</v>
      </c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</row>
    <row r="65" spans="1:43" x14ac:dyDescent="0.2">
      <c r="A65" s="10" t="s">
        <v>278</v>
      </c>
      <c r="B65" s="13">
        <v>5442438</v>
      </c>
      <c r="C65" s="10" t="s">
        <v>281</v>
      </c>
      <c r="D65" s="10" t="s">
        <v>282</v>
      </c>
      <c r="E65" s="11">
        <v>46113</v>
      </c>
      <c r="F65" s="10" t="s">
        <v>50</v>
      </c>
      <c r="G65" s="10" t="s">
        <v>52</v>
      </c>
      <c r="H65" s="10" t="s">
        <v>47</v>
      </c>
      <c r="I65" s="12">
        <v>15</v>
      </c>
      <c r="J65" s="12">
        <v>2797.44</v>
      </c>
      <c r="K65" s="12">
        <v>100</v>
      </c>
      <c r="L65" s="12">
        <v>419.64</v>
      </c>
      <c r="M65" s="10" t="s">
        <v>250</v>
      </c>
      <c r="N65" s="11">
        <v>46113</v>
      </c>
      <c r="O65" s="13" t="s">
        <v>356</v>
      </c>
      <c r="P65" s="13"/>
      <c r="Q65" s="13"/>
      <c r="R65" s="10" t="s">
        <v>282</v>
      </c>
      <c r="S65" s="13" t="str">
        <f>CONCATENATE(R65,8)</f>
        <v>00001154024A8</v>
      </c>
      <c r="T65" s="10" t="s">
        <v>390</v>
      </c>
      <c r="U65" s="13" t="s">
        <v>391</v>
      </c>
      <c r="V65" t="str">
        <f>CONCATENATE(U65," ",T65)</f>
        <v>ROBERT MAZUREK</v>
      </c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</row>
    <row r="66" spans="1:43" x14ac:dyDescent="0.2">
      <c r="A66" s="10" t="s">
        <v>278</v>
      </c>
      <c r="B66" s="13">
        <v>5442438</v>
      </c>
      <c r="C66" s="10" t="s">
        <v>283</v>
      </c>
      <c r="D66" s="10" t="s">
        <v>284</v>
      </c>
      <c r="E66" s="11">
        <v>46143</v>
      </c>
      <c r="F66" s="10" t="s">
        <v>92</v>
      </c>
      <c r="G66" s="10" t="s">
        <v>52</v>
      </c>
      <c r="H66" s="10" t="s">
        <v>47</v>
      </c>
      <c r="I66" s="12">
        <v>15</v>
      </c>
      <c r="J66" s="12">
        <v>2206.08</v>
      </c>
      <c r="K66" s="12">
        <v>100</v>
      </c>
      <c r="L66" s="12">
        <v>330.96</v>
      </c>
      <c r="M66" s="10" t="s">
        <v>250</v>
      </c>
      <c r="N66" s="11">
        <v>46143</v>
      </c>
      <c r="O66" s="13" t="s">
        <v>356</v>
      </c>
      <c r="P66" s="13"/>
      <c r="Q66" s="13"/>
      <c r="R66" s="10" t="s">
        <v>284</v>
      </c>
      <c r="S66" s="13" t="str">
        <f>CONCATENATE(R66,8)</f>
        <v>00001154712A8</v>
      </c>
      <c r="T66" s="10" t="s">
        <v>392</v>
      </c>
      <c r="U66" s="13" t="s">
        <v>393</v>
      </c>
      <c r="V66" t="str">
        <f>CONCATENATE(U66," ",T66)</f>
        <v>BANAFSHEH ZAND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</row>
    <row r="67" spans="1:43" x14ac:dyDescent="0.2">
      <c r="A67" s="10" t="s">
        <v>278</v>
      </c>
      <c r="B67" s="13">
        <v>5442438</v>
      </c>
      <c r="C67" s="10" t="s">
        <v>285</v>
      </c>
      <c r="D67" s="10" t="s">
        <v>286</v>
      </c>
      <c r="E67" s="11">
        <v>46113</v>
      </c>
      <c r="F67" s="10" t="s">
        <v>50</v>
      </c>
      <c r="G67" s="10" t="s">
        <v>52</v>
      </c>
      <c r="H67" s="10" t="s">
        <v>47</v>
      </c>
      <c r="I67" s="12">
        <v>15</v>
      </c>
      <c r="J67" s="12">
        <v>1941.36</v>
      </c>
      <c r="K67" s="12">
        <v>100</v>
      </c>
      <c r="L67" s="12">
        <v>291.24</v>
      </c>
      <c r="M67" s="10" t="s">
        <v>250</v>
      </c>
      <c r="N67" s="11">
        <v>46113</v>
      </c>
      <c r="O67" s="13" t="s">
        <v>356</v>
      </c>
      <c r="P67" s="13"/>
      <c r="Q67" s="13"/>
      <c r="R67" s="10" t="s">
        <v>286</v>
      </c>
      <c r="S67" s="13" t="str">
        <f>CONCATENATE(R67,8)</f>
        <v>00001157532A8</v>
      </c>
      <c r="T67" s="10" t="s">
        <v>394</v>
      </c>
      <c r="U67" s="13" t="s">
        <v>395</v>
      </c>
      <c r="V67" t="str">
        <f>CONCATENATE(U67," ",T67)</f>
        <v>SUZANNE THOMAS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</row>
    <row r="68" spans="1:43" x14ac:dyDescent="0.2">
      <c r="A68" s="6" t="s">
        <v>269</v>
      </c>
      <c r="B68" s="16" t="s">
        <v>548</v>
      </c>
      <c r="C68" s="6" t="s">
        <v>270</v>
      </c>
      <c r="D68" s="6" t="s">
        <v>271</v>
      </c>
      <c r="E68" s="7">
        <v>46113</v>
      </c>
      <c r="F68" s="6" t="s">
        <v>50</v>
      </c>
      <c r="G68" s="6" t="s">
        <v>266</v>
      </c>
      <c r="H68" s="6" t="s">
        <v>47</v>
      </c>
      <c r="I68" s="8">
        <v>10</v>
      </c>
      <c r="J68" s="8">
        <v>23.99</v>
      </c>
      <c r="K68" s="8">
        <v>100</v>
      </c>
      <c r="L68" s="8">
        <v>2.4</v>
      </c>
      <c r="M68" s="6" t="s">
        <v>267</v>
      </c>
      <c r="N68" s="7">
        <v>45871</v>
      </c>
      <c r="O68" s="9" t="s">
        <v>354</v>
      </c>
      <c r="P68" s="9"/>
      <c r="Q68" s="9"/>
      <c r="R68" s="15">
        <v>9030925080</v>
      </c>
      <c r="S68" s="9" t="str">
        <f>CONCATENATE(R68,4)</f>
        <v>90309250804</v>
      </c>
      <c r="T68" s="6" t="s">
        <v>398</v>
      </c>
      <c r="U68" s="9" t="s">
        <v>399</v>
      </c>
      <c r="V68" t="str">
        <f>CONCATENATE(U68," ",T68)</f>
        <v>Ryan Danley</v>
      </c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spans="1:43" x14ac:dyDescent="0.2">
      <c r="A69" s="6" t="s">
        <v>269</v>
      </c>
      <c r="B69" s="16" t="s">
        <v>548</v>
      </c>
      <c r="C69" s="6" t="s">
        <v>272</v>
      </c>
      <c r="D69" s="6" t="s">
        <v>273</v>
      </c>
      <c r="E69" s="7">
        <v>46113</v>
      </c>
      <c r="F69" s="6" t="s">
        <v>50</v>
      </c>
      <c r="G69" s="6" t="s">
        <v>266</v>
      </c>
      <c r="H69" s="6" t="s">
        <v>47</v>
      </c>
      <c r="I69" s="8">
        <v>10</v>
      </c>
      <c r="J69" s="8">
        <v>12.99</v>
      </c>
      <c r="K69" s="8">
        <v>100</v>
      </c>
      <c r="L69" s="8">
        <v>1.3</v>
      </c>
      <c r="M69" s="6" t="s">
        <v>267</v>
      </c>
      <c r="N69" s="7">
        <v>45879</v>
      </c>
      <c r="O69" s="9" t="s">
        <v>354</v>
      </c>
      <c r="P69" s="9"/>
      <c r="Q69" s="9"/>
      <c r="R69" s="15">
        <v>9030969880</v>
      </c>
      <c r="S69" s="9" t="str">
        <f>CONCATENATE(R69,4)</f>
        <v>90309698804</v>
      </c>
      <c r="T69" s="6" t="s">
        <v>400</v>
      </c>
      <c r="U69" s="9" t="s">
        <v>401</v>
      </c>
      <c r="V69" t="str">
        <f>CONCATENATE(U69," ",T69)</f>
        <v>Hengameh Estakhri</v>
      </c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1:43" s="9" customFormat="1" x14ac:dyDescent="0.2">
      <c r="A70" s="6" t="s">
        <v>269</v>
      </c>
      <c r="B70" s="16" t="s">
        <v>548</v>
      </c>
      <c r="C70" s="6" t="s">
        <v>274</v>
      </c>
      <c r="D70" s="6" t="s">
        <v>275</v>
      </c>
      <c r="E70" s="7">
        <v>46113</v>
      </c>
      <c r="F70" s="6" t="s">
        <v>50</v>
      </c>
      <c r="G70" s="6" t="s">
        <v>266</v>
      </c>
      <c r="H70" s="6" t="s">
        <v>47</v>
      </c>
      <c r="I70" s="8">
        <v>15</v>
      </c>
      <c r="J70" s="8">
        <v>24</v>
      </c>
      <c r="K70" s="8">
        <v>100</v>
      </c>
      <c r="L70" s="8">
        <v>3.6</v>
      </c>
      <c r="M70" s="6" t="s">
        <v>267</v>
      </c>
      <c r="N70" s="7">
        <v>45992</v>
      </c>
      <c r="O70" s="9" t="s">
        <v>355</v>
      </c>
      <c r="Q70" s="8"/>
      <c r="R70" s="15">
        <v>9031474920</v>
      </c>
      <c r="S70" s="9" t="str">
        <f>CONCATENATE(R70,2)</f>
        <v>90314749202</v>
      </c>
      <c r="T70" s="6" t="s">
        <v>445</v>
      </c>
      <c r="U70" s="9" t="s">
        <v>446</v>
      </c>
      <c r="V70" t="str">
        <f>CONCATENATE(U70," ",T70)</f>
        <v>Frederick Halbig</v>
      </c>
    </row>
    <row r="71" spans="1:43" s="9" customFormat="1" x14ac:dyDescent="0.2">
      <c r="A71" s="6" t="s">
        <v>269</v>
      </c>
      <c r="B71" s="16" t="s">
        <v>548</v>
      </c>
      <c r="C71" s="6" t="s">
        <v>276</v>
      </c>
      <c r="D71" s="6" t="s">
        <v>277</v>
      </c>
      <c r="E71" s="7">
        <v>46113</v>
      </c>
      <c r="F71" s="6" t="s">
        <v>50</v>
      </c>
      <c r="G71" s="6" t="s">
        <v>266</v>
      </c>
      <c r="H71" s="6" t="s">
        <v>47</v>
      </c>
      <c r="I71" s="8">
        <v>15</v>
      </c>
      <c r="J71" s="8">
        <v>246.33333333333337</v>
      </c>
      <c r="K71" s="8">
        <v>100</v>
      </c>
      <c r="L71" s="8">
        <v>36.950000000000003</v>
      </c>
      <c r="M71" s="6" t="s">
        <v>267</v>
      </c>
      <c r="N71" s="7">
        <v>46117</v>
      </c>
      <c r="O71" s="9" t="s">
        <v>355</v>
      </c>
      <c r="Q71" s="8"/>
      <c r="R71" s="15">
        <v>9032193260</v>
      </c>
      <c r="S71" s="9" t="str">
        <f>CONCATENATE(R71,2)</f>
        <v>90321932602</v>
      </c>
      <c r="T71" s="6" t="s">
        <v>447</v>
      </c>
      <c r="U71" s="9" t="s">
        <v>448</v>
      </c>
      <c r="V71" t="str">
        <f>CONCATENATE(U71," ",T71)</f>
        <v>Elyse Eckoff</v>
      </c>
    </row>
    <row r="72" spans="1:43" s="9" customFormat="1" x14ac:dyDescent="0.2">
      <c r="A72" s="4" t="s">
        <v>222</v>
      </c>
      <c r="B72" s="14" t="s">
        <v>549</v>
      </c>
      <c r="C72" s="4" t="s">
        <v>229</v>
      </c>
      <c r="D72" s="4" t="s">
        <v>230</v>
      </c>
      <c r="E72" s="3">
        <v>46023</v>
      </c>
      <c r="F72" s="4" t="s">
        <v>61</v>
      </c>
      <c r="G72" s="4" t="s">
        <v>52</v>
      </c>
      <c r="H72" s="4" t="s">
        <v>53</v>
      </c>
      <c r="I72" s="5">
        <v>-1</v>
      </c>
      <c r="J72" s="5">
        <v>0</v>
      </c>
      <c r="K72" s="5">
        <v>100</v>
      </c>
      <c r="L72" s="5">
        <v>-694</v>
      </c>
      <c r="M72" s="4" t="s">
        <v>54</v>
      </c>
      <c r="N72" s="3">
        <v>46023</v>
      </c>
      <c r="O72" t="s">
        <v>359</v>
      </c>
      <c r="P72" t="s">
        <v>360</v>
      </c>
      <c r="Q72"/>
      <c r="R72" s="4" t="s">
        <v>230</v>
      </c>
      <c r="S72" t="str">
        <f>CONCATENATE(R72,77)</f>
        <v>00025746940K77</v>
      </c>
      <c r="T72" s="4" t="s">
        <v>376</v>
      </c>
      <c r="U72" t="s">
        <v>377</v>
      </c>
      <c r="V72" t="str">
        <f>CONCATENATE(U72," ",T72)</f>
        <v>RAMON TEJEDA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1:43" s="9" customFormat="1" x14ac:dyDescent="0.2">
      <c r="A73" s="4" t="s">
        <v>222</v>
      </c>
      <c r="B73" s="14" t="s">
        <v>549</v>
      </c>
      <c r="C73" s="4" t="s">
        <v>223</v>
      </c>
      <c r="D73" s="4" t="s">
        <v>224</v>
      </c>
      <c r="E73" s="3">
        <v>46023</v>
      </c>
      <c r="F73" s="4" t="s">
        <v>61</v>
      </c>
      <c r="G73" s="4" t="s">
        <v>52</v>
      </c>
      <c r="H73" s="4" t="s">
        <v>62</v>
      </c>
      <c r="I73" s="5">
        <v>-0.75</v>
      </c>
      <c r="J73" s="5">
        <v>0</v>
      </c>
      <c r="K73" s="5">
        <v>100</v>
      </c>
      <c r="L73" s="5">
        <v>-260.25</v>
      </c>
      <c r="M73" s="4" t="s">
        <v>54</v>
      </c>
      <c r="N73" s="3">
        <v>46023</v>
      </c>
      <c r="O73" t="s">
        <v>362</v>
      </c>
      <c r="P73" s="14" t="s">
        <v>363</v>
      </c>
      <c r="Q73"/>
      <c r="R73" s="4" t="s">
        <v>224</v>
      </c>
      <c r="S73" s="20" t="str">
        <f>CONCATENATE(R73,67)</f>
        <v>00012978613K67</v>
      </c>
      <c r="T73" s="22" t="s">
        <v>545</v>
      </c>
      <c r="U73" t="s">
        <v>473</v>
      </c>
      <c r="V73" t="str">
        <f>CONCATENATE(U73," ",T73)</f>
        <v>BETOOL AL KHAFAJI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1:43" s="9" customFormat="1" x14ac:dyDescent="0.2">
      <c r="A74" s="4" t="s">
        <v>222</v>
      </c>
      <c r="B74" s="14" t="s">
        <v>549</v>
      </c>
      <c r="C74" s="4" t="s">
        <v>232</v>
      </c>
      <c r="D74" s="4" t="s">
        <v>233</v>
      </c>
      <c r="E74" s="3">
        <v>46023</v>
      </c>
      <c r="F74" s="4" t="s">
        <v>61</v>
      </c>
      <c r="G74" s="4" t="s">
        <v>52</v>
      </c>
      <c r="H74" s="4" t="s">
        <v>53</v>
      </c>
      <c r="I74" s="5">
        <v>-0.75</v>
      </c>
      <c r="J74" s="5">
        <v>0</v>
      </c>
      <c r="K74" s="5">
        <v>100</v>
      </c>
      <c r="L74" s="5">
        <v>-260.25</v>
      </c>
      <c r="M74" s="4" t="s">
        <v>54</v>
      </c>
      <c r="N74" s="3">
        <v>46023</v>
      </c>
      <c r="O74" t="s">
        <v>362</v>
      </c>
      <c r="P74" s="14" t="s">
        <v>363</v>
      </c>
      <c r="Q74"/>
      <c r="R74" s="4" t="s">
        <v>233</v>
      </c>
      <c r="S74" s="20" t="str">
        <f>CONCATENATE(R74,67)</f>
        <v>00025856242K67</v>
      </c>
      <c r="T74" s="4" t="s">
        <v>487</v>
      </c>
      <c r="U74" t="s">
        <v>488</v>
      </c>
      <c r="V74" t="str">
        <f>CONCATENATE(U74," ",T74)</f>
        <v>ARACELY VARGAS</v>
      </c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 s="9" customFormat="1" x14ac:dyDescent="0.2">
      <c r="A75" s="4" t="s">
        <v>222</v>
      </c>
      <c r="B75" s="14" t="s">
        <v>549</v>
      </c>
      <c r="C75" s="4" t="s">
        <v>226</v>
      </c>
      <c r="D75" s="4" t="s">
        <v>227</v>
      </c>
      <c r="E75" s="3">
        <v>46023</v>
      </c>
      <c r="F75" s="4" t="s">
        <v>61</v>
      </c>
      <c r="G75" s="4" t="s">
        <v>52</v>
      </c>
      <c r="H75" s="4" t="s">
        <v>62</v>
      </c>
      <c r="I75" s="5">
        <v>0.08</v>
      </c>
      <c r="J75" s="5">
        <v>0</v>
      </c>
      <c r="K75" s="5">
        <v>100</v>
      </c>
      <c r="L75" s="5">
        <v>28.91</v>
      </c>
      <c r="M75" s="4" t="s">
        <v>54</v>
      </c>
      <c r="N75" s="3">
        <v>46023</v>
      </c>
      <c r="O75" t="s">
        <v>362</v>
      </c>
      <c r="P75" s="14" t="s">
        <v>369</v>
      </c>
      <c r="Q75"/>
      <c r="R75" s="4" t="s">
        <v>227</v>
      </c>
      <c r="S75" s="20" t="str">
        <f>CONCATENATE(R75,67)</f>
        <v>00024848882K67</v>
      </c>
      <c r="T75" s="4" t="s">
        <v>491</v>
      </c>
      <c r="U75" t="s">
        <v>492</v>
      </c>
      <c r="V75" t="str">
        <f>CONCATENATE(U75," ",T75)</f>
        <v>JULIETA DUARTE</v>
      </c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1:43" s="9" customFormat="1" x14ac:dyDescent="0.2">
      <c r="A76" s="4" t="s">
        <v>222</v>
      </c>
      <c r="B76" s="14" t="s">
        <v>549</v>
      </c>
      <c r="C76" s="4" t="s">
        <v>226</v>
      </c>
      <c r="D76" s="4" t="s">
        <v>227</v>
      </c>
      <c r="E76" s="3">
        <v>46023</v>
      </c>
      <c r="F76" s="4" t="s">
        <v>61</v>
      </c>
      <c r="G76" s="4" t="s">
        <v>52</v>
      </c>
      <c r="H76" s="4" t="s">
        <v>62</v>
      </c>
      <c r="I76" s="5">
        <v>0</v>
      </c>
      <c r="J76" s="5">
        <v>0</v>
      </c>
      <c r="K76" s="5">
        <v>100</v>
      </c>
      <c r="L76" s="5">
        <v>28.93</v>
      </c>
      <c r="M76" s="4" t="s">
        <v>93</v>
      </c>
      <c r="N76" s="3">
        <v>46023</v>
      </c>
      <c r="O76" t="s">
        <v>362</v>
      </c>
      <c r="P76" s="14" t="s">
        <v>369</v>
      </c>
      <c r="Q76"/>
      <c r="R76" s="4" t="s">
        <v>227</v>
      </c>
      <c r="S76" s="20" t="str">
        <f>CONCATENATE(R76,67)</f>
        <v>00024848882K67</v>
      </c>
      <c r="T76" s="4" t="s">
        <v>491</v>
      </c>
      <c r="U76" t="s">
        <v>492</v>
      </c>
      <c r="V76" t="str">
        <f>CONCATENATE(U76," ",T76)</f>
        <v>JULIETA DUARTE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 s="9" customFormat="1" x14ac:dyDescent="0.2">
      <c r="A77" s="4" t="s">
        <v>129</v>
      </c>
      <c r="B77">
        <v>9213293</v>
      </c>
      <c r="C77" s="4" t="s">
        <v>136</v>
      </c>
      <c r="D77" s="4" t="s">
        <v>137</v>
      </c>
      <c r="E77" s="3">
        <v>46023</v>
      </c>
      <c r="F77" s="4" t="s">
        <v>61</v>
      </c>
      <c r="G77" s="4" t="s">
        <v>52</v>
      </c>
      <c r="H77" s="4" t="s">
        <v>62</v>
      </c>
      <c r="I77" s="5">
        <v>-0.75</v>
      </c>
      <c r="J77" s="5">
        <v>0</v>
      </c>
      <c r="K77" s="5">
        <v>100</v>
      </c>
      <c r="L77" s="5">
        <v>-123.75</v>
      </c>
      <c r="M77" s="4" t="s">
        <v>54</v>
      </c>
      <c r="N77" s="3">
        <v>46023</v>
      </c>
      <c r="O77" t="s">
        <v>365</v>
      </c>
      <c r="P77" s="14" t="s">
        <v>366</v>
      </c>
      <c r="Q77">
        <f>165/12*9</f>
        <v>123.75</v>
      </c>
      <c r="R77" s="4" t="s">
        <v>137</v>
      </c>
      <c r="S77" t="str">
        <f>CONCATENATE(R77,26)</f>
        <v>00023072316K26</v>
      </c>
      <c r="T77" s="4" t="s">
        <v>372</v>
      </c>
      <c r="U77" t="s">
        <v>373</v>
      </c>
      <c r="V77" t="str">
        <f>CONCATENATE(U77," ",T77)</f>
        <v>KAY WILLIES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1:43" s="9" customFormat="1" x14ac:dyDescent="0.2">
      <c r="A78" s="4" t="s">
        <v>129</v>
      </c>
      <c r="B78">
        <v>9213293</v>
      </c>
      <c r="C78" s="4" t="s">
        <v>139</v>
      </c>
      <c r="D78" s="4" t="s">
        <v>140</v>
      </c>
      <c r="E78" s="3">
        <v>46023</v>
      </c>
      <c r="F78" s="4" t="s">
        <v>61</v>
      </c>
      <c r="G78" s="4" t="s">
        <v>52</v>
      </c>
      <c r="H78" s="4" t="s">
        <v>62</v>
      </c>
      <c r="I78" s="5">
        <v>0.92</v>
      </c>
      <c r="J78" s="5">
        <v>0</v>
      </c>
      <c r="K78" s="5">
        <v>100</v>
      </c>
      <c r="L78" s="5">
        <v>151.25</v>
      </c>
      <c r="M78" s="4" t="s">
        <v>54</v>
      </c>
      <c r="N78" s="3">
        <v>46023</v>
      </c>
      <c r="O78" t="s">
        <v>365</v>
      </c>
      <c r="P78" s="14" t="s">
        <v>370</v>
      </c>
      <c r="Q78">
        <f>165/12*11</f>
        <v>151.25</v>
      </c>
      <c r="R78" s="4" t="s">
        <v>140</v>
      </c>
      <c r="S78" t="str">
        <f>CONCATENATE(R78,26)</f>
        <v>00023765948K26</v>
      </c>
      <c r="T78" s="4" t="s">
        <v>374</v>
      </c>
      <c r="U78" t="s">
        <v>375</v>
      </c>
      <c r="V78" t="str">
        <f>CONCATENATE(U78," ",T78)</f>
        <v>RUSSELL LANCE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1:43" s="9" customFormat="1" x14ac:dyDescent="0.2">
      <c r="A79" s="4" t="s">
        <v>129</v>
      </c>
      <c r="B79">
        <v>9213293</v>
      </c>
      <c r="C79" s="4" t="s">
        <v>133</v>
      </c>
      <c r="D79" s="4" t="s">
        <v>134</v>
      </c>
      <c r="E79" s="3">
        <v>46054</v>
      </c>
      <c r="F79" s="4" t="s">
        <v>91</v>
      </c>
      <c r="G79" s="4" t="s">
        <v>52</v>
      </c>
      <c r="H79" s="4" t="s">
        <v>62</v>
      </c>
      <c r="I79" s="5">
        <v>-0.75</v>
      </c>
      <c r="J79" s="5">
        <v>0</v>
      </c>
      <c r="K79" s="5">
        <v>100</v>
      </c>
      <c r="L79" s="5">
        <v>-260.25</v>
      </c>
      <c r="M79" s="4" t="s">
        <v>54</v>
      </c>
      <c r="N79" s="3">
        <v>46054</v>
      </c>
      <c r="O79" t="s">
        <v>362</v>
      </c>
      <c r="P79" s="14" t="s">
        <v>363</v>
      </c>
      <c r="Q79"/>
      <c r="R79" s="4" t="s">
        <v>134</v>
      </c>
      <c r="S79" s="20" t="str">
        <f>CONCATENATE(R79,67)</f>
        <v>00018270287K67</v>
      </c>
      <c r="T79" s="4" t="s">
        <v>469</v>
      </c>
      <c r="U79" t="s">
        <v>470</v>
      </c>
      <c r="V79" t="str">
        <f>CONCATENATE(U79," ",T79)</f>
        <v>ARNETTA CRAIG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1:43" s="9" customFormat="1" x14ac:dyDescent="0.2">
      <c r="A80" s="4" t="s">
        <v>129</v>
      </c>
      <c r="B80">
        <v>9213293</v>
      </c>
      <c r="C80" s="4" t="s">
        <v>130</v>
      </c>
      <c r="D80" s="4" t="s">
        <v>131</v>
      </c>
      <c r="E80" s="3">
        <v>46023</v>
      </c>
      <c r="F80" s="4" t="s">
        <v>61</v>
      </c>
      <c r="G80" s="4" t="s">
        <v>52</v>
      </c>
      <c r="H80" s="4" t="s">
        <v>53</v>
      </c>
      <c r="I80" s="5">
        <v>-0.75</v>
      </c>
      <c r="J80" s="5">
        <v>0</v>
      </c>
      <c r="K80" s="5">
        <v>100</v>
      </c>
      <c r="L80" s="5">
        <v>-260.25</v>
      </c>
      <c r="M80" s="4" t="s">
        <v>54</v>
      </c>
      <c r="N80" s="3">
        <v>46023</v>
      </c>
      <c r="O80" t="s">
        <v>362</v>
      </c>
      <c r="P80" s="14" t="s">
        <v>363</v>
      </c>
      <c r="Q80"/>
      <c r="R80" s="4" t="s">
        <v>131</v>
      </c>
      <c r="S80" s="20" t="str">
        <f>CONCATENATE(R80,67)</f>
        <v>00015985030K67</v>
      </c>
      <c r="T80" s="4" t="s">
        <v>482</v>
      </c>
      <c r="U80" t="s">
        <v>483</v>
      </c>
      <c r="V80" t="str">
        <f>CONCATENATE(U80," ",T80)</f>
        <v>MARIA HOALT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1:43" s="9" customFormat="1" x14ac:dyDescent="0.2">
      <c r="A81" s="4" t="s">
        <v>129</v>
      </c>
      <c r="B81">
        <v>9213293</v>
      </c>
      <c r="C81" s="4" t="s">
        <v>149</v>
      </c>
      <c r="D81" s="4" t="s">
        <v>150</v>
      </c>
      <c r="E81" s="3">
        <v>46143</v>
      </c>
      <c r="F81" s="4" t="s">
        <v>92</v>
      </c>
      <c r="G81" s="4" t="s">
        <v>52</v>
      </c>
      <c r="H81" s="4" t="s">
        <v>62</v>
      </c>
      <c r="I81" s="5">
        <v>0.67</v>
      </c>
      <c r="J81" s="5">
        <v>0</v>
      </c>
      <c r="K81" s="5">
        <v>100</v>
      </c>
      <c r="L81" s="5">
        <v>231.33</v>
      </c>
      <c r="M81" s="4" t="s">
        <v>54</v>
      </c>
      <c r="N81" s="3">
        <v>46143</v>
      </c>
      <c r="O81" t="s">
        <v>362</v>
      </c>
      <c r="P81" s="14" t="s">
        <v>364</v>
      </c>
      <c r="Q81">
        <f>347/12*8</f>
        <v>231.33333333333334</v>
      </c>
      <c r="R81" s="4" t="s">
        <v>150</v>
      </c>
      <c r="S81" s="20" t="str">
        <f>CONCATENATE(R81,67)</f>
        <v>00026325506K67</v>
      </c>
      <c r="T81" s="4" t="s">
        <v>495</v>
      </c>
      <c r="U81" t="s">
        <v>496</v>
      </c>
      <c r="V81" t="str">
        <f>CONCATENATE(U81," ",T81)</f>
        <v>ALFRED SOLIS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3" s="9" customFormat="1" x14ac:dyDescent="0.2">
      <c r="A82" s="4" t="s">
        <v>129</v>
      </c>
      <c r="B82">
        <v>9213293</v>
      </c>
      <c r="C82" s="4" t="s">
        <v>142</v>
      </c>
      <c r="D82" s="4" t="s">
        <v>143</v>
      </c>
      <c r="E82" s="3">
        <v>46113</v>
      </c>
      <c r="F82" s="4" t="s">
        <v>50</v>
      </c>
      <c r="G82" s="4" t="s">
        <v>52</v>
      </c>
      <c r="H82" s="4" t="s">
        <v>62</v>
      </c>
      <c r="I82" s="5">
        <v>0.75</v>
      </c>
      <c r="J82" s="5">
        <v>0</v>
      </c>
      <c r="K82" s="5">
        <v>100</v>
      </c>
      <c r="L82" s="5">
        <v>260.25</v>
      </c>
      <c r="M82" s="4" t="s">
        <v>54</v>
      </c>
      <c r="N82" s="3">
        <v>46113</v>
      </c>
      <c r="O82" t="s">
        <v>362</v>
      </c>
      <c r="P82" s="14" t="s">
        <v>363</v>
      </c>
      <c r="Q82"/>
      <c r="R82" s="4" t="s">
        <v>143</v>
      </c>
      <c r="S82" s="20" t="str">
        <f>CONCATENATE(R82,67)</f>
        <v>00026216744K67</v>
      </c>
      <c r="T82" s="4" t="s">
        <v>513</v>
      </c>
      <c r="U82" t="s">
        <v>514</v>
      </c>
      <c r="V82" t="str">
        <f>CONCATENATE(U82," ",T82)</f>
        <v>MICHELLE KAUS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</row>
    <row r="83" spans="1:43" s="9" customFormat="1" x14ac:dyDescent="0.2">
      <c r="A83" s="4" t="s">
        <v>129</v>
      </c>
      <c r="B83">
        <v>9213293</v>
      </c>
      <c r="C83" s="4" t="s">
        <v>145</v>
      </c>
      <c r="D83" s="4" t="s">
        <v>146</v>
      </c>
      <c r="E83" s="3">
        <v>46113</v>
      </c>
      <c r="F83" s="4" t="s">
        <v>50</v>
      </c>
      <c r="G83" s="4" t="s">
        <v>52</v>
      </c>
      <c r="H83" s="4" t="s">
        <v>53</v>
      </c>
      <c r="I83" s="5">
        <v>0.75</v>
      </c>
      <c r="J83" s="5">
        <v>0</v>
      </c>
      <c r="K83" s="5">
        <v>100</v>
      </c>
      <c r="L83" s="5">
        <v>260.25</v>
      </c>
      <c r="M83" s="4" t="s">
        <v>54</v>
      </c>
      <c r="N83" s="3">
        <v>46113</v>
      </c>
      <c r="O83" t="s">
        <v>362</v>
      </c>
      <c r="P83" s="14" t="s">
        <v>363</v>
      </c>
      <c r="Q83"/>
      <c r="R83" s="4" t="s">
        <v>146</v>
      </c>
      <c r="S83" s="20" t="str">
        <f>CONCATENATE(R83,67)</f>
        <v>00026313233K67</v>
      </c>
      <c r="T83" s="4" t="s">
        <v>523</v>
      </c>
      <c r="U83" t="s">
        <v>524</v>
      </c>
      <c r="V83" t="str">
        <f>CONCATENATE(U83," ",T83)</f>
        <v>KIET DOAN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</row>
    <row r="84" spans="1:43" s="9" customFormat="1" x14ac:dyDescent="0.2">
      <c r="A84" s="4" t="s">
        <v>195</v>
      </c>
      <c r="B84">
        <v>19645587</v>
      </c>
      <c r="C84" s="4" t="s">
        <v>196</v>
      </c>
      <c r="D84" s="4" t="s">
        <v>197</v>
      </c>
      <c r="E84" s="3">
        <v>46113</v>
      </c>
      <c r="F84" s="4" t="s">
        <v>50</v>
      </c>
      <c r="G84" s="4" t="s">
        <v>52</v>
      </c>
      <c r="H84" s="4" t="s">
        <v>53</v>
      </c>
      <c r="I84" s="5">
        <v>0.75</v>
      </c>
      <c r="J84" s="5">
        <v>0</v>
      </c>
      <c r="K84" s="5">
        <v>100</v>
      </c>
      <c r="L84" s="5">
        <v>260.25</v>
      </c>
      <c r="M84" s="4" t="s">
        <v>54</v>
      </c>
      <c r="N84" s="3">
        <v>46113</v>
      </c>
      <c r="O84" t="s">
        <v>362</v>
      </c>
      <c r="P84" s="14" t="s">
        <v>363</v>
      </c>
      <c r="Q84"/>
      <c r="R84" s="4" t="s">
        <v>197</v>
      </c>
      <c r="S84" s="20" t="str">
        <f>CONCATENATE(R84,67)</f>
        <v>00026060207K67</v>
      </c>
      <c r="T84" s="4" t="s">
        <v>535</v>
      </c>
      <c r="U84" t="s">
        <v>536</v>
      </c>
      <c r="V84" t="str">
        <f>CONCATENATE(U84," ",T84)</f>
        <v>EARNESTINE STARKS</v>
      </c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</row>
    <row r="85" spans="1:43" s="9" customFormat="1" x14ac:dyDescent="0.2">
      <c r="A85" s="4" t="s">
        <v>168</v>
      </c>
      <c r="B85">
        <v>19200754</v>
      </c>
      <c r="C85" s="4" t="s">
        <v>169</v>
      </c>
      <c r="D85" s="4" t="s">
        <v>170</v>
      </c>
      <c r="E85" s="3">
        <v>46113</v>
      </c>
      <c r="F85" s="4" t="s">
        <v>50</v>
      </c>
      <c r="G85" s="4" t="s">
        <v>52</v>
      </c>
      <c r="H85" s="4" t="s">
        <v>53</v>
      </c>
      <c r="I85" s="5">
        <v>0.75</v>
      </c>
      <c r="J85" s="5">
        <v>0</v>
      </c>
      <c r="K85" s="5">
        <v>100</v>
      </c>
      <c r="L85" s="5">
        <v>260.25</v>
      </c>
      <c r="M85" s="4" t="s">
        <v>54</v>
      </c>
      <c r="N85" s="3">
        <v>46113</v>
      </c>
      <c r="O85" t="s">
        <v>362</v>
      </c>
      <c r="P85" s="14" t="s">
        <v>363</v>
      </c>
      <c r="Q85"/>
      <c r="R85" s="4" t="s">
        <v>170</v>
      </c>
      <c r="S85" s="20" t="str">
        <f>CONCATENATE(R85,67)</f>
        <v>00026316342K67</v>
      </c>
      <c r="T85" s="4" t="s">
        <v>528</v>
      </c>
      <c r="U85" t="s">
        <v>529</v>
      </c>
      <c r="V85" t="str">
        <f>CONCATENATE(U85," ",T85)</f>
        <v>SHAHRUKH AHMED</v>
      </c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</row>
    <row r="86" spans="1:43" s="9" customFormat="1" x14ac:dyDescent="0.2">
      <c r="A86" s="4" t="s">
        <v>176</v>
      </c>
      <c r="B86">
        <v>19586992</v>
      </c>
      <c r="C86" s="4" t="s">
        <v>177</v>
      </c>
      <c r="D86" s="4" t="s">
        <v>178</v>
      </c>
      <c r="E86" s="3">
        <v>46023</v>
      </c>
      <c r="F86" s="4" t="s">
        <v>61</v>
      </c>
      <c r="G86" s="4" t="s">
        <v>52</v>
      </c>
      <c r="H86" s="4" t="s">
        <v>53</v>
      </c>
      <c r="I86" s="5">
        <v>-0.75</v>
      </c>
      <c r="J86" s="5">
        <v>0</v>
      </c>
      <c r="K86" s="5">
        <v>100</v>
      </c>
      <c r="L86" s="5">
        <v>-260.25</v>
      </c>
      <c r="M86" s="4" t="s">
        <v>54</v>
      </c>
      <c r="N86" s="3">
        <v>46023</v>
      </c>
      <c r="O86" t="s">
        <v>362</v>
      </c>
      <c r="P86" s="14" t="s">
        <v>363</v>
      </c>
      <c r="Q86"/>
      <c r="R86" s="4" t="s">
        <v>178</v>
      </c>
      <c r="S86" s="20" t="str">
        <f>CONCATENATE(R86,67)</f>
        <v>00024952699K67</v>
      </c>
      <c r="T86" s="4" t="s">
        <v>467</v>
      </c>
      <c r="U86" t="s">
        <v>484</v>
      </c>
      <c r="V86" t="str">
        <f>CONCATENATE(U86," ",T86)</f>
        <v>PHYLLIS NAGY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</row>
    <row r="87" spans="1:43" s="9" customFormat="1" x14ac:dyDescent="0.2">
      <c r="A87" s="4" t="s">
        <v>199</v>
      </c>
      <c r="B87">
        <v>20490188</v>
      </c>
      <c r="C87" s="4" t="s">
        <v>203</v>
      </c>
      <c r="D87" s="4" t="s">
        <v>204</v>
      </c>
      <c r="E87" s="3">
        <v>46113</v>
      </c>
      <c r="F87" s="4" t="s">
        <v>50</v>
      </c>
      <c r="G87" s="4" t="s">
        <v>52</v>
      </c>
      <c r="H87" s="4" t="s">
        <v>53</v>
      </c>
      <c r="I87" s="5">
        <v>0.75</v>
      </c>
      <c r="J87" s="5">
        <v>0</v>
      </c>
      <c r="K87" s="5">
        <v>100</v>
      </c>
      <c r="L87" s="5">
        <v>260.25</v>
      </c>
      <c r="M87" s="4" t="s">
        <v>54</v>
      </c>
      <c r="N87" s="3">
        <v>46113</v>
      </c>
      <c r="O87" t="s">
        <v>362</v>
      </c>
      <c r="P87" s="14" t="s">
        <v>363</v>
      </c>
      <c r="Q87"/>
      <c r="R87" s="4" t="s">
        <v>204</v>
      </c>
      <c r="S87" s="20" t="str">
        <f>CONCATENATE(R87,67)</f>
        <v>00026301430K67</v>
      </c>
      <c r="T87" s="4" t="s">
        <v>537</v>
      </c>
      <c r="U87" t="s">
        <v>538</v>
      </c>
      <c r="V87" t="str">
        <f>CONCATENATE(U87," ",T87)</f>
        <v>VICKI BAERTSCHI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</row>
    <row r="88" spans="1:43" s="9" customFormat="1" x14ac:dyDescent="0.2">
      <c r="A88" s="4" t="s">
        <v>199</v>
      </c>
      <c r="B88">
        <v>20490188</v>
      </c>
      <c r="C88" s="4" t="s">
        <v>200</v>
      </c>
      <c r="D88" s="4" t="s">
        <v>201</v>
      </c>
      <c r="E88" s="3">
        <v>46082</v>
      </c>
      <c r="F88" s="4" t="s">
        <v>87</v>
      </c>
      <c r="G88" s="4" t="s">
        <v>52</v>
      </c>
      <c r="H88" s="4" t="s">
        <v>53</v>
      </c>
      <c r="I88" s="5">
        <v>0.83</v>
      </c>
      <c r="J88" s="5">
        <v>0</v>
      </c>
      <c r="K88" s="5">
        <v>100</v>
      </c>
      <c r="L88" s="5">
        <v>289.17</v>
      </c>
      <c r="M88" s="4" t="s">
        <v>54</v>
      </c>
      <c r="N88" s="3">
        <v>46082</v>
      </c>
      <c r="O88" t="s">
        <v>362</v>
      </c>
      <c r="P88" s="14" t="s">
        <v>361</v>
      </c>
      <c r="Q88">
        <f>347/12*10</f>
        <v>289.16666666666669</v>
      </c>
      <c r="R88" s="4" t="s">
        <v>201</v>
      </c>
      <c r="S88" s="20" t="str">
        <f>CONCATENATE(R88,67)</f>
        <v>00026150044K67</v>
      </c>
      <c r="T88" s="4" t="s">
        <v>543</v>
      </c>
      <c r="U88" t="s">
        <v>544</v>
      </c>
      <c r="V88" t="str">
        <f>CONCATENATE(U88," ",T88)</f>
        <v>TAMANE ZULKOSKI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</row>
    <row r="89" spans="1:43" s="9" customFormat="1" x14ac:dyDescent="0.2">
      <c r="A89" s="4" t="s">
        <v>210</v>
      </c>
      <c r="B89">
        <v>7565575</v>
      </c>
      <c r="C89" s="4" t="s">
        <v>211</v>
      </c>
      <c r="D89" s="4" t="s">
        <v>212</v>
      </c>
      <c r="E89" s="3">
        <v>46143</v>
      </c>
      <c r="F89" s="4" t="s">
        <v>92</v>
      </c>
      <c r="G89" s="4" t="s">
        <v>52</v>
      </c>
      <c r="H89" s="4" t="s">
        <v>53</v>
      </c>
      <c r="I89" s="5">
        <v>0.67</v>
      </c>
      <c r="J89" s="5">
        <v>0</v>
      </c>
      <c r="K89" s="5">
        <v>100</v>
      </c>
      <c r="L89" s="5">
        <v>231.33</v>
      </c>
      <c r="M89" s="4" t="s">
        <v>54</v>
      </c>
      <c r="N89" s="3">
        <v>46143</v>
      </c>
      <c r="O89" t="s">
        <v>362</v>
      </c>
      <c r="P89" s="14" t="s">
        <v>364</v>
      </c>
      <c r="Q89"/>
      <c r="R89" s="4" t="s">
        <v>212</v>
      </c>
      <c r="S89" s="20" t="str">
        <f>CONCATENATE(R89,67)</f>
        <v>00026223632K67</v>
      </c>
      <c r="T89" s="4" t="s">
        <v>498</v>
      </c>
      <c r="U89" t="s">
        <v>499</v>
      </c>
      <c r="V89" t="str">
        <f>CONCATENATE(U89," ",T89)</f>
        <v>DARRYL REED</v>
      </c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</row>
    <row r="90" spans="1:43" s="9" customFormat="1" x14ac:dyDescent="0.2">
      <c r="A90" s="4" t="s">
        <v>235</v>
      </c>
      <c r="B90">
        <v>18142208</v>
      </c>
      <c r="C90" s="4" t="s">
        <v>236</v>
      </c>
      <c r="D90" s="4" t="s">
        <v>237</v>
      </c>
      <c r="E90" s="3">
        <v>46023</v>
      </c>
      <c r="F90" s="4" t="s">
        <v>61</v>
      </c>
      <c r="G90" s="4" t="s">
        <v>52</v>
      </c>
      <c r="H90" s="4" t="s">
        <v>62</v>
      </c>
      <c r="I90" s="5">
        <v>-0.75</v>
      </c>
      <c r="J90" s="5">
        <v>0</v>
      </c>
      <c r="K90" s="5">
        <v>100</v>
      </c>
      <c r="L90" s="5">
        <v>-260.25</v>
      </c>
      <c r="M90" s="4" t="s">
        <v>54</v>
      </c>
      <c r="N90" s="3">
        <v>46023</v>
      </c>
      <c r="O90" t="s">
        <v>362</v>
      </c>
      <c r="P90" s="14" t="s">
        <v>363</v>
      </c>
      <c r="Q90"/>
      <c r="R90" s="4" t="s">
        <v>237</v>
      </c>
      <c r="S90" s="20" t="str">
        <f>CONCATENATE(R90,67)</f>
        <v>00006948323K67</v>
      </c>
      <c r="T90" s="4" t="s">
        <v>474</v>
      </c>
      <c r="U90" t="s">
        <v>475</v>
      </c>
      <c r="V90" t="str">
        <f>CONCATENATE(U90," ",T90)</f>
        <v>RICHARD SULLIVAN</v>
      </c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</row>
    <row r="91" spans="1:43" s="9" customFormat="1" x14ac:dyDescent="0.2">
      <c r="A91" s="4" t="s">
        <v>218</v>
      </c>
      <c r="B91" s="14" t="s">
        <v>550</v>
      </c>
      <c r="C91" s="4" t="s">
        <v>219</v>
      </c>
      <c r="D91" s="4" t="s">
        <v>220</v>
      </c>
      <c r="E91" s="3">
        <v>46054</v>
      </c>
      <c r="F91" s="4" t="s">
        <v>91</v>
      </c>
      <c r="G91" s="4" t="s">
        <v>52</v>
      </c>
      <c r="H91" s="4" t="s">
        <v>53</v>
      </c>
      <c r="I91" s="5">
        <v>-0.75</v>
      </c>
      <c r="J91" s="5">
        <v>0</v>
      </c>
      <c r="K91" s="5">
        <v>100</v>
      </c>
      <c r="L91" s="5">
        <v>-260.25</v>
      </c>
      <c r="M91" s="4" t="s">
        <v>54</v>
      </c>
      <c r="N91" s="3">
        <v>46054</v>
      </c>
      <c r="O91" t="s">
        <v>362</v>
      </c>
      <c r="P91" s="14" t="s">
        <v>363</v>
      </c>
      <c r="Q91"/>
      <c r="R91" s="4" t="s">
        <v>220</v>
      </c>
      <c r="S91" s="20" t="str">
        <f>CONCATENATE(R91,67)</f>
        <v>00025445542K67</v>
      </c>
      <c r="T91" s="4" t="s">
        <v>485</v>
      </c>
      <c r="U91" t="s">
        <v>486</v>
      </c>
      <c r="V91" t="str">
        <f>CONCATENATE(U91," ",T91)</f>
        <v>DAVID VELMS</v>
      </c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</row>
    <row r="92" spans="1:43" s="9" customFormat="1" x14ac:dyDescent="0.2">
      <c r="A92" s="4" t="s">
        <v>218</v>
      </c>
      <c r="B92" s="14" t="s">
        <v>550</v>
      </c>
      <c r="C92" s="4" t="s">
        <v>219</v>
      </c>
      <c r="D92" s="4" t="s">
        <v>220</v>
      </c>
      <c r="E92" s="3">
        <v>46054</v>
      </c>
      <c r="F92" s="4" t="s">
        <v>91</v>
      </c>
      <c r="G92" s="4" t="s">
        <v>52</v>
      </c>
      <c r="H92" s="4" t="s">
        <v>53</v>
      </c>
      <c r="I92" s="5">
        <v>0</v>
      </c>
      <c r="J92" s="5">
        <v>0</v>
      </c>
      <c r="K92" s="5">
        <v>100</v>
      </c>
      <c r="L92" s="5">
        <v>-260.25</v>
      </c>
      <c r="M92" s="4" t="s">
        <v>93</v>
      </c>
      <c r="N92" s="3">
        <v>46054</v>
      </c>
      <c r="O92" t="s">
        <v>362</v>
      </c>
      <c r="P92" s="14" t="s">
        <v>363</v>
      </c>
      <c r="Q92"/>
      <c r="R92" s="4" t="s">
        <v>220</v>
      </c>
      <c r="S92" s="20" t="str">
        <f>CONCATENATE(R92,67)</f>
        <v>00025445542K67</v>
      </c>
      <c r="T92" s="4" t="s">
        <v>485</v>
      </c>
      <c r="U92" t="s">
        <v>486</v>
      </c>
      <c r="V92" t="str">
        <f>CONCATENATE(U92," ",T92)</f>
        <v>DAVID VELMS</v>
      </c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</row>
    <row r="93" spans="1:43" s="9" customFormat="1" x14ac:dyDescent="0.2">
      <c r="A93" s="4" t="s">
        <v>180</v>
      </c>
      <c r="B93">
        <v>19681796</v>
      </c>
      <c r="C93" s="4" t="s">
        <v>181</v>
      </c>
      <c r="D93" s="4" t="s">
        <v>182</v>
      </c>
      <c r="E93" s="3">
        <v>46113</v>
      </c>
      <c r="F93" s="4" t="s">
        <v>50</v>
      </c>
      <c r="G93" s="4" t="s">
        <v>52</v>
      </c>
      <c r="H93" s="4" t="s">
        <v>53</v>
      </c>
      <c r="I93" s="5">
        <v>0.75</v>
      </c>
      <c r="J93" s="5">
        <v>0</v>
      </c>
      <c r="K93" s="5">
        <v>100</v>
      </c>
      <c r="L93" s="5">
        <v>260.25</v>
      </c>
      <c r="M93" s="4" t="s">
        <v>54</v>
      </c>
      <c r="N93" s="3">
        <v>46113</v>
      </c>
      <c r="O93" t="s">
        <v>362</v>
      </c>
      <c r="P93" s="14" t="s">
        <v>363</v>
      </c>
      <c r="Q93"/>
      <c r="R93" s="4" t="s">
        <v>182</v>
      </c>
      <c r="S93" s="20" t="str">
        <f>CONCATENATE(R93,67)</f>
        <v>00026318786K67</v>
      </c>
      <c r="T93" s="4" t="s">
        <v>532</v>
      </c>
      <c r="U93" t="s">
        <v>387</v>
      </c>
      <c r="V93" t="str">
        <f>CONCATENATE(U93," ",T93)</f>
        <v>NORMA COLLINS</v>
      </c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</row>
    <row r="94" spans="1:43" s="9" customFormat="1" x14ac:dyDescent="0.2">
      <c r="A94" s="4" t="s">
        <v>64</v>
      </c>
      <c r="B94">
        <v>8307933</v>
      </c>
      <c r="C94" s="4" t="s">
        <v>69</v>
      </c>
      <c r="D94" s="4" t="s">
        <v>70</v>
      </c>
      <c r="E94" s="3">
        <v>46113</v>
      </c>
      <c r="F94" s="4" t="s">
        <v>50</v>
      </c>
      <c r="G94" s="4" t="s">
        <v>52</v>
      </c>
      <c r="H94" s="4" t="s">
        <v>53</v>
      </c>
      <c r="I94" s="5">
        <v>-0.75</v>
      </c>
      <c r="J94" s="5">
        <v>0</v>
      </c>
      <c r="K94" s="5">
        <v>100</v>
      </c>
      <c r="L94" s="5">
        <v>-260.25</v>
      </c>
      <c r="M94" s="4" t="s">
        <v>54</v>
      </c>
      <c r="N94" s="3">
        <v>46113</v>
      </c>
      <c r="O94" t="s">
        <v>362</v>
      </c>
      <c r="P94" s="14" t="s">
        <v>363</v>
      </c>
      <c r="Q94"/>
      <c r="R94" s="4" t="s">
        <v>70</v>
      </c>
      <c r="S94" s="20" t="str">
        <f>CONCATENATE(R94,67)</f>
        <v>00026273527K67</v>
      </c>
      <c r="T94" s="4" t="s">
        <v>476</v>
      </c>
      <c r="U94" t="s">
        <v>477</v>
      </c>
      <c r="V94" t="str">
        <f>CONCATENATE(U94," ",T94)</f>
        <v>QUINTIN HICKEY</v>
      </c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</row>
    <row r="95" spans="1:43" s="9" customFormat="1" x14ac:dyDescent="0.2">
      <c r="A95" s="4" t="s">
        <v>64</v>
      </c>
      <c r="B95">
        <v>8307933</v>
      </c>
      <c r="C95" s="4" t="s">
        <v>65</v>
      </c>
      <c r="D95" s="4" t="s">
        <v>66</v>
      </c>
      <c r="E95" s="3">
        <v>46113</v>
      </c>
      <c r="F95" s="4" t="s">
        <v>50</v>
      </c>
      <c r="G95" s="4" t="s">
        <v>52</v>
      </c>
      <c r="H95" s="4" t="s">
        <v>62</v>
      </c>
      <c r="I95" s="5">
        <v>0.75</v>
      </c>
      <c r="J95" s="5">
        <v>0</v>
      </c>
      <c r="K95" s="5">
        <v>100</v>
      </c>
      <c r="L95" s="5">
        <v>260.25</v>
      </c>
      <c r="M95" s="4" t="s">
        <v>54</v>
      </c>
      <c r="N95" s="3">
        <v>46113</v>
      </c>
      <c r="O95" t="s">
        <v>362</v>
      </c>
      <c r="P95" s="14" t="s">
        <v>363</v>
      </c>
      <c r="Q95"/>
      <c r="R95" s="4" t="s">
        <v>66</v>
      </c>
      <c r="S95" s="20" t="str">
        <f>CONCATENATE(R95,67)</f>
        <v>00017542360K67</v>
      </c>
      <c r="T95" s="4" t="s">
        <v>500</v>
      </c>
      <c r="U95" t="s">
        <v>468</v>
      </c>
      <c r="V95" t="str">
        <f>CONCATENATE(U95," ",T95)</f>
        <v>JAMES RIGGS</v>
      </c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</row>
    <row r="96" spans="1:43" s="9" customFormat="1" x14ac:dyDescent="0.2">
      <c r="A96" s="4" t="s">
        <v>64</v>
      </c>
      <c r="B96">
        <v>8307933</v>
      </c>
      <c r="C96" s="4" t="s">
        <v>73</v>
      </c>
      <c r="D96" s="4" t="s">
        <v>74</v>
      </c>
      <c r="E96" s="3">
        <v>46113</v>
      </c>
      <c r="F96" s="4" t="s">
        <v>50</v>
      </c>
      <c r="G96" s="4" t="s">
        <v>52</v>
      </c>
      <c r="H96" s="4" t="s">
        <v>62</v>
      </c>
      <c r="I96" s="5">
        <v>0.75</v>
      </c>
      <c r="J96" s="5">
        <v>0</v>
      </c>
      <c r="K96" s="5">
        <v>100</v>
      </c>
      <c r="L96" s="5">
        <v>260.25</v>
      </c>
      <c r="M96" s="4" t="s">
        <v>54</v>
      </c>
      <c r="N96" s="3">
        <v>46113</v>
      </c>
      <c r="O96" t="s">
        <v>362</v>
      </c>
      <c r="P96" s="14" t="s">
        <v>363</v>
      </c>
      <c r="Q96"/>
      <c r="R96" s="4" t="s">
        <v>74</v>
      </c>
      <c r="S96" s="20" t="str">
        <f>CONCATENATE(R96,67)</f>
        <v>00026323516K67</v>
      </c>
      <c r="T96" s="4" t="s">
        <v>501</v>
      </c>
      <c r="U96" t="s">
        <v>502</v>
      </c>
      <c r="V96" t="str">
        <f>CONCATENATE(U96," ",T96)</f>
        <v>RAVI VIJH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1:43" s="9" customFormat="1" x14ac:dyDescent="0.2">
      <c r="A97" s="4" t="s">
        <v>64</v>
      </c>
      <c r="B97">
        <v>8307933</v>
      </c>
      <c r="C97" s="4" t="s">
        <v>76</v>
      </c>
      <c r="D97" s="4" t="s">
        <v>77</v>
      </c>
      <c r="E97" s="3">
        <v>46113</v>
      </c>
      <c r="F97" s="4" t="s">
        <v>50</v>
      </c>
      <c r="G97" s="4" t="s">
        <v>52</v>
      </c>
      <c r="H97" s="4" t="s">
        <v>62</v>
      </c>
      <c r="I97" s="5">
        <v>0.75</v>
      </c>
      <c r="J97" s="5">
        <v>0</v>
      </c>
      <c r="K97" s="5">
        <v>100</v>
      </c>
      <c r="L97" s="5">
        <v>260.25</v>
      </c>
      <c r="M97" s="4" t="s">
        <v>54</v>
      </c>
      <c r="N97" s="3">
        <v>46113</v>
      </c>
      <c r="O97" t="s">
        <v>362</v>
      </c>
      <c r="P97" s="14" t="s">
        <v>363</v>
      </c>
      <c r="Q97"/>
      <c r="R97" s="4" t="s">
        <v>77</v>
      </c>
      <c r="S97" s="20" t="str">
        <f>CONCATENATE(R97,67)</f>
        <v>00026326476K67</v>
      </c>
      <c r="T97" s="4" t="s">
        <v>501</v>
      </c>
      <c r="U97" t="s">
        <v>503</v>
      </c>
      <c r="V97" t="str">
        <f>CONCATENATE(U97," ",T97)</f>
        <v>SHVETA VIJH</v>
      </c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</row>
    <row r="98" spans="1:43" s="9" customFormat="1" x14ac:dyDescent="0.2">
      <c r="A98" s="4" t="s">
        <v>172</v>
      </c>
      <c r="B98">
        <v>8405446</v>
      </c>
      <c r="C98" s="4" t="s">
        <v>173</v>
      </c>
      <c r="D98" s="4" t="s">
        <v>174</v>
      </c>
      <c r="E98" s="3">
        <v>46113</v>
      </c>
      <c r="F98" s="4" t="s">
        <v>50</v>
      </c>
      <c r="G98" s="4" t="s">
        <v>52</v>
      </c>
      <c r="H98" s="4" t="s">
        <v>53</v>
      </c>
      <c r="I98" s="5">
        <v>0.75</v>
      </c>
      <c r="J98" s="5">
        <v>0</v>
      </c>
      <c r="K98" s="5">
        <v>100</v>
      </c>
      <c r="L98" s="5">
        <v>260.25</v>
      </c>
      <c r="M98" s="4" t="s">
        <v>54</v>
      </c>
      <c r="N98" s="3">
        <v>46113</v>
      </c>
      <c r="O98" t="s">
        <v>362</v>
      </c>
      <c r="P98" s="14" t="s">
        <v>363</v>
      </c>
      <c r="Q98"/>
      <c r="R98" s="4" t="s">
        <v>174</v>
      </c>
      <c r="S98" s="20" t="str">
        <f>CONCATENATE(R98,67)</f>
        <v>00026306799K67</v>
      </c>
      <c r="T98" s="4" t="s">
        <v>530</v>
      </c>
      <c r="U98" t="s">
        <v>531</v>
      </c>
      <c r="V98" t="str">
        <f>CONCATENATE(U98," ",T98)</f>
        <v>NIMITH KOULABOUTH</v>
      </c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</row>
    <row r="99" spans="1:43" s="9" customFormat="1" x14ac:dyDescent="0.2">
      <c r="A99" s="4" t="s">
        <v>206</v>
      </c>
      <c r="B99">
        <v>20212926</v>
      </c>
      <c r="C99" s="4" t="s">
        <v>207</v>
      </c>
      <c r="D99" s="4" t="s">
        <v>208</v>
      </c>
      <c r="E99" s="3">
        <v>46113</v>
      </c>
      <c r="F99" s="4" t="s">
        <v>50</v>
      </c>
      <c r="G99" s="4" t="s">
        <v>52</v>
      </c>
      <c r="H99" s="4" t="s">
        <v>53</v>
      </c>
      <c r="I99" s="5">
        <v>0.75</v>
      </c>
      <c r="J99" s="5">
        <v>0</v>
      </c>
      <c r="K99" s="5">
        <v>100</v>
      </c>
      <c r="L99" s="5">
        <v>260.25</v>
      </c>
      <c r="M99" s="4" t="s">
        <v>54</v>
      </c>
      <c r="N99" s="3">
        <v>46113</v>
      </c>
      <c r="O99" t="s">
        <v>362</v>
      </c>
      <c r="P99" s="14" t="s">
        <v>363</v>
      </c>
      <c r="Q99"/>
      <c r="R99" s="4" t="s">
        <v>208</v>
      </c>
      <c r="S99" s="20" t="str">
        <f>CONCATENATE(R99,67)</f>
        <v>00026303905K67</v>
      </c>
      <c r="T99" s="4" t="s">
        <v>539</v>
      </c>
      <c r="U99" t="s">
        <v>540</v>
      </c>
      <c r="V99" t="str">
        <f>CONCATENATE(U99," ",T99)</f>
        <v>JULIANA ANTONIO</v>
      </c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</row>
    <row r="100" spans="1:43" s="9" customFormat="1" x14ac:dyDescent="0.2">
      <c r="A100" s="4" t="s">
        <v>106</v>
      </c>
      <c r="B100">
        <v>8325282</v>
      </c>
      <c r="C100" s="4" t="s">
        <v>107</v>
      </c>
      <c r="D100" s="4" t="s">
        <v>108</v>
      </c>
      <c r="E100" s="3">
        <v>46054</v>
      </c>
      <c r="F100" s="4" t="s">
        <v>91</v>
      </c>
      <c r="G100" s="4" t="s">
        <v>52</v>
      </c>
      <c r="H100" s="4" t="s">
        <v>62</v>
      </c>
      <c r="I100" s="5">
        <v>1</v>
      </c>
      <c r="J100" s="5">
        <v>0</v>
      </c>
      <c r="K100" s="5">
        <v>100</v>
      </c>
      <c r="L100" s="5">
        <v>28.91</v>
      </c>
      <c r="M100" s="4" t="s">
        <v>89</v>
      </c>
      <c r="N100" s="3">
        <v>45931</v>
      </c>
      <c r="O100" t="s">
        <v>362</v>
      </c>
      <c r="P100" s="14" t="s">
        <v>369</v>
      </c>
      <c r="Q100"/>
      <c r="R100" s="4" t="s">
        <v>108</v>
      </c>
      <c r="S100" s="20" t="str">
        <f>CONCATENATE(R100,67)</f>
        <v>00023649753K67</v>
      </c>
      <c r="T100" s="4" t="s">
        <v>493</v>
      </c>
      <c r="U100" t="s">
        <v>494</v>
      </c>
      <c r="V100" t="str">
        <f>CONCATENATE(U100," ",T100)</f>
        <v>JOSEPH WALKER</v>
      </c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</row>
    <row r="101" spans="1:43" s="9" customFormat="1" x14ac:dyDescent="0.2">
      <c r="A101" s="4" t="s">
        <v>110</v>
      </c>
      <c r="B101">
        <v>16633294</v>
      </c>
      <c r="C101" s="4" t="s">
        <v>111</v>
      </c>
      <c r="D101" s="4" t="s">
        <v>112</v>
      </c>
      <c r="E101" s="3">
        <v>46023</v>
      </c>
      <c r="F101" s="4" t="s">
        <v>61</v>
      </c>
      <c r="G101" s="4" t="s">
        <v>52</v>
      </c>
      <c r="H101" s="4" t="s">
        <v>53</v>
      </c>
      <c r="I101" s="5">
        <v>-0.75</v>
      </c>
      <c r="J101" s="5">
        <v>0</v>
      </c>
      <c r="K101" s="5">
        <v>100</v>
      </c>
      <c r="L101" s="5">
        <v>-260.25</v>
      </c>
      <c r="M101" s="4" t="s">
        <v>54</v>
      </c>
      <c r="N101" s="3">
        <v>46023</v>
      </c>
      <c r="O101" t="s">
        <v>362</v>
      </c>
      <c r="P101" s="14" t="s">
        <v>363</v>
      </c>
      <c r="Q101"/>
      <c r="R101" s="4" t="s">
        <v>112</v>
      </c>
      <c r="S101" s="20" t="str">
        <f>CONCATENATE(R101,67)</f>
        <v>00023846296K67</v>
      </c>
      <c r="T101" s="4" t="s">
        <v>480</v>
      </c>
      <c r="U101" t="s">
        <v>481</v>
      </c>
      <c r="V101" t="str">
        <f>CONCATENATE(U101," ",T101)</f>
        <v>CAROLE LEVIN</v>
      </c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</sheetData>
  <sortState xmlns:xlrd2="http://schemas.microsoft.com/office/spreadsheetml/2017/richdata2" ref="A2:AQ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2026-04-03T07:05:22Z</dcterms:created>
  <dcterms:modified xsi:type="dcterms:W3CDTF">2026-04-03T18:56:04Z</dcterms:modified>
</cp:coreProperties>
</file>