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2-25-26\"/>
    </mc:Choice>
  </mc:AlternateContent>
  <xr:revisionPtr revIDLastSave="0" documentId="13_ncr:1_{EEE2F3B9-F5E0-4927-B74F-2701C744D69E}" xr6:coauthVersionLast="47" xr6:coauthVersionMax="47" xr10:uidLastSave="{00000000-0000-0000-0000-000000000000}"/>
  <bookViews>
    <workbookView xWindow="-120" yWindow="-120" windowWidth="29040" windowHeight="16440" activeTab="1" xr2:uid="{F9EF7422-FFF6-4811-9124-E28EB4FB217C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W71" i="2" l="1"/>
  <c r="W51" i="2"/>
  <c r="W45" i="2"/>
  <c r="W46" i="2"/>
  <c r="W48" i="2"/>
  <c r="W47" i="2"/>
  <c r="W56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49" i="2"/>
  <c r="W67" i="2"/>
  <c r="W68" i="2"/>
  <c r="W6" i="2"/>
  <c r="W7" i="2"/>
  <c r="W8" i="2"/>
  <c r="W9" i="2"/>
  <c r="W29" i="2"/>
  <c r="W30" i="2"/>
  <c r="W31" i="2"/>
  <c r="W32" i="2"/>
  <c r="W33" i="2"/>
  <c r="W34" i="2"/>
  <c r="W35" i="2"/>
  <c r="W69" i="2"/>
  <c r="W75" i="2"/>
  <c r="W52" i="2"/>
  <c r="W53" i="2"/>
  <c r="W61" i="2"/>
  <c r="W3" i="2"/>
  <c r="W62" i="2"/>
  <c r="W41" i="2"/>
  <c r="W78" i="2"/>
  <c r="W42" i="2"/>
  <c r="W72" i="2"/>
  <c r="W59" i="2"/>
  <c r="W54" i="2"/>
  <c r="W4" i="2"/>
  <c r="W5" i="2"/>
  <c r="W43" i="2"/>
  <c r="W44" i="2"/>
  <c r="W39" i="2"/>
  <c r="W40" i="2"/>
  <c r="W57" i="2"/>
  <c r="W58" i="2"/>
  <c r="W70" i="2"/>
  <c r="W76" i="2"/>
  <c r="W60" i="2"/>
  <c r="W85" i="2"/>
  <c r="W55" i="2"/>
  <c r="W84" i="2"/>
  <c r="W38" i="2"/>
  <c r="W63" i="2"/>
  <c r="W64" i="2"/>
  <c r="W65" i="2"/>
  <c r="W66" i="2"/>
  <c r="W73" i="2"/>
  <c r="W50" i="2"/>
  <c r="W2" i="2"/>
  <c r="W77" i="2"/>
  <c r="W36" i="2"/>
  <c r="W37" i="2"/>
  <c r="W74" i="2"/>
  <c r="S37" i="2"/>
  <c r="S36" i="2"/>
  <c r="S77" i="2"/>
  <c r="S73" i="2"/>
  <c r="S66" i="2"/>
  <c r="S65" i="2"/>
  <c r="S64" i="2"/>
  <c r="S63" i="2"/>
  <c r="S38" i="2"/>
  <c r="S84" i="2"/>
  <c r="S55" i="2"/>
  <c r="S85" i="2"/>
  <c r="S60" i="2"/>
  <c r="S76" i="2"/>
  <c r="S70" i="2"/>
  <c r="S58" i="2"/>
  <c r="S57" i="2"/>
  <c r="S40" i="2"/>
  <c r="S39" i="2"/>
  <c r="S44" i="2"/>
  <c r="S43" i="2"/>
  <c r="S5" i="2"/>
  <c r="S4" i="2"/>
  <c r="S54" i="2"/>
  <c r="S59" i="2"/>
  <c r="S72" i="2"/>
  <c r="S42" i="2"/>
  <c r="S78" i="2"/>
  <c r="S41" i="2"/>
  <c r="S62" i="2"/>
  <c r="S3" i="2"/>
  <c r="S61" i="2"/>
  <c r="S53" i="2"/>
  <c r="S52" i="2"/>
  <c r="S75" i="2"/>
  <c r="S69" i="2"/>
  <c r="S2" i="2"/>
  <c r="S50" i="2"/>
  <c r="S83" i="2"/>
  <c r="S82" i="2"/>
  <c r="S81" i="2"/>
  <c r="S80" i="2"/>
  <c r="S79" i="2"/>
  <c r="S35" i="2"/>
  <c r="S34" i="2"/>
  <c r="S33" i="2"/>
  <c r="S32" i="2"/>
  <c r="S31" i="2"/>
  <c r="S30" i="2"/>
  <c r="S29" i="2"/>
  <c r="S9" i="2"/>
  <c r="S8" i="2"/>
  <c r="S7" i="2"/>
  <c r="S6" i="2"/>
  <c r="S68" i="2"/>
  <c r="S67" i="2"/>
  <c r="S4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56" i="2"/>
  <c r="S47" i="2"/>
  <c r="S48" i="2"/>
  <c r="S46" i="2"/>
  <c r="S45" i="2"/>
  <c r="S51" i="2"/>
  <c r="S71" i="2"/>
  <c r="S74" i="2"/>
</calcChain>
</file>

<file path=xl/sharedStrings.xml><?xml version="1.0" encoding="utf-8"?>
<sst xmlns="http://schemas.openxmlformats.org/spreadsheetml/2006/main" count="3522" uniqueCount="465">
  <si>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</si>
  <si>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</si>
  <si>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</si>
  <si>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</si>
  <si>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</si>
  <si>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</si>
  <si>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</si>
  <si>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</si>
  <si>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</si>
  <si>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</si>
  <si>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</si>
  <si>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</si>
  <si>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</si>
  <si>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</si>
  <si>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</si>
  <si>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</si>
  <si>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</si>
  <si>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</si>
  <si>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</si>
  <si>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</si>
  <si>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</si>
  <si>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</si>
  <si>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</si>
  <si>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</si>
  <si>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</si>
  <si>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</si>
  <si>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</si>
  <si>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</si>
  <si>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</si>
  <si>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</si>
  <si>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</si>
  <si>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</si>
  <si>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</si>
  <si>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</si>
  <si>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</si>
  <si>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</si>
  <si>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</si>
  <si>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</si>
  <si>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</si>
  <si>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</si>
  <si>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</si>
  <si>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</si>
  <si>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</si>
  <si>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FERGUSON RICHARD L</t>
  </si>
  <si>
    <t>00022798258K</t>
  </si>
  <si>
    <t>2GW9W74CV32</t>
  </si>
  <si>
    <t/>
  </si>
  <si>
    <t>MA</t>
  </si>
  <si>
    <t>LV</t>
  </si>
  <si>
    <t>MAR</t>
  </si>
  <si>
    <t>F</t>
  </si>
  <si>
    <t>MEDICARE</t>
  </si>
  <si>
    <t>MEP</t>
  </si>
  <si>
    <t>FIRST YEAR COMMISSIONS</t>
  </si>
  <si>
    <t>ARCF</t>
  </si>
  <si>
    <t>H7617</t>
  </si>
  <si>
    <t>LISKOVEC FRANK E</t>
  </si>
  <si>
    <t>DAIDONE LAURA L</t>
  </si>
  <si>
    <t>00023271984K</t>
  </si>
  <si>
    <t>4MR3Q04AU97</t>
  </si>
  <si>
    <t>MER</t>
  </si>
  <si>
    <t>H4461</t>
  </si>
  <si>
    <t>HALKIAS HARIKLIA G</t>
  </si>
  <si>
    <t>00023897000K</t>
  </si>
  <si>
    <t>8W78HW6FJ53</t>
  </si>
  <si>
    <t>JAN</t>
  </si>
  <si>
    <t>HALKIAS ATHANASIOS N</t>
  </si>
  <si>
    <t>00023927672K</t>
  </si>
  <si>
    <t>2UA7AA8AJ36</t>
  </si>
  <si>
    <t>BABCOCK JEFFERY D</t>
  </si>
  <si>
    <t>00024524991K</t>
  </si>
  <si>
    <t>4Q21TR8CC02</t>
  </si>
  <si>
    <t>DEC</t>
  </si>
  <si>
    <t>MEDICARE 2ND HALF FIRST YEAR COMM</t>
  </si>
  <si>
    <t>MED2</t>
  </si>
  <si>
    <t>H5216</t>
  </si>
  <si>
    <t>HOFER DANA J</t>
  </si>
  <si>
    <t>00026157234K</t>
  </si>
  <si>
    <t>5MH8XN4EF39</t>
  </si>
  <si>
    <t>CHOI ANDREW J</t>
  </si>
  <si>
    <t>KWITSCHAU MARTIN</t>
  </si>
  <si>
    <t>00026153527K</t>
  </si>
  <si>
    <t>8PC4GT2MK68</t>
  </si>
  <si>
    <t>MCGARY SUZANNE J</t>
  </si>
  <si>
    <t>00026159538K</t>
  </si>
  <si>
    <t>5WY4TU5XX86</t>
  </si>
  <si>
    <t>TEIPEL GREGORY K</t>
  </si>
  <si>
    <t>GILBERT JEFFREY S</t>
  </si>
  <si>
    <t>00022077130K</t>
  </si>
  <si>
    <t>3QP4DC9AP81</t>
  </si>
  <si>
    <t>FEB</t>
  </si>
  <si>
    <t>MYERS CONNIE</t>
  </si>
  <si>
    <t>00022193875K</t>
  </si>
  <si>
    <t>2DJ6UD8ER79</t>
  </si>
  <si>
    <t>HUNSBERGER ANTHONY J</t>
  </si>
  <si>
    <t>BAIE GARY L</t>
  </si>
  <si>
    <t>00026139628K</t>
  </si>
  <si>
    <t>2TK3CG2MJ84</t>
  </si>
  <si>
    <t>BAIE KIMBERLY A</t>
  </si>
  <si>
    <t>00026140077K</t>
  </si>
  <si>
    <t>8Q01K32WA09</t>
  </si>
  <si>
    <t>MAY</t>
  </si>
  <si>
    <t>KIM DONG W</t>
  </si>
  <si>
    <t>00026154969K</t>
  </si>
  <si>
    <t>3KT0YU5JH20</t>
  </si>
  <si>
    <t>SCHEID ANNA R</t>
  </si>
  <si>
    <t>00026161367K</t>
  </si>
  <si>
    <t>1NK4YG4YN97</t>
  </si>
  <si>
    <t>APR</t>
  </si>
  <si>
    <t>H1468</t>
  </si>
  <si>
    <t>WALENGA DALE J</t>
  </si>
  <si>
    <t>GUTKNECHT JOHN</t>
  </si>
  <si>
    <t>00024436855K</t>
  </si>
  <si>
    <t>5T73QG4JW92</t>
  </si>
  <si>
    <t>PDP</t>
  </si>
  <si>
    <t>S5884</t>
  </si>
  <si>
    <t>YALE RICHARD A A</t>
  </si>
  <si>
    <t>BLACK KELVIN U</t>
  </si>
  <si>
    <t>00026166431K</t>
  </si>
  <si>
    <t>6JW1VH0XQ80</t>
  </si>
  <si>
    <t>GREEN DANNA</t>
  </si>
  <si>
    <t>HAMILTON LAURA T</t>
  </si>
  <si>
    <t>00009929683K</t>
  </si>
  <si>
    <t>5HJ5U61WR99</t>
  </si>
  <si>
    <t>GESKE HEATHER M</t>
  </si>
  <si>
    <t>DEAN CRAIG M</t>
  </si>
  <si>
    <t>00017885326K</t>
  </si>
  <si>
    <t>5W82MR6TH13</t>
  </si>
  <si>
    <t>H0028</t>
  </si>
  <si>
    <t>HERRERA-LARSEN ESTHER M</t>
  </si>
  <si>
    <t>HERRERA GARCIA NOEMI G</t>
  </si>
  <si>
    <t>00026156712K</t>
  </si>
  <si>
    <t>2RW5QQ0MQ50</t>
  </si>
  <si>
    <t>PORTUGAL GARY</t>
  </si>
  <si>
    <t>WILSON ILENE P</t>
  </si>
  <si>
    <t>00018142972K</t>
  </si>
  <si>
    <t>2KH1PV4XM14</t>
  </si>
  <si>
    <t>YARRINGTON BELL CYNTHIA F</t>
  </si>
  <si>
    <t>00026147634K</t>
  </si>
  <si>
    <t>3PY8TT3DN20</t>
  </si>
  <si>
    <t>ESPOSTO STELLA N</t>
  </si>
  <si>
    <t>00026162928K</t>
  </si>
  <si>
    <t>9W24MH3JT85</t>
  </si>
  <si>
    <t>OLIVER BRITTANY</t>
  </si>
  <si>
    <t>JOHNSON LISA A</t>
  </si>
  <si>
    <t>00026143186K</t>
  </si>
  <si>
    <t>4G13WC7PR92</t>
  </si>
  <si>
    <t>JOHNSON KEVIN L</t>
  </si>
  <si>
    <t>00026143199K</t>
  </si>
  <si>
    <t>6X46XJ9KV59</t>
  </si>
  <si>
    <t>SANTOS RICARDO D</t>
  </si>
  <si>
    <t>ILANGA PANLILIO J F</t>
  </si>
  <si>
    <t>00025877480K</t>
  </si>
  <si>
    <t>2R35TN6GH88</t>
  </si>
  <si>
    <t>THANADABOUTH PATSAMON</t>
  </si>
  <si>
    <t>PHORASAVONG ANTHONY S</t>
  </si>
  <si>
    <t>00026157183K</t>
  </si>
  <si>
    <t>6KD2KN3UP11</t>
  </si>
  <si>
    <t>SCHUMANN BARRY L</t>
  </si>
  <si>
    <t>LATTANZIO RICK J</t>
  </si>
  <si>
    <t>00024703143K</t>
  </si>
  <si>
    <t>2W04T84WV75</t>
  </si>
  <si>
    <t>DUNAVANT MICHAEL</t>
  </si>
  <si>
    <t>WALLS CHERYL A</t>
  </si>
  <si>
    <t>00024395235K</t>
  </si>
  <si>
    <t>8KV4NQ8VH81</t>
  </si>
  <si>
    <t>FOWLER BARBARA L</t>
  </si>
  <si>
    <t>00024658056K</t>
  </si>
  <si>
    <t>4C31DR6JN22</t>
  </si>
  <si>
    <t>PORTUGAL STACEY A</t>
  </si>
  <si>
    <t>TORRES NORMA</t>
  </si>
  <si>
    <t>00026151737K</t>
  </si>
  <si>
    <t>8CY1HY9CW35</t>
  </si>
  <si>
    <t>PETRUNGARO ANDREA</t>
  </si>
  <si>
    <t>CACIOPPO RONALD J</t>
  </si>
  <si>
    <t>00026158151K</t>
  </si>
  <si>
    <t>6V41K86TV00</t>
  </si>
  <si>
    <t>ZANA NASANDELGER M</t>
  </si>
  <si>
    <t>AJURDZANA OJUNCECEG</t>
  </si>
  <si>
    <t>00026149124K</t>
  </si>
  <si>
    <t>3R07JG1GM58</t>
  </si>
  <si>
    <t>SERIO TOM E</t>
  </si>
  <si>
    <t>ZULKOSKI TAMANE</t>
  </si>
  <si>
    <t>00026150044K</t>
  </si>
  <si>
    <t>2Q50CY1VE27</t>
  </si>
  <si>
    <t>MEF</t>
  </si>
  <si>
    <t>H8145</t>
  </si>
  <si>
    <t>ZULKU SKENDER</t>
  </si>
  <si>
    <t>00026151430K</t>
  </si>
  <si>
    <t>6W51DT1YR27</t>
  </si>
  <si>
    <t>WELLER NATHAN</t>
  </si>
  <si>
    <t>PLESKAC GARY A</t>
  </si>
  <si>
    <t>00026157922K</t>
  </si>
  <si>
    <t>9JR3F46UW79</t>
  </si>
  <si>
    <t>BROUSSEAU CHRISTOPHER</t>
  </si>
  <si>
    <t>ANDREWS LOU A</t>
  </si>
  <si>
    <t>00024267849K</t>
  </si>
  <si>
    <t>9UJ3FX4MY85</t>
  </si>
  <si>
    <t>DEATON PAMELA S</t>
  </si>
  <si>
    <t>Carter Mark</t>
  </si>
  <si>
    <t>9031977350</t>
  </si>
  <si>
    <t>IN</t>
  </si>
  <si>
    <t>CB</t>
  </si>
  <si>
    <t>R</t>
  </si>
  <si>
    <t>VISION</t>
  </si>
  <si>
    <t>COMPBENEFITS FIRST YEAR COMMISSION</t>
  </si>
  <si>
    <t>CRCF</t>
  </si>
  <si>
    <t>Wise Courtney</t>
  </si>
  <si>
    <t>9031993200</t>
  </si>
  <si>
    <t>DENTAL</t>
  </si>
  <si>
    <t>Lindelof Matthew</t>
  </si>
  <si>
    <t>9031993430</t>
  </si>
  <si>
    <t>9031993460</t>
  </si>
  <si>
    <t>GREGORY AUTO GROUP ASM</t>
  </si>
  <si>
    <t>000000419885</t>
  </si>
  <si>
    <t>GR</t>
  </si>
  <si>
    <t>EM</t>
  </si>
  <si>
    <t>INSKIPT DEBORAH L</t>
  </si>
  <si>
    <t>SCHUBERT DAVID</t>
  </si>
  <si>
    <t>00000789641A</t>
  </si>
  <si>
    <t>MS</t>
  </si>
  <si>
    <t>MED SUPP RENEWAL ACHIEVE</t>
  </si>
  <si>
    <t>MSRA</t>
  </si>
  <si>
    <t>CARDOSI KAREN E</t>
  </si>
  <si>
    <t>00000828881A</t>
  </si>
  <si>
    <t>BRACE TIMMY L</t>
  </si>
  <si>
    <t>00000871454A</t>
  </si>
  <si>
    <t>MAX RONALD J</t>
  </si>
  <si>
    <t>ABRAMS ROBIN P</t>
  </si>
  <si>
    <t>00001119133A</t>
  </si>
  <si>
    <t>MED SUPP ANNUALIZED STANDARD</t>
  </si>
  <si>
    <t>MSAS</t>
  </si>
  <si>
    <t>Urish Gerald</t>
  </si>
  <si>
    <t>9030509330</t>
  </si>
  <si>
    <t>Round Laurie</t>
  </si>
  <si>
    <t>9030582430</t>
  </si>
  <si>
    <t>Johnson Eric</t>
  </si>
  <si>
    <t>9030645550</t>
  </si>
  <si>
    <t>Thompson Thomas</t>
  </si>
  <si>
    <t>9030651770</t>
  </si>
  <si>
    <t>Dauer Nancy</t>
  </si>
  <si>
    <t>9030652040</t>
  </si>
  <si>
    <t>Sciutto John</t>
  </si>
  <si>
    <t>9030652540</t>
  </si>
  <si>
    <t>Bond Edward</t>
  </si>
  <si>
    <t>9030683010</t>
  </si>
  <si>
    <t>Sharad Arappat Shaji Fnu</t>
  </si>
  <si>
    <t>9030703310</t>
  </si>
  <si>
    <t>Kasprzak Kenneth</t>
  </si>
  <si>
    <t>9030782820</t>
  </si>
  <si>
    <t>Fewell Robin</t>
  </si>
  <si>
    <t>9030924610</t>
  </si>
  <si>
    <t>Trost James</t>
  </si>
  <si>
    <t>9031076870</t>
  </si>
  <si>
    <t>Hancock Penny</t>
  </si>
  <si>
    <t>9031317020</t>
  </si>
  <si>
    <t>Proeber David</t>
  </si>
  <si>
    <t>9031323610</t>
  </si>
  <si>
    <t>Eckmann Bryan</t>
  </si>
  <si>
    <t>9031392680</t>
  </si>
  <si>
    <t>Kingdon Deborah</t>
  </si>
  <si>
    <t>9031414170</t>
  </si>
  <si>
    <t>Dolk Peter</t>
  </si>
  <si>
    <t>9031492650</t>
  </si>
  <si>
    <t>Griffin Cheryl</t>
  </si>
  <si>
    <t>9031492860</t>
  </si>
  <si>
    <t>Overholt David</t>
  </si>
  <si>
    <t>9031517600</t>
  </si>
  <si>
    <t>Dinges Virginia</t>
  </si>
  <si>
    <t>9031522530</t>
  </si>
  <si>
    <t>Richards Cheryl</t>
  </si>
  <si>
    <t>9031652410</t>
  </si>
  <si>
    <t>Strupek Christina</t>
  </si>
  <si>
    <t>9031659600</t>
  </si>
  <si>
    <t>Yordy Kara</t>
  </si>
  <si>
    <t>9031695860</t>
  </si>
  <si>
    <t>Merrick Elizabeth</t>
  </si>
  <si>
    <t>9031753770</t>
  </si>
  <si>
    <t>Rogers Lucas</t>
  </si>
  <si>
    <t>9031832650</t>
  </si>
  <si>
    <t>Reis Connor</t>
  </si>
  <si>
    <t>9031841780</t>
  </si>
  <si>
    <t>Terrell Mary</t>
  </si>
  <si>
    <t>9032000940</t>
  </si>
  <si>
    <t>BRANDT STEVEN K</t>
  </si>
  <si>
    <t>HILLARD CHRISTOPHER P</t>
  </si>
  <si>
    <t>00001119026A</t>
  </si>
  <si>
    <t>KOZACHECK ANNE MARIE</t>
  </si>
  <si>
    <t>ROSE CHARLENE D</t>
  </si>
  <si>
    <t>00000926201A</t>
  </si>
  <si>
    <t>BALTZERSEN ROBERT L</t>
  </si>
  <si>
    <t>00000941582A</t>
  </si>
  <si>
    <t>Rudden Jon</t>
  </si>
  <si>
    <t>9030115330</t>
  </si>
  <si>
    <t>SANDEROCK MARSHA</t>
  </si>
  <si>
    <t>Risner Justin</t>
  </si>
  <si>
    <t>9031206310</t>
  </si>
  <si>
    <t>SEP</t>
  </si>
  <si>
    <t>MEMBER ACTIVATION INITIATIVE</t>
  </si>
  <si>
    <t>MCAP</t>
  </si>
  <si>
    <t>MARKET FLYER BONUS</t>
  </si>
  <si>
    <t>MKTB</t>
  </si>
  <si>
    <t>Humana MedSupp U65</t>
  </si>
  <si>
    <t>Humana Annualized MS OE,UW,GI</t>
  </si>
  <si>
    <t>Humana 65-80 AL, AZ, AR, GA, etc. All Except N OE &amp; UW</t>
  </si>
  <si>
    <t>Humana AL, AZ, AR, GA, etc. Plan N OE &amp; UW</t>
  </si>
  <si>
    <t>Humana Ohio Plan N Open Enrollment and Underwritten Ages 65-80</t>
  </si>
  <si>
    <t>Humana Group 2025</t>
  </si>
  <si>
    <t>Humana Dental &amp; Vision</t>
  </si>
  <si>
    <t>Humana Dental &amp; Vision 15%</t>
  </si>
  <si>
    <t>Humana PDP</t>
  </si>
  <si>
    <t>Humana MAPD 2026*</t>
  </si>
  <si>
    <t>[%/$=626]</t>
  </si>
  <si>
    <t>Humana 2025</t>
  </si>
  <si>
    <t>[%/$=347][prorate=12/12]</t>
  </si>
  <si>
    <t>[%/$=347][prorate=11/12]</t>
  </si>
  <si>
    <t>[%/$=347][prorate=10/12]</t>
  </si>
  <si>
    <t>2026 Humana like plan changes</t>
  </si>
  <si>
    <t>[%/$=165][prorate=10/12]</t>
  </si>
  <si>
    <t>[%/$=347][prorate=9/12]</t>
  </si>
  <si>
    <t>[%/$=347][prorate=8/12]</t>
  </si>
  <si>
    <t>MYERS</t>
  </si>
  <si>
    <t>CONNIE</t>
  </si>
  <si>
    <t>LATTANZIO</t>
  </si>
  <si>
    <t>RICK</t>
  </si>
  <si>
    <t>BABCOCK</t>
  </si>
  <si>
    <t>JEFFERY</t>
  </si>
  <si>
    <t>CARDOSI</t>
  </si>
  <si>
    <t>KAREN</t>
  </si>
  <si>
    <t>BRACE</t>
  </si>
  <si>
    <t>TIMMY</t>
  </si>
  <si>
    <t>ROSE</t>
  </si>
  <si>
    <t>CHARLENE</t>
  </si>
  <si>
    <t>SCHUBERT</t>
  </si>
  <si>
    <t>DAVID</t>
  </si>
  <si>
    <t>ABRAMS</t>
  </si>
  <si>
    <t>ROBIN</t>
  </si>
  <si>
    <t>Urish</t>
  </si>
  <si>
    <t>Gerald</t>
  </si>
  <si>
    <t>Round</t>
  </si>
  <si>
    <t>Laurie</t>
  </si>
  <si>
    <t>Johnson</t>
  </si>
  <si>
    <t>Eric</t>
  </si>
  <si>
    <t>Thompson</t>
  </si>
  <si>
    <t>Thomas</t>
  </si>
  <si>
    <t>Dauer</t>
  </si>
  <si>
    <t>Nancy</t>
  </si>
  <si>
    <t>Sciutto</t>
  </si>
  <si>
    <t>John</t>
  </si>
  <si>
    <t>Bond</t>
  </si>
  <si>
    <t>Edward</t>
  </si>
  <si>
    <t>Sharad</t>
  </si>
  <si>
    <t>Shaji</t>
  </si>
  <si>
    <t>Kasprzak</t>
  </si>
  <si>
    <t>Kenneth</t>
  </si>
  <si>
    <t>Fewell</t>
  </si>
  <si>
    <t>Robin</t>
  </si>
  <si>
    <t>Trost</t>
  </si>
  <si>
    <t>James</t>
  </si>
  <si>
    <t>Hancock</t>
  </si>
  <si>
    <t>Penny</t>
  </si>
  <si>
    <t>Proeber</t>
  </si>
  <si>
    <t>David</t>
  </si>
  <si>
    <t>Eckmann</t>
  </si>
  <si>
    <t>Bryan</t>
  </si>
  <si>
    <t>Kingdon</t>
  </si>
  <si>
    <t>Deborah</t>
  </si>
  <si>
    <t>Dolk</t>
  </si>
  <si>
    <t>Peter</t>
  </si>
  <si>
    <t>Griffin</t>
  </si>
  <si>
    <t>Cheryl</t>
  </si>
  <si>
    <t>Overholt</t>
  </si>
  <si>
    <t>Dinges</t>
  </si>
  <si>
    <t>Virginia</t>
  </si>
  <si>
    <t>Rudden</t>
  </si>
  <si>
    <t>Jon</t>
  </si>
  <si>
    <t>Risner</t>
  </si>
  <si>
    <t>Justin</t>
  </si>
  <si>
    <t>Wise</t>
  </si>
  <si>
    <t>Courtney</t>
  </si>
  <si>
    <t>Lindelof</t>
  </si>
  <si>
    <t>Matthew</t>
  </si>
  <si>
    <t>Carter</t>
  </si>
  <si>
    <t>Mark</t>
  </si>
  <si>
    <t>Richards</t>
  </si>
  <si>
    <t>Strupek</t>
  </si>
  <si>
    <t>Christina</t>
  </si>
  <si>
    <t>Yordy</t>
  </si>
  <si>
    <t>Kara</t>
  </si>
  <si>
    <t>Merrick</t>
  </si>
  <si>
    <t>Elizabeth</t>
  </si>
  <si>
    <t>Rogers</t>
  </si>
  <si>
    <t>Lucas</t>
  </si>
  <si>
    <t>Reis</t>
  </si>
  <si>
    <t>Connor</t>
  </si>
  <si>
    <t>Terrell</t>
  </si>
  <si>
    <t>Mary</t>
  </si>
  <si>
    <t>GREGORY</t>
  </si>
  <si>
    <t>AUTO</t>
  </si>
  <si>
    <t>ILANGA</t>
  </si>
  <si>
    <t>PANLILIO</t>
  </si>
  <si>
    <t>GILBERT</t>
  </si>
  <si>
    <t>JEFFREY</t>
  </si>
  <si>
    <t>HALKIAS</t>
  </si>
  <si>
    <t>HARIKLIA</t>
  </si>
  <si>
    <t>ATHANASIOS</t>
  </si>
  <si>
    <t>WILSON</t>
  </si>
  <si>
    <t>ILENE</t>
  </si>
  <si>
    <t>ANDREWS</t>
  </si>
  <si>
    <t>LOU</t>
  </si>
  <si>
    <t>BAIE</t>
  </si>
  <si>
    <t>KIMBERLY</t>
  </si>
  <si>
    <t>PLESKAC</t>
  </si>
  <si>
    <t>GARY</t>
  </si>
  <si>
    <t>SCHEID</t>
  </si>
  <si>
    <t>ANNA</t>
  </si>
  <si>
    <t>ZULKOSKI</t>
  </si>
  <si>
    <t>TAMANE</t>
  </si>
  <si>
    <t>FERGUSON</t>
  </si>
  <si>
    <t>RICHARD</t>
  </si>
  <si>
    <t>HOFER</t>
  </si>
  <si>
    <t>DANA</t>
  </si>
  <si>
    <t>KWITSCHAU</t>
  </si>
  <si>
    <t>MARTIN</t>
  </si>
  <si>
    <t>MCGARY</t>
  </si>
  <si>
    <t>SUZANNE</t>
  </si>
  <si>
    <t>KIM</t>
  </si>
  <si>
    <t>DONG</t>
  </si>
  <si>
    <t>HAMILTON</t>
  </si>
  <si>
    <t>LAURA</t>
  </si>
  <si>
    <t>HERRERA</t>
  </si>
  <si>
    <t>NOEMI</t>
  </si>
  <si>
    <t>JOHNSON</t>
  </si>
  <si>
    <t>LISA</t>
  </si>
  <si>
    <t>KEVIN</t>
  </si>
  <si>
    <t>PHORASAVONG</t>
  </si>
  <si>
    <t>ANTHONY</t>
  </si>
  <si>
    <t>CACIOPPO</t>
  </si>
  <si>
    <t>RONALD</t>
  </si>
  <si>
    <t>AJURDZANA</t>
  </si>
  <si>
    <t>OJUNCECEG</t>
  </si>
  <si>
    <t>DAIDONE</t>
  </si>
  <si>
    <t>BLACK</t>
  </si>
  <si>
    <t>KELVIN</t>
  </si>
  <si>
    <t>DEAN</t>
  </si>
  <si>
    <t>CRAIG</t>
  </si>
  <si>
    <t>YARRINGTON</t>
  </si>
  <si>
    <t>CYNTHIA</t>
  </si>
  <si>
    <t>ESPOSTO</t>
  </si>
  <si>
    <t>STELLA</t>
  </si>
  <si>
    <t>TORRES</t>
  </si>
  <si>
    <t>NORMA</t>
  </si>
  <si>
    <t>ZULKU</t>
  </si>
  <si>
    <t>SKENDER</t>
  </si>
  <si>
    <t>BALTZERSEN</t>
  </si>
  <si>
    <t>ROBERT</t>
  </si>
  <si>
    <t>HILLARD</t>
  </si>
  <si>
    <t>CHRISTOPHER</t>
  </si>
  <si>
    <t>GUTKNECHT</t>
  </si>
  <si>
    <t>JOHN</t>
  </si>
  <si>
    <t>WALLS</t>
  </si>
  <si>
    <t>CHERYL</t>
  </si>
  <si>
    <t>FOWLER</t>
  </si>
  <si>
    <t>BARBARA</t>
  </si>
  <si>
    <t>19278370old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</si>
</sst>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20" fillId="0" borderId="0" xfId="0" applyNumberFormat="1" applyFont="1" applyAlignment="1">
      <alignment horizontal="left" vertical="top"/>
    </xf>
    <xf numFmtId="14" fontId="20" fillId="0" borderId="0" xfId="0" applyNumberFormat="1" applyFont="1"/>
    <xf numFmtId="2" fontId="20" fillId="0" borderId="0" xfId="0" applyNumberFormat="1" applyFont="1"/>
    <xf numFmtId="0" fontId="20" fillId="0" borderId="0" xfId="0" applyFont="1"/>
    <xf numFmtId="0" fontId="19" fillId="0" borderId="0" xfId="0" applyFont="1"/>
    <xf numFmtId="0" fontId="0" fillId="33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19" fillId="0" borderId="0" xfId="0" applyFont="1" applyFill="1"/>
    <xf numFmtId="0" fontId="19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6AE7-A565-4BB6-959D-C3D33E823D9C}">
  <dimension ref="A1:AP88"/>
  <sheetViews>
    <sheetView topLeftCell="G1" workbookViewId="0">
      <selection activeCell="G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46078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87884211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46082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0.83</v>
      </c>
      <c r="W2" s="5">
        <v>0</v>
      </c>
      <c r="X2" s="5">
        <v>100</v>
      </c>
      <c r="Y2" s="5">
        <v>289.17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46082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46078</v>
      </c>
      <c r="C3" s="4" t="s">
        <v>56</v>
      </c>
      <c r="D3" s="2">
        <v>1427681</v>
      </c>
      <c r="E3" s="4" t="s">
        <v>57</v>
      </c>
      <c r="F3" s="4" t="s">
        <v>58</v>
      </c>
      <c r="G3" s="2">
        <v>712757040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46082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60</v>
      </c>
      <c r="U3" s="4" t="s">
        <v>46</v>
      </c>
      <c r="V3" s="5">
        <v>0.83</v>
      </c>
      <c r="W3" s="5">
        <v>0</v>
      </c>
      <c r="X3" s="5">
        <v>100</v>
      </c>
      <c r="Y3" s="5">
        <v>289.17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46082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61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46078</v>
      </c>
      <c r="C4" s="4" t="s">
        <v>56</v>
      </c>
      <c r="D4" s="2">
        <v>1427681</v>
      </c>
      <c r="E4" s="4" t="s">
        <v>62</v>
      </c>
      <c r="F4" s="4" t="s">
        <v>63</v>
      </c>
      <c r="G4" s="2">
        <v>213792034</v>
      </c>
      <c r="H4" s="4" t="s">
        <v>64</v>
      </c>
      <c r="I4" s="4" t="s">
        <v>46</v>
      </c>
      <c r="J4" s="4" t="s">
        <v>47</v>
      </c>
      <c r="K4" s="4" t="s">
        <v>48</v>
      </c>
      <c r="L4" s="3">
        <v>46023</v>
      </c>
      <c r="M4" s="4" t="s">
        <v>65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-0.83</v>
      </c>
      <c r="W4" s="5">
        <v>0</v>
      </c>
      <c r="X4" s="5">
        <v>100</v>
      </c>
      <c r="Y4" s="5">
        <v>-289.17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46023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46078</v>
      </c>
      <c r="C5" s="4" t="s">
        <v>56</v>
      </c>
      <c r="D5" s="2">
        <v>1427681</v>
      </c>
      <c r="E5" s="4" t="s">
        <v>66</v>
      </c>
      <c r="F5" s="4" t="s">
        <v>67</v>
      </c>
      <c r="G5" s="2">
        <v>876067034</v>
      </c>
      <c r="H5" s="4" t="s">
        <v>68</v>
      </c>
      <c r="I5" s="4" t="s">
        <v>46</v>
      </c>
      <c r="J5" s="4" t="s">
        <v>47</v>
      </c>
      <c r="K5" s="4" t="s">
        <v>48</v>
      </c>
      <c r="L5" s="3">
        <v>46023</v>
      </c>
      <c r="M5" s="4" t="s">
        <v>65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-0.83</v>
      </c>
      <c r="W5" s="5">
        <v>0</v>
      </c>
      <c r="X5" s="5">
        <v>100</v>
      </c>
      <c r="Y5" s="5">
        <v>-289.17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46023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46078</v>
      </c>
      <c r="C6" s="4" t="s">
        <v>56</v>
      </c>
      <c r="D6" s="2">
        <v>1427681</v>
      </c>
      <c r="E6" s="4" t="s">
        <v>69</v>
      </c>
      <c r="F6" s="4" t="s">
        <v>70</v>
      </c>
      <c r="G6" s="2">
        <v>527680044</v>
      </c>
      <c r="H6" s="4" t="s">
        <v>71</v>
      </c>
      <c r="I6" s="4" t="s">
        <v>46</v>
      </c>
      <c r="J6" s="4" t="s">
        <v>47</v>
      </c>
      <c r="K6" s="4" t="s">
        <v>48</v>
      </c>
      <c r="L6" s="3">
        <v>45992</v>
      </c>
      <c r="M6" s="4" t="s">
        <v>72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</v>
      </c>
      <c r="W6" s="5">
        <v>0</v>
      </c>
      <c r="X6" s="5">
        <v>100</v>
      </c>
      <c r="Y6" s="5">
        <v>-599.91999999999996</v>
      </c>
      <c r="Z6" s="4" t="s">
        <v>46</v>
      </c>
      <c r="AA6" s="5" t="s">
        <v>46</v>
      </c>
      <c r="AB6" s="4" t="s">
        <v>73</v>
      </c>
      <c r="AC6" s="4" t="s">
        <v>46</v>
      </c>
      <c r="AD6" s="5">
        <v>0</v>
      </c>
      <c r="AE6" s="4" t="s">
        <v>74</v>
      </c>
      <c r="AF6" s="3">
        <v>45992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46078</v>
      </c>
      <c r="C7" s="4" t="s">
        <v>56</v>
      </c>
      <c r="D7" s="2">
        <v>1427681</v>
      </c>
      <c r="E7" s="4" t="s">
        <v>69</v>
      </c>
      <c r="F7" s="4" t="s">
        <v>70</v>
      </c>
      <c r="G7" s="2">
        <v>527680044</v>
      </c>
      <c r="H7" s="4" t="s">
        <v>71</v>
      </c>
      <c r="I7" s="4" t="s">
        <v>46</v>
      </c>
      <c r="J7" s="4" t="s">
        <v>47</v>
      </c>
      <c r="K7" s="4" t="s">
        <v>48</v>
      </c>
      <c r="L7" s="3">
        <v>45992</v>
      </c>
      <c r="M7" s="4" t="s">
        <v>72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-0.08</v>
      </c>
      <c r="W7" s="5">
        <v>0</v>
      </c>
      <c r="X7" s="5">
        <v>100</v>
      </c>
      <c r="Y7" s="5">
        <v>-26.08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45992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46078</v>
      </c>
      <c r="C8" s="4" t="s">
        <v>56</v>
      </c>
      <c r="D8" s="2">
        <v>1427681</v>
      </c>
      <c r="E8" s="4" t="s">
        <v>76</v>
      </c>
      <c r="F8" s="4" t="s">
        <v>77</v>
      </c>
      <c r="G8" s="2">
        <v>742816383</v>
      </c>
      <c r="H8" s="4" t="s">
        <v>78</v>
      </c>
      <c r="I8" s="4" t="s">
        <v>46</v>
      </c>
      <c r="J8" s="4" t="s">
        <v>47</v>
      </c>
      <c r="K8" s="4" t="s">
        <v>48</v>
      </c>
      <c r="L8" s="3">
        <v>46082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0.83</v>
      </c>
      <c r="W8" s="5">
        <v>0</v>
      </c>
      <c r="X8" s="5">
        <v>100</v>
      </c>
      <c r="Y8" s="5">
        <v>289.17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46082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46078</v>
      </c>
      <c r="C9" s="4" t="s">
        <v>79</v>
      </c>
      <c r="D9" s="2">
        <v>1466196</v>
      </c>
      <c r="E9" s="4" t="s">
        <v>80</v>
      </c>
      <c r="F9" s="4" t="s">
        <v>81</v>
      </c>
      <c r="G9" s="2">
        <v>135870383</v>
      </c>
      <c r="H9" s="4" t="s">
        <v>82</v>
      </c>
      <c r="I9" s="4" t="s">
        <v>46</v>
      </c>
      <c r="J9" s="4" t="s">
        <v>47</v>
      </c>
      <c r="K9" s="4" t="s">
        <v>48</v>
      </c>
      <c r="L9" s="3">
        <v>46082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0.83</v>
      </c>
      <c r="W9" s="5">
        <v>0</v>
      </c>
      <c r="X9" s="5">
        <v>100</v>
      </c>
      <c r="Y9" s="5">
        <v>289.17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46082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46078</v>
      </c>
      <c r="C10" s="4" t="s">
        <v>79</v>
      </c>
      <c r="D10" s="2">
        <v>1466196</v>
      </c>
      <c r="E10" s="4" t="s">
        <v>83</v>
      </c>
      <c r="F10" s="4" t="s">
        <v>84</v>
      </c>
      <c r="G10" s="2">
        <v>135547315</v>
      </c>
      <c r="H10" s="4" t="s">
        <v>85</v>
      </c>
      <c r="I10" s="4" t="s">
        <v>46</v>
      </c>
      <c r="J10" s="4" t="s">
        <v>47</v>
      </c>
      <c r="K10" s="4" t="s">
        <v>48</v>
      </c>
      <c r="L10" s="3">
        <v>46082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0.83</v>
      </c>
      <c r="W10" s="5">
        <v>0</v>
      </c>
      <c r="X10" s="5">
        <v>100</v>
      </c>
      <c r="Y10" s="5">
        <v>289.17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46082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46078</v>
      </c>
      <c r="C11" s="4" t="s">
        <v>86</v>
      </c>
      <c r="D11" s="2">
        <v>1509770</v>
      </c>
      <c r="E11" s="4" t="s">
        <v>87</v>
      </c>
      <c r="F11" s="4" t="s">
        <v>88</v>
      </c>
      <c r="G11" s="2">
        <v>655623503</v>
      </c>
      <c r="H11" s="4" t="s">
        <v>89</v>
      </c>
      <c r="I11" s="4" t="s">
        <v>46</v>
      </c>
      <c r="J11" s="4" t="s">
        <v>47</v>
      </c>
      <c r="K11" s="4" t="s">
        <v>48</v>
      </c>
      <c r="L11" s="3">
        <v>46054</v>
      </c>
      <c r="M11" s="4" t="s">
        <v>90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-0.92</v>
      </c>
      <c r="W11" s="5">
        <v>0</v>
      </c>
      <c r="X11" s="5">
        <v>100</v>
      </c>
      <c r="Y11" s="5">
        <v>-318.08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46054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46078</v>
      </c>
      <c r="C12" s="4" t="s">
        <v>86</v>
      </c>
      <c r="D12" s="2">
        <v>1509770</v>
      </c>
      <c r="E12" s="4" t="s">
        <v>91</v>
      </c>
      <c r="F12" s="4" t="s">
        <v>92</v>
      </c>
      <c r="G12" s="2">
        <v>168156345</v>
      </c>
      <c r="H12" s="4" t="s">
        <v>93</v>
      </c>
      <c r="I12" s="4" t="s">
        <v>46</v>
      </c>
      <c r="J12" s="4" t="s">
        <v>47</v>
      </c>
      <c r="K12" s="4" t="s">
        <v>48</v>
      </c>
      <c r="L12" s="3">
        <v>46023</v>
      </c>
      <c r="M12" s="4" t="s">
        <v>65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60</v>
      </c>
      <c r="U12" s="4" t="s">
        <v>46</v>
      </c>
      <c r="V12" s="5">
        <v>-0.83</v>
      </c>
      <c r="W12" s="5">
        <v>0</v>
      </c>
      <c r="X12" s="5">
        <v>100</v>
      </c>
      <c r="Y12" s="5">
        <v>-137.5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46023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61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46078</v>
      </c>
      <c r="C13" s="4" t="s">
        <v>94</v>
      </c>
      <c r="D13" s="2">
        <v>1510420</v>
      </c>
      <c r="E13" s="4" t="s">
        <v>95</v>
      </c>
      <c r="F13" s="4" t="s">
        <v>96</v>
      </c>
      <c r="G13" s="2">
        <v>553915304</v>
      </c>
      <c r="H13" s="4" t="s">
        <v>97</v>
      </c>
      <c r="I13" s="4" t="s">
        <v>46</v>
      </c>
      <c r="J13" s="4" t="s">
        <v>47</v>
      </c>
      <c r="K13" s="4" t="s">
        <v>48</v>
      </c>
      <c r="L13" s="3">
        <v>46082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0.83</v>
      </c>
      <c r="W13" s="5">
        <v>0</v>
      </c>
      <c r="X13" s="5">
        <v>100</v>
      </c>
      <c r="Y13" s="5">
        <v>289.17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46082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46078</v>
      </c>
      <c r="C14" s="4" t="s">
        <v>94</v>
      </c>
      <c r="D14" s="2">
        <v>1510420</v>
      </c>
      <c r="E14" s="4" t="s">
        <v>98</v>
      </c>
      <c r="F14" s="4" t="s">
        <v>99</v>
      </c>
      <c r="G14" s="2">
        <v>636082115</v>
      </c>
      <c r="H14" s="4" t="s">
        <v>100</v>
      </c>
      <c r="I14" s="4" t="s">
        <v>46</v>
      </c>
      <c r="J14" s="4" t="s">
        <v>47</v>
      </c>
      <c r="K14" s="4" t="s">
        <v>48</v>
      </c>
      <c r="L14" s="3">
        <v>46143</v>
      </c>
      <c r="M14" s="4" t="s">
        <v>101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0.67</v>
      </c>
      <c r="W14" s="5">
        <v>0</v>
      </c>
      <c r="X14" s="5">
        <v>100</v>
      </c>
      <c r="Y14" s="5">
        <v>231.33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46143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46078</v>
      </c>
      <c r="C15" s="4" t="s">
        <v>94</v>
      </c>
      <c r="D15" s="2">
        <v>1510420</v>
      </c>
      <c r="E15" s="4" t="s">
        <v>102</v>
      </c>
      <c r="F15" s="4" t="s">
        <v>103</v>
      </c>
      <c r="G15" s="2">
        <v>389516490</v>
      </c>
      <c r="H15" s="4" t="s">
        <v>104</v>
      </c>
      <c r="I15" s="4" t="s">
        <v>46</v>
      </c>
      <c r="J15" s="4" t="s">
        <v>47</v>
      </c>
      <c r="K15" s="4" t="s">
        <v>48</v>
      </c>
      <c r="L15" s="3">
        <v>46082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0.83</v>
      </c>
      <c r="W15" s="5">
        <v>0</v>
      </c>
      <c r="X15" s="5">
        <v>100</v>
      </c>
      <c r="Y15" s="5">
        <v>289.17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46082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46078</v>
      </c>
      <c r="C16" s="4" t="s">
        <v>94</v>
      </c>
      <c r="D16" s="2">
        <v>1510420</v>
      </c>
      <c r="E16" s="4" t="s">
        <v>105</v>
      </c>
      <c r="F16" s="4" t="s">
        <v>106</v>
      </c>
      <c r="G16" s="2">
        <v>461654144</v>
      </c>
      <c r="H16" s="4" t="s">
        <v>107</v>
      </c>
      <c r="I16" s="4" t="s">
        <v>46</v>
      </c>
      <c r="J16" s="4" t="s">
        <v>47</v>
      </c>
      <c r="K16" s="4" t="s">
        <v>48</v>
      </c>
      <c r="L16" s="3">
        <v>46113</v>
      </c>
      <c r="M16" s="4" t="s">
        <v>108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60</v>
      </c>
      <c r="U16" s="4" t="s">
        <v>46</v>
      </c>
      <c r="V16" s="5">
        <v>0.75</v>
      </c>
      <c r="W16" s="5">
        <v>0</v>
      </c>
      <c r="X16" s="5">
        <v>100</v>
      </c>
      <c r="Y16" s="5">
        <v>260.25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46113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109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46078</v>
      </c>
      <c r="C17" s="4" t="s">
        <v>110</v>
      </c>
      <c r="D17" s="2">
        <v>1535078</v>
      </c>
      <c r="E17" s="4" t="s">
        <v>111</v>
      </c>
      <c r="F17" s="4" t="s">
        <v>112</v>
      </c>
      <c r="G17" s="2">
        <v>37267414</v>
      </c>
      <c r="H17" s="4" t="s">
        <v>113</v>
      </c>
      <c r="I17" s="4" t="s">
        <v>46</v>
      </c>
      <c r="J17" s="4" t="s">
        <v>47</v>
      </c>
      <c r="K17" s="4" t="s">
        <v>48</v>
      </c>
      <c r="L17" s="3">
        <v>46023</v>
      </c>
      <c r="M17" s="4" t="s">
        <v>65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114</v>
      </c>
      <c r="U17" s="4" t="s">
        <v>46</v>
      </c>
      <c r="V17" s="5">
        <v>-0.83</v>
      </c>
      <c r="W17" s="5">
        <v>0</v>
      </c>
      <c r="X17" s="5">
        <v>100</v>
      </c>
      <c r="Y17" s="5">
        <v>-47.5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46023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115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46078</v>
      </c>
      <c r="C18" s="4" t="s">
        <v>116</v>
      </c>
      <c r="D18" s="2">
        <v>1573279</v>
      </c>
      <c r="E18" s="4" t="s">
        <v>117</v>
      </c>
      <c r="F18" s="4" t="s">
        <v>118</v>
      </c>
      <c r="G18" s="2">
        <v>603066324</v>
      </c>
      <c r="H18" s="4" t="s">
        <v>119</v>
      </c>
      <c r="I18" s="4" t="s">
        <v>46</v>
      </c>
      <c r="J18" s="4" t="s">
        <v>47</v>
      </c>
      <c r="K18" s="4" t="s">
        <v>48</v>
      </c>
      <c r="L18" s="3">
        <v>46082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60</v>
      </c>
      <c r="U18" s="4" t="s">
        <v>46</v>
      </c>
      <c r="V18" s="5">
        <v>0.83</v>
      </c>
      <c r="W18" s="5">
        <v>0</v>
      </c>
      <c r="X18" s="5">
        <v>100</v>
      </c>
      <c r="Y18" s="5">
        <v>289.17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46082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109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46078</v>
      </c>
      <c r="C19" s="4" t="s">
        <v>120</v>
      </c>
      <c r="D19" s="2">
        <v>1593325</v>
      </c>
      <c r="E19" s="4" t="s">
        <v>121</v>
      </c>
      <c r="F19" s="4" t="s">
        <v>122</v>
      </c>
      <c r="G19" s="2">
        <v>90218212</v>
      </c>
      <c r="H19" s="4" t="s">
        <v>123</v>
      </c>
      <c r="I19" s="4" t="s">
        <v>46</v>
      </c>
      <c r="J19" s="4" t="s">
        <v>47</v>
      </c>
      <c r="K19" s="4" t="s">
        <v>48</v>
      </c>
      <c r="L19" s="3">
        <v>46082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0.83</v>
      </c>
      <c r="W19" s="5">
        <v>0</v>
      </c>
      <c r="X19" s="5">
        <v>100</v>
      </c>
      <c r="Y19" s="5">
        <v>289.17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46082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46078</v>
      </c>
      <c r="C20" s="4" t="s">
        <v>124</v>
      </c>
      <c r="D20" s="2">
        <v>1594305</v>
      </c>
      <c r="E20" s="4" t="s">
        <v>125</v>
      </c>
      <c r="F20" s="4" t="s">
        <v>126</v>
      </c>
      <c r="G20" s="2">
        <v>649462251</v>
      </c>
      <c r="H20" s="4" t="s">
        <v>127</v>
      </c>
      <c r="I20" s="4" t="s">
        <v>46</v>
      </c>
      <c r="J20" s="4" t="s">
        <v>47</v>
      </c>
      <c r="K20" s="4" t="s">
        <v>48</v>
      </c>
      <c r="L20" s="3">
        <v>46082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60</v>
      </c>
      <c r="U20" s="4" t="s">
        <v>46</v>
      </c>
      <c r="V20" s="5">
        <v>0.83</v>
      </c>
      <c r="W20" s="5">
        <v>0</v>
      </c>
      <c r="X20" s="5">
        <v>100</v>
      </c>
      <c r="Y20" s="5">
        <v>289.17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46082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128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46078</v>
      </c>
      <c r="C21" s="4" t="s">
        <v>129</v>
      </c>
      <c r="D21" s="2">
        <v>1646082</v>
      </c>
      <c r="E21" s="4" t="s">
        <v>130</v>
      </c>
      <c r="F21" s="4" t="s">
        <v>131</v>
      </c>
      <c r="G21" s="2">
        <v>662063384</v>
      </c>
      <c r="H21" s="4" t="s">
        <v>132</v>
      </c>
      <c r="I21" s="4" t="s">
        <v>46</v>
      </c>
      <c r="J21" s="4" t="s">
        <v>47</v>
      </c>
      <c r="K21" s="4" t="s">
        <v>48</v>
      </c>
      <c r="L21" s="3">
        <v>46082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0.83</v>
      </c>
      <c r="W21" s="5">
        <v>0</v>
      </c>
      <c r="X21" s="5">
        <v>100</v>
      </c>
      <c r="Y21" s="5">
        <v>289.17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46082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46078</v>
      </c>
      <c r="C22" s="4" t="s">
        <v>133</v>
      </c>
      <c r="D22" s="2">
        <v>1703942</v>
      </c>
      <c r="E22" s="4" t="s">
        <v>134</v>
      </c>
      <c r="F22" s="4" t="s">
        <v>135</v>
      </c>
      <c r="G22" s="2">
        <v>61538483</v>
      </c>
      <c r="H22" s="4" t="s">
        <v>136</v>
      </c>
      <c r="I22" s="4" t="s">
        <v>46</v>
      </c>
      <c r="J22" s="4" t="s">
        <v>47</v>
      </c>
      <c r="K22" s="4" t="s">
        <v>48</v>
      </c>
      <c r="L22" s="3">
        <v>46023</v>
      </c>
      <c r="M22" s="4" t="s">
        <v>65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</v>
      </c>
      <c r="W22" s="5">
        <v>0</v>
      </c>
      <c r="X22" s="5">
        <v>100</v>
      </c>
      <c r="Y22" s="5">
        <v>-289.16000000000003</v>
      </c>
      <c r="Z22" s="4" t="s">
        <v>46</v>
      </c>
      <c r="AA22" s="5" t="s">
        <v>46</v>
      </c>
      <c r="AB22" s="4" t="s">
        <v>73</v>
      </c>
      <c r="AC22" s="4" t="s">
        <v>46</v>
      </c>
      <c r="AD22" s="5">
        <v>0</v>
      </c>
      <c r="AE22" s="4" t="s">
        <v>74</v>
      </c>
      <c r="AF22" s="3">
        <v>46023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46078</v>
      </c>
      <c r="C23" s="4" t="s">
        <v>133</v>
      </c>
      <c r="D23" s="2">
        <v>1703942</v>
      </c>
      <c r="E23" s="4" t="s">
        <v>134</v>
      </c>
      <c r="F23" s="4" t="s">
        <v>135</v>
      </c>
      <c r="G23" s="2">
        <v>61538483</v>
      </c>
      <c r="H23" s="4" t="s">
        <v>136</v>
      </c>
      <c r="I23" s="4" t="s">
        <v>46</v>
      </c>
      <c r="J23" s="4" t="s">
        <v>47</v>
      </c>
      <c r="K23" s="4" t="s">
        <v>48</v>
      </c>
      <c r="L23" s="3">
        <v>46023</v>
      </c>
      <c r="M23" s="4" t="s">
        <v>65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-0.83</v>
      </c>
      <c r="W23" s="5">
        <v>0</v>
      </c>
      <c r="X23" s="5">
        <v>100</v>
      </c>
      <c r="Y23" s="5">
        <v>-289.17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46023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46078</v>
      </c>
      <c r="C24" s="4" t="s">
        <v>133</v>
      </c>
      <c r="D24" s="2">
        <v>1703942</v>
      </c>
      <c r="E24" s="4" t="s">
        <v>134</v>
      </c>
      <c r="F24" s="4" t="s">
        <v>135</v>
      </c>
      <c r="G24" s="2">
        <v>61538483</v>
      </c>
      <c r="H24" s="4" t="s">
        <v>136</v>
      </c>
      <c r="I24" s="4" t="s">
        <v>46</v>
      </c>
      <c r="J24" s="4" t="s">
        <v>47</v>
      </c>
      <c r="K24" s="4" t="s">
        <v>48</v>
      </c>
      <c r="L24" s="3">
        <v>46082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60</v>
      </c>
      <c r="U24" s="4" t="s">
        <v>46</v>
      </c>
      <c r="V24" s="5">
        <v>0.83</v>
      </c>
      <c r="W24" s="5">
        <v>0</v>
      </c>
      <c r="X24" s="5">
        <v>100</v>
      </c>
      <c r="Y24" s="5">
        <v>289.17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46082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109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46078</v>
      </c>
      <c r="C25" s="4" t="s">
        <v>133</v>
      </c>
      <c r="D25" s="2">
        <v>1703942</v>
      </c>
      <c r="E25" s="4" t="s">
        <v>137</v>
      </c>
      <c r="F25" s="4" t="s">
        <v>138</v>
      </c>
      <c r="G25" s="2">
        <v>910950204</v>
      </c>
      <c r="H25" s="4" t="s">
        <v>139</v>
      </c>
      <c r="I25" s="4" t="s">
        <v>46</v>
      </c>
      <c r="J25" s="4" t="s">
        <v>47</v>
      </c>
      <c r="K25" s="4" t="s">
        <v>48</v>
      </c>
      <c r="L25" s="3">
        <v>46082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60</v>
      </c>
      <c r="U25" s="4" t="s">
        <v>46</v>
      </c>
      <c r="V25" s="5">
        <v>0.83</v>
      </c>
      <c r="W25" s="5">
        <v>0</v>
      </c>
      <c r="X25" s="5">
        <v>100</v>
      </c>
      <c r="Y25" s="5">
        <v>289.17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46082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109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46078</v>
      </c>
      <c r="C26" s="4" t="s">
        <v>133</v>
      </c>
      <c r="D26" s="2">
        <v>1703942</v>
      </c>
      <c r="E26" s="4" t="s">
        <v>140</v>
      </c>
      <c r="F26" s="4" t="s">
        <v>141</v>
      </c>
      <c r="G26" s="2">
        <v>747530213</v>
      </c>
      <c r="H26" s="4" t="s">
        <v>142</v>
      </c>
      <c r="I26" s="4" t="s">
        <v>46</v>
      </c>
      <c r="J26" s="4" t="s">
        <v>47</v>
      </c>
      <c r="K26" s="4" t="s">
        <v>48</v>
      </c>
      <c r="L26" s="3">
        <v>46082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60</v>
      </c>
      <c r="U26" s="4" t="s">
        <v>46</v>
      </c>
      <c r="V26" s="5">
        <v>0.83</v>
      </c>
      <c r="W26" s="5">
        <v>0</v>
      </c>
      <c r="X26" s="5">
        <v>100</v>
      </c>
      <c r="Y26" s="5">
        <v>289.17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46082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109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46078</v>
      </c>
      <c r="C27" s="4" t="s">
        <v>143</v>
      </c>
      <c r="D27" s="2">
        <v>1737425</v>
      </c>
      <c r="E27" s="4" t="s">
        <v>144</v>
      </c>
      <c r="F27" s="4" t="s">
        <v>145</v>
      </c>
      <c r="G27" s="2">
        <v>165613454</v>
      </c>
      <c r="H27" s="4" t="s">
        <v>146</v>
      </c>
      <c r="I27" s="4" t="s">
        <v>46</v>
      </c>
      <c r="J27" s="4" t="s">
        <v>47</v>
      </c>
      <c r="K27" s="4" t="s">
        <v>48</v>
      </c>
      <c r="L27" s="3">
        <v>46082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0.83</v>
      </c>
      <c r="W27" s="5">
        <v>0</v>
      </c>
      <c r="X27" s="5">
        <v>100</v>
      </c>
      <c r="Y27" s="5">
        <v>289.17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46082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46078</v>
      </c>
      <c r="C28" s="4" t="s">
        <v>143</v>
      </c>
      <c r="D28" s="2">
        <v>1737425</v>
      </c>
      <c r="E28" s="4" t="s">
        <v>147</v>
      </c>
      <c r="F28" s="4" t="s">
        <v>148</v>
      </c>
      <c r="G28" s="2">
        <v>167934454</v>
      </c>
      <c r="H28" s="4" t="s">
        <v>149</v>
      </c>
      <c r="I28" s="4" t="s">
        <v>46</v>
      </c>
      <c r="J28" s="4" t="s">
        <v>47</v>
      </c>
      <c r="K28" s="4" t="s">
        <v>48</v>
      </c>
      <c r="L28" s="3">
        <v>46082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0.83</v>
      </c>
      <c r="W28" s="5">
        <v>0</v>
      </c>
      <c r="X28" s="5">
        <v>100</v>
      </c>
      <c r="Y28" s="5">
        <v>289.17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46082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46078</v>
      </c>
      <c r="C29" s="4" t="s">
        <v>150</v>
      </c>
      <c r="D29" s="2">
        <v>1800776</v>
      </c>
      <c r="E29" s="4" t="s">
        <v>151</v>
      </c>
      <c r="F29" s="4" t="s">
        <v>152</v>
      </c>
      <c r="G29" s="2">
        <v>368071155</v>
      </c>
      <c r="H29" s="4" t="s">
        <v>153</v>
      </c>
      <c r="I29" s="4" t="s">
        <v>46</v>
      </c>
      <c r="J29" s="4" t="s">
        <v>47</v>
      </c>
      <c r="K29" s="4" t="s">
        <v>48</v>
      </c>
      <c r="L29" s="3">
        <v>46082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0.83</v>
      </c>
      <c r="W29" s="5">
        <v>0</v>
      </c>
      <c r="X29" s="5">
        <v>100</v>
      </c>
      <c r="Y29" s="5">
        <v>289.17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46082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55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46078</v>
      </c>
      <c r="C30" s="4" t="s">
        <v>150</v>
      </c>
      <c r="D30" s="2">
        <v>1800776</v>
      </c>
      <c r="E30" s="4" t="s">
        <v>151</v>
      </c>
      <c r="F30" s="4" t="s">
        <v>152</v>
      </c>
      <c r="G30" s="2">
        <v>368071155</v>
      </c>
      <c r="H30" s="4" t="s">
        <v>153</v>
      </c>
      <c r="I30" s="4" t="s">
        <v>46</v>
      </c>
      <c r="J30" s="4" t="s">
        <v>47</v>
      </c>
      <c r="K30" s="4" t="s">
        <v>48</v>
      </c>
      <c r="L30" s="3">
        <v>46023</v>
      </c>
      <c r="M30" s="4" t="s">
        <v>65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-1</v>
      </c>
      <c r="W30" s="5">
        <v>0</v>
      </c>
      <c r="X30" s="5">
        <v>100</v>
      </c>
      <c r="Y30" s="5">
        <v>-347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46023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55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46078</v>
      </c>
      <c r="C31" s="4" t="s">
        <v>154</v>
      </c>
      <c r="D31" s="2">
        <v>1815448</v>
      </c>
      <c r="E31" s="4" t="s">
        <v>155</v>
      </c>
      <c r="F31" s="4" t="s">
        <v>156</v>
      </c>
      <c r="G31" s="2">
        <v>734276210</v>
      </c>
      <c r="H31" s="4" t="s">
        <v>157</v>
      </c>
      <c r="I31" s="4" t="s">
        <v>46</v>
      </c>
      <c r="J31" s="4" t="s">
        <v>47</v>
      </c>
      <c r="K31" s="4" t="s">
        <v>48</v>
      </c>
      <c r="L31" s="3">
        <v>46082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0.83</v>
      </c>
      <c r="W31" s="5">
        <v>0</v>
      </c>
      <c r="X31" s="5">
        <v>100</v>
      </c>
      <c r="Y31" s="5">
        <v>289.17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46082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55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46078</v>
      </c>
      <c r="C32" s="4" t="s">
        <v>158</v>
      </c>
      <c r="D32" s="2">
        <v>1815594</v>
      </c>
      <c r="E32" s="4" t="s">
        <v>159</v>
      </c>
      <c r="F32" s="4" t="s">
        <v>160</v>
      </c>
      <c r="G32" s="2">
        <v>593504084</v>
      </c>
      <c r="H32" s="4" t="s">
        <v>161</v>
      </c>
      <c r="I32" s="4" t="s">
        <v>46</v>
      </c>
      <c r="J32" s="4" t="s">
        <v>47</v>
      </c>
      <c r="K32" s="4" t="s">
        <v>48</v>
      </c>
      <c r="L32" s="3">
        <v>46082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0.83</v>
      </c>
      <c r="W32" s="5">
        <v>0</v>
      </c>
      <c r="X32" s="5">
        <v>100</v>
      </c>
      <c r="Y32" s="5">
        <v>137.5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46082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46078</v>
      </c>
      <c r="C33" s="4" t="s">
        <v>162</v>
      </c>
      <c r="D33" s="2">
        <v>1831491</v>
      </c>
      <c r="E33" s="4" t="s">
        <v>163</v>
      </c>
      <c r="F33" s="4" t="s">
        <v>164</v>
      </c>
      <c r="G33" s="2">
        <v>698884505</v>
      </c>
      <c r="H33" s="4" t="s">
        <v>165</v>
      </c>
      <c r="I33" s="4" t="s">
        <v>46</v>
      </c>
      <c r="J33" s="4" t="s">
        <v>47</v>
      </c>
      <c r="K33" s="4" t="s">
        <v>48</v>
      </c>
      <c r="L33" s="3">
        <v>46023</v>
      </c>
      <c r="M33" s="4" t="s">
        <v>65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114</v>
      </c>
      <c r="U33" s="4" t="s">
        <v>46</v>
      </c>
      <c r="V33" s="5">
        <v>0</v>
      </c>
      <c r="W33" s="5">
        <v>0</v>
      </c>
      <c r="X33" s="5">
        <v>100</v>
      </c>
      <c r="Y33" s="5">
        <v>57</v>
      </c>
      <c r="Z33" s="4" t="s">
        <v>46</v>
      </c>
      <c r="AA33" s="5" t="s">
        <v>46</v>
      </c>
      <c r="AB33" s="4" t="s">
        <v>73</v>
      </c>
      <c r="AC33" s="4" t="s">
        <v>46</v>
      </c>
      <c r="AD33" s="5">
        <v>0</v>
      </c>
      <c r="AE33" s="4" t="s">
        <v>74</v>
      </c>
      <c r="AF33" s="3">
        <v>46023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115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46078</v>
      </c>
      <c r="C34" s="4" t="s">
        <v>162</v>
      </c>
      <c r="D34" s="2">
        <v>1831491</v>
      </c>
      <c r="E34" s="4" t="s">
        <v>166</v>
      </c>
      <c r="F34" s="4" t="s">
        <v>167</v>
      </c>
      <c r="G34" s="2">
        <v>844152219</v>
      </c>
      <c r="H34" s="4" t="s">
        <v>168</v>
      </c>
      <c r="I34" s="4" t="s">
        <v>46</v>
      </c>
      <c r="J34" s="4" t="s">
        <v>47</v>
      </c>
      <c r="K34" s="4" t="s">
        <v>48</v>
      </c>
      <c r="L34" s="3">
        <v>46023</v>
      </c>
      <c r="M34" s="4" t="s">
        <v>65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114</v>
      </c>
      <c r="U34" s="4" t="s">
        <v>46</v>
      </c>
      <c r="V34" s="5">
        <v>0</v>
      </c>
      <c r="W34" s="5">
        <v>0</v>
      </c>
      <c r="X34" s="5">
        <v>100</v>
      </c>
      <c r="Y34" s="5">
        <v>57</v>
      </c>
      <c r="Z34" s="4" t="s">
        <v>46</v>
      </c>
      <c r="AA34" s="5" t="s">
        <v>46</v>
      </c>
      <c r="AB34" s="4" t="s">
        <v>73</v>
      </c>
      <c r="AC34" s="4" t="s">
        <v>46</v>
      </c>
      <c r="AD34" s="5">
        <v>0</v>
      </c>
      <c r="AE34" s="4" t="s">
        <v>74</v>
      </c>
      <c r="AF34" s="3">
        <v>46023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115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46078</v>
      </c>
      <c r="C35" s="4" t="s">
        <v>169</v>
      </c>
      <c r="D35" s="2">
        <v>1855975</v>
      </c>
      <c r="E35" s="4" t="s">
        <v>170</v>
      </c>
      <c r="F35" s="4" t="s">
        <v>171</v>
      </c>
      <c r="G35" s="2">
        <v>780696134</v>
      </c>
      <c r="H35" s="4" t="s">
        <v>172</v>
      </c>
      <c r="I35" s="4" t="s">
        <v>46</v>
      </c>
      <c r="J35" s="4" t="s">
        <v>47</v>
      </c>
      <c r="K35" s="4" t="s">
        <v>48</v>
      </c>
      <c r="L35" s="3">
        <v>46082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60</v>
      </c>
      <c r="U35" s="4" t="s">
        <v>46</v>
      </c>
      <c r="V35" s="5">
        <v>0.83</v>
      </c>
      <c r="W35" s="5">
        <v>0</v>
      </c>
      <c r="X35" s="5">
        <v>100</v>
      </c>
      <c r="Y35" s="5">
        <v>289.17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46082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61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46078</v>
      </c>
      <c r="C36" s="4" t="s">
        <v>173</v>
      </c>
      <c r="D36" s="2">
        <v>1863964</v>
      </c>
      <c r="E36" s="4" t="s">
        <v>174</v>
      </c>
      <c r="F36" s="4" t="s">
        <v>175</v>
      </c>
      <c r="G36" s="2">
        <v>891545384</v>
      </c>
      <c r="H36" s="4" t="s">
        <v>176</v>
      </c>
      <c r="I36" s="4" t="s">
        <v>46</v>
      </c>
      <c r="J36" s="4" t="s">
        <v>47</v>
      </c>
      <c r="K36" s="4" t="s">
        <v>48</v>
      </c>
      <c r="L36" s="3">
        <v>46082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0.83</v>
      </c>
      <c r="W36" s="5">
        <v>0</v>
      </c>
      <c r="X36" s="5">
        <v>100</v>
      </c>
      <c r="Y36" s="5">
        <v>289.17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46082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55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46078</v>
      </c>
      <c r="C37" s="4" t="s">
        <v>177</v>
      </c>
      <c r="D37" s="2">
        <v>1890087</v>
      </c>
      <c r="E37" s="4" t="s">
        <v>178</v>
      </c>
      <c r="F37" s="4" t="s">
        <v>179</v>
      </c>
      <c r="G37" s="2">
        <v>235036593</v>
      </c>
      <c r="H37" s="4" t="s">
        <v>180</v>
      </c>
      <c r="I37" s="4" t="s">
        <v>46</v>
      </c>
      <c r="J37" s="4" t="s">
        <v>47</v>
      </c>
      <c r="K37" s="4" t="s">
        <v>48</v>
      </c>
      <c r="L37" s="3">
        <v>46082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52</v>
      </c>
      <c r="U37" s="4" t="s">
        <v>46</v>
      </c>
      <c r="V37" s="5">
        <v>0.83</v>
      </c>
      <c r="W37" s="5">
        <v>0</v>
      </c>
      <c r="X37" s="5">
        <v>100</v>
      </c>
      <c r="Y37" s="5">
        <v>289.17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46082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55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46078</v>
      </c>
      <c r="C38" s="4" t="s">
        <v>181</v>
      </c>
      <c r="D38" s="2">
        <v>1900606</v>
      </c>
      <c r="E38" s="4" t="s">
        <v>182</v>
      </c>
      <c r="F38" s="4" t="s">
        <v>183</v>
      </c>
      <c r="G38" s="2">
        <v>425074113</v>
      </c>
      <c r="H38" s="4" t="s">
        <v>184</v>
      </c>
      <c r="I38" s="4" t="s">
        <v>46</v>
      </c>
      <c r="J38" s="4" t="s">
        <v>47</v>
      </c>
      <c r="K38" s="4" t="s">
        <v>48</v>
      </c>
      <c r="L38" s="3">
        <v>46082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185</v>
      </c>
      <c r="U38" s="4" t="s">
        <v>46</v>
      </c>
      <c r="V38" s="5">
        <v>0.83</v>
      </c>
      <c r="W38" s="5">
        <v>0</v>
      </c>
      <c r="X38" s="5">
        <v>100</v>
      </c>
      <c r="Y38" s="5">
        <v>289.17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46082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186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46078</v>
      </c>
      <c r="C39" s="4" t="s">
        <v>181</v>
      </c>
      <c r="D39" s="2">
        <v>1900606</v>
      </c>
      <c r="E39" s="4" t="s">
        <v>187</v>
      </c>
      <c r="F39" s="4" t="s">
        <v>188</v>
      </c>
      <c r="G39" s="2">
        <v>716353243</v>
      </c>
      <c r="H39" s="4" t="s">
        <v>189</v>
      </c>
      <c r="I39" s="4" t="s">
        <v>46</v>
      </c>
      <c r="J39" s="4" t="s">
        <v>47</v>
      </c>
      <c r="K39" s="4" t="s">
        <v>48</v>
      </c>
      <c r="L39" s="3">
        <v>46082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60</v>
      </c>
      <c r="U39" s="4" t="s">
        <v>46</v>
      </c>
      <c r="V39" s="5">
        <v>0.83</v>
      </c>
      <c r="W39" s="5">
        <v>0</v>
      </c>
      <c r="X39" s="5">
        <v>100</v>
      </c>
      <c r="Y39" s="5">
        <v>289.17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46082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109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46078</v>
      </c>
      <c r="C40" s="4" t="s">
        <v>190</v>
      </c>
      <c r="D40" s="2">
        <v>1956363</v>
      </c>
      <c r="E40" s="4" t="s">
        <v>191</v>
      </c>
      <c r="F40" s="4" t="s">
        <v>192</v>
      </c>
      <c r="G40" s="2">
        <v>853830184</v>
      </c>
      <c r="H40" s="4" t="s">
        <v>193</v>
      </c>
      <c r="I40" s="4" t="s">
        <v>46</v>
      </c>
      <c r="J40" s="4" t="s">
        <v>47</v>
      </c>
      <c r="K40" s="4" t="s">
        <v>48</v>
      </c>
      <c r="L40" s="3">
        <v>46113</v>
      </c>
      <c r="M40" s="4" t="s">
        <v>108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0.75</v>
      </c>
      <c r="W40" s="5">
        <v>0</v>
      </c>
      <c r="X40" s="5">
        <v>100</v>
      </c>
      <c r="Y40" s="5">
        <v>260.25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46113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46078</v>
      </c>
      <c r="C41" s="4" t="s">
        <v>194</v>
      </c>
      <c r="D41" s="2">
        <v>1998939</v>
      </c>
      <c r="E41" s="4" t="s">
        <v>195</v>
      </c>
      <c r="F41" s="4" t="s">
        <v>196</v>
      </c>
      <c r="G41" s="2">
        <v>958653431</v>
      </c>
      <c r="H41" s="4" t="s">
        <v>197</v>
      </c>
      <c r="I41" s="4" t="s">
        <v>46</v>
      </c>
      <c r="J41" s="4" t="s">
        <v>47</v>
      </c>
      <c r="K41" s="4" t="s">
        <v>48</v>
      </c>
      <c r="L41" s="3">
        <v>46023</v>
      </c>
      <c r="M41" s="4" t="s">
        <v>65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52</v>
      </c>
      <c r="U41" s="4" t="s">
        <v>46</v>
      </c>
      <c r="V41" s="5">
        <v>-0.83</v>
      </c>
      <c r="W41" s="5">
        <v>0</v>
      </c>
      <c r="X41" s="5">
        <v>100</v>
      </c>
      <c r="Y41" s="5">
        <v>-289.17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46023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55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46078</v>
      </c>
      <c r="C42" s="4" t="s">
        <v>198</v>
      </c>
      <c r="D42" s="2">
        <v>1509744</v>
      </c>
      <c r="E42" s="4" t="s">
        <v>199</v>
      </c>
      <c r="F42" s="4" t="s">
        <v>200</v>
      </c>
      <c r="G42" s="4" t="s">
        <v>46</v>
      </c>
      <c r="H42" s="4" t="s">
        <v>46</v>
      </c>
      <c r="I42" s="4" t="s">
        <v>46</v>
      </c>
      <c r="J42" s="4" t="s">
        <v>201</v>
      </c>
      <c r="K42" s="4" t="s">
        <v>202</v>
      </c>
      <c r="L42" s="3">
        <v>46054</v>
      </c>
      <c r="M42" s="4" t="s">
        <v>90</v>
      </c>
      <c r="N42" s="4" t="s">
        <v>46</v>
      </c>
      <c r="O42" s="4" t="s">
        <v>50</v>
      </c>
      <c r="P42" s="4" t="s">
        <v>203</v>
      </c>
      <c r="Q42" s="2">
        <v>1</v>
      </c>
      <c r="R42" s="2">
        <v>60</v>
      </c>
      <c r="S42" s="4" t="s">
        <v>204</v>
      </c>
      <c r="T42" s="4" t="s">
        <v>46</v>
      </c>
      <c r="U42" s="4" t="s">
        <v>46</v>
      </c>
      <c r="V42" s="5">
        <v>15</v>
      </c>
      <c r="W42" s="5">
        <v>14.93</v>
      </c>
      <c r="X42" s="5">
        <v>100</v>
      </c>
      <c r="Y42" s="5">
        <v>37.24</v>
      </c>
      <c r="Z42" s="4" t="s">
        <v>46</v>
      </c>
      <c r="AA42" s="5" t="s">
        <v>46</v>
      </c>
      <c r="AB42" s="4" t="s">
        <v>205</v>
      </c>
      <c r="AC42" s="4" t="s">
        <v>46</v>
      </c>
      <c r="AD42" s="5">
        <v>0</v>
      </c>
      <c r="AE42" s="4" t="s">
        <v>206</v>
      </c>
      <c r="AF42" s="3">
        <v>46081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46078</v>
      </c>
      <c r="C43" s="4" t="s">
        <v>198</v>
      </c>
      <c r="D43" s="2">
        <v>1509744</v>
      </c>
      <c r="E43" s="4" t="s">
        <v>207</v>
      </c>
      <c r="F43" s="4" t="s">
        <v>208</v>
      </c>
      <c r="G43" s="4" t="s">
        <v>46</v>
      </c>
      <c r="H43" s="4" t="s">
        <v>46</v>
      </c>
      <c r="I43" s="4" t="s">
        <v>46</v>
      </c>
      <c r="J43" s="4" t="s">
        <v>201</v>
      </c>
      <c r="K43" s="4" t="s">
        <v>202</v>
      </c>
      <c r="L43" s="3">
        <v>46082</v>
      </c>
      <c r="M43" s="4" t="s">
        <v>49</v>
      </c>
      <c r="N43" s="4" t="s">
        <v>46</v>
      </c>
      <c r="O43" s="4" t="s">
        <v>50</v>
      </c>
      <c r="P43" s="4" t="s">
        <v>203</v>
      </c>
      <c r="Q43" s="2">
        <v>1</v>
      </c>
      <c r="R43" s="2">
        <v>3</v>
      </c>
      <c r="S43" s="4" t="s">
        <v>209</v>
      </c>
      <c r="T43" s="4" t="s">
        <v>46</v>
      </c>
      <c r="U43" s="4" t="s">
        <v>46</v>
      </c>
      <c r="V43" s="5">
        <v>15</v>
      </c>
      <c r="W43" s="5">
        <v>52.78</v>
      </c>
      <c r="X43" s="5">
        <v>100</v>
      </c>
      <c r="Y43" s="5">
        <v>42.92</v>
      </c>
      <c r="Z43" s="4" t="s">
        <v>46</v>
      </c>
      <c r="AA43" s="5" t="s">
        <v>46</v>
      </c>
      <c r="AB43" s="4" t="s">
        <v>205</v>
      </c>
      <c r="AC43" s="4" t="s">
        <v>46</v>
      </c>
      <c r="AD43" s="5">
        <v>0</v>
      </c>
      <c r="AE43" s="4" t="s">
        <v>206</v>
      </c>
      <c r="AF43" s="3">
        <v>46082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46078</v>
      </c>
      <c r="C44" s="4" t="s">
        <v>198</v>
      </c>
      <c r="D44" s="2">
        <v>1509744</v>
      </c>
      <c r="E44" s="4" t="s">
        <v>210</v>
      </c>
      <c r="F44" s="4" t="s">
        <v>211</v>
      </c>
      <c r="G44" s="4" t="s">
        <v>46</v>
      </c>
      <c r="H44" s="4" t="s">
        <v>46</v>
      </c>
      <c r="I44" s="4" t="s">
        <v>46</v>
      </c>
      <c r="J44" s="4" t="s">
        <v>201</v>
      </c>
      <c r="K44" s="4" t="s">
        <v>202</v>
      </c>
      <c r="L44" s="3">
        <v>46082</v>
      </c>
      <c r="M44" s="4" t="s">
        <v>49</v>
      </c>
      <c r="N44" s="4" t="s">
        <v>46</v>
      </c>
      <c r="O44" s="4" t="s">
        <v>50</v>
      </c>
      <c r="P44" s="4" t="s">
        <v>203</v>
      </c>
      <c r="Q44" s="2">
        <v>1</v>
      </c>
      <c r="R44" s="2">
        <v>60</v>
      </c>
      <c r="S44" s="4" t="s">
        <v>204</v>
      </c>
      <c r="T44" s="4" t="s">
        <v>46</v>
      </c>
      <c r="U44" s="4" t="s">
        <v>46</v>
      </c>
      <c r="V44" s="5">
        <v>15</v>
      </c>
      <c r="W44" s="5">
        <v>14.93</v>
      </c>
      <c r="X44" s="5">
        <v>100</v>
      </c>
      <c r="Y44" s="5">
        <v>37.24</v>
      </c>
      <c r="Z44" s="4" t="s">
        <v>46</v>
      </c>
      <c r="AA44" s="5" t="s">
        <v>46</v>
      </c>
      <c r="AB44" s="4" t="s">
        <v>205</v>
      </c>
      <c r="AC44" s="4" t="s">
        <v>46</v>
      </c>
      <c r="AD44" s="5">
        <v>0</v>
      </c>
      <c r="AE44" s="4" t="s">
        <v>206</v>
      </c>
      <c r="AF44" s="3">
        <v>46082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46078</v>
      </c>
      <c r="C45" s="4" t="s">
        <v>198</v>
      </c>
      <c r="D45" s="2">
        <v>1509744</v>
      </c>
      <c r="E45" s="4" t="s">
        <v>210</v>
      </c>
      <c r="F45" s="4" t="s">
        <v>212</v>
      </c>
      <c r="G45" s="4" t="s">
        <v>46</v>
      </c>
      <c r="H45" s="4" t="s">
        <v>46</v>
      </c>
      <c r="I45" s="4" t="s">
        <v>46</v>
      </c>
      <c r="J45" s="4" t="s">
        <v>201</v>
      </c>
      <c r="K45" s="4" t="s">
        <v>202</v>
      </c>
      <c r="L45" s="3">
        <v>46082</v>
      </c>
      <c r="M45" s="4" t="s">
        <v>49</v>
      </c>
      <c r="N45" s="4" t="s">
        <v>46</v>
      </c>
      <c r="O45" s="4" t="s">
        <v>50</v>
      </c>
      <c r="P45" s="4" t="s">
        <v>203</v>
      </c>
      <c r="Q45" s="2">
        <v>1</v>
      </c>
      <c r="R45" s="2">
        <v>3</v>
      </c>
      <c r="S45" s="4" t="s">
        <v>209</v>
      </c>
      <c r="T45" s="4" t="s">
        <v>46</v>
      </c>
      <c r="U45" s="4" t="s">
        <v>46</v>
      </c>
      <c r="V45" s="5">
        <v>15</v>
      </c>
      <c r="W45" s="5">
        <v>52.78</v>
      </c>
      <c r="X45" s="5">
        <v>100</v>
      </c>
      <c r="Y45" s="5">
        <v>42.92</v>
      </c>
      <c r="Z45" s="4" t="s">
        <v>46</v>
      </c>
      <c r="AA45" s="5" t="s">
        <v>46</v>
      </c>
      <c r="AB45" s="4" t="s">
        <v>205</v>
      </c>
      <c r="AC45" s="4" t="s">
        <v>46</v>
      </c>
      <c r="AD45" s="5">
        <v>0</v>
      </c>
      <c r="AE45" s="4" t="s">
        <v>206</v>
      </c>
      <c r="AF45" s="3">
        <v>46082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46078</v>
      </c>
      <c r="C46" s="4" t="s">
        <v>116</v>
      </c>
      <c r="D46" s="2">
        <v>1573279</v>
      </c>
      <c r="E46" s="4" t="s">
        <v>213</v>
      </c>
      <c r="F46" s="4" t="s">
        <v>214</v>
      </c>
      <c r="G46" s="4" t="s">
        <v>46</v>
      </c>
      <c r="H46" s="4" t="s">
        <v>46</v>
      </c>
      <c r="I46" s="4" t="s">
        <v>46</v>
      </c>
      <c r="J46" s="4" t="s">
        <v>215</v>
      </c>
      <c r="K46" s="4" t="s">
        <v>216</v>
      </c>
      <c r="L46" s="3">
        <v>46054</v>
      </c>
      <c r="M46" s="4" t="s">
        <v>90</v>
      </c>
      <c r="N46" s="4" t="s">
        <v>46</v>
      </c>
      <c r="O46" s="4" t="s">
        <v>50</v>
      </c>
      <c r="P46" s="4" t="s">
        <v>203</v>
      </c>
      <c r="Q46" s="2">
        <v>20</v>
      </c>
      <c r="R46" s="2">
        <v>3</v>
      </c>
      <c r="S46" s="4" t="s">
        <v>209</v>
      </c>
      <c r="T46" s="4" t="s">
        <v>46</v>
      </c>
      <c r="U46" s="4" t="s">
        <v>46</v>
      </c>
      <c r="V46" s="5">
        <v>10</v>
      </c>
      <c r="W46" s="5">
        <v>38.729999999999997</v>
      </c>
      <c r="X46" s="5">
        <v>100</v>
      </c>
      <c r="Y46" s="5">
        <v>3.87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45839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46078</v>
      </c>
      <c r="C47" s="4" t="s">
        <v>116</v>
      </c>
      <c r="D47" s="2">
        <v>1573279</v>
      </c>
      <c r="E47" s="4" t="s">
        <v>213</v>
      </c>
      <c r="F47" s="4" t="s">
        <v>214</v>
      </c>
      <c r="G47" s="4" t="s">
        <v>46</v>
      </c>
      <c r="H47" s="4" t="s">
        <v>46</v>
      </c>
      <c r="I47" s="4" t="s">
        <v>46</v>
      </c>
      <c r="J47" s="4" t="s">
        <v>215</v>
      </c>
      <c r="K47" s="4" t="s">
        <v>216</v>
      </c>
      <c r="L47" s="3">
        <v>46082</v>
      </c>
      <c r="M47" s="4" t="s">
        <v>49</v>
      </c>
      <c r="N47" s="4" t="s">
        <v>46</v>
      </c>
      <c r="O47" s="4" t="s">
        <v>50</v>
      </c>
      <c r="P47" s="4" t="s">
        <v>203</v>
      </c>
      <c r="Q47" s="2">
        <v>20</v>
      </c>
      <c r="R47" s="2">
        <v>3</v>
      </c>
      <c r="S47" s="4" t="s">
        <v>209</v>
      </c>
      <c r="T47" s="4" t="s">
        <v>46</v>
      </c>
      <c r="U47" s="4" t="s">
        <v>46</v>
      </c>
      <c r="V47" s="5">
        <v>10</v>
      </c>
      <c r="W47" s="5">
        <v>633.42999999999995</v>
      </c>
      <c r="X47" s="5">
        <v>100</v>
      </c>
      <c r="Y47" s="5">
        <v>63.34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45839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46078</v>
      </c>
      <c r="C48" s="4" t="s">
        <v>116</v>
      </c>
      <c r="D48" s="2">
        <v>1573279</v>
      </c>
      <c r="E48" s="4" t="s">
        <v>213</v>
      </c>
      <c r="F48" s="4" t="s">
        <v>214</v>
      </c>
      <c r="G48" s="4" t="s">
        <v>46</v>
      </c>
      <c r="H48" s="4" t="s">
        <v>46</v>
      </c>
      <c r="I48" s="4" t="s">
        <v>46</v>
      </c>
      <c r="J48" s="4" t="s">
        <v>215</v>
      </c>
      <c r="K48" s="4" t="s">
        <v>216</v>
      </c>
      <c r="L48" s="3">
        <v>46054</v>
      </c>
      <c r="M48" s="4" t="s">
        <v>90</v>
      </c>
      <c r="N48" s="4" t="s">
        <v>46</v>
      </c>
      <c r="O48" s="4" t="s">
        <v>50</v>
      </c>
      <c r="P48" s="4" t="s">
        <v>203</v>
      </c>
      <c r="Q48" s="2">
        <v>18</v>
      </c>
      <c r="R48" s="2">
        <v>60</v>
      </c>
      <c r="S48" s="4" t="s">
        <v>204</v>
      </c>
      <c r="T48" s="4" t="s">
        <v>46</v>
      </c>
      <c r="U48" s="4" t="s">
        <v>46</v>
      </c>
      <c r="V48" s="5">
        <v>10</v>
      </c>
      <c r="W48" s="5">
        <v>11.55</v>
      </c>
      <c r="X48" s="5">
        <v>100</v>
      </c>
      <c r="Y48" s="5">
        <v>1.1599999999999999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45839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46078</v>
      </c>
      <c r="C49" s="4" t="s">
        <v>116</v>
      </c>
      <c r="D49" s="2">
        <v>1573279</v>
      </c>
      <c r="E49" s="4" t="s">
        <v>213</v>
      </c>
      <c r="F49" s="4" t="s">
        <v>214</v>
      </c>
      <c r="G49" s="4" t="s">
        <v>46</v>
      </c>
      <c r="H49" s="4" t="s">
        <v>46</v>
      </c>
      <c r="I49" s="4" t="s">
        <v>46</v>
      </c>
      <c r="J49" s="4" t="s">
        <v>215</v>
      </c>
      <c r="K49" s="4" t="s">
        <v>216</v>
      </c>
      <c r="L49" s="3">
        <v>46082</v>
      </c>
      <c r="M49" s="4" t="s">
        <v>49</v>
      </c>
      <c r="N49" s="4" t="s">
        <v>46</v>
      </c>
      <c r="O49" s="4" t="s">
        <v>50</v>
      </c>
      <c r="P49" s="4" t="s">
        <v>203</v>
      </c>
      <c r="Q49" s="2">
        <v>18</v>
      </c>
      <c r="R49" s="2">
        <v>60</v>
      </c>
      <c r="S49" s="4" t="s">
        <v>204</v>
      </c>
      <c r="T49" s="4" t="s">
        <v>46</v>
      </c>
      <c r="U49" s="4" t="s">
        <v>46</v>
      </c>
      <c r="V49" s="5">
        <v>10</v>
      </c>
      <c r="W49" s="5">
        <v>307.85000000000002</v>
      </c>
      <c r="X49" s="5">
        <v>100</v>
      </c>
      <c r="Y49" s="5">
        <v>30.79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45839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46078</v>
      </c>
      <c r="C50" s="4" t="s">
        <v>116</v>
      </c>
      <c r="D50" s="2">
        <v>1573279</v>
      </c>
      <c r="E50" s="4" t="s">
        <v>213</v>
      </c>
      <c r="F50" s="4" t="s">
        <v>214</v>
      </c>
      <c r="G50" s="4" t="s">
        <v>46</v>
      </c>
      <c r="H50" s="4" t="s">
        <v>46</v>
      </c>
      <c r="I50" s="4" t="s">
        <v>46</v>
      </c>
      <c r="J50" s="4" t="s">
        <v>215</v>
      </c>
      <c r="K50" s="4" t="s">
        <v>216</v>
      </c>
      <c r="L50" s="3">
        <v>46082</v>
      </c>
      <c r="M50" s="4" t="s">
        <v>49</v>
      </c>
      <c r="N50" s="4" t="s">
        <v>46</v>
      </c>
      <c r="O50" s="4" t="s">
        <v>50</v>
      </c>
      <c r="P50" s="4" t="s">
        <v>203</v>
      </c>
      <c r="Q50" s="2">
        <v>20</v>
      </c>
      <c r="R50" s="2">
        <v>3</v>
      </c>
      <c r="S50" s="4" t="s">
        <v>209</v>
      </c>
      <c r="T50" s="4" t="s">
        <v>46</v>
      </c>
      <c r="U50" s="4" t="s">
        <v>46</v>
      </c>
      <c r="V50" s="5">
        <v>7.5</v>
      </c>
      <c r="W50" s="5">
        <v>615.17999999999995</v>
      </c>
      <c r="X50" s="5">
        <v>100</v>
      </c>
      <c r="Y50" s="5">
        <v>46.14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45839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46078</v>
      </c>
      <c r="C51" s="4" t="s">
        <v>217</v>
      </c>
      <c r="D51" s="2">
        <v>1673763</v>
      </c>
      <c r="E51" s="4" t="s">
        <v>218</v>
      </c>
      <c r="F51" s="4" t="s">
        <v>219</v>
      </c>
      <c r="G51" s="4" t="s">
        <v>46</v>
      </c>
      <c r="H51" s="4" t="s">
        <v>46</v>
      </c>
      <c r="I51" s="4" t="s">
        <v>46</v>
      </c>
      <c r="J51" s="4" t="s">
        <v>220</v>
      </c>
      <c r="K51" s="4" t="s">
        <v>48</v>
      </c>
      <c r="L51" s="3">
        <v>46082</v>
      </c>
      <c r="M51" s="4" t="s">
        <v>49</v>
      </c>
      <c r="N51" s="4" t="s">
        <v>46</v>
      </c>
      <c r="O51" s="4" t="s">
        <v>203</v>
      </c>
      <c r="P51" s="4" t="s">
        <v>203</v>
      </c>
      <c r="Q51" s="2">
        <v>1</v>
      </c>
      <c r="R51" s="2">
        <v>17</v>
      </c>
      <c r="S51" s="4" t="s">
        <v>51</v>
      </c>
      <c r="T51" s="4" t="s">
        <v>46</v>
      </c>
      <c r="U51" s="4" t="s">
        <v>46</v>
      </c>
      <c r="V51" s="5">
        <v>26</v>
      </c>
      <c r="W51" s="5">
        <v>307</v>
      </c>
      <c r="X51" s="5">
        <v>100</v>
      </c>
      <c r="Y51" s="5">
        <v>79.819999999999993</v>
      </c>
      <c r="Z51" s="5">
        <v>0</v>
      </c>
      <c r="AA51" s="5">
        <v>0</v>
      </c>
      <c r="AB51" s="4" t="s">
        <v>221</v>
      </c>
      <c r="AC51" s="4" t="s">
        <v>46</v>
      </c>
      <c r="AD51" s="5">
        <v>0</v>
      </c>
      <c r="AE51" s="4" t="s">
        <v>222</v>
      </c>
      <c r="AF51" s="3">
        <v>45292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46078</v>
      </c>
      <c r="C52" s="4" t="s">
        <v>217</v>
      </c>
      <c r="D52" s="2">
        <v>1673763</v>
      </c>
      <c r="E52" s="4" t="s">
        <v>223</v>
      </c>
      <c r="F52" s="4" t="s">
        <v>224</v>
      </c>
      <c r="G52" s="4" t="s">
        <v>46</v>
      </c>
      <c r="H52" s="4" t="s">
        <v>46</v>
      </c>
      <c r="I52" s="4" t="s">
        <v>46</v>
      </c>
      <c r="J52" s="4" t="s">
        <v>220</v>
      </c>
      <c r="K52" s="4" t="s">
        <v>48</v>
      </c>
      <c r="L52" s="3">
        <v>46082</v>
      </c>
      <c r="M52" s="4" t="s">
        <v>49</v>
      </c>
      <c r="N52" s="4" t="s">
        <v>46</v>
      </c>
      <c r="O52" s="4" t="s">
        <v>203</v>
      </c>
      <c r="P52" s="4" t="s">
        <v>203</v>
      </c>
      <c r="Q52" s="2">
        <v>1</v>
      </c>
      <c r="R52" s="2">
        <v>17</v>
      </c>
      <c r="S52" s="4" t="s">
        <v>51</v>
      </c>
      <c r="T52" s="4" t="s">
        <v>46</v>
      </c>
      <c r="U52" s="4" t="s">
        <v>46</v>
      </c>
      <c r="V52" s="5">
        <v>22</v>
      </c>
      <c r="W52" s="5">
        <v>110.73</v>
      </c>
      <c r="X52" s="5">
        <v>100</v>
      </c>
      <c r="Y52" s="5">
        <v>24.36</v>
      </c>
      <c r="Z52" s="5">
        <v>0</v>
      </c>
      <c r="AA52" s="5">
        <v>0</v>
      </c>
      <c r="AB52" s="4" t="s">
        <v>221</v>
      </c>
      <c r="AC52" s="4" t="s">
        <v>46</v>
      </c>
      <c r="AD52" s="5">
        <v>0</v>
      </c>
      <c r="AE52" s="4" t="s">
        <v>222</v>
      </c>
      <c r="AF52" s="3">
        <v>45444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46078</v>
      </c>
      <c r="C53" s="4" t="s">
        <v>217</v>
      </c>
      <c r="D53" s="2">
        <v>1673763</v>
      </c>
      <c r="E53" s="4" t="s">
        <v>225</v>
      </c>
      <c r="F53" s="4" t="s">
        <v>226</v>
      </c>
      <c r="G53" s="4" t="s">
        <v>46</v>
      </c>
      <c r="H53" s="4" t="s">
        <v>46</v>
      </c>
      <c r="I53" s="4" t="s">
        <v>46</v>
      </c>
      <c r="J53" s="4" t="s">
        <v>220</v>
      </c>
      <c r="K53" s="4" t="s">
        <v>48</v>
      </c>
      <c r="L53" s="3">
        <v>46082</v>
      </c>
      <c r="M53" s="4" t="s">
        <v>49</v>
      </c>
      <c r="N53" s="4" t="s">
        <v>46</v>
      </c>
      <c r="O53" s="4" t="s">
        <v>203</v>
      </c>
      <c r="P53" s="4" t="s">
        <v>203</v>
      </c>
      <c r="Q53" s="2">
        <v>1</v>
      </c>
      <c r="R53" s="2">
        <v>17</v>
      </c>
      <c r="S53" s="4" t="s">
        <v>51</v>
      </c>
      <c r="T53" s="4" t="s">
        <v>46</v>
      </c>
      <c r="U53" s="4" t="s">
        <v>46</v>
      </c>
      <c r="V53" s="5">
        <v>22</v>
      </c>
      <c r="W53" s="5">
        <v>138.55000000000001</v>
      </c>
      <c r="X53" s="5">
        <v>100</v>
      </c>
      <c r="Y53" s="5">
        <v>30.48</v>
      </c>
      <c r="Z53" s="5">
        <v>0</v>
      </c>
      <c r="AA53" s="5">
        <v>0</v>
      </c>
      <c r="AB53" s="4" t="s">
        <v>221</v>
      </c>
      <c r="AC53" s="4" t="s">
        <v>46</v>
      </c>
      <c r="AD53" s="5">
        <v>0</v>
      </c>
      <c r="AE53" s="4" t="s">
        <v>222</v>
      </c>
      <c r="AF53" s="3">
        <v>45566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46078</v>
      </c>
      <c r="C54" s="4" t="s">
        <v>227</v>
      </c>
      <c r="D54" s="2">
        <v>1775329</v>
      </c>
      <c r="E54" s="4" t="s">
        <v>228</v>
      </c>
      <c r="F54" s="4" t="s">
        <v>229</v>
      </c>
      <c r="G54" s="4" t="s">
        <v>46</v>
      </c>
      <c r="H54" s="4" t="s">
        <v>46</v>
      </c>
      <c r="I54" s="4" t="s">
        <v>46</v>
      </c>
      <c r="J54" s="4" t="s">
        <v>220</v>
      </c>
      <c r="K54" s="4" t="s">
        <v>48</v>
      </c>
      <c r="L54" s="3">
        <v>46023</v>
      </c>
      <c r="M54" s="4" t="s">
        <v>65</v>
      </c>
      <c r="N54" s="4" t="s">
        <v>46</v>
      </c>
      <c r="O54" s="4" t="s">
        <v>50</v>
      </c>
      <c r="P54" s="4" t="s">
        <v>203</v>
      </c>
      <c r="Q54" s="2">
        <v>1</v>
      </c>
      <c r="R54" s="2">
        <v>17</v>
      </c>
      <c r="S54" s="4" t="s">
        <v>51</v>
      </c>
      <c r="T54" s="4" t="s">
        <v>46</v>
      </c>
      <c r="U54" s="4" t="s">
        <v>46</v>
      </c>
      <c r="V54" s="5">
        <v>15</v>
      </c>
      <c r="W54" s="5">
        <v>-2655.48</v>
      </c>
      <c r="X54" s="5">
        <v>100</v>
      </c>
      <c r="Y54" s="5">
        <v>-398.28</v>
      </c>
      <c r="Z54" s="5">
        <v>0</v>
      </c>
      <c r="AA54" s="5">
        <v>0</v>
      </c>
      <c r="AB54" s="4" t="s">
        <v>230</v>
      </c>
      <c r="AC54" s="4" t="s">
        <v>46</v>
      </c>
      <c r="AD54" s="5">
        <v>0</v>
      </c>
      <c r="AE54" s="4" t="s">
        <v>231</v>
      </c>
      <c r="AF54" s="3">
        <v>46023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46078</v>
      </c>
      <c r="C55" s="4" t="s">
        <v>162</v>
      </c>
      <c r="D55" s="2">
        <v>1831491</v>
      </c>
      <c r="E55" s="4" t="s">
        <v>232</v>
      </c>
      <c r="F55" s="4" t="s">
        <v>233</v>
      </c>
      <c r="G55" s="4" t="s">
        <v>46</v>
      </c>
      <c r="H55" s="4" t="s">
        <v>46</v>
      </c>
      <c r="I55" s="4" t="s">
        <v>46</v>
      </c>
      <c r="J55" s="4" t="s">
        <v>201</v>
      </c>
      <c r="K55" s="4" t="s">
        <v>202</v>
      </c>
      <c r="L55" s="3">
        <v>46082</v>
      </c>
      <c r="M55" s="4" t="s">
        <v>49</v>
      </c>
      <c r="N55" s="4" t="s">
        <v>46</v>
      </c>
      <c r="O55" s="4" t="s">
        <v>50</v>
      </c>
      <c r="P55" s="4" t="s">
        <v>203</v>
      </c>
      <c r="Q55" s="2">
        <v>2</v>
      </c>
      <c r="R55" s="2">
        <v>60</v>
      </c>
      <c r="S55" s="4" t="s">
        <v>204</v>
      </c>
      <c r="T55" s="4" t="s">
        <v>46</v>
      </c>
      <c r="U55" s="4" t="s">
        <v>46</v>
      </c>
      <c r="V55" s="5">
        <v>10</v>
      </c>
      <c r="W55" s="5">
        <v>26.88</v>
      </c>
      <c r="X55" s="5">
        <v>100</v>
      </c>
      <c r="Y55" s="5">
        <v>2.69</v>
      </c>
      <c r="Z55" s="4" t="s">
        <v>46</v>
      </c>
      <c r="AA55" s="5" t="s">
        <v>46</v>
      </c>
      <c r="AB55" s="4" t="s">
        <v>205</v>
      </c>
      <c r="AC55" s="4" t="s">
        <v>46</v>
      </c>
      <c r="AD55" s="5">
        <v>0</v>
      </c>
      <c r="AE55" s="4" t="s">
        <v>206</v>
      </c>
      <c r="AF55" s="3">
        <v>45808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46078</v>
      </c>
      <c r="C56" s="4" t="s">
        <v>162</v>
      </c>
      <c r="D56" s="2">
        <v>1831491</v>
      </c>
      <c r="E56" s="4" t="s">
        <v>234</v>
      </c>
      <c r="F56" s="4" t="s">
        <v>235</v>
      </c>
      <c r="G56" s="4" t="s">
        <v>46</v>
      </c>
      <c r="H56" s="4" t="s">
        <v>46</v>
      </c>
      <c r="I56" s="4" t="s">
        <v>46</v>
      </c>
      <c r="J56" s="4" t="s">
        <v>201</v>
      </c>
      <c r="K56" s="4" t="s">
        <v>202</v>
      </c>
      <c r="L56" s="3">
        <v>46082</v>
      </c>
      <c r="M56" s="4" t="s">
        <v>49</v>
      </c>
      <c r="N56" s="4" t="s">
        <v>46</v>
      </c>
      <c r="O56" s="4" t="s">
        <v>50</v>
      </c>
      <c r="P56" s="4" t="s">
        <v>203</v>
      </c>
      <c r="Q56" s="2">
        <v>2</v>
      </c>
      <c r="R56" s="2">
        <v>60</v>
      </c>
      <c r="S56" s="4" t="s">
        <v>204</v>
      </c>
      <c r="T56" s="4" t="s">
        <v>46</v>
      </c>
      <c r="U56" s="4" t="s">
        <v>46</v>
      </c>
      <c r="V56" s="5">
        <v>10</v>
      </c>
      <c r="W56" s="5">
        <v>26.88</v>
      </c>
      <c r="X56" s="5">
        <v>100</v>
      </c>
      <c r="Y56" s="5">
        <v>2.69</v>
      </c>
      <c r="Z56" s="4" t="s">
        <v>46</v>
      </c>
      <c r="AA56" s="5" t="s">
        <v>46</v>
      </c>
      <c r="AB56" s="4" t="s">
        <v>205</v>
      </c>
      <c r="AC56" s="4" t="s">
        <v>46</v>
      </c>
      <c r="AD56" s="5">
        <v>0</v>
      </c>
      <c r="AE56" s="4" t="s">
        <v>206</v>
      </c>
      <c r="AF56" s="3">
        <v>45809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46078</v>
      </c>
      <c r="C57" s="4" t="s">
        <v>162</v>
      </c>
      <c r="D57" s="2">
        <v>1831491</v>
      </c>
      <c r="E57" s="4" t="s">
        <v>236</v>
      </c>
      <c r="F57" s="4" t="s">
        <v>237</v>
      </c>
      <c r="G57" s="4" t="s">
        <v>46</v>
      </c>
      <c r="H57" s="4" t="s">
        <v>46</v>
      </c>
      <c r="I57" s="4" t="s">
        <v>46</v>
      </c>
      <c r="J57" s="4" t="s">
        <v>201</v>
      </c>
      <c r="K57" s="4" t="s">
        <v>202</v>
      </c>
      <c r="L57" s="3">
        <v>46082</v>
      </c>
      <c r="M57" s="4" t="s">
        <v>49</v>
      </c>
      <c r="N57" s="4" t="s">
        <v>46</v>
      </c>
      <c r="O57" s="4" t="s">
        <v>50</v>
      </c>
      <c r="P57" s="4" t="s">
        <v>203</v>
      </c>
      <c r="Q57" s="2">
        <v>2</v>
      </c>
      <c r="R57" s="2">
        <v>60</v>
      </c>
      <c r="S57" s="4" t="s">
        <v>204</v>
      </c>
      <c r="T57" s="4" t="s">
        <v>46</v>
      </c>
      <c r="U57" s="4" t="s">
        <v>46</v>
      </c>
      <c r="V57" s="5">
        <v>10</v>
      </c>
      <c r="W57" s="5">
        <v>26.88</v>
      </c>
      <c r="X57" s="5">
        <v>100</v>
      </c>
      <c r="Y57" s="5">
        <v>2.69</v>
      </c>
      <c r="Z57" s="4" t="s">
        <v>46</v>
      </c>
      <c r="AA57" s="5" t="s">
        <v>46</v>
      </c>
      <c r="AB57" s="4" t="s">
        <v>205</v>
      </c>
      <c r="AC57" s="4" t="s">
        <v>46</v>
      </c>
      <c r="AD57" s="5">
        <v>0</v>
      </c>
      <c r="AE57" s="4" t="s">
        <v>206</v>
      </c>
      <c r="AF57" s="3">
        <v>45839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46078</v>
      </c>
      <c r="C58" s="4" t="s">
        <v>162</v>
      </c>
      <c r="D58" s="2">
        <v>1831491</v>
      </c>
      <c r="E58" s="4" t="s">
        <v>238</v>
      </c>
      <c r="F58" s="4" t="s">
        <v>239</v>
      </c>
      <c r="G58" s="4" t="s">
        <v>46</v>
      </c>
      <c r="H58" s="4" t="s">
        <v>46</v>
      </c>
      <c r="I58" s="4" t="s">
        <v>46</v>
      </c>
      <c r="J58" s="4" t="s">
        <v>201</v>
      </c>
      <c r="K58" s="4" t="s">
        <v>202</v>
      </c>
      <c r="L58" s="3">
        <v>46082</v>
      </c>
      <c r="M58" s="4" t="s">
        <v>49</v>
      </c>
      <c r="N58" s="4" t="s">
        <v>46</v>
      </c>
      <c r="O58" s="4" t="s">
        <v>50</v>
      </c>
      <c r="P58" s="4" t="s">
        <v>203</v>
      </c>
      <c r="Q58" s="2">
        <v>1</v>
      </c>
      <c r="R58" s="2">
        <v>60</v>
      </c>
      <c r="S58" s="4" t="s">
        <v>204</v>
      </c>
      <c r="T58" s="4" t="s">
        <v>46</v>
      </c>
      <c r="U58" s="4" t="s">
        <v>46</v>
      </c>
      <c r="V58" s="5">
        <v>10</v>
      </c>
      <c r="W58" s="5">
        <v>13.93</v>
      </c>
      <c r="X58" s="5">
        <v>100</v>
      </c>
      <c r="Y58" s="5">
        <v>1.39</v>
      </c>
      <c r="Z58" s="4" t="s">
        <v>46</v>
      </c>
      <c r="AA58" s="5" t="s">
        <v>46</v>
      </c>
      <c r="AB58" s="4" t="s">
        <v>205</v>
      </c>
      <c r="AC58" s="4" t="s">
        <v>46</v>
      </c>
      <c r="AD58" s="5">
        <v>0</v>
      </c>
      <c r="AE58" s="4" t="s">
        <v>206</v>
      </c>
      <c r="AF58" s="3">
        <v>45817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46078</v>
      </c>
      <c r="C59" s="4" t="s">
        <v>162</v>
      </c>
      <c r="D59" s="2">
        <v>1831491</v>
      </c>
      <c r="E59" s="4" t="s">
        <v>240</v>
      </c>
      <c r="F59" s="4" t="s">
        <v>241</v>
      </c>
      <c r="G59" s="4" t="s">
        <v>46</v>
      </c>
      <c r="H59" s="4" t="s">
        <v>46</v>
      </c>
      <c r="I59" s="4" t="s">
        <v>46</v>
      </c>
      <c r="J59" s="4" t="s">
        <v>201</v>
      </c>
      <c r="K59" s="4" t="s">
        <v>202</v>
      </c>
      <c r="L59" s="3">
        <v>46082</v>
      </c>
      <c r="M59" s="4" t="s">
        <v>49</v>
      </c>
      <c r="N59" s="4" t="s">
        <v>46</v>
      </c>
      <c r="O59" s="4" t="s">
        <v>50</v>
      </c>
      <c r="P59" s="4" t="s">
        <v>203</v>
      </c>
      <c r="Q59" s="2">
        <v>2</v>
      </c>
      <c r="R59" s="2">
        <v>60</v>
      </c>
      <c r="S59" s="4" t="s">
        <v>204</v>
      </c>
      <c r="T59" s="4" t="s">
        <v>46</v>
      </c>
      <c r="U59" s="4" t="s">
        <v>46</v>
      </c>
      <c r="V59" s="5">
        <v>10</v>
      </c>
      <c r="W59" s="5">
        <v>26.88</v>
      </c>
      <c r="X59" s="5">
        <v>100</v>
      </c>
      <c r="Y59" s="5">
        <v>2.69</v>
      </c>
      <c r="Z59" s="4" t="s">
        <v>46</v>
      </c>
      <c r="AA59" s="5" t="s">
        <v>46</v>
      </c>
      <c r="AB59" s="4" t="s">
        <v>205</v>
      </c>
      <c r="AC59" s="4" t="s">
        <v>46</v>
      </c>
      <c r="AD59" s="5">
        <v>0</v>
      </c>
      <c r="AE59" s="4" t="s">
        <v>206</v>
      </c>
      <c r="AF59" s="3">
        <v>45817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46078</v>
      </c>
      <c r="C60" s="4" t="s">
        <v>162</v>
      </c>
      <c r="D60" s="2">
        <v>1831491</v>
      </c>
      <c r="E60" s="4" t="s">
        <v>242</v>
      </c>
      <c r="F60" s="4" t="s">
        <v>243</v>
      </c>
      <c r="G60" s="4" t="s">
        <v>46</v>
      </c>
      <c r="H60" s="4" t="s">
        <v>46</v>
      </c>
      <c r="I60" s="4" t="s">
        <v>46</v>
      </c>
      <c r="J60" s="4" t="s">
        <v>201</v>
      </c>
      <c r="K60" s="4" t="s">
        <v>202</v>
      </c>
      <c r="L60" s="3">
        <v>46082</v>
      </c>
      <c r="M60" s="4" t="s">
        <v>49</v>
      </c>
      <c r="N60" s="4" t="s">
        <v>46</v>
      </c>
      <c r="O60" s="4" t="s">
        <v>50</v>
      </c>
      <c r="P60" s="4" t="s">
        <v>203</v>
      </c>
      <c r="Q60" s="2">
        <v>1</v>
      </c>
      <c r="R60" s="2">
        <v>60</v>
      </c>
      <c r="S60" s="4" t="s">
        <v>204</v>
      </c>
      <c r="T60" s="4" t="s">
        <v>46</v>
      </c>
      <c r="U60" s="4" t="s">
        <v>46</v>
      </c>
      <c r="V60" s="5">
        <v>10</v>
      </c>
      <c r="W60" s="5">
        <v>13.93</v>
      </c>
      <c r="X60" s="5">
        <v>100</v>
      </c>
      <c r="Y60" s="5">
        <v>1.39</v>
      </c>
      <c r="Z60" s="4" t="s">
        <v>46</v>
      </c>
      <c r="AA60" s="5" t="s">
        <v>46</v>
      </c>
      <c r="AB60" s="4" t="s">
        <v>205</v>
      </c>
      <c r="AC60" s="4" t="s">
        <v>46</v>
      </c>
      <c r="AD60" s="5">
        <v>0</v>
      </c>
      <c r="AE60" s="4" t="s">
        <v>206</v>
      </c>
      <c r="AF60" s="3">
        <v>45870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46078</v>
      </c>
      <c r="C61" s="4" t="s">
        <v>162</v>
      </c>
      <c r="D61" s="2">
        <v>1831491</v>
      </c>
      <c r="E61" s="4" t="s">
        <v>244</v>
      </c>
      <c r="F61" s="4" t="s">
        <v>245</v>
      </c>
      <c r="G61" s="4" t="s">
        <v>46</v>
      </c>
      <c r="H61" s="4" t="s">
        <v>46</v>
      </c>
      <c r="I61" s="4" t="s">
        <v>46</v>
      </c>
      <c r="J61" s="4" t="s">
        <v>201</v>
      </c>
      <c r="K61" s="4" t="s">
        <v>202</v>
      </c>
      <c r="L61" s="3">
        <v>46082</v>
      </c>
      <c r="M61" s="4" t="s">
        <v>49</v>
      </c>
      <c r="N61" s="4" t="s">
        <v>46</v>
      </c>
      <c r="O61" s="4" t="s">
        <v>50</v>
      </c>
      <c r="P61" s="4" t="s">
        <v>203</v>
      </c>
      <c r="Q61" s="2">
        <v>2</v>
      </c>
      <c r="R61" s="2">
        <v>60</v>
      </c>
      <c r="S61" s="4" t="s">
        <v>204</v>
      </c>
      <c r="T61" s="4" t="s">
        <v>46</v>
      </c>
      <c r="U61" s="4" t="s">
        <v>46</v>
      </c>
      <c r="V61" s="5">
        <v>10</v>
      </c>
      <c r="W61" s="5">
        <v>26.88</v>
      </c>
      <c r="X61" s="5">
        <v>100</v>
      </c>
      <c r="Y61" s="5">
        <v>2.69</v>
      </c>
      <c r="Z61" s="4" t="s">
        <v>46</v>
      </c>
      <c r="AA61" s="5" t="s">
        <v>46</v>
      </c>
      <c r="AB61" s="4" t="s">
        <v>205</v>
      </c>
      <c r="AC61" s="4" t="s">
        <v>46</v>
      </c>
      <c r="AD61" s="5">
        <v>0</v>
      </c>
      <c r="AE61" s="4" t="s">
        <v>206</v>
      </c>
      <c r="AF61" s="3">
        <v>45839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46078</v>
      </c>
      <c r="C62" s="4" t="s">
        <v>162</v>
      </c>
      <c r="D62" s="2">
        <v>1831491</v>
      </c>
      <c r="E62" s="4" t="s">
        <v>246</v>
      </c>
      <c r="F62" s="4" t="s">
        <v>247</v>
      </c>
      <c r="G62" s="4" t="s">
        <v>46</v>
      </c>
      <c r="H62" s="4" t="s">
        <v>46</v>
      </c>
      <c r="I62" s="4" t="s">
        <v>46</v>
      </c>
      <c r="J62" s="4" t="s">
        <v>201</v>
      </c>
      <c r="K62" s="4" t="s">
        <v>202</v>
      </c>
      <c r="L62" s="3">
        <v>46082</v>
      </c>
      <c r="M62" s="4" t="s">
        <v>49</v>
      </c>
      <c r="N62" s="4" t="s">
        <v>46</v>
      </c>
      <c r="O62" s="4" t="s">
        <v>50</v>
      </c>
      <c r="P62" s="4" t="s">
        <v>203</v>
      </c>
      <c r="Q62" s="2">
        <v>3</v>
      </c>
      <c r="R62" s="2">
        <v>60</v>
      </c>
      <c r="S62" s="4" t="s">
        <v>204</v>
      </c>
      <c r="T62" s="4" t="s">
        <v>46</v>
      </c>
      <c r="U62" s="4" t="s">
        <v>46</v>
      </c>
      <c r="V62" s="5">
        <v>10</v>
      </c>
      <c r="W62" s="5">
        <v>46.8</v>
      </c>
      <c r="X62" s="5">
        <v>100</v>
      </c>
      <c r="Y62" s="5">
        <v>4.68</v>
      </c>
      <c r="Z62" s="4" t="s">
        <v>46</v>
      </c>
      <c r="AA62" s="5" t="s">
        <v>46</v>
      </c>
      <c r="AB62" s="4" t="s">
        <v>205</v>
      </c>
      <c r="AC62" s="4" t="s">
        <v>46</v>
      </c>
      <c r="AD62" s="5">
        <v>0</v>
      </c>
      <c r="AE62" s="4" t="s">
        <v>206</v>
      </c>
      <c r="AF62" s="3">
        <v>45839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46078</v>
      </c>
      <c r="C63" s="4" t="s">
        <v>162</v>
      </c>
      <c r="D63" s="2">
        <v>1831491</v>
      </c>
      <c r="E63" s="4" t="s">
        <v>248</v>
      </c>
      <c r="F63" s="4" t="s">
        <v>249</v>
      </c>
      <c r="G63" s="4" t="s">
        <v>46</v>
      </c>
      <c r="H63" s="4" t="s">
        <v>46</v>
      </c>
      <c r="I63" s="4" t="s">
        <v>46</v>
      </c>
      <c r="J63" s="4" t="s">
        <v>201</v>
      </c>
      <c r="K63" s="4" t="s">
        <v>202</v>
      </c>
      <c r="L63" s="3">
        <v>46082</v>
      </c>
      <c r="M63" s="4" t="s">
        <v>49</v>
      </c>
      <c r="N63" s="4" t="s">
        <v>46</v>
      </c>
      <c r="O63" s="4" t="s">
        <v>50</v>
      </c>
      <c r="P63" s="4" t="s">
        <v>203</v>
      </c>
      <c r="Q63" s="2">
        <v>1</v>
      </c>
      <c r="R63" s="2">
        <v>60</v>
      </c>
      <c r="S63" s="4" t="s">
        <v>204</v>
      </c>
      <c r="T63" s="4" t="s">
        <v>46</v>
      </c>
      <c r="U63" s="4" t="s">
        <v>46</v>
      </c>
      <c r="V63" s="5">
        <v>10</v>
      </c>
      <c r="W63" s="5">
        <v>14.93</v>
      </c>
      <c r="X63" s="5">
        <v>100</v>
      </c>
      <c r="Y63" s="5">
        <v>1.49</v>
      </c>
      <c r="Z63" s="4" t="s">
        <v>46</v>
      </c>
      <c r="AA63" s="5" t="s">
        <v>46</v>
      </c>
      <c r="AB63" s="4" t="s">
        <v>205</v>
      </c>
      <c r="AC63" s="4" t="s">
        <v>46</v>
      </c>
      <c r="AD63" s="5">
        <v>0</v>
      </c>
      <c r="AE63" s="4" t="s">
        <v>206</v>
      </c>
      <c r="AF63" s="3">
        <v>45870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46078</v>
      </c>
      <c r="C64" s="4" t="s">
        <v>162</v>
      </c>
      <c r="D64" s="2">
        <v>1831491</v>
      </c>
      <c r="E64" s="4" t="s">
        <v>250</v>
      </c>
      <c r="F64" s="4" t="s">
        <v>251</v>
      </c>
      <c r="G64" s="4" t="s">
        <v>46</v>
      </c>
      <c r="H64" s="4" t="s">
        <v>46</v>
      </c>
      <c r="I64" s="4" t="s">
        <v>46</v>
      </c>
      <c r="J64" s="4" t="s">
        <v>201</v>
      </c>
      <c r="K64" s="4" t="s">
        <v>202</v>
      </c>
      <c r="L64" s="3">
        <v>46082</v>
      </c>
      <c r="M64" s="4" t="s">
        <v>49</v>
      </c>
      <c r="N64" s="4" t="s">
        <v>46</v>
      </c>
      <c r="O64" s="4" t="s">
        <v>50</v>
      </c>
      <c r="P64" s="4" t="s">
        <v>203</v>
      </c>
      <c r="Q64" s="2">
        <v>1</v>
      </c>
      <c r="R64" s="2">
        <v>60</v>
      </c>
      <c r="S64" s="4" t="s">
        <v>204</v>
      </c>
      <c r="T64" s="4" t="s">
        <v>46</v>
      </c>
      <c r="U64" s="4" t="s">
        <v>46</v>
      </c>
      <c r="V64" s="5">
        <v>10</v>
      </c>
      <c r="W64" s="5">
        <v>14.93</v>
      </c>
      <c r="X64" s="5">
        <v>100</v>
      </c>
      <c r="Y64" s="5">
        <v>1.49</v>
      </c>
      <c r="Z64" s="4" t="s">
        <v>46</v>
      </c>
      <c r="AA64" s="5" t="s">
        <v>46</v>
      </c>
      <c r="AB64" s="4" t="s">
        <v>205</v>
      </c>
      <c r="AC64" s="4" t="s">
        <v>46</v>
      </c>
      <c r="AD64" s="5">
        <v>0</v>
      </c>
      <c r="AE64" s="4" t="s">
        <v>206</v>
      </c>
      <c r="AF64" s="3">
        <v>45871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46078</v>
      </c>
      <c r="C65" s="4" t="s">
        <v>162</v>
      </c>
      <c r="D65" s="2">
        <v>1831491</v>
      </c>
      <c r="E65" s="4" t="s">
        <v>252</v>
      </c>
      <c r="F65" s="4" t="s">
        <v>253</v>
      </c>
      <c r="G65" s="4" t="s">
        <v>46</v>
      </c>
      <c r="H65" s="4" t="s">
        <v>46</v>
      </c>
      <c r="I65" s="4" t="s">
        <v>46</v>
      </c>
      <c r="J65" s="4" t="s">
        <v>201</v>
      </c>
      <c r="K65" s="4" t="s">
        <v>202</v>
      </c>
      <c r="L65" s="3">
        <v>46082</v>
      </c>
      <c r="M65" s="4" t="s">
        <v>49</v>
      </c>
      <c r="N65" s="4" t="s">
        <v>46</v>
      </c>
      <c r="O65" s="4" t="s">
        <v>50</v>
      </c>
      <c r="P65" s="4" t="s">
        <v>203</v>
      </c>
      <c r="Q65" s="2">
        <v>2</v>
      </c>
      <c r="R65" s="2">
        <v>60</v>
      </c>
      <c r="S65" s="4" t="s">
        <v>204</v>
      </c>
      <c r="T65" s="4" t="s">
        <v>46</v>
      </c>
      <c r="U65" s="4" t="s">
        <v>46</v>
      </c>
      <c r="V65" s="5">
        <v>10</v>
      </c>
      <c r="W65" s="5">
        <v>26.88</v>
      </c>
      <c r="X65" s="5">
        <v>100</v>
      </c>
      <c r="Y65" s="5">
        <v>2.69</v>
      </c>
      <c r="Z65" s="4" t="s">
        <v>46</v>
      </c>
      <c r="AA65" s="5" t="s">
        <v>46</v>
      </c>
      <c r="AB65" s="4" t="s">
        <v>205</v>
      </c>
      <c r="AC65" s="4" t="s">
        <v>46</v>
      </c>
      <c r="AD65" s="5">
        <v>0</v>
      </c>
      <c r="AE65" s="4" t="s">
        <v>206</v>
      </c>
      <c r="AF65" s="3">
        <v>45901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46078</v>
      </c>
      <c r="C66" s="4" t="s">
        <v>162</v>
      </c>
      <c r="D66" s="2">
        <v>1831491</v>
      </c>
      <c r="E66" s="4" t="s">
        <v>254</v>
      </c>
      <c r="F66" s="4" t="s">
        <v>255</v>
      </c>
      <c r="G66" s="4" t="s">
        <v>46</v>
      </c>
      <c r="H66" s="4" t="s">
        <v>46</v>
      </c>
      <c r="I66" s="4" t="s">
        <v>46</v>
      </c>
      <c r="J66" s="4" t="s">
        <v>201</v>
      </c>
      <c r="K66" s="4" t="s">
        <v>202</v>
      </c>
      <c r="L66" s="3">
        <v>46082</v>
      </c>
      <c r="M66" s="4" t="s">
        <v>49</v>
      </c>
      <c r="N66" s="4" t="s">
        <v>46</v>
      </c>
      <c r="O66" s="4" t="s">
        <v>50</v>
      </c>
      <c r="P66" s="4" t="s">
        <v>203</v>
      </c>
      <c r="Q66" s="2">
        <v>1</v>
      </c>
      <c r="R66" s="2">
        <v>60</v>
      </c>
      <c r="S66" s="4" t="s">
        <v>204</v>
      </c>
      <c r="T66" s="4" t="s">
        <v>46</v>
      </c>
      <c r="U66" s="4" t="s">
        <v>46</v>
      </c>
      <c r="V66" s="5">
        <v>10</v>
      </c>
      <c r="W66" s="5">
        <v>14.93</v>
      </c>
      <c r="X66" s="5">
        <v>100</v>
      </c>
      <c r="Y66" s="5">
        <v>1.49</v>
      </c>
      <c r="Z66" s="4" t="s">
        <v>46</v>
      </c>
      <c r="AA66" s="5" t="s">
        <v>46</v>
      </c>
      <c r="AB66" s="4" t="s">
        <v>205</v>
      </c>
      <c r="AC66" s="4" t="s">
        <v>46</v>
      </c>
      <c r="AD66" s="5">
        <v>0</v>
      </c>
      <c r="AE66" s="4" t="s">
        <v>206</v>
      </c>
      <c r="AF66" s="3">
        <v>45992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46078</v>
      </c>
      <c r="C67" s="4" t="s">
        <v>162</v>
      </c>
      <c r="D67" s="2">
        <v>1831491</v>
      </c>
      <c r="E67" s="4" t="s">
        <v>256</v>
      </c>
      <c r="F67" s="4" t="s">
        <v>257</v>
      </c>
      <c r="G67" s="4" t="s">
        <v>46</v>
      </c>
      <c r="H67" s="4" t="s">
        <v>46</v>
      </c>
      <c r="I67" s="4" t="s">
        <v>46</v>
      </c>
      <c r="J67" s="4" t="s">
        <v>201</v>
      </c>
      <c r="K67" s="4" t="s">
        <v>202</v>
      </c>
      <c r="L67" s="3">
        <v>46082</v>
      </c>
      <c r="M67" s="4" t="s">
        <v>49</v>
      </c>
      <c r="N67" s="4" t="s">
        <v>46</v>
      </c>
      <c r="O67" s="4" t="s">
        <v>50</v>
      </c>
      <c r="P67" s="4" t="s">
        <v>203</v>
      </c>
      <c r="Q67" s="2">
        <v>2</v>
      </c>
      <c r="R67" s="2">
        <v>60</v>
      </c>
      <c r="S67" s="4" t="s">
        <v>204</v>
      </c>
      <c r="T67" s="4" t="s">
        <v>46</v>
      </c>
      <c r="U67" s="4" t="s">
        <v>46</v>
      </c>
      <c r="V67" s="5">
        <v>10</v>
      </c>
      <c r="W67" s="5">
        <v>26.88</v>
      </c>
      <c r="X67" s="5">
        <v>100</v>
      </c>
      <c r="Y67" s="5">
        <v>2.69</v>
      </c>
      <c r="Z67" s="4" t="s">
        <v>46</v>
      </c>
      <c r="AA67" s="5" t="s">
        <v>46</v>
      </c>
      <c r="AB67" s="4" t="s">
        <v>205</v>
      </c>
      <c r="AC67" s="4" t="s">
        <v>46</v>
      </c>
      <c r="AD67" s="5">
        <v>0</v>
      </c>
      <c r="AE67" s="4" t="s">
        <v>206</v>
      </c>
      <c r="AF67" s="3">
        <v>45992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46078</v>
      </c>
      <c r="C68" s="4" t="s">
        <v>162</v>
      </c>
      <c r="D68" s="2">
        <v>1831491</v>
      </c>
      <c r="E68" s="4" t="s">
        <v>258</v>
      </c>
      <c r="F68" s="4" t="s">
        <v>259</v>
      </c>
      <c r="G68" s="4" t="s">
        <v>46</v>
      </c>
      <c r="H68" s="4" t="s">
        <v>46</v>
      </c>
      <c r="I68" s="4" t="s">
        <v>46</v>
      </c>
      <c r="J68" s="4" t="s">
        <v>201</v>
      </c>
      <c r="K68" s="4" t="s">
        <v>202</v>
      </c>
      <c r="L68" s="3">
        <v>46082</v>
      </c>
      <c r="M68" s="4" t="s">
        <v>49</v>
      </c>
      <c r="N68" s="4" t="s">
        <v>46</v>
      </c>
      <c r="O68" s="4" t="s">
        <v>50</v>
      </c>
      <c r="P68" s="4" t="s">
        <v>203</v>
      </c>
      <c r="Q68" s="2">
        <v>1</v>
      </c>
      <c r="R68" s="2">
        <v>60</v>
      </c>
      <c r="S68" s="4" t="s">
        <v>204</v>
      </c>
      <c r="T68" s="4" t="s">
        <v>46</v>
      </c>
      <c r="U68" s="4" t="s">
        <v>46</v>
      </c>
      <c r="V68" s="5">
        <v>10</v>
      </c>
      <c r="W68" s="5">
        <v>14.93</v>
      </c>
      <c r="X68" s="5">
        <v>100</v>
      </c>
      <c r="Y68" s="5">
        <v>1.49</v>
      </c>
      <c r="Z68" s="4" t="s">
        <v>46</v>
      </c>
      <c r="AA68" s="5" t="s">
        <v>46</v>
      </c>
      <c r="AB68" s="4" t="s">
        <v>205</v>
      </c>
      <c r="AC68" s="4" t="s">
        <v>46</v>
      </c>
      <c r="AD68" s="5">
        <v>0</v>
      </c>
      <c r="AE68" s="4" t="s">
        <v>206</v>
      </c>
      <c r="AF68" s="3">
        <v>46023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46078</v>
      </c>
      <c r="C69" s="4" t="s">
        <v>162</v>
      </c>
      <c r="D69" s="2">
        <v>1831491</v>
      </c>
      <c r="E69" s="4" t="s">
        <v>260</v>
      </c>
      <c r="F69" s="4" t="s">
        <v>261</v>
      </c>
      <c r="G69" s="4" t="s">
        <v>46</v>
      </c>
      <c r="H69" s="4" t="s">
        <v>46</v>
      </c>
      <c r="I69" s="4" t="s">
        <v>46</v>
      </c>
      <c r="J69" s="4" t="s">
        <v>201</v>
      </c>
      <c r="K69" s="4" t="s">
        <v>202</v>
      </c>
      <c r="L69" s="3">
        <v>46082</v>
      </c>
      <c r="M69" s="4" t="s">
        <v>49</v>
      </c>
      <c r="N69" s="4" t="s">
        <v>46</v>
      </c>
      <c r="O69" s="4" t="s">
        <v>50</v>
      </c>
      <c r="P69" s="4" t="s">
        <v>203</v>
      </c>
      <c r="Q69" s="2">
        <v>1</v>
      </c>
      <c r="R69" s="2">
        <v>60</v>
      </c>
      <c r="S69" s="4" t="s">
        <v>204</v>
      </c>
      <c r="T69" s="4" t="s">
        <v>46</v>
      </c>
      <c r="U69" s="4" t="s">
        <v>46</v>
      </c>
      <c r="V69" s="5">
        <v>10</v>
      </c>
      <c r="W69" s="5">
        <v>14.93</v>
      </c>
      <c r="X69" s="5">
        <v>100</v>
      </c>
      <c r="Y69" s="5">
        <v>1.49</v>
      </c>
      <c r="Z69" s="4" t="s">
        <v>46</v>
      </c>
      <c r="AA69" s="5" t="s">
        <v>46</v>
      </c>
      <c r="AB69" s="4" t="s">
        <v>205</v>
      </c>
      <c r="AC69" s="4" t="s">
        <v>46</v>
      </c>
      <c r="AD69" s="5">
        <v>0</v>
      </c>
      <c r="AE69" s="4" t="s">
        <v>206</v>
      </c>
      <c r="AF69" s="3">
        <v>46023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46078</v>
      </c>
      <c r="C70" s="4" t="s">
        <v>162</v>
      </c>
      <c r="D70" s="2">
        <v>1831491</v>
      </c>
      <c r="E70" s="4" t="s">
        <v>262</v>
      </c>
      <c r="F70" s="4" t="s">
        <v>263</v>
      </c>
      <c r="G70" s="4" t="s">
        <v>46</v>
      </c>
      <c r="H70" s="4" t="s">
        <v>46</v>
      </c>
      <c r="I70" s="4" t="s">
        <v>46</v>
      </c>
      <c r="J70" s="4" t="s">
        <v>201</v>
      </c>
      <c r="K70" s="4" t="s">
        <v>202</v>
      </c>
      <c r="L70" s="3">
        <v>46082</v>
      </c>
      <c r="M70" s="4" t="s">
        <v>49</v>
      </c>
      <c r="N70" s="4" t="s">
        <v>46</v>
      </c>
      <c r="O70" s="4" t="s">
        <v>50</v>
      </c>
      <c r="P70" s="4" t="s">
        <v>203</v>
      </c>
      <c r="Q70" s="2">
        <v>1</v>
      </c>
      <c r="R70" s="2">
        <v>60</v>
      </c>
      <c r="S70" s="4" t="s">
        <v>204</v>
      </c>
      <c r="T70" s="4" t="s">
        <v>46</v>
      </c>
      <c r="U70" s="4" t="s">
        <v>46</v>
      </c>
      <c r="V70" s="5">
        <v>10</v>
      </c>
      <c r="W70" s="5">
        <v>14.93</v>
      </c>
      <c r="X70" s="5">
        <v>100</v>
      </c>
      <c r="Y70" s="5">
        <v>1.49</v>
      </c>
      <c r="Z70" s="4" t="s">
        <v>46</v>
      </c>
      <c r="AA70" s="5" t="s">
        <v>46</v>
      </c>
      <c r="AB70" s="4" t="s">
        <v>205</v>
      </c>
      <c r="AC70" s="4" t="s">
        <v>46</v>
      </c>
      <c r="AD70" s="5">
        <v>0</v>
      </c>
      <c r="AE70" s="4" t="s">
        <v>206</v>
      </c>
      <c r="AF70" s="3">
        <v>46023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46078</v>
      </c>
      <c r="C71" s="4" t="s">
        <v>162</v>
      </c>
      <c r="D71" s="2">
        <v>1831491</v>
      </c>
      <c r="E71" s="4" t="s">
        <v>264</v>
      </c>
      <c r="F71" s="4" t="s">
        <v>265</v>
      </c>
      <c r="G71" s="4" t="s">
        <v>46</v>
      </c>
      <c r="H71" s="4" t="s">
        <v>46</v>
      </c>
      <c r="I71" s="4" t="s">
        <v>46</v>
      </c>
      <c r="J71" s="4" t="s">
        <v>201</v>
      </c>
      <c r="K71" s="4" t="s">
        <v>202</v>
      </c>
      <c r="L71" s="3">
        <v>46082</v>
      </c>
      <c r="M71" s="4" t="s">
        <v>49</v>
      </c>
      <c r="N71" s="4" t="s">
        <v>46</v>
      </c>
      <c r="O71" s="4" t="s">
        <v>50</v>
      </c>
      <c r="P71" s="4" t="s">
        <v>203</v>
      </c>
      <c r="Q71" s="2">
        <v>1</v>
      </c>
      <c r="R71" s="2">
        <v>60</v>
      </c>
      <c r="S71" s="4" t="s">
        <v>204</v>
      </c>
      <c r="T71" s="4" t="s">
        <v>46</v>
      </c>
      <c r="U71" s="4" t="s">
        <v>46</v>
      </c>
      <c r="V71" s="5">
        <v>10</v>
      </c>
      <c r="W71" s="5">
        <v>14.93</v>
      </c>
      <c r="X71" s="5">
        <v>100</v>
      </c>
      <c r="Y71" s="5">
        <v>1.49</v>
      </c>
      <c r="Z71" s="4" t="s">
        <v>46</v>
      </c>
      <c r="AA71" s="5" t="s">
        <v>46</v>
      </c>
      <c r="AB71" s="4" t="s">
        <v>205</v>
      </c>
      <c r="AC71" s="4" t="s">
        <v>46</v>
      </c>
      <c r="AD71" s="5">
        <v>0</v>
      </c>
      <c r="AE71" s="4" t="s">
        <v>206</v>
      </c>
      <c r="AF71" s="3">
        <v>46023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46078</v>
      </c>
      <c r="C72" s="4" t="s">
        <v>162</v>
      </c>
      <c r="D72" s="2">
        <v>1831491</v>
      </c>
      <c r="E72" s="4" t="s">
        <v>266</v>
      </c>
      <c r="F72" s="4" t="s">
        <v>267</v>
      </c>
      <c r="G72" s="4" t="s">
        <v>46</v>
      </c>
      <c r="H72" s="4" t="s">
        <v>46</v>
      </c>
      <c r="I72" s="4" t="s">
        <v>46</v>
      </c>
      <c r="J72" s="4" t="s">
        <v>201</v>
      </c>
      <c r="K72" s="4" t="s">
        <v>202</v>
      </c>
      <c r="L72" s="3">
        <v>46082</v>
      </c>
      <c r="M72" s="4" t="s">
        <v>49</v>
      </c>
      <c r="N72" s="4" t="s">
        <v>46</v>
      </c>
      <c r="O72" s="4" t="s">
        <v>50</v>
      </c>
      <c r="P72" s="4" t="s">
        <v>203</v>
      </c>
      <c r="Q72" s="2">
        <v>2</v>
      </c>
      <c r="R72" s="2">
        <v>60</v>
      </c>
      <c r="S72" s="4" t="s">
        <v>204</v>
      </c>
      <c r="T72" s="4" t="s">
        <v>46</v>
      </c>
      <c r="U72" s="4" t="s">
        <v>46</v>
      </c>
      <c r="V72" s="5">
        <v>10</v>
      </c>
      <c r="W72" s="5">
        <v>26.88</v>
      </c>
      <c r="X72" s="5">
        <v>100</v>
      </c>
      <c r="Y72" s="5">
        <v>2.69</v>
      </c>
      <c r="Z72" s="4" t="s">
        <v>46</v>
      </c>
      <c r="AA72" s="5" t="s">
        <v>46</v>
      </c>
      <c r="AB72" s="4" t="s">
        <v>205</v>
      </c>
      <c r="AC72" s="4" t="s">
        <v>46</v>
      </c>
      <c r="AD72" s="5">
        <v>0</v>
      </c>
      <c r="AE72" s="4" t="s">
        <v>206</v>
      </c>
      <c r="AF72" s="3">
        <v>46023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46078</v>
      </c>
      <c r="C73" s="4" t="s">
        <v>162</v>
      </c>
      <c r="D73" s="2">
        <v>1831491</v>
      </c>
      <c r="E73" s="4" t="s">
        <v>268</v>
      </c>
      <c r="F73" s="4" t="s">
        <v>269</v>
      </c>
      <c r="G73" s="4" t="s">
        <v>46</v>
      </c>
      <c r="H73" s="4" t="s">
        <v>46</v>
      </c>
      <c r="I73" s="4" t="s">
        <v>46</v>
      </c>
      <c r="J73" s="4" t="s">
        <v>201</v>
      </c>
      <c r="K73" s="4" t="s">
        <v>202</v>
      </c>
      <c r="L73" s="3">
        <v>46082</v>
      </c>
      <c r="M73" s="4" t="s">
        <v>49</v>
      </c>
      <c r="N73" s="4" t="s">
        <v>46</v>
      </c>
      <c r="O73" s="4" t="s">
        <v>50</v>
      </c>
      <c r="P73" s="4" t="s">
        <v>203</v>
      </c>
      <c r="Q73" s="2">
        <v>1</v>
      </c>
      <c r="R73" s="2">
        <v>60</v>
      </c>
      <c r="S73" s="4" t="s">
        <v>204</v>
      </c>
      <c r="T73" s="4" t="s">
        <v>46</v>
      </c>
      <c r="U73" s="4" t="s">
        <v>46</v>
      </c>
      <c r="V73" s="5">
        <v>10</v>
      </c>
      <c r="W73" s="5">
        <v>14.93</v>
      </c>
      <c r="X73" s="5">
        <v>100</v>
      </c>
      <c r="Y73" s="5">
        <v>1.49</v>
      </c>
      <c r="Z73" s="4" t="s">
        <v>46</v>
      </c>
      <c r="AA73" s="5" t="s">
        <v>46</v>
      </c>
      <c r="AB73" s="4" t="s">
        <v>205</v>
      </c>
      <c r="AC73" s="4" t="s">
        <v>46</v>
      </c>
      <c r="AD73" s="5">
        <v>0</v>
      </c>
      <c r="AE73" s="4" t="s">
        <v>206</v>
      </c>
      <c r="AF73" s="3">
        <v>45994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46078</v>
      </c>
      <c r="C74" s="4" t="s">
        <v>162</v>
      </c>
      <c r="D74" s="2">
        <v>1831491</v>
      </c>
      <c r="E74" s="4" t="s">
        <v>270</v>
      </c>
      <c r="F74" s="4" t="s">
        <v>271</v>
      </c>
      <c r="G74" s="4" t="s">
        <v>46</v>
      </c>
      <c r="H74" s="4" t="s">
        <v>46</v>
      </c>
      <c r="I74" s="4" t="s">
        <v>46</v>
      </c>
      <c r="J74" s="4" t="s">
        <v>201</v>
      </c>
      <c r="K74" s="4" t="s">
        <v>202</v>
      </c>
      <c r="L74" s="3">
        <v>46082</v>
      </c>
      <c r="M74" s="4" t="s">
        <v>49</v>
      </c>
      <c r="N74" s="4" t="s">
        <v>46</v>
      </c>
      <c r="O74" s="4" t="s">
        <v>50</v>
      </c>
      <c r="P74" s="4" t="s">
        <v>203</v>
      </c>
      <c r="Q74" s="2">
        <v>1</v>
      </c>
      <c r="R74" s="2">
        <v>60</v>
      </c>
      <c r="S74" s="4" t="s">
        <v>204</v>
      </c>
      <c r="T74" s="4" t="s">
        <v>46</v>
      </c>
      <c r="U74" s="4" t="s">
        <v>46</v>
      </c>
      <c r="V74" s="5">
        <v>15</v>
      </c>
      <c r="W74" s="5">
        <v>14.93</v>
      </c>
      <c r="X74" s="5">
        <v>100</v>
      </c>
      <c r="Y74" s="5">
        <v>2.2400000000000002</v>
      </c>
      <c r="Z74" s="4" t="s">
        <v>46</v>
      </c>
      <c r="AA74" s="5" t="s">
        <v>46</v>
      </c>
      <c r="AB74" s="4" t="s">
        <v>205</v>
      </c>
      <c r="AC74" s="4" t="s">
        <v>46</v>
      </c>
      <c r="AD74" s="5">
        <v>0</v>
      </c>
      <c r="AE74" s="4" t="s">
        <v>206</v>
      </c>
      <c r="AF74" s="3">
        <v>46023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46078</v>
      </c>
      <c r="C75" s="4" t="s">
        <v>162</v>
      </c>
      <c r="D75" s="2">
        <v>1831491</v>
      </c>
      <c r="E75" s="4" t="s">
        <v>272</v>
      </c>
      <c r="F75" s="4" t="s">
        <v>273</v>
      </c>
      <c r="G75" s="4" t="s">
        <v>46</v>
      </c>
      <c r="H75" s="4" t="s">
        <v>46</v>
      </c>
      <c r="I75" s="4" t="s">
        <v>46</v>
      </c>
      <c r="J75" s="4" t="s">
        <v>201</v>
      </c>
      <c r="K75" s="4" t="s">
        <v>202</v>
      </c>
      <c r="L75" s="3">
        <v>46082</v>
      </c>
      <c r="M75" s="4" t="s">
        <v>49</v>
      </c>
      <c r="N75" s="4" t="s">
        <v>46</v>
      </c>
      <c r="O75" s="4" t="s">
        <v>50</v>
      </c>
      <c r="P75" s="4" t="s">
        <v>203</v>
      </c>
      <c r="Q75" s="2">
        <v>2</v>
      </c>
      <c r="R75" s="2">
        <v>60</v>
      </c>
      <c r="S75" s="4" t="s">
        <v>204</v>
      </c>
      <c r="T75" s="4" t="s">
        <v>46</v>
      </c>
      <c r="U75" s="4" t="s">
        <v>46</v>
      </c>
      <c r="V75" s="5">
        <v>15</v>
      </c>
      <c r="W75" s="5">
        <v>26.88</v>
      </c>
      <c r="X75" s="5">
        <v>100</v>
      </c>
      <c r="Y75" s="5">
        <v>4.03</v>
      </c>
      <c r="Z75" s="4" t="s">
        <v>46</v>
      </c>
      <c r="AA75" s="5" t="s">
        <v>46</v>
      </c>
      <c r="AB75" s="4" t="s">
        <v>205</v>
      </c>
      <c r="AC75" s="4" t="s">
        <v>46</v>
      </c>
      <c r="AD75" s="5">
        <v>0</v>
      </c>
      <c r="AE75" s="4" t="s">
        <v>206</v>
      </c>
      <c r="AF75" s="3">
        <v>46023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46078</v>
      </c>
      <c r="C76" s="4" t="s">
        <v>162</v>
      </c>
      <c r="D76" s="2">
        <v>1831491</v>
      </c>
      <c r="E76" s="4" t="s">
        <v>274</v>
      </c>
      <c r="F76" s="4" t="s">
        <v>275</v>
      </c>
      <c r="G76" s="4" t="s">
        <v>46</v>
      </c>
      <c r="H76" s="4" t="s">
        <v>46</v>
      </c>
      <c r="I76" s="4" t="s">
        <v>46</v>
      </c>
      <c r="J76" s="4" t="s">
        <v>201</v>
      </c>
      <c r="K76" s="4" t="s">
        <v>202</v>
      </c>
      <c r="L76" s="3">
        <v>46082</v>
      </c>
      <c r="M76" s="4" t="s">
        <v>49</v>
      </c>
      <c r="N76" s="4" t="s">
        <v>46</v>
      </c>
      <c r="O76" s="4" t="s">
        <v>50</v>
      </c>
      <c r="P76" s="4" t="s">
        <v>203</v>
      </c>
      <c r="Q76" s="2">
        <v>1</v>
      </c>
      <c r="R76" s="2">
        <v>60</v>
      </c>
      <c r="S76" s="4" t="s">
        <v>204</v>
      </c>
      <c r="T76" s="4" t="s">
        <v>46</v>
      </c>
      <c r="U76" s="4" t="s">
        <v>46</v>
      </c>
      <c r="V76" s="5">
        <v>15</v>
      </c>
      <c r="W76" s="5">
        <v>14.93</v>
      </c>
      <c r="X76" s="5">
        <v>100</v>
      </c>
      <c r="Y76" s="5">
        <v>2.2400000000000002</v>
      </c>
      <c r="Z76" s="4" t="s">
        <v>46</v>
      </c>
      <c r="AA76" s="5" t="s">
        <v>46</v>
      </c>
      <c r="AB76" s="4" t="s">
        <v>205</v>
      </c>
      <c r="AC76" s="4" t="s">
        <v>46</v>
      </c>
      <c r="AD76" s="5">
        <v>0</v>
      </c>
      <c r="AE76" s="4" t="s">
        <v>206</v>
      </c>
      <c r="AF76" s="3">
        <v>46026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46078</v>
      </c>
      <c r="C77" s="4" t="s">
        <v>162</v>
      </c>
      <c r="D77" s="2">
        <v>1831491</v>
      </c>
      <c r="E77" s="4" t="s">
        <v>276</v>
      </c>
      <c r="F77" s="4" t="s">
        <v>277</v>
      </c>
      <c r="G77" s="4" t="s">
        <v>46</v>
      </c>
      <c r="H77" s="4" t="s">
        <v>46</v>
      </c>
      <c r="I77" s="4" t="s">
        <v>46</v>
      </c>
      <c r="J77" s="4" t="s">
        <v>201</v>
      </c>
      <c r="K77" s="4" t="s">
        <v>202</v>
      </c>
      <c r="L77" s="3">
        <v>46082</v>
      </c>
      <c r="M77" s="4" t="s">
        <v>49</v>
      </c>
      <c r="N77" s="4" t="s">
        <v>46</v>
      </c>
      <c r="O77" s="4" t="s">
        <v>50</v>
      </c>
      <c r="P77" s="4" t="s">
        <v>203</v>
      </c>
      <c r="Q77" s="2">
        <v>1</v>
      </c>
      <c r="R77" s="2">
        <v>60</v>
      </c>
      <c r="S77" s="4" t="s">
        <v>204</v>
      </c>
      <c r="T77" s="4" t="s">
        <v>46</v>
      </c>
      <c r="U77" s="4" t="s">
        <v>46</v>
      </c>
      <c r="V77" s="5">
        <v>15</v>
      </c>
      <c r="W77" s="5">
        <v>14.93</v>
      </c>
      <c r="X77" s="5">
        <v>100</v>
      </c>
      <c r="Y77" s="5">
        <v>2.2400000000000002</v>
      </c>
      <c r="Z77" s="4" t="s">
        <v>46</v>
      </c>
      <c r="AA77" s="5" t="s">
        <v>46</v>
      </c>
      <c r="AB77" s="4" t="s">
        <v>205</v>
      </c>
      <c r="AC77" s="4" t="s">
        <v>46</v>
      </c>
      <c r="AD77" s="5">
        <v>0</v>
      </c>
      <c r="AE77" s="4" t="s">
        <v>206</v>
      </c>
      <c r="AF77" s="3">
        <v>46054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46078</v>
      </c>
      <c r="C78" s="4" t="s">
        <v>162</v>
      </c>
      <c r="D78" s="2">
        <v>1831491</v>
      </c>
      <c r="E78" s="4" t="s">
        <v>278</v>
      </c>
      <c r="F78" s="4" t="s">
        <v>279</v>
      </c>
      <c r="G78" s="4" t="s">
        <v>46</v>
      </c>
      <c r="H78" s="4" t="s">
        <v>46</v>
      </c>
      <c r="I78" s="4" t="s">
        <v>46</v>
      </c>
      <c r="J78" s="4" t="s">
        <v>201</v>
      </c>
      <c r="K78" s="4" t="s">
        <v>202</v>
      </c>
      <c r="L78" s="3">
        <v>46082</v>
      </c>
      <c r="M78" s="4" t="s">
        <v>49</v>
      </c>
      <c r="N78" s="4" t="s">
        <v>46</v>
      </c>
      <c r="O78" s="4" t="s">
        <v>50</v>
      </c>
      <c r="P78" s="4" t="s">
        <v>203</v>
      </c>
      <c r="Q78" s="2">
        <v>2</v>
      </c>
      <c r="R78" s="2">
        <v>60</v>
      </c>
      <c r="S78" s="4" t="s">
        <v>204</v>
      </c>
      <c r="T78" s="4" t="s">
        <v>46</v>
      </c>
      <c r="U78" s="4" t="s">
        <v>46</v>
      </c>
      <c r="V78" s="5">
        <v>15</v>
      </c>
      <c r="W78" s="5">
        <v>26.88</v>
      </c>
      <c r="X78" s="5">
        <v>100</v>
      </c>
      <c r="Y78" s="5">
        <v>4.03</v>
      </c>
      <c r="Z78" s="4" t="s">
        <v>46</v>
      </c>
      <c r="AA78" s="5" t="s">
        <v>46</v>
      </c>
      <c r="AB78" s="4" t="s">
        <v>205</v>
      </c>
      <c r="AC78" s="4" t="s">
        <v>46</v>
      </c>
      <c r="AD78" s="5">
        <v>0</v>
      </c>
      <c r="AE78" s="4" t="s">
        <v>206</v>
      </c>
      <c r="AF78" s="3">
        <v>46054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46078</v>
      </c>
      <c r="C79" s="4" t="s">
        <v>162</v>
      </c>
      <c r="D79" s="2">
        <v>1831491</v>
      </c>
      <c r="E79" s="4" t="s">
        <v>280</v>
      </c>
      <c r="F79" s="4" t="s">
        <v>281</v>
      </c>
      <c r="G79" s="4" t="s">
        <v>46</v>
      </c>
      <c r="H79" s="4" t="s">
        <v>46</v>
      </c>
      <c r="I79" s="4" t="s">
        <v>46</v>
      </c>
      <c r="J79" s="4" t="s">
        <v>201</v>
      </c>
      <c r="K79" s="4" t="s">
        <v>202</v>
      </c>
      <c r="L79" s="3">
        <v>46082</v>
      </c>
      <c r="M79" s="4" t="s">
        <v>49</v>
      </c>
      <c r="N79" s="4" t="s">
        <v>46</v>
      </c>
      <c r="O79" s="4" t="s">
        <v>50</v>
      </c>
      <c r="P79" s="4" t="s">
        <v>203</v>
      </c>
      <c r="Q79" s="2">
        <v>1</v>
      </c>
      <c r="R79" s="2">
        <v>60</v>
      </c>
      <c r="S79" s="4" t="s">
        <v>204</v>
      </c>
      <c r="T79" s="4" t="s">
        <v>46</v>
      </c>
      <c r="U79" s="4" t="s">
        <v>46</v>
      </c>
      <c r="V79" s="5">
        <v>15</v>
      </c>
      <c r="W79" s="5">
        <v>14.93</v>
      </c>
      <c r="X79" s="5">
        <v>100</v>
      </c>
      <c r="Y79" s="5">
        <v>2.2400000000000002</v>
      </c>
      <c r="Z79" s="4" t="s">
        <v>46</v>
      </c>
      <c r="AA79" s="5" t="s">
        <v>46</v>
      </c>
      <c r="AB79" s="4" t="s">
        <v>205</v>
      </c>
      <c r="AC79" s="4" t="s">
        <v>46</v>
      </c>
      <c r="AD79" s="5">
        <v>0</v>
      </c>
      <c r="AE79" s="4" t="s">
        <v>206</v>
      </c>
      <c r="AF79" s="3">
        <v>46054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46078</v>
      </c>
      <c r="C80" s="4" t="s">
        <v>162</v>
      </c>
      <c r="D80" s="2">
        <v>1831491</v>
      </c>
      <c r="E80" s="4" t="s">
        <v>282</v>
      </c>
      <c r="F80" s="4" t="s">
        <v>283</v>
      </c>
      <c r="G80" s="4" t="s">
        <v>46</v>
      </c>
      <c r="H80" s="4" t="s">
        <v>46</v>
      </c>
      <c r="I80" s="4" t="s">
        <v>46</v>
      </c>
      <c r="J80" s="4" t="s">
        <v>201</v>
      </c>
      <c r="K80" s="4" t="s">
        <v>202</v>
      </c>
      <c r="L80" s="3">
        <v>46082</v>
      </c>
      <c r="M80" s="4" t="s">
        <v>49</v>
      </c>
      <c r="N80" s="4" t="s">
        <v>46</v>
      </c>
      <c r="O80" s="4" t="s">
        <v>50</v>
      </c>
      <c r="P80" s="4" t="s">
        <v>203</v>
      </c>
      <c r="Q80" s="2">
        <v>1</v>
      </c>
      <c r="R80" s="2">
        <v>60</v>
      </c>
      <c r="S80" s="4" t="s">
        <v>204</v>
      </c>
      <c r="T80" s="4" t="s">
        <v>46</v>
      </c>
      <c r="U80" s="4" t="s">
        <v>46</v>
      </c>
      <c r="V80" s="5">
        <v>15</v>
      </c>
      <c r="W80" s="5">
        <v>14.93</v>
      </c>
      <c r="X80" s="5">
        <v>100</v>
      </c>
      <c r="Y80" s="5">
        <v>37.24</v>
      </c>
      <c r="Z80" s="4" t="s">
        <v>46</v>
      </c>
      <c r="AA80" s="5" t="s">
        <v>46</v>
      </c>
      <c r="AB80" s="4" t="s">
        <v>205</v>
      </c>
      <c r="AC80" s="4" t="s">
        <v>46</v>
      </c>
      <c r="AD80" s="5">
        <v>0</v>
      </c>
      <c r="AE80" s="4" t="s">
        <v>206</v>
      </c>
      <c r="AF80" s="3">
        <v>46082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46078</v>
      </c>
      <c r="C81" s="4" t="s">
        <v>284</v>
      </c>
      <c r="D81" s="2">
        <v>1832195</v>
      </c>
      <c r="E81" s="4" t="s">
        <v>285</v>
      </c>
      <c r="F81" s="4" t="s">
        <v>286</v>
      </c>
      <c r="G81" s="4" t="s">
        <v>46</v>
      </c>
      <c r="H81" s="4" t="s">
        <v>46</v>
      </c>
      <c r="I81" s="4" t="s">
        <v>46</v>
      </c>
      <c r="J81" s="4" t="s">
        <v>220</v>
      </c>
      <c r="K81" s="4" t="s">
        <v>48</v>
      </c>
      <c r="L81" s="3">
        <v>46023</v>
      </c>
      <c r="M81" s="4" t="s">
        <v>65</v>
      </c>
      <c r="N81" s="4" t="s">
        <v>46</v>
      </c>
      <c r="O81" s="4" t="s">
        <v>50</v>
      </c>
      <c r="P81" s="4" t="s">
        <v>203</v>
      </c>
      <c r="Q81" s="2">
        <v>1</v>
      </c>
      <c r="R81" s="2">
        <v>17</v>
      </c>
      <c r="S81" s="4" t="s">
        <v>51</v>
      </c>
      <c r="T81" s="4" t="s">
        <v>46</v>
      </c>
      <c r="U81" s="4" t="s">
        <v>46</v>
      </c>
      <c r="V81" s="5">
        <v>29</v>
      </c>
      <c r="W81" s="5">
        <v>1549.56</v>
      </c>
      <c r="X81" s="5">
        <v>100</v>
      </c>
      <c r="Y81" s="5">
        <v>449.4</v>
      </c>
      <c r="Z81" s="5">
        <v>0</v>
      </c>
      <c r="AA81" s="5">
        <v>0</v>
      </c>
      <c r="AB81" s="4" t="s">
        <v>230</v>
      </c>
      <c r="AC81" s="4" t="s">
        <v>46</v>
      </c>
      <c r="AD81" s="5">
        <v>0</v>
      </c>
      <c r="AE81" s="4" t="s">
        <v>231</v>
      </c>
      <c r="AF81" s="3">
        <v>46023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46078</v>
      </c>
      <c r="C82" s="4" t="s">
        <v>287</v>
      </c>
      <c r="D82" s="2">
        <v>1875462</v>
      </c>
      <c r="E82" s="4" t="s">
        <v>288</v>
      </c>
      <c r="F82" s="4" t="s">
        <v>289</v>
      </c>
      <c r="G82" s="4" t="s">
        <v>46</v>
      </c>
      <c r="H82" s="4" t="s">
        <v>46</v>
      </c>
      <c r="I82" s="4" t="s">
        <v>46</v>
      </c>
      <c r="J82" s="4" t="s">
        <v>220</v>
      </c>
      <c r="K82" s="4" t="s">
        <v>48</v>
      </c>
      <c r="L82" s="3">
        <v>46054</v>
      </c>
      <c r="M82" s="4" t="s">
        <v>90</v>
      </c>
      <c r="N82" s="4" t="s">
        <v>46</v>
      </c>
      <c r="O82" s="4" t="s">
        <v>203</v>
      </c>
      <c r="P82" s="4" t="s">
        <v>203</v>
      </c>
      <c r="Q82" s="2">
        <v>1</v>
      </c>
      <c r="R82" s="2">
        <v>17</v>
      </c>
      <c r="S82" s="4" t="s">
        <v>51</v>
      </c>
      <c r="T82" s="4" t="s">
        <v>46</v>
      </c>
      <c r="U82" s="4" t="s">
        <v>46</v>
      </c>
      <c r="V82" s="5">
        <v>22</v>
      </c>
      <c r="W82" s="5">
        <v>186.54</v>
      </c>
      <c r="X82" s="5">
        <v>100</v>
      </c>
      <c r="Y82" s="5">
        <v>41.04</v>
      </c>
      <c r="Z82" s="5">
        <v>0</v>
      </c>
      <c r="AA82" s="5">
        <v>0</v>
      </c>
      <c r="AB82" s="4" t="s">
        <v>221</v>
      </c>
      <c r="AC82" s="4" t="s">
        <v>46</v>
      </c>
      <c r="AD82" s="5">
        <v>0</v>
      </c>
      <c r="AE82" s="4" t="s">
        <v>222</v>
      </c>
      <c r="AF82" s="3">
        <v>45658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46078</v>
      </c>
      <c r="C83" s="4" t="s">
        <v>287</v>
      </c>
      <c r="D83" s="2">
        <v>1875462</v>
      </c>
      <c r="E83" s="4" t="s">
        <v>290</v>
      </c>
      <c r="F83" s="4" t="s">
        <v>291</v>
      </c>
      <c r="G83" s="4" t="s">
        <v>46</v>
      </c>
      <c r="H83" s="4" t="s">
        <v>46</v>
      </c>
      <c r="I83" s="4" t="s">
        <v>46</v>
      </c>
      <c r="J83" s="4" t="s">
        <v>220</v>
      </c>
      <c r="K83" s="4" t="s">
        <v>48</v>
      </c>
      <c r="L83" s="3">
        <v>46082</v>
      </c>
      <c r="M83" s="4" t="s">
        <v>49</v>
      </c>
      <c r="N83" s="4" t="s">
        <v>46</v>
      </c>
      <c r="O83" s="4" t="s">
        <v>203</v>
      </c>
      <c r="P83" s="4" t="s">
        <v>203</v>
      </c>
      <c r="Q83" s="2">
        <v>1</v>
      </c>
      <c r="R83" s="2">
        <v>17</v>
      </c>
      <c r="S83" s="4" t="s">
        <v>51</v>
      </c>
      <c r="T83" s="4" t="s">
        <v>46</v>
      </c>
      <c r="U83" s="4" t="s">
        <v>46</v>
      </c>
      <c r="V83" s="5">
        <v>1</v>
      </c>
      <c r="W83" s="5">
        <v>124.54</v>
      </c>
      <c r="X83" s="5">
        <v>100</v>
      </c>
      <c r="Y83" s="5">
        <v>1.25</v>
      </c>
      <c r="Z83" s="5">
        <v>0</v>
      </c>
      <c r="AA83" s="5">
        <v>0</v>
      </c>
      <c r="AB83" s="4" t="s">
        <v>221</v>
      </c>
      <c r="AC83" s="4" t="s">
        <v>46</v>
      </c>
      <c r="AD83" s="5">
        <v>0</v>
      </c>
      <c r="AE83" s="4" t="s">
        <v>222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46078</v>
      </c>
      <c r="C84" s="4" t="s">
        <v>287</v>
      </c>
      <c r="D84" s="2">
        <v>1875462</v>
      </c>
      <c r="E84" s="4" t="s">
        <v>292</v>
      </c>
      <c r="F84" s="4" t="s">
        <v>293</v>
      </c>
      <c r="G84" s="4" t="s">
        <v>46</v>
      </c>
      <c r="H84" s="4" t="s">
        <v>46</v>
      </c>
      <c r="I84" s="4" t="s">
        <v>46</v>
      </c>
      <c r="J84" s="4" t="s">
        <v>201</v>
      </c>
      <c r="K84" s="4" t="s">
        <v>202</v>
      </c>
      <c r="L84" s="3">
        <v>46082</v>
      </c>
      <c r="M84" s="4" t="s">
        <v>49</v>
      </c>
      <c r="N84" s="4" t="s">
        <v>46</v>
      </c>
      <c r="O84" s="4" t="s">
        <v>50</v>
      </c>
      <c r="P84" s="4" t="s">
        <v>203</v>
      </c>
      <c r="Q84" s="2">
        <v>2</v>
      </c>
      <c r="R84" s="2">
        <v>60</v>
      </c>
      <c r="S84" s="4" t="s">
        <v>204</v>
      </c>
      <c r="T84" s="4" t="s">
        <v>46</v>
      </c>
      <c r="U84" s="4" t="s">
        <v>46</v>
      </c>
      <c r="V84" s="5">
        <v>10</v>
      </c>
      <c r="W84" s="5">
        <v>23.99</v>
      </c>
      <c r="X84" s="5">
        <v>100</v>
      </c>
      <c r="Y84" s="5">
        <v>2.4</v>
      </c>
      <c r="Z84" s="4" t="s">
        <v>46</v>
      </c>
      <c r="AA84" s="5" t="s">
        <v>46</v>
      </c>
      <c r="AB84" s="4" t="s">
        <v>205</v>
      </c>
      <c r="AC84" s="4" t="s">
        <v>46</v>
      </c>
      <c r="AD84" s="5">
        <v>0</v>
      </c>
      <c r="AE84" s="4" t="s">
        <v>206</v>
      </c>
      <c r="AF84" s="3">
        <v>45713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46078</v>
      </c>
      <c r="C85" s="4" t="s">
        <v>294</v>
      </c>
      <c r="D85" s="2">
        <v>1982112</v>
      </c>
      <c r="E85" s="4" t="s">
        <v>295</v>
      </c>
      <c r="F85" s="4" t="s">
        <v>296</v>
      </c>
      <c r="G85" s="4" t="s">
        <v>46</v>
      </c>
      <c r="H85" s="4" t="s">
        <v>46</v>
      </c>
      <c r="I85" s="4" t="s">
        <v>46</v>
      </c>
      <c r="J85" s="4" t="s">
        <v>201</v>
      </c>
      <c r="K85" s="4" t="s">
        <v>202</v>
      </c>
      <c r="L85" s="3">
        <v>45901</v>
      </c>
      <c r="M85" s="4" t="s">
        <v>297</v>
      </c>
      <c r="N85" s="4" t="s">
        <v>46</v>
      </c>
      <c r="O85" s="4" t="s">
        <v>50</v>
      </c>
      <c r="P85" s="4" t="s">
        <v>203</v>
      </c>
      <c r="Q85" s="2">
        <v>1</v>
      </c>
      <c r="R85" s="2">
        <v>60</v>
      </c>
      <c r="S85" s="4" t="s">
        <v>204</v>
      </c>
      <c r="T85" s="4" t="s">
        <v>46</v>
      </c>
      <c r="U85" s="4" t="s">
        <v>46</v>
      </c>
      <c r="V85" s="5">
        <v>10</v>
      </c>
      <c r="W85" s="5">
        <v>13.81</v>
      </c>
      <c r="X85" s="5">
        <v>100</v>
      </c>
      <c r="Y85" s="5">
        <v>36.380000000000003</v>
      </c>
      <c r="Z85" s="4" t="s">
        <v>46</v>
      </c>
      <c r="AA85" s="5" t="s">
        <v>46</v>
      </c>
      <c r="AB85" s="4" t="s">
        <v>205</v>
      </c>
      <c r="AC85" s="4" t="s">
        <v>46</v>
      </c>
      <c r="AD85" s="5">
        <v>0</v>
      </c>
      <c r="AE85" s="4" t="s">
        <v>206</v>
      </c>
      <c r="AF85" s="3">
        <v>45929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46078</v>
      </c>
      <c r="C86" s="4" t="s">
        <v>294</v>
      </c>
      <c r="D86" s="2">
        <v>1982112</v>
      </c>
      <c r="E86" s="4" t="s">
        <v>295</v>
      </c>
      <c r="F86" s="4" t="s">
        <v>296</v>
      </c>
      <c r="G86" s="4" t="s">
        <v>46</v>
      </c>
      <c r="H86" s="4" t="s">
        <v>46</v>
      </c>
      <c r="I86" s="4" t="s">
        <v>46</v>
      </c>
      <c r="J86" s="4" t="s">
        <v>201</v>
      </c>
      <c r="K86" s="4" t="s">
        <v>202</v>
      </c>
      <c r="L86" s="3">
        <v>45929</v>
      </c>
      <c r="M86" s="4" t="s">
        <v>297</v>
      </c>
      <c r="N86" s="4" t="s">
        <v>46</v>
      </c>
      <c r="O86" s="4" t="s">
        <v>50</v>
      </c>
      <c r="P86" s="4" t="s">
        <v>203</v>
      </c>
      <c r="Q86" s="2">
        <v>1</v>
      </c>
      <c r="R86" s="2">
        <v>60</v>
      </c>
      <c r="S86" s="4" t="s">
        <v>204</v>
      </c>
      <c r="T86" s="4" t="s">
        <v>46</v>
      </c>
      <c r="U86" s="4" t="s">
        <v>46</v>
      </c>
      <c r="V86" s="5">
        <v>10</v>
      </c>
      <c r="W86" s="5">
        <v>13.81</v>
      </c>
      <c r="X86" s="5">
        <v>100</v>
      </c>
      <c r="Y86" s="5">
        <v>1.38</v>
      </c>
      <c r="Z86" s="4" t="s">
        <v>46</v>
      </c>
      <c r="AA86" s="5" t="s">
        <v>46</v>
      </c>
      <c r="AB86" s="4" t="s">
        <v>205</v>
      </c>
      <c r="AC86" s="4" t="s">
        <v>46</v>
      </c>
      <c r="AD86" s="5">
        <v>0</v>
      </c>
      <c r="AE86" s="4" t="s">
        <v>206</v>
      </c>
      <c r="AF86" s="3">
        <v>45929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46078</v>
      </c>
      <c r="C87" s="4" t="s">
        <v>46</v>
      </c>
      <c r="D87" s="2" t="s">
        <v>46</v>
      </c>
      <c r="E87" s="4" t="s">
        <v>46</v>
      </c>
      <c r="F87" s="4" t="s">
        <v>46</v>
      </c>
      <c r="G87" s="4" t="s">
        <v>46</v>
      </c>
      <c r="H87" s="4" t="s">
        <v>46</v>
      </c>
      <c r="I87" s="4" t="s">
        <v>46</v>
      </c>
      <c r="J87" s="4" t="s">
        <v>46</v>
      </c>
      <c r="K87" s="4" t="s">
        <v>46</v>
      </c>
      <c r="L87" s="4" t="s">
        <v>46</v>
      </c>
      <c r="M87" s="4" t="s">
        <v>90</v>
      </c>
      <c r="N87" s="4" t="s">
        <v>46</v>
      </c>
      <c r="O87" s="4" t="s">
        <v>46</v>
      </c>
      <c r="P87" s="4" t="s">
        <v>46</v>
      </c>
      <c r="Q87" s="4" t="s">
        <v>46</v>
      </c>
      <c r="R87" s="4" t="s">
        <v>46</v>
      </c>
      <c r="S87" s="4" t="s">
        <v>46</v>
      </c>
      <c r="T87" s="4" t="s">
        <v>46</v>
      </c>
      <c r="U87" s="4" t="s">
        <v>46</v>
      </c>
      <c r="V87" s="5" t="s">
        <v>46</v>
      </c>
      <c r="W87" s="4" t="s">
        <v>46</v>
      </c>
      <c r="X87" s="5" t="s">
        <v>46</v>
      </c>
      <c r="Y87" s="4" t="s">
        <v>46</v>
      </c>
      <c r="Z87" s="4" t="s">
        <v>46</v>
      </c>
      <c r="AA87" s="5" t="s">
        <v>46</v>
      </c>
      <c r="AB87" s="4" t="s">
        <v>46</v>
      </c>
      <c r="AC87" s="4" t="s">
        <v>298</v>
      </c>
      <c r="AD87" s="5">
        <v>0</v>
      </c>
      <c r="AE87" s="4" t="s">
        <v>299</v>
      </c>
      <c r="AF87" s="4" t="s">
        <v>46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46078</v>
      </c>
      <c r="C88" s="4" t="s">
        <v>46</v>
      </c>
      <c r="D88" s="2" t="s">
        <v>46</v>
      </c>
      <c r="E88" s="4" t="s">
        <v>46</v>
      </c>
      <c r="F88" s="4" t="s">
        <v>46</v>
      </c>
      <c r="G88" s="4" t="s">
        <v>46</v>
      </c>
      <c r="H88" s="4" t="s">
        <v>46</v>
      </c>
      <c r="I88" s="4" t="s">
        <v>46</v>
      </c>
      <c r="J88" s="4" t="s">
        <v>46</v>
      </c>
      <c r="K88" s="4" t="s">
        <v>46</v>
      </c>
      <c r="L88" s="4" t="s">
        <v>46</v>
      </c>
      <c r="M88" s="4" t="s">
        <v>90</v>
      </c>
      <c r="N88" s="4" t="s">
        <v>46</v>
      </c>
      <c r="O88" s="4" t="s">
        <v>46</v>
      </c>
      <c r="P88" s="4" t="s">
        <v>46</v>
      </c>
      <c r="Q88" s="4" t="s">
        <v>46</v>
      </c>
      <c r="R88" s="4" t="s">
        <v>46</v>
      </c>
      <c r="S88" s="4" t="s">
        <v>46</v>
      </c>
      <c r="T88" s="4" t="s">
        <v>46</v>
      </c>
      <c r="U88" s="4" t="s">
        <v>46</v>
      </c>
      <c r="V88" s="5" t="s">
        <v>46</v>
      </c>
      <c r="W88" s="4" t="s">
        <v>46</v>
      </c>
      <c r="X88" s="5" t="s">
        <v>46</v>
      </c>
      <c r="Y88" s="4" t="s">
        <v>46</v>
      </c>
      <c r="Z88" s="4" t="s">
        <v>46</v>
      </c>
      <c r="AA88" s="5" t="s">
        <v>46</v>
      </c>
      <c r="AB88" s="4" t="s">
        <v>46</v>
      </c>
      <c r="AC88" s="4" t="s">
        <v>300</v>
      </c>
      <c r="AD88" s="5">
        <v>0</v>
      </c>
      <c r="AE88" s="4" t="s">
        <v>301</v>
      </c>
      <c r="AF88" s="4" t="s">
        <v>46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A7A5-93CE-49B4-AAC8-479F7C357909}">
  <dimension ref="A1:AR85"/>
  <sheetViews>
    <sheetView tabSelected="1" topLeftCell="B85" workbookViewId="0">
      <selection activeCell="P2" sqref="P2:P85"/>
    </sheetView>
  </sheetViews>
  <sheetFormatPr defaultRowHeight="12.75" x14ac:dyDescent="0.2"/>
  <cols>
    <col min="1" max="1" width="24.7109375" bestFit="1" customWidth="1"/>
    <col min="2" max="2" width="12" customWidth="1"/>
    <col min="3" max="3" width="28.5703125" bestFit="1" customWidth="1"/>
    <col min="4" max="4" width="13.28515625" bestFit="1" customWidth="1"/>
    <col min="5" max="6" width="11.42578125" bestFit="1" customWidth="1"/>
    <col min="7" max="7" width="15.28515625" bestFit="1" customWidth="1"/>
    <col min="8" max="8" width="9.5703125" customWidth="1"/>
    <col min="9" max="9" width="8" customWidth="1"/>
    <col min="10" max="10" width="8.7109375" customWidth="1"/>
    <col min="11" max="11" width="7.140625" customWidth="1"/>
    <col min="12" max="12" width="9.28515625" customWidth="1"/>
    <col min="13" max="13" width="40.5703125" bestFit="1" customWidth="1"/>
    <col min="14" max="14" width="13.7109375" bestFit="1" customWidth="1"/>
    <col min="15" max="15" width="31.140625" bestFit="1" customWidth="1"/>
    <col min="16" max="16" width="22.5703125" bestFit="1" customWidth="1"/>
    <col min="18" max="18" width="13.42578125" bestFit="1" customWidth="1"/>
    <col min="19" max="19" width="15.42578125" bestFit="1" customWidth="1"/>
    <col min="21" max="21" width="28.85546875" bestFit="1" customWidth="1"/>
    <col min="22" max="22" width="14.28515625" bestFit="1" customWidth="1"/>
    <col min="23" max="23" width="15.42578125" bestFit="1" customWidth="1"/>
  </cols>
  <sheetData>
    <row r="1" spans="1:44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27</v>
      </c>
      <c r="N1" s="1" t="s">
        <v>31</v>
      </c>
    </row>
    <row r="2" spans="1:44" s="9" customFormat="1" x14ac:dyDescent="0.2">
      <c r="A2" s="18" t="s">
        <v>284</v>
      </c>
      <c r="B2" s="21">
        <v>19491313</v>
      </c>
      <c r="C2" s="18" t="s">
        <v>285</v>
      </c>
      <c r="D2" s="18" t="s">
        <v>286</v>
      </c>
      <c r="E2" s="19">
        <v>46023</v>
      </c>
      <c r="F2" s="18" t="s">
        <v>65</v>
      </c>
      <c r="G2" s="18" t="s">
        <v>51</v>
      </c>
      <c r="H2" s="18" t="s">
        <v>46</v>
      </c>
      <c r="I2" s="20">
        <v>29</v>
      </c>
      <c r="J2" s="20">
        <v>1549.56</v>
      </c>
      <c r="K2" s="20">
        <v>100</v>
      </c>
      <c r="L2" s="20">
        <v>449.4</v>
      </c>
      <c r="M2" s="18" t="s">
        <v>230</v>
      </c>
      <c r="N2" s="19">
        <v>46023</v>
      </c>
      <c r="O2" s="21" t="s">
        <v>306</v>
      </c>
      <c r="P2" s="21"/>
      <c r="Q2" s="21"/>
      <c r="R2" s="18" t="s">
        <v>286</v>
      </c>
      <c r="S2" s="21" t="str">
        <f>CONCATENATE(R2,8)</f>
        <v>00001119026A8</v>
      </c>
      <c r="T2" s="21"/>
      <c r="U2" s="18" t="s">
        <v>456</v>
      </c>
      <c r="V2" s="21" t="s">
        <v>457</v>
      </c>
      <c r="W2" t="str">
        <f>CONCATENATE(V2," ",U2)</f>
        <v>CHRISTOPHER HILLARD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44" s="9" customFormat="1" x14ac:dyDescent="0.2">
      <c r="A3" s="4" t="s">
        <v>194</v>
      </c>
      <c r="B3">
        <v>21435997</v>
      </c>
      <c r="C3" s="4" t="s">
        <v>195</v>
      </c>
      <c r="D3" s="4" t="s">
        <v>196</v>
      </c>
      <c r="E3" s="3">
        <v>46023</v>
      </c>
      <c r="F3" s="4" t="s">
        <v>65</v>
      </c>
      <c r="G3" s="4" t="s">
        <v>51</v>
      </c>
      <c r="H3" s="4" t="s">
        <v>52</v>
      </c>
      <c r="I3" s="5">
        <v>-0.83</v>
      </c>
      <c r="J3" s="5">
        <v>-1</v>
      </c>
      <c r="K3" s="5">
        <v>100</v>
      </c>
      <c r="L3" s="5">
        <v>-289.17</v>
      </c>
      <c r="M3" s="4" t="s">
        <v>53</v>
      </c>
      <c r="N3" s="3">
        <v>46023</v>
      </c>
      <c r="O3" t="s">
        <v>311</v>
      </c>
      <c r="P3" s="26" t="s">
        <v>316</v>
      </c>
      <c r="Q3"/>
      <c r="R3" s="4" t="s">
        <v>196</v>
      </c>
      <c r="S3" s="32" t="str">
        <f>CONCATENATE(R3,66)</f>
        <v>00024267849K66</v>
      </c>
      <c r="T3"/>
      <c r="U3" s="4" t="s">
        <v>408</v>
      </c>
      <c r="V3" t="s">
        <v>409</v>
      </c>
      <c r="W3" t="str">
        <f>CONCATENATE(V3," ",U3)</f>
        <v>LOU ANDREWS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s="9" customFormat="1" x14ac:dyDescent="0.2">
      <c r="A4" s="4" t="s">
        <v>79</v>
      </c>
      <c r="B4">
        <v>7470776</v>
      </c>
      <c r="C4" s="4" t="s">
        <v>80</v>
      </c>
      <c r="D4" s="4" t="s">
        <v>81</v>
      </c>
      <c r="E4" s="3">
        <v>46082</v>
      </c>
      <c r="F4" s="4" t="s">
        <v>49</v>
      </c>
      <c r="G4" s="4" t="s">
        <v>51</v>
      </c>
      <c r="H4" s="4" t="s">
        <v>52</v>
      </c>
      <c r="I4" s="5">
        <v>0.83</v>
      </c>
      <c r="J4" s="5">
        <v>1</v>
      </c>
      <c r="K4" s="5">
        <v>100</v>
      </c>
      <c r="L4" s="5">
        <v>289.17</v>
      </c>
      <c r="M4" s="4" t="s">
        <v>53</v>
      </c>
      <c r="N4" s="3">
        <v>46082</v>
      </c>
      <c r="O4" t="s">
        <v>311</v>
      </c>
      <c r="P4" s="26" t="s">
        <v>316</v>
      </c>
      <c r="Q4"/>
      <c r="R4" s="4" t="s">
        <v>81</v>
      </c>
      <c r="S4" s="32" t="str">
        <f>CONCATENATE(R4,66)</f>
        <v>00026153527K66</v>
      </c>
      <c r="T4"/>
      <c r="U4" s="4" t="s">
        <v>422</v>
      </c>
      <c r="V4" t="s">
        <v>423</v>
      </c>
      <c r="W4" t="str">
        <f>CONCATENATE(V4," ",U4)</f>
        <v>MARTIN KWITSCHAU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13" customFormat="1" x14ac:dyDescent="0.2">
      <c r="A5" s="4" t="s">
        <v>79</v>
      </c>
      <c r="B5">
        <v>7470776</v>
      </c>
      <c r="C5" s="4" t="s">
        <v>83</v>
      </c>
      <c r="D5" s="4" t="s">
        <v>84</v>
      </c>
      <c r="E5" s="3">
        <v>46082</v>
      </c>
      <c r="F5" s="4" t="s">
        <v>49</v>
      </c>
      <c r="G5" s="4" t="s">
        <v>51</v>
      </c>
      <c r="H5" s="4" t="s">
        <v>52</v>
      </c>
      <c r="I5" s="5">
        <v>0.83</v>
      </c>
      <c r="J5" s="5">
        <v>1</v>
      </c>
      <c r="K5" s="5">
        <v>100</v>
      </c>
      <c r="L5" s="5">
        <v>289.17</v>
      </c>
      <c r="M5" s="4" t="s">
        <v>53</v>
      </c>
      <c r="N5" s="3">
        <v>46082</v>
      </c>
      <c r="O5" t="s">
        <v>311</v>
      </c>
      <c r="P5" s="26" t="s">
        <v>316</v>
      </c>
      <c r="Q5"/>
      <c r="R5" s="4" t="s">
        <v>84</v>
      </c>
      <c r="S5" s="32" t="str">
        <f>CONCATENATE(R5,66)</f>
        <v>00026159538K66</v>
      </c>
      <c r="T5"/>
      <c r="U5" s="4" t="s">
        <v>424</v>
      </c>
      <c r="V5" t="s">
        <v>425</v>
      </c>
      <c r="W5" t="str">
        <f>CONCATENATE(V5," ",U5)</f>
        <v>SUZANNE MCGARY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13" customFormat="1" x14ac:dyDescent="0.2">
      <c r="A6" s="10" t="s">
        <v>198</v>
      </c>
      <c r="B6" s="13">
        <v>8244481</v>
      </c>
      <c r="C6" s="10" t="s">
        <v>207</v>
      </c>
      <c r="D6" s="28">
        <v>9031993200</v>
      </c>
      <c r="E6" s="11">
        <v>46082</v>
      </c>
      <c r="F6" s="10" t="s">
        <v>49</v>
      </c>
      <c r="G6" s="10" t="s">
        <v>209</v>
      </c>
      <c r="H6" s="10" t="s">
        <v>46</v>
      </c>
      <c r="I6" s="12">
        <v>15</v>
      </c>
      <c r="J6" s="12">
        <v>286.13</v>
      </c>
      <c r="K6" s="12">
        <v>100</v>
      </c>
      <c r="L6" s="12">
        <v>42.92</v>
      </c>
      <c r="M6" s="10" t="s">
        <v>205</v>
      </c>
      <c r="N6" s="11">
        <v>46082</v>
      </c>
      <c r="O6" s="13" t="s">
        <v>309</v>
      </c>
      <c r="R6" s="28">
        <v>9031993200</v>
      </c>
      <c r="S6" s="13" t="str">
        <f>CONCATENATE(R6,2)</f>
        <v>90319932002</v>
      </c>
      <c r="U6" s="10" t="s">
        <v>378</v>
      </c>
      <c r="V6" s="13" t="s">
        <v>379</v>
      </c>
      <c r="W6" t="str">
        <f>CONCATENATE(V6," ",U6)</f>
        <v>Courtney Wise</v>
      </c>
    </row>
    <row r="7" spans="1:44" s="21" customFormat="1" x14ac:dyDescent="0.2">
      <c r="A7" s="10" t="s">
        <v>198</v>
      </c>
      <c r="B7" s="13">
        <v>8244481</v>
      </c>
      <c r="C7" s="10" t="s">
        <v>210</v>
      </c>
      <c r="D7" s="28">
        <v>9031993460</v>
      </c>
      <c r="E7" s="11">
        <v>46082</v>
      </c>
      <c r="F7" s="10" t="s">
        <v>49</v>
      </c>
      <c r="G7" s="10" t="s">
        <v>209</v>
      </c>
      <c r="H7" s="10" t="s">
        <v>46</v>
      </c>
      <c r="I7" s="12">
        <v>15</v>
      </c>
      <c r="J7" s="12">
        <v>286.13</v>
      </c>
      <c r="K7" s="12">
        <v>100</v>
      </c>
      <c r="L7" s="12">
        <v>42.92</v>
      </c>
      <c r="M7" s="10" t="s">
        <v>205</v>
      </c>
      <c r="N7" s="11">
        <v>46082</v>
      </c>
      <c r="O7" s="13" t="s">
        <v>309</v>
      </c>
      <c r="P7" s="13"/>
      <c r="Q7" s="13"/>
      <c r="R7" s="28">
        <v>9031993460</v>
      </c>
      <c r="S7" s="13" t="str">
        <f>CONCATENATE(R7,2)</f>
        <v>90319934602</v>
      </c>
      <c r="T7" s="13"/>
      <c r="U7" s="10" t="s">
        <v>380</v>
      </c>
      <c r="V7" s="13" t="s">
        <v>381</v>
      </c>
      <c r="W7" t="str">
        <f>CONCATENATE(V7," ",U7)</f>
        <v>Matthew Lindelof</v>
      </c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s="21" customFormat="1" x14ac:dyDescent="0.2">
      <c r="A8" s="10" t="s">
        <v>198</v>
      </c>
      <c r="B8" s="13">
        <v>8244481</v>
      </c>
      <c r="C8" s="10" t="s">
        <v>199</v>
      </c>
      <c r="D8" s="28">
        <v>9031977350</v>
      </c>
      <c r="E8" s="11">
        <v>46054</v>
      </c>
      <c r="F8" s="10" t="s">
        <v>90</v>
      </c>
      <c r="G8" s="10" t="s">
        <v>204</v>
      </c>
      <c r="H8" s="10" t="s">
        <v>46</v>
      </c>
      <c r="I8" s="12">
        <v>15</v>
      </c>
      <c r="J8" s="12">
        <v>248.27</v>
      </c>
      <c r="K8" s="12">
        <v>100</v>
      </c>
      <c r="L8" s="12">
        <v>37.24</v>
      </c>
      <c r="M8" s="10" t="s">
        <v>205</v>
      </c>
      <c r="N8" s="11">
        <v>46081</v>
      </c>
      <c r="O8" s="13" t="s">
        <v>309</v>
      </c>
      <c r="P8" s="13"/>
      <c r="Q8" s="13"/>
      <c r="R8" s="28">
        <v>9031977350</v>
      </c>
      <c r="S8" s="13" t="str">
        <f>CONCATENATE(R8,2)</f>
        <v>90319773502</v>
      </c>
      <c r="T8" s="13"/>
      <c r="U8" s="10" t="s">
        <v>382</v>
      </c>
      <c r="V8" s="13" t="s">
        <v>383</v>
      </c>
      <c r="W8" t="str">
        <f>CONCATENATE(V8," ",U8)</f>
        <v>Mark Carter</v>
      </c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 s="21" customFormat="1" x14ac:dyDescent="0.2">
      <c r="A9" s="10" t="s">
        <v>198</v>
      </c>
      <c r="B9" s="13">
        <v>8244481</v>
      </c>
      <c r="C9" s="10" t="s">
        <v>210</v>
      </c>
      <c r="D9" s="28">
        <v>9031993430</v>
      </c>
      <c r="E9" s="11">
        <v>46082</v>
      </c>
      <c r="F9" s="10" t="s">
        <v>49</v>
      </c>
      <c r="G9" s="10" t="s">
        <v>204</v>
      </c>
      <c r="H9" s="10" t="s">
        <v>46</v>
      </c>
      <c r="I9" s="12">
        <v>15</v>
      </c>
      <c r="J9" s="12">
        <v>248.27</v>
      </c>
      <c r="K9" s="12">
        <v>100</v>
      </c>
      <c r="L9" s="12">
        <v>37.24</v>
      </c>
      <c r="M9" s="10" t="s">
        <v>205</v>
      </c>
      <c r="N9" s="11">
        <v>46082</v>
      </c>
      <c r="O9" s="13" t="s">
        <v>309</v>
      </c>
      <c r="P9" s="13"/>
      <c r="Q9" s="13"/>
      <c r="R9" s="28">
        <v>9031993430</v>
      </c>
      <c r="S9" s="13" t="str">
        <f>CONCATENATE(R9,2)</f>
        <v>90319934302</v>
      </c>
      <c r="T9" s="13"/>
      <c r="U9" s="10" t="s">
        <v>380</v>
      </c>
      <c r="V9" s="13" t="s">
        <v>381</v>
      </c>
      <c r="W9" t="str">
        <f>CONCATENATE(V9," ",U9)</f>
        <v>Matthew Lindelof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spans="1:44" s="21" customFormat="1" x14ac:dyDescent="0.2">
      <c r="A10" s="10" t="s">
        <v>162</v>
      </c>
      <c r="B10" s="13">
        <v>18828278</v>
      </c>
      <c r="C10" s="10" t="s">
        <v>232</v>
      </c>
      <c r="D10" s="28">
        <v>9030509330</v>
      </c>
      <c r="E10" s="11">
        <v>46082</v>
      </c>
      <c r="F10" s="10" t="s">
        <v>49</v>
      </c>
      <c r="G10" s="10" t="s">
        <v>204</v>
      </c>
      <c r="H10" s="10" t="s">
        <v>46</v>
      </c>
      <c r="I10" s="12">
        <v>10</v>
      </c>
      <c r="J10" s="12">
        <v>26.88</v>
      </c>
      <c r="K10" s="12">
        <v>100</v>
      </c>
      <c r="L10" s="12">
        <v>2.69</v>
      </c>
      <c r="M10" s="10" t="s">
        <v>205</v>
      </c>
      <c r="N10" s="11">
        <v>45808</v>
      </c>
      <c r="O10" s="13" t="s">
        <v>308</v>
      </c>
      <c r="P10" s="13"/>
      <c r="Q10" s="13"/>
      <c r="R10" s="28">
        <v>9030509330</v>
      </c>
      <c r="S10" s="13" t="str">
        <f>CONCATENATE(R10,4)</f>
        <v>90305093304</v>
      </c>
      <c r="T10" s="13"/>
      <c r="U10" s="10" t="s">
        <v>337</v>
      </c>
      <c r="V10" s="13" t="s">
        <v>338</v>
      </c>
      <c r="W10" t="str">
        <f>CONCATENATE(V10," ",U10)</f>
        <v>Gerald Urish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 spans="1:44" s="21" customFormat="1" x14ac:dyDescent="0.2">
      <c r="A11" s="10" t="s">
        <v>162</v>
      </c>
      <c r="B11" s="13">
        <v>18828278</v>
      </c>
      <c r="C11" s="10" t="s">
        <v>234</v>
      </c>
      <c r="D11" s="28">
        <v>9030582430</v>
      </c>
      <c r="E11" s="11">
        <v>46082</v>
      </c>
      <c r="F11" s="10" t="s">
        <v>49</v>
      </c>
      <c r="G11" s="10" t="s">
        <v>204</v>
      </c>
      <c r="H11" s="10" t="s">
        <v>46</v>
      </c>
      <c r="I11" s="12">
        <v>10</v>
      </c>
      <c r="J11" s="12">
        <v>26.88</v>
      </c>
      <c r="K11" s="12">
        <v>100</v>
      </c>
      <c r="L11" s="12">
        <v>2.69</v>
      </c>
      <c r="M11" s="10" t="s">
        <v>205</v>
      </c>
      <c r="N11" s="11">
        <v>45809</v>
      </c>
      <c r="O11" s="13" t="s">
        <v>308</v>
      </c>
      <c r="P11" s="13"/>
      <c r="Q11" s="13"/>
      <c r="R11" s="28">
        <v>9030582430</v>
      </c>
      <c r="S11" s="13" t="str">
        <f>CONCATENATE(R11,4)</f>
        <v>90305824304</v>
      </c>
      <c r="T11" s="13"/>
      <c r="U11" s="10" t="s">
        <v>339</v>
      </c>
      <c r="V11" s="13" t="s">
        <v>340</v>
      </c>
      <c r="W11" t="str">
        <f>CONCATENATE(V11," ",U11)</f>
        <v>Laurie Round</v>
      </c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spans="1:44" s="21" customFormat="1" x14ac:dyDescent="0.2">
      <c r="A12" s="10" t="s">
        <v>162</v>
      </c>
      <c r="B12" s="13">
        <v>18828278</v>
      </c>
      <c r="C12" s="10" t="s">
        <v>236</v>
      </c>
      <c r="D12" s="28">
        <v>9030645550</v>
      </c>
      <c r="E12" s="11">
        <v>46082</v>
      </c>
      <c r="F12" s="10" t="s">
        <v>49</v>
      </c>
      <c r="G12" s="10" t="s">
        <v>204</v>
      </c>
      <c r="H12" s="10" t="s">
        <v>46</v>
      </c>
      <c r="I12" s="12">
        <v>10</v>
      </c>
      <c r="J12" s="12">
        <v>26.88</v>
      </c>
      <c r="K12" s="12">
        <v>100</v>
      </c>
      <c r="L12" s="12">
        <v>2.69</v>
      </c>
      <c r="M12" s="10" t="s">
        <v>205</v>
      </c>
      <c r="N12" s="11">
        <v>45839</v>
      </c>
      <c r="O12" s="13" t="s">
        <v>308</v>
      </c>
      <c r="P12" s="13"/>
      <c r="Q12" s="13"/>
      <c r="R12" s="28">
        <v>9030645550</v>
      </c>
      <c r="S12" s="13" t="str">
        <f>CONCATENATE(R12,4)</f>
        <v>90306455504</v>
      </c>
      <c r="T12" s="13"/>
      <c r="U12" s="10" t="s">
        <v>341</v>
      </c>
      <c r="V12" s="13" t="s">
        <v>342</v>
      </c>
      <c r="W12" t="str">
        <f>CONCATENATE(V12," ",U12)</f>
        <v>Eric Johnson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 spans="1:44" s="21" customFormat="1" x14ac:dyDescent="0.2">
      <c r="A13" s="10" t="s">
        <v>162</v>
      </c>
      <c r="B13" s="13">
        <v>18828278</v>
      </c>
      <c r="C13" s="10" t="s">
        <v>238</v>
      </c>
      <c r="D13" s="28">
        <v>9030651770</v>
      </c>
      <c r="E13" s="11">
        <v>46082</v>
      </c>
      <c r="F13" s="10" t="s">
        <v>49</v>
      </c>
      <c r="G13" s="10" t="s">
        <v>204</v>
      </c>
      <c r="H13" s="10" t="s">
        <v>46</v>
      </c>
      <c r="I13" s="12">
        <v>10</v>
      </c>
      <c r="J13" s="12">
        <v>13.93</v>
      </c>
      <c r="K13" s="12">
        <v>100</v>
      </c>
      <c r="L13" s="12">
        <v>1.39</v>
      </c>
      <c r="M13" s="10" t="s">
        <v>205</v>
      </c>
      <c r="N13" s="11">
        <v>45817</v>
      </c>
      <c r="O13" s="13" t="s">
        <v>308</v>
      </c>
      <c r="P13" s="13"/>
      <c r="Q13" s="13"/>
      <c r="R13" s="28">
        <v>9030651770</v>
      </c>
      <c r="S13" s="13" t="str">
        <f>CONCATENATE(R13,4)</f>
        <v>90306517704</v>
      </c>
      <c r="T13" s="13"/>
      <c r="U13" s="10" t="s">
        <v>343</v>
      </c>
      <c r="V13" s="13" t="s">
        <v>344</v>
      </c>
      <c r="W13" t="str">
        <f>CONCATENATE(V13," ",U13)</f>
        <v>Thomas Thompson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 s="25" customFormat="1" x14ac:dyDescent="0.2">
      <c r="A14" s="10" t="s">
        <v>162</v>
      </c>
      <c r="B14" s="13">
        <v>18828278</v>
      </c>
      <c r="C14" s="10" t="s">
        <v>240</v>
      </c>
      <c r="D14" s="28">
        <v>9030652040</v>
      </c>
      <c r="E14" s="11">
        <v>46082</v>
      </c>
      <c r="F14" s="10" t="s">
        <v>49</v>
      </c>
      <c r="G14" s="10" t="s">
        <v>204</v>
      </c>
      <c r="H14" s="10" t="s">
        <v>46</v>
      </c>
      <c r="I14" s="12">
        <v>10</v>
      </c>
      <c r="J14" s="12">
        <v>26.88</v>
      </c>
      <c r="K14" s="12">
        <v>100</v>
      </c>
      <c r="L14" s="12">
        <v>2.69</v>
      </c>
      <c r="M14" s="10" t="s">
        <v>205</v>
      </c>
      <c r="N14" s="11">
        <v>45817</v>
      </c>
      <c r="O14" s="13" t="s">
        <v>308</v>
      </c>
      <c r="P14" s="13"/>
      <c r="Q14" s="13"/>
      <c r="R14" s="28">
        <v>9030652040</v>
      </c>
      <c r="S14" s="13" t="str">
        <f>CONCATENATE(R14,4)</f>
        <v>90306520404</v>
      </c>
      <c r="T14" s="13"/>
      <c r="U14" s="10" t="s">
        <v>345</v>
      </c>
      <c r="V14" s="13" t="s">
        <v>346</v>
      </c>
      <c r="W14" t="str">
        <f>CONCATENATE(V14," ",U14)</f>
        <v>Nancy Dauer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spans="1:44" x14ac:dyDescent="0.2">
      <c r="A15" s="10" t="s">
        <v>162</v>
      </c>
      <c r="B15" s="13">
        <v>18828278</v>
      </c>
      <c r="C15" s="10" t="s">
        <v>242</v>
      </c>
      <c r="D15" s="28">
        <v>9030652540</v>
      </c>
      <c r="E15" s="11">
        <v>46082</v>
      </c>
      <c r="F15" s="10" t="s">
        <v>49</v>
      </c>
      <c r="G15" s="10" t="s">
        <v>204</v>
      </c>
      <c r="H15" s="10" t="s">
        <v>46</v>
      </c>
      <c r="I15" s="12">
        <v>10</v>
      </c>
      <c r="J15" s="12">
        <v>13.93</v>
      </c>
      <c r="K15" s="12">
        <v>100</v>
      </c>
      <c r="L15" s="12">
        <v>1.39</v>
      </c>
      <c r="M15" s="10" t="s">
        <v>205</v>
      </c>
      <c r="N15" s="11">
        <v>45870</v>
      </c>
      <c r="O15" s="13" t="s">
        <v>308</v>
      </c>
      <c r="P15" s="13"/>
      <c r="Q15" s="13"/>
      <c r="R15" s="28">
        <v>9030652540</v>
      </c>
      <c r="S15" s="13" t="str">
        <f>CONCATENATE(R15,4)</f>
        <v>90306525404</v>
      </c>
      <c r="T15" s="13"/>
      <c r="U15" s="10" t="s">
        <v>347</v>
      </c>
      <c r="V15" s="13" t="s">
        <v>348</v>
      </c>
      <c r="W15" t="str">
        <f>CONCATENATE(V15," ",U15)</f>
        <v>John Sciutto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spans="1:44" x14ac:dyDescent="0.2">
      <c r="A16" s="10" t="s">
        <v>162</v>
      </c>
      <c r="B16" s="13">
        <v>18828278</v>
      </c>
      <c r="C16" s="10" t="s">
        <v>244</v>
      </c>
      <c r="D16" s="28">
        <v>9030683010</v>
      </c>
      <c r="E16" s="11">
        <v>46082</v>
      </c>
      <c r="F16" s="10" t="s">
        <v>49</v>
      </c>
      <c r="G16" s="10" t="s">
        <v>204</v>
      </c>
      <c r="H16" s="10" t="s">
        <v>46</v>
      </c>
      <c r="I16" s="12">
        <v>10</v>
      </c>
      <c r="J16" s="12">
        <v>26.88</v>
      </c>
      <c r="K16" s="12">
        <v>100</v>
      </c>
      <c r="L16" s="12">
        <v>2.69</v>
      </c>
      <c r="M16" s="10" t="s">
        <v>205</v>
      </c>
      <c r="N16" s="11">
        <v>45839</v>
      </c>
      <c r="O16" s="13" t="s">
        <v>308</v>
      </c>
      <c r="P16" s="13"/>
      <c r="Q16" s="13"/>
      <c r="R16" s="28">
        <v>9030683010</v>
      </c>
      <c r="S16" s="13" t="str">
        <f>CONCATENATE(R16,4)</f>
        <v>90306830104</v>
      </c>
      <c r="T16" s="13"/>
      <c r="U16" s="10" t="s">
        <v>349</v>
      </c>
      <c r="V16" s="13" t="s">
        <v>350</v>
      </c>
      <c r="W16" t="str">
        <f>CONCATENATE(V16," ",U16)</f>
        <v>Edward Bond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x14ac:dyDescent="0.2">
      <c r="A17" s="10" t="s">
        <v>162</v>
      </c>
      <c r="B17" s="13">
        <v>18828278</v>
      </c>
      <c r="C17" s="10" t="s">
        <v>246</v>
      </c>
      <c r="D17" s="28">
        <v>9030703310</v>
      </c>
      <c r="E17" s="11">
        <v>46082</v>
      </c>
      <c r="F17" s="10" t="s">
        <v>49</v>
      </c>
      <c r="G17" s="10" t="s">
        <v>204</v>
      </c>
      <c r="H17" s="10" t="s">
        <v>46</v>
      </c>
      <c r="I17" s="12">
        <v>10</v>
      </c>
      <c r="J17" s="12">
        <v>46.8</v>
      </c>
      <c r="K17" s="12">
        <v>100</v>
      </c>
      <c r="L17" s="12">
        <v>4.68</v>
      </c>
      <c r="M17" s="10" t="s">
        <v>205</v>
      </c>
      <c r="N17" s="11">
        <v>45839</v>
      </c>
      <c r="O17" s="13" t="s">
        <v>308</v>
      </c>
      <c r="P17" s="13"/>
      <c r="Q17" s="13"/>
      <c r="R17" s="28">
        <v>9030703310</v>
      </c>
      <c r="S17" s="13" t="str">
        <f>CONCATENATE(R17,4)</f>
        <v>90307033104</v>
      </c>
      <c r="T17" s="13"/>
      <c r="U17" s="10" t="s">
        <v>351</v>
      </c>
      <c r="V17" s="13" t="s">
        <v>352</v>
      </c>
      <c r="W17" t="str">
        <f>CONCATENATE(V17," ",U17)</f>
        <v>Shaji Sharad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spans="1:44" x14ac:dyDescent="0.2">
      <c r="A18" s="10" t="s">
        <v>162</v>
      </c>
      <c r="B18" s="13">
        <v>18828278</v>
      </c>
      <c r="C18" s="10" t="s">
        <v>248</v>
      </c>
      <c r="D18" s="28">
        <v>9030782820</v>
      </c>
      <c r="E18" s="11">
        <v>46082</v>
      </c>
      <c r="F18" s="10" t="s">
        <v>49</v>
      </c>
      <c r="G18" s="10" t="s">
        <v>204</v>
      </c>
      <c r="H18" s="10" t="s">
        <v>46</v>
      </c>
      <c r="I18" s="12">
        <v>10</v>
      </c>
      <c r="J18" s="12">
        <v>14.93</v>
      </c>
      <c r="K18" s="12">
        <v>100</v>
      </c>
      <c r="L18" s="12">
        <v>1.49</v>
      </c>
      <c r="M18" s="10" t="s">
        <v>205</v>
      </c>
      <c r="N18" s="11">
        <v>45870</v>
      </c>
      <c r="O18" s="13" t="s">
        <v>308</v>
      </c>
      <c r="P18" s="13"/>
      <c r="Q18" s="13"/>
      <c r="R18" s="28">
        <v>9030782820</v>
      </c>
      <c r="S18" s="13" t="str">
        <f>CONCATENATE(R18,4)</f>
        <v>90307828204</v>
      </c>
      <c r="T18" s="13"/>
      <c r="U18" s="10" t="s">
        <v>353</v>
      </c>
      <c r="V18" s="13" t="s">
        <v>354</v>
      </c>
      <c r="W18" t="str">
        <f>CONCATENATE(V18," ",U18)</f>
        <v>Kenneth Kasprzak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 x14ac:dyDescent="0.2">
      <c r="A19" s="10" t="s">
        <v>162</v>
      </c>
      <c r="B19" s="13">
        <v>18828278</v>
      </c>
      <c r="C19" s="10" t="s">
        <v>250</v>
      </c>
      <c r="D19" s="28">
        <v>9030924610</v>
      </c>
      <c r="E19" s="11">
        <v>46082</v>
      </c>
      <c r="F19" s="10" t="s">
        <v>49</v>
      </c>
      <c r="G19" s="10" t="s">
        <v>204</v>
      </c>
      <c r="H19" s="10" t="s">
        <v>46</v>
      </c>
      <c r="I19" s="12">
        <v>10</v>
      </c>
      <c r="J19" s="12">
        <v>14.93</v>
      </c>
      <c r="K19" s="12">
        <v>100</v>
      </c>
      <c r="L19" s="12">
        <v>1.49</v>
      </c>
      <c r="M19" s="10" t="s">
        <v>205</v>
      </c>
      <c r="N19" s="11">
        <v>45871</v>
      </c>
      <c r="O19" s="13" t="s">
        <v>308</v>
      </c>
      <c r="P19" s="13"/>
      <c r="Q19" s="13"/>
      <c r="R19" s="28">
        <v>9030924610</v>
      </c>
      <c r="S19" s="13" t="str">
        <f>CONCATENATE(R19,4)</f>
        <v>90309246104</v>
      </c>
      <c r="T19" s="13"/>
      <c r="U19" s="10" t="s">
        <v>355</v>
      </c>
      <c r="V19" s="13" t="s">
        <v>356</v>
      </c>
      <c r="W19" t="str">
        <f>CONCATENATE(V19," ",U19)</f>
        <v>Robin Fewell</v>
      </c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 x14ac:dyDescent="0.2">
      <c r="A20" s="10" t="s">
        <v>162</v>
      </c>
      <c r="B20" s="13">
        <v>18828278</v>
      </c>
      <c r="C20" s="10" t="s">
        <v>252</v>
      </c>
      <c r="D20" s="28">
        <v>9031076870</v>
      </c>
      <c r="E20" s="11">
        <v>46082</v>
      </c>
      <c r="F20" s="10" t="s">
        <v>49</v>
      </c>
      <c r="G20" s="10" t="s">
        <v>204</v>
      </c>
      <c r="H20" s="10" t="s">
        <v>46</v>
      </c>
      <c r="I20" s="12">
        <v>10</v>
      </c>
      <c r="J20" s="12">
        <v>26.88</v>
      </c>
      <c r="K20" s="12">
        <v>100</v>
      </c>
      <c r="L20" s="12">
        <v>2.69</v>
      </c>
      <c r="M20" s="10" t="s">
        <v>205</v>
      </c>
      <c r="N20" s="11">
        <v>45901</v>
      </c>
      <c r="O20" s="13" t="s">
        <v>308</v>
      </c>
      <c r="P20" s="13"/>
      <c r="Q20" s="13"/>
      <c r="R20" s="28">
        <v>9031076870</v>
      </c>
      <c r="S20" s="13" t="str">
        <f>CONCATENATE(R20,4)</f>
        <v>90310768704</v>
      </c>
      <c r="T20" s="13"/>
      <c r="U20" s="10" t="s">
        <v>357</v>
      </c>
      <c r="V20" s="13" t="s">
        <v>358</v>
      </c>
      <c r="W20" t="str">
        <f>CONCATENATE(V20," ",U20)</f>
        <v>James Trost</v>
      </c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x14ac:dyDescent="0.2">
      <c r="A21" s="10" t="s">
        <v>162</v>
      </c>
      <c r="B21" s="13">
        <v>18828278</v>
      </c>
      <c r="C21" s="10" t="s">
        <v>254</v>
      </c>
      <c r="D21" s="28">
        <v>9031317020</v>
      </c>
      <c r="E21" s="11">
        <v>46082</v>
      </c>
      <c r="F21" s="10" t="s">
        <v>49</v>
      </c>
      <c r="G21" s="10" t="s">
        <v>204</v>
      </c>
      <c r="H21" s="10" t="s">
        <v>46</v>
      </c>
      <c r="I21" s="12">
        <v>10</v>
      </c>
      <c r="J21" s="12">
        <v>14.93</v>
      </c>
      <c r="K21" s="12">
        <v>100</v>
      </c>
      <c r="L21" s="12">
        <v>1.49</v>
      </c>
      <c r="M21" s="10" t="s">
        <v>205</v>
      </c>
      <c r="N21" s="11">
        <v>45992</v>
      </c>
      <c r="O21" s="13" t="s">
        <v>308</v>
      </c>
      <c r="P21" s="13"/>
      <c r="Q21" s="13"/>
      <c r="R21" s="28">
        <v>9031317020</v>
      </c>
      <c r="S21" s="13" t="str">
        <f>CONCATENATE(R21,4)</f>
        <v>90313170204</v>
      </c>
      <c r="T21" s="13"/>
      <c r="U21" s="10" t="s">
        <v>359</v>
      </c>
      <c r="V21" s="13" t="s">
        <v>360</v>
      </c>
      <c r="W21" t="str">
        <f>CONCATENATE(V21," ",U21)</f>
        <v>Penny Hancock</v>
      </c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x14ac:dyDescent="0.2">
      <c r="A22" s="10" t="s">
        <v>162</v>
      </c>
      <c r="B22" s="13">
        <v>18828278</v>
      </c>
      <c r="C22" s="10" t="s">
        <v>256</v>
      </c>
      <c r="D22" s="28">
        <v>9031323610</v>
      </c>
      <c r="E22" s="11">
        <v>46082</v>
      </c>
      <c r="F22" s="10" t="s">
        <v>49</v>
      </c>
      <c r="G22" s="10" t="s">
        <v>204</v>
      </c>
      <c r="H22" s="10" t="s">
        <v>46</v>
      </c>
      <c r="I22" s="12">
        <v>10</v>
      </c>
      <c r="J22" s="12">
        <v>26.88</v>
      </c>
      <c r="K22" s="12">
        <v>100</v>
      </c>
      <c r="L22" s="12">
        <v>2.69</v>
      </c>
      <c r="M22" s="10" t="s">
        <v>205</v>
      </c>
      <c r="N22" s="11">
        <v>45992</v>
      </c>
      <c r="O22" s="13" t="s">
        <v>308</v>
      </c>
      <c r="P22" s="13"/>
      <c r="Q22" s="13"/>
      <c r="R22" s="28">
        <v>9031323610</v>
      </c>
      <c r="S22" s="13" t="str">
        <f>CONCATENATE(R22,4)</f>
        <v>90313236104</v>
      </c>
      <c r="T22" s="13"/>
      <c r="U22" s="10" t="s">
        <v>361</v>
      </c>
      <c r="V22" s="13" t="s">
        <v>362</v>
      </c>
      <c r="W22" t="str">
        <f>CONCATENATE(V22," ",U22)</f>
        <v>David Proeber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x14ac:dyDescent="0.2">
      <c r="A23" s="10" t="s">
        <v>162</v>
      </c>
      <c r="B23" s="13">
        <v>18828278</v>
      </c>
      <c r="C23" s="10" t="s">
        <v>258</v>
      </c>
      <c r="D23" s="28">
        <v>9031392680</v>
      </c>
      <c r="E23" s="11">
        <v>46082</v>
      </c>
      <c r="F23" s="10" t="s">
        <v>49</v>
      </c>
      <c r="G23" s="10" t="s">
        <v>204</v>
      </c>
      <c r="H23" s="10" t="s">
        <v>46</v>
      </c>
      <c r="I23" s="12">
        <v>10</v>
      </c>
      <c r="J23" s="12">
        <v>14.93</v>
      </c>
      <c r="K23" s="12">
        <v>100</v>
      </c>
      <c r="L23" s="12">
        <v>1.49</v>
      </c>
      <c r="M23" s="10" t="s">
        <v>205</v>
      </c>
      <c r="N23" s="11">
        <v>46023</v>
      </c>
      <c r="O23" s="13" t="s">
        <v>308</v>
      </c>
      <c r="P23" s="13"/>
      <c r="Q23" s="13"/>
      <c r="R23" s="28">
        <v>9031392680</v>
      </c>
      <c r="S23" s="13" t="str">
        <f>CONCATENATE(R23,4)</f>
        <v>90313926804</v>
      </c>
      <c r="T23" s="13"/>
      <c r="U23" s="10" t="s">
        <v>363</v>
      </c>
      <c r="V23" s="13" t="s">
        <v>364</v>
      </c>
      <c r="W23" t="str">
        <f>CONCATENATE(V23," ",U23)</f>
        <v>Bryan Eckmann</v>
      </c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x14ac:dyDescent="0.2">
      <c r="A24" s="10" t="s">
        <v>162</v>
      </c>
      <c r="B24" s="13">
        <v>18828278</v>
      </c>
      <c r="C24" s="10" t="s">
        <v>260</v>
      </c>
      <c r="D24" s="28">
        <v>9031414170</v>
      </c>
      <c r="E24" s="11">
        <v>46082</v>
      </c>
      <c r="F24" s="10" t="s">
        <v>49</v>
      </c>
      <c r="G24" s="10" t="s">
        <v>204</v>
      </c>
      <c r="H24" s="10" t="s">
        <v>46</v>
      </c>
      <c r="I24" s="12">
        <v>10</v>
      </c>
      <c r="J24" s="12">
        <v>14.93</v>
      </c>
      <c r="K24" s="12">
        <v>100</v>
      </c>
      <c r="L24" s="12">
        <v>1.49</v>
      </c>
      <c r="M24" s="10" t="s">
        <v>205</v>
      </c>
      <c r="N24" s="11">
        <v>46023</v>
      </c>
      <c r="O24" s="13" t="s">
        <v>308</v>
      </c>
      <c r="P24" s="13"/>
      <c r="Q24" s="13"/>
      <c r="R24" s="28">
        <v>9031414170</v>
      </c>
      <c r="S24" s="13" t="str">
        <f>CONCATENATE(R24,4)</f>
        <v>90314141704</v>
      </c>
      <c r="T24" s="13"/>
      <c r="U24" s="10" t="s">
        <v>365</v>
      </c>
      <c r="V24" s="13" t="s">
        <v>366</v>
      </c>
      <c r="W24" t="str">
        <f>CONCATENATE(V24," ",U24)</f>
        <v>Deborah Kingdon</v>
      </c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spans="1:44" x14ac:dyDescent="0.2">
      <c r="A25" s="10" t="s">
        <v>162</v>
      </c>
      <c r="B25" s="13">
        <v>18828278</v>
      </c>
      <c r="C25" s="10" t="s">
        <v>262</v>
      </c>
      <c r="D25" s="28">
        <v>9031492650</v>
      </c>
      <c r="E25" s="11">
        <v>46082</v>
      </c>
      <c r="F25" s="10" t="s">
        <v>49</v>
      </c>
      <c r="G25" s="10" t="s">
        <v>204</v>
      </c>
      <c r="H25" s="10" t="s">
        <v>46</v>
      </c>
      <c r="I25" s="12">
        <v>10</v>
      </c>
      <c r="J25" s="12">
        <v>14.93</v>
      </c>
      <c r="K25" s="12">
        <v>100</v>
      </c>
      <c r="L25" s="12">
        <v>1.49</v>
      </c>
      <c r="M25" s="10" t="s">
        <v>205</v>
      </c>
      <c r="N25" s="11">
        <v>46023</v>
      </c>
      <c r="O25" s="13" t="s">
        <v>308</v>
      </c>
      <c r="P25" s="13"/>
      <c r="Q25" s="13"/>
      <c r="R25" s="28">
        <v>9031492650</v>
      </c>
      <c r="S25" s="13" t="str">
        <f>CONCATENATE(R25,4)</f>
        <v>90314926504</v>
      </c>
      <c r="T25" s="13"/>
      <c r="U25" s="10" t="s">
        <v>367</v>
      </c>
      <c r="V25" s="13" t="s">
        <v>368</v>
      </c>
      <c r="W25" t="str">
        <f>CONCATENATE(V25," ",U25)</f>
        <v>Peter Dolk</v>
      </c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 spans="1:44" x14ac:dyDescent="0.2">
      <c r="A26" s="10" t="s">
        <v>162</v>
      </c>
      <c r="B26" s="13">
        <v>18828278</v>
      </c>
      <c r="C26" s="10" t="s">
        <v>264</v>
      </c>
      <c r="D26" s="28">
        <v>9031492860</v>
      </c>
      <c r="E26" s="11">
        <v>46082</v>
      </c>
      <c r="F26" s="10" t="s">
        <v>49</v>
      </c>
      <c r="G26" s="10" t="s">
        <v>204</v>
      </c>
      <c r="H26" s="10" t="s">
        <v>46</v>
      </c>
      <c r="I26" s="12">
        <v>10</v>
      </c>
      <c r="J26" s="12">
        <v>14.93</v>
      </c>
      <c r="K26" s="12">
        <v>100</v>
      </c>
      <c r="L26" s="12">
        <v>1.49</v>
      </c>
      <c r="M26" s="10" t="s">
        <v>205</v>
      </c>
      <c r="N26" s="11">
        <v>46023</v>
      </c>
      <c r="O26" s="13" t="s">
        <v>308</v>
      </c>
      <c r="P26" s="13"/>
      <c r="Q26" s="13"/>
      <c r="R26" s="28">
        <v>9031492860</v>
      </c>
      <c r="S26" s="13" t="str">
        <f>CONCATENATE(R26,4)</f>
        <v>90314928604</v>
      </c>
      <c r="T26" s="13"/>
      <c r="U26" s="10" t="s">
        <v>369</v>
      </c>
      <c r="V26" s="13" t="s">
        <v>370</v>
      </c>
      <c r="W26" t="str">
        <f>CONCATENATE(V26," ",U26)</f>
        <v>Cheryl Griffin</v>
      </c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x14ac:dyDescent="0.2">
      <c r="A27" s="10" t="s">
        <v>162</v>
      </c>
      <c r="B27" s="13">
        <v>18828278</v>
      </c>
      <c r="C27" s="10" t="s">
        <v>266</v>
      </c>
      <c r="D27" s="28">
        <v>9031517600</v>
      </c>
      <c r="E27" s="11">
        <v>46082</v>
      </c>
      <c r="F27" s="10" t="s">
        <v>49</v>
      </c>
      <c r="G27" s="10" t="s">
        <v>204</v>
      </c>
      <c r="H27" s="10" t="s">
        <v>46</v>
      </c>
      <c r="I27" s="12">
        <v>10</v>
      </c>
      <c r="J27" s="12">
        <v>26.88</v>
      </c>
      <c r="K27" s="12">
        <v>100</v>
      </c>
      <c r="L27" s="12">
        <v>2.69</v>
      </c>
      <c r="M27" s="10" t="s">
        <v>205</v>
      </c>
      <c r="N27" s="11">
        <v>46023</v>
      </c>
      <c r="O27" s="13" t="s">
        <v>308</v>
      </c>
      <c r="P27" s="13"/>
      <c r="Q27" s="13"/>
      <c r="R27" s="28">
        <v>9031517600</v>
      </c>
      <c r="S27" s="13" t="str">
        <f>CONCATENATE(R27,4)</f>
        <v>90315176004</v>
      </c>
      <c r="T27" s="13"/>
      <c r="U27" s="10" t="s">
        <v>371</v>
      </c>
      <c r="V27" s="13" t="s">
        <v>362</v>
      </c>
      <c r="W27" t="str">
        <f>CONCATENATE(V27," ",U27)</f>
        <v>David Overholt</v>
      </c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 spans="1:44" x14ac:dyDescent="0.2">
      <c r="A28" s="10" t="s">
        <v>162</v>
      </c>
      <c r="B28" s="13">
        <v>18828278</v>
      </c>
      <c r="C28" s="10" t="s">
        <v>268</v>
      </c>
      <c r="D28" s="28">
        <v>9031522530</v>
      </c>
      <c r="E28" s="11">
        <v>46082</v>
      </c>
      <c r="F28" s="10" t="s">
        <v>49</v>
      </c>
      <c r="G28" s="10" t="s">
        <v>204</v>
      </c>
      <c r="H28" s="10" t="s">
        <v>46</v>
      </c>
      <c r="I28" s="12">
        <v>10</v>
      </c>
      <c r="J28" s="12">
        <v>14.93</v>
      </c>
      <c r="K28" s="12">
        <v>100</v>
      </c>
      <c r="L28" s="12">
        <v>1.49</v>
      </c>
      <c r="M28" s="10" t="s">
        <v>205</v>
      </c>
      <c r="N28" s="11">
        <v>45994</v>
      </c>
      <c r="O28" s="13" t="s">
        <v>308</v>
      </c>
      <c r="P28" s="13"/>
      <c r="Q28" s="13"/>
      <c r="R28" s="28">
        <v>9031522530</v>
      </c>
      <c r="S28" s="13" t="str">
        <f>CONCATENATE(R28,4)</f>
        <v>90315225304</v>
      </c>
      <c r="T28" s="13"/>
      <c r="U28" s="10" t="s">
        <v>372</v>
      </c>
      <c r="V28" s="13" t="s">
        <v>373</v>
      </c>
      <c r="W28" t="str">
        <f>CONCATENATE(V28," ",U28)</f>
        <v>Virginia Dinges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spans="1:44" x14ac:dyDescent="0.2">
      <c r="A29" s="10" t="s">
        <v>162</v>
      </c>
      <c r="B29" s="13">
        <v>18828278</v>
      </c>
      <c r="C29" s="10" t="s">
        <v>270</v>
      </c>
      <c r="D29" s="28">
        <v>9031652410</v>
      </c>
      <c r="E29" s="11">
        <v>46082</v>
      </c>
      <c r="F29" s="10" t="s">
        <v>49</v>
      </c>
      <c r="G29" s="10" t="s">
        <v>204</v>
      </c>
      <c r="H29" s="10" t="s">
        <v>46</v>
      </c>
      <c r="I29" s="12">
        <v>15</v>
      </c>
      <c r="J29" s="12">
        <v>14.93</v>
      </c>
      <c r="K29" s="12">
        <v>100</v>
      </c>
      <c r="L29" s="12">
        <v>2.2400000000000002</v>
      </c>
      <c r="M29" s="10" t="s">
        <v>205</v>
      </c>
      <c r="N29" s="11">
        <v>46023</v>
      </c>
      <c r="O29" s="13" t="s">
        <v>309</v>
      </c>
      <c r="P29" s="13"/>
      <c r="Q29" s="13"/>
      <c r="R29" s="28">
        <v>9031652410</v>
      </c>
      <c r="S29" s="13" t="str">
        <f>CONCATENATE(R29,2)</f>
        <v>90316524102</v>
      </c>
      <c r="T29" s="13"/>
      <c r="U29" s="10" t="s">
        <v>384</v>
      </c>
      <c r="V29" s="13" t="s">
        <v>370</v>
      </c>
      <c r="W29" t="str">
        <f>CONCATENATE(V29," ",U29)</f>
        <v>Cheryl Richards</v>
      </c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 spans="1:44" x14ac:dyDescent="0.2">
      <c r="A30" s="10" t="s">
        <v>162</v>
      </c>
      <c r="B30" s="13">
        <v>18828278</v>
      </c>
      <c r="C30" s="10" t="s">
        <v>272</v>
      </c>
      <c r="D30" s="28">
        <v>9031659600</v>
      </c>
      <c r="E30" s="11">
        <v>46082</v>
      </c>
      <c r="F30" s="10" t="s">
        <v>49</v>
      </c>
      <c r="G30" s="10" t="s">
        <v>204</v>
      </c>
      <c r="H30" s="10" t="s">
        <v>46</v>
      </c>
      <c r="I30" s="12">
        <v>15</v>
      </c>
      <c r="J30" s="12">
        <v>26.88</v>
      </c>
      <c r="K30" s="12">
        <v>100</v>
      </c>
      <c r="L30" s="12">
        <v>4.03</v>
      </c>
      <c r="M30" s="10" t="s">
        <v>205</v>
      </c>
      <c r="N30" s="11">
        <v>46023</v>
      </c>
      <c r="O30" s="13" t="s">
        <v>309</v>
      </c>
      <c r="P30" s="13"/>
      <c r="Q30" s="13"/>
      <c r="R30" s="28">
        <v>9031659600</v>
      </c>
      <c r="S30" s="13" t="str">
        <f>CONCATENATE(R30,2)</f>
        <v>90316596002</v>
      </c>
      <c r="T30" s="13"/>
      <c r="U30" s="10" t="s">
        <v>385</v>
      </c>
      <c r="V30" s="13" t="s">
        <v>386</v>
      </c>
      <c r="W30" t="str">
        <f>CONCATENATE(V30," ",U30)</f>
        <v>Christina Strupek</v>
      </c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 spans="1:44" x14ac:dyDescent="0.2">
      <c r="A31" s="10" t="s">
        <v>162</v>
      </c>
      <c r="B31" s="13">
        <v>18828278</v>
      </c>
      <c r="C31" s="10" t="s">
        <v>274</v>
      </c>
      <c r="D31" s="28">
        <v>9031695860</v>
      </c>
      <c r="E31" s="11">
        <v>46082</v>
      </c>
      <c r="F31" s="10" t="s">
        <v>49</v>
      </c>
      <c r="G31" s="10" t="s">
        <v>204</v>
      </c>
      <c r="H31" s="10" t="s">
        <v>46</v>
      </c>
      <c r="I31" s="12">
        <v>15</v>
      </c>
      <c r="J31" s="12">
        <v>14.93</v>
      </c>
      <c r="K31" s="12">
        <v>100</v>
      </c>
      <c r="L31" s="12">
        <v>2.2400000000000002</v>
      </c>
      <c r="M31" s="10" t="s">
        <v>205</v>
      </c>
      <c r="N31" s="11">
        <v>46026</v>
      </c>
      <c r="O31" s="13" t="s">
        <v>309</v>
      </c>
      <c r="P31" s="13"/>
      <c r="Q31" s="13"/>
      <c r="R31" s="28">
        <v>9031695860</v>
      </c>
      <c r="S31" s="13" t="str">
        <f>CONCATENATE(R31,2)</f>
        <v>90316958602</v>
      </c>
      <c r="T31" s="13"/>
      <c r="U31" s="10" t="s">
        <v>387</v>
      </c>
      <c r="V31" s="13" t="s">
        <v>388</v>
      </c>
      <c r="W31" t="str">
        <f>CONCATENATE(V31," ",U31)</f>
        <v>Kara Yordy</v>
      </c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 spans="1:44" x14ac:dyDescent="0.2">
      <c r="A32" s="10" t="s">
        <v>162</v>
      </c>
      <c r="B32" s="13">
        <v>18828278</v>
      </c>
      <c r="C32" s="10" t="s">
        <v>276</v>
      </c>
      <c r="D32" s="28">
        <v>9031753770</v>
      </c>
      <c r="E32" s="11">
        <v>46082</v>
      </c>
      <c r="F32" s="10" t="s">
        <v>49</v>
      </c>
      <c r="G32" s="10" t="s">
        <v>204</v>
      </c>
      <c r="H32" s="10" t="s">
        <v>46</v>
      </c>
      <c r="I32" s="12">
        <v>15</v>
      </c>
      <c r="J32" s="12">
        <v>14.93</v>
      </c>
      <c r="K32" s="12">
        <v>100</v>
      </c>
      <c r="L32" s="12">
        <v>2.2400000000000002</v>
      </c>
      <c r="M32" s="10" t="s">
        <v>205</v>
      </c>
      <c r="N32" s="11">
        <v>46054</v>
      </c>
      <c r="O32" s="13" t="s">
        <v>309</v>
      </c>
      <c r="P32" s="13"/>
      <c r="Q32" s="13"/>
      <c r="R32" s="28">
        <v>9031753770</v>
      </c>
      <c r="S32" s="13" t="str">
        <f>CONCATENATE(R32,2)</f>
        <v>90317537702</v>
      </c>
      <c r="T32" s="13"/>
      <c r="U32" s="10" t="s">
        <v>389</v>
      </c>
      <c r="V32" s="13" t="s">
        <v>390</v>
      </c>
      <c r="W32" t="str">
        <f>CONCATENATE(V32," ",U32)</f>
        <v>Elizabeth Merrick</v>
      </c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spans="1:44" x14ac:dyDescent="0.2">
      <c r="A33" s="10" t="s">
        <v>162</v>
      </c>
      <c r="B33" s="13">
        <v>18828278</v>
      </c>
      <c r="C33" s="10" t="s">
        <v>278</v>
      </c>
      <c r="D33" s="28">
        <v>9031832650</v>
      </c>
      <c r="E33" s="11">
        <v>46082</v>
      </c>
      <c r="F33" s="10" t="s">
        <v>49</v>
      </c>
      <c r="G33" s="10" t="s">
        <v>204</v>
      </c>
      <c r="H33" s="10" t="s">
        <v>46</v>
      </c>
      <c r="I33" s="12">
        <v>15</v>
      </c>
      <c r="J33" s="12">
        <v>26.88</v>
      </c>
      <c r="K33" s="12">
        <v>100</v>
      </c>
      <c r="L33" s="12">
        <v>4.03</v>
      </c>
      <c r="M33" s="10" t="s">
        <v>205</v>
      </c>
      <c r="N33" s="11">
        <v>46054</v>
      </c>
      <c r="O33" s="13" t="s">
        <v>309</v>
      </c>
      <c r="P33" s="13"/>
      <c r="Q33" s="13"/>
      <c r="R33" s="28">
        <v>9031832650</v>
      </c>
      <c r="S33" s="13" t="str">
        <f>CONCATENATE(R33,2)</f>
        <v>90318326502</v>
      </c>
      <c r="T33" s="13"/>
      <c r="U33" s="10" t="s">
        <v>391</v>
      </c>
      <c r="V33" s="13" t="s">
        <v>392</v>
      </c>
      <c r="W33" t="str">
        <f>CONCATENATE(V33," ",U33)</f>
        <v>Lucas Rogers</v>
      </c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 spans="1:44" x14ac:dyDescent="0.2">
      <c r="A34" s="10" t="s">
        <v>162</v>
      </c>
      <c r="B34" s="13">
        <v>18828278</v>
      </c>
      <c r="C34" s="10" t="s">
        <v>280</v>
      </c>
      <c r="D34" s="28">
        <v>9031841780</v>
      </c>
      <c r="E34" s="11">
        <v>46082</v>
      </c>
      <c r="F34" s="10" t="s">
        <v>49</v>
      </c>
      <c r="G34" s="10" t="s">
        <v>204</v>
      </c>
      <c r="H34" s="10" t="s">
        <v>46</v>
      </c>
      <c r="I34" s="12">
        <v>15</v>
      </c>
      <c r="J34" s="12">
        <v>14.93</v>
      </c>
      <c r="K34" s="12">
        <v>100</v>
      </c>
      <c r="L34" s="12">
        <v>2.2400000000000002</v>
      </c>
      <c r="M34" s="10" t="s">
        <v>205</v>
      </c>
      <c r="N34" s="11">
        <v>46054</v>
      </c>
      <c r="O34" s="13" t="s">
        <v>309</v>
      </c>
      <c r="P34" s="13"/>
      <c r="Q34" s="13"/>
      <c r="R34" s="28">
        <v>9031841780</v>
      </c>
      <c r="S34" s="13" t="str">
        <f>CONCATENATE(R34,2)</f>
        <v>90318417802</v>
      </c>
      <c r="T34" s="13"/>
      <c r="U34" s="10" t="s">
        <v>393</v>
      </c>
      <c r="V34" s="13" t="s">
        <v>394</v>
      </c>
      <c r="W34" t="str">
        <f>CONCATENATE(V34," ",U34)</f>
        <v>Connor Reis</v>
      </c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 spans="1:44" x14ac:dyDescent="0.2">
      <c r="A35" s="10" t="s">
        <v>162</v>
      </c>
      <c r="B35" s="13">
        <v>18828278</v>
      </c>
      <c r="C35" s="10" t="s">
        <v>282</v>
      </c>
      <c r="D35" s="28">
        <v>9032000940</v>
      </c>
      <c r="E35" s="11">
        <v>46082</v>
      </c>
      <c r="F35" s="10" t="s">
        <v>49</v>
      </c>
      <c r="G35" s="10" t="s">
        <v>204</v>
      </c>
      <c r="H35" s="10" t="s">
        <v>46</v>
      </c>
      <c r="I35" s="12">
        <v>15</v>
      </c>
      <c r="J35" s="12">
        <v>248.27</v>
      </c>
      <c r="K35" s="12">
        <v>100</v>
      </c>
      <c r="L35" s="12">
        <v>37.24</v>
      </c>
      <c r="M35" s="10" t="s">
        <v>205</v>
      </c>
      <c r="N35" s="11">
        <v>46082</v>
      </c>
      <c r="O35" s="13" t="s">
        <v>309</v>
      </c>
      <c r="P35" s="13"/>
      <c r="Q35" s="13"/>
      <c r="R35" s="28">
        <v>9032000940</v>
      </c>
      <c r="S35" s="13" t="str">
        <f>CONCATENATE(R35,2)</f>
        <v>90320009402</v>
      </c>
      <c r="T35" s="13"/>
      <c r="U35" s="10" t="s">
        <v>395</v>
      </c>
      <c r="V35" s="13" t="s">
        <v>396</v>
      </c>
      <c r="W35" t="str">
        <f>CONCATENATE(V35," ",U35)</f>
        <v>Mary Terrell</v>
      </c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  <row r="36" spans="1:44" x14ac:dyDescent="0.2">
      <c r="A36" s="14" t="s">
        <v>162</v>
      </c>
      <c r="B36" s="17">
        <v>18828278</v>
      </c>
      <c r="C36" s="14" t="s">
        <v>163</v>
      </c>
      <c r="D36" s="14" t="s">
        <v>164</v>
      </c>
      <c r="E36" s="15">
        <v>46023</v>
      </c>
      <c r="F36" s="14" t="s">
        <v>65</v>
      </c>
      <c r="G36" s="14" t="s">
        <v>51</v>
      </c>
      <c r="H36" s="14" t="s">
        <v>114</v>
      </c>
      <c r="I36" s="16">
        <v>0</v>
      </c>
      <c r="J36" s="16">
        <v>57</v>
      </c>
      <c r="K36" s="16">
        <v>100</v>
      </c>
      <c r="L36" s="16">
        <v>57</v>
      </c>
      <c r="M36" s="14" t="s">
        <v>73</v>
      </c>
      <c r="N36" s="15">
        <v>46023</v>
      </c>
      <c r="O36" s="17" t="s">
        <v>310</v>
      </c>
      <c r="P36" s="17"/>
      <c r="Q36" s="17"/>
      <c r="R36" s="14" t="s">
        <v>164</v>
      </c>
      <c r="S36" s="17" t="str">
        <f>CONCATENATE(R36,9)</f>
        <v>00024395235K9</v>
      </c>
      <c r="T36" s="17"/>
      <c r="U36" s="14" t="s">
        <v>460</v>
      </c>
      <c r="V36" s="17" t="s">
        <v>461</v>
      </c>
      <c r="W36" t="str">
        <f>CONCATENATE(V36," ",U36)</f>
        <v>CHERYL WALLS</v>
      </c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</row>
    <row r="37" spans="1:44" x14ac:dyDescent="0.2">
      <c r="A37" s="14" t="s">
        <v>162</v>
      </c>
      <c r="B37" s="17">
        <v>18828278</v>
      </c>
      <c r="C37" s="14" t="s">
        <v>166</v>
      </c>
      <c r="D37" s="14" t="s">
        <v>167</v>
      </c>
      <c r="E37" s="15">
        <v>46023</v>
      </c>
      <c r="F37" s="14" t="s">
        <v>65</v>
      </c>
      <c r="G37" s="14" t="s">
        <v>51</v>
      </c>
      <c r="H37" s="14" t="s">
        <v>114</v>
      </c>
      <c r="I37" s="16">
        <v>0</v>
      </c>
      <c r="J37" s="16">
        <v>57</v>
      </c>
      <c r="K37" s="16">
        <v>100</v>
      </c>
      <c r="L37" s="16">
        <v>57</v>
      </c>
      <c r="M37" s="14" t="s">
        <v>73</v>
      </c>
      <c r="N37" s="15">
        <v>46023</v>
      </c>
      <c r="O37" s="17" t="s">
        <v>310</v>
      </c>
      <c r="P37" s="17"/>
      <c r="Q37" s="17"/>
      <c r="R37" s="14" t="s">
        <v>167</v>
      </c>
      <c r="S37" s="17" t="str">
        <f>CONCATENATE(R37,9)</f>
        <v>00024658056K9</v>
      </c>
      <c r="T37" s="17"/>
      <c r="U37" s="14" t="s">
        <v>462</v>
      </c>
      <c r="V37" s="17" t="s">
        <v>463</v>
      </c>
      <c r="W37" t="str">
        <f>CONCATENATE(V37," ",U37)</f>
        <v>BARBARA FOWLER</v>
      </c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</row>
    <row r="38" spans="1:44" x14ac:dyDescent="0.2">
      <c r="A38" s="4" t="s">
        <v>124</v>
      </c>
      <c r="B38">
        <v>16865615</v>
      </c>
      <c r="C38" s="4" t="s">
        <v>125</v>
      </c>
      <c r="D38" s="4" t="s">
        <v>126</v>
      </c>
      <c r="E38" s="3">
        <v>46082</v>
      </c>
      <c r="F38" s="4" t="s">
        <v>49</v>
      </c>
      <c r="G38" s="4" t="s">
        <v>51</v>
      </c>
      <c r="H38" s="4" t="s">
        <v>60</v>
      </c>
      <c r="I38" s="5">
        <v>0.83</v>
      </c>
      <c r="J38" s="5">
        <v>1</v>
      </c>
      <c r="K38" s="5">
        <v>100</v>
      </c>
      <c r="L38" s="5">
        <v>289.17</v>
      </c>
      <c r="M38" s="4" t="s">
        <v>53</v>
      </c>
      <c r="N38" s="3">
        <v>46082</v>
      </c>
      <c r="O38" t="s">
        <v>311</v>
      </c>
      <c r="P38" s="26" t="s">
        <v>316</v>
      </c>
      <c r="R38" s="4" t="s">
        <v>126</v>
      </c>
      <c r="S38" s="32" t="str">
        <f>CONCATENATE(R38,66)</f>
        <v>00017885326K66</v>
      </c>
      <c r="U38" s="4" t="s">
        <v>444</v>
      </c>
      <c r="V38" t="s">
        <v>445</v>
      </c>
      <c r="W38" t="str">
        <f>CONCATENATE(V38," ",U38)</f>
        <v>CRAIG DEAN</v>
      </c>
    </row>
    <row r="39" spans="1:44" x14ac:dyDescent="0.2">
      <c r="A39" s="4" t="s">
        <v>120</v>
      </c>
      <c r="B39">
        <v>16849453</v>
      </c>
      <c r="C39" s="4" t="s">
        <v>121</v>
      </c>
      <c r="D39" s="4" t="s">
        <v>122</v>
      </c>
      <c r="E39" s="3">
        <v>46082</v>
      </c>
      <c r="F39" s="4" t="s">
        <v>49</v>
      </c>
      <c r="G39" s="4" t="s">
        <v>51</v>
      </c>
      <c r="H39" s="4" t="s">
        <v>52</v>
      </c>
      <c r="I39" s="5">
        <v>0.83</v>
      </c>
      <c r="J39" s="5">
        <v>1</v>
      </c>
      <c r="K39" s="5">
        <v>100</v>
      </c>
      <c r="L39" s="5">
        <v>289.17</v>
      </c>
      <c r="M39" s="4" t="s">
        <v>53</v>
      </c>
      <c r="N39" s="3">
        <v>46082</v>
      </c>
      <c r="O39" t="s">
        <v>311</v>
      </c>
      <c r="P39" s="26" t="s">
        <v>316</v>
      </c>
      <c r="R39" s="4" t="s">
        <v>122</v>
      </c>
      <c r="S39" s="32" t="str">
        <f>CONCATENATE(R39,66)</f>
        <v>00009929683K66</v>
      </c>
      <c r="U39" s="4" t="s">
        <v>428</v>
      </c>
      <c r="V39" t="s">
        <v>429</v>
      </c>
      <c r="W39" t="str">
        <f>CONCATENATE(V39," ",U39)</f>
        <v>LAURA HAMILTON</v>
      </c>
    </row>
    <row r="40" spans="1:44" x14ac:dyDescent="0.2">
      <c r="A40" s="4" t="s">
        <v>129</v>
      </c>
      <c r="B40">
        <v>17301495</v>
      </c>
      <c r="C40" s="4" t="s">
        <v>130</v>
      </c>
      <c r="D40" s="4" t="s">
        <v>131</v>
      </c>
      <c r="E40" s="3">
        <v>46082</v>
      </c>
      <c r="F40" s="4" t="s">
        <v>49</v>
      </c>
      <c r="G40" s="4" t="s">
        <v>51</v>
      </c>
      <c r="H40" s="4" t="s">
        <v>52</v>
      </c>
      <c r="I40" s="5">
        <v>0.83</v>
      </c>
      <c r="J40" s="5">
        <v>1</v>
      </c>
      <c r="K40" s="5">
        <v>100</v>
      </c>
      <c r="L40" s="5">
        <v>289.17</v>
      </c>
      <c r="M40" s="4" t="s">
        <v>53</v>
      </c>
      <c r="N40" s="3">
        <v>46082</v>
      </c>
      <c r="O40" t="s">
        <v>311</v>
      </c>
      <c r="P40" s="26" t="s">
        <v>316</v>
      </c>
      <c r="R40" s="4" t="s">
        <v>131</v>
      </c>
      <c r="S40" s="32" t="str">
        <f>CONCATENATE(R40,66)</f>
        <v>00026156712K66</v>
      </c>
      <c r="U40" s="4" t="s">
        <v>430</v>
      </c>
      <c r="V40" t="s">
        <v>431</v>
      </c>
      <c r="W40" t="str">
        <f>CONCATENATE(V40," ",U40)</f>
        <v>NOEMI HERRERA</v>
      </c>
    </row>
    <row r="41" spans="1:44" x14ac:dyDescent="0.2">
      <c r="A41" s="4" t="s">
        <v>94</v>
      </c>
      <c r="B41">
        <v>7146581</v>
      </c>
      <c r="C41" s="4" t="s">
        <v>98</v>
      </c>
      <c r="D41" s="4" t="s">
        <v>99</v>
      </c>
      <c r="E41" s="3">
        <v>46143</v>
      </c>
      <c r="F41" s="4" t="s">
        <v>101</v>
      </c>
      <c r="G41" s="4" t="s">
        <v>51</v>
      </c>
      <c r="H41" s="4" t="s">
        <v>52</v>
      </c>
      <c r="I41" s="5">
        <v>0.67</v>
      </c>
      <c r="J41" s="5">
        <v>1</v>
      </c>
      <c r="K41" s="5">
        <v>100</v>
      </c>
      <c r="L41" s="5">
        <v>231.33</v>
      </c>
      <c r="M41" s="4" t="s">
        <v>53</v>
      </c>
      <c r="N41" s="3">
        <v>46143</v>
      </c>
      <c r="O41" t="s">
        <v>311</v>
      </c>
      <c r="P41" s="26" t="s">
        <v>320</v>
      </c>
      <c r="R41" s="4" t="s">
        <v>99</v>
      </c>
      <c r="S41" s="32" t="str">
        <f>CONCATENATE(R41,66)</f>
        <v>00026140077K66</v>
      </c>
      <c r="U41" s="4" t="s">
        <v>410</v>
      </c>
      <c r="V41" t="s">
        <v>411</v>
      </c>
      <c r="W41" t="str">
        <f>CONCATENATE(V41," ",U41)</f>
        <v>KIMBERLY BAIE</v>
      </c>
    </row>
    <row r="42" spans="1:44" x14ac:dyDescent="0.2">
      <c r="A42" s="4" t="s">
        <v>94</v>
      </c>
      <c r="B42">
        <v>7146581</v>
      </c>
      <c r="C42" s="4" t="s">
        <v>105</v>
      </c>
      <c r="D42" s="4" t="s">
        <v>106</v>
      </c>
      <c r="E42" s="3">
        <v>46113</v>
      </c>
      <c r="F42" s="4" t="s">
        <v>108</v>
      </c>
      <c r="G42" s="4" t="s">
        <v>51</v>
      </c>
      <c r="H42" s="4" t="s">
        <v>60</v>
      </c>
      <c r="I42" s="5">
        <v>0.75</v>
      </c>
      <c r="J42" s="5">
        <v>1</v>
      </c>
      <c r="K42" s="5">
        <v>100</v>
      </c>
      <c r="L42" s="5">
        <v>260.25</v>
      </c>
      <c r="M42" s="4" t="s">
        <v>53</v>
      </c>
      <c r="N42" s="3">
        <v>46113</v>
      </c>
      <c r="O42" t="s">
        <v>311</v>
      </c>
      <c r="P42" s="26" t="s">
        <v>319</v>
      </c>
      <c r="R42" s="4" t="s">
        <v>106</v>
      </c>
      <c r="S42" s="32" t="str">
        <f>CONCATENATE(R42,66)</f>
        <v>00026161367K66</v>
      </c>
      <c r="U42" s="4" t="s">
        <v>414</v>
      </c>
      <c r="V42" t="s">
        <v>415</v>
      </c>
      <c r="W42" t="str">
        <f>CONCATENATE(V42," ",U42)</f>
        <v>ANNA SCHEID</v>
      </c>
    </row>
    <row r="43" spans="1:44" x14ac:dyDescent="0.2">
      <c r="A43" s="4" t="s">
        <v>94</v>
      </c>
      <c r="B43">
        <v>7146581</v>
      </c>
      <c r="C43" s="4" t="s">
        <v>95</v>
      </c>
      <c r="D43" s="4" t="s">
        <v>96</v>
      </c>
      <c r="E43" s="3">
        <v>46082</v>
      </c>
      <c r="F43" s="4" t="s">
        <v>49</v>
      </c>
      <c r="G43" s="4" t="s">
        <v>51</v>
      </c>
      <c r="H43" s="4" t="s">
        <v>52</v>
      </c>
      <c r="I43" s="5">
        <v>0.83</v>
      </c>
      <c r="J43" s="5">
        <v>1</v>
      </c>
      <c r="K43" s="5">
        <v>100</v>
      </c>
      <c r="L43" s="5">
        <v>289.17</v>
      </c>
      <c r="M43" s="4" t="s">
        <v>53</v>
      </c>
      <c r="N43" s="3">
        <v>46082</v>
      </c>
      <c r="O43" t="s">
        <v>311</v>
      </c>
      <c r="P43" s="26" t="s">
        <v>316</v>
      </c>
      <c r="R43" s="4" t="s">
        <v>96</v>
      </c>
      <c r="S43" s="32" t="str">
        <f>CONCATENATE(R43,66)</f>
        <v>00026139628K66</v>
      </c>
      <c r="U43" s="4" t="s">
        <v>410</v>
      </c>
      <c r="V43" t="s">
        <v>413</v>
      </c>
      <c r="W43" t="str">
        <f>CONCATENATE(V43," ",U43)</f>
        <v>GARY BAIE</v>
      </c>
    </row>
    <row r="44" spans="1:44" x14ac:dyDescent="0.2">
      <c r="A44" s="4" t="s">
        <v>94</v>
      </c>
      <c r="B44">
        <v>7146581</v>
      </c>
      <c r="C44" s="4" t="s">
        <v>102</v>
      </c>
      <c r="D44" s="4" t="s">
        <v>103</v>
      </c>
      <c r="E44" s="3">
        <v>46082</v>
      </c>
      <c r="F44" s="4" t="s">
        <v>49</v>
      </c>
      <c r="G44" s="4" t="s">
        <v>51</v>
      </c>
      <c r="H44" s="4" t="s">
        <v>52</v>
      </c>
      <c r="I44" s="5">
        <v>0.83</v>
      </c>
      <c r="J44" s="5">
        <v>1</v>
      </c>
      <c r="K44" s="5">
        <v>100</v>
      </c>
      <c r="L44" s="5">
        <v>289.17</v>
      </c>
      <c r="M44" s="4" t="s">
        <v>53</v>
      </c>
      <c r="N44" s="3">
        <v>46082</v>
      </c>
      <c r="O44" t="s">
        <v>311</v>
      </c>
      <c r="P44" s="26" t="s">
        <v>316</v>
      </c>
      <c r="R44" s="4" t="s">
        <v>103</v>
      </c>
      <c r="S44" s="32" t="str">
        <f>CONCATENATE(R44,66)</f>
        <v>00026154969K66</v>
      </c>
      <c r="U44" s="4" t="s">
        <v>426</v>
      </c>
      <c r="V44" t="s">
        <v>427</v>
      </c>
      <c r="W44" t="str">
        <f>CONCATENATE(V44," ",U44)</f>
        <v>DONG KIM</v>
      </c>
    </row>
    <row r="45" spans="1:44" x14ac:dyDescent="0.2">
      <c r="A45" s="18" t="s">
        <v>217</v>
      </c>
      <c r="B45" s="21">
        <v>17528908</v>
      </c>
      <c r="C45" s="18" t="s">
        <v>223</v>
      </c>
      <c r="D45" s="18" t="s">
        <v>224</v>
      </c>
      <c r="E45" s="19">
        <v>46082</v>
      </c>
      <c r="F45" s="18" t="s">
        <v>49</v>
      </c>
      <c r="G45" s="18" t="s">
        <v>51</v>
      </c>
      <c r="H45" s="18" t="s">
        <v>46</v>
      </c>
      <c r="I45" s="20">
        <v>22</v>
      </c>
      <c r="J45" s="20">
        <v>110.73</v>
      </c>
      <c r="K45" s="20">
        <v>100</v>
      </c>
      <c r="L45" s="20">
        <v>24.36</v>
      </c>
      <c r="M45" s="18" t="s">
        <v>221</v>
      </c>
      <c r="N45" s="19">
        <v>45444</v>
      </c>
      <c r="O45" s="21" t="s">
        <v>304</v>
      </c>
      <c r="P45" s="21"/>
      <c r="Q45" s="21"/>
      <c r="R45" s="18" t="s">
        <v>224</v>
      </c>
      <c r="S45" s="21" t="str">
        <f>CONCATENATE(R45,8)</f>
        <v>00000828881A8</v>
      </c>
      <c r="T45" s="21"/>
      <c r="U45" s="18" t="s">
        <v>327</v>
      </c>
      <c r="V45" s="21" t="s">
        <v>328</v>
      </c>
      <c r="W45" t="str">
        <f>CONCATENATE(V45," ",U45)</f>
        <v>KAREN CARDOSI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</row>
    <row r="46" spans="1:44" x14ac:dyDescent="0.2">
      <c r="A46" s="18" t="s">
        <v>217</v>
      </c>
      <c r="B46" s="21">
        <v>17528908</v>
      </c>
      <c r="C46" s="18" t="s">
        <v>225</v>
      </c>
      <c r="D46" s="18" t="s">
        <v>226</v>
      </c>
      <c r="E46" s="19">
        <v>46082</v>
      </c>
      <c r="F46" s="18" t="s">
        <v>49</v>
      </c>
      <c r="G46" s="18" t="s">
        <v>51</v>
      </c>
      <c r="H46" s="18" t="s">
        <v>46</v>
      </c>
      <c r="I46" s="20">
        <v>22</v>
      </c>
      <c r="J46" s="20">
        <v>138.55000000000001</v>
      </c>
      <c r="K46" s="20">
        <v>100</v>
      </c>
      <c r="L46" s="20">
        <v>30.48</v>
      </c>
      <c r="M46" s="18" t="s">
        <v>221</v>
      </c>
      <c r="N46" s="19">
        <v>45566</v>
      </c>
      <c r="O46" s="21" t="s">
        <v>304</v>
      </c>
      <c r="P46" s="21"/>
      <c r="Q46" s="21"/>
      <c r="R46" s="18" t="s">
        <v>226</v>
      </c>
      <c r="S46" s="21" t="str">
        <f>CONCATENATE(R46,8)</f>
        <v>00000871454A8</v>
      </c>
      <c r="T46" s="21"/>
      <c r="U46" s="18" t="s">
        <v>329</v>
      </c>
      <c r="V46" s="21" t="s">
        <v>330</v>
      </c>
      <c r="W46" t="str">
        <f>CONCATENATE(V46," ",U46)</f>
        <v>TIMMY BRACE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</row>
    <row r="47" spans="1:44" x14ac:dyDescent="0.2">
      <c r="A47" s="18" t="s">
        <v>217</v>
      </c>
      <c r="B47" s="21">
        <v>17528908</v>
      </c>
      <c r="C47" s="18" t="s">
        <v>218</v>
      </c>
      <c r="D47" s="18" t="s">
        <v>219</v>
      </c>
      <c r="E47" s="19">
        <v>46082</v>
      </c>
      <c r="F47" s="18" t="s">
        <v>49</v>
      </c>
      <c r="G47" s="18" t="s">
        <v>51</v>
      </c>
      <c r="H47" s="18" t="s">
        <v>46</v>
      </c>
      <c r="I47" s="20">
        <v>26</v>
      </c>
      <c r="J47" s="20">
        <v>307</v>
      </c>
      <c r="K47" s="20">
        <v>100</v>
      </c>
      <c r="L47" s="20">
        <v>79.819999999999993</v>
      </c>
      <c r="M47" s="18" t="s">
        <v>221</v>
      </c>
      <c r="N47" s="19">
        <v>45292</v>
      </c>
      <c r="O47" s="21" t="s">
        <v>305</v>
      </c>
      <c r="P47" s="21"/>
      <c r="Q47" s="21"/>
      <c r="R47" s="18" t="s">
        <v>219</v>
      </c>
      <c r="S47" s="21" t="str">
        <f>CONCATENATE(R47,8)</f>
        <v>00000789641A8</v>
      </c>
      <c r="T47" s="21"/>
      <c r="U47" s="18" t="s">
        <v>333</v>
      </c>
      <c r="V47" s="21" t="s">
        <v>334</v>
      </c>
      <c r="W47" t="str">
        <f>CONCATENATE(V47," ",U47)</f>
        <v>DAVID SCHUBERT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</row>
    <row r="48" spans="1:44" s="32" customFormat="1" x14ac:dyDescent="0.2">
      <c r="A48" s="18" t="s">
        <v>287</v>
      </c>
      <c r="B48" s="34" t="s">
        <v>464</v>
      </c>
      <c r="C48" s="18" t="s">
        <v>288</v>
      </c>
      <c r="D48" s="18" t="s">
        <v>289</v>
      </c>
      <c r="E48" s="19">
        <v>46054</v>
      </c>
      <c r="F48" s="18" t="s">
        <v>90</v>
      </c>
      <c r="G48" s="18" t="s">
        <v>51</v>
      </c>
      <c r="H48" s="18" t="s">
        <v>46</v>
      </c>
      <c r="I48" s="20">
        <v>22</v>
      </c>
      <c r="J48" s="20">
        <v>186.54</v>
      </c>
      <c r="K48" s="20">
        <v>100</v>
      </c>
      <c r="L48" s="20">
        <v>41.04</v>
      </c>
      <c r="M48" s="18" t="s">
        <v>221</v>
      </c>
      <c r="N48" s="19">
        <v>45658</v>
      </c>
      <c r="O48" s="21" t="s">
        <v>304</v>
      </c>
      <c r="P48" s="21"/>
      <c r="Q48" s="21"/>
      <c r="R48" s="18" t="s">
        <v>289</v>
      </c>
      <c r="S48" s="21" t="str">
        <f>CONCATENATE(R48,8)</f>
        <v>00000926201A8</v>
      </c>
      <c r="T48" s="21"/>
      <c r="U48" s="18" t="s">
        <v>331</v>
      </c>
      <c r="V48" s="21" t="s">
        <v>332</v>
      </c>
      <c r="W48" t="str">
        <f>CONCATENATE(V48," ",U48)</f>
        <v>CHARLENE ROSE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</row>
    <row r="49" spans="1:44" x14ac:dyDescent="0.2">
      <c r="A49" s="10" t="s">
        <v>287</v>
      </c>
      <c r="B49" s="13" t="s">
        <v>464</v>
      </c>
      <c r="C49" s="10" t="s">
        <v>292</v>
      </c>
      <c r="D49" s="28">
        <v>9030115330</v>
      </c>
      <c r="E49" s="11">
        <v>46082</v>
      </c>
      <c r="F49" s="10" t="s">
        <v>49</v>
      </c>
      <c r="G49" s="10" t="s">
        <v>204</v>
      </c>
      <c r="H49" s="10" t="s">
        <v>46</v>
      </c>
      <c r="I49" s="12">
        <v>10</v>
      </c>
      <c r="J49" s="12">
        <v>23.99</v>
      </c>
      <c r="K49" s="12">
        <v>100</v>
      </c>
      <c r="L49" s="12">
        <v>2.4</v>
      </c>
      <c r="M49" s="10" t="s">
        <v>205</v>
      </c>
      <c r="N49" s="11">
        <v>45713</v>
      </c>
      <c r="O49" s="13" t="s">
        <v>308</v>
      </c>
      <c r="P49" s="13"/>
      <c r="Q49" s="13"/>
      <c r="R49" s="28">
        <v>9030115330</v>
      </c>
      <c r="S49" s="13" t="str">
        <f>CONCATENATE(R49,4)</f>
        <v>90301153304</v>
      </c>
      <c r="T49" s="13"/>
      <c r="U49" s="10" t="s">
        <v>374</v>
      </c>
      <c r="V49" s="13" t="s">
        <v>375</v>
      </c>
      <c r="W49" t="str">
        <f>CONCATENATE(V49," ",U49)</f>
        <v>Jon Rudden</v>
      </c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s="17" customFormat="1" x14ac:dyDescent="0.2">
      <c r="A50" s="18" t="s">
        <v>287</v>
      </c>
      <c r="B50" s="21" t="s">
        <v>464</v>
      </c>
      <c r="C50" s="18" t="s">
        <v>290</v>
      </c>
      <c r="D50" s="18" t="s">
        <v>291</v>
      </c>
      <c r="E50" s="19">
        <v>46082</v>
      </c>
      <c r="F50" s="18" t="s">
        <v>49</v>
      </c>
      <c r="G50" s="18" t="s">
        <v>51</v>
      </c>
      <c r="H50" s="18" t="s">
        <v>46</v>
      </c>
      <c r="I50" s="20">
        <v>1</v>
      </c>
      <c r="J50" s="20">
        <v>124.54</v>
      </c>
      <c r="K50" s="20">
        <v>100</v>
      </c>
      <c r="L50" s="20">
        <v>1.25</v>
      </c>
      <c r="M50" s="18" t="s">
        <v>221</v>
      </c>
      <c r="N50" s="19">
        <v>45658</v>
      </c>
      <c r="O50" s="21" t="s">
        <v>302</v>
      </c>
      <c r="P50" s="21"/>
      <c r="Q50" s="21"/>
      <c r="R50" s="18" t="s">
        <v>291</v>
      </c>
      <c r="S50" s="21" t="str">
        <f>CONCATENATE(R50,8)</f>
        <v>00000941582A8</v>
      </c>
      <c r="T50" s="21"/>
      <c r="U50" s="18" t="s">
        <v>454</v>
      </c>
      <c r="V50" s="21" t="s">
        <v>455</v>
      </c>
      <c r="W50" t="str">
        <f>CONCATENATE(V50," ",U50)</f>
        <v>ROBERT BALTZERSEN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</row>
    <row r="51" spans="1:44" s="17" customFormat="1" x14ac:dyDescent="0.2">
      <c r="A51" s="22" t="s">
        <v>56</v>
      </c>
      <c r="B51" s="25">
        <v>8814784</v>
      </c>
      <c r="C51" s="22" t="s">
        <v>69</v>
      </c>
      <c r="D51" s="22" t="s">
        <v>70</v>
      </c>
      <c r="E51" s="23">
        <v>45992</v>
      </c>
      <c r="F51" s="22" t="s">
        <v>72</v>
      </c>
      <c r="G51" s="22" t="s">
        <v>51</v>
      </c>
      <c r="H51" s="22" t="s">
        <v>52</v>
      </c>
      <c r="I51" s="24">
        <v>0</v>
      </c>
      <c r="J51" s="24">
        <v>-1</v>
      </c>
      <c r="K51" s="24">
        <v>100</v>
      </c>
      <c r="L51" s="24">
        <v>-626</v>
      </c>
      <c r="M51" s="22" t="s">
        <v>73</v>
      </c>
      <c r="N51" s="23">
        <v>45992</v>
      </c>
      <c r="O51" s="25" t="s">
        <v>313</v>
      </c>
      <c r="P51" s="24" t="s">
        <v>312</v>
      </c>
      <c r="Q51" s="25"/>
      <c r="R51" s="22" t="s">
        <v>70</v>
      </c>
      <c r="S51" s="24" t="str">
        <f>CONCATENATE(R51,7)</f>
        <v>00024524991K7</v>
      </c>
      <c r="T51" s="25"/>
      <c r="U51" s="22" t="s">
        <v>325</v>
      </c>
      <c r="V51" s="25" t="s">
        <v>326</v>
      </c>
      <c r="W51" t="str">
        <f>CONCATENATE(V51," ",U51)</f>
        <v>JEFFERY BABCOCK</v>
      </c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</row>
    <row r="52" spans="1:44" s="17" customFormat="1" x14ac:dyDescent="0.2">
      <c r="A52" s="4" t="s">
        <v>56</v>
      </c>
      <c r="B52">
        <v>8814784</v>
      </c>
      <c r="C52" s="4" t="s">
        <v>62</v>
      </c>
      <c r="D52" s="4" t="s">
        <v>63</v>
      </c>
      <c r="E52" s="3">
        <v>46023</v>
      </c>
      <c r="F52" s="4" t="s">
        <v>65</v>
      </c>
      <c r="G52" s="4" t="s">
        <v>51</v>
      </c>
      <c r="H52" s="4" t="s">
        <v>52</v>
      </c>
      <c r="I52" s="5">
        <v>-0.83</v>
      </c>
      <c r="J52" s="5">
        <v>-1</v>
      </c>
      <c r="K52" s="5">
        <v>100</v>
      </c>
      <c r="L52" s="5">
        <v>-289.17</v>
      </c>
      <c r="M52" s="4" t="s">
        <v>53</v>
      </c>
      <c r="N52" s="3">
        <v>46023</v>
      </c>
      <c r="O52" t="s">
        <v>311</v>
      </c>
      <c r="P52" s="26" t="s">
        <v>316</v>
      </c>
      <c r="Q52"/>
      <c r="R52" s="4" t="s">
        <v>63</v>
      </c>
      <c r="S52" s="32" t="str">
        <f>CONCATENATE(R52,66)</f>
        <v>00023897000K66</v>
      </c>
      <c r="T52"/>
      <c r="U52" s="4" t="s">
        <v>403</v>
      </c>
      <c r="V52" t="s">
        <v>404</v>
      </c>
      <c r="W52" t="str">
        <f>CONCATENATE(V52," ",U52)</f>
        <v>HARIKLIA HALKIAS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s="9" customFormat="1" x14ac:dyDescent="0.2">
      <c r="A53" s="4" t="s">
        <v>56</v>
      </c>
      <c r="B53">
        <v>8814784</v>
      </c>
      <c r="C53" s="4" t="s">
        <v>66</v>
      </c>
      <c r="D53" s="4" t="s">
        <v>67</v>
      </c>
      <c r="E53" s="3">
        <v>46023</v>
      </c>
      <c r="F53" s="4" t="s">
        <v>65</v>
      </c>
      <c r="G53" s="4" t="s">
        <v>51</v>
      </c>
      <c r="H53" s="4" t="s">
        <v>52</v>
      </c>
      <c r="I53" s="5">
        <v>-0.83</v>
      </c>
      <c r="J53" s="5">
        <v>-1</v>
      </c>
      <c r="K53" s="5">
        <v>100</v>
      </c>
      <c r="L53" s="5">
        <v>-289.17</v>
      </c>
      <c r="M53" s="4" t="s">
        <v>53</v>
      </c>
      <c r="N53" s="3">
        <v>46023</v>
      </c>
      <c r="O53" t="s">
        <v>311</v>
      </c>
      <c r="P53" s="26" t="s">
        <v>316</v>
      </c>
      <c r="Q53"/>
      <c r="R53" s="4" t="s">
        <v>67</v>
      </c>
      <c r="S53" s="32" t="str">
        <f>CONCATENATE(R53,66)</f>
        <v>00023927672K66</v>
      </c>
      <c r="T53"/>
      <c r="U53" s="4" t="s">
        <v>403</v>
      </c>
      <c r="V53" t="s">
        <v>405</v>
      </c>
      <c r="W53" t="str">
        <f>CONCATENATE(V53," ",U53)</f>
        <v>ATHANASIOS HALKIAS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s="9" customFormat="1" x14ac:dyDescent="0.2">
      <c r="A54" s="4" t="s">
        <v>56</v>
      </c>
      <c r="B54">
        <v>8814784</v>
      </c>
      <c r="C54" s="4" t="s">
        <v>76</v>
      </c>
      <c r="D54" s="4" t="s">
        <v>77</v>
      </c>
      <c r="E54" s="3">
        <v>46082</v>
      </c>
      <c r="F54" s="4" t="s">
        <v>49</v>
      </c>
      <c r="G54" s="4" t="s">
        <v>51</v>
      </c>
      <c r="H54" s="4" t="s">
        <v>52</v>
      </c>
      <c r="I54" s="5">
        <v>0.83</v>
      </c>
      <c r="J54" s="5">
        <v>1</v>
      </c>
      <c r="K54" s="5">
        <v>100</v>
      </c>
      <c r="L54" s="5">
        <v>289.17</v>
      </c>
      <c r="M54" s="4" t="s">
        <v>53</v>
      </c>
      <c r="N54" s="3">
        <v>46082</v>
      </c>
      <c r="O54" t="s">
        <v>311</v>
      </c>
      <c r="P54" s="26" t="s">
        <v>316</v>
      </c>
      <c r="Q54"/>
      <c r="R54" s="4" t="s">
        <v>77</v>
      </c>
      <c r="S54" s="32" t="str">
        <f>CONCATENATE(R54,66)</f>
        <v>00026157234K66</v>
      </c>
      <c r="T54"/>
      <c r="U54" s="4" t="s">
        <v>420</v>
      </c>
      <c r="V54" t="s">
        <v>421</v>
      </c>
      <c r="W54" t="str">
        <f>CONCATENATE(V54," ",U54)</f>
        <v>DANA HOFER</v>
      </c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s="13" customFormat="1" x14ac:dyDescent="0.2">
      <c r="A55" s="4" t="s">
        <v>56</v>
      </c>
      <c r="B55">
        <v>8814784</v>
      </c>
      <c r="C55" s="4" t="s">
        <v>57</v>
      </c>
      <c r="D55" s="4" t="s">
        <v>58</v>
      </c>
      <c r="E55" s="3">
        <v>46082</v>
      </c>
      <c r="F55" s="4" t="s">
        <v>49</v>
      </c>
      <c r="G55" s="4" t="s">
        <v>51</v>
      </c>
      <c r="H55" s="4" t="s">
        <v>60</v>
      </c>
      <c r="I55" s="5">
        <v>0.83</v>
      </c>
      <c r="J55" s="5">
        <v>1</v>
      </c>
      <c r="K55" s="5">
        <v>100</v>
      </c>
      <c r="L55" s="5">
        <v>289.17</v>
      </c>
      <c r="M55" s="4" t="s">
        <v>53</v>
      </c>
      <c r="N55" s="3">
        <v>46082</v>
      </c>
      <c r="O55" t="s">
        <v>311</v>
      </c>
      <c r="P55" s="26" t="s">
        <v>316</v>
      </c>
      <c r="Q55"/>
      <c r="R55" s="4" t="s">
        <v>58</v>
      </c>
      <c r="S55" s="32" t="str">
        <f>CONCATENATE(R55,66)</f>
        <v>00023271984K66</v>
      </c>
      <c r="T55"/>
      <c r="U55" s="4" t="s">
        <v>441</v>
      </c>
      <c r="V55" t="s">
        <v>429</v>
      </c>
      <c r="W55" t="str">
        <f>CONCATENATE(V55," ",U55)</f>
        <v>LAURA DAIDONE</v>
      </c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s="13" customFormat="1" x14ac:dyDescent="0.2">
      <c r="A56" s="18" t="s">
        <v>227</v>
      </c>
      <c r="B56" s="21">
        <v>5442438</v>
      </c>
      <c r="C56" s="18" t="s">
        <v>228</v>
      </c>
      <c r="D56" s="18" t="s">
        <v>229</v>
      </c>
      <c r="E56" s="19">
        <v>46023</v>
      </c>
      <c r="F56" s="18" t="s">
        <v>65</v>
      </c>
      <c r="G56" s="18" t="s">
        <v>51</v>
      </c>
      <c r="H56" s="18" t="s">
        <v>46</v>
      </c>
      <c r="I56" s="20">
        <v>15</v>
      </c>
      <c r="J56" s="20">
        <v>-2655.48</v>
      </c>
      <c r="K56" s="20">
        <v>100</v>
      </c>
      <c r="L56" s="20">
        <v>-398.28</v>
      </c>
      <c r="M56" s="18" t="s">
        <v>230</v>
      </c>
      <c r="N56" s="19">
        <v>46023</v>
      </c>
      <c r="O56" s="21" t="s">
        <v>303</v>
      </c>
      <c r="P56" s="21"/>
      <c r="Q56" s="21"/>
      <c r="R56" s="18" t="s">
        <v>229</v>
      </c>
      <c r="S56" s="21" t="str">
        <f>CONCATENATE(R56,8)</f>
        <v>00001119133A8</v>
      </c>
      <c r="T56" s="21"/>
      <c r="U56" s="18" t="s">
        <v>335</v>
      </c>
      <c r="V56" s="21" t="s">
        <v>336</v>
      </c>
      <c r="W56" t="str">
        <f>CONCATENATE(V56," ",U56)</f>
        <v>ROBIN ABRAMS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</row>
    <row r="57" spans="1:44" s="13" customFormat="1" x14ac:dyDescent="0.2">
      <c r="A57" s="4" t="s">
        <v>143</v>
      </c>
      <c r="B57">
        <v>17554531</v>
      </c>
      <c r="C57" s="4" t="s">
        <v>144</v>
      </c>
      <c r="D57" s="4" t="s">
        <v>145</v>
      </c>
      <c r="E57" s="3">
        <v>46082</v>
      </c>
      <c r="F57" s="4" t="s">
        <v>49</v>
      </c>
      <c r="G57" s="4" t="s">
        <v>51</v>
      </c>
      <c r="H57" s="4" t="s">
        <v>52</v>
      </c>
      <c r="I57" s="5">
        <v>0.83</v>
      </c>
      <c r="J57" s="5">
        <v>1</v>
      </c>
      <c r="K57" s="5">
        <v>100</v>
      </c>
      <c r="L57" s="5">
        <v>289.17</v>
      </c>
      <c r="M57" s="4" t="s">
        <v>53</v>
      </c>
      <c r="N57" s="3">
        <v>46082</v>
      </c>
      <c r="O57" t="s">
        <v>311</v>
      </c>
      <c r="P57" s="26" t="s">
        <v>316</v>
      </c>
      <c r="Q57"/>
      <c r="R57" s="4" t="s">
        <v>145</v>
      </c>
      <c r="S57" s="32" t="str">
        <f>CONCATENATE(R57,66)</f>
        <v>00026143186K66</v>
      </c>
      <c r="T57"/>
      <c r="U57" s="4" t="s">
        <v>432</v>
      </c>
      <c r="V57" t="s">
        <v>433</v>
      </c>
      <c r="W57" t="str">
        <f>CONCATENATE(V57," ",U57)</f>
        <v>LISA JOHNSON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s="13" customFormat="1" x14ac:dyDescent="0.2">
      <c r="A58" s="4" t="s">
        <v>143</v>
      </c>
      <c r="B58">
        <v>17554531</v>
      </c>
      <c r="C58" s="4" t="s">
        <v>147</v>
      </c>
      <c r="D58" s="4" t="s">
        <v>148</v>
      </c>
      <c r="E58" s="3">
        <v>46082</v>
      </c>
      <c r="F58" s="4" t="s">
        <v>49</v>
      </c>
      <c r="G58" s="4" t="s">
        <v>51</v>
      </c>
      <c r="H58" s="4" t="s">
        <v>52</v>
      </c>
      <c r="I58" s="5">
        <v>0.83</v>
      </c>
      <c r="J58" s="5">
        <v>1</v>
      </c>
      <c r="K58" s="5">
        <v>100</v>
      </c>
      <c r="L58" s="5">
        <v>289.17</v>
      </c>
      <c r="M58" s="4" t="s">
        <v>53</v>
      </c>
      <c r="N58" s="3">
        <v>46082</v>
      </c>
      <c r="O58" t="s">
        <v>311</v>
      </c>
      <c r="P58" s="26" t="s">
        <v>316</v>
      </c>
      <c r="Q58"/>
      <c r="R58" s="4" t="s">
        <v>148</v>
      </c>
      <c r="S58" s="32" t="str">
        <f>CONCATENATE(R58,66)</f>
        <v>00026143199K66</v>
      </c>
      <c r="T58"/>
      <c r="U58" s="4" t="s">
        <v>432</v>
      </c>
      <c r="V58" t="s">
        <v>434</v>
      </c>
      <c r="W58" t="str">
        <f>CONCATENATE(V58," ",U58)</f>
        <v>KEVIN JOHNSON</v>
      </c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s="13" customFormat="1" x14ac:dyDescent="0.2">
      <c r="A59" s="4" t="s">
        <v>42</v>
      </c>
      <c r="B59">
        <v>371819</v>
      </c>
      <c r="C59" s="4" t="s">
        <v>43</v>
      </c>
      <c r="D59" s="4" t="s">
        <v>44</v>
      </c>
      <c r="E59" s="3">
        <v>46082</v>
      </c>
      <c r="F59" s="4" t="s">
        <v>49</v>
      </c>
      <c r="G59" s="4" t="s">
        <v>51</v>
      </c>
      <c r="H59" s="4" t="s">
        <v>52</v>
      </c>
      <c r="I59" s="5">
        <v>0.83</v>
      </c>
      <c r="J59" s="5">
        <v>1</v>
      </c>
      <c r="K59" s="5">
        <v>100</v>
      </c>
      <c r="L59" s="5">
        <v>289.17</v>
      </c>
      <c r="M59" s="4" t="s">
        <v>53</v>
      </c>
      <c r="N59" s="3">
        <v>46082</v>
      </c>
      <c r="O59" t="s">
        <v>311</v>
      </c>
      <c r="P59" s="26" t="s">
        <v>316</v>
      </c>
      <c r="Q59"/>
      <c r="R59" s="4" t="s">
        <v>44</v>
      </c>
      <c r="S59" s="32" t="str">
        <f>CONCATENATE(R59,66)</f>
        <v>00022798258K66</v>
      </c>
      <c r="T59"/>
      <c r="U59" s="4" t="s">
        <v>418</v>
      </c>
      <c r="V59" t="s">
        <v>419</v>
      </c>
      <c r="W59" t="str">
        <f>CONCATENATE(V59," ",U59)</f>
        <v>RICHARD FERGUSON</v>
      </c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s="13" customFormat="1" x14ac:dyDescent="0.2">
      <c r="A60" s="4" t="s">
        <v>173</v>
      </c>
      <c r="B60">
        <v>16912722</v>
      </c>
      <c r="C60" s="4" t="s">
        <v>174</v>
      </c>
      <c r="D60" s="4" t="s">
        <v>175</v>
      </c>
      <c r="E60" s="3">
        <v>46082</v>
      </c>
      <c r="F60" s="4" t="s">
        <v>49</v>
      </c>
      <c r="G60" s="4" t="s">
        <v>51</v>
      </c>
      <c r="H60" s="4" t="s">
        <v>52</v>
      </c>
      <c r="I60" s="5">
        <v>0.83</v>
      </c>
      <c r="J60" s="5">
        <v>1</v>
      </c>
      <c r="K60" s="5">
        <v>100</v>
      </c>
      <c r="L60" s="5">
        <v>289.17</v>
      </c>
      <c r="M60" s="4" t="s">
        <v>53</v>
      </c>
      <c r="N60" s="3">
        <v>46082</v>
      </c>
      <c r="O60" t="s">
        <v>311</v>
      </c>
      <c r="P60" s="26" t="s">
        <v>316</v>
      </c>
      <c r="Q60"/>
      <c r="R60" s="4" t="s">
        <v>175</v>
      </c>
      <c r="S60" s="32" t="str">
        <f>CONCATENATE(R60,66)</f>
        <v>00026158151K66</v>
      </c>
      <c r="T60"/>
      <c r="U60" s="4" t="s">
        <v>437</v>
      </c>
      <c r="V60" t="s">
        <v>438</v>
      </c>
      <c r="W60" t="str">
        <f>CONCATENATE(V60," ",U60)</f>
        <v>RONALD CACIOPPO</v>
      </c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s="13" customFormat="1" x14ac:dyDescent="0.2">
      <c r="A61" s="4" t="s">
        <v>133</v>
      </c>
      <c r="B61">
        <v>9213293</v>
      </c>
      <c r="C61" s="4" t="s">
        <v>134</v>
      </c>
      <c r="D61" s="4" t="s">
        <v>135</v>
      </c>
      <c r="E61" s="3">
        <v>46023</v>
      </c>
      <c r="F61" s="4" t="s">
        <v>65</v>
      </c>
      <c r="G61" s="4" t="s">
        <v>51</v>
      </c>
      <c r="H61" s="4" t="s">
        <v>52</v>
      </c>
      <c r="I61" s="5">
        <v>-0.83</v>
      </c>
      <c r="J61" s="5">
        <v>-1</v>
      </c>
      <c r="K61" s="5">
        <v>100</v>
      </c>
      <c r="L61" s="5">
        <v>-289.17</v>
      </c>
      <c r="M61" s="4" t="s">
        <v>53</v>
      </c>
      <c r="N61" s="3">
        <v>46023</v>
      </c>
      <c r="O61" t="s">
        <v>311</v>
      </c>
      <c r="P61" s="26" t="s">
        <v>316</v>
      </c>
      <c r="Q61"/>
      <c r="R61" s="4" t="s">
        <v>135</v>
      </c>
      <c r="S61" s="32" t="str">
        <f>CONCATENATE(R61,66)</f>
        <v>00018142972K66</v>
      </c>
      <c r="T61"/>
      <c r="U61" s="4" t="s">
        <v>406</v>
      </c>
      <c r="V61" t="s">
        <v>407</v>
      </c>
      <c r="W61" t="str">
        <f>CONCATENATE(V61," ",U61)</f>
        <v>ILENE WILSON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s="13" customFormat="1" x14ac:dyDescent="0.2">
      <c r="A62" s="4" t="s">
        <v>133</v>
      </c>
      <c r="B62">
        <v>9213293</v>
      </c>
      <c r="C62" s="4" t="s">
        <v>134</v>
      </c>
      <c r="D62" s="4" t="s">
        <v>135</v>
      </c>
      <c r="E62" s="3">
        <v>46023</v>
      </c>
      <c r="F62" s="4" t="s">
        <v>65</v>
      </c>
      <c r="G62" s="4" t="s">
        <v>51</v>
      </c>
      <c r="H62" s="4" t="s">
        <v>52</v>
      </c>
      <c r="I62" s="5">
        <v>0</v>
      </c>
      <c r="J62" s="5">
        <v>-1</v>
      </c>
      <c r="K62" s="5">
        <v>100</v>
      </c>
      <c r="L62" s="5">
        <v>-289.16000000000003</v>
      </c>
      <c r="M62" s="4" t="s">
        <v>73</v>
      </c>
      <c r="N62" s="3">
        <v>46023</v>
      </c>
      <c r="O62" t="s">
        <v>311</v>
      </c>
      <c r="P62" s="26" t="s">
        <v>316</v>
      </c>
      <c r="Q62"/>
      <c r="R62" s="4" t="s">
        <v>135</v>
      </c>
      <c r="S62" s="32" t="str">
        <f>CONCATENATE(R62,66)</f>
        <v>00018142972K66</v>
      </c>
      <c r="T62"/>
      <c r="U62" s="4" t="s">
        <v>406</v>
      </c>
      <c r="V62" t="s">
        <v>407</v>
      </c>
      <c r="W62" t="str">
        <f>CONCATENATE(V62," ",U62)</f>
        <v>ILENE WILSON</v>
      </c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s="13" customFormat="1" x14ac:dyDescent="0.2">
      <c r="A63" s="4" t="s">
        <v>133</v>
      </c>
      <c r="B63">
        <v>9213293</v>
      </c>
      <c r="C63" s="4" t="s">
        <v>134</v>
      </c>
      <c r="D63" s="4" t="s">
        <v>135</v>
      </c>
      <c r="E63" s="3">
        <v>46082</v>
      </c>
      <c r="F63" s="4" t="s">
        <v>49</v>
      </c>
      <c r="G63" s="4" t="s">
        <v>51</v>
      </c>
      <c r="H63" s="4" t="s">
        <v>60</v>
      </c>
      <c r="I63" s="5">
        <v>0.83</v>
      </c>
      <c r="J63" s="5">
        <v>1</v>
      </c>
      <c r="K63" s="5">
        <v>100</v>
      </c>
      <c r="L63" s="5">
        <v>289.17</v>
      </c>
      <c r="M63" s="4" t="s">
        <v>53</v>
      </c>
      <c r="N63" s="3">
        <v>46082</v>
      </c>
      <c r="O63" t="s">
        <v>311</v>
      </c>
      <c r="P63" s="26" t="s">
        <v>316</v>
      </c>
      <c r="Q63"/>
      <c r="R63" s="4" t="s">
        <v>135</v>
      </c>
      <c r="S63" s="32" t="str">
        <f>CONCATENATE(R63,66)</f>
        <v>00018142972K66</v>
      </c>
      <c r="T63"/>
      <c r="U63" s="4" t="s">
        <v>406</v>
      </c>
      <c r="V63" t="s">
        <v>407</v>
      </c>
      <c r="W63" t="str">
        <f>CONCATENATE(V63," ",U63)</f>
        <v>ILENE WILSON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s="13" customFormat="1" x14ac:dyDescent="0.2">
      <c r="A64" s="4" t="s">
        <v>133</v>
      </c>
      <c r="B64">
        <v>9213293</v>
      </c>
      <c r="C64" s="4" t="s">
        <v>137</v>
      </c>
      <c r="D64" s="4" t="s">
        <v>138</v>
      </c>
      <c r="E64" s="3">
        <v>46082</v>
      </c>
      <c r="F64" s="4" t="s">
        <v>49</v>
      </c>
      <c r="G64" s="4" t="s">
        <v>51</v>
      </c>
      <c r="H64" s="4" t="s">
        <v>60</v>
      </c>
      <c r="I64" s="5">
        <v>0.83</v>
      </c>
      <c r="J64" s="5">
        <v>1</v>
      </c>
      <c r="K64" s="5">
        <v>100</v>
      </c>
      <c r="L64" s="5">
        <v>289.17</v>
      </c>
      <c r="M64" s="4" t="s">
        <v>53</v>
      </c>
      <c r="N64" s="3">
        <v>46082</v>
      </c>
      <c r="O64" t="s">
        <v>311</v>
      </c>
      <c r="P64" s="26" t="s">
        <v>316</v>
      </c>
      <c r="Q64"/>
      <c r="R64" s="4" t="s">
        <v>138</v>
      </c>
      <c r="S64" s="32" t="str">
        <f>CONCATENATE(R64,66)</f>
        <v>00026147634K66</v>
      </c>
      <c r="T64"/>
      <c r="U64" s="4" t="s">
        <v>446</v>
      </c>
      <c r="V64" t="s">
        <v>447</v>
      </c>
      <c r="W64" t="str">
        <f>CONCATENATE(V64," ",U64)</f>
        <v>CYNTHIA YARRINGTON</v>
      </c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s="13" customFormat="1" x14ac:dyDescent="0.2">
      <c r="A65" s="4" t="s">
        <v>133</v>
      </c>
      <c r="B65">
        <v>9213293</v>
      </c>
      <c r="C65" s="4" t="s">
        <v>140</v>
      </c>
      <c r="D65" s="4" t="s">
        <v>141</v>
      </c>
      <c r="E65" s="3">
        <v>46082</v>
      </c>
      <c r="F65" s="4" t="s">
        <v>49</v>
      </c>
      <c r="G65" s="4" t="s">
        <v>51</v>
      </c>
      <c r="H65" s="4" t="s">
        <v>60</v>
      </c>
      <c r="I65" s="5">
        <v>0.83</v>
      </c>
      <c r="J65" s="5">
        <v>1</v>
      </c>
      <c r="K65" s="5">
        <v>100</v>
      </c>
      <c r="L65" s="5">
        <v>289.17</v>
      </c>
      <c r="M65" s="4" t="s">
        <v>53</v>
      </c>
      <c r="N65" s="3">
        <v>46082</v>
      </c>
      <c r="O65" t="s">
        <v>311</v>
      </c>
      <c r="P65" s="26" t="s">
        <v>316</v>
      </c>
      <c r="Q65"/>
      <c r="R65" s="4" t="s">
        <v>141</v>
      </c>
      <c r="S65" s="32" t="str">
        <f>CONCATENATE(R65,66)</f>
        <v>00026162928K66</v>
      </c>
      <c r="T65"/>
      <c r="U65" s="4" t="s">
        <v>448</v>
      </c>
      <c r="V65" t="s">
        <v>449</v>
      </c>
      <c r="W65" t="str">
        <f>CONCATENATE(V65," ",U65)</f>
        <v>STELLA ESPOSTO</v>
      </c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s="13" customFormat="1" x14ac:dyDescent="0.2">
      <c r="A66" s="4" t="s">
        <v>169</v>
      </c>
      <c r="B66">
        <v>19645587</v>
      </c>
      <c r="C66" s="4" t="s">
        <v>170</v>
      </c>
      <c r="D66" s="4" t="s">
        <v>171</v>
      </c>
      <c r="E66" s="3">
        <v>46082</v>
      </c>
      <c r="F66" s="4" t="s">
        <v>49</v>
      </c>
      <c r="G66" s="4" t="s">
        <v>51</v>
      </c>
      <c r="H66" s="4" t="s">
        <v>60</v>
      </c>
      <c r="I66" s="5">
        <v>0.83</v>
      </c>
      <c r="J66" s="5">
        <v>1</v>
      </c>
      <c r="K66" s="5">
        <v>100</v>
      </c>
      <c r="L66" s="5">
        <v>289.17</v>
      </c>
      <c r="M66" s="4" t="s">
        <v>53</v>
      </c>
      <c r="N66" s="3">
        <v>46082</v>
      </c>
      <c r="O66" t="s">
        <v>311</v>
      </c>
      <c r="P66" s="26" t="s">
        <v>316</v>
      </c>
      <c r="Q66"/>
      <c r="R66" s="4" t="s">
        <v>171</v>
      </c>
      <c r="S66" s="32" t="str">
        <f>CONCATENATE(R66,66)</f>
        <v>00026151737K66</v>
      </c>
      <c r="T66"/>
      <c r="U66" s="4" t="s">
        <v>450</v>
      </c>
      <c r="V66" t="s">
        <v>451</v>
      </c>
      <c r="W66" t="str">
        <f>CONCATENATE(V66," ",U66)</f>
        <v>NORMA TORRES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s="13" customFormat="1" x14ac:dyDescent="0.2">
      <c r="A67" s="10" t="s">
        <v>294</v>
      </c>
      <c r="B67" s="13">
        <v>20724564</v>
      </c>
      <c r="C67" s="10" t="s">
        <v>295</v>
      </c>
      <c r="D67" s="28">
        <v>9031206310</v>
      </c>
      <c r="E67" s="11">
        <v>45901</v>
      </c>
      <c r="F67" s="10" t="s">
        <v>297</v>
      </c>
      <c r="G67" s="10" t="s">
        <v>204</v>
      </c>
      <c r="H67" s="10" t="s">
        <v>46</v>
      </c>
      <c r="I67" s="12">
        <v>10</v>
      </c>
      <c r="J67" s="12">
        <v>363.8</v>
      </c>
      <c r="K67" s="12">
        <v>100</v>
      </c>
      <c r="L67" s="12">
        <v>36.380000000000003</v>
      </c>
      <c r="M67" s="10" t="s">
        <v>205</v>
      </c>
      <c r="N67" s="11">
        <v>45929</v>
      </c>
      <c r="O67" s="13" t="s">
        <v>308</v>
      </c>
      <c r="R67" s="28">
        <v>9031206310</v>
      </c>
      <c r="S67" s="13" t="str">
        <f>CONCATENATE(R67,4)</f>
        <v>90312063104</v>
      </c>
      <c r="U67" s="10" t="s">
        <v>376</v>
      </c>
      <c r="V67" s="13" t="s">
        <v>377</v>
      </c>
      <c r="W67" t="str">
        <f>CONCATENATE(V67," ",U67)</f>
        <v>Justin Risner</v>
      </c>
    </row>
    <row r="68" spans="1:44" s="13" customFormat="1" x14ac:dyDescent="0.2">
      <c r="A68" s="10" t="s">
        <v>294</v>
      </c>
      <c r="B68" s="13">
        <v>20724564</v>
      </c>
      <c r="C68" s="10" t="s">
        <v>295</v>
      </c>
      <c r="D68" s="28">
        <v>9031206310</v>
      </c>
      <c r="E68" s="11">
        <v>45929</v>
      </c>
      <c r="F68" s="10" t="s">
        <v>297</v>
      </c>
      <c r="G68" s="10" t="s">
        <v>204</v>
      </c>
      <c r="H68" s="10" t="s">
        <v>46</v>
      </c>
      <c r="I68" s="12">
        <v>10</v>
      </c>
      <c r="J68" s="12">
        <v>13.81</v>
      </c>
      <c r="K68" s="12">
        <v>100</v>
      </c>
      <c r="L68" s="12">
        <v>1.38</v>
      </c>
      <c r="M68" s="10" t="s">
        <v>205</v>
      </c>
      <c r="N68" s="11">
        <v>45929</v>
      </c>
      <c r="O68" s="13" t="s">
        <v>308</v>
      </c>
      <c r="R68" s="28">
        <v>9031206310</v>
      </c>
      <c r="S68" s="13" t="str">
        <f>CONCATENATE(R68,4)</f>
        <v>90312063104</v>
      </c>
      <c r="U68" s="10" t="s">
        <v>376</v>
      </c>
      <c r="V68" s="13" t="s">
        <v>377</v>
      </c>
      <c r="W68" t="str">
        <f>CONCATENATE(V68," ",U68)</f>
        <v>Justin Risner</v>
      </c>
    </row>
    <row r="69" spans="1:44" s="13" customFormat="1" x14ac:dyDescent="0.2">
      <c r="A69" s="29" t="s">
        <v>150</v>
      </c>
      <c r="B69" s="32">
        <v>19200754</v>
      </c>
      <c r="C69" s="29" t="s">
        <v>151</v>
      </c>
      <c r="D69" s="29" t="s">
        <v>152</v>
      </c>
      <c r="E69" s="30">
        <v>46023</v>
      </c>
      <c r="F69" s="29" t="s">
        <v>65</v>
      </c>
      <c r="G69" s="29" t="s">
        <v>51</v>
      </c>
      <c r="H69" s="29" t="s">
        <v>52</v>
      </c>
      <c r="I69" s="31">
        <v>-1</v>
      </c>
      <c r="J69" s="31">
        <v>-1</v>
      </c>
      <c r="K69" s="31">
        <v>100</v>
      </c>
      <c r="L69" s="31">
        <v>-347</v>
      </c>
      <c r="M69" s="29" t="s">
        <v>53</v>
      </c>
      <c r="N69" s="30">
        <v>46023</v>
      </c>
      <c r="O69" s="32" t="s">
        <v>311</v>
      </c>
      <c r="P69" s="33" t="s">
        <v>314</v>
      </c>
      <c r="Q69" s="32"/>
      <c r="R69" s="29" t="s">
        <v>152</v>
      </c>
      <c r="S69" s="32" t="str">
        <f>CONCATENATE(R69,66)</f>
        <v>00025877480K66</v>
      </c>
      <c r="T69" s="32"/>
      <c r="U69" s="29" t="s">
        <v>399</v>
      </c>
      <c r="V69" s="32" t="s">
        <v>400</v>
      </c>
      <c r="W69" t="str">
        <f>CONCATENATE(V69," ",U69)</f>
        <v>PANLILIO ILANGA</v>
      </c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</row>
    <row r="70" spans="1:44" s="13" customFormat="1" x14ac:dyDescent="0.2">
      <c r="A70" s="4" t="s">
        <v>150</v>
      </c>
      <c r="B70">
        <v>19200754</v>
      </c>
      <c r="C70" s="4" t="s">
        <v>151</v>
      </c>
      <c r="D70" s="4" t="s">
        <v>152</v>
      </c>
      <c r="E70" s="3">
        <v>46082</v>
      </c>
      <c r="F70" s="4" t="s">
        <v>49</v>
      </c>
      <c r="G70" s="4" t="s">
        <v>51</v>
      </c>
      <c r="H70" s="4" t="s">
        <v>52</v>
      </c>
      <c r="I70" s="5">
        <v>0.83</v>
      </c>
      <c r="J70" s="5">
        <v>1</v>
      </c>
      <c r="K70" s="5">
        <v>100</v>
      </c>
      <c r="L70" s="5">
        <v>289.17</v>
      </c>
      <c r="M70" s="4" t="s">
        <v>53</v>
      </c>
      <c r="N70" s="3">
        <v>46082</v>
      </c>
      <c r="O70" t="s">
        <v>311</v>
      </c>
      <c r="P70" s="26" t="s">
        <v>316</v>
      </c>
      <c r="Q70"/>
      <c r="R70" s="4" t="s">
        <v>152</v>
      </c>
      <c r="S70" s="32" t="str">
        <f>CONCATENATE(R70,66)</f>
        <v>00025877480K66</v>
      </c>
      <c r="T70"/>
      <c r="U70" s="4" t="s">
        <v>399</v>
      </c>
      <c r="V70" t="s">
        <v>400</v>
      </c>
      <c r="W70" t="str">
        <f>CONCATENATE(V70," ",U70)</f>
        <v>PANLILIO ILANGA</v>
      </c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s="13" customFormat="1" x14ac:dyDescent="0.2">
      <c r="A71" s="4" t="s">
        <v>158</v>
      </c>
      <c r="B71">
        <v>19586992</v>
      </c>
      <c r="C71" s="4" t="s">
        <v>159</v>
      </c>
      <c r="D71" s="4" t="s">
        <v>160</v>
      </c>
      <c r="E71" s="3">
        <v>46082</v>
      </c>
      <c r="F71" s="4" t="s">
        <v>49</v>
      </c>
      <c r="G71" s="4" t="s">
        <v>51</v>
      </c>
      <c r="H71" s="4" t="s">
        <v>52</v>
      </c>
      <c r="I71" s="5">
        <v>0.83</v>
      </c>
      <c r="J71" s="5">
        <v>1</v>
      </c>
      <c r="K71" s="5">
        <v>100</v>
      </c>
      <c r="L71" s="5">
        <v>137.5</v>
      </c>
      <c r="M71" s="4" t="s">
        <v>53</v>
      </c>
      <c r="N71" s="3">
        <v>46082</v>
      </c>
      <c r="O71" t="s">
        <v>317</v>
      </c>
      <c r="P71" s="26" t="s">
        <v>318</v>
      </c>
      <c r="Q71"/>
      <c r="R71" s="4" t="s">
        <v>160</v>
      </c>
      <c r="S71" t="str">
        <f>CONCATENATE(R71,26)</f>
        <v>00024703143K26</v>
      </c>
      <c r="T71"/>
      <c r="U71" s="4" t="s">
        <v>323</v>
      </c>
      <c r="V71" t="s">
        <v>324</v>
      </c>
      <c r="W71" t="str">
        <f>CONCATENATE(V71," ",U71)</f>
        <v>RICK LATTANZIO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s="13" customFormat="1" x14ac:dyDescent="0.2">
      <c r="A72" s="4" t="s">
        <v>181</v>
      </c>
      <c r="B72">
        <v>20490188</v>
      </c>
      <c r="C72" s="4" t="s">
        <v>182</v>
      </c>
      <c r="D72" s="4" t="s">
        <v>183</v>
      </c>
      <c r="E72" s="3">
        <v>46082</v>
      </c>
      <c r="F72" s="4" t="s">
        <v>49</v>
      </c>
      <c r="G72" s="4" t="s">
        <v>51</v>
      </c>
      <c r="H72" s="4" t="s">
        <v>185</v>
      </c>
      <c r="I72" s="5">
        <v>0.83</v>
      </c>
      <c r="J72" s="5">
        <v>1</v>
      </c>
      <c r="K72" s="5">
        <v>100</v>
      </c>
      <c r="L72" s="5">
        <v>289.17</v>
      </c>
      <c r="M72" s="4" t="s">
        <v>53</v>
      </c>
      <c r="N72" s="3">
        <v>46082</v>
      </c>
      <c r="O72" t="s">
        <v>311</v>
      </c>
      <c r="P72" s="26" t="s">
        <v>316</v>
      </c>
      <c r="Q72"/>
      <c r="R72" s="4" t="s">
        <v>183</v>
      </c>
      <c r="S72" s="32" t="str">
        <f>CONCATENATE(R72,66)</f>
        <v>00026150044K66</v>
      </c>
      <c r="T72"/>
      <c r="U72" s="4" t="s">
        <v>416</v>
      </c>
      <c r="V72" t="s">
        <v>417</v>
      </c>
      <c r="W72" t="str">
        <f>CONCATENATE(V72," ",U72)</f>
        <v>TAMANE ZULKOSKI</v>
      </c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s="13" customFormat="1" x14ac:dyDescent="0.2">
      <c r="A73" s="4" t="s">
        <v>181</v>
      </c>
      <c r="B73">
        <v>20490188</v>
      </c>
      <c r="C73" s="4" t="s">
        <v>187</v>
      </c>
      <c r="D73" s="4" t="s">
        <v>188</v>
      </c>
      <c r="E73" s="3">
        <v>46082</v>
      </c>
      <c r="F73" s="4" t="s">
        <v>49</v>
      </c>
      <c r="G73" s="4" t="s">
        <v>51</v>
      </c>
      <c r="H73" s="4" t="s">
        <v>60</v>
      </c>
      <c r="I73" s="5">
        <v>0.83</v>
      </c>
      <c r="J73" s="5">
        <v>1</v>
      </c>
      <c r="K73" s="5">
        <v>100</v>
      </c>
      <c r="L73" s="5">
        <v>289.17</v>
      </c>
      <c r="M73" s="4" t="s">
        <v>53</v>
      </c>
      <c r="N73" s="3">
        <v>46082</v>
      </c>
      <c r="O73" t="s">
        <v>311</v>
      </c>
      <c r="P73" s="26" t="s">
        <v>316</v>
      </c>
      <c r="Q73"/>
      <c r="R73" s="4" t="s">
        <v>188</v>
      </c>
      <c r="S73" s="32" t="str">
        <f>CONCATENATE(R73,66)</f>
        <v>00026151430K66</v>
      </c>
      <c r="T73"/>
      <c r="U73" s="4" t="s">
        <v>452</v>
      </c>
      <c r="V73" t="s">
        <v>453</v>
      </c>
      <c r="W73" t="str">
        <f>CONCATENATE(V73," ",U73)</f>
        <v>SKENDER ZULKU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s="13" customFormat="1" x14ac:dyDescent="0.2">
      <c r="A74" s="4" t="s">
        <v>86</v>
      </c>
      <c r="B74">
        <v>8307933</v>
      </c>
      <c r="C74" s="4" t="s">
        <v>91</v>
      </c>
      <c r="D74" s="4" t="s">
        <v>92</v>
      </c>
      <c r="E74" s="3">
        <v>46023</v>
      </c>
      <c r="F74" s="4" t="s">
        <v>65</v>
      </c>
      <c r="G74" s="4" t="s">
        <v>51</v>
      </c>
      <c r="H74" s="4" t="s">
        <v>60</v>
      </c>
      <c r="I74" s="5">
        <v>-0.83</v>
      </c>
      <c r="J74" s="5">
        <v>-1</v>
      </c>
      <c r="K74" s="5">
        <v>100</v>
      </c>
      <c r="L74" s="5">
        <v>-137.5</v>
      </c>
      <c r="M74" s="4" t="s">
        <v>53</v>
      </c>
      <c r="N74" s="3">
        <v>46023</v>
      </c>
      <c r="O74" t="s">
        <v>317</v>
      </c>
      <c r="P74" s="26" t="s">
        <v>318</v>
      </c>
      <c r="Q74"/>
      <c r="R74" s="4" t="s">
        <v>92</v>
      </c>
      <c r="S74" t="str">
        <f>CONCATENATE(R74,26)</f>
        <v>00022193875K26</v>
      </c>
      <c r="T74"/>
      <c r="U74" s="4" t="s">
        <v>321</v>
      </c>
      <c r="V74" t="s">
        <v>322</v>
      </c>
      <c r="W74" t="str">
        <f>CONCATENATE(V74," ",U74)</f>
        <v>CONNIE MYERS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s="13" customFormat="1" x14ac:dyDescent="0.2">
      <c r="A75" s="4" t="s">
        <v>86</v>
      </c>
      <c r="B75">
        <v>8307933</v>
      </c>
      <c r="C75" s="4" t="s">
        <v>87</v>
      </c>
      <c r="D75" s="4" t="s">
        <v>88</v>
      </c>
      <c r="E75" s="3">
        <v>46054</v>
      </c>
      <c r="F75" s="4" t="s">
        <v>90</v>
      </c>
      <c r="G75" s="4" t="s">
        <v>51</v>
      </c>
      <c r="H75" s="4" t="s">
        <v>52</v>
      </c>
      <c r="I75" s="5">
        <v>-0.92</v>
      </c>
      <c r="J75" s="5">
        <v>-1</v>
      </c>
      <c r="K75" s="5">
        <v>100</v>
      </c>
      <c r="L75" s="5">
        <v>-318.08</v>
      </c>
      <c r="M75" s="4" t="s">
        <v>53</v>
      </c>
      <c r="N75" s="3">
        <v>46054</v>
      </c>
      <c r="O75" t="s">
        <v>311</v>
      </c>
      <c r="P75" s="26" t="s">
        <v>315</v>
      </c>
      <c r="Q75"/>
      <c r="R75" s="4" t="s">
        <v>88</v>
      </c>
      <c r="S75" s="32" t="str">
        <f>CONCATENATE(R75,66)</f>
        <v>00022077130K66</v>
      </c>
      <c r="T75"/>
      <c r="U75" s="4" t="s">
        <v>401</v>
      </c>
      <c r="V75" t="s">
        <v>402</v>
      </c>
      <c r="W75" t="str">
        <f>CONCATENATE(V75," ",U75)</f>
        <v>JEFFREY GILBERT</v>
      </c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s="13" customFormat="1" x14ac:dyDescent="0.2">
      <c r="A76" s="4" t="s">
        <v>154</v>
      </c>
      <c r="B76">
        <v>8405446</v>
      </c>
      <c r="C76" s="4" t="s">
        <v>155</v>
      </c>
      <c r="D76" s="4" t="s">
        <v>156</v>
      </c>
      <c r="E76" s="3">
        <v>46082</v>
      </c>
      <c r="F76" s="4" t="s">
        <v>49</v>
      </c>
      <c r="G76" s="4" t="s">
        <v>51</v>
      </c>
      <c r="H76" s="4" t="s">
        <v>52</v>
      </c>
      <c r="I76" s="5">
        <v>0.83</v>
      </c>
      <c r="J76" s="5">
        <v>1</v>
      </c>
      <c r="K76" s="5">
        <v>100</v>
      </c>
      <c r="L76" s="5">
        <v>289.17</v>
      </c>
      <c r="M76" s="4" t="s">
        <v>53</v>
      </c>
      <c r="N76" s="3">
        <v>46082</v>
      </c>
      <c r="O76" t="s">
        <v>311</v>
      </c>
      <c r="P76" s="26" t="s">
        <v>316</v>
      </c>
      <c r="Q76"/>
      <c r="R76" s="4" t="s">
        <v>156</v>
      </c>
      <c r="S76" s="32" t="str">
        <f>CONCATENATE(R76,66)</f>
        <v>00026157183K66</v>
      </c>
      <c r="T76"/>
      <c r="U76" s="4" t="s">
        <v>435</v>
      </c>
      <c r="V76" t="s">
        <v>436</v>
      </c>
      <c r="W76" t="str">
        <f>CONCATENATE(V76," ",U76)</f>
        <v>ANTHONY PHORASAVONG</v>
      </c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s="13" customFormat="1" x14ac:dyDescent="0.2">
      <c r="A77" s="14" t="s">
        <v>110</v>
      </c>
      <c r="B77" s="17">
        <v>8325282</v>
      </c>
      <c r="C77" s="14" t="s">
        <v>111</v>
      </c>
      <c r="D77" s="14" t="s">
        <v>112</v>
      </c>
      <c r="E77" s="15">
        <v>46023</v>
      </c>
      <c r="F77" s="14" t="s">
        <v>65</v>
      </c>
      <c r="G77" s="14" t="s">
        <v>51</v>
      </c>
      <c r="H77" s="14" t="s">
        <v>114</v>
      </c>
      <c r="I77" s="16">
        <v>-0.83</v>
      </c>
      <c r="J77" s="16">
        <v>-47.5</v>
      </c>
      <c r="K77" s="16">
        <v>100</v>
      </c>
      <c r="L77" s="16">
        <v>-47.5</v>
      </c>
      <c r="M77" s="14" t="s">
        <v>53</v>
      </c>
      <c r="N77" s="15">
        <v>46023</v>
      </c>
      <c r="O77" s="17" t="s">
        <v>310</v>
      </c>
      <c r="P77" s="17"/>
      <c r="Q77" s="17"/>
      <c r="R77" s="14" t="s">
        <v>112</v>
      </c>
      <c r="S77" s="17" t="str">
        <f>CONCATENATE(R77,9)</f>
        <v>00024436855K9</v>
      </c>
      <c r="T77" s="17"/>
      <c r="U77" s="14" t="s">
        <v>458</v>
      </c>
      <c r="V77" s="17" t="s">
        <v>459</v>
      </c>
      <c r="W77" t="str">
        <f>CONCATENATE(V77," ",U77)</f>
        <v>JOHN GUTKNECHT</v>
      </c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</row>
    <row r="78" spans="1:44" s="13" customFormat="1" x14ac:dyDescent="0.2">
      <c r="A78" s="4" t="s">
        <v>190</v>
      </c>
      <c r="B78">
        <v>19219478</v>
      </c>
      <c r="C78" s="4" t="s">
        <v>191</v>
      </c>
      <c r="D78" s="4" t="s">
        <v>192</v>
      </c>
      <c r="E78" s="3">
        <v>46113</v>
      </c>
      <c r="F78" s="4" t="s">
        <v>108</v>
      </c>
      <c r="G78" s="4" t="s">
        <v>51</v>
      </c>
      <c r="H78" s="4" t="s">
        <v>52</v>
      </c>
      <c r="I78" s="5">
        <v>0.75</v>
      </c>
      <c r="J78" s="5">
        <v>1</v>
      </c>
      <c r="K78" s="5">
        <v>100</v>
      </c>
      <c r="L78" s="5">
        <v>260.25</v>
      </c>
      <c r="M78" s="4" t="s">
        <v>53</v>
      </c>
      <c r="N78" s="3">
        <v>46113</v>
      </c>
      <c r="O78" t="s">
        <v>311</v>
      </c>
      <c r="P78" s="26" t="s">
        <v>319</v>
      </c>
      <c r="Q78"/>
      <c r="R78" s="4" t="s">
        <v>192</v>
      </c>
      <c r="S78" s="32" t="str">
        <f>CONCATENATE(R78,66)</f>
        <v>00026157922K66</v>
      </c>
      <c r="T78"/>
      <c r="U78" s="4" t="s">
        <v>412</v>
      </c>
      <c r="V78" t="s">
        <v>413</v>
      </c>
      <c r="W78" t="str">
        <f>CONCATENATE(V78," ",U78)</f>
        <v>GARY PLESKAC</v>
      </c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</row>
    <row r="79" spans="1:44" s="13" customFormat="1" x14ac:dyDescent="0.2">
      <c r="A79" s="6" t="s">
        <v>116</v>
      </c>
      <c r="B79" s="9">
        <v>16633294</v>
      </c>
      <c r="C79" s="6" t="s">
        <v>213</v>
      </c>
      <c r="D79" s="27">
        <v>419885</v>
      </c>
      <c r="E79" s="7">
        <v>46082</v>
      </c>
      <c r="F79" s="6" t="s">
        <v>49</v>
      </c>
      <c r="G79" s="6" t="s">
        <v>209</v>
      </c>
      <c r="H79" s="6" t="s">
        <v>46</v>
      </c>
      <c r="I79" s="8">
        <v>7.5</v>
      </c>
      <c r="J79" s="8">
        <v>461.4</v>
      </c>
      <c r="K79" s="8">
        <v>100</v>
      </c>
      <c r="L79" s="8">
        <v>46.14</v>
      </c>
      <c r="M79" s="6" t="s">
        <v>53</v>
      </c>
      <c r="N79" s="7">
        <v>45839</v>
      </c>
      <c r="O79" s="9" t="s">
        <v>307</v>
      </c>
      <c r="P79" s="9"/>
      <c r="Q79" s="9"/>
      <c r="R79" s="27">
        <v>419885</v>
      </c>
      <c r="S79" s="9" t="str">
        <f>CONCATENATE(R79,7)</f>
        <v>4198857</v>
      </c>
      <c r="T79" s="9"/>
      <c r="U79" s="6" t="s">
        <v>397</v>
      </c>
      <c r="V79" s="9" t="s">
        <v>398</v>
      </c>
      <c r="W79" s="6" t="s">
        <v>213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s="13" customFormat="1" x14ac:dyDescent="0.2">
      <c r="A80" s="6" t="s">
        <v>116</v>
      </c>
      <c r="B80" s="9">
        <v>16633294</v>
      </c>
      <c r="C80" s="6" t="s">
        <v>213</v>
      </c>
      <c r="D80" s="27">
        <v>419885</v>
      </c>
      <c r="E80" s="7">
        <v>46054</v>
      </c>
      <c r="F80" s="6" t="s">
        <v>90</v>
      </c>
      <c r="G80" s="6" t="s">
        <v>209</v>
      </c>
      <c r="H80" s="6" t="s">
        <v>46</v>
      </c>
      <c r="I80" s="8">
        <v>10</v>
      </c>
      <c r="J80" s="8">
        <v>38.729999999999997</v>
      </c>
      <c r="K80" s="8">
        <v>100</v>
      </c>
      <c r="L80" s="8">
        <v>3.87</v>
      </c>
      <c r="M80" s="6" t="s">
        <v>53</v>
      </c>
      <c r="N80" s="7">
        <v>45839</v>
      </c>
      <c r="O80" s="9" t="s">
        <v>307</v>
      </c>
      <c r="P80" s="9"/>
      <c r="Q80" s="9"/>
      <c r="R80" s="27">
        <v>419885</v>
      </c>
      <c r="S80" s="9" t="str">
        <f>CONCATENATE(R80,7)</f>
        <v>4198857</v>
      </c>
      <c r="T80" s="9"/>
      <c r="U80" s="6" t="s">
        <v>397</v>
      </c>
      <c r="V80" s="9" t="s">
        <v>398</v>
      </c>
      <c r="W80" s="6" t="s">
        <v>213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s="13" customFormat="1" x14ac:dyDescent="0.2">
      <c r="A81" s="6" t="s">
        <v>116</v>
      </c>
      <c r="B81" s="9">
        <v>16633294</v>
      </c>
      <c r="C81" s="6" t="s">
        <v>213</v>
      </c>
      <c r="D81" s="27">
        <v>419885</v>
      </c>
      <c r="E81" s="7">
        <v>46082</v>
      </c>
      <c r="F81" s="6" t="s">
        <v>49</v>
      </c>
      <c r="G81" s="6" t="s">
        <v>209</v>
      </c>
      <c r="H81" s="6" t="s">
        <v>46</v>
      </c>
      <c r="I81" s="8">
        <v>10</v>
      </c>
      <c r="J81" s="8">
        <v>633.42999999999995</v>
      </c>
      <c r="K81" s="8">
        <v>100</v>
      </c>
      <c r="L81" s="8">
        <v>63.34</v>
      </c>
      <c r="M81" s="6" t="s">
        <v>53</v>
      </c>
      <c r="N81" s="7">
        <v>45839</v>
      </c>
      <c r="O81" s="9" t="s">
        <v>307</v>
      </c>
      <c r="P81" s="9"/>
      <c r="Q81" s="9"/>
      <c r="R81" s="27">
        <v>419885</v>
      </c>
      <c r="S81" s="9" t="str">
        <f>CONCATENATE(R81,7)</f>
        <v>4198857</v>
      </c>
      <c r="T81" s="9"/>
      <c r="U81" s="6" t="s">
        <v>397</v>
      </c>
      <c r="V81" s="9" t="s">
        <v>398</v>
      </c>
      <c r="W81" s="6" t="s">
        <v>213</v>
      </c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s="13" customFormat="1" x14ac:dyDescent="0.2">
      <c r="A82" s="6" t="s">
        <v>116</v>
      </c>
      <c r="B82" s="9">
        <v>16633294</v>
      </c>
      <c r="C82" s="6" t="s">
        <v>213</v>
      </c>
      <c r="D82" s="27">
        <v>419885</v>
      </c>
      <c r="E82" s="7">
        <v>46054</v>
      </c>
      <c r="F82" s="6" t="s">
        <v>90</v>
      </c>
      <c r="G82" s="6" t="s">
        <v>204</v>
      </c>
      <c r="H82" s="6" t="s">
        <v>46</v>
      </c>
      <c r="I82" s="8">
        <v>10</v>
      </c>
      <c r="J82" s="8">
        <v>11.55</v>
      </c>
      <c r="K82" s="8">
        <v>100</v>
      </c>
      <c r="L82" s="8">
        <v>1.1599999999999999</v>
      </c>
      <c r="M82" s="6" t="s">
        <v>53</v>
      </c>
      <c r="N82" s="7">
        <v>45839</v>
      </c>
      <c r="O82" s="9" t="s">
        <v>307</v>
      </c>
      <c r="P82" s="9"/>
      <c r="Q82" s="9"/>
      <c r="R82" s="27">
        <v>419885</v>
      </c>
      <c r="S82" s="9" t="str">
        <f>CONCATENATE(R82,7)</f>
        <v>4198857</v>
      </c>
      <c r="T82" s="9"/>
      <c r="U82" s="6" t="s">
        <v>397</v>
      </c>
      <c r="V82" s="9" t="s">
        <v>398</v>
      </c>
      <c r="W82" s="6" t="s">
        <v>213</v>
      </c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s="13" customFormat="1" x14ac:dyDescent="0.2">
      <c r="A83" s="6" t="s">
        <v>116</v>
      </c>
      <c r="B83" s="9">
        <v>16633294</v>
      </c>
      <c r="C83" s="6" t="s">
        <v>213</v>
      </c>
      <c r="D83" s="27">
        <v>419885</v>
      </c>
      <c r="E83" s="7">
        <v>46082</v>
      </c>
      <c r="F83" s="6" t="s">
        <v>49</v>
      </c>
      <c r="G83" s="6" t="s">
        <v>204</v>
      </c>
      <c r="H83" s="6" t="s">
        <v>46</v>
      </c>
      <c r="I83" s="8">
        <v>10</v>
      </c>
      <c r="J83" s="8">
        <v>307.85000000000002</v>
      </c>
      <c r="K83" s="8">
        <v>100</v>
      </c>
      <c r="L83" s="8">
        <v>30.79</v>
      </c>
      <c r="M83" s="6" t="s">
        <v>53</v>
      </c>
      <c r="N83" s="7">
        <v>45839</v>
      </c>
      <c r="O83" s="9" t="s">
        <v>307</v>
      </c>
      <c r="P83" s="9"/>
      <c r="Q83" s="9"/>
      <c r="R83" s="27">
        <v>419885</v>
      </c>
      <c r="S83" s="9" t="str">
        <f>CONCATENATE(R83,7)</f>
        <v>4198857</v>
      </c>
      <c r="T83" s="9"/>
      <c r="U83" s="6" t="s">
        <v>397</v>
      </c>
      <c r="V83" s="9" t="s">
        <v>398</v>
      </c>
      <c r="W83" s="6" t="s">
        <v>213</v>
      </c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s="13" customFormat="1" x14ac:dyDescent="0.2">
      <c r="A84" s="4" t="s">
        <v>116</v>
      </c>
      <c r="B84">
        <v>16633294</v>
      </c>
      <c r="C84" s="4" t="s">
        <v>117</v>
      </c>
      <c r="D84" s="4" t="s">
        <v>118</v>
      </c>
      <c r="E84" s="3">
        <v>46082</v>
      </c>
      <c r="F84" s="4" t="s">
        <v>49</v>
      </c>
      <c r="G84" s="4" t="s">
        <v>51</v>
      </c>
      <c r="H84" s="4" t="s">
        <v>60</v>
      </c>
      <c r="I84" s="5">
        <v>0.83</v>
      </c>
      <c r="J84" s="5">
        <v>1</v>
      </c>
      <c r="K84" s="5">
        <v>100</v>
      </c>
      <c r="L84" s="5">
        <v>289.17</v>
      </c>
      <c r="M84" s="4" t="s">
        <v>53</v>
      </c>
      <c r="N84" s="3">
        <v>46082</v>
      </c>
      <c r="O84" t="s">
        <v>311</v>
      </c>
      <c r="P84" s="26" t="s">
        <v>316</v>
      </c>
      <c r="Q84"/>
      <c r="R84" s="4" t="s">
        <v>118</v>
      </c>
      <c r="S84" s="32" t="str">
        <f>CONCATENATE(R84,66)</f>
        <v>00026166431K66</v>
      </c>
      <c r="T84"/>
      <c r="U84" s="4" t="s">
        <v>442</v>
      </c>
      <c r="V84" t="s">
        <v>443</v>
      </c>
      <c r="W84" t="str">
        <f>CONCATENATE(V84," ",U84)</f>
        <v>KELVIN BLACK</v>
      </c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</row>
    <row r="85" spans="1:44" s="13" customFormat="1" x14ac:dyDescent="0.2">
      <c r="A85" s="4" t="s">
        <v>177</v>
      </c>
      <c r="B85">
        <v>20220688</v>
      </c>
      <c r="C85" s="4" t="s">
        <v>178</v>
      </c>
      <c r="D85" s="4" t="s">
        <v>179</v>
      </c>
      <c r="E85" s="3">
        <v>46082</v>
      </c>
      <c r="F85" s="4" t="s">
        <v>49</v>
      </c>
      <c r="G85" s="4" t="s">
        <v>51</v>
      </c>
      <c r="H85" s="4" t="s">
        <v>52</v>
      </c>
      <c r="I85" s="5">
        <v>0.83</v>
      </c>
      <c r="J85" s="5">
        <v>1</v>
      </c>
      <c r="K85" s="5">
        <v>100</v>
      </c>
      <c r="L85" s="5">
        <v>289.17</v>
      </c>
      <c r="M85" s="4" t="s">
        <v>53</v>
      </c>
      <c r="N85" s="3">
        <v>46082</v>
      </c>
      <c r="O85" t="s">
        <v>311</v>
      </c>
      <c r="P85" s="26" t="s">
        <v>316</v>
      </c>
      <c r="Q85"/>
      <c r="R85" s="4" t="s">
        <v>179</v>
      </c>
      <c r="S85" s="32" t="str">
        <f>CONCATENATE(R85,66)</f>
        <v>00026149124K66</v>
      </c>
      <c r="T85"/>
      <c r="U85" s="4" t="s">
        <v>439</v>
      </c>
      <c r="V85" t="s">
        <v>440</v>
      </c>
      <c r="W85" t="str">
        <f>CONCATENATE(V85," ",U85)</f>
        <v>OJUNCECEG AJURDZANA</v>
      </c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</row>
  </sheetData>
  <sortState xmlns:xlrd2="http://schemas.microsoft.com/office/spreadsheetml/2017/richdata2" ref="A2:AR85">
    <sortCondition ref="A2:A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2026-02-27T07:54:57Z</dcterms:created>
  <dcterms:modified xsi:type="dcterms:W3CDTF">2026-03-03T15:59:55Z</dcterms:modified>
</cp:coreProperties>
</file>