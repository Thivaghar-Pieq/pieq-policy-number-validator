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8-21-24\"/>
    </mc:Choice>
  </mc:AlternateContent>
  <xr:revisionPtr revIDLastSave="0" documentId="13_ncr:1_{9715028C-3EFD-4EE8-9D95-93677459C079}" xr6:coauthVersionLast="47" xr6:coauthVersionMax="47" xr10:uidLastSave="{00000000-0000-0000-0000-000000000000}"/>
  <bookViews>
    <workbookView xWindow="-57720" yWindow="-120" windowWidth="29040" windowHeight="15720" xr2:uid="{DC771BE6-A67F-4D02-8431-590CB4FFA0AF}"/>
  </bookViews>
  <sheets>
    <sheet name="CommissionData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1" i="1" l="1"/>
</calcChain>
</file>

<file path=xl/sharedStrings.xml><?xml version="1.0" encoding="utf-8"?>
<sst xmlns="http://schemas.openxmlformats.org/spreadsheetml/2006/main" count="407" uniqueCount="113">
  <si>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</si>
  <si>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</si>
  <si>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</si>
  <si>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</si>
  <si>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</si>
  <si>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</si>
  <si>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</si>
  <si>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</si>
  <si>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</si>
  <si>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</si>
  <si>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</si>
  <si>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</si>
  <si>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</si>
  <si>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</si>
  <si>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</si>
  <si>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</si>
  <si>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</si>
  <si>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</si>
  <si>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</si>
  <si>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</si>
  <si>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</si>
  <si>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</si>
  <si>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</si>
  <si>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</si>
  <si>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</si>
  <si>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</si>
  <si>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</si>
  <si>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</si>
  <si>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</si>
  <si>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</si>
  <si>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</si>
  <si>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</si>
  <si>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</si>
  <si>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</si>
  <si>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</si>
  <si>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</si>
  <si>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</si>
  <si>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</si>
  <si>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</si>
  <si>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</si>
  <si>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</si>
  <si>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</si>
  <si>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DEATON PAMELA S</t>
  </si>
  <si>
    <t>PERRING JODY F</t>
  </si>
  <si>
    <t>00021993839K</t>
  </si>
  <si>
    <t>9PR3PX7TD03</t>
  </si>
  <si>
    <t/>
  </si>
  <si>
    <t>MA</t>
  </si>
  <si>
    <t>LV</t>
  </si>
  <si>
    <t>AUG</t>
  </si>
  <si>
    <t>F</t>
  </si>
  <si>
    <t>MEDICARE</t>
  </si>
  <si>
    <t>FIRST YEAR COMMISSIONS</t>
  </si>
  <si>
    <t>ARCF</t>
  </si>
  <si>
    <t>H5216</t>
  </si>
  <si>
    <t>HUNSBERGER ANTHONY J</t>
  </si>
  <si>
    <t>WONG KENNETH J</t>
  </si>
  <si>
    <t>00021996169K</t>
  </si>
  <si>
    <t>4FQ1TU8WH37</t>
  </si>
  <si>
    <t>SEP</t>
  </si>
  <si>
    <t>PORTUGAL GARY</t>
  </si>
  <si>
    <t>PENSON KEENAN L</t>
  </si>
  <si>
    <t>00021873178K</t>
  </si>
  <si>
    <t>5CF0MY3WK11</t>
  </si>
  <si>
    <t>MEDICARE 2ND HALF FIRST YEAR COMM</t>
  </si>
  <si>
    <t>MED2</t>
  </si>
  <si>
    <t>WAHL DANIEL J</t>
  </si>
  <si>
    <t>00021993638K</t>
  </si>
  <si>
    <t>3MG1T56PG38</t>
  </si>
  <si>
    <t>OCT</t>
  </si>
  <si>
    <t>S5884</t>
  </si>
  <si>
    <t>MAX RONALD J</t>
  </si>
  <si>
    <t>BOLUK CINDY M</t>
  </si>
  <si>
    <t>00021987986K</t>
  </si>
  <si>
    <t>8JX9C84KU12</t>
  </si>
  <si>
    <t>H6622</t>
  </si>
  <si>
    <t>PORTUGAL STACEY A</t>
  </si>
  <si>
    <t>CARDONA MIRANDA ANNETTE</t>
  </si>
  <si>
    <t>00021944374K</t>
  </si>
  <si>
    <t>R</t>
  </si>
  <si>
    <t>ADJUSTMENT FIRST YEAR</t>
  </si>
  <si>
    <t>ISPF</t>
  </si>
  <si>
    <t>Elliott Joseph</t>
  </si>
  <si>
    <t>IN</t>
  </si>
  <si>
    <t>CB</t>
  </si>
  <si>
    <t>VISION</t>
  </si>
  <si>
    <t>COMPBENEFITS FIRST YEAR COMMISSION</t>
  </si>
  <si>
    <t>CRCF</t>
  </si>
  <si>
    <t>Grychowski Jerry</t>
  </si>
  <si>
    <t>DENTAL</t>
  </si>
  <si>
    <t>COMPBENEFITS RENEWAL COMMISSION</t>
  </si>
  <si>
    <t>CRCM</t>
  </si>
  <si>
    <t>HOFFMANN JASON R</t>
  </si>
  <si>
    <t>Gerber Elliot</t>
  </si>
  <si>
    <t>Humana MAPD NATIONAL 2024!</t>
  </si>
  <si>
    <t>Humana PDP 2024 Initial</t>
  </si>
  <si>
    <t>Patton Andrew</t>
  </si>
  <si>
    <t>Fields Rachel</t>
  </si>
  <si>
    <t>Kisner Amy S</t>
  </si>
  <si>
    <t>RICHTER ADAM J</t>
  </si>
  <si>
    <t>GILLESPIE MICHAEL P</t>
  </si>
  <si>
    <t>00000858025A</t>
  </si>
  <si>
    <t>MS</t>
  </si>
  <si>
    <t>MED SUPP ANNUALIZED STANDARD</t>
  </si>
  <si>
    <t>MSAS</t>
  </si>
  <si>
    <t>HAYES REBECCA J</t>
  </si>
  <si>
    <t>00000858093A</t>
  </si>
  <si>
    <t>MEYERS STEPHEN J</t>
  </si>
  <si>
    <t>00000857411A</t>
  </si>
  <si>
    <t>JENKINS LANE LINDA C</t>
  </si>
  <si>
    <t>00000858211A</t>
  </si>
  <si>
    <t>KIRBY ANN M</t>
  </si>
  <si>
    <t>00000858621A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</si>
</sst>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0" fontId="0" fillId="0" borderId="0" xfId="0" applyAlignment="1">
      <alignment horizontal="left" vertical="top"/>
    </xf>
    <xf numFmtId="1" fontId="18" fillId="0" borderId="0" xfId="0" applyNumberFormat="1" applyFont="1" applyAlignment="1">
      <alignment horizontal="center" vertical="top"/>
    </xf>
    <xf numFmtId="1" fontId="0" fillId="0" borderId="0" xfId="0" applyNumberFormat="1" applyAlignment="1">
      <alignment horizontal="left" vertical="top"/>
    </xf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E60D6-2C0F-4150-A3B4-6D566B09AE5E}">
  <dimension ref="A1:AP21"/>
  <sheetViews>
    <sheetView tabSelected="1" topLeftCell="W1" workbookViewId="0">
      <selection activeCell="Y22" sqref="Y22"/>
    </sheetView>
  </sheetViews>
  <sheetFormatPr defaultRowHeight="12.75" x14ac:dyDescent="0.2"/>
  <cols>
    <col min="1" max="1" width="8" bestFit="1" customWidth="1"/>
    <col min="2" max="2" width="12.28515625" bestFit="1" customWidth="1"/>
    <col min="3" max="3" width="25.28515625" bestFit="1" customWidth="1"/>
    <col min="4" max="4" width="8" bestFit="1" customWidth="1"/>
    <col min="5" max="5" width="28.7109375" bestFit="1" customWidth="1"/>
    <col min="6" max="6" width="13.42578125" bestFit="1" customWidth="1"/>
    <col min="7" max="7" width="11" style="2" bestFit="1" customWidth="1"/>
    <col min="8" max="8" width="14.5703125" bestFit="1" customWidth="1"/>
    <col min="9" max="9" width="6.85546875" bestFit="1" customWidth="1"/>
    <col min="10" max="10" width="9.5703125" bestFit="1" customWidth="1"/>
    <col min="11" max="11" width="8.85546875" bestFit="1" customWidth="1"/>
    <col min="12" max="12" width="9.85546875" bestFit="1" customWidth="1"/>
    <col min="13" max="13" width="10.7109375" bestFit="1" customWidth="1"/>
    <col min="14" max="14" width="11.5703125" bestFit="1" customWidth="1"/>
    <col min="15" max="15" width="10.7109375" bestFit="1" customWidth="1"/>
    <col min="16" max="16" width="9.28515625" bestFit="1" customWidth="1"/>
    <col min="17" max="17" width="10.140625" bestFit="1" customWidth="1"/>
    <col min="18" max="18" width="5" bestFit="1" customWidth="1"/>
    <col min="19" max="19" width="29" bestFit="1" customWidth="1"/>
    <col min="20" max="20" width="10" bestFit="1" customWidth="1"/>
    <col min="21" max="21" width="12.85546875" bestFit="1" customWidth="1"/>
    <col min="22" max="22" width="11" bestFit="1" customWidth="1"/>
    <col min="23" max="23" width="14" bestFit="1" customWidth="1"/>
    <col min="24" max="24" width="8" bestFit="1" customWidth="1"/>
    <col min="25" max="25" width="12.140625" bestFit="1" customWidth="1"/>
    <col min="26" max="26" width="14.5703125" bestFit="1" customWidth="1"/>
    <col min="27" max="27" width="13.85546875" bestFit="1" customWidth="1"/>
    <col min="28" max="28" width="40.5703125" bestFit="1" customWidth="1"/>
    <col min="29" max="29" width="9.28515625" bestFit="1" customWidth="1"/>
    <col min="30" max="30" width="12" bestFit="1" customWidth="1"/>
    <col min="31" max="31" width="11.28515625" bestFit="1" customWidth="1"/>
    <col min="32" max="32" width="10.140625" bestFit="1" customWidth="1"/>
    <col min="33" max="33" width="11.140625" bestFit="1" customWidth="1"/>
    <col min="34" max="34" width="11" bestFit="1" customWidth="1"/>
    <col min="35" max="35" width="10.140625" bestFit="1" customWidth="1"/>
    <col min="36" max="36" width="12" bestFit="1" customWidth="1"/>
    <col min="37" max="37" width="15.7109375" bestFit="1" customWidth="1"/>
    <col min="38" max="38" width="11.85546875" bestFit="1" customWidth="1"/>
    <col min="39" max="39" width="13.85546875" bestFit="1" customWidth="1"/>
    <col min="40" max="40" width="8.5703125" bestFit="1" customWidth="1"/>
    <col min="41" max="41" width="8" bestFit="1" customWidth="1"/>
    <col min="42" max="42" width="11.5703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45525</v>
      </c>
      <c r="C2" s="4" t="s">
        <v>42</v>
      </c>
      <c r="D2" s="2">
        <v>1509744</v>
      </c>
      <c r="E2" s="4" t="s">
        <v>43</v>
      </c>
      <c r="F2" s="4" t="s">
        <v>44</v>
      </c>
      <c r="G2" s="2">
        <v>442239390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45505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94</v>
      </c>
      <c r="T2" s="4"/>
      <c r="U2" s="4" t="s">
        <v>46</v>
      </c>
      <c r="V2" s="5">
        <v>0.42</v>
      </c>
      <c r="W2" s="5">
        <v>0</v>
      </c>
      <c r="X2" s="5">
        <v>100</v>
      </c>
      <c r="Y2" s="5">
        <v>127.5</v>
      </c>
      <c r="Z2" s="4" t="s">
        <v>46</v>
      </c>
      <c r="AA2" s="5" t="s">
        <v>46</v>
      </c>
      <c r="AB2" s="4" t="s">
        <v>52</v>
      </c>
      <c r="AC2" s="4" t="s">
        <v>46</v>
      </c>
      <c r="AD2" s="5">
        <v>0</v>
      </c>
      <c r="AE2" s="4" t="s">
        <v>53</v>
      </c>
      <c r="AF2" s="3">
        <v>45505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54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45525</v>
      </c>
      <c r="C3" s="4" t="s">
        <v>55</v>
      </c>
      <c r="D3" s="2">
        <v>1510420</v>
      </c>
      <c r="E3" s="4" t="s">
        <v>56</v>
      </c>
      <c r="F3" s="4" t="s">
        <v>57</v>
      </c>
      <c r="G3" s="2">
        <v>974299156</v>
      </c>
      <c r="H3" s="4" t="s">
        <v>58</v>
      </c>
      <c r="I3" s="4" t="s">
        <v>46</v>
      </c>
      <c r="J3" s="4" t="s">
        <v>47</v>
      </c>
      <c r="K3" s="4" t="s">
        <v>48</v>
      </c>
      <c r="L3" s="3">
        <v>45536</v>
      </c>
      <c r="M3" s="4" t="s">
        <v>59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94</v>
      </c>
      <c r="T3" s="4"/>
      <c r="U3" s="4" t="s">
        <v>46</v>
      </c>
      <c r="V3" s="5">
        <v>0.33</v>
      </c>
      <c r="W3" s="5">
        <v>0</v>
      </c>
      <c r="X3" s="5">
        <v>100</v>
      </c>
      <c r="Y3" s="5">
        <v>102</v>
      </c>
      <c r="Z3" s="4" t="s">
        <v>46</v>
      </c>
      <c r="AA3" s="5" t="s">
        <v>46</v>
      </c>
      <c r="AB3" s="4" t="s">
        <v>52</v>
      </c>
      <c r="AC3" s="4" t="s">
        <v>46</v>
      </c>
      <c r="AD3" s="5">
        <v>0</v>
      </c>
      <c r="AE3" s="4" t="s">
        <v>53</v>
      </c>
      <c r="AF3" s="3">
        <v>45536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54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45525</v>
      </c>
      <c r="C4" s="4" t="s">
        <v>60</v>
      </c>
      <c r="D4" s="2">
        <v>1703942</v>
      </c>
      <c r="E4" s="4" t="s">
        <v>61</v>
      </c>
      <c r="F4" s="4" t="s">
        <v>62</v>
      </c>
      <c r="G4" s="2">
        <v>522033385</v>
      </c>
      <c r="H4" s="4" t="s">
        <v>63</v>
      </c>
      <c r="I4" s="4" t="s">
        <v>46</v>
      </c>
      <c r="J4" s="4" t="s">
        <v>47</v>
      </c>
      <c r="K4" s="4" t="s">
        <v>48</v>
      </c>
      <c r="L4" s="3">
        <v>45536</v>
      </c>
      <c r="M4" s="4" t="s">
        <v>59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94</v>
      </c>
      <c r="T4" s="4"/>
      <c r="U4" s="4" t="s">
        <v>46</v>
      </c>
      <c r="V4" s="5">
        <v>0</v>
      </c>
      <c r="W4" s="5">
        <v>0</v>
      </c>
      <c r="X4" s="5">
        <v>100</v>
      </c>
      <c r="Y4" s="5">
        <v>-509</v>
      </c>
      <c r="Z4" s="4" t="s">
        <v>46</v>
      </c>
      <c r="AA4" s="5" t="s">
        <v>46</v>
      </c>
      <c r="AB4" s="4" t="s">
        <v>64</v>
      </c>
      <c r="AC4" s="4" t="s">
        <v>46</v>
      </c>
      <c r="AD4" s="5">
        <v>0</v>
      </c>
      <c r="AE4" s="4" t="s">
        <v>65</v>
      </c>
      <c r="AF4" s="3">
        <v>45536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54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45525</v>
      </c>
      <c r="C5" s="4" t="s">
        <v>60</v>
      </c>
      <c r="D5" s="2">
        <v>1703942</v>
      </c>
      <c r="E5" s="4" t="s">
        <v>61</v>
      </c>
      <c r="F5" s="4" t="s">
        <v>62</v>
      </c>
      <c r="G5" s="2">
        <v>522033385</v>
      </c>
      <c r="H5" s="4" t="s">
        <v>63</v>
      </c>
      <c r="I5" s="4" t="s">
        <v>46</v>
      </c>
      <c r="J5" s="4" t="s">
        <v>47</v>
      </c>
      <c r="K5" s="4" t="s">
        <v>48</v>
      </c>
      <c r="L5" s="3">
        <v>45536</v>
      </c>
      <c r="M5" s="4" t="s">
        <v>59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94</v>
      </c>
      <c r="T5" s="4"/>
      <c r="U5" s="4" t="s">
        <v>46</v>
      </c>
      <c r="V5" s="5">
        <v>-0.33</v>
      </c>
      <c r="W5" s="5">
        <v>0</v>
      </c>
      <c r="X5" s="5">
        <v>100</v>
      </c>
      <c r="Y5" s="5">
        <v>-102</v>
      </c>
      <c r="Z5" s="4" t="s">
        <v>46</v>
      </c>
      <c r="AA5" s="5" t="s">
        <v>46</v>
      </c>
      <c r="AB5" s="4" t="s">
        <v>52</v>
      </c>
      <c r="AC5" s="4" t="s">
        <v>46</v>
      </c>
      <c r="AD5" s="5">
        <v>0</v>
      </c>
      <c r="AE5" s="4" t="s">
        <v>53</v>
      </c>
      <c r="AF5" s="3">
        <v>45536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54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45525</v>
      </c>
      <c r="C6" s="4" t="s">
        <v>60</v>
      </c>
      <c r="D6" s="2">
        <v>1703942</v>
      </c>
      <c r="E6" s="4" t="s">
        <v>66</v>
      </c>
      <c r="F6" s="4" t="s">
        <v>67</v>
      </c>
      <c r="G6" s="2">
        <v>361252054</v>
      </c>
      <c r="H6" s="4" t="s">
        <v>68</v>
      </c>
      <c r="I6" s="4" t="s">
        <v>46</v>
      </c>
      <c r="J6" s="4" t="s">
        <v>47</v>
      </c>
      <c r="K6" s="4" t="s">
        <v>48</v>
      </c>
      <c r="L6" s="3">
        <v>45566</v>
      </c>
      <c r="M6" s="4" t="s">
        <v>69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95</v>
      </c>
      <c r="T6" s="4"/>
      <c r="U6" s="4" t="s">
        <v>46</v>
      </c>
      <c r="V6" s="5">
        <v>0.25</v>
      </c>
      <c r="W6" s="5">
        <v>0</v>
      </c>
      <c r="X6" s="5">
        <v>100</v>
      </c>
      <c r="Y6" s="5">
        <v>12.5</v>
      </c>
      <c r="Z6" s="4" t="s">
        <v>46</v>
      </c>
      <c r="AA6" s="5" t="s">
        <v>46</v>
      </c>
      <c r="AB6" s="4" t="s">
        <v>52</v>
      </c>
      <c r="AC6" s="4" t="s">
        <v>46</v>
      </c>
      <c r="AD6" s="5">
        <v>0</v>
      </c>
      <c r="AE6" s="4" t="s">
        <v>53</v>
      </c>
      <c r="AF6" s="3">
        <v>45566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70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45525</v>
      </c>
      <c r="C7" s="4" t="s">
        <v>71</v>
      </c>
      <c r="D7" s="2">
        <v>1775329</v>
      </c>
      <c r="E7" s="4" t="s">
        <v>72</v>
      </c>
      <c r="F7" s="4" t="s">
        <v>73</v>
      </c>
      <c r="G7" s="2">
        <v>370996553</v>
      </c>
      <c r="H7" s="4" t="s">
        <v>74</v>
      </c>
      <c r="I7" s="4" t="s">
        <v>46</v>
      </c>
      <c r="J7" s="4" t="s">
        <v>47</v>
      </c>
      <c r="K7" s="4" t="s">
        <v>48</v>
      </c>
      <c r="L7" s="3">
        <v>45536</v>
      </c>
      <c r="M7" s="4" t="s">
        <v>59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94</v>
      </c>
      <c r="T7" s="4"/>
      <c r="U7" s="4" t="s">
        <v>46</v>
      </c>
      <c r="V7" s="5">
        <v>0.33</v>
      </c>
      <c r="W7" s="5">
        <v>0</v>
      </c>
      <c r="X7" s="5">
        <v>100</v>
      </c>
      <c r="Y7" s="5">
        <v>102</v>
      </c>
      <c r="Z7" s="4" t="s">
        <v>46</v>
      </c>
      <c r="AA7" s="5" t="s">
        <v>46</v>
      </c>
      <c r="AB7" s="4" t="s">
        <v>52</v>
      </c>
      <c r="AC7" s="4" t="s">
        <v>46</v>
      </c>
      <c r="AD7" s="5">
        <v>0</v>
      </c>
      <c r="AE7" s="4" t="s">
        <v>53</v>
      </c>
      <c r="AF7" s="3">
        <v>45536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75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45525</v>
      </c>
      <c r="C8" s="4" t="s">
        <v>76</v>
      </c>
      <c r="D8" s="2">
        <v>1855975</v>
      </c>
      <c r="E8" s="4" t="s">
        <v>77</v>
      </c>
      <c r="F8" s="4" t="s">
        <v>78</v>
      </c>
      <c r="G8" s="2">
        <v>573903363</v>
      </c>
      <c r="H8" s="4" t="s">
        <v>46</v>
      </c>
      <c r="I8" s="4" t="s">
        <v>46</v>
      </c>
      <c r="J8" s="4" t="s">
        <v>47</v>
      </c>
      <c r="K8" s="4" t="s">
        <v>48</v>
      </c>
      <c r="L8" s="3">
        <v>45505</v>
      </c>
      <c r="M8" s="4" t="s">
        <v>49</v>
      </c>
      <c r="N8" s="4" t="s">
        <v>46</v>
      </c>
      <c r="O8" s="4" t="s">
        <v>50</v>
      </c>
      <c r="P8" s="4" t="s">
        <v>79</v>
      </c>
      <c r="Q8" s="2">
        <v>0</v>
      </c>
      <c r="R8" s="2">
        <v>17</v>
      </c>
      <c r="S8" s="4" t="s">
        <v>94</v>
      </c>
      <c r="T8" s="4"/>
      <c r="U8" s="4" t="s">
        <v>46</v>
      </c>
      <c r="V8" s="5">
        <v>0.42</v>
      </c>
      <c r="W8" s="5">
        <v>0</v>
      </c>
      <c r="X8" s="5">
        <v>100</v>
      </c>
      <c r="Y8" s="5">
        <v>-127.5</v>
      </c>
      <c r="Z8" s="4" t="s">
        <v>46</v>
      </c>
      <c r="AA8" s="5" t="s">
        <v>46</v>
      </c>
      <c r="AB8" s="4" t="s">
        <v>80</v>
      </c>
      <c r="AC8" s="4" t="s">
        <v>46</v>
      </c>
      <c r="AD8" s="5">
        <v>0</v>
      </c>
      <c r="AE8" s="4" t="s">
        <v>81</v>
      </c>
      <c r="AF8" s="3">
        <v>45505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46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45525</v>
      </c>
      <c r="C9" s="4" t="s">
        <v>42</v>
      </c>
      <c r="D9" s="2">
        <v>1509744</v>
      </c>
      <c r="E9" s="4" t="s">
        <v>82</v>
      </c>
      <c r="F9" s="6">
        <v>9028205190</v>
      </c>
      <c r="G9" s="8">
        <v>9028205190</v>
      </c>
      <c r="H9" s="4" t="s">
        <v>46</v>
      </c>
      <c r="I9" s="4" t="s">
        <v>46</v>
      </c>
      <c r="J9" s="4" t="s">
        <v>83</v>
      </c>
      <c r="K9" s="4" t="s">
        <v>84</v>
      </c>
      <c r="L9" s="3">
        <v>45536</v>
      </c>
      <c r="M9" s="4" t="s">
        <v>59</v>
      </c>
      <c r="N9" s="4" t="s">
        <v>46</v>
      </c>
      <c r="O9" s="4" t="s">
        <v>50</v>
      </c>
      <c r="P9" s="4" t="s">
        <v>79</v>
      </c>
      <c r="Q9" s="2">
        <v>2</v>
      </c>
      <c r="R9" s="2">
        <v>60</v>
      </c>
      <c r="S9" s="4" t="s">
        <v>85</v>
      </c>
      <c r="T9" s="4" t="s">
        <v>46</v>
      </c>
      <c r="U9" s="4" t="s">
        <v>46</v>
      </c>
      <c r="V9" s="5">
        <v>10</v>
      </c>
      <c r="W9" s="5">
        <v>26.88</v>
      </c>
      <c r="X9" s="5">
        <v>100</v>
      </c>
      <c r="Y9" s="5">
        <v>2.69</v>
      </c>
      <c r="Z9" s="4" t="s">
        <v>46</v>
      </c>
      <c r="AA9" s="5" t="s">
        <v>46</v>
      </c>
      <c r="AB9" s="4" t="s">
        <v>86</v>
      </c>
      <c r="AC9" s="4" t="s">
        <v>46</v>
      </c>
      <c r="AD9" s="5">
        <v>0</v>
      </c>
      <c r="AE9" s="4" t="s">
        <v>87</v>
      </c>
      <c r="AF9" s="3">
        <v>45276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46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45525</v>
      </c>
      <c r="C10" s="4" t="s">
        <v>55</v>
      </c>
      <c r="D10" s="2">
        <v>1510420</v>
      </c>
      <c r="E10" s="4" t="s">
        <v>88</v>
      </c>
      <c r="F10" s="6">
        <v>9007596540</v>
      </c>
      <c r="G10" s="8">
        <v>9007596540</v>
      </c>
      <c r="H10" s="4" t="s">
        <v>46</v>
      </c>
      <c r="I10" s="4" t="s">
        <v>46</v>
      </c>
      <c r="J10" s="4" t="s">
        <v>83</v>
      </c>
      <c r="K10" s="4" t="s">
        <v>84</v>
      </c>
      <c r="L10" s="3">
        <v>45536</v>
      </c>
      <c r="M10" s="4" t="s">
        <v>59</v>
      </c>
      <c r="N10" s="4" t="s">
        <v>46</v>
      </c>
      <c r="O10" s="4" t="s">
        <v>79</v>
      </c>
      <c r="P10" s="4" t="s">
        <v>79</v>
      </c>
      <c r="Q10" s="2">
        <v>2</v>
      </c>
      <c r="R10" s="2">
        <v>3</v>
      </c>
      <c r="S10" s="4" t="s">
        <v>89</v>
      </c>
      <c r="T10" s="4" t="s">
        <v>46</v>
      </c>
      <c r="U10" s="4" t="s">
        <v>46</v>
      </c>
      <c r="V10" s="5">
        <v>10</v>
      </c>
      <c r="W10" s="5">
        <v>43.09</v>
      </c>
      <c r="X10" s="5">
        <v>100</v>
      </c>
      <c r="Y10" s="5">
        <v>4.3099999999999996</v>
      </c>
      <c r="Z10" s="4" t="s">
        <v>46</v>
      </c>
      <c r="AA10" s="5" t="s">
        <v>46</v>
      </c>
      <c r="AB10" s="4" t="s">
        <v>90</v>
      </c>
      <c r="AC10" s="4" t="s">
        <v>46</v>
      </c>
      <c r="AD10" s="5">
        <v>0</v>
      </c>
      <c r="AE10" s="4" t="s">
        <v>91</v>
      </c>
      <c r="AF10" s="3">
        <v>40969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46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45525</v>
      </c>
      <c r="C11" s="4" t="s">
        <v>92</v>
      </c>
      <c r="D11" s="2">
        <v>1524629</v>
      </c>
      <c r="E11" s="4" t="s">
        <v>93</v>
      </c>
      <c r="F11" s="6">
        <v>654656220</v>
      </c>
      <c r="G11" s="8">
        <v>654656220</v>
      </c>
      <c r="H11" s="4" t="s">
        <v>46</v>
      </c>
      <c r="I11" s="4" t="s">
        <v>46</v>
      </c>
      <c r="J11" s="4" t="s">
        <v>83</v>
      </c>
      <c r="K11" s="4" t="s">
        <v>84</v>
      </c>
      <c r="L11" s="3">
        <v>45536</v>
      </c>
      <c r="M11" s="4" t="s">
        <v>59</v>
      </c>
      <c r="N11" s="4" t="s">
        <v>46</v>
      </c>
      <c r="O11" s="4" t="s">
        <v>50</v>
      </c>
      <c r="P11" s="4" t="s">
        <v>79</v>
      </c>
      <c r="Q11" s="2">
        <v>1</v>
      </c>
      <c r="R11" s="2">
        <v>60</v>
      </c>
      <c r="S11" s="4" t="s">
        <v>85</v>
      </c>
      <c r="T11" s="4" t="s">
        <v>46</v>
      </c>
      <c r="U11" s="4" t="s">
        <v>46</v>
      </c>
      <c r="V11" s="5">
        <v>10</v>
      </c>
      <c r="W11" s="5">
        <v>12.99</v>
      </c>
      <c r="X11" s="5">
        <v>100</v>
      </c>
      <c r="Y11" s="5">
        <v>1.3</v>
      </c>
      <c r="Z11" s="4" t="s">
        <v>46</v>
      </c>
      <c r="AA11" s="5" t="s">
        <v>46</v>
      </c>
      <c r="AB11" s="4" t="s">
        <v>86</v>
      </c>
      <c r="AC11" s="4" t="s">
        <v>46</v>
      </c>
      <c r="AD11" s="5">
        <v>0</v>
      </c>
      <c r="AE11" s="4" t="s">
        <v>87</v>
      </c>
      <c r="AF11" s="3">
        <v>45371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46</v>
      </c>
      <c r="AO11" s="4" t="s">
        <v>46</v>
      </c>
      <c r="AP11" s="4" t="s">
        <v>46</v>
      </c>
    </row>
    <row r="12" spans="1:42" x14ac:dyDescent="0.2">
      <c r="A12">
        <v>1891456</v>
      </c>
      <c r="B12" s="3">
        <v>45518</v>
      </c>
      <c r="C12" t="s">
        <v>42</v>
      </c>
      <c r="D12">
        <v>1509744</v>
      </c>
      <c r="E12" t="s">
        <v>96</v>
      </c>
      <c r="F12">
        <v>9028352660</v>
      </c>
      <c r="J12" t="s">
        <v>83</v>
      </c>
      <c r="K12" t="s">
        <v>84</v>
      </c>
      <c r="L12" s="3">
        <v>45536</v>
      </c>
      <c r="M12" t="s">
        <v>59</v>
      </c>
      <c r="O12" t="s">
        <v>50</v>
      </c>
      <c r="P12" t="s">
        <v>79</v>
      </c>
      <c r="Q12">
        <v>2</v>
      </c>
      <c r="R12">
        <v>60</v>
      </c>
      <c r="S12" t="s">
        <v>85</v>
      </c>
      <c r="V12">
        <v>10</v>
      </c>
      <c r="W12">
        <v>26.88</v>
      </c>
      <c r="X12">
        <v>100</v>
      </c>
      <c r="Y12">
        <v>2.69</v>
      </c>
      <c r="AB12" t="s">
        <v>86</v>
      </c>
      <c r="AD12">
        <v>0</v>
      </c>
      <c r="AE12" t="s">
        <v>87</v>
      </c>
      <c r="AF12" s="3">
        <v>45307</v>
      </c>
    </row>
    <row r="13" spans="1:42" x14ac:dyDescent="0.2">
      <c r="A13">
        <v>1891456</v>
      </c>
      <c r="B13" s="3">
        <v>45518</v>
      </c>
      <c r="C13" t="s">
        <v>55</v>
      </c>
      <c r="D13">
        <v>1510420</v>
      </c>
      <c r="E13" t="s">
        <v>97</v>
      </c>
      <c r="F13">
        <v>9007471970</v>
      </c>
      <c r="J13" t="s">
        <v>83</v>
      </c>
      <c r="K13" t="s">
        <v>84</v>
      </c>
      <c r="L13" s="3">
        <v>45536</v>
      </c>
      <c r="M13" t="s">
        <v>59</v>
      </c>
      <c r="O13" t="s">
        <v>79</v>
      </c>
      <c r="P13" t="s">
        <v>79</v>
      </c>
      <c r="Q13">
        <v>1</v>
      </c>
      <c r="R13">
        <v>3</v>
      </c>
      <c r="S13" t="s">
        <v>89</v>
      </c>
      <c r="V13">
        <v>10</v>
      </c>
      <c r="W13">
        <v>21.54</v>
      </c>
      <c r="X13">
        <v>100</v>
      </c>
      <c r="Y13">
        <v>2.15</v>
      </c>
      <c r="AB13" t="s">
        <v>90</v>
      </c>
      <c r="AD13">
        <v>0</v>
      </c>
      <c r="AE13" t="s">
        <v>91</v>
      </c>
      <c r="AF13" s="3">
        <v>40848</v>
      </c>
    </row>
    <row r="14" spans="1:42" x14ac:dyDescent="0.2">
      <c r="A14">
        <v>1891456</v>
      </c>
      <c r="B14" s="3">
        <v>45518</v>
      </c>
      <c r="C14" t="s">
        <v>55</v>
      </c>
      <c r="D14">
        <v>1510420</v>
      </c>
      <c r="E14" t="s">
        <v>98</v>
      </c>
      <c r="F14">
        <v>9007573590</v>
      </c>
      <c r="J14" t="s">
        <v>83</v>
      </c>
      <c r="K14" t="s">
        <v>84</v>
      </c>
      <c r="L14" s="3">
        <v>45536</v>
      </c>
      <c r="M14" t="s">
        <v>59</v>
      </c>
      <c r="O14" t="s">
        <v>79</v>
      </c>
      <c r="P14" t="s">
        <v>79</v>
      </c>
      <c r="Q14">
        <v>1</v>
      </c>
      <c r="R14">
        <v>3</v>
      </c>
      <c r="S14" t="s">
        <v>89</v>
      </c>
      <c r="V14">
        <v>10</v>
      </c>
      <c r="W14">
        <v>21.54</v>
      </c>
      <c r="X14">
        <v>100</v>
      </c>
      <c r="Y14">
        <v>2.15</v>
      </c>
      <c r="AB14" t="s">
        <v>90</v>
      </c>
      <c r="AD14">
        <v>0</v>
      </c>
      <c r="AE14" t="s">
        <v>91</v>
      </c>
      <c r="AF14" s="3">
        <v>40969</v>
      </c>
    </row>
    <row r="15" spans="1:42" x14ac:dyDescent="0.2">
      <c r="A15">
        <v>1891456</v>
      </c>
      <c r="B15" s="3">
        <v>45518</v>
      </c>
      <c r="C15" t="s">
        <v>99</v>
      </c>
      <c r="D15">
        <v>1545980</v>
      </c>
      <c r="E15" t="s">
        <v>100</v>
      </c>
      <c r="F15" t="s">
        <v>101</v>
      </c>
      <c r="J15" t="s">
        <v>102</v>
      </c>
      <c r="K15" t="s">
        <v>48</v>
      </c>
      <c r="L15" s="3">
        <v>45505</v>
      </c>
      <c r="M15" t="s">
        <v>49</v>
      </c>
      <c r="O15" t="s">
        <v>50</v>
      </c>
      <c r="P15" t="s">
        <v>79</v>
      </c>
      <c r="Q15">
        <v>1</v>
      </c>
      <c r="R15">
        <v>17</v>
      </c>
      <c r="S15" t="s">
        <v>51</v>
      </c>
      <c r="V15">
        <v>11</v>
      </c>
      <c r="W15">
        <v>631.44000000000005</v>
      </c>
      <c r="X15">
        <v>100</v>
      </c>
      <c r="Y15">
        <v>69.48</v>
      </c>
      <c r="Z15">
        <v>0</v>
      </c>
      <c r="AA15" s="9">
        <v>0</v>
      </c>
      <c r="AB15" t="s">
        <v>103</v>
      </c>
      <c r="AD15">
        <v>0</v>
      </c>
      <c r="AE15" t="s">
        <v>104</v>
      </c>
      <c r="AF15" s="3">
        <v>45505</v>
      </c>
    </row>
    <row r="16" spans="1:42" x14ac:dyDescent="0.2">
      <c r="A16">
        <v>1891456</v>
      </c>
      <c r="B16" s="3">
        <v>45518</v>
      </c>
      <c r="C16" t="s">
        <v>60</v>
      </c>
      <c r="D16">
        <v>1703942</v>
      </c>
      <c r="E16" t="s">
        <v>105</v>
      </c>
      <c r="F16" t="s">
        <v>106</v>
      </c>
      <c r="J16" t="s">
        <v>102</v>
      </c>
      <c r="K16" t="s">
        <v>48</v>
      </c>
      <c r="L16" s="3">
        <v>45505</v>
      </c>
      <c r="M16" t="s">
        <v>49</v>
      </c>
      <c r="O16" t="s">
        <v>50</v>
      </c>
      <c r="P16" t="s">
        <v>79</v>
      </c>
      <c r="Q16">
        <v>1</v>
      </c>
      <c r="R16">
        <v>17</v>
      </c>
      <c r="S16" t="s">
        <v>51</v>
      </c>
      <c r="V16">
        <v>22</v>
      </c>
      <c r="W16">
        <v>1570.44</v>
      </c>
      <c r="X16">
        <v>100</v>
      </c>
      <c r="Y16">
        <v>345.48</v>
      </c>
      <c r="Z16">
        <v>0</v>
      </c>
      <c r="AA16">
        <v>0</v>
      </c>
      <c r="AB16" t="s">
        <v>103</v>
      </c>
      <c r="AD16">
        <v>0</v>
      </c>
      <c r="AE16" t="s">
        <v>104</v>
      </c>
      <c r="AF16" s="3">
        <v>45505</v>
      </c>
    </row>
    <row r="17" spans="1:32" x14ac:dyDescent="0.2">
      <c r="A17">
        <v>1891456</v>
      </c>
      <c r="B17" s="3">
        <v>45518</v>
      </c>
      <c r="C17" t="s">
        <v>71</v>
      </c>
      <c r="D17">
        <v>1775329</v>
      </c>
      <c r="E17" t="s">
        <v>107</v>
      </c>
      <c r="F17" t="s">
        <v>108</v>
      </c>
      <c r="J17" t="s">
        <v>102</v>
      </c>
      <c r="K17" t="s">
        <v>48</v>
      </c>
      <c r="L17" s="3">
        <v>45505</v>
      </c>
      <c r="M17" t="s">
        <v>49</v>
      </c>
      <c r="O17" t="s">
        <v>50</v>
      </c>
      <c r="P17" t="s">
        <v>79</v>
      </c>
      <c r="Q17">
        <v>1</v>
      </c>
      <c r="R17">
        <v>17</v>
      </c>
      <c r="S17" t="s">
        <v>51</v>
      </c>
      <c r="V17">
        <v>11</v>
      </c>
      <c r="W17">
        <v>1706.04</v>
      </c>
      <c r="X17">
        <v>100</v>
      </c>
      <c r="Y17">
        <v>187.68</v>
      </c>
      <c r="Z17">
        <v>0</v>
      </c>
      <c r="AA17">
        <v>0</v>
      </c>
      <c r="AB17" t="s">
        <v>103</v>
      </c>
      <c r="AD17">
        <v>0</v>
      </c>
      <c r="AE17" t="s">
        <v>104</v>
      </c>
      <c r="AF17" s="3">
        <v>45505</v>
      </c>
    </row>
    <row r="18" spans="1:32" x14ac:dyDescent="0.2">
      <c r="A18">
        <v>1891456</v>
      </c>
      <c r="B18" s="3">
        <v>45518</v>
      </c>
      <c r="C18" t="s">
        <v>71</v>
      </c>
      <c r="D18">
        <v>1775329</v>
      </c>
      <c r="E18" t="s">
        <v>109</v>
      </c>
      <c r="F18" t="s">
        <v>110</v>
      </c>
      <c r="J18" t="s">
        <v>102</v>
      </c>
      <c r="K18" t="s">
        <v>48</v>
      </c>
      <c r="L18" s="3">
        <v>45505</v>
      </c>
      <c r="M18" t="s">
        <v>49</v>
      </c>
      <c r="O18" t="s">
        <v>50</v>
      </c>
      <c r="P18" t="s">
        <v>79</v>
      </c>
      <c r="Q18">
        <v>1</v>
      </c>
      <c r="R18">
        <v>17</v>
      </c>
      <c r="S18" t="s">
        <v>51</v>
      </c>
      <c r="V18">
        <v>11</v>
      </c>
      <c r="W18">
        <v>1512.24</v>
      </c>
      <c r="X18">
        <v>100</v>
      </c>
      <c r="Y18">
        <v>166.32</v>
      </c>
      <c r="Z18">
        <v>0</v>
      </c>
      <c r="AA18">
        <v>0</v>
      </c>
      <c r="AB18" t="s">
        <v>103</v>
      </c>
      <c r="AD18">
        <v>0</v>
      </c>
      <c r="AE18" t="s">
        <v>104</v>
      </c>
      <c r="AF18" s="3">
        <v>45505</v>
      </c>
    </row>
    <row r="19" spans="1:32" x14ac:dyDescent="0.2">
      <c r="A19">
        <v>1891456</v>
      </c>
      <c r="B19" s="3">
        <v>45518</v>
      </c>
      <c r="C19" t="s">
        <v>71</v>
      </c>
      <c r="D19">
        <v>1775329</v>
      </c>
      <c r="E19" t="s">
        <v>111</v>
      </c>
      <c r="F19" t="s">
        <v>112</v>
      </c>
      <c r="J19" t="s">
        <v>102</v>
      </c>
      <c r="K19" t="s">
        <v>48</v>
      </c>
      <c r="L19" s="3">
        <v>45505</v>
      </c>
      <c r="M19" t="s">
        <v>49</v>
      </c>
      <c r="O19" t="s">
        <v>50</v>
      </c>
      <c r="P19" t="s">
        <v>79</v>
      </c>
      <c r="Q19">
        <v>1</v>
      </c>
      <c r="R19">
        <v>17</v>
      </c>
      <c r="S19" t="s">
        <v>51</v>
      </c>
      <c r="V19">
        <v>11</v>
      </c>
      <c r="W19">
        <v>1100.04</v>
      </c>
      <c r="X19">
        <v>100</v>
      </c>
      <c r="Y19">
        <v>120.96</v>
      </c>
      <c r="Z19">
        <v>0</v>
      </c>
      <c r="AA19">
        <v>0</v>
      </c>
      <c r="AB19" t="s">
        <v>103</v>
      </c>
      <c r="AD19">
        <v>0</v>
      </c>
      <c r="AE19" t="s">
        <v>104</v>
      </c>
      <c r="AF19" s="3">
        <v>45505</v>
      </c>
    </row>
    <row r="21" spans="1:32" x14ac:dyDescent="0.2">
      <c r="Y21" s="5">
        <f>SUM(Y2:Y19)</f>
        <v>510.71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2024-08-23T18:19:17Z</dcterms:created>
  <dcterms:modified xsi:type="dcterms:W3CDTF">2024-08-28T20:02:56Z</dcterms:modified>
</cp:coreProperties>
</file>