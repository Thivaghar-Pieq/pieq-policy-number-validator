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umana MAPD/12-11-24/"/>
    </mc:Choice>
  </mc:AlternateContent>
  <xr:revisionPtr revIDLastSave="0" documentId="13_ncr:1_{1B97ED74-438E-B448-846C-6462E75DCDC5}" xr6:coauthVersionLast="47" xr6:coauthVersionMax="47" xr10:uidLastSave="{00000000-0000-0000-0000-000000000000}"/>
  <bookViews>
    <workbookView xWindow="0" yWindow="500" windowWidth="19200" windowHeight="19360" activeTab="1" xr2:uid="{C7558172-EC71-4574-B355-1BA092759FA6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2" l="1"/>
  <c r="H45" i="2"/>
  <c r="H46" i="2"/>
  <c r="H47" i="2"/>
  <c r="H48" i="2"/>
  <c r="H49" i="2"/>
  <c r="H50" i="2"/>
  <c r="H51" i="2"/>
  <c r="H43" i="2"/>
  <c r="H41" i="2"/>
  <c r="H42" i="2"/>
  <c r="H40" i="2"/>
  <c r="H32" i="2"/>
  <c r="H33" i="2"/>
  <c r="H34" i="2"/>
  <c r="H35" i="2"/>
  <c r="H36" i="2"/>
  <c r="H37" i="2"/>
  <c r="H38" i="2"/>
  <c r="H39" i="2"/>
  <c r="H3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2" i="2"/>
  <c r="X52" i="2"/>
  <c r="Y52" i="1"/>
</calcChain>
</file>

<file path=xl/sharedStrings.xml><?xml version="1.0" encoding="utf-8"?>
<sst xmlns="http://schemas.openxmlformats.org/spreadsheetml/2006/main" count="2854" uniqueCount="216">
  <si>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</si>
  <si>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</si>
  <si>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</si>
  <si>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</si>
  <si>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</si>
  <si>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</si>
  <si>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</si>
  <si>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</si>
  <si>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</si>
  <si>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</si>
  <si>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</si>
  <si>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</si>
  <si>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</si>
  <si>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</si>
  <si>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</si>
  <si>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</si>
  <si>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</si>
  <si>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</si>
  <si>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</si>
  <si>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</si>
  <si>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</si>
  <si>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</si>
  <si>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</si>
  <si>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</si>
  <si>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</si>
  <si>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</si>
  <si>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</si>
  <si>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</si>
  <si>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</si>
  <si>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</si>
  <si>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</si>
  <si>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</si>
  <si>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</si>
  <si>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</si>
  <si>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</si>
  <si>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</si>
  <si>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</si>
  <si>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</si>
  <si>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</si>
  <si>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</si>
  <si>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</si>
  <si>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</si>
  <si>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</si>
  <si>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</si>
  <si>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</si>
  <si>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>2DJ6M55KM55</t>
  </si>
  <si>
    <t/>
  </si>
  <si>
    <t>MA</t>
  </si>
  <si>
    <t>LV</t>
  </si>
  <si>
    <t>DEC</t>
  </si>
  <si>
    <t>F</t>
  </si>
  <si>
    <t>MEDICARE</t>
  </si>
  <si>
    <t>MER</t>
  </si>
  <si>
    <t>MEDICARE 2ND HALF FIRST YEAR COMM</t>
  </si>
  <si>
    <t>MED2</t>
  </si>
  <si>
    <t>H1036</t>
  </si>
  <si>
    <t>HORN JEFFREY E</t>
  </si>
  <si>
    <t>DRUCKER DONNA L</t>
  </si>
  <si>
    <t>00022413863K</t>
  </si>
  <si>
    <t>3DH8XX5VR20</t>
  </si>
  <si>
    <t>H1468</t>
  </si>
  <si>
    <t>TEIPEL GREGORY K</t>
  </si>
  <si>
    <t>FORD SHARON M</t>
  </si>
  <si>
    <t>00016089212K</t>
  </si>
  <si>
    <t>5DD9R39GP52</t>
  </si>
  <si>
    <t>R</t>
  </si>
  <si>
    <t>RENEWAL COMMISSIONS</t>
  </si>
  <si>
    <t>ARCM</t>
  </si>
  <si>
    <t>H4461</t>
  </si>
  <si>
    <t>LOPEZ LINDA S</t>
  </si>
  <si>
    <t>00020306158K</t>
  </si>
  <si>
    <t>9TH0N23XK33</t>
  </si>
  <si>
    <t>MEP</t>
  </si>
  <si>
    <t>H5216</t>
  </si>
  <si>
    <t>LOPEZ TOMAS V</t>
  </si>
  <si>
    <t>00020306395K</t>
  </si>
  <si>
    <t>3UA2U70EM28</t>
  </si>
  <si>
    <t>HARKER PATRICIA</t>
  </si>
  <si>
    <t>00020693708K</t>
  </si>
  <si>
    <t>2TV9EP9YK33</t>
  </si>
  <si>
    <t>H0473</t>
  </si>
  <si>
    <t>PENNETTA FRANK</t>
  </si>
  <si>
    <t>00022043182K</t>
  </si>
  <si>
    <t>9XC4NY0VV86</t>
  </si>
  <si>
    <t>FIRST YEAR COMMISSIONS</t>
  </si>
  <si>
    <t>ARCF</t>
  </si>
  <si>
    <t>RATHGEB THEROLD J</t>
  </si>
  <si>
    <t>00022351069K</t>
  </si>
  <si>
    <t>3QP3J68PR12</t>
  </si>
  <si>
    <t>NOV</t>
  </si>
  <si>
    <t>HOEKS LINDA L</t>
  </si>
  <si>
    <t>00022602838K</t>
  </si>
  <si>
    <t>5KU8TP9AP25</t>
  </si>
  <si>
    <t>HUNSBERGER ANTHONY J</t>
  </si>
  <si>
    <t>RIDLEN AUDREY M</t>
  </si>
  <si>
    <t>00022498051K</t>
  </si>
  <si>
    <t>1Y36PK7VH68</t>
  </si>
  <si>
    <t>LEONE ANTHONY</t>
  </si>
  <si>
    <t>00022571242K</t>
  </si>
  <si>
    <t>5N06UA8EY60</t>
  </si>
  <si>
    <t>WALENGA DALE J</t>
  </si>
  <si>
    <t>RICHMOND RALPH H</t>
  </si>
  <si>
    <t>00022763707K</t>
  </si>
  <si>
    <t>2HQ2UH6DR04</t>
  </si>
  <si>
    <t>YALE RICHARD A A</t>
  </si>
  <si>
    <t>CRUZATA OSCARINA</t>
  </si>
  <si>
    <t>00013683255K</t>
  </si>
  <si>
    <t>8TE0VV8GX39</t>
  </si>
  <si>
    <t>GONET MALGORZATA</t>
  </si>
  <si>
    <t>00022466880K</t>
  </si>
  <si>
    <t>1DX7DE7CC78</t>
  </si>
  <si>
    <t>DUNCAN DOLORES M</t>
  </si>
  <si>
    <t>00022688863K</t>
  </si>
  <si>
    <t>6P46JD0DG30</t>
  </si>
  <si>
    <t>DRAPAC STEPHANIE E</t>
  </si>
  <si>
    <t>HACKMAN LORRAINE A</t>
  </si>
  <si>
    <t>00022643625K</t>
  </si>
  <si>
    <t>1FD9QD2DP42</t>
  </si>
  <si>
    <t>HERRERA-LARSEN ESTHER M</t>
  </si>
  <si>
    <t>SANCHEZ ANTONIO</t>
  </si>
  <si>
    <t>00022671607K</t>
  </si>
  <si>
    <t>4VW6F00MC87</t>
  </si>
  <si>
    <t>PORTUGAL GARY</t>
  </si>
  <si>
    <t>WILSON JUAN A</t>
  </si>
  <si>
    <t>00022646876K</t>
  </si>
  <si>
    <t>4K04TD0JE62</t>
  </si>
  <si>
    <t>ABDUL SAADIA S</t>
  </si>
  <si>
    <t>SALEEM MOHAMMED A</t>
  </si>
  <si>
    <t>00017632868K</t>
  </si>
  <si>
    <t>9R20W43MP32</t>
  </si>
  <si>
    <t>VAN HORN KATHY S</t>
  </si>
  <si>
    <t>00022386017K</t>
  </si>
  <si>
    <t>1QM1C60CT92</t>
  </si>
  <si>
    <t>LUPOU MARY M</t>
  </si>
  <si>
    <t>00022627896K</t>
  </si>
  <si>
    <t>8KU0EE3NP05</t>
  </si>
  <si>
    <t>SANTOS RICARDO D</t>
  </si>
  <si>
    <t>SILVA NICOMEDES C</t>
  </si>
  <si>
    <t>00022406995K</t>
  </si>
  <si>
    <t>1J07R91XM30</t>
  </si>
  <si>
    <t>SILVA ADELAIDA D</t>
  </si>
  <si>
    <t>00022462923K</t>
  </si>
  <si>
    <t>8HE8M03MN22</t>
  </si>
  <si>
    <t>BORASH PAUL</t>
  </si>
  <si>
    <t>00022659909K</t>
  </si>
  <si>
    <t>9JY9WF9QW15</t>
  </si>
  <si>
    <t>SCHUMANN BARRY L</t>
  </si>
  <si>
    <t>HARBACEK JAMES V</t>
  </si>
  <si>
    <t>00022674415K</t>
  </si>
  <si>
    <t>5V73WD5QE99</t>
  </si>
  <si>
    <t>BECKWITH JAMES E</t>
  </si>
  <si>
    <t>00022698535K</t>
  </si>
  <si>
    <t>7NW8QH3UJ43</t>
  </si>
  <si>
    <t>DUNAVANT MICHAEL</t>
  </si>
  <si>
    <t>SCHUMM MARILYN J</t>
  </si>
  <si>
    <t>00022524693K</t>
  </si>
  <si>
    <t>2XD0RD9VU36</t>
  </si>
  <si>
    <t>PORTUGAL STACEY A</t>
  </si>
  <si>
    <t>BARBER LOYAL C</t>
  </si>
  <si>
    <t>00022676139K</t>
  </si>
  <si>
    <t>6PP5VA8UV85</t>
  </si>
  <si>
    <t>DEATON PAMELA S</t>
  </si>
  <si>
    <t>Young Joanna</t>
  </si>
  <si>
    <t>9028406240</t>
  </si>
  <si>
    <t>IN</t>
  </si>
  <si>
    <t>CB</t>
  </si>
  <si>
    <t>JAN</t>
  </si>
  <si>
    <t>VISION</t>
  </si>
  <si>
    <t>COMPBENEFITS FIRST YEAR COMMISSION</t>
  </si>
  <si>
    <t>CRCF</t>
  </si>
  <si>
    <t>Dornbierer Christie</t>
  </si>
  <si>
    <t>9029611520</t>
  </si>
  <si>
    <t>Petrovic Janine</t>
  </si>
  <si>
    <t>9029660210</t>
  </si>
  <si>
    <t>DENTAL</t>
  </si>
  <si>
    <t>Finlen Carla</t>
  </si>
  <si>
    <t>9029685590</t>
  </si>
  <si>
    <t>9029685600</t>
  </si>
  <si>
    <t>Ward Christopher</t>
  </si>
  <si>
    <t>9029691910</t>
  </si>
  <si>
    <t>9029691920</t>
  </si>
  <si>
    <t>Taylor Larry</t>
  </si>
  <si>
    <t>9029700250</t>
  </si>
  <si>
    <t>9029700260</t>
  </si>
  <si>
    <t>LEE JOEL N</t>
  </si>
  <si>
    <t>DIMEX LLC</t>
  </si>
  <si>
    <t>000000845819</t>
  </si>
  <si>
    <t>GR</t>
  </si>
  <si>
    <t>EM</t>
  </si>
  <si>
    <t>WORLDWIDE SOURCING AND SO</t>
  </si>
  <si>
    <t>000000853911</t>
  </si>
  <si>
    <t>KUCAN THOMAS</t>
  </si>
  <si>
    <t>BECK DEBRA A</t>
  </si>
  <si>
    <t>00000776552A</t>
  </si>
  <si>
    <t>MS</t>
  </si>
  <si>
    <t>STERNER MURRAY</t>
  </si>
  <si>
    <t>MUNGAVIN JANET M</t>
  </si>
  <si>
    <t>00000494843A</t>
  </si>
  <si>
    <t>INSKIPT DEBORAH L</t>
  </si>
  <si>
    <t>SPROUSE DONALD E</t>
  </si>
  <si>
    <t>00000754585A</t>
  </si>
  <si>
    <t>MED SUPP RENEWAL ACHIEVE</t>
  </si>
  <si>
    <t>MSRA</t>
  </si>
  <si>
    <t>SGOURAKIS MICHAEL S</t>
  </si>
  <si>
    <t>00000761751A</t>
  </si>
  <si>
    <t>KELLY DARCY L</t>
  </si>
  <si>
    <t>00000775340A</t>
  </si>
  <si>
    <t>HARPER LYNNE E</t>
  </si>
  <si>
    <t>00000776436A</t>
  </si>
  <si>
    <t>KELLY JOHN R</t>
  </si>
  <si>
    <t>00000801899A</t>
  </si>
  <si>
    <t>MAX RONALD J</t>
  </si>
  <si>
    <t>THOMPSON KEVIN M</t>
  </si>
  <si>
    <t>00000858729A</t>
  </si>
  <si>
    <t>EDWARDS JEROME A</t>
  </si>
  <si>
    <t>00000858732A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</si>
</sst>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0" fillId="0" borderId="0" xfId="0" applyNumberFormat="1" applyAlignment="1">
      <alignment horizontal="left" vertical="top"/>
    </xf>
    <xf numFmtId="0" fontId="18" fillId="0" borderId="0" xfId="0" applyNumberFormat="1" applyFont="1" applyAlignment="1">
      <alignment horizontal="center" vertical="top"/>
    </xf>
    <xf numFmtId="0" fontId="19" fillId="0" borderId="0" xfId="0" applyNumberFormat="1" applyFont="1" applyAlignment="1">
      <alignment horizontal="left" vertical="top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7C2F-27D9-48B5-A3A6-EE2214D2CC91}">
  <dimension ref="A1:AP52"/>
  <sheetViews>
    <sheetView workbookViewId="0">
      <selection sqref="A1:XFD1048576"/>
    </sheetView>
  </sheetViews>
  <sheetFormatPr baseColWidth="10" defaultColWidth="8.83203125" defaultRowHeight="13" x14ac:dyDescent="0.15"/>
  <cols>
    <col min="1" max="1" width="8.5" bestFit="1" customWidth="1"/>
    <col min="2" max="2" width="12.5" bestFit="1" customWidth="1"/>
    <col min="3" max="3" width="24.6640625" bestFit="1" customWidth="1"/>
    <col min="4" max="4" width="8.5" bestFit="1" customWidth="1"/>
    <col min="5" max="5" width="28.5" bestFit="1" customWidth="1"/>
    <col min="6" max="6" width="13.33203125" bestFit="1" customWidth="1"/>
    <col min="7" max="7" width="12.5" bestFit="1" customWidth="1"/>
    <col min="8" max="8" width="10.5" bestFit="1" customWidth="1"/>
    <col min="9" max="10" width="9.5" bestFit="1" customWidth="1"/>
    <col min="11" max="11" width="10.5" bestFit="1" customWidth="1"/>
    <col min="12" max="14" width="11.5" bestFit="1" customWidth="1"/>
    <col min="15" max="16" width="10.5" bestFit="1" customWidth="1"/>
    <col min="17" max="17" width="5.6640625" bestFit="1" customWidth="1"/>
    <col min="18" max="20" width="15.33203125" bestFit="1" customWidth="1"/>
    <col min="21" max="21" width="11.5" bestFit="1" customWidth="1"/>
    <col min="22" max="22" width="13.6640625" bestFit="1" customWidth="1"/>
    <col min="23" max="23" width="9.5" bestFit="1" customWidth="1"/>
    <col min="24" max="24" width="12.5" bestFit="1" customWidth="1"/>
    <col min="25" max="25" width="15.33203125" bestFit="1" customWidth="1"/>
    <col min="26" max="26" width="13.6640625" bestFit="1" customWidth="1"/>
    <col min="27" max="27" width="30.5" bestFit="1" customWidth="1"/>
    <col min="28" max="28" width="11.5" bestFit="1" customWidth="1"/>
    <col min="29" max="29" width="12.5" bestFit="1" customWidth="1"/>
    <col min="30" max="30" width="10.6640625" bestFit="1" customWidth="1"/>
    <col min="31" max="31" width="9.6640625" bestFit="1" customWidth="1"/>
    <col min="32" max="32" width="13.6640625" bestFit="1" customWidth="1"/>
    <col min="33" max="33" width="13.33203125" bestFit="1" customWidth="1"/>
    <col min="34" max="34" width="28.5" bestFit="1" customWidth="1"/>
    <col min="35" max="35" width="13.33203125" bestFit="1" customWidth="1"/>
    <col min="36" max="36" width="16.1640625" bestFit="1" customWidth="1"/>
    <col min="37" max="37" width="16" bestFit="1" customWidth="1"/>
    <col min="38" max="38" width="15.83203125" bestFit="1" customWidth="1"/>
    <col min="39" max="39" width="11.5" bestFit="1" customWidth="1"/>
  </cols>
  <sheetData>
    <row r="1" spans="1: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15">
      <c r="A2" s="2">
        <v>1891456</v>
      </c>
      <c r="B2" s="3">
        <v>45637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45627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585.5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45627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15">
      <c r="A3" s="2">
        <v>1891456</v>
      </c>
      <c r="B3" s="3">
        <v>45637</v>
      </c>
      <c r="C3" s="4" t="s">
        <v>56</v>
      </c>
      <c r="D3" s="2">
        <v>1267028</v>
      </c>
      <c r="E3" s="4" t="s">
        <v>57</v>
      </c>
      <c r="F3" s="4" t="s">
        <v>58</v>
      </c>
      <c r="G3" s="2">
        <v>915328352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45627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</v>
      </c>
      <c r="W3" s="5">
        <v>0</v>
      </c>
      <c r="X3" s="5">
        <v>100</v>
      </c>
      <c r="Y3" s="5">
        <v>585.5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45627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60</v>
      </c>
      <c r="AO3" s="4" t="s">
        <v>46</v>
      </c>
      <c r="AP3" s="4" t="s">
        <v>46</v>
      </c>
    </row>
    <row r="4" spans="1:42" x14ac:dyDescent="0.15">
      <c r="A4" s="2">
        <v>1891456</v>
      </c>
      <c r="B4" s="3">
        <v>45637</v>
      </c>
      <c r="C4" s="4" t="s">
        <v>61</v>
      </c>
      <c r="D4" s="2">
        <v>1509770</v>
      </c>
      <c r="E4" s="4" t="s">
        <v>62</v>
      </c>
      <c r="F4" s="4" t="s">
        <v>63</v>
      </c>
      <c r="G4" s="2">
        <v>972897533</v>
      </c>
      <c r="H4" s="4" t="s">
        <v>64</v>
      </c>
      <c r="I4" s="4" t="s">
        <v>46</v>
      </c>
      <c r="J4" s="4" t="s">
        <v>47</v>
      </c>
      <c r="K4" s="4" t="s">
        <v>48</v>
      </c>
      <c r="L4" s="3">
        <v>45627</v>
      </c>
      <c r="M4" s="4" t="s">
        <v>49</v>
      </c>
      <c r="N4" s="4" t="s">
        <v>46</v>
      </c>
      <c r="O4" s="4" t="s">
        <v>65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1</v>
      </c>
      <c r="W4" s="5">
        <v>0</v>
      </c>
      <c r="X4" s="5">
        <v>100</v>
      </c>
      <c r="Y4" s="5">
        <v>25.5</v>
      </c>
      <c r="Z4" s="4" t="s">
        <v>46</v>
      </c>
      <c r="AA4" s="5" t="s">
        <v>46</v>
      </c>
      <c r="AB4" s="4" t="s">
        <v>66</v>
      </c>
      <c r="AC4" s="4" t="s">
        <v>46</v>
      </c>
      <c r="AD4" s="5">
        <v>0</v>
      </c>
      <c r="AE4" s="4" t="s">
        <v>67</v>
      </c>
      <c r="AF4" s="3">
        <v>45261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68</v>
      </c>
      <c r="AO4" s="4" t="s">
        <v>46</v>
      </c>
      <c r="AP4" s="4" t="s">
        <v>46</v>
      </c>
    </row>
    <row r="5" spans="1:42" x14ac:dyDescent="0.15">
      <c r="A5" s="2">
        <v>1891456</v>
      </c>
      <c r="B5" s="3">
        <v>45637</v>
      </c>
      <c r="C5" s="4" t="s">
        <v>61</v>
      </c>
      <c r="D5" s="2">
        <v>1509770</v>
      </c>
      <c r="E5" s="4" t="s">
        <v>69</v>
      </c>
      <c r="F5" s="4" t="s">
        <v>70</v>
      </c>
      <c r="G5" s="2">
        <v>333289113</v>
      </c>
      <c r="H5" s="4" t="s">
        <v>71</v>
      </c>
      <c r="I5" s="4" t="s">
        <v>46</v>
      </c>
      <c r="J5" s="4" t="s">
        <v>47</v>
      </c>
      <c r="K5" s="4" t="s">
        <v>48</v>
      </c>
      <c r="L5" s="3">
        <v>45627</v>
      </c>
      <c r="M5" s="4" t="s">
        <v>49</v>
      </c>
      <c r="N5" s="4" t="s">
        <v>46</v>
      </c>
      <c r="O5" s="4" t="s">
        <v>65</v>
      </c>
      <c r="P5" s="4" t="s">
        <v>46</v>
      </c>
      <c r="Q5" s="2">
        <v>1</v>
      </c>
      <c r="R5" s="2">
        <v>17</v>
      </c>
      <c r="S5" s="4" t="s">
        <v>51</v>
      </c>
      <c r="T5" s="4" t="s">
        <v>72</v>
      </c>
      <c r="U5" s="4" t="s">
        <v>46</v>
      </c>
      <c r="V5" s="5">
        <v>1</v>
      </c>
      <c r="W5" s="5">
        <v>0</v>
      </c>
      <c r="X5" s="5">
        <v>100</v>
      </c>
      <c r="Y5" s="5">
        <v>25.5</v>
      </c>
      <c r="Z5" s="4" t="s">
        <v>46</v>
      </c>
      <c r="AA5" s="5" t="s">
        <v>46</v>
      </c>
      <c r="AB5" s="4" t="s">
        <v>66</v>
      </c>
      <c r="AC5" s="4" t="s">
        <v>46</v>
      </c>
      <c r="AD5" s="5">
        <v>0</v>
      </c>
      <c r="AE5" s="4" t="s">
        <v>67</v>
      </c>
      <c r="AF5" s="3">
        <v>45047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73</v>
      </c>
      <c r="AO5" s="4" t="s">
        <v>46</v>
      </c>
      <c r="AP5" s="4" t="s">
        <v>46</v>
      </c>
    </row>
    <row r="6" spans="1:42" x14ac:dyDescent="0.15">
      <c r="A6" s="2">
        <v>1891456</v>
      </c>
      <c r="B6" s="3">
        <v>45637</v>
      </c>
      <c r="C6" s="4" t="s">
        <v>61</v>
      </c>
      <c r="D6" s="2">
        <v>1509770</v>
      </c>
      <c r="E6" s="4" t="s">
        <v>74</v>
      </c>
      <c r="F6" s="4" t="s">
        <v>75</v>
      </c>
      <c r="G6" s="2">
        <v>423890113</v>
      </c>
      <c r="H6" s="4" t="s">
        <v>76</v>
      </c>
      <c r="I6" s="4" t="s">
        <v>46</v>
      </c>
      <c r="J6" s="4" t="s">
        <v>47</v>
      </c>
      <c r="K6" s="4" t="s">
        <v>48</v>
      </c>
      <c r="L6" s="3">
        <v>45627</v>
      </c>
      <c r="M6" s="4" t="s">
        <v>49</v>
      </c>
      <c r="N6" s="4" t="s">
        <v>46</v>
      </c>
      <c r="O6" s="4" t="s">
        <v>65</v>
      </c>
      <c r="P6" s="4" t="s">
        <v>46</v>
      </c>
      <c r="Q6" s="2">
        <v>1</v>
      </c>
      <c r="R6" s="2">
        <v>17</v>
      </c>
      <c r="S6" s="4" t="s">
        <v>51</v>
      </c>
      <c r="T6" s="4" t="s">
        <v>72</v>
      </c>
      <c r="U6" s="4" t="s">
        <v>46</v>
      </c>
      <c r="V6" s="5">
        <v>1</v>
      </c>
      <c r="W6" s="5">
        <v>0</v>
      </c>
      <c r="X6" s="5">
        <v>100</v>
      </c>
      <c r="Y6" s="5">
        <v>25.5</v>
      </c>
      <c r="Z6" s="4" t="s">
        <v>46</v>
      </c>
      <c r="AA6" s="5" t="s">
        <v>46</v>
      </c>
      <c r="AB6" s="4" t="s">
        <v>66</v>
      </c>
      <c r="AC6" s="4" t="s">
        <v>46</v>
      </c>
      <c r="AD6" s="5">
        <v>0</v>
      </c>
      <c r="AE6" s="4" t="s">
        <v>67</v>
      </c>
      <c r="AF6" s="3">
        <v>45047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73</v>
      </c>
      <c r="AO6" s="4" t="s">
        <v>46</v>
      </c>
      <c r="AP6" s="4" t="s">
        <v>46</v>
      </c>
    </row>
    <row r="7" spans="1:42" x14ac:dyDescent="0.15">
      <c r="A7" s="2">
        <v>1891456</v>
      </c>
      <c r="B7" s="3">
        <v>45637</v>
      </c>
      <c r="C7" s="4" t="s">
        <v>61</v>
      </c>
      <c r="D7" s="2">
        <v>1509770</v>
      </c>
      <c r="E7" s="4" t="s">
        <v>77</v>
      </c>
      <c r="F7" s="4" t="s">
        <v>78</v>
      </c>
      <c r="G7" s="2">
        <v>695051574</v>
      </c>
      <c r="H7" s="4" t="s">
        <v>79</v>
      </c>
      <c r="I7" s="4" t="s">
        <v>46</v>
      </c>
      <c r="J7" s="4" t="s">
        <v>47</v>
      </c>
      <c r="K7" s="4" t="s">
        <v>48</v>
      </c>
      <c r="L7" s="3">
        <v>45627</v>
      </c>
      <c r="M7" s="4" t="s">
        <v>49</v>
      </c>
      <c r="N7" s="4" t="s">
        <v>46</v>
      </c>
      <c r="O7" s="4" t="s">
        <v>65</v>
      </c>
      <c r="P7" s="4" t="s">
        <v>46</v>
      </c>
      <c r="Q7" s="2">
        <v>1</v>
      </c>
      <c r="R7" s="2">
        <v>17</v>
      </c>
      <c r="S7" s="4" t="s">
        <v>51</v>
      </c>
      <c r="T7" s="4" t="s">
        <v>72</v>
      </c>
      <c r="U7" s="4" t="s">
        <v>46</v>
      </c>
      <c r="V7" s="5">
        <v>1</v>
      </c>
      <c r="W7" s="5">
        <v>0</v>
      </c>
      <c r="X7" s="5">
        <v>100</v>
      </c>
      <c r="Y7" s="5">
        <v>25.5</v>
      </c>
      <c r="Z7" s="4" t="s">
        <v>46</v>
      </c>
      <c r="AA7" s="5" t="s">
        <v>46</v>
      </c>
      <c r="AB7" s="4" t="s">
        <v>66</v>
      </c>
      <c r="AC7" s="4" t="s">
        <v>46</v>
      </c>
      <c r="AD7" s="5">
        <v>0</v>
      </c>
      <c r="AE7" s="4" t="s">
        <v>67</v>
      </c>
      <c r="AF7" s="3">
        <v>45170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80</v>
      </c>
      <c r="AO7" s="4" t="s">
        <v>46</v>
      </c>
      <c r="AP7" s="4" t="s">
        <v>46</v>
      </c>
    </row>
    <row r="8" spans="1:42" x14ac:dyDescent="0.15">
      <c r="A8" s="2">
        <v>1891456</v>
      </c>
      <c r="B8" s="3">
        <v>45637</v>
      </c>
      <c r="C8" s="4" t="s">
        <v>61</v>
      </c>
      <c r="D8" s="2">
        <v>1509770</v>
      </c>
      <c r="E8" s="4" t="s">
        <v>81</v>
      </c>
      <c r="F8" s="4" t="s">
        <v>82</v>
      </c>
      <c r="G8" s="2">
        <v>406435394</v>
      </c>
      <c r="H8" s="4" t="s">
        <v>83</v>
      </c>
      <c r="I8" s="4" t="s">
        <v>46</v>
      </c>
      <c r="J8" s="4" t="s">
        <v>47</v>
      </c>
      <c r="K8" s="4" t="s">
        <v>48</v>
      </c>
      <c r="L8" s="3">
        <v>45627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72</v>
      </c>
      <c r="U8" s="4" t="s">
        <v>46</v>
      </c>
      <c r="V8" s="5">
        <v>0</v>
      </c>
      <c r="W8" s="5">
        <v>0</v>
      </c>
      <c r="X8" s="5">
        <v>100</v>
      </c>
      <c r="Y8" s="5">
        <v>-585.5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45627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73</v>
      </c>
      <c r="AO8" s="4" t="s">
        <v>46</v>
      </c>
      <c r="AP8" s="4" t="s">
        <v>46</v>
      </c>
    </row>
    <row r="9" spans="1:42" x14ac:dyDescent="0.15">
      <c r="A9" s="2">
        <v>1891456</v>
      </c>
      <c r="B9" s="3">
        <v>45637</v>
      </c>
      <c r="C9" s="4" t="s">
        <v>61</v>
      </c>
      <c r="D9" s="2">
        <v>1509770</v>
      </c>
      <c r="E9" s="4" t="s">
        <v>81</v>
      </c>
      <c r="F9" s="4" t="s">
        <v>82</v>
      </c>
      <c r="G9" s="2">
        <v>406435394</v>
      </c>
      <c r="H9" s="4" t="s">
        <v>83</v>
      </c>
      <c r="I9" s="4" t="s">
        <v>46</v>
      </c>
      <c r="J9" s="4" t="s">
        <v>47</v>
      </c>
      <c r="K9" s="4" t="s">
        <v>48</v>
      </c>
      <c r="L9" s="3">
        <v>45627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72</v>
      </c>
      <c r="U9" s="4" t="s">
        <v>46</v>
      </c>
      <c r="V9" s="5">
        <v>-0.08</v>
      </c>
      <c r="W9" s="5">
        <v>0</v>
      </c>
      <c r="X9" s="5">
        <v>100</v>
      </c>
      <c r="Y9" s="5">
        <v>-25.5</v>
      </c>
      <c r="Z9" s="4" t="s">
        <v>46</v>
      </c>
      <c r="AA9" s="5" t="s">
        <v>46</v>
      </c>
      <c r="AB9" s="4" t="s">
        <v>84</v>
      </c>
      <c r="AC9" s="4" t="s">
        <v>46</v>
      </c>
      <c r="AD9" s="5">
        <v>0</v>
      </c>
      <c r="AE9" s="4" t="s">
        <v>85</v>
      </c>
      <c r="AF9" s="3">
        <v>45627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73</v>
      </c>
      <c r="AO9" s="4" t="s">
        <v>46</v>
      </c>
      <c r="AP9" s="4" t="s">
        <v>46</v>
      </c>
    </row>
    <row r="10" spans="1:42" x14ac:dyDescent="0.15">
      <c r="A10" s="2">
        <v>1891456</v>
      </c>
      <c r="B10" s="3">
        <v>45637</v>
      </c>
      <c r="C10" s="4" t="s">
        <v>61</v>
      </c>
      <c r="D10" s="2">
        <v>1509770</v>
      </c>
      <c r="E10" s="4" t="s">
        <v>86</v>
      </c>
      <c r="F10" s="4" t="s">
        <v>87</v>
      </c>
      <c r="G10" s="2">
        <v>659822155</v>
      </c>
      <c r="H10" s="4" t="s">
        <v>88</v>
      </c>
      <c r="I10" s="4" t="s">
        <v>46</v>
      </c>
      <c r="J10" s="4" t="s">
        <v>47</v>
      </c>
      <c r="K10" s="4" t="s">
        <v>48</v>
      </c>
      <c r="L10" s="3">
        <v>45597</v>
      </c>
      <c r="M10" s="4" t="s">
        <v>89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72</v>
      </c>
      <c r="U10" s="4" t="s">
        <v>46</v>
      </c>
      <c r="V10" s="5">
        <v>0</v>
      </c>
      <c r="W10" s="5">
        <v>0</v>
      </c>
      <c r="X10" s="5">
        <v>100</v>
      </c>
      <c r="Y10" s="5">
        <v>560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45597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73</v>
      </c>
      <c r="AO10" s="4" t="s">
        <v>46</v>
      </c>
      <c r="AP10" s="4" t="s">
        <v>46</v>
      </c>
    </row>
    <row r="11" spans="1:42" x14ac:dyDescent="0.15">
      <c r="A11" s="2">
        <v>1891456</v>
      </c>
      <c r="B11" s="3">
        <v>45637</v>
      </c>
      <c r="C11" s="4" t="s">
        <v>61</v>
      </c>
      <c r="D11" s="2">
        <v>1509770</v>
      </c>
      <c r="E11" s="4" t="s">
        <v>90</v>
      </c>
      <c r="F11" s="4" t="s">
        <v>91</v>
      </c>
      <c r="G11" s="2">
        <v>57844271</v>
      </c>
      <c r="H11" s="4" t="s">
        <v>92</v>
      </c>
      <c r="I11" s="4" t="s">
        <v>46</v>
      </c>
      <c r="J11" s="4" t="s">
        <v>47</v>
      </c>
      <c r="K11" s="4" t="s">
        <v>48</v>
      </c>
      <c r="L11" s="3">
        <v>45627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72</v>
      </c>
      <c r="U11" s="4" t="s">
        <v>46</v>
      </c>
      <c r="V11" s="5">
        <v>0</v>
      </c>
      <c r="W11" s="5">
        <v>0</v>
      </c>
      <c r="X11" s="5">
        <v>100</v>
      </c>
      <c r="Y11" s="5">
        <v>585.5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45627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73</v>
      </c>
      <c r="AO11" s="4" t="s">
        <v>46</v>
      </c>
      <c r="AP11" s="4" t="s">
        <v>46</v>
      </c>
    </row>
    <row r="12" spans="1:42" x14ac:dyDescent="0.15">
      <c r="A12" s="2">
        <v>1891456</v>
      </c>
      <c r="B12" s="3">
        <v>45637</v>
      </c>
      <c r="C12" s="4" t="s">
        <v>93</v>
      </c>
      <c r="D12" s="2">
        <v>1510420</v>
      </c>
      <c r="E12" s="4" t="s">
        <v>94</v>
      </c>
      <c r="F12" s="4" t="s">
        <v>95</v>
      </c>
      <c r="G12" s="2">
        <v>836319241</v>
      </c>
      <c r="H12" s="4" t="s">
        <v>96</v>
      </c>
      <c r="I12" s="4" t="s">
        <v>46</v>
      </c>
      <c r="J12" s="4" t="s">
        <v>47</v>
      </c>
      <c r="K12" s="4" t="s">
        <v>48</v>
      </c>
      <c r="L12" s="3">
        <v>45627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72</v>
      </c>
      <c r="U12" s="4" t="s">
        <v>46</v>
      </c>
      <c r="V12" s="5">
        <v>0</v>
      </c>
      <c r="W12" s="5">
        <v>0</v>
      </c>
      <c r="X12" s="5">
        <v>100</v>
      </c>
      <c r="Y12" s="5">
        <v>585.5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45627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73</v>
      </c>
      <c r="AO12" s="4" t="s">
        <v>46</v>
      </c>
      <c r="AP12" s="4" t="s">
        <v>46</v>
      </c>
    </row>
    <row r="13" spans="1:42" x14ac:dyDescent="0.15">
      <c r="A13" s="2">
        <v>1891456</v>
      </c>
      <c r="B13" s="3">
        <v>45637</v>
      </c>
      <c r="C13" s="4" t="s">
        <v>93</v>
      </c>
      <c r="D13" s="2">
        <v>1510420</v>
      </c>
      <c r="E13" s="4" t="s">
        <v>97</v>
      </c>
      <c r="F13" s="4" t="s">
        <v>98</v>
      </c>
      <c r="G13" s="2">
        <v>104932521</v>
      </c>
      <c r="H13" s="4" t="s">
        <v>99</v>
      </c>
      <c r="I13" s="4" t="s">
        <v>46</v>
      </c>
      <c r="J13" s="4" t="s">
        <v>47</v>
      </c>
      <c r="K13" s="4" t="s">
        <v>48</v>
      </c>
      <c r="L13" s="3">
        <v>45627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72</v>
      </c>
      <c r="U13" s="4" t="s">
        <v>46</v>
      </c>
      <c r="V13" s="5">
        <v>0</v>
      </c>
      <c r="W13" s="5">
        <v>0</v>
      </c>
      <c r="X13" s="5">
        <v>100</v>
      </c>
      <c r="Y13" s="5">
        <v>585.5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45627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73</v>
      </c>
      <c r="AO13" s="4" t="s">
        <v>46</v>
      </c>
      <c r="AP13" s="4" t="s">
        <v>46</v>
      </c>
    </row>
    <row r="14" spans="1:42" x14ac:dyDescent="0.15">
      <c r="A14" s="2">
        <v>1891456</v>
      </c>
      <c r="B14" s="3">
        <v>45637</v>
      </c>
      <c r="C14" s="4" t="s">
        <v>100</v>
      </c>
      <c r="D14" s="2">
        <v>1535078</v>
      </c>
      <c r="E14" s="4" t="s">
        <v>101</v>
      </c>
      <c r="F14" s="4" t="s">
        <v>102</v>
      </c>
      <c r="G14" s="2">
        <v>869746172</v>
      </c>
      <c r="H14" s="4" t="s">
        <v>103</v>
      </c>
      <c r="I14" s="4" t="s">
        <v>46</v>
      </c>
      <c r="J14" s="4" t="s">
        <v>47</v>
      </c>
      <c r="K14" s="4" t="s">
        <v>48</v>
      </c>
      <c r="L14" s="3">
        <v>45627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0.08</v>
      </c>
      <c r="W14" s="5">
        <v>0</v>
      </c>
      <c r="X14" s="5">
        <v>100</v>
      </c>
      <c r="Y14" s="5">
        <v>25.5</v>
      </c>
      <c r="Z14" s="4" t="s">
        <v>46</v>
      </c>
      <c r="AA14" s="5" t="s">
        <v>46</v>
      </c>
      <c r="AB14" s="4" t="s">
        <v>84</v>
      </c>
      <c r="AC14" s="4" t="s">
        <v>46</v>
      </c>
      <c r="AD14" s="5">
        <v>0</v>
      </c>
      <c r="AE14" s="4" t="s">
        <v>85</v>
      </c>
      <c r="AF14" s="3">
        <v>45627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60</v>
      </c>
      <c r="AO14" s="4" t="s">
        <v>46</v>
      </c>
      <c r="AP14" s="4" t="s">
        <v>46</v>
      </c>
    </row>
    <row r="15" spans="1:42" x14ac:dyDescent="0.15">
      <c r="A15" s="2">
        <v>1891456</v>
      </c>
      <c r="B15" s="3">
        <v>45637</v>
      </c>
      <c r="C15" s="4" t="s">
        <v>104</v>
      </c>
      <c r="D15" s="2">
        <v>1573279</v>
      </c>
      <c r="E15" s="4" t="s">
        <v>105</v>
      </c>
      <c r="F15" s="4" t="s">
        <v>106</v>
      </c>
      <c r="G15" s="2">
        <v>86378242</v>
      </c>
      <c r="H15" s="4" t="s">
        <v>107</v>
      </c>
      <c r="I15" s="4" t="s">
        <v>46</v>
      </c>
      <c r="J15" s="4" t="s">
        <v>47</v>
      </c>
      <c r="K15" s="4" t="s">
        <v>48</v>
      </c>
      <c r="L15" s="3">
        <v>45597</v>
      </c>
      <c r="M15" s="4" t="s">
        <v>89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</v>
      </c>
      <c r="W15" s="5">
        <v>0</v>
      </c>
      <c r="X15" s="5">
        <v>100</v>
      </c>
      <c r="Y15" s="5">
        <v>560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45597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15">
      <c r="A16" s="2">
        <v>1891456</v>
      </c>
      <c r="B16" s="3">
        <v>45637</v>
      </c>
      <c r="C16" s="4" t="s">
        <v>104</v>
      </c>
      <c r="D16" s="2">
        <v>1573279</v>
      </c>
      <c r="E16" s="4" t="s">
        <v>108</v>
      </c>
      <c r="F16" s="4" t="s">
        <v>109</v>
      </c>
      <c r="G16" s="2">
        <v>126343453</v>
      </c>
      <c r="H16" s="4" t="s">
        <v>110</v>
      </c>
      <c r="I16" s="4" t="s">
        <v>46</v>
      </c>
      <c r="J16" s="4" t="s">
        <v>47</v>
      </c>
      <c r="K16" s="4" t="s">
        <v>48</v>
      </c>
      <c r="L16" s="3">
        <v>45627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72</v>
      </c>
      <c r="U16" s="4" t="s">
        <v>46</v>
      </c>
      <c r="V16" s="5">
        <v>0</v>
      </c>
      <c r="W16" s="5">
        <v>0</v>
      </c>
      <c r="X16" s="5">
        <v>100</v>
      </c>
      <c r="Y16" s="5">
        <v>585.5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45627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73</v>
      </c>
      <c r="AO16" s="4" t="s">
        <v>46</v>
      </c>
      <c r="AP16" s="4" t="s">
        <v>46</v>
      </c>
    </row>
    <row r="17" spans="1:42" x14ac:dyDescent="0.15">
      <c r="A17" s="2">
        <v>1891456</v>
      </c>
      <c r="B17" s="3">
        <v>45637</v>
      </c>
      <c r="C17" s="4" t="s">
        <v>104</v>
      </c>
      <c r="D17" s="2">
        <v>1573279</v>
      </c>
      <c r="E17" s="4" t="s">
        <v>111</v>
      </c>
      <c r="F17" s="4" t="s">
        <v>112</v>
      </c>
      <c r="G17" s="2">
        <v>588828435</v>
      </c>
      <c r="H17" s="4" t="s">
        <v>113</v>
      </c>
      <c r="I17" s="4" t="s">
        <v>46</v>
      </c>
      <c r="J17" s="4" t="s">
        <v>47</v>
      </c>
      <c r="K17" s="4" t="s">
        <v>48</v>
      </c>
      <c r="L17" s="3">
        <v>45627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72</v>
      </c>
      <c r="U17" s="4" t="s">
        <v>46</v>
      </c>
      <c r="V17" s="5">
        <v>0.08</v>
      </c>
      <c r="W17" s="5">
        <v>0</v>
      </c>
      <c r="X17" s="5">
        <v>100</v>
      </c>
      <c r="Y17" s="5">
        <v>25.5</v>
      </c>
      <c r="Z17" s="4" t="s">
        <v>46</v>
      </c>
      <c r="AA17" s="5" t="s">
        <v>46</v>
      </c>
      <c r="AB17" s="4" t="s">
        <v>84</v>
      </c>
      <c r="AC17" s="4" t="s">
        <v>46</v>
      </c>
      <c r="AD17" s="5">
        <v>0</v>
      </c>
      <c r="AE17" s="4" t="s">
        <v>85</v>
      </c>
      <c r="AF17" s="3">
        <v>45627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73</v>
      </c>
      <c r="AO17" s="4" t="s">
        <v>46</v>
      </c>
      <c r="AP17" s="4" t="s">
        <v>46</v>
      </c>
    </row>
    <row r="18" spans="1:42" x14ac:dyDescent="0.15">
      <c r="A18" s="2">
        <v>1891456</v>
      </c>
      <c r="B18" s="3">
        <v>45637</v>
      </c>
      <c r="C18" s="4" t="s">
        <v>114</v>
      </c>
      <c r="D18" s="2">
        <v>1626475</v>
      </c>
      <c r="E18" s="4" t="s">
        <v>115</v>
      </c>
      <c r="F18" s="4" t="s">
        <v>116</v>
      </c>
      <c r="G18" s="2">
        <v>26535054</v>
      </c>
      <c r="H18" s="4" t="s">
        <v>117</v>
      </c>
      <c r="I18" s="4" t="s">
        <v>46</v>
      </c>
      <c r="J18" s="4" t="s">
        <v>47</v>
      </c>
      <c r="K18" s="4" t="s">
        <v>48</v>
      </c>
      <c r="L18" s="3">
        <v>45627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72</v>
      </c>
      <c r="U18" s="4" t="s">
        <v>46</v>
      </c>
      <c r="V18" s="5">
        <v>0</v>
      </c>
      <c r="W18" s="5">
        <v>0</v>
      </c>
      <c r="X18" s="5">
        <v>100</v>
      </c>
      <c r="Y18" s="5">
        <v>585.5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45627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73</v>
      </c>
      <c r="AO18" s="4" t="s">
        <v>46</v>
      </c>
      <c r="AP18" s="4" t="s">
        <v>46</v>
      </c>
    </row>
    <row r="19" spans="1:42" x14ac:dyDescent="0.15">
      <c r="A19" s="2">
        <v>1891456</v>
      </c>
      <c r="B19" s="3">
        <v>45637</v>
      </c>
      <c r="C19" s="4" t="s">
        <v>118</v>
      </c>
      <c r="D19" s="2">
        <v>1646082</v>
      </c>
      <c r="E19" s="4" t="s">
        <v>119</v>
      </c>
      <c r="F19" s="4" t="s">
        <v>120</v>
      </c>
      <c r="G19" s="2">
        <v>820670584</v>
      </c>
      <c r="H19" s="4" t="s">
        <v>121</v>
      </c>
      <c r="I19" s="4" t="s">
        <v>46</v>
      </c>
      <c r="J19" s="4" t="s">
        <v>47</v>
      </c>
      <c r="K19" s="4" t="s">
        <v>48</v>
      </c>
      <c r="L19" s="3">
        <v>45627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</v>
      </c>
      <c r="W19" s="5">
        <v>0</v>
      </c>
      <c r="X19" s="5">
        <v>100</v>
      </c>
      <c r="Y19" s="5">
        <v>585.5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45627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60</v>
      </c>
      <c r="AO19" s="4" t="s">
        <v>46</v>
      </c>
      <c r="AP19" s="4" t="s">
        <v>46</v>
      </c>
    </row>
    <row r="20" spans="1:42" x14ac:dyDescent="0.15">
      <c r="A20" s="2">
        <v>1891456</v>
      </c>
      <c r="B20" s="3">
        <v>45637</v>
      </c>
      <c r="C20" s="4" t="s">
        <v>122</v>
      </c>
      <c r="D20" s="2">
        <v>1703942</v>
      </c>
      <c r="E20" s="4" t="s">
        <v>123</v>
      </c>
      <c r="F20" s="4" t="s">
        <v>124</v>
      </c>
      <c r="G20" s="2">
        <v>221614009</v>
      </c>
      <c r="H20" s="4" t="s">
        <v>125</v>
      </c>
      <c r="I20" s="4" t="s">
        <v>46</v>
      </c>
      <c r="J20" s="4" t="s">
        <v>47</v>
      </c>
      <c r="K20" s="4" t="s">
        <v>48</v>
      </c>
      <c r="L20" s="3">
        <v>45627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</v>
      </c>
      <c r="W20" s="5">
        <v>0</v>
      </c>
      <c r="X20" s="5">
        <v>100</v>
      </c>
      <c r="Y20" s="5">
        <v>585.5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45627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60</v>
      </c>
      <c r="AO20" s="4" t="s">
        <v>46</v>
      </c>
      <c r="AP20" s="4" t="s">
        <v>46</v>
      </c>
    </row>
    <row r="21" spans="1:42" x14ac:dyDescent="0.15">
      <c r="A21" s="2">
        <v>1891456</v>
      </c>
      <c r="B21" s="3">
        <v>45637</v>
      </c>
      <c r="C21" s="4" t="s">
        <v>126</v>
      </c>
      <c r="D21" s="2">
        <v>1800759</v>
      </c>
      <c r="E21" s="4" t="s">
        <v>127</v>
      </c>
      <c r="F21" s="4" t="s">
        <v>128</v>
      </c>
      <c r="G21" s="2">
        <v>367841564</v>
      </c>
      <c r="H21" s="4" t="s">
        <v>129</v>
      </c>
      <c r="I21" s="4" t="s">
        <v>46</v>
      </c>
      <c r="J21" s="4" t="s">
        <v>47</v>
      </c>
      <c r="K21" s="4" t="s">
        <v>48</v>
      </c>
      <c r="L21" s="3">
        <v>45627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72</v>
      </c>
      <c r="U21" s="4" t="s">
        <v>46</v>
      </c>
      <c r="V21" s="5">
        <v>0</v>
      </c>
      <c r="W21" s="5">
        <v>0</v>
      </c>
      <c r="X21" s="5">
        <v>100</v>
      </c>
      <c r="Y21" s="5">
        <v>25.42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45627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73</v>
      </c>
      <c r="AO21" s="4" t="s">
        <v>46</v>
      </c>
      <c r="AP21" s="4" t="s">
        <v>46</v>
      </c>
    </row>
    <row r="22" spans="1:42" x14ac:dyDescent="0.15">
      <c r="A22" s="2">
        <v>1891456</v>
      </c>
      <c r="B22" s="3">
        <v>45637</v>
      </c>
      <c r="C22" s="4" t="s">
        <v>126</v>
      </c>
      <c r="D22" s="2">
        <v>1800759</v>
      </c>
      <c r="E22" s="4" t="s">
        <v>130</v>
      </c>
      <c r="F22" s="4" t="s">
        <v>131</v>
      </c>
      <c r="G22" s="2">
        <v>682135344</v>
      </c>
      <c r="H22" s="4" t="s">
        <v>132</v>
      </c>
      <c r="I22" s="4" t="s">
        <v>46</v>
      </c>
      <c r="J22" s="4" t="s">
        <v>47</v>
      </c>
      <c r="K22" s="4" t="s">
        <v>48</v>
      </c>
      <c r="L22" s="3">
        <v>45597</v>
      </c>
      <c r="M22" s="4" t="s">
        <v>89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72</v>
      </c>
      <c r="U22" s="4" t="s">
        <v>46</v>
      </c>
      <c r="V22" s="5">
        <v>0</v>
      </c>
      <c r="W22" s="5">
        <v>0</v>
      </c>
      <c r="X22" s="5">
        <v>100</v>
      </c>
      <c r="Y22" s="5">
        <v>560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45597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73</v>
      </c>
      <c r="AO22" s="4" t="s">
        <v>46</v>
      </c>
      <c r="AP22" s="4" t="s">
        <v>46</v>
      </c>
    </row>
    <row r="23" spans="1:42" x14ac:dyDescent="0.15">
      <c r="A23" s="2">
        <v>1891456</v>
      </c>
      <c r="B23" s="3">
        <v>45637</v>
      </c>
      <c r="C23" s="4" t="s">
        <v>126</v>
      </c>
      <c r="D23" s="2">
        <v>1800759</v>
      </c>
      <c r="E23" s="4" t="s">
        <v>133</v>
      </c>
      <c r="F23" s="4" t="s">
        <v>134</v>
      </c>
      <c r="G23" s="2">
        <v>302138034</v>
      </c>
      <c r="H23" s="4" t="s">
        <v>135</v>
      </c>
      <c r="I23" s="4" t="s">
        <v>46</v>
      </c>
      <c r="J23" s="4" t="s">
        <v>47</v>
      </c>
      <c r="K23" s="4" t="s">
        <v>48</v>
      </c>
      <c r="L23" s="3">
        <v>45627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</v>
      </c>
      <c r="W23" s="5">
        <v>0</v>
      </c>
      <c r="X23" s="5">
        <v>100</v>
      </c>
      <c r="Y23" s="5">
        <v>585.5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45627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60</v>
      </c>
      <c r="AO23" s="4" t="s">
        <v>46</v>
      </c>
      <c r="AP23" s="4" t="s">
        <v>46</v>
      </c>
    </row>
    <row r="24" spans="1:42" x14ac:dyDescent="0.15">
      <c r="A24" s="2">
        <v>1891456</v>
      </c>
      <c r="B24" s="3">
        <v>45637</v>
      </c>
      <c r="C24" s="4" t="s">
        <v>136</v>
      </c>
      <c r="D24" s="2">
        <v>1800776</v>
      </c>
      <c r="E24" s="4" t="s">
        <v>137</v>
      </c>
      <c r="F24" s="4" t="s">
        <v>138</v>
      </c>
      <c r="G24" s="2">
        <v>365638520</v>
      </c>
      <c r="H24" s="4" t="s">
        <v>139</v>
      </c>
      <c r="I24" s="4" t="s">
        <v>46</v>
      </c>
      <c r="J24" s="4" t="s">
        <v>47</v>
      </c>
      <c r="K24" s="4" t="s">
        <v>48</v>
      </c>
      <c r="L24" s="3">
        <v>45627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72</v>
      </c>
      <c r="U24" s="4" t="s">
        <v>46</v>
      </c>
      <c r="V24" s="5">
        <v>0</v>
      </c>
      <c r="W24" s="5">
        <v>0</v>
      </c>
      <c r="X24" s="5">
        <v>100</v>
      </c>
      <c r="Y24" s="5">
        <v>585.5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45627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73</v>
      </c>
      <c r="AO24" s="4" t="s">
        <v>46</v>
      </c>
      <c r="AP24" s="4" t="s">
        <v>46</v>
      </c>
    </row>
    <row r="25" spans="1:42" x14ac:dyDescent="0.15">
      <c r="A25" s="2">
        <v>1891456</v>
      </c>
      <c r="B25" s="3">
        <v>45637</v>
      </c>
      <c r="C25" s="4" t="s">
        <v>136</v>
      </c>
      <c r="D25" s="2">
        <v>1800776</v>
      </c>
      <c r="E25" s="4" t="s">
        <v>140</v>
      </c>
      <c r="F25" s="4" t="s">
        <v>141</v>
      </c>
      <c r="G25" s="2">
        <v>862283453</v>
      </c>
      <c r="H25" s="4" t="s">
        <v>142</v>
      </c>
      <c r="I25" s="4" t="s">
        <v>46</v>
      </c>
      <c r="J25" s="4" t="s">
        <v>47</v>
      </c>
      <c r="K25" s="4" t="s">
        <v>48</v>
      </c>
      <c r="L25" s="3">
        <v>45627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72</v>
      </c>
      <c r="U25" s="4" t="s">
        <v>46</v>
      </c>
      <c r="V25" s="5">
        <v>0</v>
      </c>
      <c r="W25" s="5">
        <v>0</v>
      </c>
      <c r="X25" s="5">
        <v>100</v>
      </c>
      <c r="Y25" s="5">
        <v>585.5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45627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73</v>
      </c>
      <c r="AO25" s="4" t="s">
        <v>46</v>
      </c>
      <c r="AP25" s="4" t="s">
        <v>46</v>
      </c>
    </row>
    <row r="26" spans="1:42" x14ac:dyDescent="0.15">
      <c r="A26" s="2">
        <v>1891456</v>
      </c>
      <c r="B26" s="3">
        <v>45637</v>
      </c>
      <c r="C26" s="4" t="s">
        <v>136</v>
      </c>
      <c r="D26" s="2">
        <v>1800776</v>
      </c>
      <c r="E26" s="4" t="s">
        <v>143</v>
      </c>
      <c r="F26" s="4" t="s">
        <v>144</v>
      </c>
      <c r="G26" s="2">
        <v>989966453</v>
      </c>
      <c r="H26" s="4" t="s">
        <v>145</v>
      </c>
      <c r="I26" s="4" t="s">
        <v>46</v>
      </c>
      <c r="J26" s="4" t="s">
        <v>47</v>
      </c>
      <c r="K26" s="4" t="s">
        <v>48</v>
      </c>
      <c r="L26" s="3">
        <v>45627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</v>
      </c>
      <c r="W26" s="5">
        <v>0</v>
      </c>
      <c r="X26" s="5">
        <v>100</v>
      </c>
      <c r="Y26" s="5">
        <v>585.5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45627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60</v>
      </c>
      <c r="AO26" s="4" t="s">
        <v>46</v>
      </c>
      <c r="AP26" s="4" t="s">
        <v>46</v>
      </c>
    </row>
    <row r="27" spans="1:42" x14ac:dyDescent="0.15">
      <c r="A27" s="2">
        <v>1891456</v>
      </c>
      <c r="B27" s="3">
        <v>45637</v>
      </c>
      <c r="C27" s="4" t="s">
        <v>146</v>
      </c>
      <c r="D27" s="2">
        <v>1815594</v>
      </c>
      <c r="E27" s="4" t="s">
        <v>147</v>
      </c>
      <c r="F27" s="4" t="s">
        <v>148</v>
      </c>
      <c r="G27" s="2">
        <v>28197140</v>
      </c>
      <c r="H27" s="4" t="s">
        <v>149</v>
      </c>
      <c r="I27" s="4" t="s">
        <v>46</v>
      </c>
      <c r="J27" s="4" t="s">
        <v>47</v>
      </c>
      <c r="K27" s="4" t="s">
        <v>48</v>
      </c>
      <c r="L27" s="3">
        <v>45627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</v>
      </c>
      <c r="W27" s="5">
        <v>0</v>
      </c>
      <c r="X27" s="5">
        <v>100</v>
      </c>
      <c r="Y27" s="5">
        <v>585.5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45627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60</v>
      </c>
      <c r="AO27" s="4" t="s">
        <v>46</v>
      </c>
      <c r="AP27" s="4" t="s">
        <v>46</v>
      </c>
    </row>
    <row r="28" spans="1:42" x14ac:dyDescent="0.15">
      <c r="A28" s="2">
        <v>1891456</v>
      </c>
      <c r="B28" s="3">
        <v>45637</v>
      </c>
      <c r="C28" s="4" t="s">
        <v>146</v>
      </c>
      <c r="D28" s="2">
        <v>1815594</v>
      </c>
      <c r="E28" s="4" t="s">
        <v>150</v>
      </c>
      <c r="F28" s="4" t="s">
        <v>151</v>
      </c>
      <c r="G28" s="2">
        <v>615154090</v>
      </c>
      <c r="H28" s="4" t="s">
        <v>152</v>
      </c>
      <c r="I28" s="4" t="s">
        <v>46</v>
      </c>
      <c r="J28" s="4" t="s">
        <v>47</v>
      </c>
      <c r="K28" s="4" t="s">
        <v>48</v>
      </c>
      <c r="L28" s="3">
        <v>45627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0.08</v>
      </c>
      <c r="W28" s="5">
        <v>0</v>
      </c>
      <c r="X28" s="5">
        <v>100</v>
      </c>
      <c r="Y28" s="5">
        <v>25.5</v>
      </c>
      <c r="Z28" s="4" t="s">
        <v>46</v>
      </c>
      <c r="AA28" s="5" t="s">
        <v>46</v>
      </c>
      <c r="AB28" s="4" t="s">
        <v>84</v>
      </c>
      <c r="AC28" s="4" t="s">
        <v>46</v>
      </c>
      <c r="AD28" s="5">
        <v>0</v>
      </c>
      <c r="AE28" s="4" t="s">
        <v>85</v>
      </c>
      <c r="AF28" s="3">
        <v>45627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60</v>
      </c>
      <c r="AO28" s="4" t="s">
        <v>46</v>
      </c>
      <c r="AP28" s="4" t="s">
        <v>46</v>
      </c>
    </row>
    <row r="29" spans="1:42" x14ac:dyDescent="0.15">
      <c r="A29" s="2">
        <v>1891456</v>
      </c>
      <c r="B29" s="3">
        <v>45637</v>
      </c>
      <c r="C29" s="4" t="s">
        <v>153</v>
      </c>
      <c r="D29" s="2">
        <v>1831491</v>
      </c>
      <c r="E29" s="4" t="s">
        <v>154</v>
      </c>
      <c r="F29" s="4" t="s">
        <v>155</v>
      </c>
      <c r="G29" s="2">
        <v>429597071</v>
      </c>
      <c r="H29" s="4" t="s">
        <v>156</v>
      </c>
      <c r="I29" s="4" t="s">
        <v>46</v>
      </c>
      <c r="J29" s="4" t="s">
        <v>47</v>
      </c>
      <c r="K29" s="4" t="s">
        <v>48</v>
      </c>
      <c r="L29" s="3">
        <v>45627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72</v>
      </c>
      <c r="U29" s="4" t="s">
        <v>46</v>
      </c>
      <c r="V29" s="5">
        <v>0</v>
      </c>
      <c r="W29" s="5">
        <v>0</v>
      </c>
      <c r="X29" s="5">
        <v>100</v>
      </c>
      <c r="Y29" s="5">
        <v>585.5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45627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73</v>
      </c>
      <c r="AO29" s="4" t="s">
        <v>46</v>
      </c>
      <c r="AP29" s="4" t="s">
        <v>46</v>
      </c>
    </row>
    <row r="30" spans="1:42" x14ac:dyDescent="0.15">
      <c r="A30" s="2">
        <v>1891456</v>
      </c>
      <c r="B30" s="3">
        <v>45637</v>
      </c>
      <c r="C30" s="4" t="s">
        <v>157</v>
      </c>
      <c r="D30" s="2">
        <v>1855975</v>
      </c>
      <c r="E30" s="4" t="s">
        <v>158</v>
      </c>
      <c r="F30" s="4" t="s">
        <v>159</v>
      </c>
      <c r="G30" s="2">
        <v>269141590</v>
      </c>
      <c r="H30" s="4" t="s">
        <v>160</v>
      </c>
      <c r="I30" s="4" t="s">
        <v>46</v>
      </c>
      <c r="J30" s="4" t="s">
        <v>47</v>
      </c>
      <c r="K30" s="4" t="s">
        <v>48</v>
      </c>
      <c r="L30" s="3">
        <v>45627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72</v>
      </c>
      <c r="U30" s="4" t="s">
        <v>46</v>
      </c>
      <c r="V30" s="5">
        <v>0</v>
      </c>
      <c r="W30" s="5">
        <v>0</v>
      </c>
      <c r="X30" s="5">
        <v>100</v>
      </c>
      <c r="Y30" s="5">
        <v>585.5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45627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73</v>
      </c>
      <c r="AO30" s="4" t="s">
        <v>46</v>
      </c>
      <c r="AP30" s="4" t="s">
        <v>46</v>
      </c>
    </row>
    <row r="31" spans="1:42" x14ac:dyDescent="0.15">
      <c r="A31" s="2">
        <v>1891456</v>
      </c>
      <c r="B31" s="3">
        <v>45637</v>
      </c>
      <c r="C31" s="4" t="s">
        <v>161</v>
      </c>
      <c r="D31" s="2">
        <v>1509744</v>
      </c>
      <c r="E31" s="4" t="s">
        <v>162</v>
      </c>
      <c r="F31" s="4" t="s">
        <v>163</v>
      </c>
      <c r="G31" s="4" t="s">
        <v>46</v>
      </c>
      <c r="H31" s="4" t="s">
        <v>46</v>
      </c>
      <c r="I31" s="4" t="s">
        <v>46</v>
      </c>
      <c r="J31" s="4" t="s">
        <v>164</v>
      </c>
      <c r="K31" s="4" t="s">
        <v>165</v>
      </c>
      <c r="L31" s="3">
        <v>45658</v>
      </c>
      <c r="M31" s="4" t="s">
        <v>166</v>
      </c>
      <c r="N31" s="4" t="s">
        <v>46</v>
      </c>
      <c r="O31" s="4" t="s">
        <v>50</v>
      </c>
      <c r="P31" s="4" t="s">
        <v>65</v>
      </c>
      <c r="Q31" s="2">
        <v>2</v>
      </c>
      <c r="R31" s="2">
        <v>60</v>
      </c>
      <c r="S31" s="4" t="s">
        <v>167</v>
      </c>
      <c r="T31" s="4" t="s">
        <v>46</v>
      </c>
      <c r="U31" s="4" t="s">
        <v>46</v>
      </c>
      <c r="V31" s="5">
        <v>10</v>
      </c>
      <c r="W31" s="5">
        <v>26.88</v>
      </c>
      <c r="X31" s="5">
        <v>100</v>
      </c>
      <c r="Y31" s="5">
        <v>2.69</v>
      </c>
      <c r="Z31" s="4" t="s">
        <v>46</v>
      </c>
      <c r="AA31" s="5" t="s">
        <v>46</v>
      </c>
      <c r="AB31" s="4" t="s">
        <v>168</v>
      </c>
      <c r="AC31" s="4" t="s">
        <v>46</v>
      </c>
      <c r="AD31" s="5">
        <v>0</v>
      </c>
      <c r="AE31" s="4" t="s">
        <v>169</v>
      </c>
      <c r="AF31" s="3">
        <v>45323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15">
      <c r="A32" s="2">
        <v>1891456</v>
      </c>
      <c r="B32" s="3">
        <v>45637</v>
      </c>
      <c r="C32" s="4" t="s">
        <v>161</v>
      </c>
      <c r="D32" s="2">
        <v>1509744</v>
      </c>
      <c r="E32" s="4" t="s">
        <v>170</v>
      </c>
      <c r="F32" s="4" t="s">
        <v>171</v>
      </c>
      <c r="G32" s="4" t="s">
        <v>46</v>
      </c>
      <c r="H32" s="4" t="s">
        <v>46</v>
      </c>
      <c r="I32" s="4" t="s">
        <v>46</v>
      </c>
      <c r="J32" s="4" t="s">
        <v>164</v>
      </c>
      <c r="K32" s="4" t="s">
        <v>165</v>
      </c>
      <c r="L32" s="3">
        <v>45658</v>
      </c>
      <c r="M32" s="4" t="s">
        <v>166</v>
      </c>
      <c r="N32" s="4" t="s">
        <v>46</v>
      </c>
      <c r="O32" s="4" t="s">
        <v>50</v>
      </c>
      <c r="P32" s="4" t="s">
        <v>65</v>
      </c>
      <c r="Q32" s="2">
        <v>1</v>
      </c>
      <c r="R32" s="2">
        <v>60</v>
      </c>
      <c r="S32" s="4" t="s">
        <v>167</v>
      </c>
      <c r="T32" s="4" t="s">
        <v>46</v>
      </c>
      <c r="U32" s="4" t="s">
        <v>46</v>
      </c>
      <c r="V32" s="5">
        <v>10</v>
      </c>
      <c r="W32" s="5">
        <v>16.260000000000002</v>
      </c>
      <c r="X32" s="5">
        <v>100</v>
      </c>
      <c r="Y32" s="5">
        <v>1.63</v>
      </c>
      <c r="Z32" s="4" t="s">
        <v>46</v>
      </c>
      <c r="AA32" s="5" t="s">
        <v>46</v>
      </c>
      <c r="AB32" s="4" t="s">
        <v>168</v>
      </c>
      <c r="AC32" s="4" t="s">
        <v>46</v>
      </c>
      <c r="AD32" s="5">
        <v>0</v>
      </c>
      <c r="AE32" s="4" t="s">
        <v>169</v>
      </c>
      <c r="AF32" s="3">
        <v>45622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15">
      <c r="A33" s="2">
        <v>1891456</v>
      </c>
      <c r="B33" s="3">
        <v>45637</v>
      </c>
      <c r="C33" s="4" t="s">
        <v>161</v>
      </c>
      <c r="D33" s="2">
        <v>1509744</v>
      </c>
      <c r="E33" s="4" t="s">
        <v>172</v>
      </c>
      <c r="F33" s="4" t="s">
        <v>173</v>
      </c>
      <c r="G33" s="4" t="s">
        <v>46</v>
      </c>
      <c r="H33" s="4" t="s">
        <v>46</v>
      </c>
      <c r="I33" s="4" t="s">
        <v>46</v>
      </c>
      <c r="J33" s="4" t="s">
        <v>164</v>
      </c>
      <c r="K33" s="4" t="s">
        <v>165</v>
      </c>
      <c r="L33" s="3">
        <v>45658</v>
      </c>
      <c r="M33" s="4" t="s">
        <v>166</v>
      </c>
      <c r="N33" s="4" t="s">
        <v>46</v>
      </c>
      <c r="O33" s="4" t="s">
        <v>50</v>
      </c>
      <c r="P33" s="4" t="s">
        <v>65</v>
      </c>
      <c r="Q33" s="2">
        <v>1</v>
      </c>
      <c r="R33" s="2">
        <v>3</v>
      </c>
      <c r="S33" s="4" t="s">
        <v>174</v>
      </c>
      <c r="T33" s="4" t="s">
        <v>46</v>
      </c>
      <c r="U33" s="4" t="s">
        <v>46</v>
      </c>
      <c r="V33" s="5">
        <v>10</v>
      </c>
      <c r="W33" s="5">
        <v>24.54</v>
      </c>
      <c r="X33" s="5">
        <v>100</v>
      </c>
      <c r="Y33" s="5">
        <v>32.450000000000003</v>
      </c>
      <c r="Z33" s="4" t="s">
        <v>46</v>
      </c>
      <c r="AA33" s="5" t="s">
        <v>46</v>
      </c>
      <c r="AB33" s="4" t="s">
        <v>168</v>
      </c>
      <c r="AC33" s="4" t="s">
        <v>46</v>
      </c>
      <c r="AD33" s="5">
        <v>0</v>
      </c>
      <c r="AE33" s="4" t="s">
        <v>169</v>
      </c>
      <c r="AF33" s="3">
        <v>45658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15">
      <c r="A34" s="2">
        <v>1891456</v>
      </c>
      <c r="B34" s="3">
        <v>45637</v>
      </c>
      <c r="C34" s="4" t="s">
        <v>161</v>
      </c>
      <c r="D34" s="2">
        <v>1509744</v>
      </c>
      <c r="E34" s="4" t="s">
        <v>175</v>
      </c>
      <c r="F34" s="4" t="s">
        <v>176</v>
      </c>
      <c r="G34" s="4" t="s">
        <v>46</v>
      </c>
      <c r="H34" s="4" t="s">
        <v>46</v>
      </c>
      <c r="I34" s="4" t="s">
        <v>46</v>
      </c>
      <c r="J34" s="4" t="s">
        <v>164</v>
      </c>
      <c r="K34" s="4" t="s">
        <v>165</v>
      </c>
      <c r="L34" s="3">
        <v>45658</v>
      </c>
      <c r="M34" s="4" t="s">
        <v>166</v>
      </c>
      <c r="N34" s="4" t="s">
        <v>46</v>
      </c>
      <c r="O34" s="4" t="s">
        <v>50</v>
      </c>
      <c r="P34" s="4" t="s">
        <v>65</v>
      </c>
      <c r="Q34" s="2">
        <v>2</v>
      </c>
      <c r="R34" s="2">
        <v>3</v>
      </c>
      <c r="S34" s="4" t="s">
        <v>174</v>
      </c>
      <c r="T34" s="4" t="s">
        <v>46</v>
      </c>
      <c r="U34" s="4" t="s">
        <v>46</v>
      </c>
      <c r="V34" s="5">
        <v>10</v>
      </c>
      <c r="W34" s="5">
        <v>97.6</v>
      </c>
      <c r="X34" s="5">
        <v>100</v>
      </c>
      <c r="Y34" s="5">
        <v>44.76</v>
      </c>
      <c r="Z34" s="4" t="s">
        <v>46</v>
      </c>
      <c r="AA34" s="5" t="s">
        <v>46</v>
      </c>
      <c r="AB34" s="4" t="s">
        <v>168</v>
      </c>
      <c r="AC34" s="4" t="s">
        <v>46</v>
      </c>
      <c r="AD34" s="5">
        <v>0</v>
      </c>
      <c r="AE34" s="4" t="s">
        <v>169</v>
      </c>
      <c r="AF34" s="3">
        <v>45658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15">
      <c r="A35" s="2">
        <v>1891456</v>
      </c>
      <c r="B35" s="3">
        <v>45637</v>
      </c>
      <c r="C35" s="4" t="s">
        <v>161</v>
      </c>
      <c r="D35" s="2">
        <v>1509744</v>
      </c>
      <c r="E35" s="4" t="s">
        <v>175</v>
      </c>
      <c r="F35" s="4" t="s">
        <v>177</v>
      </c>
      <c r="G35" s="4" t="s">
        <v>46</v>
      </c>
      <c r="H35" s="4" t="s">
        <v>46</v>
      </c>
      <c r="I35" s="4" t="s">
        <v>46</v>
      </c>
      <c r="J35" s="4" t="s">
        <v>164</v>
      </c>
      <c r="K35" s="4" t="s">
        <v>165</v>
      </c>
      <c r="L35" s="3">
        <v>45658</v>
      </c>
      <c r="M35" s="4" t="s">
        <v>166</v>
      </c>
      <c r="N35" s="4" t="s">
        <v>46</v>
      </c>
      <c r="O35" s="4" t="s">
        <v>50</v>
      </c>
      <c r="P35" s="4" t="s">
        <v>65</v>
      </c>
      <c r="Q35" s="2">
        <v>2</v>
      </c>
      <c r="R35" s="2">
        <v>60</v>
      </c>
      <c r="S35" s="4" t="s">
        <v>167</v>
      </c>
      <c r="T35" s="4" t="s">
        <v>46</v>
      </c>
      <c r="U35" s="4" t="s">
        <v>46</v>
      </c>
      <c r="V35" s="5">
        <v>10</v>
      </c>
      <c r="W35" s="5">
        <v>26.88</v>
      </c>
      <c r="X35" s="5">
        <v>100</v>
      </c>
      <c r="Y35" s="5">
        <v>37.69</v>
      </c>
      <c r="Z35" s="4" t="s">
        <v>46</v>
      </c>
      <c r="AA35" s="5" t="s">
        <v>46</v>
      </c>
      <c r="AB35" s="4" t="s">
        <v>168</v>
      </c>
      <c r="AC35" s="4" t="s">
        <v>46</v>
      </c>
      <c r="AD35" s="5">
        <v>0</v>
      </c>
      <c r="AE35" s="4" t="s">
        <v>169</v>
      </c>
      <c r="AF35" s="3">
        <v>45658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15">
      <c r="A36" s="2">
        <v>1891456</v>
      </c>
      <c r="B36" s="3">
        <v>45637</v>
      </c>
      <c r="C36" s="4" t="s">
        <v>161</v>
      </c>
      <c r="D36" s="2">
        <v>1509744</v>
      </c>
      <c r="E36" s="4" t="s">
        <v>178</v>
      </c>
      <c r="F36" s="4" t="s">
        <v>179</v>
      </c>
      <c r="G36" s="4" t="s">
        <v>46</v>
      </c>
      <c r="H36" s="4" t="s">
        <v>46</v>
      </c>
      <c r="I36" s="4" t="s">
        <v>46</v>
      </c>
      <c r="J36" s="4" t="s">
        <v>164</v>
      </c>
      <c r="K36" s="4" t="s">
        <v>165</v>
      </c>
      <c r="L36" s="3">
        <v>45627</v>
      </c>
      <c r="M36" s="4" t="s">
        <v>49</v>
      </c>
      <c r="N36" s="4" t="s">
        <v>46</v>
      </c>
      <c r="O36" s="4" t="s">
        <v>50</v>
      </c>
      <c r="P36" s="4" t="s">
        <v>65</v>
      </c>
      <c r="Q36" s="2">
        <v>2</v>
      </c>
      <c r="R36" s="2">
        <v>3</v>
      </c>
      <c r="S36" s="4" t="s">
        <v>174</v>
      </c>
      <c r="T36" s="4" t="s">
        <v>46</v>
      </c>
      <c r="U36" s="4" t="s">
        <v>46</v>
      </c>
      <c r="V36" s="5">
        <v>10</v>
      </c>
      <c r="W36" s="5">
        <v>97.6</v>
      </c>
      <c r="X36" s="5">
        <v>100</v>
      </c>
      <c r="Y36" s="5">
        <v>44.76</v>
      </c>
      <c r="Z36" s="4" t="s">
        <v>46</v>
      </c>
      <c r="AA36" s="5" t="s">
        <v>46</v>
      </c>
      <c r="AB36" s="4" t="s">
        <v>168</v>
      </c>
      <c r="AC36" s="4" t="s">
        <v>46</v>
      </c>
      <c r="AD36" s="5">
        <v>0</v>
      </c>
      <c r="AE36" s="4" t="s">
        <v>169</v>
      </c>
      <c r="AF36" s="3">
        <v>45644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15">
      <c r="A37" s="2">
        <v>1891456</v>
      </c>
      <c r="B37" s="3">
        <v>45637</v>
      </c>
      <c r="C37" s="4" t="s">
        <v>161</v>
      </c>
      <c r="D37" s="2">
        <v>1509744</v>
      </c>
      <c r="E37" s="4" t="s">
        <v>178</v>
      </c>
      <c r="F37" s="4" t="s">
        <v>180</v>
      </c>
      <c r="G37" s="4" t="s">
        <v>46</v>
      </c>
      <c r="H37" s="4" t="s">
        <v>46</v>
      </c>
      <c r="I37" s="4" t="s">
        <v>46</v>
      </c>
      <c r="J37" s="4" t="s">
        <v>164</v>
      </c>
      <c r="K37" s="4" t="s">
        <v>165</v>
      </c>
      <c r="L37" s="3">
        <v>45627</v>
      </c>
      <c r="M37" s="4" t="s">
        <v>49</v>
      </c>
      <c r="N37" s="4" t="s">
        <v>46</v>
      </c>
      <c r="O37" s="4" t="s">
        <v>50</v>
      </c>
      <c r="P37" s="4" t="s">
        <v>65</v>
      </c>
      <c r="Q37" s="2">
        <v>2</v>
      </c>
      <c r="R37" s="2">
        <v>60</v>
      </c>
      <c r="S37" s="4" t="s">
        <v>167</v>
      </c>
      <c r="T37" s="4" t="s">
        <v>46</v>
      </c>
      <c r="U37" s="4" t="s">
        <v>46</v>
      </c>
      <c r="V37" s="5">
        <v>10</v>
      </c>
      <c r="W37" s="5">
        <v>26.88</v>
      </c>
      <c r="X37" s="5">
        <v>100</v>
      </c>
      <c r="Y37" s="5">
        <v>37.69</v>
      </c>
      <c r="Z37" s="4" t="s">
        <v>46</v>
      </c>
      <c r="AA37" s="5" t="s">
        <v>46</v>
      </c>
      <c r="AB37" s="4" t="s">
        <v>168</v>
      </c>
      <c r="AC37" s="4" t="s">
        <v>46</v>
      </c>
      <c r="AD37" s="5">
        <v>0</v>
      </c>
      <c r="AE37" s="4" t="s">
        <v>169</v>
      </c>
      <c r="AF37" s="3">
        <v>45644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15">
      <c r="A38" s="2">
        <v>1891456</v>
      </c>
      <c r="B38" s="3">
        <v>45637</v>
      </c>
      <c r="C38" s="4" t="s">
        <v>161</v>
      </c>
      <c r="D38" s="2">
        <v>1509744</v>
      </c>
      <c r="E38" s="4" t="s">
        <v>181</v>
      </c>
      <c r="F38" s="4" t="s">
        <v>182</v>
      </c>
      <c r="G38" s="4" t="s">
        <v>46</v>
      </c>
      <c r="H38" s="4" t="s">
        <v>46</v>
      </c>
      <c r="I38" s="4" t="s">
        <v>46</v>
      </c>
      <c r="J38" s="4" t="s">
        <v>164</v>
      </c>
      <c r="K38" s="4" t="s">
        <v>165</v>
      </c>
      <c r="L38" s="3">
        <v>45658</v>
      </c>
      <c r="M38" s="4" t="s">
        <v>166</v>
      </c>
      <c r="N38" s="4" t="s">
        <v>46</v>
      </c>
      <c r="O38" s="4" t="s">
        <v>50</v>
      </c>
      <c r="P38" s="4" t="s">
        <v>65</v>
      </c>
      <c r="Q38" s="2">
        <v>1</v>
      </c>
      <c r="R38" s="2">
        <v>3</v>
      </c>
      <c r="S38" s="4" t="s">
        <v>174</v>
      </c>
      <c r="T38" s="4" t="s">
        <v>46</v>
      </c>
      <c r="U38" s="4" t="s">
        <v>46</v>
      </c>
      <c r="V38" s="5">
        <v>10</v>
      </c>
      <c r="W38" s="5">
        <v>52.78</v>
      </c>
      <c r="X38" s="5">
        <v>100</v>
      </c>
      <c r="Y38" s="5">
        <v>40.28</v>
      </c>
      <c r="Z38" s="4" t="s">
        <v>46</v>
      </c>
      <c r="AA38" s="5" t="s">
        <v>46</v>
      </c>
      <c r="AB38" s="4" t="s">
        <v>168</v>
      </c>
      <c r="AC38" s="4" t="s">
        <v>46</v>
      </c>
      <c r="AD38" s="5">
        <v>0</v>
      </c>
      <c r="AE38" s="4" t="s">
        <v>169</v>
      </c>
      <c r="AF38" s="3">
        <v>45658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15">
      <c r="A39" s="2">
        <v>1891456</v>
      </c>
      <c r="B39" s="3">
        <v>45637</v>
      </c>
      <c r="C39" s="4" t="s">
        <v>161</v>
      </c>
      <c r="D39" s="2">
        <v>1509744</v>
      </c>
      <c r="E39" s="4" t="s">
        <v>181</v>
      </c>
      <c r="F39" s="4" t="s">
        <v>183</v>
      </c>
      <c r="G39" s="4" t="s">
        <v>46</v>
      </c>
      <c r="H39" s="4" t="s">
        <v>46</v>
      </c>
      <c r="I39" s="4" t="s">
        <v>46</v>
      </c>
      <c r="J39" s="4" t="s">
        <v>164</v>
      </c>
      <c r="K39" s="4" t="s">
        <v>165</v>
      </c>
      <c r="L39" s="3">
        <v>45658</v>
      </c>
      <c r="M39" s="4" t="s">
        <v>166</v>
      </c>
      <c r="N39" s="4" t="s">
        <v>46</v>
      </c>
      <c r="O39" s="4" t="s">
        <v>50</v>
      </c>
      <c r="P39" s="4" t="s">
        <v>65</v>
      </c>
      <c r="Q39" s="2">
        <v>1</v>
      </c>
      <c r="R39" s="2">
        <v>60</v>
      </c>
      <c r="S39" s="4" t="s">
        <v>167</v>
      </c>
      <c r="T39" s="4" t="s">
        <v>46</v>
      </c>
      <c r="U39" s="4" t="s">
        <v>46</v>
      </c>
      <c r="V39" s="5">
        <v>10</v>
      </c>
      <c r="W39" s="5">
        <v>13.93</v>
      </c>
      <c r="X39" s="5">
        <v>100</v>
      </c>
      <c r="Y39" s="5">
        <v>36.39</v>
      </c>
      <c r="Z39" s="4" t="s">
        <v>46</v>
      </c>
      <c r="AA39" s="5" t="s">
        <v>46</v>
      </c>
      <c r="AB39" s="4" t="s">
        <v>168</v>
      </c>
      <c r="AC39" s="4" t="s">
        <v>46</v>
      </c>
      <c r="AD39" s="5">
        <v>0</v>
      </c>
      <c r="AE39" s="4" t="s">
        <v>169</v>
      </c>
      <c r="AF39" s="3">
        <v>45658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15">
      <c r="A40" s="2">
        <v>1891456</v>
      </c>
      <c r="B40" s="3">
        <v>45637</v>
      </c>
      <c r="C40" s="4" t="s">
        <v>184</v>
      </c>
      <c r="D40" s="2">
        <v>1510085</v>
      </c>
      <c r="E40" s="4" t="s">
        <v>185</v>
      </c>
      <c r="F40" s="4" t="s">
        <v>186</v>
      </c>
      <c r="G40" s="4" t="s">
        <v>46</v>
      </c>
      <c r="H40" s="4" t="s">
        <v>46</v>
      </c>
      <c r="I40" s="4" t="s">
        <v>46</v>
      </c>
      <c r="J40" s="4" t="s">
        <v>187</v>
      </c>
      <c r="K40" s="4" t="s">
        <v>188</v>
      </c>
      <c r="L40" s="3">
        <v>45627</v>
      </c>
      <c r="M40" s="4" t="s">
        <v>49</v>
      </c>
      <c r="N40" s="4" t="s">
        <v>46</v>
      </c>
      <c r="O40" s="4" t="s">
        <v>65</v>
      </c>
      <c r="P40" s="4" t="s">
        <v>65</v>
      </c>
      <c r="Q40" s="2">
        <v>1</v>
      </c>
      <c r="R40" s="2">
        <v>60</v>
      </c>
      <c r="S40" s="4" t="s">
        <v>167</v>
      </c>
      <c r="T40" s="4" t="s">
        <v>46</v>
      </c>
      <c r="U40" s="4" t="s">
        <v>46</v>
      </c>
      <c r="V40" s="5">
        <v>10</v>
      </c>
      <c r="W40" s="5">
        <v>-5.69</v>
      </c>
      <c r="X40" s="5">
        <v>100</v>
      </c>
      <c r="Y40" s="5">
        <v>-0.56999999999999995</v>
      </c>
      <c r="Z40" s="4" t="s">
        <v>46</v>
      </c>
      <c r="AA40" s="5" t="s">
        <v>46</v>
      </c>
      <c r="AB40" s="4" t="s">
        <v>66</v>
      </c>
      <c r="AC40" s="4" t="s">
        <v>46</v>
      </c>
      <c r="AD40" s="5">
        <v>0</v>
      </c>
      <c r="AE40" s="4" t="s">
        <v>67</v>
      </c>
      <c r="AF40" s="3">
        <v>44287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15">
      <c r="A41" s="2">
        <v>1891456</v>
      </c>
      <c r="B41" s="3">
        <v>45637</v>
      </c>
      <c r="C41" s="4" t="s">
        <v>184</v>
      </c>
      <c r="D41" s="2">
        <v>1510085</v>
      </c>
      <c r="E41" s="4" t="s">
        <v>189</v>
      </c>
      <c r="F41" s="4" t="s">
        <v>190</v>
      </c>
      <c r="G41" s="4" t="s">
        <v>46</v>
      </c>
      <c r="H41" s="4" t="s">
        <v>46</v>
      </c>
      <c r="I41" s="4" t="s">
        <v>46</v>
      </c>
      <c r="J41" s="4" t="s">
        <v>187</v>
      </c>
      <c r="K41" s="4" t="s">
        <v>188</v>
      </c>
      <c r="L41" s="3">
        <v>45627</v>
      </c>
      <c r="M41" s="4" t="s">
        <v>49</v>
      </c>
      <c r="N41" s="4" t="s">
        <v>46</v>
      </c>
      <c r="O41" s="4" t="s">
        <v>65</v>
      </c>
      <c r="P41" s="4" t="s">
        <v>65</v>
      </c>
      <c r="Q41" s="2">
        <v>2</v>
      </c>
      <c r="R41" s="2">
        <v>3</v>
      </c>
      <c r="S41" s="4" t="s">
        <v>174</v>
      </c>
      <c r="T41" s="4" t="s">
        <v>46</v>
      </c>
      <c r="U41" s="4" t="s">
        <v>46</v>
      </c>
      <c r="V41" s="5">
        <v>10</v>
      </c>
      <c r="W41" s="5">
        <v>474.86</v>
      </c>
      <c r="X41" s="5">
        <v>100</v>
      </c>
      <c r="Y41" s="5">
        <v>47.49</v>
      </c>
      <c r="Z41" s="4" t="s">
        <v>46</v>
      </c>
      <c r="AA41" s="5" t="s">
        <v>46</v>
      </c>
      <c r="AB41" s="4" t="s">
        <v>66</v>
      </c>
      <c r="AC41" s="4" t="s">
        <v>46</v>
      </c>
      <c r="AD41" s="5">
        <v>0</v>
      </c>
      <c r="AE41" s="4" t="s">
        <v>67</v>
      </c>
      <c r="AF41" s="3">
        <v>44562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15">
      <c r="A42" s="2">
        <v>1891456</v>
      </c>
      <c r="B42" s="3">
        <v>45637</v>
      </c>
      <c r="C42" s="4" t="s">
        <v>184</v>
      </c>
      <c r="D42" s="2">
        <v>1510085</v>
      </c>
      <c r="E42" s="4" t="s">
        <v>189</v>
      </c>
      <c r="F42" s="4" t="s">
        <v>190</v>
      </c>
      <c r="G42" s="4" t="s">
        <v>46</v>
      </c>
      <c r="H42" s="4" t="s">
        <v>46</v>
      </c>
      <c r="I42" s="4" t="s">
        <v>46</v>
      </c>
      <c r="J42" s="4" t="s">
        <v>187</v>
      </c>
      <c r="K42" s="4" t="s">
        <v>188</v>
      </c>
      <c r="L42" s="3">
        <v>45627</v>
      </c>
      <c r="M42" s="4" t="s">
        <v>49</v>
      </c>
      <c r="N42" s="4" t="s">
        <v>46</v>
      </c>
      <c r="O42" s="4" t="s">
        <v>65</v>
      </c>
      <c r="P42" s="4" t="s">
        <v>65</v>
      </c>
      <c r="Q42" s="2">
        <v>2</v>
      </c>
      <c r="R42" s="2">
        <v>60</v>
      </c>
      <c r="S42" s="4" t="s">
        <v>167</v>
      </c>
      <c r="T42" s="4" t="s">
        <v>46</v>
      </c>
      <c r="U42" s="4" t="s">
        <v>46</v>
      </c>
      <c r="V42" s="5">
        <v>10</v>
      </c>
      <c r="W42" s="5">
        <v>50.98</v>
      </c>
      <c r="X42" s="5">
        <v>100</v>
      </c>
      <c r="Y42" s="5">
        <v>5.0999999999999996</v>
      </c>
      <c r="Z42" s="4" t="s">
        <v>46</v>
      </c>
      <c r="AA42" s="5" t="s">
        <v>46</v>
      </c>
      <c r="AB42" s="4" t="s">
        <v>66</v>
      </c>
      <c r="AC42" s="4" t="s">
        <v>46</v>
      </c>
      <c r="AD42" s="5">
        <v>0</v>
      </c>
      <c r="AE42" s="4" t="s">
        <v>67</v>
      </c>
      <c r="AF42" s="3">
        <v>44562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15">
      <c r="A43" s="2">
        <v>1891456</v>
      </c>
      <c r="B43" s="3">
        <v>45637</v>
      </c>
      <c r="C43" s="4" t="s">
        <v>191</v>
      </c>
      <c r="D43" s="2">
        <v>1581327</v>
      </c>
      <c r="E43" s="4" t="s">
        <v>192</v>
      </c>
      <c r="F43" s="4" t="s">
        <v>193</v>
      </c>
      <c r="G43" s="4" t="s">
        <v>46</v>
      </c>
      <c r="H43" s="4" t="s">
        <v>46</v>
      </c>
      <c r="I43" s="4" t="s">
        <v>46</v>
      </c>
      <c r="J43" s="4" t="s">
        <v>194</v>
      </c>
      <c r="K43" s="4" t="s">
        <v>48</v>
      </c>
      <c r="L43" s="3">
        <v>45627</v>
      </c>
      <c r="M43" s="4" t="s">
        <v>49</v>
      </c>
      <c r="N43" s="4" t="s">
        <v>46</v>
      </c>
      <c r="O43" s="4" t="s">
        <v>65</v>
      </c>
      <c r="P43" s="4" t="s">
        <v>65</v>
      </c>
      <c r="Q43" s="2">
        <v>1</v>
      </c>
      <c r="R43" s="2">
        <v>17</v>
      </c>
      <c r="S43" s="4" t="s">
        <v>51</v>
      </c>
      <c r="T43" s="4" t="s">
        <v>46</v>
      </c>
      <c r="U43" s="4" t="s">
        <v>46</v>
      </c>
      <c r="V43" s="5">
        <v>11</v>
      </c>
      <c r="W43" s="5">
        <v>326.25</v>
      </c>
      <c r="X43" s="5">
        <v>100</v>
      </c>
      <c r="Y43" s="5">
        <v>35.89</v>
      </c>
      <c r="Z43" s="5">
        <v>0</v>
      </c>
      <c r="AA43" s="5">
        <v>0</v>
      </c>
      <c r="AB43" s="4" t="s">
        <v>66</v>
      </c>
      <c r="AC43" s="4" t="s">
        <v>46</v>
      </c>
      <c r="AD43" s="5">
        <v>0</v>
      </c>
      <c r="AE43" s="4" t="s">
        <v>67</v>
      </c>
      <c r="AF43" s="3">
        <v>45261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15">
      <c r="A44" s="2">
        <v>1891456</v>
      </c>
      <c r="B44" s="3">
        <v>45637</v>
      </c>
      <c r="C44" s="4" t="s">
        <v>195</v>
      </c>
      <c r="D44" s="2">
        <v>1607200</v>
      </c>
      <c r="E44" s="4" t="s">
        <v>196</v>
      </c>
      <c r="F44" s="4" t="s">
        <v>197</v>
      </c>
      <c r="G44" s="4" t="s">
        <v>46</v>
      </c>
      <c r="H44" s="4" t="s">
        <v>46</v>
      </c>
      <c r="I44" s="4" t="s">
        <v>46</v>
      </c>
      <c r="J44" s="4" t="s">
        <v>194</v>
      </c>
      <c r="K44" s="4" t="s">
        <v>48</v>
      </c>
      <c r="L44" s="3">
        <v>45627</v>
      </c>
      <c r="M44" s="4" t="s">
        <v>49</v>
      </c>
      <c r="N44" s="4" t="s">
        <v>46</v>
      </c>
      <c r="O44" s="4" t="s">
        <v>65</v>
      </c>
      <c r="P44" s="4" t="s">
        <v>65</v>
      </c>
      <c r="Q44" s="2">
        <v>1</v>
      </c>
      <c r="R44" s="2">
        <v>17</v>
      </c>
      <c r="S44" s="4" t="s">
        <v>51</v>
      </c>
      <c r="T44" s="4" t="s">
        <v>46</v>
      </c>
      <c r="U44" s="4" t="s">
        <v>46</v>
      </c>
      <c r="V44" s="5">
        <v>3</v>
      </c>
      <c r="W44" s="5">
        <v>201.81</v>
      </c>
      <c r="X44" s="5">
        <v>100</v>
      </c>
      <c r="Y44" s="5">
        <v>6.05</v>
      </c>
      <c r="Z44" s="5">
        <v>0</v>
      </c>
      <c r="AA44" s="5">
        <v>0</v>
      </c>
      <c r="AB44" s="4" t="s">
        <v>66</v>
      </c>
      <c r="AC44" s="4" t="s">
        <v>46</v>
      </c>
      <c r="AD44" s="5">
        <v>0</v>
      </c>
      <c r="AE44" s="4" t="s">
        <v>67</v>
      </c>
      <c r="AF44" s="3">
        <v>43525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15">
      <c r="A45" s="2">
        <v>1891456</v>
      </c>
      <c r="B45" s="3">
        <v>45637</v>
      </c>
      <c r="C45" s="4" t="s">
        <v>198</v>
      </c>
      <c r="D45" s="2">
        <v>1673763</v>
      </c>
      <c r="E45" s="4" t="s">
        <v>199</v>
      </c>
      <c r="F45" s="4" t="s">
        <v>200</v>
      </c>
      <c r="G45" s="4" t="s">
        <v>46</v>
      </c>
      <c r="H45" s="4" t="s">
        <v>46</v>
      </c>
      <c r="I45" s="4" t="s">
        <v>46</v>
      </c>
      <c r="J45" s="4" t="s">
        <v>194</v>
      </c>
      <c r="K45" s="4" t="s">
        <v>48</v>
      </c>
      <c r="L45" s="3">
        <v>45627</v>
      </c>
      <c r="M45" s="4" t="s">
        <v>49</v>
      </c>
      <c r="N45" s="4" t="s">
        <v>46</v>
      </c>
      <c r="O45" s="4" t="s">
        <v>65</v>
      </c>
      <c r="P45" s="4" t="s">
        <v>65</v>
      </c>
      <c r="Q45" s="2">
        <v>1</v>
      </c>
      <c r="R45" s="2">
        <v>17</v>
      </c>
      <c r="S45" s="4" t="s">
        <v>51</v>
      </c>
      <c r="T45" s="4" t="s">
        <v>46</v>
      </c>
      <c r="U45" s="4" t="s">
        <v>46</v>
      </c>
      <c r="V45" s="5">
        <v>1</v>
      </c>
      <c r="W45" s="5">
        <v>159.94999999999999</v>
      </c>
      <c r="X45" s="5">
        <v>100</v>
      </c>
      <c r="Y45" s="5">
        <v>1.6</v>
      </c>
      <c r="Z45" s="5">
        <v>0</v>
      </c>
      <c r="AA45" s="5">
        <v>0</v>
      </c>
      <c r="AB45" s="4" t="s">
        <v>201</v>
      </c>
      <c r="AC45" s="4" t="s">
        <v>46</v>
      </c>
      <c r="AD45" s="5">
        <v>0</v>
      </c>
      <c r="AE45" s="4" t="s">
        <v>202</v>
      </c>
      <c r="AF45" s="3">
        <v>45170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15">
      <c r="A46" s="2">
        <v>1891456</v>
      </c>
      <c r="B46" s="3">
        <v>45637</v>
      </c>
      <c r="C46" s="4" t="s">
        <v>198</v>
      </c>
      <c r="D46" s="2">
        <v>1673763</v>
      </c>
      <c r="E46" s="4" t="s">
        <v>203</v>
      </c>
      <c r="F46" s="4" t="s">
        <v>204</v>
      </c>
      <c r="G46" s="4" t="s">
        <v>46</v>
      </c>
      <c r="H46" s="4" t="s">
        <v>46</v>
      </c>
      <c r="I46" s="4" t="s">
        <v>46</v>
      </c>
      <c r="J46" s="4" t="s">
        <v>194</v>
      </c>
      <c r="K46" s="4" t="s">
        <v>48</v>
      </c>
      <c r="L46" s="3">
        <v>45627</v>
      </c>
      <c r="M46" s="4" t="s">
        <v>49</v>
      </c>
      <c r="N46" s="4" t="s">
        <v>46</v>
      </c>
      <c r="O46" s="4" t="s">
        <v>65</v>
      </c>
      <c r="P46" s="4" t="s">
        <v>65</v>
      </c>
      <c r="Q46" s="2">
        <v>1</v>
      </c>
      <c r="R46" s="2">
        <v>17</v>
      </c>
      <c r="S46" s="4" t="s">
        <v>51</v>
      </c>
      <c r="T46" s="4" t="s">
        <v>46</v>
      </c>
      <c r="U46" s="4" t="s">
        <v>46</v>
      </c>
      <c r="V46" s="5">
        <v>10</v>
      </c>
      <c r="W46" s="5">
        <v>168.22</v>
      </c>
      <c r="X46" s="5">
        <v>100</v>
      </c>
      <c r="Y46" s="5">
        <v>16.82</v>
      </c>
      <c r="Z46" s="5">
        <v>0</v>
      </c>
      <c r="AA46" s="5">
        <v>0</v>
      </c>
      <c r="AB46" s="4" t="s">
        <v>66</v>
      </c>
      <c r="AC46" s="4" t="s">
        <v>46</v>
      </c>
      <c r="AD46" s="5">
        <v>0</v>
      </c>
      <c r="AE46" s="4" t="s">
        <v>67</v>
      </c>
      <c r="AF46" s="3">
        <v>45231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15">
      <c r="A47" s="2">
        <v>1891456</v>
      </c>
      <c r="B47" s="3">
        <v>45637</v>
      </c>
      <c r="C47" s="4" t="s">
        <v>198</v>
      </c>
      <c r="D47" s="2">
        <v>1673763</v>
      </c>
      <c r="E47" s="4" t="s">
        <v>205</v>
      </c>
      <c r="F47" s="4" t="s">
        <v>206</v>
      </c>
      <c r="G47" s="4" t="s">
        <v>46</v>
      </c>
      <c r="H47" s="4" t="s">
        <v>46</v>
      </c>
      <c r="I47" s="4" t="s">
        <v>46</v>
      </c>
      <c r="J47" s="4" t="s">
        <v>194</v>
      </c>
      <c r="K47" s="4" t="s">
        <v>48</v>
      </c>
      <c r="L47" s="3">
        <v>45627</v>
      </c>
      <c r="M47" s="4" t="s">
        <v>49</v>
      </c>
      <c r="N47" s="4" t="s">
        <v>46</v>
      </c>
      <c r="O47" s="4" t="s">
        <v>65</v>
      </c>
      <c r="P47" s="4" t="s">
        <v>65</v>
      </c>
      <c r="Q47" s="2">
        <v>1</v>
      </c>
      <c r="R47" s="2">
        <v>17</v>
      </c>
      <c r="S47" s="4" t="s">
        <v>51</v>
      </c>
      <c r="T47" s="4" t="s">
        <v>46</v>
      </c>
      <c r="U47" s="4" t="s">
        <v>46</v>
      </c>
      <c r="V47" s="5">
        <v>22</v>
      </c>
      <c r="W47" s="5">
        <v>130.08000000000001</v>
      </c>
      <c r="X47" s="5">
        <v>100</v>
      </c>
      <c r="Y47" s="5">
        <v>28.62</v>
      </c>
      <c r="Z47" s="5">
        <v>0</v>
      </c>
      <c r="AA47" s="5">
        <v>0</v>
      </c>
      <c r="AB47" s="4" t="s">
        <v>201</v>
      </c>
      <c r="AC47" s="4" t="s">
        <v>46</v>
      </c>
      <c r="AD47" s="5">
        <v>0</v>
      </c>
      <c r="AE47" s="4" t="s">
        <v>202</v>
      </c>
      <c r="AF47" s="3">
        <v>45261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15">
      <c r="A48" s="2">
        <v>1891456</v>
      </c>
      <c r="B48" s="3">
        <v>45637</v>
      </c>
      <c r="C48" s="4" t="s">
        <v>198</v>
      </c>
      <c r="D48" s="2">
        <v>1673763</v>
      </c>
      <c r="E48" s="4" t="s">
        <v>207</v>
      </c>
      <c r="F48" s="4" t="s">
        <v>208</v>
      </c>
      <c r="G48" s="4" t="s">
        <v>46</v>
      </c>
      <c r="H48" s="4" t="s">
        <v>46</v>
      </c>
      <c r="I48" s="4" t="s">
        <v>46</v>
      </c>
      <c r="J48" s="4" t="s">
        <v>194</v>
      </c>
      <c r="K48" s="4" t="s">
        <v>48</v>
      </c>
      <c r="L48" s="3">
        <v>45627</v>
      </c>
      <c r="M48" s="4" t="s">
        <v>49</v>
      </c>
      <c r="N48" s="4" t="s">
        <v>46</v>
      </c>
      <c r="O48" s="4" t="s">
        <v>65</v>
      </c>
      <c r="P48" s="4" t="s">
        <v>65</v>
      </c>
      <c r="Q48" s="2">
        <v>1</v>
      </c>
      <c r="R48" s="2">
        <v>17</v>
      </c>
      <c r="S48" s="4" t="s">
        <v>51</v>
      </c>
      <c r="T48" s="4" t="s">
        <v>46</v>
      </c>
      <c r="U48" s="4" t="s">
        <v>46</v>
      </c>
      <c r="V48" s="5">
        <v>22</v>
      </c>
      <c r="W48" s="5">
        <v>130.08000000000001</v>
      </c>
      <c r="X48" s="5">
        <v>100</v>
      </c>
      <c r="Y48" s="5">
        <v>28.62</v>
      </c>
      <c r="Z48" s="5">
        <v>0</v>
      </c>
      <c r="AA48" s="5">
        <v>0</v>
      </c>
      <c r="AB48" s="4" t="s">
        <v>201</v>
      </c>
      <c r="AC48" s="4" t="s">
        <v>46</v>
      </c>
      <c r="AD48" s="5">
        <v>0</v>
      </c>
      <c r="AE48" s="4" t="s">
        <v>202</v>
      </c>
      <c r="AF48" s="3">
        <v>45261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15">
      <c r="A49" s="2">
        <v>1891456</v>
      </c>
      <c r="B49" s="3">
        <v>45637</v>
      </c>
      <c r="C49" s="4" t="s">
        <v>198</v>
      </c>
      <c r="D49" s="2">
        <v>1673763</v>
      </c>
      <c r="E49" s="4" t="s">
        <v>209</v>
      </c>
      <c r="F49" s="4" t="s">
        <v>210</v>
      </c>
      <c r="G49" s="4" t="s">
        <v>46</v>
      </c>
      <c r="H49" s="4" t="s">
        <v>46</v>
      </c>
      <c r="I49" s="4" t="s">
        <v>46</v>
      </c>
      <c r="J49" s="4" t="s">
        <v>194</v>
      </c>
      <c r="K49" s="4" t="s">
        <v>48</v>
      </c>
      <c r="L49" s="3">
        <v>45627</v>
      </c>
      <c r="M49" s="4" t="s">
        <v>49</v>
      </c>
      <c r="N49" s="4" t="s">
        <v>46</v>
      </c>
      <c r="O49" s="4" t="s">
        <v>65</v>
      </c>
      <c r="P49" s="4" t="s">
        <v>65</v>
      </c>
      <c r="Q49" s="2">
        <v>1</v>
      </c>
      <c r="R49" s="2">
        <v>17</v>
      </c>
      <c r="S49" s="4" t="s">
        <v>51</v>
      </c>
      <c r="T49" s="4" t="s">
        <v>46</v>
      </c>
      <c r="U49" s="4" t="s">
        <v>46</v>
      </c>
      <c r="V49" s="5">
        <v>0</v>
      </c>
      <c r="W49" s="5">
        <v>146.72999999999999</v>
      </c>
      <c r="X49" s="5">
        <v>100</v>
      </c>
      <c r="Y49" s="5">
        <v>4.17</v>
      </c>
      <c r="Z49" s="5">
        <v>0</v>
      </c>
      <c r="AA49" s="5">
        <v>0</v>
      </c>
      <c r="AB49" s="4" t="s">
        <v>201</v>
      </c>
      <c r="AC49" s="4" t="s">
        <v>46</v>
      </c>
      <c r="AD49" s="5">
        <v>0</v>
      </c>
      <c r="AE49" s="4" t="s">
        <v>202</v>
      </c>
      <c r="AF49" s="3">
        <v>45261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15">
      <c r="A50" s="2">
        <v>1891456</v>
      </c>
      <c r="B50" s="3">
        <v>45637</v>
      </c>
      <c r="C50" s="4" t="s">
        <v>211</v>
      </c>
      <c r="D50" s="2">
        <v>1775329</v>
      </c>
      <c r="E50" s="4" t="s">
        <v>212</v>
      </c>
      <c r="F50" s="4" t="s">
        <v>213</v>
      </c>
      <c r="G50" s="4" t="s">
        <v>46</v>
      </c>
      <c r="H50" s="4" t="s">
        <v>46</v>
      </c>
      <c r="I50" s="4" t="s">
        <v>46</v>
      </c>
      <c r="J50" s="4" t="s">
        <v>194</v>
      </c>
      <c r="K50" s="4" t="s">
        <v>48</v>
      </c>
      <c r="L50" s="3">
        <v>45627</v>
      </c>
      <c r="M50" s="4" t="s">
        <v>49</v>
      </c>
      <c r="N50" s="4" t="s">
        <v>46</v>
      </c>
      <c r="O50" s="4" t="s">
        <v>50</v>
      </c>
      <c r="P50" s="4" t="s">
        <v>65</v>
      </c>
      <c r="Q50" s="2">
        <v>1</v>
      </c>
      <c r="R50" s="2">
        <v>17</v>
      </c>
      <c r="S50" s="4" t="s">
        <v>51</v>
      </c>
      <c r="T50" s="4" t="s">
        <v>46</v>
      </c>
      <c r="U50" s="4" t="s">
        <v>46</v>
      </c>
      <c r="V50" s="5">
        <v>11</v>
      </c>
      <c r="W50" s="5">
        <v>142.16999999999999</v>
      </c>
      <c r="X50" s="5">
        <v>100</v>
      </c>
      <c r="Y50" s="5">
        <v>15.64</v>
      </c>
      <c r="Z50" s="5">
        <v>0</v>
      </c>
      <c r="AA50" s="5">
        <v>0</v>
      </c>
      <c r="AB50" s="4" t="s">
        <v>84</v>
      </c>
      <c r="AC50" s="4" t="s">
        <v>46</v>
      </c>
      <c r="AD50" s="5">
        <v>0</v>
      </c>
      <c r="AE50" s="4" t="s">
        <v>85</v>
      </c>
      <c r="AF50" s="3">
        <v>45505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15">
      <c r="A51" s="2">
        <v>1891456</v>
      </c>
      <c r="B51" s="3">
        <v>45637</v>
      </c>
      <c r="C51" s="4" t="s">
        <v>211</v>
      </c>
      <c r="D51" s="2">
        <v>1775329</v>
      </c>
      <c r="E51" s="4" t="s">
        <v>214</v>
      </c>
      <c r="F51" s="4" t="s">
        <v>215</v>
      </c>
      <c r="G51" s="4" t="s">
        <v>46</v>
      </c>
      <c r="H51" s="4" t="s">
        <v>46</v>
      </c>
      <c r="I51" s="4" t="s">
        <v>46</v>
      </c>
      <c r="J51" s="4" t="s">
        <v>194</v>
      </c>
      <c r="K51" s="4" t="s">
        <v>48</v>
      </c>
      <c r="L51" s="3">
        <v>45627</v>
      </c>
      <c r="M51" s="4" t="s">
        <v>49</v>
      </c>
      <c r="N51" s="4" t="s">
        <v>46</v>
      </c>
      <c r="O51" s="4" t="s">
        <v>50</v>
      </c>
      <c r="P51" s="4" t="s">
        <v>65</v>
      </c>
      <c r="Q51" s="2">
        <v>1</v>
      </c>
      <c r="R51" s="2">
        <v>17</v>
      </c>
      <c r="S51" s="4" t="s">
        <v>51</v>
      </c>
      <c r="T51" s="4" t="s">
        <v>46</v>
      </c>
      <c r="U51" s="4" t="s">
        <v>46</v>
      </c>
      <c r="V51" s="5">
        <v>11</v>
      </c>
      <c r="W51" s="5">
        <v>142.16999999999999</v>
      </c>
      <c r="X51" s="5">
        <v>100</v>
      </c>
      <c r="Y51" s="5">
        <v>15.64</v>
      </c>
      <c r="Z51" s="5">
        <v>0</v>
      </c>
      <c r="AA51" s="5">
        <v>0</v>
      </c>
      <c r="AB51" s="4" t="s">
        <v>84</v>
      </c>
      <c r="AC51" s="4" t="s">
        <v>46</v>
      </c>
      <c r="AD51" s="5">
        <v>0</v>
      </c>
      <c r="AE51" s="4" t="s">
        <v>85</v>
      </c>
      <c r="AF51" s="3">
        <v>45505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15">
      <c r="Y52" s="5">
        <f>SUM(Y2:Y51)</f>
        <v>11124.330000000002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17A8-15E3-F640-95BE-224D92745F6F}">
  <dimension ref="A1:AO52"/>
  <sheetViews>
    <sheetView tabSelected="1" topLeftCell="Q1" workbookViewId="0">
      <selection activeCell="V34" sqref="V34"/>
    </sheetView>
  </sheetViews>
  <sheetFormatPr baseColWidth="10" defaultColWidth="8.83203125" defaultRowHeight="13" x14ac:dyDescent="0.15"/>
  <cols>
    <col min="1" max="1" width="8.5" bestFit="1" customWidth="1"/>
    <col min="2" max="2" width="12.5" bestFit="1" customWidth="1"/>
    <col min="3" max="3" width="24.6640625" bestFit="1" customWidth="1"/>
    <col min="4" max="4" width="24.6640625" customWidth="1"/>
    <col min="5" max="5" width="8.5" bestFit="1" customWidth="1"/>
    <col min="6" max="6" width="28.5" bestFit="1" customWidth="1"/>
    <col min="7" max="7" width="13.33203125" bestFit="1" customWidth="1"/>
    <col min="8" max="8" width="19.83203125" style="9" bestFit="1" customWidth="1"/>
    <col min="9" max="9" width="9.5" bestFit="1" customWidth="1"/>
    <col min="10" max="10" width="10.5" bestFit="1" customWidth="1"/>
    <col min="11" max="13" width="11.5" bestFit="1" customWidth="1"/>
    <col min="14" max="15" width="10.5" bestFit="1" customWidth="1"/>
    <col min="16" max="16" width="5.6640625" bestFit="1" customWidth="1"/>
    <col min="17" max="19" width="15.33203125" bestFit="1" customWidth="1"/>
    <col min="20" max="20" width="11.5" bestFit="1" customWidth="1"/>
    <col min="21" max="21" width="13.6640625" bestFit="1" customWidth="1"/>
    <col min="22" max="22" width="9.5" bestFit="1" customWidth="1"/>
    <col min="23" max="23" width="12.5" bestFit="1" customWidth="1"/>
    <col min="24" max="24" width="15.33203125" bestFit="1" customWidth="1"/>
    <col min="25" max="25" width="13.6640625" bestFit="1" customWidth="1"/>
    <col min="26" max="26" width="30.5" bestFit="1" customWidth="1"/>
    <col min="27" max="27" width="31.1640625" customWidth="1"/>
    <col min="28" max="28" width="12.5" bestFit="1" customWidth="1"/>
    <col min="29" max="29" width="10.6640625" bestFit="1" customWidth="1"/>
    <col min="30" max="30" width="9.6640625" bestFit="1" customWidth="1"/>
    <col min="31" max="31" width="13.6640625" bestFit="1" customWidth="1"/>
    <col min="32" max="32" width="13.33203125" bestFit="1" customWidth="1"/>
    <col min="33" max="33" width="28.5" bestFit="1" customWidth="1"/>
    <col min="34" max="34" width="13.33203125" bestFit="1" customWidth="1"/>
    <col min="35" max="35" width="16.1640625" bestFit="1" customWidth="1"/>
    <col min="36" max="36" width="16" bestFit="1" customWidth="1"/>
    <col min="37" max="37" width="15.83203125" bestFit="1" customWidth="1"/>
    <col min="38" max="38" width="11.5" bestFit="1" customWidth="1"/>
  </cols>
  <sheetData>
    <row r="1" spans="1:41" x14ac:dyDescent="0.1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7"/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15">
      <c r="A2" s="2">
        <v>1891456</v>
      </c>
      <c r="B2" s="3">
        <v>45637</v>
      </c>
      <c r="C2" s="4" t="s">
        <v>42</v>
      </c>
      <c r="D2" s="6">
        <v>371819</v>
      </c>
      <c r="E2" s="2">
        <v>1251955</v>
      </c>
      <c r="F2" s="4" t="s">
        <v>43</v>
      </c>
      <c r="G2" s="4" t="s">
        <v>44</v>
      </c>
      <c r="H2" s="8" t="str">
        <f>CONCATENATE(G2,5)</f>
        <v>00022517390K5</v>
      </c>
      <c r="I2" s="4" t="s">
        <v>47</v>
      </c>
      <c r="J2" s="4" t="s">
        <v>48</v>
      </c>
      <c r="K2" s="3">
        <v>45627</v>
      </c>
      <c r="L2" s="4" t="s">
        <v>49</v>
      </c>
      <c r="M2" s="4" t="s">
        <v>46</v>
      </c>
      <c r="N2" s="4" t="s">
        <v>50</v>
      </c>
      <c r="O2" s="4" t="s">
        <v>46</v>
      </c>
      <c r="P2" s="2">
        <v>1</v>
      </c>
      <c r="Q2" s="2">
        <v>17</v>
      </c>
      <c r="R2" s="4" t="s">
        <v>51</v>
      </c>
      <c r="S2" s="4" t="s">
        <v>52</v>
      </c>
      <c r="T2" s="4" t="s">
        <v>46</v>
      </c>
      <c r="U2" s="5">
        <v>0</v>
      </c>
      <c r="V2" s="5">
        <v>0</v>
      </c>
      <c r="W2" s="5">
        <v>100</v>
      </c>
      <c r="X2" s="5">
        <v>585.5</v>
      </c>
      <c r="Y2" s="4" t="s">
        <v>46</v>
      </c>
      <c r="Z2" s="5" t="s">
        <v>46</v>
      </c>
      <c r="AA2" s="4" t="s">
        <v>53</v>
      </c>
      <c r="AB2" s="4" t="s">
        <v>46</v>
      </c>
      <c r="AC2" s="5">
        <v>0</v>
      </c>
      <c r="AD2" s="4" t="s">
        <v>54</v>
      </c>
      <c r="AE2" s="3">
        <v>45627</v>
      </c>
      <c r="AF2" s="4" t="s">
        <v>46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55</v>
      </c>
      <c r="AN2" s="4" t="s">
        <v>46</v>
      </c>
      <c r="AO2" s="4" t="s">
        <v>46</v>
      </c>
    </row>
    <row r="3" spans="1:41" x14ac:dyDescent="0.15">
      <c r="A3" s="2">
        <v>1891456</v>
      </c>
      <c r="B3" s="3">
        <v>45637</v>
      </c>
      <c r="C3" s="4" t="s">
        <v>56</v>
      </c>
      <c r="D3" s="6">
        <v>2158366</v>
      </c>
      <c r="E3" s="2">
        <v>1267028</v>
      </c>
      <c r="F3" s="4" t="s">
        <v>57</v>
      </c>
      <c r="G3" s="4" t="s">
        <v>58</v>
      </c>
      <c r="H3" s="8" t="str">
        <f t="shared" ref="H3:H30" si="0">CONCATENATE(G3,5)</f>
        <v>00022413863K5</v>
      </c>
      <c r="I3" s="4" t="s">
        <v>47</v>
      </c>
      <c r="J3" s="4" t="s">
        <v>48</v>
      </c>
      <c r="K3" s="3">
        <v>45627</v>
      </c>
      <c r="L3" s="4" t="s">
        <v>49</v>
      </c>
      <c r="M3" s="4" t="s">
        <v>46</v>
      </c>
      <c r="N3" s="4" t="s">
        <v>50</v>
      </c>
      <c r="O3" s="4" t="s">
        <v>46</v>
      </c>
      <c r="P3" s="2">
        <v>1</v>
      </c>
      <c r="Q3" s="2">
        <v>17</v>
      </c>
      <c r="R3" s="4" t="s">
        <v>51</v>
      </c>
      <c r="S3" s="4" t="s">
        <v>52</v>
      </c>
      <c r="T3" s="4" t="s">
        <v>46</v>
      </c>
      <c r="U3" s="5">
        <v>0</v>
      </c>
      <c r="V3" s="5">
        <v>0</v>
      </c>
      <c r="W3" s="5">
        <v>100</v>
      </c>
      <c r="X3" s="5">
        <v>585.5</v>
      </c>
      <c r="Y3" s="4" t="s">
        <v>46</v>
      </c>
      <c r="Z3" s="5" t="s">
        <v>46</v>
      </c>
      <c r="AA3" s="4" t="s">
        <v>53</v>
      </c>
      <c r="AB3" s="4" t="s">
        <v>46</v>
      </c>
      <c r="AC3" s="5">
        <v>0</v>
      </c>
      <c r="AD3" s="4" t="s">
        <v>54</v>
      </c>
      <c r="AE3" s="3">
        <v>45627</v>
      </c>
      <c r="AF3" s="4" t="s">
        <v>46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60</v>
      </c>
      <c r="AN3" s="4" t="s">
        <v>46</v>
      </c>
      <c r="AO3" s="4" t="s">
        <v>46</v>
      </c>
    </row>
    <row r="4" spans="1:41" x14ac:dyDescent="0.15">
      <c r="A4" s="2">
        <v>1891456</v>
      </c>
      <c r="B4" s="3">
        <v>45637</v>
      </c>
      <c r="C4" s="4" t="s">
        <v>61</v>
      </c>
      <c r="D4" s="6">
        <v>8307933</v>
      </c>
      <c r="E4" s="2">
        <v>1509770</v>
      </c>
      <c r="F4" s="4" t="s">
        <v>62</v>
      </c>
      <c r="G4" s="4" t="s">
        <v>63</v>
      </c>
      <c r="H4" s="8" t="str">
        <f t="shared" si="0"/>
        <v>00016089212K5</v>
      </c>
      <c r="I4" s="4" t="s">
        <v>47</v>
      </c>
      <c r="J4" s="4" t="s">
        <v>48</v>
      </c>
      <c r="K4" s="3">
        <v>45627</v>
      </c>
      <c r="L4" s="4" t="s">
        <v>49</v>
      </c>
      <c r="M4" s="4" t="s">
        <v>46</v>
      </c>
      <c r="N4" s="4" t="s">
        <v>65</v>
      </c>
      <c r="O4" s="4" t="s">
        <v>46</v>
      </c>
      <c r="P4" s="2">
        <v>1</v>
      </c>
      <c r="Q4" s="2">
        <v>17</v>
      </c>
      <c r="R4" s="4" t="s">
        <v>51</v>
      </c>
      <c r="S4" s="4" t="s">
        <v>52</v>
      </c>
      <c r="T4" s="4" t="s">
        <v>46</v>
      </c>
      <c r="U4" s="5">
        <v>1</v>
      </c>
      <c r="V4" s="5">
        <v>0</v>
      </c>
      <c r="W4" s="5">
        <v>100</v>
      </c>
      <c r="X4" s="5">
        <v>25.5</v>
      </c>
      <c r="Y4" s="4" t="s">
        <v>46</v>
      </c>
      <c r="Z4" s="5" t="s">
        <v>46</v>
      </c>
      <c r="AA4" s="4" t="s">
        <v>66</v>
      </c>
      <c r="AB4" s="4" t="s">
        <v>46</v>
      </c>
      <c r="AC4" s="5">
        <v>0</v>
      </c>
      <c r="AD4" s="4" t="s">
        <v>67</v>
      </c>
      <c r="AE4" s="3">
        <v>45261</v>
      </c>
      <c r="AF4" s="4" t="s">
        <v>46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68</v>
      </c>
      <c r="AN4" s="4" t="s">
        <v>46</v>
      </c>
      <c r="AO4" s="4" t="s">
        <v>46</v>
      </c>
    </row>
    <row r="5" spans="1:41" x14ac:dyDescent="0.15">
      <c r="A5" s="2">
        <v>1891456</v>
      </c>
      <c r="B5" s="3">
        <v>45637</v>
      </c>
      <c r="C5" s="4" t="s">
        <v>61</v>
      </c>
      <c r="D5" s="6">
        <v>8307933</v>
      </c>
      <c r="E5" s="2">
        <v>1509770</v>
      </c>
      <c r="F5" s="4" t="s">
        <v>69</v>
      </c>
      <c r="G5" s="4" t="s">
        <v>70</v>
      </c>
      <c r="H5" s="8" t="str">
        <f t="shared" si="0"/>
        <v>00020306158K5</v>
      </c>
      <c r="I5" s="4" t="s">
        <v>47</v>
      </c>
      <c r="J5" s="4" t="s">
        <v>48</v>
      </c>
      <c r="K5" s="3">
        <v>45627</v>
      </c>
      <c r="L5" s="4" t="s">
        <v>49</v>
      </c>
      <c r="M5" s="4" t="s">
        <v>46</v>
      </c>
      <c r="N5" s="4" t="s">
        <v>65</v>
      </c>
      <c r="O5" s="4" t="s">
        <v>46</v>
      </c>
      <c r="P5" s="2">
        <v>1</v>
      </c>
      <c r="Q5" s="2">
        <v>17</v>
      </c>
      <c r="R5" s="4" t="s">
        <v>51</v>
      </c>
      <c r="S5" s="4" t="s">
        <v>72</v>
      </c>
      <c r="T5" s="4" t="s">
        <v>46</v>
      </c>
      <c r="U5" s="5">
        <v>1</v>
      </c>
      <c r="V5" s="5">
        <v>0</v>
      </c>
      <c r="W5" s="5">
        <v>100</v>
      </c>
      <c r="X5" s="5">
        <v>25.5</v>
      </c>
      <c r="Y5" s="4" t="s">
        <v>46</v>
      </c>
      <c r="Z5" s="5" t="s">
        <v>46</v>
      </c>
      <c r="AA5" s="4" t="s">
        <v>66</v>
      </c>
      <c r="AB5" s="4" t="s">
        <v>46</v>
      </c>
      <c r="AC5" s="5">
        <v>0</v>
      </c>
      <c r="AD5" s="4" t="s">
        <v>67</v>
      </c>
      <c r="AE5" s="3">
        <v>45047</v>
      </c>
      <c r="AF5" s="4" t="s">
        <v>46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73</v>
      </c>
      <c r="AN5" s="4" t="s">
        <v>46</v>
      </c>
      <c r="AO5" s="4" t="s">
        <v>46</v>
      </c>
    </row>
    <row r="6" spans="1:41" x14ac:dyDescent="0.15">
      <c r="A6" s="2">
        <v>1891456</v>
      </c>
      <c r="B6" s="3">
        <v>45637</v>
      </c>
      <c r="C6" s="4" t="s">
        <v>61</v>
      </c>
      <c r="D6" s="6">
        <v>8307933</v>
      </c>
      <c r="E6" s="2">
        <v>1509770</v>
      </c>
      <c r="F6" s="4" t="s">
        <v>74</v>
      </c>
      <c r="G6" s="4" t="s">
        <v>75</v>
      </c>
      <c r="H6" s="8" t="str">
        <f t="shared" si="0"/>
        <v>00020306395K5</v>
      </c>
      <c r="I6" s="4" t="s">
        <v>47</v>
      </c>
      <c r="J6" s="4" t="s">
        <v>48</v>
      </c>
      <c r="K6" s="3">
        <v>45627</v>
      </c>
      <c r="L6" s="4" t="s">
        <v>49</v>
      </c>
      <c r="M6" s="4" t="s">
        <v>46</v>
      </c>
      <c r="N6" s="4" t="s">
        <v>65</v>
      </c>
      <c r="O6" s="4" t="s">
        <v>46</v>
      </c>
      <c r="P6" s="2">
        <v>1</v>
      </c>
      <c r="Q6" s="2">
        <v>17</v>
      </c>
      <c r="R6" s="4" t="s">
        <v>51</v>
      </c>
      <c r="S6" s="4" t="s">
        <v>72</v>
      </c>
      <c r="T6" s="4" t="s">
        <v>46</v>
      </c>
      <c r="U6" s="5">
        <v>1</v>
      </c>
      <c r="V6" s="5">
        <v>0</v>
      </c>
      <c r="W6" s="5">
        <v>100</v>
      </c>
      <c r="X6" s="5">
        <v>25.5</v>
      </c>
      <c r="Y6" s="4" t="s">
        <v>46</v>
      </c>
      <c r="Z6" s="5" t="s">
        <v>46</v>
      </c>
      <c r="AA6" s="4" t="s">
        <v>66</v>
      </c>
      <c r="AB6" s="4" t="s">
        <v>46</v>
      </c>
      <c r="AC6" s="5">
        <v>0</v>
      </c>
      <c r="AD6" s="4" t="s">
        <v>67</v>
      </c>
      <c r="AE6" s="3">
        <v>45047</v>
      </c>
      <c r="AF6" s="4" t="s">
        <v>46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73</v>
      </c>
      <c r="AN6" s="4" t="s">
        <v>46</v>
      </c>
      <c r="AO6" s="4" t="s">
        <v>46</v>
      </c>
    </row>
    <row r="7" spans="1:41" x14ac:dyDescent="0.15">
      <c r="A7" s="2">
        <v>1891456</v>
      </c>
      <c r="B7" s="3">
        <v>45637</v>
      </c>
      <c r="C7" s="4" t="s">
        <v>61</v>
      </c>
      <c r="D7" s="6">
        <v>8307933</v>
      </c>
      <c r="E7" s="2">
        <v>1509770</v>
      </c>
      <c r="F7" s="4" t="s">
        <v>77</v>
      </c>
      <c r="G7" s="4" t="s">
        <v>78</v>
      </c>
      <c r="H7" s="8" t="str">
        <f t="shared" si="0"/>
        <v>00020693708K5</v>
      </c>
      <c r="I7" s="4" t="s">
        <v>47</v>
      </c>
      <c r="J7" s="4" t="s">
        <v>48</v>
      </c>
      <c r="K7" s="3">
        <v>45627</v>
      </c>
      <c r="L7" s="4" t="s">
        <v>49</v>
      </c>
      <c r="M7" s="4" t="s">
        <v>46</v>
      </c>
      <c r="N7" s="4" t="s">
        <v>65</v>
      </c>
      <c r="O7" s="4" t="s">
        <v>46</v>
      </c>
      <c r="P7" s="2">
        <v>1</v>
      </c>
      <c r="Q7" s="2">
        <v>17</v>
      </c>
      <c r="R7" s="4" t="s">
        <v>51</v>
      </c>
      <c r="S7" s="4" t="s">
        <v>72</v>
      </c>
      <c r="T7" s="4" t="s">
        <v>46</v>
      </c>
      <c r="U7" s="5">
        <v>1</v>
      </c>
      <c r="V7" s="5">
        <v>0</v>
      </c>
      <c r="W7" s="5">
        <v>100</v>
      </c>
      <c r="X7" s="5">
        <v>25.5</v>
      </c>
      <c r="Y7" s="4" t="s">
        <v>46</v>
      </c>
      <c r="Z7" s="5" t="s">
        <v>46</v>
      </c>
      <c r="AA7" s="4" t="s">
        <v>66</v>
      </c>
      <c r="AB7" s="4" t="s">
        <v>46</v>
      </c>
      <c r="AC7" s="5">
        <v>0</v>
      </c>
      <c r="AD7" s="4" t="s">
        <v>67</v>
      </c>
      <c r="AE7" s="3">
        <v>45170</v>
      </c>
      <c r="AF7" s="4" t="s">
        <v>46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80</v>
      </c>
      <c r="AN7" s="4" t="s">
        <v>46</v>
      </c>
      <c r="AO7" s="4" t="s">
        <v>46</v>
      </c>
    </row>
    <row r="8" spans="1:41" x14ac:dyDescent="0.15">
      <c r="A8" s="2">
        <v>1891456</v>
      </c>
      <c r="B8" s="3">
        <v>45637</v>
      </c>
      <c r="C8" s="4" t="s">
        <v>61</v>
      </c>
      <c r="D8" s="6">
        <v>8307933</v>
      </c>
      <c r="E8" s="2">
        <v>1509770</v>
      </c>
      <c r="F8" s="4" t="s">
        <v>81</v>
      </c>
      <c r="G8" s="4" t="s">
        <v>82</v>
      </c>
      <c r="H8" s="8" t="str">
        <f t="shared" si="0"/>
        <v>00022043182K5</v>
      </c>
      <c r="I8" s="4" t="s">
        <v>47</v>
      </c>
      <c r="J8" s="4" t="s">
        <v>48</v>
      </c>
      <c r="K8" s="3">
        <v>45627</v>
      </c>
      <c r="L8" s="4" t="s">
        <v>49</v>
      </c>
      <c r="M8" s="4" t="s">
        <v>46</v>
      </c>
      <c r="N8" s="4" t="s">
        <v>50</v>
      </c>
      <c r="O8" s="4" t="s">
        <v>46</v>
      </c>
      <c r="P8" s="2">
        <v>1</v>
      </c>
      <c r="Q8" s="2">
        <v>17</v>
      </c>
      <c r="R8" s="4" t="s">
        <v>51</v>
      </c>
      <c r="S8" s="4" t="s">
        <v>72</v>
      </c>
      <c r="T8" s="4" t="s">
        <v>46</v>
      </c>
      <c r="U8" s="5">
        <v>0</v>
      </c>
      <c r="V8" s="5">
        <v>0</v>
      </c>
      <c r="W8" s="5">
        <v>100</v>
      </c>
      <c r="X8" s="5">
        <v>-585.5</v>
      </c>
      <c r="Y8" s="4" t="s">
        <v>46</v>
      </c>
      <c r="Z8" s="5" t="s">
        <v>46</v>
      </c>
      <c r="AA8" s="4" t="s">
        <v>53</v>
      </c>
      <c r="AB8" s="4" t="s">
        <v>46</v>
      </c>
      <c r="AC8" s="5">
        <v>0</v>
      </c>
      <c r="AD8" s="4" t="s">
        <v>54</v>
      </c>
      <c r="AE8" s="3">
        <v>45627</v>
      </c>
      <c r="AF8" s="4" t="s">
        <v>46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73</v>
      </c>
      <c r="AN8" s="4" t="s">
        <v>46</v>
      </c>
      <c r="AO8" s="4" t="s">
        <v>46</v>
      </c>
    </row>
    <row r="9" spans="1:41" x14ac:dyDescent="0.15">
      <c r="A9" s="2">
        <v>1891456</v>
      </c>
      <c r="B9" s="3">
        <v>45637</v>
      </c>
      <c r="C9" s="4" t="s">
        <v>61</v>
      </c>
      <c r="D9" s="6">
        <v>8307933</v>
      </c>
      <c r="E9" s="2">
        <v>1509770</v>
      </c>
      <c r="F9" s="4" t="s">
        <v>81</v>
      </c>
      <c r="G9" s="4" t="s">
        <v>82</v>
      </c>
      <c r="H9" s="8" t="str">
        <f t="shared" si="0"/>
        <v>00022043182K5</v>
      </c>
      <c r="I9" s="4" t="s">
        <v>47</v>
      </c>
      <c r="J9" s="4" t="s">
        <v>48</v>
      </c>
      <c r="K9" s="3">
        <v>45627</v>
      </c>
      <c r="L9" s="4" t="s">
        <v>49</v>
      </c>
      <c r="M9" s="4" t="s">
        <v>46</v>
      </c>
      <c r="N9" s="4" t="s">
        <v>50</v>
      </c>
      <c r="O9" s="4" t="s">
        <v>46</v>
      </c>
      <c r="P9" s="2">
        <v>1</v>
      </c>
      <c r="Q9" s="2">
        <v>17</v>
      </c>
      <c r="R9" s="4" t="s">
        <v>51</v>
      </c>
      <c r="S9" s="4" t="s">
        <v>72</v>
      </c>
      <c r="T9" s="4" t="s">
        <v>46</v>
      </c>
      <c r="U9" s="5">
        <v>-0.08</v>
      </c>
      <c r="V9" s="5">
        <v>0</v>
      </c>
      <c r="W9" s="5">
        <v>100</v>
      </c>
      <c r="X9" s="5">
        <v>-25.5</v>
      </c>
      <c r="Y9" s="4" t="s">
        <v>46</v>
      </c>
      <c r="Z9" s="5" t="s">
        <v>46</v>
      </c>
      <c r="AA9" s="4" t="s">
        <v>84</v>
      </c>
      <c r="AB9" s="4" t="s">
        <v>46</v>
      </c>
      <c r="AC9" s="5">
        <v>0</v>
      </c>
      <c r="AD9" s="4" t="s">
        <v>85</v>
      </c>
      <c r="AE9" s="3">
        <v>45627</v>
      </c>
      <c r="AF9" s="4" t="s">
        <v>46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73</v>
      </c>
      <c r="AN9" s="4" t="s">
        <v>46</v>
      </c>
      <c r="AO9" s="4" t="s">
        <v>46</v>
      </c>
    </row>
    <row r="10" spans="1:41" x14ac:dyDescent="0.15">
      <c r="A10" s="2">
        <v>1891456</v>
      </c>
      <c r="B10" s="3">
        <v>45637</v>
      </c>
      <c r="C10" s="4" t="s">
        <v>61</v>
      </c>
      <c r="D10" s="6">
        <v>8307933</v>
      </c>
      <c r="E10" s="2">
        <v>1509770</v>
      </c>
      <c r="F10" s="4" t="s">
        <v>86</v>
      </c>
      <c r="G10" s="4" t="s">
        <v>87</v>
      </c>
      <c r="H10" s="8" t="str">
        <f t="shared" si="0"/>
        <v>00022351069K5</v>
      </c>
      <c r="I10" s="4" t="s">
        <v>47</v>
      </c>
      <c r="J10" s="4" t="s">
        <v>48</v>
      </c>
      <c r="K10" s="3">
        <v>45597</v>
      </c>
      <c r="L10" s="4" t="s">
        <v>89</v>
      </c>
      <c r="M10" s="4" t="s">
        <v>46</v>
      </c>
      <c r="N10" s="4" t="s">
        <v>50</v>
      </c>
      <c r="O10" s="4" t="s">
        <v>46</v>
      </c>
      <c r="P10" s="2">
        <v>1</v>
      </c>
      <c r="Q10" s="2">
        <v>17</v>
      </c>
      <c r="R10" s="4" t="s">
        <v>51</v>
      </c>
      <c r="S10" s="4" t="s">
        <v>72</v>
      </c>
      <c r="T10" s="4" t="s">
        <v>46</v>
      </c>
      <c r="U10" s="5">
        <v>0</v>
      </c>
      <c r="V10" s="5">
        <v>0</v>
      </c>
      <c r="W10" s="5">
        <v>100</v>
      </c>
      <c r="X10" s="5">
        <v>560</v>
      </c>
      <c r="Y10" s="4" t="s">
        <v>46</v>
      </c>
      <c r="Z10" s="5" t="s">
        <v>46</v>
      </c>
      <c r="AA10" s="4" t="s">
        <v>53</v>
      </c>
      <c r="AB10" s="4" t="s">
        <v>46</v>
      </c>
      <c r="AC10" s="5">
        <v>0</v>
      </c>
      <c r="AD10" s="4" t="s">
        <v>54</v>
      </c>
      <c r="AE10" s="3">
        <v>45597</v>
      </c>
      <c r="AF10" s="4" t="s">
        <v>46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73</v>
      </c>
      <c r="AN10" s="4" t="s">
        <v>46</v>
      </c>
      <c r="AO10" s="4" t="s">
        <v>46</v>
      </c>
    </row>
    <row r="11" spans="1:41" x14ac:dyDescent="0.15">
      <c r="A11" s="2">
        <v>1891456</v>
      </c>
      <c r="B11" s="3">
        <v>45637</v>
      </c>
      <c r="C11" s="4" t="s">
        <v>61</v>
      </c>
      <c r="D11" s="6">
        <v>8307933</v>
      </c>
      <c r="E11" s="2">
        <v>1509770</v>
      </c>
      <c r="F11" s="4" t="s">
        <v>90</v>
      </c>
      <c r="G11" s="4" t="s">
        <v>91</v>
      </c>
      <c r="H11" s="8" t="str">
        <f t="shared" si="0"/>
        <v>00022602838K5</v>
      </c>
      <c r="I11" s="4" t="s">
        <v>47</v>
      </c>
      <c r="J11" s="4" t="s">
        <v>48</v>
      </c>
      <c r="K11" s="3">
        <v>45627</v>
      </c>
      <c r="L11" s="4" t="s">
        <v>49</v>
      </c>
      <c r="M11" s="4" t="s">
        <v>46</v>
      </c>
      <c r="N11" s="4" t="s">
        <v>50</v>
      </c>
      <c r="O11" s="4" t="s">
        <v>46</v>
      </c>
      <c r="P11" s="2">
        <v>1</v>
      </c>
      <c r="Q11" s="2">
        <v>17</v>
      </c>
      <c r="R11" s="4" t="s">
        <v>51</v>
      </c>
      <c r="S11" s="4" t="s">
        <v>72</v>
      </c>
      <c r="T11" s="4" t="s">
        <v>46</v>
      </c>
      <c r="U11" s="5">
        <v>0</v>
      </c>
      <c r="V11" s="5">
        <v>0</v>
      </c>
      <c r="W11" s="5">
        <v>100</v>
      </c>
      <c r="X11" s="5">
        <v>585.5</v>
      </c>
      <c r="Y11" s="4" t="s">
        <v>46</v>
      </c>
      <c r="Z11" s="5" t="s">
        <v>46</v>
      </c>
      <c r="AA11" s="4" t="s">
        <v>53</v>
      </c>
      <c r="AB11" s="4" t="s">
        <v>46</v>
      </c>
      <c r="AC11" s="5">
        <v>0</v>
      </c>
      <c r="AD11" s="4" t="s">
        <v>54</v>
      </c>
      <c r="AE11" s="3">
        <v>45627</v>
      </c>
      <c r="AF11" s="4" t="s">
        <v>46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73</v>
      </c>
      <c r="AN11" s="4" t="s">
        <v>46</v>
      </c>
      <c r="AO11" s="4" t="s">
        <v>46</v>
      </c>
    </row>
    <row r="12" spans="1:41" x14ac:dyDescent="0.15">
      <c r="A12" s="2">
        <v>1891456</v>
      </c>
      <c r="B12" s="3">
        <v>45637</v>
      </c>
      <c r="C12" s="4" t="s">
        <v>93</v>
      </c>
      <c r="D12" s="6">
        <v>7146581</v>
      </c>
      <c r="E12" s="2">
        <v>1510420</v>
      </c>
      <c r="F12" s="4" t="s">
        <v>94</v>
      </c>
      <c r="G12" s="4" t="s">
        <v>95</v>
      </c>
      <c r="H12" s="8" t="str">
        <f t="shared" si="0"/>
        <v>00022498051K5</v>
      </c>
      <c r="I12" s="4" t="s">
        <v>47</v>
      </c>
      <c r="J12" s="4" t="s">
        <v>48</v>
      </c>
      <c r="K12" s="3">
        <v>45627</v>
      </c>
      <c r="L12" s="4" t="s">
        <v>49</v>
      </c>
      <c r="M12" s="4" t="s">
        <v>46</v>
      </c>
      <c r="N12" s="4" t="s">
        <v>50</v>
      </c>
      <c r="O12" s="4" t="s">
        <v>46</v>
      </c>
      <c r="P12" s="2">
        <v>1</v>
      </c>
      <c r="Q12" s="2">
        <v>17</v>
      </c>
      <c r="R12" s="4" t="s">
        <v>51</v>
      </c>
      <c r="S12" s="4" t="s">
        <v>72</v>
      </c>
      <c r="T12" s="4" t="s">
        <v>46</v>
      </c>
      <c r="U12" s="5">
        <v>0</v>
      </c>
      <c r="V12" s="5">
        <v>0</v>
      </c>
      <c r="W12" s="5">
        <v>100</v>
      </c>
      <c r="X12" s="5">
        <v>585.5</v>
      </c>
      <c r="Y12" s="4" t="s">
        <v>46</v>
      </c>
      <c r="Z12" s="5" t="s">
        <v>46</v>
      </c>
      <c r="AA12" s="4" t="s">
        <v>53</v>
      </c>
      <c r="AB12" s="4" t="s">
        <v>46</v>
      </c>
      <c r="AC12" s="5">
        <v>0</v>
      </c>
      <c r="AD12" s="4" t="s">
        <v>54</v>
      </c>
      <c r="AE12" s="3">
        <v>45627</v>
      </c>
      <c r="AF12" s="4" t="s">
        <v>46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73</v>
      </c>
      <c r="AN12" s="4" t="s">
        <v>46</v>
      </c>
      <c r="AO12" s="4" t="s">
        <v>46</v>
      </c>
    </row>
    <row r="13" spans="1:41" x14ac:dyDescent="0.15">
      <c r="A13" s="2">
        <v>1891456</v>
      </c>
      <c r="B13" s="3">
        <v>45637</v>
      </c>
      <c r="C13" s="4" t="s">
        <v>93</v>
      </c>
      <c r="D13" s="6">
        <v>7146581</v>
      </c>
      <c r="E13" s="2">
        <v>1510420</v>
      </c>
      <c r="F13" s="4" t="s">
        <v>97</v>
      </c>
      <c r="G13" s="4" t="s">
        <v>98</v>
      </c>
      <c r="H13" s="8" t="str">
        <f t="shared" si="0"/>
        <v>00022571242K5</v>
      </c>
      <c r="I13" s="4" t="s">
        <v>47</v>
      </c>
      <c r="J13" s="4" t="s">
        <v>48</v>
      </c>
      <c r="K13" s="3">
        <v>45627</v>
      </c>
      <c r="L13" s="4" t="s">
        <v>49</v>
      </c>
      <c r="M13" s="4" t="s">
        <v>46</v>
      </c>
      <c r="N13" s="4" t="s">
        <v>50</v>
      </c>
      <c r="O13" s="4" t="s">
        <v>46</v>
      </c>
      <c r="P13" s="2">
        <v>1</v>
      </c>
      <c r="Q13" s="2">
        <v>17</v>
      </c>
      <c r="R13" s="4" t="s">
        <v>51</v>
      </c>
      <c r="S13" s="4" t="s">
        <v>72</v>
      </c>
      <c r="T13" s="4" t="s">
        <v>46</v>
      </c>
      <c r="U13" s="5">
        <v>0</v>
      </c>
      <c r="V13" s="5">
        <v>0</v>
      </c>
      <c r="W13" s="5">
        <v>100</v>
      </c>
      <c r="X13" s="5">
        <v>585.5</v>
      </c>
      <c r="Y13" s="4" t="s">
        <v>46</v>
      </c>
      <c r="Z13" s="5" t="s">
        <v>46</v>
      </c>
      <c r="AA13" s="4" t="s">
        <v>53</v>
      </c>
      <c r="AB13" s="4" t="s">
        <v>46</v>
      </c>
      <c r="AC13" s="5">
        <v>0</v>
      </c>
      <c r="AD13" s="4" t="s">
        <v>54</v>
      </c>
      <c r="AE13" s="3">
        <v>45627</v>
      </c>
      <c r="AF13" s="4" t="s">
        <v>46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73</v>
      </c>
      <c r="AN13" s="4" t="s">
        <v>46</v>
      </c>
      <c r="AO13" s="4" t="s">
        <v>46</v>
      </c>
    </row>
    <row r="14" spans="1:41" x14ac:dyDescent="0.15">
      <c r="A14" s="2">
        <v>1891456</v>
      </c>
      <c r="B14" s="3">
        <v>45637</v>
      </c>
      <c r="C14" s="4" t="s">
        <v>100</v>
      </c>
      <c r="D14" s="6">
        <v>8325282</v>
      </c>
      <c r="E14" s="2">
        <v>1535078</v>
      </c>
      <c r="F14" s="4" t="s">
        <v>101</v>
      </c>
      <c r="G14" s="4" t="s">
        <v>102</v>
      </c>
      <c r="H14" s="8" t="str">
        <f t="shared" si="0"/>
        <v>00022763707K5</v>
      </c>
      <c r="I14" s="4" t="s">
        <v>47</v>
      </c>
      <c r="J14" s="4" t="s">
        <v>48</v>
      </c>
      <c r="K14" s="3">
        <v>45627</v>
      </c>
      <c r="L14" s="4" t="s">
        <v>49</v>
      </c>
      <c r="M14" s="4" t="s">
        <v>46</v>
      </c>
      <c r="N14" s="4" t="s">
        <v>50</v>
      </c>
      <c r="O14" s="4" t="s">
        <v>46</v>
      </c>
      <c r="P14" s="2">
        <v>1</v>
      </c>
      <c r="Q14" s="2">
        <v>17</v>
      </c>
      <c r="R14" s="4" t="s">
        <v>51</v>
      </c>
      <c r="S14" s="4" t="s">
        <v>52</v>
      </c>
      <c r="T14" s="4" t="s">
        <v>46</v>
      </c>
      <c r="U14" s="5">
        <v>0.08</v>
      </c>
      <c r="V14" s="5">
        <v>0</v>
      </c>
      <c r="W14" s="5">
        <v>100</v>
      </c>
      <c r="X14" s="5">
        <v>25.5</v>
      </c>
      <c r="Y14" s="4" t="s">
        <v>46</v>
      </c>
      <c r="Z14" s="5" t="s">
        <v>46</v>
      </c>
      <c r="AA14" s="4" t="s">
        <v>84</v>
      </c>
      <c r="AB14" s="4" t="s">
        <v>46</v>
      </c>
      <c r="AC14" s="5">
        <v>0</v>
      </c>
      <c r="AD14" s="4" t="s">
        <v>85</v>
      </c>
      <c r="AE14" s="3">
        <v>45627</v>
      </c>
      <c r="AF14" s="4" t="s">
        <v>46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60</v>
      </c>
      <c r="AN14" s="4" t="s">
        <v>46</v>
      </c>
      <c r="AO14" s="4" t="s">
        <v>46</v>
      </c>
    </row>
    <row r="15" spans="1:41" x14ac:dyDescent="0.15">
      <c r="A15" s="2">
        <v>1891456</v>
      </c>
      <c r="B15" s="3">
        <v>45637</v>
      </c>
      <c r="C15" s="4" t="s">
        <v>104</v>
      </c>
      <c r="D15" s="6">
        <v>16633294</v>
      </c>
      <c r="E15" s="2">
        <v>1573279</v>
      </c>
      <c r="F15" s="4" t="s">
        <v>105</v>
      </c>
      <c r="G15" s="4" t="s">
        <v>106</v>
      </c>
      <c r="H15" s="8" t="str">
        <f t="shared" si="0"/>
        <v>00013683255K5</v>
      </c>
      <c r="I15" s="4" t="s">
        <v>47</v>
      </c>
      <c r="J15" s="4" t="s">
        <v>48</v>
      </c>
      <c r="K15" s="3">
        <v>45597</v>
      </c>
      <c r="L15" s="4" t="s">
        <v>89</v>
      </c>
      <c r="M15" s="4" t="s">
        <v>46</v>
      </c>
      <c r="N15" s="4" t="s">
        <v>50</v>
      </c>
      <c r="O15" s="4" t="s">
        <v>46</v>
      </c>
      <c r="P15" s="2">
        <v>1</v>
      </c>
      <c r="Q15" s="2">
        <v>17</v>
      </c>
      <c r="R15" s="4" t="s">
        <v>51</v>
      </c>
      <c r="S15" s="4" t="s">
        <v>52</v>
      </c>
      <c r="T15" s="4" t="s">
        <v>46</v>
      </c>
      <c r="U15" s="5">
        <v>0</v>
      </c>
      <c r="V15" s="5">
        <v>0</v>
      </c>
      <c r="W15" s="5">
        <v>100</v>
      </c>
      <c r="X15" s="5">
        <v>560</v>
      </c>
      <c r="Y15" s="4" t="s">
        <v>46</v>
      </c>
      <c r="Z15" s="5" t="s">
        <v>46</v>
      </c>
      <c r="AA15" s="4" t="s">
        <v>53</v>
      </c>
      <c r="AB15" s="4" t="s">
        <v>46</v>
      </c>
      <c r="AC15" s="5">
        <v>0</v>
      </c>
      <c r="AD15" s="4" t="s">
        <v>54</v>
      </c>
      <c r="AE15" s="3">
        <v>45597</v>
      </c>
      <c r="AF15" s="4" t="s">
        <v>46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55</v>
      </c>
      <c r="AN15" s="4" t="s">
        <v>46</v>
      </c>
      <c r="AO15" s="4" t="s">
        <v>46</v>
      </c>
    </row>
    <row r="16" spans="1:41" x14ac:dyDescent="0.15">
      <c r="A16" s="2">
        <v>1891456</v>
      </c>
      <c r="B16" s="3">
        <v>45637</v>
      </c>
      <c r="C16" s="4" t="s">
        <v>104</v>
      </c>
      <c r="D16" s="6">
        <v>16633294</v>
      </c>
      <c r="E16" s="2">
        <v>1573279</v>
      </c>
      <c r="F16" s="4" t="s">
        <v>108</v>
      </c>
      <c r="G16" s="4" t="s">
        <v>109</v>
      </c>
      <c r="H16" s="8" t="str">
        <f t="shared" si="0"/>
        <v>00022466880K5</v>
      </c>
      <c r="I16" s="4" t="s">
        <v>47</v>
      </c>
      <c r="J16" s="4" t="s">
        <v>48</v>
      </c>
      <c r="K16" s="3">
        <v>45627</v>
      </c>
      <c r="L16" s="4" t="s">
        <v>49</v>
      </c>
      <c r="M16" s="4" t="s">
        <v>46</v>
      </c>
      <c r="N16" s="4" t="s">
        <v>50</v>
      </c>
      <c r="O16" s="4" t="s">
        <v>46</v>
      </c>
      <c r="P16" s="2">
        <v>1</v>
      </c>
      <c r="Q16" s="2">
        <v>17</v>
      </c>
      <c r="R16" s="4" t="s">
        <v>51</v>
      </c>
      <c r="S16" s="4" t="s">
        <v>72</v>
      </c>
      <c r="T16" s="4" t="s">
        <v>46</v>
      </c>
      <c r="U16" s="5">
        <v>0</v>
      </c>
      <c r="V16" s="5">
        <v>0</v>
      </c>
      <c r="W16" s="5">
        <v>100</v>
      </c>
      <c r="X16" s="5">
        <v>585.5</v>
      </c>
      <c r="Y16" s="4" t="s">
        <v>46</v>
      </c>
      <c r="Z16" s="5" t="s">
        <v>46</v>
      </c>
      <c r="AA16" s="4" t="s">
        <v>53</v>
      </c>
      <c r="AB16" s="4" t="s">
        <v>46</v>
      </c>
      <c r="AC16" s="5">
        <v>0</v>
      </c>
      <c r="AD16" s="4" t="s">
        <v>54</v>
      </c>
      <c r="AE16" s="3">
        <v>45627</v>
      </c>
      <c r="AF16" s="4" t="s">
        <v>46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73</v>
      </c>
      <c r="AN16" s="4" t="s">
        <v>46</v>
      </c>
      <c r="AO16" s="4" t="s">
        <v>46</v>
      </c>
    </row>
    <row r="17" spans="1:41" x14ac:dyDescent="0.15">
      <c r="A17" s="2">
        <v>1891456</v>
      </c>
      <c r="B17" s="3">
        <v>45637</v>
      </c>
      <c r="C17" s="4" t="s">
        <v>104</v>
      </c>
      <c r="D17" s="6">
        <v>16633294</v>
      </c>
      <c r="E17" s="2">
        <v>1573279</v>
      </c>
      <c r="F17" s="4" t="s">
        <v>111</v>
      </c>
      <c r="G17" s="4" t="s">
        <v>112</v>
      </c>
      <c r="H17" s="8" t="str">
        <f t="shared" si="0"/>
        <v>00022688863K5</v>
      </c>
      <c r="I17" s="4" t="s">
        <v>47</v>
      </c>
      <c r="J17" s="4" t="s">
        <v>48</v>
      </c>
      <c r="K17" s="3">
        <v>45627</v>
      </c>
      <c r="L17" s="4" t="s">
        <v>49</v>
      </c>
      <c r="M17" s="4" t="s">
        <v>46</v>
      </c>
      <c r="N17" s="4" t="s">
        <v>50</v>
      </c>
      <c r="O17" s="4" t="s">
        <v>46</v>
      </c>
      <c r="P17" s="2">
        <v>1</v>
      </c>
      <c r="Q17" s="2">
        <v>17</v>
      </c>
      <c r="R17" s="4" t="s">
        <v>51</v>
      </c>
      <c r="S17" s="4" t="s">
        <v>72</v>
      </c>
      <c r="T17" s="4" t="s">
        <v>46</v>
      </c>
      <c r="U17" s="5">
        <v>0.08</v>
      </c>
      <c r="V17" s="5">
        <v>0</v>
      </c>
      <c r="W17" s="5">
        <v>100</v>
      </c>
      <c r="X17" s="5">
        <v>25.5</v>
      </c>
      <c r="Y17" s="4" t="s">
        <v>46</v>
      </c>
      <c r="Z17" s="5" t="s">
        <v>46</v>
      </c>
      <c r="AA17" s="4" t="s">
        <v>84</v>
      </c>
      <c r="AB17" s="4" t="s">
        <v>46</v>
      </c>
      <c r="AC17" s="5">
        <v>0</v>
      </c>
      <c r="AD17" s="4" t="s">
        <v>85</v>
      </c>
      <c r="AE17" s="3">
        <v>45627</v>
      </c>
      <c r="AF17" s="4" t="s">
        <v>46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73</v>
      </c>
      <c r="AN17" s="4" t="s">
        <v>46</v>
      </c>
      <c r="AO17" s="4" t="s">
        <v>46</v>
      </c>
    </row>
    <row r="18" spans="1:41" x14ac:dyDescent="0.15">
      <c r="A18" s="2">
        <v>1891456</v>
      </c>
      <c r="B18" s="3">
        <v>45637</v>
      </c>
      <c r="C18" s="4" t="s">
        <v>114</v>
      </c>
      <c r="D18" s="6">
        <v>17126004</v>
      </c>
      <c r="E18" s="2">
        <v>1626475</v>
      </c>
      <c r="F18" s="4" t="s">
        <v>115</v>
      </c>
      <c r="G18" s="4" t="s">
        <v>116</v>
      </c>
      <c r="H18" s="8" t="str">
        <f t="shared" si="0"/>
        <v>00022643625K5</v>
      </c>
      <c r="I18" s="4" t="s">
        <v>47</v>
      </c>
      <c r="J18" s="4" t="s">
        <v>48</v>
      </c>
      <c r="K18" s="3">
        <v>45627</v>
      </c>
      <c r="L18" s="4" t="s">
        <v>49</v>
      </c>
      <c r="M18" s="4" t="s">
        <v>46</v>
      </c>
      <c r="N18" s="4" t="s">
        <v>50</v>
      </c>
      <c r="O18" s="4" t="s">
        <v>46</v>
      </c>
      <c r="P18" s="2">
        <v>1</v>
      </c>
      <c r="Q18" s="2">
        <v>17</v>
      </c>
      <c r="R18" s="4" t="s">
        <v>51</v>
      </c>
      <c r="S18" s="4" t="s">
        <v>72</v>
      </c>
      <c r="T18" s="4" t="s">
        <v>46</v>
      </c>
      <c r="U18" s="5">
        <v>0</v>
      </c>
      <c r="V18" s="5">
        <v>0</v>
      </c>
      <c r="W18" s="5">
        <v>100</v>
      </c>
      <c r="X18" s="5">
        <v>585.5</v>
      </c>
      <c r="Y18" s="4" t="s">
        <v>46</v>
      </c>
      <c r="Z18" s="5" t="s">
        <v>46</v>
      </c>
      <c r="AA18" s="4" t="s">
        <v>53</v>
      </c>
      <c r="AB18" s="4" t="s">
        <v>46</v>
      </c>
      <c r="AC18" s="5">
        <v>0</v>
      </c>
      <c r="AD18" s="4" t="s">
        <v>54</v>
      </c>
      <c r="AE18" s="3">
        <v>45627</v>
      </c>
      <c r="AF18" s="4" t="s">
        <v>46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73</v>
      </c>
      <c r="AN18" s="4" t="s">
        <v>46</v>
      </c>
      <c r="AO18" s="4" t="s">
        <v>46</v>
      </c>
    </row>
    <row r="19" spans="1:41" x14ac:dyDescent="0.15">
      <c r="A19" s="2">
        <v>1891456</v>
      </c>
      <c r="B19" s="3">
        <v>45637</v>
      </c>
      <c r="C19" s="4" t="s">
        <v>118</v>
      </c>
      <c r="D19" s="6">
        <v>17301495</v>
      </c>
      <c r="E19" s="2">
        <v>1646082</v>
      </c>
      <c r="F19" s="4" t="s">
        <v>119</v>
      </c>
      <c r="G19" s="4" t="s">
        <v>120</v>
      </c>
      <c r="H19" s="8" t="str">
        <f t="shared" si="0"/>
        <v>00022671607K5</v>
      </c>
      <c r="I19" s="4" t="s">
        <v>47</v>
      </c>
      <c r="J19" s="4" t="s">
        <v>48</v>
      </c>
      <c r="K19" s="3">
        <v>45627</v>
      </c>
      <c r="L19" s="4" t="s">
        <v>49</v>
      </c>
      <c r="M19" s="4" t="s">
        <v>46</v>
      </c>
      <c r="N19" s="4" t="s">
        <v>50</v>
      </c>
      <c r="O19" s="4" t="s">
        <v>46</v>
      </c>
      <c r="P19" s="2">
        <v>1</v>
      </c>
      <c r="Q19" s="2">
        <v>17</v>
      </c>
      <c r="R19" s="4" t="s">
        <v>51</v>
      </c>
      <c r="S19" s="4" t="s">
        <v>52</v>
      </c>
      <c r="T19" s="4" t="s">
        <v>46</v>
      </c>
      <c r="U19" s="5">
        <v>0</v>
      </c>
      <c r="V19" s="5">
        <v>0</v>
      </c>
      <c r="W19" s="5">
        <v>100</v>
      </c>
      <c r="X19" s="5">
        <v>585.5</v>
      </c>
      <c r="Y19" s="4" t="s">
        <v>46</v>
      </c>
      <c r="Z19" s="5" t="s">
        <v>46</v>
      </c>
      <c r="AA19" s="4" t="s">
        <v>53</v>
      </c>
      <c r="AB19" s="4" t="s">
        <v>46</v>
      </c>
      <c r="AC19" s="5">
        <v>0</v>
      </c>
      <c r="AD19" s="4" t="s">
        <v>54</v>
      </c>
      <c r="AE19" s="3">
        <v>45627</v>
      </c>
      <c r="AF19" s="4" t="s">
        <v>46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60</v>
      </c>
      <c r="AN19" s="4" t="s">
        <v>46</v>
      </c>
      <c r="AO19" s="4" t="s">
        <v>46</v>
      </c>
    </row>
    <row r="20" spans="1:41" x14ac:dyDescent="0.15">
      <c r="A20" s="2">
        <v>1891456</v>
      </c>
      <c r="B20" s="3">
        <v>45637</v>
      </c>
      <c r="C20" s="4" t="s">
        <v>122</v>
      </c>
      <c r="D20" s="6">
        <v>9213293</v>
      </c>
      <c r="E20" s="2">
        <v>1703942</v>
      </c>
      <c r="F20" s="4" t="s">
        <v>123</v>
      </c>
      <c r="G20" s="4" t="s">
        <v>124</v>
      </c>
      <c r="H20" s="8" t="str">
        <f t="shared" si="0"/>
        <v>00022646876K5</v>
      </c>
      <c r="I20" s="4" t="s">
        <v>47</v>
      </c>
      <c r="J20" s="4" t="s">
        <v>48</v>
      </c>
      <c r="K20" s="3">
        <v>45627</v>
      </c>
      <c r="L20" s="4" t="s">
        <v>49</v>
      </c>
      <c r="M20" s="4" t="s">
        <v>46</v>
      </c>
      <c r="N20" s="4" t="s">
        <v>50</v>
      </c>
      <c r="O20" s="4" t="s">
        <v>46</v>
      </c>
      <c r="P20" s="2">
        <v>1</v>
      </c>
      <c r="Q20" s="2">
        <v>17</v>
      </c>
      <c r="R20" s="4" t="s">
        <v>51</v>
      </c>
      <c r="S20" s="4" t="s">
        <v>52</v>
      </c>
      <c r="T20" s="4" t="s">
        <v>46</v>
      </c>
      <c r="U20" s="5">
        <v>0</v>
      </c>
      <c r="V20" s="5">
        <v>0</v>
      </c>
      <c r="W20" s="5">
        <v>100</v>
      </c>
      <c r="X20" s="5">
        <v>585.5</v>
      </c>
      <c r="Y20" s="4" t="s">
        <v>46</v>
      </c>
      <c r="Z20" s="5" t="s">
        <v>46</v>
      </c>
      <c r="AA20" s="4" t="s">
        <v>53</v>
      </c>
      <c r="AB20" s="4" t="s">
        <v>46</v>
      </c>
      <c r="AC20" s="5">
        <v>0</v>
      </c>
      <c r="AD20" s="4" t="s">
        <v>54</v>
      </c>
      <c r="AE20" s="3">
        <v>45627</v>
      </c>
      <c r="AF20" s="4" t="s">
        <v>46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60</v>
      </c>
      <c r="AN20" s="4" t="s">
        <v>46</v>
      </c>
      <c r="AO20" s="4" t="s">
        <v>46</v>
      </c>
    </row>
    <row r="21" spans="1:41" x14ac:dyDescent="0.15">
      <c r="A21" s="2">
        <v>1891456</v>
      </c>
      <c r="B21" s="3">
        <v>45637</v>
      </c>
      <c r="C21" s="4" t="s">
        <v>126</v>
      </c>
      <c r="D21" s="6">
        <v>19396223</v>
      </c>
      <c r="E21" s="2">
        <v>1800759</v>
      </c>
      <c r="F21" s="4" t="s">
        <v>127</v>
      </c>
      <c r="G21" s="4" t="s">
        <v>128</v>
      </c>
      <c r="H21" s="8" t="str">
        <f t="shared" si="0"/>
        <v>00017632868K5</v>
      </c>
      <c r="I21" s="4" t="s">
        <v>47</v>
      </c>
      <c r="J21" s="4" t="s">
        <v>48</v>
      </c>
      <c r="K21" s="3">
        <v>45627</v>
      </c>
      <c r="L21" s="4" t="s">
        <v>49</v>
      </c>
      <c r="M21" s="4" t="s">
        <v>46</v>
      </c>
      <c r="N21" s="4" t="s">
        <v>50</v>
      </c>
      <c r="O21" s="4" t="s">
        <v>46</v>
      </c>
      <c r="P21" s="2">
        <v>1</v>
      </c>
      <c r="Q21" s="2">
        <v>17</v>
      </c>
      <c r="R21" s="4" t="s">
        <v>51</v>
      </c>
      <c r="S21" s="4" t="s">
        <v>72</v>
      </c>
      <c r="T21" s="4" t="s">
        <v>46</v>
      </c>
      <c r="U21" s="5">
        <v>0</v>
      </c>
      <c r="V21" s="5">
        <v>0</v>
      </c>
      <c r="W21" s="5">
        <v>100</v>
      </c>
      <c r="X21" s="5">
        <v>25.42</v>
      </c>
      <c r="Y21" s="4" t="s">
        <v>46</v>
      </c>
      <c r="Z21" s="5" t="s">
        <v>46</v>
      </c>
      <c r="AA21" s="4" t="s">
        <v>53</v>
      </c>
      <c r="AB21" s="4" t="s">
        <v>46</v>
      </c>
      <c r="AC21" s="5">
        <v>0</v>
      </c>
      <c r="AD21" s="4" t="s">
        <v>54</v>
      </c>
      <c r="AE21" s="3">
        <v>45627</v>
      </c>
      <c r="AF21" s="4" t="s">
        <v>46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73</v>
      </c>
      <c r="AN21" s="4" t="s">
        <v>46</v>
      </c>
      <c r="AO21" s="4" t="s">
        <v>46</v>
      </c>
    </row>
    <row r="22" spans="1:41" x14ac:dyDescent="0.15">
      <c r="A22" s="2">
        <v>1891456</v>
      </c>
      <c r="B22" s="3">
        <v>45637</v>
      </c>
      <c r="C22" s="4" t="s">
        <v>126</v>
      </c>
      <c r="D22" s="6">
        <v>19396223</v>
      </c>
      <c r="E22" s="2">
        <v>1800759</v>
      </c>
      <c r="F22" s="4" t="s">
        <v>130</v>
      </c>
      <c r="G22" s="4" t="s">
        <v>131</v>
      </c>
      <c r="H22" s="8" t="str">
        <f t="shared" si="0"/>
        <v>00022386017K5</v>
      </c>
      <c r="I22" s="4" t="s">
        <v>47</v>
      </c>
      <c r="J22" s="4" t="s">
        <v>48</v>
      </c>
      <c r="K22" s="3">
        <v>45597</v>
      </c>
      <c r="L22" s="4" t="s">
        <v>89</v>
      </c>
      <c r="M22" s="4" t="s">
        <v>46</v>
      </c>
      <c r="N22" s="4" t="s">
        <v>50</v>
      </c>
      <c r="O22" s="4" t="s">
        <v>46</v>
      </c>
      <c r="P22" s="2">
        <v>1</v>
      </c>
      <c r="Q22" s="2">
        <v>17</v>
      </c>
      <c r="R22" s="4" t="s">
        <v>51</v>
      </c>
      <c r="S22" s="4" t="s">
        <v>72</v>
      </c>
      <c r="T22" s="4" t="s">
        <v>46</v>
      </c>
      <c r="U22" s="5">
        <v>0</v>
      </c>
      <c r="V22" s="5">
        <v>0</v>
      </c>
      <c r="W22" s="5">
        <v>100</v>
      </c>
      <c r="X22" s="5">
        <v>560</v>
      </c>
      <c r="Y22" s="4" t="s">
        <v>46</v>
      </c>
      <c r="Z22" s="5" t="s">
        <v>46</v>
      </c>
      <c r="AA22" s="4" t="s">
        <v>53</v>
      </c>
      <c r="AB22" s="4" t="s">
        <v>46</v>
      </c>
      <c r="AC22" s="5">
        <v>0</v>
      </c>
      <c r="AD22" s="4" t="s">
        <v>54</v>
      </c>
      <c r="AE22" s="3">
        <v>45597</v>
      </c>
      <c r="AF22" s="4" t="s">
        <v>46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73</v>
      </c>
      <c r="AN22" s="4" t="s">
        <v>46</v>
      </c>
      <c r="AO22" s="4" t="s">
        <v>46</v>
      </c>
    </row>
    <row r="23" spans="1:41" x14ac:dyDescent="0.15">
      <c r="A23" s="2">
        <v>1891456</v>
      </c>
      <c r="B23" s="3">
        <v>45637</v>
      </c>
      <c r="C23" s="4" t="s">
        <v>126</v>
      </c>
      <c r="D23" s="6">
        <v>19396223</v>
      </c>
      <c r="E23" s="2">
        <v>1800759</v>
      </c>
      <c r="F23" s="4" t="s">
        <v>133</v>
      </c>
      <c r="G23" s="4" t="s">
        <v>134</v>
      </c>
      <c r="H23" s="8" t="str">
        <f t="shared" si="0"/>
        <v>00022627896K5</v>
      </c>
      <c r="I23" s="4" t="s">
        <v>47</v>
      </c>
      <c r="J23" s="4" t="s">
        <v>48</v>
      </c>
      <c r="K23" s="3">
        <v>45627</v>
      </c>
      <c r="L23" s="4" t="s">
        <v>49</v>
      </c>
      <c r="M23" s="4" t="s">
        <v>46</v>
      </c>
      <c r="N23" s="4" t="s">
        <v>50</v>
      </c>
      <c r="O23" s="4" t="s">
        <v>46</v>
      </c>
      <c r="P23" s="2">
        <v>1</v>
      </c>
      <c r="Q23" s="2">
        <v>17</v>
      </c>
      <c r="R23" s="4" t="s">
        <v>51</v>
      </c>
      <c r="S23" s="4" t="s">
        <v>52</v>
      </c>
      <c r="T23" s="4" t="s">
        <v>46</v>
      </c>
      <c r="U23" s="5">
        <v>0</v>
      </c>
      <c r="V23" s="5">
        <v>0</v>
      </c>
      <c r="W23" s="5">
        <v>100</v>
      </c>
      <c r="X23" s="5">
        <v>585.5</v>
      </c>
      <c r="Y23" s="4" t="s">
        <v>46</v>
      </c>
      <c r="Z23" s="5" t="s">
        <v>46</v>
      </c>
      <c r="AA23" s="4" t="s">
        <v>53</v>
      </c>
      <c r="AB23" s="4" t="s">
        <v>46</v>
      </c>
      <c r="AC23" s="5">
        <v>0</v>
      </c>
      <c r="AD23" s="4" t="s">
        <v>54</v>
      </c>
      <c r="AE23" s="3">
        <v>45627</v>
      </c>
      <c r="AF23" s="4" t="s">
        <v>46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60</v>
      </c>
      <c r="AN23" s="4" t="s">
        <v>46</v>
      </c>
      <c r="AO23" s="4" t="s">
        <v>46</v>
      </c>
    </row>
    <row r="24" spans="1:41" x14ac:dyDescent="0.15">
      <c r="A24" s="2">
        <v>1891456</v>
      </c>
      <c r="B24" s="3">
        <v>45637</v>
      </c>
      <c r="C24" s="4" t="s">
        <v>136</v>
      </c>
      <c r="D24" s="6">
        <v>19200754</v>
      </c>
      <c r="E24" s="2">
        <v>1800776</v>
      </c>
      <c r="F24" s="4" t="s">
        <v>137</v>
      </c>
      <c r="G24" s="4" t="s">
        <v>138</v>
      </c>
      <c r="H24" s="8" t="str">
        <f t="shared" si="0"/>
        <v>00022406995K5</v>
      </c>
      <c r="I24" s="4" t="s">
        <v>47</v>
      </c>
      <c r="J24" s="4" t="s">
        <v>48</v>
      </c>
      <c r="K24" s="3">
        <v>45627</v>
      </c>
      <c r="L24" s="4" t="s">
        <v>49</v>
      </c>
      <c r="M24" s="4" t="s">
        <v>46</v>
      </c>
      <c r="N24" s="4" t="s">
        <v>50</v>
      </c>
      <c r="O24" s="4" t="s">
        <v>46</v>
      </c>
      <c r="P24" s="2">
        <v>1</v>
      </c>
      <c r="Q24" s="2">
        <v>17</v>
      </c>
      <c r="R24" s="4" t="s">
        <v>51</v>
      </c>
      <c r="S24" s="4" t="s">
        <v>72</v>
      </c>
      <c r="T24" s="4" t="s">
        <v>46</v>
      </c>
      <c r="U24" s="5">
        <v>0</v>
      </c>
      <c r="V24" s="5">
        <v>0</v>
      </c>
      <c r="W24" s="5">
        <v>100</v>
      </c>
      <c r="X24" s="5">
        <v>585.5</v>
      </c>
      <c r="Y24" s="4" t="s">
        <v>46</v>
      </c>
      <c r="Z24" s="5" t="s">
        <v>46</v>
      </c>
      <c r="AA24" s="4" t="s">
        <v>53</v>
      </c>
      <c r="AB24" s="4" t="s">
        <v>46</v>
      </c>
      <c r="AC24" s="5">
        <v>0</v>
      </c>
      <c r="AD24" s="4" t="s">
        <v>54</v>
      </c>
      <c r="AE24" s="3">
        <v>45627</v>
      </c>
      <c r="AF24" s="4" t="s">
        <v>46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73</v>
      </c>
      <c r="AN24" s="4" t="s">
        <v>46</v>
      </c>
      <c r="AO24" s="4" t="s">
        <v>46</v>
      </c>
    </row>
    <row r="25" spans="1:41" x14ac:dyDescent="0.15">
      <c r="A25" s="2">
        <v>1891456</v>
      </c>
      <c r="B25" s="3">
        <v>45637</v>
      </c>
      <c r="C25" s="4" t="s">
        <v>136</v>
      </c>
      <c r="D25" s="6">
        <v>19200754</v>
      </c>
      <c r="E25" s="2">
        <v>1800776</v>
      </c>
      <c r="F25" s="4" t="s">
        <v>140</v>
      </c>
      <c r="G25" s="4" t="s">
        <v>141</v>
      </c>
      <c r="H25" s="8" t="str">
        <f t="shared" si="0"/>
        <v>00022462923K5</v>
      </c>
      <c r="I25" s="4" t="s">
        <v>47</v>
      </c>
      <c r="J25" s="4" t="s">
        <v>48</v>
      </c>
      <c r="K25" s="3">
        <v>45627</v>
      </c>
      <c r="L25" s="4" t="s">
        <v>49</v>
      </c>
      <c r="M25" s="4" t="s">
        <v>46</v>
      </c>
      <c r="N25" s="4" t="s">
        <v>50</v>
      </c>
      <c r="O25" s="4" t="s">
        <v>46</v>
      </c>
      <c r="P25" s="2">
        <v>1</v>
      </c>
      <c r="Q25" s="2">
        <v>17</v>
      </c>
      <c r="R25" s="4" t="s">
        <v>51</v>
      </c>
      <c r="S25" s="4" t="s">
        <v>72</v>
      </c>
      <c r="T25" s="4" t="s">
        <v>46</v>
      </c>
      <c r="U25" s="5">
        <v>0</v>
      </c>
      <c r="V25" s="5">
        <v>0</v>
      </c>
      <c r="W25" s="5">
        <v>100</v>
      </c>
      <c r="X25" s="5">
        <v>585.5</v>
      </c>
      <c r="Y25" s="4" t="s">
        <v>46</v>
      </c>
      <c r="Z25" s="5" t="s">
        <v>46</v>
      </c>
      <c r="AA25" s="4" t="s">
        <v>53</v>
      </c>
      <c r="AB25" s="4" t="s">
        <v>46</v>
      </c>
      <c r="AC25" s="5">
        <v>0</v>
      </c>
      <c r="AD25" s="4" t="s">
        <v>54</v>
      </c>
      <c r="AE25" s="3">
        <v>45627</v>
      </c>
      <c r="AF25" s="4" t="s">
        <v>46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73</v>
      </c>
      <c r="AN25" s="4" t="s">
        <v>46</v>
      </c>
      <c r="AO25" s="4" t="s">
        <v>46</v>
      </c>
    </row>
    <row r="26" spans="1:41" x14ac:dyDescent="0.15">
      <c r="A26" s="2">
        <v>1891456</v>
      </c>
      <c r="B26" s="3">
        <v>45637</v>
      </c>
      <c r="C26" s="4" t="s">
        <v>136</v>
      </c>
      <c r="D26" s="6">
        <v>19200754</v>
      </c>
      <c r="E26" s="2">
        <v>1800776</v>
      </c>
      <c r="F26" s="4" t="s">
        <v>143</v>
      </c>
      <c r="G26" s="4" t="s">
        <v>144</v>
      </c>
      <c r="H26" s="8" t="str">
        <f t="shared" si="0"/>
        <v>00022659909K5</v>
      </c>
      <c r="I26" s="4" t="s">
        <v>47</v>
      </c>
      <c r="J26" s="4" t="s">
        <v>48</v>
      </c>
      <c r="K26" s="3">
        <v>45627</v>
      </c>
      <c r="L26" s="4" t="s">
        <v>49</v>
      </c>
      <c r="M26" s="4" t="s">
        <v>46</v>
      </c>
      <c r="N26" s="4" t="s">
        <v>50</v>
      </c>
      <c r="O26" s="4" t="s">
        <v>46</v>
      </c>
      <c r="P26" s="2">
        <v>1</v>
      </c>
      <c r="Q26" s="2">
        <v>17</v>
      </c>
      <c r="R26" s="4" t="s">
        <v>51</v>
      </c>
      <c r="S26" s="4" t="s">
        <v>52</v>
      </c>
      <c r="T26" s="4" t="s">
        <v>46</v>
      </c>
      <c r="U26" s="5">
        <v>0</v>
      </c>
      <c r="V26" s="5">
        <v>0</v>
      </c>
      <c r="W26" s="5">
        <v>100</v>
      </c>
      <c r="X26" s="5">
        <v>585.5</v>
      </c>
      <c r="Y26" s="4" t="s">
        <v>46</v>
      </c>
      <c r="Z26" s="5" t="s">
        <v>46</v>
      </c>
      <c r="AA26" s="4" t="s">
        <v>53</v>
      </c>
      <c r="AB26" s="4" t="s">
        <v>46</v>
      </c>
      <c r="AC26" s="5">
        <v>0</v>
      </c>
      <c r="AD26" s="4" t="s">
        <v>54</v>
      </c>
      <c r="AE26" s="3">
        <v>45627</v>
      </c>
      <c r="AF26" s="4" t="s">
        <v>46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60</v>
      </c>
      <c r="AN26" s="4" t="s">
        <v>46</v>
      </c>
      <c r="AO26" s="4" t="s">
        <v>46</v>
      </c>
    </row>
    <row r="27" spans="1:41" x14ac:dyDescent="0.15">
      <c r="A27" s="2">
        <v>1891456</v>
      </c>
      <c r="B27" s="3">
        <v>45637</v>
      </c>
      <c r="C27" s="4" t="s">
        <v>146</v>
      </c>
      <c r="D27" s="6">
        <v>19586992</v>
      </c>
      <c r="E27" s="2">
        <v>1815594</v>
      </c>
      <c r="F27" s="4" t="s">
        <v>147</v>
      </c>
      <c r="G27" s="4" t="s">
        <v>148</v>
      </c>
      <c r="H27" s="8" t="str">
        <f t="shared" si="0"/>
        <v>00022674415K5</v>
      </c>
      <c r="I27" s="4" t="s">
        <v>47</v>
      </c>
      <c r="J27" s="4" t="s">
        <v>48</v>
      </c>
      <c r="K27" s="3">
        <v>45627</v>
      </c>
      <c r="L27" s="4" t="s">
        <v>49</v>
      </c>
      <c r="M27" s="4" t="s">
        <v>46</v>
      </c>
      <c r="N27" s="4" t="s">
        <v>50</v>
      </c>
      <c r="O27" s="4" t="s">
        <v>46</v>
      </c>
      <c r="P27" s="2">
        <v>1</v>
      </c>
      <c r="Q27" s="2">
        <v>17</v>
      </c>
      <c r="R27" s="4" t="s">
        <v>51</v>
      </c>
      <c r="S27" s="4" t="s">
        <v>52</v>
      </c>
      <c r="T27" s="4" t="s">
        <v>46</v>
      </c>
      <c r="U27" s="5">
        <v>0</v>
      </c>
      <c r="V27" s="5">
        <v>0</v>
      </c>
      <c r="W27" s="5">
        <v>100</v>
      </c>
      <c r="X27" s="5">
        <v>585.5</v>
      </c>
      <c r="Y27" s="4" t="s">
        <v>46</v>
      </c>
      <c r="Z27" s="5" t="s">
        <v>46</v>
      </c>
      <c r="AA27" s="4" t="s">
        <v>53</v>
      </c>
      <c r="AB27" s="4" t="s">
        <v>46</v>
      </c>
      <c r="AC27" s="5">
        <v>0</v>
      </c>
      <c r="AD27" s="4" t="s">
        <v>54</v>
      </c>
      <c r="AE27" s="3">
        <v>45627</v>
      </c>
      <c r="AF27" s="4" t="s">
        <v>46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60</v>
      </c>
      <c r="AN27" s="4" t="s">
        <v>46</v>
      </c>
      <c r="AO27" s="4" t="s">
        <v>46</v>
      </c>
    </row>
    <row r="28" spans="1:41" x14ac:dyDescent="0.15">
      <c r="A28" s="2">
        <v>1891456</v>
      </c>
      <c r="B28" s="3">
        <v>45637</v>
      </c>
      <c r="C28" s="4" t="s">
        <v>146</v>
      </c>
      <c r="D28" s="6">
        <v>19586992</v>
      </c>
      <c r="E28" s="2">
        <v>1815594</v>
      </c>
      <c r="F28" s="4" t="s">
        <v>150</v>
      </c>
      <c r="G28" s="4" t="s">
        <v>151</v>
      </c>
      <c r="H28" s="8" t="str">
        <f t="shared" si="0"/>
        <v>00022698535K5</v>
      </c>
      <c r="I28" s="4" t="s">
        <v>47</v>
      </c>
      <c r="J28" s="4" t="s">
        <v>48</v>
      </c>
      <c r="K28" s="3">
        <v>45627</v>
      </c>
      <c r="L28" s="4" t="s">
        <v>49</v>
      </c>
      <c r="M28" s="4" t="s">
        <v>46</v>
      </c>
      <c r="N28" s="4" t="s">
        <v>50</v>
      </c>
      <c r="O28" s="4" t="s">
        <v>46</v>
      </c>
      <c r="P28" s="2">
        <v>1</v>
      </c>
      <c r="Q28" s="2">
        <v>17</v>
      </c>
      <c r="R28" s="4" t="s">
        <v>51</v>
      </c>
      <c r="S28" s="4" t="s">
        <v>52</v>
      </c>
      <c r="T28" s="4" t="s">
        <v>46</v>
      </c>
      <c r="U28" s="5">
        <v>0.08</v>
      </c>
      <c r="V28" s="5">
        <v>0</v>
      </c>
      <c r="W28" s="5">
        <v>100</v>
      </c>
      <c r="X28" s="5">
        <v>25.5</v>
      </c>
      <c r="Y28" s="4" t="s">
        <v>46</v>
      </c>
      <c r="Z28" s="5" t="s">
        <v>46</v>
      </c>
      <c r="AA28" s="4" t="s">
        <v>84</v>
      </c>
      <c r="AB28" s="4" t="s">
        <v>46</v>
      </c>
      <c r="AC28" s="5">
        <v>0</v>
      </c>
      <c r="AD28" s="4" t="s">
        <v>85</v>
      </c>
      <c r="AE28" s="3">
        <v>45627</v>
      </c>
      <c r="AF28" s="4" t="s">
        <v>46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60</v>
      </c>
      <c r="AN28" s="4" t="s">
        <v>46</v>
      </c>
      <c r="AO28" s="4" t="s">
        <v>46</v>
      </c>
    </row>
    <row r="29" spans="1:41" x14ac:dyDescent="0.15">
      <c r="A29" s="2">
        <v>1891456</v>
      </c>
      <c r="B29" s="3">
        <v>45637</v>
      </c>
      <c r="C29" s="4" t="s">
        <v>153</v>
      </c>
      <c r="D29" s="6">
        <v>18828278</v>
      </c>
      <c r="E29" s="2">
        <v>1831491</v>
      </c>
      <c r="F29" s="4" t="s">
        <v>154</v>
      </c>
      <c r="G29" s="4" t="s">
        <v>155</v>
      </c>
      <c r="H29" s="8" t="str">
        <f t="shared" si="0"/>
        <v>00022524693K5</v>
      </c>
      <c r="I29" s="4" t="s">
        <v>47</v>
      </c>
      <c r="J29" s="4" t="s">
        <v>48</v>
      </c>
      <c r="K29" s="3">
        <v>45627</v>
      </c>
      <c r="L29" s="4" t="s">
        <v>49</v>
      </c>
      <c r="M29" s="4" t="s">
        <v>46</v>
      </c>
      <c r="N29" s="4" t="s">
        <v>50</v>
      </c>
      <c r="O29" s="4" t="s">
        <v>46</v>
      </c>
      <c r="P29" s="2">
        <v>1</v>
      </c>
      <c r="Q29" s="2">
        <v>17</v>
      </c>
      <c r="R29" s="4" t="s">
        <v>51</v>
      </c>
      <c r="S29" s="4" t="s">
        <v>72</v>
      </c>
      <c r="T29" s="4" t="s">
        <v>46</v>
      </c>
      <c r="U29" s="5">
        <v>0</v>
      </c>
      <c r="V29" s="5">
        <v>0</v>
      </c>
      <c r="W29" s="5">
        <v>100</v>
      </c>
      <c r="X29" s="5">
        <v>585.5</v>
      </c>
      <c r="Y29" s="4" t="s">
        <v>46</v>
      </c>
      <c r="Z29" s="5" t="s">
        <v>46</v>
      </c>
      <c r="AA29" s="4" t="s">
        <v>53</v>
      </c>
      <c r="AB29" s="4" t="s">
        <v>46</v>
      </c>
      <c r="AC29" s="5">
        <v>0</v>
      </c>
      <c r="AD29" s="4" t="s">
        <v>54</v>
      </c>
      <c r="AE29" s="3">
        <v>45627</v>
      </c>
      <c r="AF29" s="4" t="s">
        <v>46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73</v>
      </c>
      <c r="AN29" s="4" t="s">
        <v>46</v>
      </c>
      <c r="AO29" s="4" t="s">
        <v>46</v>
      </c>
    </row>
    <row r="30" spans="1:41" x14ac:dyDescent="0.15">
      <c r="A30" s="2">
        <v>1891456</v>
      </c>
      <c r="B30" s="3">
        <v>45637</v>
      </c>
      <c r="C30" s="4" t="s">
        <v>157</v>
      </c>
      <c r="D30" s="6">
        <v>19645587</v>
      </c>
      <c r="E30" s="2">
        <v>1855975</v>
      </c>
      <c r="F30" s="4" t="s">
        <v>158</v>
      </c>
      <c r="G30" s="4" t="s">
        <v>159</v>
      </c>
      <c r="H30" s="8" t="str">
        <f t="shared" si="0"/>
        <v>00022676139K5</v>
      </c>
      <c r="I30" s="4" t="s">
        <v>47</v>
      </c>
      <c r="J30" s="4" t="s">
        <v>48</v>
      </c>
      <c r="K30" s="3">
        <v>45627</v>
      </c>
      <c r="L30" s="4" t="s">
        <v>49</v>
      </c>
      <c r="M30" s="4" t="s">
        <v>46</v>
      </c>
      <c r="N30" s="4" t="s">
        <v>50</v>
      </c>
      <c r="O30" s="4" t="s">
        <v>46</v>
      </c>
      <c r="P30" s="2">
        <v>1</v>
      </c>
      <c r="Q30" s="2">
        <v>17</v>
      </c>
      <c r="R30" s="4" t="s">
        <v>51</v>
      </c>
      <c r="S30" s="4" t="s">
        <v>72</v>
      </c>
      <c r="T30" s="4" t="s">
        <v>46</v>
      </c>
      <c r="U30" s="5">
        <v>0</v>
      </c>
      <c r="V30" s="5">
        <v>0</v>
      </c>
      <c r="W30" s="5">
        <v>100</v>
      </c>
      <c r="X30" s="5">
        <v>585.5</v>
      </c>
      <c r="Y30" s="4" t="s">
        <v>46</v>
      </c>
      <c r="Z30" s="5" t="s">
        <v>46</v>
      </c>
      <c r="AA30" s="4" t="s">
        <v>53</v>
      </c>
      <c r="AB30" s="4" t="s">
        <v>46</v>
      </c>
      <c r="AC30" s="5">
        <v>0</v>
      </c>
      <c r="AD30" s="4" t="s">
        <v>54</v>
      </c>
      <c r="AE30" s="3">
        <v>45627</v>
      </c>
      <c r="AF30" s="4" t="s">
        <v>46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73</v>
      </c>
      <c r="AN30" s="4" t="s">
        <v>46</v>
      </c>
      <c r="AO30" s="4" t="s">
        <v>46</v>
      </c>
    </row>
    <row r="31" spans="1:41" x14ac:dyDescent="0.15">
      <c r="A31" s="2">
        <v>1891456</v>
      </c>
      <c r="B31" s="3">
        <v>45637</v>
      </c>
      <c r="C31" s="4" t="s">
        <v>161</v>
      </c>
      <c r="D31" s="6">
        <v>8244481</v>
      </c>
      <c r="E31" s="2">
        <v>1509744</v>
      </c>
      <c r="F31" s="4" t="s">
        <v>162</v>
      </c>
      <c r="G31" s="6">
        <v>9028406240</v>
      </c>
      <c r="H31" s="6" t="str">
        <f>CONCATENATE(G31,3)</f>
        <v>90284062403</v>
      </c>
      <c r="I31" s="4" t="s">
        <v>164</v>
      </c>
      <c r="J31" s="4" t="s">
        <v>165</v>
      </c>
      <c r="K31" s="3">
        <v>45658</v>
      </c>
      <c r="L31" s="4" t="s">
        <v>166</v>
      </c>
      <c r="M31" s="4" t="s">
        <v>46</v>
      </c>
      <c r="N31" s="4" t="s">
        <v>50</v>
      </c>
      <c r="O31" s="4" t="s">
        <v>65</v>
      </c>
      <c r="P31" s="2">
        <v>2</v>
      </c>
      <c r="Q31" s="2">
        <v>60</v>
      </c>
      <c r="R31" s="4" t="s">
        <v>167</v>
      </c>
      <c r="S31" s="4" t="s">
        <v>46</v>
      </c>
      <c r="T31" s="4" t="s">
        <v>46</v>
      </c>
      <c r="U31" s="5">
        <v>10</v>
      </c>
      <c r="V31" s="5">
        <v>26.88</v>
      </c>
      <c r="W31" s="5">
        <v>100</v>
      </c>
      <c r="X31" s="5">
        <v>2.69</v>
      </c>
      <c r="Y31" s="4" t="s">
        <v>46</v>
      </c>
      <c r="Z31" s="5" t="s">
        <v>46</v>
      </c>
      <c r="AA31" s="4" t="s">
        <v>168</v>
      </c>
      <c r="AB31" s="4" t="s">
        <v>46</v>
      </c>
      <c r="AC31" s="5">
        <v>0</v>
      </c>
      <c r="AD31" s="4" t="s">
        <v>169</v>
      </c>
      <c r="AE31" s="3">
        <v>45323</v>
      </c>
      <c r="AF31" s="4" t="s">
        <v>46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</row>
    <row r="32" spans="1:41" x14ac:dyDescent="0.15">
      <c r="A32" s="2">
        <v>1891456</v>
      </c>
      <c r="B32" s="3">
        <v>45637</v>
      </c>
      <c r="C32" s="4" t="s">
        <v>161</v>
      </c>
      <c r="D32" s="6">
        <v>8244481</v>
      </c>
      <c r="E32" s="2">
        <v>1509744</v>
      </c>
      <c r="F32" s="4" t="s">
        <v>170</v>
      </c>
      <c r="G32" s="6">
        <v>9029611520</v>
      </c>
      <c r="H32" s="6" t="str">
        <f t="shared" ref="H32:H39" si="1">CONCATENATE(G32,3)</f>
        <v>90296115203</v>
      </c>
      <c r="I32" s="4" t="s">
        <v>164</v>
      </c>
      <c r="J32" s="4" t="s">
        <v>165</v>
      </c>
      <c r="K32" s="3">
        <v>45658</v>
      </c>
      <c r="L32" s="4" t="s">
        <v>166</v>
      </c>
      <c r="M32" s="4" t="s">
        <v>46</v>
      </c>
      <c r="N32" s="4" t="s">
        <v>50</v>
      </c>
      <c r="O32" s="4" t="s">
        <v>65</v>
      </c>
      <c r="P32" s="2">
        <v>1</v>
      </c>
      <c r="Q32" s="2">
        <v>60</v>
      </c>
      <c r="R32" s="4" t="s">
        <v>167</v>
      </c>
      <c r="S32" s="4" t="s">
        <v>46</v>
      </c>
      <c r="T32" s="4" t="s">
        <v>46</v>
      </c>
      <c r="U32" s="5">
        <v>10</v>
      </c>
      <c r="V32" s="5">
        <v>16.260000000000002</v>
      </c>
      <c r="W32" s="5">
        <v>100</v>
      </c>
      <c r="X32" s="5">
        <v>1.63</v>
      </c>
      <c r="Y32" s="4" t="s">
        <v>46</v>
      </c>
      <c r="Z32" s="5" t="s">
        <v>46</v>
      </c>
      <c r="AA32" s="4" t="s">
        <v>168</v>
      </c>
      <c r="AB32" s="4" t="s">
        <v>46</v>
      </c>
      <c r="AC32" s="5">
        <v>0</v>
      </c>
      <c r="AD32" s="4" t="s">
        <v>169</v>
      </c>
      <c r="AE32" s="3">
        <v>45622</v>
      </c>
      <c r="AF32" s="4" t="s">
        <v>46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</row>
    <row r="33" spans="1:41" x14ac:dyDescent="0.15">
      <c r="A33" s="2">
        <v>1891456</v>
      </c>
      <c r="B33" s="3">
        <v>45637</v>
      </c>
      <c r="C33" s="4" t="s">
        <v>161</v>
      </c>
      <c r="D33" s="6">
        <v>8244481</v>
      </c>
      <c r="E33" s="2">
        <v>1509744</v>
      </c>
      <c r="F33" s="4" t="s">
        <v>172</v>
      </c>
      <c r="G33" s="6">
        <v>9029660210</v>
      </c>
      <c r="H33" s="6" t="str">
        <f t="shared" si="1"/>
        <v>90296602103</v>
      </c>
      <c r="I33" s="4" t="s">
        <v>164</v>
      </c>
      <c r="J33" s="4" t="s">
        <v>165</v>
      </c>
      <c r="K33" s="3">
        <v>45658</v>
      </c>
      <c r="L33" s="4" t="s">
        <v>166</v>
      </c>
      <c r="M33" s="4" t="s">
        <v>46</v>
      </c>
      <c r="N33" s="4" t="s">
        <v>50</v>
      </c>
      <c r="O33" s="4" t="s">
        <v>65</v>
      </c>
      <c r="P33" s="2">
        <v>1</v>
      </c>
      <c r="Q33" s="2">
        <v>3</v>
      </c>
      <c r="R33" s="4" t="s">
        <v>174</v>
      </c>
      <c r="S33" s="4" t="s">
        <v>46</v>
      </c>
      <c r="T33" s="4" t="s">
        <v>46</v>
      </c>
      <c r="U33" s="5">
        <v>10</v>
      </c>
      <c r="V33" s="5">
        <v>24.54</v>
      </c>
      <c r="W33" s="5">
        <v>100</v>
      </c>
      <c r="X33" s="5">
        <v>32.450000000000003</v>
      </c>
      <c r="Y33" s="4" t="s">
        <v>46</v>
      </c>
      <c r="Z33" s="5" t="s">
        <v>46</v>
      </c>
      <c r="AA33" s="4" t="s">
        <v>168</v>
      </c>
      <c r="AB33" s="4" t="s">
        <v>46</v>
      </c>
      <c r="AC33" s="5">
        <v>0</v>
      </c>
      <c r="AD33" s="4" t="s">
        <v>169</v>
      </c>
      <c r="AE33" s="3">
        <v>45658</v>
      </c>
      <c r="AF33" s="4" t="s">
        <v>46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</row>
    <row r="34" spans="1:41" x14ac:dyDescent="0.15">
      <c r="A34" s="2">
        <v>1891456</v>
      </c>
      <c r="B34" s="3">
        <v>45637</v>
      </c>
      <c r="C34" s="4" t="s">
        <v>161</v>
      </c>
      <c r="D34" s="6">
        <v>8244481</v>
      </c>
      <c r="E34" s="2">
        <v>1509744</v>
      </c>
      <c r="F34" s="4" t="s">
        <v>175</v>
      </c>
      <c r="G34" s="6">
        <v>9029685590</v>
      </c>
      <c r="H34" s="6" t="str">
        <f t="shared" si="1"/>
        <v>90296855903</v>
      </c>
      <c r="I34" s="4" t="s">
        <v>164</v>
      </c>
      <c r="J34" s="4" t="s">
        <v>165</v>
      </c>
      <c r="K34" s="3">
        <v>45658</v>
      </c>
      <c r="L34" s="4" t="s">
        <v>166</v>
      </c>
      <c r="M34" s="4" t="s">
        <v>46</v>
      </c>
      <c r="N34" s="4" t="s">
        <v>50</v>
      </c>
      <c r="O34" s="4" t="s">
        <v>65</v>
      </c>
      <c r="P34" s="2">
        <v>2</v>
      </c>
      <c r="Q34" s="2">
        <v>3</v>
      </c>
      <c r="R34" s="4" t="s">
        <v>174</v>
      </c>
      <c r="S34" s="4" t="s">
        <v>46</v>
      </c>
      <c r="T34" s="4" t="s">
        <v>46</v>
      </c>
      <c r="U34" s="5">
        <v>10</v>
      </c>
      <c r="V34" s="5">
        <v>97.6</v>
      </c>
      <c r="W34" s="5">
        <v>100</v>
      </c>
      <c r="X34" s="5">
        <v>44.76</v>
      </c>
      <c r="Y34" s="4" t="s">
        <v>46</v>
      </c>
      <c r="Z34" s="5" t="s">
        <v>46</v>
      </c>
      <c r="AA34" s="4" t="s">
        <v>168</v>
      </c>
      <c r="AB34" s="4" t="s">
        <v>46</v>
      </c>
      <c r="AC34" s="5">
        <v>0</v>
      </c>
      <c r="AD34" s="4" t="s">
        <v>169</v>
      </c>
      <c r="AE34" s="3">
        <v>45658</v>
      </c>
      <c r="AF34" s="4" t="s">
        <v>46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</row>
    <row r="35" spans="1:41" x14ac:dyDescent="0.15">
      <c r="A35" s="2">
        <v>1891456</v>
      </c>
      <c r="B35" s="3">
        <v>45637</v>
      </c>
      <c r="C35" s="4" t="s">
        <v>161</v>
      </c>
      <c r="D35" s="6">
        <v>8244481</v>
      </c>
      <c r="E35" s="2">
        <v>1509744</v>
      </c>
      <c r="F35" s="4" t="s">
        <v>175</v>
      </c>
      <c r="G35" s="6">
        <v>9029685600</v>
      </c>
      <c r="H35" s="6" t="str">
        <f t="shared" si="1"/>
        <v>90296856003</v>
      </c>
      <c r="I35" s="4" t="s">
        <v>164</v>
      </c>
      <c r="J35" s="4" t="s">
        <v>165</v>
      </c>
      <c r="K35" s="3">
        <v>45658</v>
      </c>
      <c r="L35" s="4" t="s">
        <v>166</v>
      </c>
      <c r="M35" s="4" t="s">
        <v>46</v>
      </c>
      <c r="N35" s="4" t="s">
        <v>50</v>
      </c>
      <c r="O35" s="4" t="s">
        <v>65</v>
      </c>
      <c r="P35" s="2">
        <v>2</v>
      </c>
      <c r="Q35" s="2">
        <v>60</v>
      </c>
      <c r="R35" s="4" t="s">
        <v>167</v>
      </c>
      <c r="S35" s="4" t="s">
        <v>46</v>
      </c>
      <c r="T35" s="4" t="s">
        <v>46</v>
      </c>
      <c r="U35" s="5">
        <v>10</v>
      </c>
      <c r="V35" s="5">
        <v>26.88</v>
      </c>
      <c r="W35" s="5">
        <v>100</v>
      </c>
      <c r="X35" s="5">
        <v>37.69</v>
      </c>
      <c r="Y35" s="4" t="s">
        <v>46</v>
      </c>
      <c r="Z35" s="5" t="s">
        <v>46</v>
      </c>
      <c r="AA35" s="4" t="s">
        <v>168</v>
      </c>
      <c r="AB35" s="4" t="s">
        <v>46</v>
      </c>
      <c r="AC35" s="5">
        <v>0</v>
      </c>
      <c r="AD35" s="4" t="s">
        <v>169</v>
      </c>
      <c r="AE35" s="3">
        <v>45658</v>
      </c>
      <c r="AF35" s="4" t="s">
        <v>46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</row>
    <row r="36" spans="1:41" x14ac:dyDescent="0.15">
      <c r="A36" s="2">
        <v>1891456</v>
      </c>
      <c r="B36" s="3">
        <v>45637</v>
      </c>
      <c r="C36" s="4" t="s">
        <v>161</v>
      </c>
      <c r="D36" s="6">
        <v>8244481</v>
      </c>
      <c r="E36" s="2">
        <v>1509744</v>
      </c>
      <c r="F36" s="4" t="s">
        <v>178</v>
      </c>
      <c r="G36" s="6">
        <v>9029691910</v>
      </c>
      <c r="H36" s="6" t="str">
        <f t="shared" si="1"/>
        <v>90296919103</v>
      </c>
      <c r="I36" s="4" t="s">
        <v>164</v>
      </c>
      <c r="J36" s="4" t="s">
        <v>165</v>
      </c>
      <c r="K36" s="3">
        <v>45627</v>
      </c>
      <c r="L36" s="4" t="s">
        <v>49</v>
      </c>
      <c r="M36" s="4" t="s">
        <v>46</v>
      </c>
      <c r="N36" s="4" t="s">
        <v>50</v>
      </c>
      <c r="O36" s="4" t="s">
        <v>65</v>
      </c>
      <c r="P36" s="2">
        <v>2</v>
      </c>
      <c r="Q36" s="2">
        <v>3</v>
      </c>
      <c r="R36" s="4" t="s">
        <v>174</v>
      </c>
      <c r="S36" s="4" t="s">
        <v>46</v>
      </c>
      <c r="T36" s="4" t="s">
        <v>46</v>
      </c>
      <c r="U36" s="5">
        <v>10</v>
      </c>
      <c r="V36" s="5">
        <v>97.6</v>
      </c>
      <c r="W36" s="5">
        <v>100</v>
      </c>
      <c r="X36" s="5">
        <v>44.76</v>
      </c>
      <c r="Y36" s="4" t="s">
        <v>46</v>
      </c>
      <c r="Z36" s="5" t="s">
        <v>46</v>
      </c>
      <c r="AA36" s="4" t="s">
        <v>168</v>
      </c>
      <c r="AB36" s="4" t="s">
        <v>46</v>
      </c>
      <c r="AC36" s="5">
        <v>0</v>
      </c>
      <c r="AD36" s="4" t="s">
        <v>169</v>
      </c>
      <c r="AE36" s="3">
        <v>45644</v>
      </c>
      <c r="AF36" s="4" t="s">
        <v>46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</row>
    <row r="37" spans="1:41" x14ac:dyDescent="0.15">
      <c r="A37" s="2">
        <v>1891456</v>
      </c>
      <c r="B37" s="3">
        <v>45637</v>
      </c>
      <c r="C37" s="4" t="s">
        <v>161</v>
      </c>
      <c r="D37" s="6">
        <v>8244481</v>
      </c>
      <c r="E37" s="2">
        <v>1509744</v>
      </c>
      <c r="F37" s="4" t="s">
        <v>178</v>
      </c>
      <c r="G37" s="6">
        <v>9029691920</v>
      </c>
      <c r="H37" s="6" t="str">
        <f t="shared" si="1"/>
        <v>90296919203</v>
      </c>
      <c r="I37" s="4" t="s">
        <v>164</v>
      </c>
      <c r="J37" s="4" t="s">
        <v>165</v>
      </c>
      <c r="K37" s="3">
        <v>45627</v>
      </c>
      <c r="L37" s="4" t="s">
        <v>49</v>
      </c>
      <c r="M37" s="4" t="s">
        <v>46</v>
      </c>
      <c r="N37" s="4" t="s">
        <v>50</v>
      </c>
      <c r="O37" s="4" t="s">
        <v>65</v>
      </c>
      <c r="P37" s="2">
        <v>2</v>
      </c>
      <c r="Q37" s="2">
        <v>60</v>
      </c>
      <c r="R37" s="4" t="s">
        <v>167</v>
      </c>
      <c r="S37" s="4" t="s">
        <v>46</v>
      </c>
      <c r="T37" s="4" t="s">
        <v>46</v>
      </c>
      <c r="U37" s="5">
        <v>10</v>
      </c>
      <c r="V37" s="5">
        <v>26.88</v>
      </c>
      <c r="W37" s="5">
        <v>100</v>
      </c>
      <c r="X37" s="5">
        <v>37.69</v>
      </c>
      <c r="Y37" s="4" t="s">
        <v>46</v>
      </c>
      <c r="Z37" s="5" t="s">
        <v>46</v>
      </c>
      <c r="AA37" s="4" t="s">
        <v>168</v>
      </c>
      <c r="AB37" s="4" t="s">
        <v>46</v>
      </c>
      <c r="AC37" s="5">
        <v>0</v>
      </c>
      <c r="AD37" s="4" t="s">
        <v>169</v>
      </c>
      <c r="AE37" s="3">
        <v>45644</v>
      </c>
      <c r="AF37" s="4" t="s">
        <v>46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</row>
    <row r="38" spans="1:41" x14ac:dyDescent="0.15">
      <c r="A38" s="2">
        <v>1891456</v>
      </c>
      <c r="B38" s="3">
        <v>45637</v>
      </c>
      <c r="C38" s="4" t="s">
        <v>161</v>
      </c>
      <c r="D38" s="6">
        <v>8244481</v>
      </c>
      <c r="E38" s="2">
        <v>1509744</v>
      </c>
      <c r="F38" s="4" t="s">
        <v>181</v>
      </c>
      <c r="G38" s="6">
        <v>9029700250</v>
      </c>
      <c r="H38" s="6" t="str">
        <f t="shared" si="1"/>
        <v>90297002503</v>
      </c>
      <c r="I38" s="4" t="s">
        <v>164</v>
      </c>
      <c r="J38" s="4" t="s">
        <v>165</v>
      </c>
      <c r="K38" s="3">
        <v>45658</v>
      </c>
      <c r="L38" s="4" t="s">
        <v>166</v>
      </c>
      <c r="M38" s="4" t="s">
        <v>46</v>
      </c>
      <c r="N38" s="4" t="s">
        <v>50</v>
      </c>
      <c r="O38" s="4" t="s">
        <v>65</v>
      </c>
      <c r="P38" s="2">
        <v>1</v>
      </c>
      <c r="Q38" s="2">
        <v>3</v>
      </c>
      <c r="R38" s="4" t="s">
        <v>174</v>
      </c>
      <c r="S38" s="4" t="s">
        <v>46</v>
      </c>
      <c r="T38" s="4" t="s">
        <v>46</v>
      </c>
      <c r="U38" s="5">
        <v>10</v>
      </c>
      <c r="V38" s="5">
        <v>52.78</v>
      </c>
      <c r="W38" s="5">
        <v>100</v>
      </c>
      <c r="X38" s="5">
        <v>40.28</v>
      </c>
      <c r="Y38" s="4" t="s">
        <v>46</v>
      </c>
      <c r="Z38" s="5" t="s">
        <v>46</v>
      </c>
      <c r="AA38" s="4" t="s">
        <v>168</v>
      </c>
      <c r="AB38" s="4" t="s">
        <v>46</v>
      </c>
      <c r="AC38" s="5">
        <v>0</v>
      </c>
      <c r="AD38" s="4" t="s">
        <v>169</v>
      </c>
      <c r="AE38" s="3">
        <v>45658</v>
      </c>
      <c r="AF38" s="4" t="s">
        <v>46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</row>
    <row r="39" spans="1:41" x14ac:dyDescent="0.15">
      <c r="A39" s="2">
        <v>1891456</v>
      </c>
      <c r="B39" s="3">
        <v>45637</v>
      </c>
      <c r="C39" s="4" t="s">
        <v>161</v>
      </c>
      <c r="D39" s="6">
        <v>8244481</v>
      </c>
      <c r="E39" s="2">
        <v>1509744</v>
      </c>
      <c r="F39" s="4" t="s">
        <v>181</v>
      </c>
      <c r="G39" s="6">
        <v>9029700260</v>
      </c>
      <c r="H39" s="6" t="str">
        <f t="shared" si="1"/>
        <v>90297002603</v>
      </c>
      <c r="I39" s="4" t="s">
        <v>164</v>
      </c>
      <c r="J39" s="4" t="s">
        <v>165</v>
      </c>
      <c r="K39" s="3">
        <v>45658</v>
      </c>
      <c r="L39" s="4" t="s">
        <v>166</v>
      </c>
      <c r="M39" s="4" t="s">
        <v>46</v>
      </c>
      <c r="N39" s="4" t="s">
        <v>50</v>
      </c>
      <c r="O39" s="4" t="s">
        <v>65</v>
      </c>
      <c r="P39" s="2">
        <v>1</v>
      </c>
      <c r="Q39" s="2">
        <v>60</v>
      </c>
      <c r="R39" s="4" t="s">
        <v>167</v>
      </c>
      <c r="S39" s="4" t="s">
        <v>46</v>
      </c>
      <c r="T39" s="4" t="s">
        <v>46</v>
      </c>
      <c r="U39" s="5">
        <v>10</v>
      </c>
      <c r="V39" s="5">
        <v>13.93</v>
      </c>
      <c r="W39" s="5">
        <v>100</v>
      </c>
      <c r="X39" s="5">
        <v>36.39</v>
      </c>
      <c r="Y39" s="4" t="s">
        <v>46</v>
      </c>
      <c r="Z39" s="5" t="s">
        <v>46</v>
      </c>
      <c r="AA39" s="4" t="s">
        <v>168</v>
      </c>
      <c r="AB39" s="4" t="s">
        <v>46</v>
      </c>
      <c r="AC39" s="5">
        <v>0</v>
      </c>
      <c r="AD39" s="4" t="s">
        <v>169</v>
      </c>
      <c r="AE39" s="3">
        <v>45658</v>
      </c>
      <c r="AF39" s="4" t="s">
        <v>46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</row>
    <row r="40" spans="1:41" x14ac:dyDescent="0.15">
      <c r="A40" s="2">
        <v>1891456</v>
      </c>
      <c r="B40" s="3">
        <v>45637</v>
      </c>
      <c r="C40" s="4" t="s">
        <v>184</v>
      </c>
      <c r="D40" s="6">
        <v>6634327</v>
      </c>
      <c r="E40" s="2">
        <v>1510085</v>
      </c>
      <c r="F40" s="4" t="s">
        <v>185</v>
      </c>
      <c r="G40" s="6">
        <v>845819</v>
      </c>
      <c r="H40" s="6" t="str">
        <f>CONCATENATE(G40,7)</f>
        <v>8458197</v>
      </c>
      <c r="I40" s="4" t="s">
        <v>187</v>
      </c>
      <c r="J40" s="4" t="s">
        <v>188</v>
      </c>
      <c r="K40" s="3">
        <v>45627</v>
      </c>
      <c r="L40" s="4" t="s">
        <v>49</v>
      </c>
      <c r="M40" s="4" t="s">
        <v>46</v>
      </c>
      <c r="N40" s="4" t="s">
        <v>65</v>
      </c>
      <c r="O40" s="4" t="s">
        <v>65</v>
      </c>
      <c r="P40" s="2">
        <v>1</v>
      </c>
      <c r="Q40" s="2">
        <v>60</v>
      </c>
      <c r="R40" s="4" t="s">
        <v>167</v>
      </c>
      <c r="S40" s="4" t="s">
        <v>46</v>
      </c>
      <c r="T40" s="4" t="s">
        <v>46</v>
      </c>
      <c r="U40" s="5">
        <v>10</v>
      </c>
      <c r="V40" s="5">
        <v>-5.69</v>
      </c>
      <c r="W40" s="5">
        <v>100</v>
      </c>
      <c r="X40" s="5">
        <v>-0.56999999999999995</v>
      </c>
      <c r="Y40" s="4" t="s">
        <v>46</v>
      </c>
      <c r="Z40" s="5" t="s">
        <v>46</v>
      </c>
      <c r="AA40" s="4" t="s">
        <v>66</v>
      </c>
      <c r="AB40" s="4" t="s">
        <v>46</v>
      </c>
      <c r="AC40" s="5">
        <v>0</v>
      </c>
      <c r="AD40" s="4" t="s">
        <v>67</v>
      </c>
      <c r="AE40" s="3">
        <v>44287</v>
      </c>
      <c r="AF40" s="4" t="s">
        <v>46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</row>
    <row r="41" spans="1:41" x14ac:dyDescent="0.15">
      <c r="A41" s="2">
        <v>1891456</v>
      </c>
      <c r="B41" s="3">
        <v>45637</v>
      </c>
      <c r="C41" s="4" t="s">
        <v>184</v>
      </c>
      <c r="D41" s="6">
        <v>6634327</v>
      </c>
      <c r="E41" s="2">
        <v>1510085</v>
      </c>
      <c r="F41" s="4" t="s">
        <v>189</v>
      </c>
      <c r="G41" s="6">
        <v>853911</v>
      </c>
      <c r="H41" s="6" t="str">
        <f t="shared" ref="H41:H42" si="2">CONCATENATE(G41,7)</f>
        <v>8539117</v>
      </c>
      <c r="I41" s="4" t="s">
        <v>187</v>
      </c>
      <c r="J41" s="4" t="s">
        <v>188</v>
      </c>
      <c r="K41" s="3">
        <v>45627</v>
      </c>
      <c r="L41" s="4" t="s">
        <v>49</v>
      </c>
      <c r="M41" s="4" t="s">
        <v>46</v>
      </c>
      <c r="N41" s="4" t="s">
        <v>65</v>
      </c>
      <c r="O41" s="4" t="s">
        <v>65</v>
      </c>
      <c r="P41" s="2">
        <v>2</v>
      </c>
      <c r="Q41" s="2">
        <v>3</v>
      </c>
      <c r="R41" s="4" t="s">
        <v>174</v>
      </c>
      <c r="S41" s="4" t="s">
        <v>46</v>
      </c>
      <c r="T41" s="4" t="s">
        <v>46</v>
      </c>
      <c r="U41" s="5">
        <v>10</v>
      </c>
      <c r="V41" s="5">
        <v>474.86</v>
      </c>
      <c r="W41" s="5">
        <v>100</v>
      </c>
      <c r="X41" s="5">
        <v>47.49</v>
      </c>
      <c r="Y41" s="4" t="s">
        <v>46</v>
      </c>
      <c r="Z41" s="5" t="s">
        <v>46</v>
      </c>
      <c r="AA41" s="4" t="s">
        <v>66</v>
      </c>
      <c r="AB41" s="4" t="s">
        <v>46</v>
      </c>
      <c r="AC41" s="5">
        <v>0</v>
      </c>
      <c r="AD41" s="4" t="s">
        <v>67</v>
      </c>
      <c r="AE41" s="3">
        <v>44562</v>
      </c>
      <c r="AF41" s="4" t="s">
        <v>46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</row>
    <row r="42" spans="1:41" x14ac:dyDescent="0.15">
      <c r="A42" s="2">
        <v>1891456</v>
      </c>
      <c r="B42" s="3">
        <v>45637</v>
      </c>
      <c r="C42" s="4" t="s">
        <v>184</v>
      </c>
      <c r="D42" s="6">
        <v>6634327</v>
      </c>
      <c r="E42" s="2">
        <v>1510085</v>
      </c>
      <c r="F42" s="4" t="s">
        <v>189</v>
      </c>
      <c r="G42" s="6">
        <v>853911</v>
      </c>
      <c r="H42" s="6" t="str">
        <f t="shared" si="2"/>
        <v>8539117</v>
      </c>
      <c r="I42" s="4" t="s">
        <v>187</v>
      </c>
      <c r="J42" s="4" t="s">
        <v>188</v>
      </c>
      <c r="K42" s="3">
        <v>45627</v>
      </c>
      <c r="L42" s="4" t="s">
        <v>49</v>
      </c>
      <c r="M42" s="4" t="s">
        <v>46</v>
      </c>
      <c r="N42" s="4" t="s">
        <v>65</v>
      </c>
      <c r="O42" s="4" t="s">
        <v>65</v>
      </c>
      <c r="P42" s="2">
        <v>2</v>
      </c>
      <c r="Q42" s="2">
        <v>60</v>
      </c>
      <c r="R42" s="4" t="s">
        <v>167</v>
      </c>
      <c r="S42" s="4" t="s">
        <v>46</v>
      </c>
      <c r="T42" s="4" t="s">
        <v>46</v>
      </c>
      <c r="U42" s="5">
        <v>10</v>
      </c>
      <c r="V42" s="5">
        <v>50.98</v>
      </c>
      <c r="W42" s="5">
        <v>100</v>
      </c>
      <c r="X42" s="5">
        <v>5.0999999999999996</v>
      </c>
      <c r="Y42" s="4" t="s">
        <v>46</v>
      </c>
      <c r="Z42" s="5" t="s">
        <v>46</v>
      </c>
      <c r="AA42" s="4" t="s">
        <v>66</v>
      </c>
      <c r="AB42" s="4" t="s">
        <v>46</v>
      </c>
      <c r="AC42" s="5">
        <v>0</v>
      </c>
      <c r="AD42" s="4" t="s">
        <v>67</v>
      </c>
      <c r="AE42" s="3">
        <v>44562</v>
      </c>
      <c r="AF42" s="4" t="s">
        <v>46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</row>
    <row r="43" spans="1:41" x14ac:dyDescent="0.15">
      <c r="A43" s="2">
        <v>1891456</v>
      </c>
      <c r="B43" s="3">
        <v>45637</v>
      </c>
      <c r="C43" s="4" t="s">
        <v>191</v>
      </c>
      <c r="D43" s="6">
        <v>16202925</v>
      </c>
      <c r="E43" s="2">
        <v>1581327</v>
      </c>
      <c r="F43" s="4" t="s">
        <v>192</v>
      </c>
      <c r="G43" s="4" t="s">
        <v>193</v>
      </c>
      <c r="H43" s="6" t="str">
        <f>CONCATENATE(G43,5)</f>
        <v>00000776552A5</v>
      </c>
      <c r="I43" s="4" t="s">
        <v>194</v>
      </c>
      <c r="J43" s="4" t="s">
        <v>48</v>
      </c>
      <c r="K43" s="3">
        <v>45627</v>
      </c>
      <c r="L43" s="4" t="s">
        <v>49</v>
      </c>
      <c r="M43" s="4" t="s">
        <v>46</v>
      </c>
      <c r="N43" s="4" t="s">
        <v>65</v>
      </c>
      <c r="O43" s="4" t="s">
        <v>65</v>
      </c>
      <c r="P43" s="2">
        <v>1</v>
      </c>
      <c r="Q43" s="2">
        <v>17</v>
      </c>
      <c r="R43" s="4" t="s">
        <v>51</v>
      </c>
      <c r="S43" s="4" t="s">
        <v>46</v>
      </c>
      <c r="T43" s="4" t="s">
        <v>46</v>
      </c>
      <c r="U43" s="5">
        <v>11</v>
      </c>
      <c r="V43" s="5">
        <v>326.25</v>
      </c>
      <c r="W43" s="5">
        <v>100</v>
      </c>
      <c r="X43" s="5">
        <v>35.89</v>
      </c>
      <c r="Y43" s="5">
        <v>0</v>
      </c>
      <c r="Z43" s="5">
        <v>0</v>
      </c>
      <c r="AA43" s="4" t="s">
        <v>66</v>
      </c>
      <c r="AB43" s="4" t="s">
        <v>46</v>
      </c>
      <c r="AC43" s="5">
        <v>0</v>
      </c>
      <c r="AD43" s="4" t="s">
        <v>67</v>
      </c>
      <c r="AE43" s="3">
        <v>45261</v>
      </c>
      <c r="AF43" s="4" t="s">
        <v>46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</row>
    <row r="44" spans="1:41" x14ac:dyDescent="0.15">
      <c r="A44" s="2">
        <v>1891456</v>
      </c>
      <c r="B44" s="3">
        <v>45637</v>
      </c>
      <c r="C44" s="4" t="s">
        <v>195</v>
      </c>
      <c r="D44" s="6">
        <v>16212649</v>
      </c>
      <c r="E44" s="2">
        <v>1607200</v>
      </c>
      <c r="F44" s="4" t="s">
        <v>196</v>
      </c>
      <c r="G44" s="4" t="s">
        <v>197</v>
      </c>
      <c r="H44" s="6" t="str">
        <f t="shared" ref="H44:H51" si="3">CONCATENATE(G44,5)</f>
        <v>00000494843A5</v>
      </c>
      <c r="I44" s="4" t="s">
        <v>194</v>
      </c>
      <c r="J44" s="4" t="s">
        <v>48</v>
      </c>
      <c r="K44" s="3">
        <v>45627</v>
      </c>
      <c r="L44" s="4" t="s">
        <v>49</v>
      </c>
      <c r="M44" s="4" t="s">
        <v>46</v>
      </c>
      <c r="N44" s="4" t="s">
        <v>65</v>
      </c>
      <c r="O44" s="4" t="s">
        <v>65</v>
      </c>
      <c r="P44" s="2">
        <v>1</v>
      </c>
      <c r="Q44" s="2">
        <v>17</v>
      </c>
      <c r="R44" s="4" t="s">
        <v>51</v>
      </c>
      <c r="S44" s="4" t="s">
        <v>46</v>
      </c>
      <c r="T44" s="4" t="s">
        <v>46</v>
      </c>
      <c r="U44" s="5">
        <v>3</v>
      </c>
      <c r="V44" s="5">
        <v>201.81</v>
      </c>
      <c r="W44" s="5">
        <v>100</v>
      </c>
      <c r="X44" s="5">
        <v>6.05</v>
      </c>
      <c r="Y44" s="5">
        <v>0</v>
      </c>
      <c r="Z44" s="5">
        <v>0</v>
      </c>
      <c r="AA44" s="4" t="s">
        <v>66</v>
      </c>
      <c r="AB44" s="4" t="s">
        <v>46</v>
      </c>
      <c r="AC44" s="5">
        <v>0</v>
      </c>
      <c r="AD44" s="4" t="s">
        <v>67</v>
      </c>
      <c r="AE44" s="3">
        <v>43525</v>
      </c>
      <c r="AF44" s="4" t="s">
        <v>46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</row>
    <row r="45" spans="1:41" x14ac:dyDescent="0.15">
      <c r="A45" s="2">
        <v>1891456</v>
      </c>
      <c r="B45" s="3">
        <v>45637</v>
      </c>
      <c r="C45" s="4" t="s">
        <v>198</v>
      </c>
      <c r="D45" s="6">
        <v>17528908</v>
      </c>
      <c r="E45" s="2">
        <v>1673763</v>
      </c>
      <c r="F45" s="4" t="s">
        <v>199</v>
      </c>
      <c r="G45" s="4" t="s">
        <v>200</v>
      </c>
      <c r="H45" s="6" t="str">
        <f t="shared" si="3"/>
        <v>00000754585A5</v>
      </c>
      <c r="I45" s="4" t="s">
        <v>194</v>
      </c>
      <c r="J45" s="4" t="s">
        <v>48</v>
      </c>
      <c r="K45" s="3">
        <v>45627</v>
      </c>
      <c r="L45" s="4" t="s">
        <v>49</v>
      </c>
      <c r="M45" s="4" t="s">
        <v>46</v>
      </c>
      <c r="N45" s="4" t="s">
        <v>65</v>
      </c>
      <c r="O45" s="4" t="s">
        <v>65</v>
      </c>
      <c r="P45" s="2">
        <v>1</v>
      </c>
      <c r="Q45" s="2">
        <v>17</v>
      </c>
      <c r="R45" s="4" t="s">
        <v>51</v>
      </c>
      <c r="S45" s="4" t="s">
        <v>46</v>
      </c>
      <c r="T45" s="4" t="s">
        <v>46</v>
      </c>
      <c r="U45" s="5">
        <v>1</v>
      </c>
      <c r="V45" s="5">
        <v>159.94999999999999</v>
      </c>
      <c r="W45" s="5">
        <v>100</v>
      </c>
      <c r="X45" s="5">
        <v>1.6</v>
      </c>
      <c r="Y45" s="5">
        <v>0</v>
      </c>
      <c r="Z45" s="5">
        <v>0</v>
      </c>
      <c r="AA45" s="4" t="s">
        <v>201</v>
      </c>
      <c r="AB45" s="4" t="s">
        <v>46</v>
      </c>
      <c r="AC45" s="5">
        <v>0</v>
      </c>
      <c r="AD45" s="4" t="s">
        <v>202</v>
      </c>
      <c r="AE45" s="3">
        <v>45170</v>
      </c>
      <c r="AF45" s="4" t="s">
        <v>46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</row>
    <row r="46" spans="1:41" x14ac:dyDescent="0.15">
      <c r="A46" s="2">
        <v>1891456</v>
      </c>
      <c r="B46" s="3">
        <v>45637</v>
      </c>
      <c r="C46" s="4" t="s">
        <v>198</v>
      </c>
      <c r="D46" s="6">
        <v>17528908</v>
      </c>
      <c r="E46" s="2">
        <v>1673763</v>
      </c>
      <c r="F46" s="4" t="s">
        <v>203</v>
      </c>
      <c r="G46" s="4" t="s">
        <v>204</v>
      </c>
      <c r="H46" s="6" t="str">
        <f t="shared" si="3"/>
        <v>00000761751A5</v>
      </c>
      <c r="I46" s="4" t="s">
        <v>194</v>
      </c>
      <c r="J46" s="4" t="s">
        <v>48</v>
      </c>
      <c r="K46" s="3">
        <v>45627</v>
      </c>
      <c r="L46" s="4" t="s">
        <v>49</v>
      </c>
      <c r="M46" s="4" t="s">
        <v>46</v>
      </c>
      <c r="N46" s="4" t="s">
        <v>65</v>
      </c>
      <c r="O46" s="4" t="s">
        <v>65</v>
      </c>
      <c r="P46" s="2">
        <v>1</v>
      </c>
      <c r="Q46" s="2">
        <v>17</v>
      </c>
      <c r="R46" s="4" t="s">
        <v>51</v>
      </c>
      <c r="S46" s="4" t="s">
        <v>46</v>
      </c>
      <c r="T46" s="4" t="s">
        <v>46</v>
      </c>
      <c r="U46" s="5">
        <v>10</v>
      </c>
      <c r="V46" s="5">
        <v>168.22</v>
      </c>
      <c r="W46" s="5">
        <v>100</v>
      </c>
      <c r="X46" s="5">
        <v>16.82</v>
      </c>
      <c r="Y46" s="5">
        <v>0</v>
      </c>
      <c r="Z46" s="5">
        <v>0</v>
      </c>
      <c r="AA46" s="4" t="s">
        <v>66</v>
      </c>
      <c r="AB46" s="4" t="s">
        <v>46</v>
      </c>
      <c r="AC46" s="5">
        <v>0</v>
      </c>
      <c r="AD46" s="4" t="s">
        <v>67</v>
      </c>
      <c r="AE46" s="3">
        <v>45231</v>
      </c>
      <c r="AF46" s="4" t="s">
        <v>46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</row>
    <row r="47" spans="1:41" x14ac:dyDescent="0.15">
      <c r="A47" s="2">
        <v>1891456</v>
      </c>
      <c r="B47" s="3">
        <v>45637</v>
      </c>
      <c r="C47" s="4" t="s">
        <v>198</v>
      </c>
      <c r="D47" s="6">
        <v>17528908</v>
      </c>
      <c r="E47" s="2">
        <v>1673763</v>
      </c>
      <c r="F47" s="4" t="s">
        <v>205</v>
      </c>
      <c r="G47" s="4" t="s">
        <v>206</v>
      </c>
      <c r="H47" s="6" t="str">
        <f t="shared" si="3"/>
        <v>00000775340A5</v>
      </c>
      <c r="I47" s="4" t="s">
        <v>194</v>
      </c>
      <c r="J47" s="4" t="s">
        <v>48</v>
      </c>
      <c r="K47" s="3">
        <v>45627</v>
      </c>
      <c r="L47" s="4" t="s">
        <v>49</v>
      </c>
      <c r="M47" s="4" t="s">
        <v>46</v>
      </c>
      <c r="N47" s="4" t="s">
        <v>65</v>
      </c>
      <c r="O47" s="4" t="s">
        <v>65</v>
      </c>
      <c r="P47" s="2">
        <v>1</v>
      </c>
      <c r="Q47" s="2">
        <v>17</v>
      </c>
      <c r="R47" s="4" t="s">
        <v>51</v>
      </c>
      <c r="S47" s="4" t="s">
        <v>46</v>
      </c>
      <c r="T47" s="4" t="s">
        <v>46</v>
      </c>
      <c r="U47" s="5">
        <v>22</v>
      </c>
      <c r="V47" s="5">
        <v>130.08000000000001</v>
      </c>
      <c r="W47" s="5">
        <v>100</v>
      </c>
      <c r="X47" s="5">
        <v>28.62</v>
      </c>
      <c r="Y47" s="5">
        <v>0</v>
      </c>
      <c r="Z47" s="5">
        <v>0</v>
      </c>
      <c r="AA47" s="4" t="s">
        <v>201</v>
      </c>
      <c r="AB47" s="4" t="s">
        <v>46</v>
      </c>
      <c r="AC47" s="5">
        <v>0</v>
      </c>
      <c r="AD47" s="4" t="s">
        <v>202</v>
      </c>
      <c r="AE47" s="3">
        <v>45261</v>
      </c>
      <c r="AF47" s="4" t="s">
        <v>46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</row>
    <row r="48" spans="1:41" x14ac:dyDescent="0.15">
      <c r="A48" s="2">
        <v>1891456</v>
      </c>
      <c r="B48" s="3">
        <v>45637</v>
      </c>
      <c r="C48" s="4" t="s">
        <v>198</v>
      </c>
      <c r="D48" s="6">
        <v>17528908</v>
      </c>
      <c r="E48" s="2">
        <v>1673763</v>
      </c>
      <c r="F48" s="4" t="s">
        <v>207</v>
      </c>
      <c r="G48" s="4" t="s">
        <v>208</v>
      </c>
      <c r="H48" s="6" t="str">
        <f t="shared" si="3"/>
        <v>00000776436A5</v>
      </c>
      <c r="I48" s="4" t="s">
        <v>194</v>
      </c>
      <c r="J48" s="4" t="s">
        <v>48</v>
      </c>
      <c r="K48" s="3">
        <v>45627</v>
      </c>
      <c r="L48" s="4" t="s">
        <v>49</v>
      </c>
      <c r="M48" s="4" t="s">
        <v>46</v>
      </c>
      <c r="N48" s="4" t="s">
        <v>65</v>
      </c>
      <c r="O48" s="4" t="s">
        <v>65</v>
      </c>
      <c r="P48" s="2">
        <v>1</v>
      </c>
      <c r="Q48" s="2">
        <v>17</v>
      </c>
      <c r="R48" s="4" t="s">
        <v>51</v>
      </c>
      <c r="S48" s="4" t="s">
        <v>46</v>
      </c>
      <c r="T48" s="4" t="s">
        <v>46</v>
      </c>
      <c r="U48" s="5">
        <v>22</v>
      </c>
      <c r="V48" s="5">
        <v>130.08000000000001</v>
      </c>
      <c r="W48" s="5">
        <v>100</v>
      </c>
      <c r="X48" s="5">
        <v>28.62</v>
      </c>
      <c r="Y48" s="5">
        <v>0</v>
      </c>
      <c r="Z48" s="5">
        <v>0</v>
      </c>
      <c r="AA48" s="4" t="s">
        <v>201</v>
      </c>
      <c r="AB48" s="4" t="s">
        <v>46</v>
      </c>
      <c r="AC48" s="5">
        <v>0</v>
      </c>
      <c r="AD48" s="4" t="s">
        <v>202</v>
      </c>
      <c r="AE48" s="3">
        <v>45261</v>
      </c>
      <c r="AF48" s="4" t="s">
        <v>46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</row>
    <row r="49" spans="1:41" x14ac:dyDescent="0.15">
      <c r="A49" s="2">
        <v>1891456</v>
      </c>
      <c r="B49" s="3">
        <v>45637</v>
      </c>
      <c r="C49" s="4" t="s">
        <v>198</v>
      </c>
      <c r="D49" s="6">
        <v>17528908</v>
      </c>
      <c r="E49" s="2">
        <v>1673763</v>
      </c>
      <c r="F49" s="4" t="s">
        <v>209</v>
      </c>
      <c r="G49" s="4" t="s">
        <v>210</v>
      </c>
      <c r="H49" s="6" t="str">
        <f t="shared" si="3"/>
        <v>00000801899A5</v>
      </c>
      <c r="I49" s="4" t="s">
        <v>194</v>
      </c>
      <c r="J49" s="4" t="s">
        <v>48</v>
      </c>
      <c r="K49" s="3">
        <v>45627</v>
      </c>
      <c r="L49" s="4" t="s">
        <v>49</v>
      </c>
      <c r="M49" s="4" t="s">
        <v>46</v>
      </c>
      <c r="N49" s="4" t="s">
        <v>65</v>
      </c>
      <c r="O49" s="4" t="s">
        <v>65</v>
      </c>
      <c r="P49" s="2">
        <v>1</v>
      </c>
      <c r="Q49" s="2">
        <v>17</v>
      </c>
      <c r="R49" s="4" t="s">
        <v>51</v>
      </c>
      <c r="S49" s="4" t="s">
        <v>46</v>
      </c>
      <c r="T49" s="4" t="s">
        <v>46</v>
      </c>
      <c r="U49" s="5">
        <v>0</v>
      </c>
      <c r="V49" s="5">
        <v>146.72999999999999</v>
      </c>
      <c r="W49" s="5">
        <v>100</v>
      </c>
      <c r="X49" s="5">
        <v>4.17</v>
      </c>
      <c r="Y49" s="5">
        <v>0</v>
      </c>
      <c r="Z49" s="5">
        <v>0</v>
      </c>
      <c r="AA49" s="4" t="s">
        <v>201</v>
      </c>
      <c r="AB49" s="4" t="s">
        <v>46</v>
      </c>
      <c r="AC49" s="5">
        <v>0</v>
      </c>
      <c r="AD49" s="4" t="s">
        <v>202</v>
      </c>
      <c r="AE49" s="3">
        <v>45261</v>
      </c>
      <c r="AF49" s="4" t="s">
        <v>46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</row>
    <row r="50" spans="1:41" x14ac:dyDescent="0.15">
      <c r="A50" s="2">
        <v>1891456</v>
      </c>
      <c r="B50" s="3">
        <v>45637</v>
      </c>
      <c r="C50" s="4" t="s">
        <v>211</v>
      </c>
      <c r="D50" s="6">
        <v>5442438</v>
      </c>
      <c r="E50" s="2">
        <v>1775329</v>
      </c>
      <c r="F50" s="4" t="s">
        <v>212</v>
      </c>
      <c r="G50" s="4" t="s">
        <v>213</v>
      </c>
      <c r="H50" s="6" t="str">
        <f t="shared" si="3"/>
        <v>00000858729A5</v>
      </c>
      <c r="I50" s="4" t="s">
        <v>194</v>
      </c>
      <c r="J50" s="4" t="s">
        <v>48</v>
      </c>
      <c r="K50" s="3">
        <v>45627</v>
      </c>
      <c r="L50" s="4" t="s">
        <v>49</v>
      </c>
      <c r="M50" s="4" t="s">
        <v>46</v>
      </c>
      <c r="N50" s="4" t="s">
        <v>50</v>
      </c>
      <c r="O50" s="4" t="s">
        <v>65</v>
      </c>
      <c r="P50" s="2">
        <v>1</v>
      </c>
      <c r="Q50" s="2">
        <v>17</v>
      </c>
      <c r="R50" s="4" t="s">
        <v>51</v>
      </c>
      <c r="S50" s="4" t="s">
        <v>46</v>
      </c>
      <c r="T50" s="4" t="s">
        <v>46</v>
      </c>
      <c r="U50" s="5">
        <v>11</v>
      </c>
      <c r="V50" s="5">
        <v>142.16999999999999</v>
      </c>
      <c r="W50" s="5">
        <v>100</v>
      </c>
      <c r="X50" s="5">
        <v>15.64</v>
      </c>
      <c r="Y50" s="5">
        <v>0</v>
      </c>
      <c r="Z50" s="5">
        <v>0</v>
      </c>
      <c r="AA50" s="4" t="s">
        <v>84</v>
      </c>
      <c r="AB50" s="4" t="s">
        <v>46</v>
      </c>
      <c r="AC50" s="5">
        <v>0</v>
      </c>
      <c r="AD50" s="4" t="s">
        <v>85</v>
      </c>
      <c r="AE50" s="3">
        <v>45505</v>
      </c>
      <c r="AF50" s="4" t="s">
        <v>46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</row>
    <row r="51" spans="1:41" x14ac:dyDescent="0.15">
      <c r="A51" s="2">
        <v>1891456</v>
      </c>
      <c r="B51" s="3">
        <v>45637</v>
      </c>
      <c r="C51" s="4" t="s">
        <v>211</v>
      </c>
      <c r="D51" s="6">
        <v>5442438</v>
      </c>
      <c r="E51" s="2">
        <v>1775329</v>
      </c>
      <c r="F51" s="4" t="s">
        <v>214</v>
      </c>
      <c r="G51" s="4" t="s">
        <v>215</v>
      </c>
      <c r="H51" s="6" t="str">
        <f t="shared" si="3"/>
        <v>00000858732A5</v>
      </c>
      <c r="I51" s="4" t="s">
        <v>194</v>
      </c>
      <c r="J51" s="4" t="s">
        <v>48</v>
      </c>
      <c r="K51" s="3">
        <v>45627</v>
      </c>
      <c r="L51" s="4" t="s">
        <v>49</v>
      </c>
      <c r="M51" s="4" t="s">
        <v>46</v>
      </c>
      <c r="N51" s="4" t="s">
        <v>50</v>
      </c>
      <c r="O51" s="4" t="s">
        <v>65</v>
      </c>
      <c r="P51" s="2">
        <v>1</v>
      </c>
      <c r="Q51" s="2">
        <v>17</v>
      </c>
      <c r="R51" s="4" t="s">
        <v>51</v>
      </c>
      <c r="S51" s="4" t="s">
        <v>46</v>
      </c>
      <c r="T51" s="4" t="s">
        <v>46</v>
      </c>
      <c r="U51" s="5">
        <v>11</v>
      </c>
      <c r="V51" s="5">
        <v>142.16999999999999</v>
      </c>
      <c r="W51" s="5">
        <v>100</v>
      </c>
      <c r="X51" s="5">
        <v>15.64</v>
      </c>
      <c r="Y51" s="5">
        <v>0</v>
      </c>
      <c r="Z51" s="5">
        <v>0</v>
      </c>
      <c r="AA51" s="4" t="s">
        <v>84</v>
      </c>
      <c r="AB51" s="4" t="s">
        <v>46</v>
      </c>
      <c r="AC51" s="5">
        <v>0</v>
      </c>
      <c r="AD51" s="4" t="s">
        <v>85</v>
      </c>
      <c r="AE51" s="3">
        <v>45505</v>
      </c>
      <c r="AF51" s="4" t="s">
        <v>46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</row>
    <row r="52" spans="1:41" x14ac:dyDescent="0.15">
      <c r="X52" s="5">
        <f>SUM(X2:X51)</f>
        <v>11124.330000000002</v>
      </c>
    </row>
  </sheetData>
  <phoneticPr fontId="20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2024-12-12T15:13:08Z</dcterms:created>
  <dcterms:modified xsi:type="dcterms:W3CDTF">2024-12-17T21:29:42Z</dcterms:modified>
</cp:coreProperties>
</file>