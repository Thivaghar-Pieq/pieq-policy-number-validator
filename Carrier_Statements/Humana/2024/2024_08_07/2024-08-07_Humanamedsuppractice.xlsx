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iPkYq+DWHRY/t03yWLAuI3ghmRODcZzA1WMR3vUYo4="/>
    </ext>
  </extLst>
</workbook>
</file>

<file path=xl/sharedStrings.xml><?xml version="1.0" encoding="utf-8"?>
<sst xmlns="http://schemas.openxmlformats.org/spreadsheetml/2006/main" count="322" uniqueCount="84">
  <si>
    <t>AorSan</t>
  </si>
  <si>
    <t>CommRunDt</t>
  </si>
  <si>
    <t>WaName</t>
  </si>
  <si>
    <t>WaSan</t>
  </si>
  <si>
    <t>GrpName</t>
  </si>
  <si>
    <t>Comment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</si>
  <si>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</si>
  <si>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</si>
  <si>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</si>
  <si>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</si>
  <si>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</si>
  <si>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</si>
  <si>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</si>
  <si>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</si>
  <si>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</si>
  <si>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</si>
  <si>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</si>
  <si>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</si>
  <si>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</si>
  <si>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</si>
  <si>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</si>
  <si>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</si>
  <si>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</si>
  <si>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</si>
  <si>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</si>
  <si>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</si>
  <si>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</si>
  <si>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</si>
  <si>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</si>
  <si>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</si>
  <si>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</si>
  <si>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</si>
  <si>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</si>
  <si>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</si>
  <si>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</si>
  <si>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</si>
  <si>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</si>
  <si>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</si>
  <si>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</si>
  <si>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</si>
  <si>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</si>
  <si>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</si>
  <si>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KOZACHECK ANNE MARIE</t>
  </si>
  <si>
    <t>WOLF PETER T</t>
  </si>
  <si>
    <t>MED SUPP ANNUALIZED ACHIEVE</t>
  </si>
  <si>
    <t>00000816449A</t>
  </si>
  <si>
    <t/>
  </si>
  <si>
    <t>MS</t>
  </si>
  <si>
    <t>LV</t>
  </si>
  <si>
    <t>MAR</t>
  </si>
  <si>
    <t>F</t>
  </si>
  <si>
    <t>R</t>
  </si>
  <si>
    <t>MEDICARE</t>
  </si>
  <si>
    <t>Humana 65-80 Alabama, Arizona, Arkansas, Georgia, etc. All Except N Open Enrollment &amp; Underwritten</t>
  </si>
  <si>
    <t>MSAA</t>
  </si>
  <si>
    <t>INSKIPT DEBORAH L</t>
  </si>
  <si>
    <t>HARPER LYNNE E</t>
  </si>
  <si>
    <t>MED SUPP FIRST YEAR ACHIEVE</t>
  </si>
  <si>
    <t>00000776436A</t>
  </si>
  <si>
    <t>AUG</t>
  </si>
  <si>
    <t>MSFA</t>
  </si>
  <si>
    <t>MAX RONALD J</t>
  </si>
  <si>
    <t>THOMPSON KIMBERLY R</t>
  </si>
  <si>
    <t>MED SUPP ANNUALIZED STANDARD</t>
  </si>
  <si>
    <t>00000856344A</t>
  </si>
  <si>
    <t xml:space="preserve">Humana Alabama, Arizona, Arkansas, Georgia, etc. All Except N Open Enrollment &amp; Underwritten Age 81+	</t>
  </si>
  <si>
    <t>MSAS</t>
  </si>
  <si>
    <t>HOFFMANN JASON R</t>
  </si>
  <si>
    <t>SUN LIPING L</t>
  </si>
  <si>
    <t>00000854764A</t>
  </si>
  <si>
    <t>SUN SHUZHONG</t>
  </si>
  <si>
    <t>00000854622A</t>
  </si>
  <si>
    <t>AALBERTS WENDY L</t>
  </si>
  <si>
    <t>00000851892A</t>
  </si>
  <si>
    <t>LUSE ALISON L</t>
  </si>
  <si>
    <t>MILLER MARTIN C</t>
  </si>
  <si>
    <t>00000853696A</t>
  </si>
  <si>
    <t>MINK PATRICIA S</t>
  </si>
  <si>
    <t>00000852234A</t>
  </si>
  <si>
    <t>MATHIES DEAN A</t>
  </si>
  <si>
    <t>00000850483A</t>
  </si>
  <si>
    <t>Humana Alabama, Arizona, Arkansas, Georgia, etc. Plan-N Open Enrollment &amp; Underwritten</t>
  </si>
  <si>
    <t>BRAUN MARTIN J</t>
  </si>
  <si>
    <t>00000853856A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</si>
</sst>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theme="1"/>
      <name val="Arial"/>
    </font>
    <font>
      <sz val="11.0"/>
      <color theme="1"/>
      <name val="Aptos Narrow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4" xfId="0" applyFont="1" applyNumberFormat="1"/>
    <xf borderId="0" fillId="0" fontId="2" numFmtId="1" xfId="0" applyFont="1" applyNumberFormat="1"/>
    <xf borderId="0" fillId="0" fontId="2" numFmtId="49" xfId="0" applyAlignment="1" applyFont="1" applyNumberFormat="1">
      <alignment horizontal="left" vertical="top"/>
    </xf>
    <xf borderId="0" fillId="0" fontId="2" numFmtId="2" xfId="0" applyFont="1" applyNumberFormat="1"/>
    <xf borderId="0" fillId="0" fontId="3" numFmtId="49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25"/>
    <col customWidth="1" min="3" max="3" width="23.13"/>
    <col customWidth="1" min="4" max="4" width="8.0"/>
    <col customWidth="1" min="5" max="5" width="22.13"/>
    <col customWidth="1" min="6" max="6" width="62.38"/>
    <col customWidth="1" min="7" max="7" width="13.25"/>
    <col customWidth="1" min="8" max="8" width="4.13"/>
    <col customWidth="1" min="9" max="9" width="5.75"/>
    <col customWidth="1" min="10" max="10" width="6.88"/>
    <col customWidth="1" min="11" max="11" width="9.63"/>
    <col customWidth="1" min="12" max="12" width="8.88"/>
    <col customWidth="1" min="13" max="13" width="9.88"/>
    <col customWidth="1" min="14" max="14" width="10.75"/>
    <col customWidth="1" min="15" max="15" width="11.63"/>
    <col customWidth="1" min="16" max="16" width="10.75"/>
    <col customWidth="1" min="17" max="17" width="9.25"/>
    <col customWidth="1" min="18" max="18" width="10.13"/>
    <col customWidth="1" min="19" max="19" width="5.0"/>
    <col customWidth="1" min="20" max="20" width="9.88"/>
    <col customWidth="1" min="21" max="21" width="10.0"/>
    <col customWidth="1" min="22" max="22" width="94.0"/>
    <col customWidth="1" min="23" max="23" width="11.0"/>
    <col customWidth="1" min="24" max="24" width="14.0"/>
    <col customWidth="1" min="25" max="25" width="8.0"/>
    <col customWidth="1" min="26" max="26" width="12.13"/>
    <col customWidth="1" min="27" max="27" width="14.63"/>
    <col customWidth="1" min="28" max="28" width="13.88"/>
    <col customWidth="1" min="29" max="29" width="8.63"/>
    <col customWidth="1" min="30" max="30" width="9.25"/>
    <col customWidth="1" min="31" max="31" width="12.0"/>
    <col customWidth="1" min="32" max="32" width="11.25"/>
    <col customWidth="1" min="33" max="33" width="9.38"/>
    <col customWidth="1" min="34" max="34" width="11.13"/>
    <col customWidth="1" min="35" max="35" width="11.0"/>
    <col customWidth="1" min="36" max="36" width="10.13"/>
    <col customWidth="1" min="37" max="37" width="12.0"/>
    <col customWidth="1" min="38" max="38" width="15.75"/>
    <col customWidth="1" min="39" max="39" width="11.88"/>
    <col customWidth="1" min="40" max="40" width="13.88"/>
    <col customWidth="1" min="41" max="41" width="8.63"/>
    <col customWidth="1" min="42" max="42" width="8.0"/>
    <col customWidth="1" min="43" max="43" width="11.63"/>
    <col customWidth="1" min="44" max="44" width="8.38"/>
    <col customWidth="1" min="45" max="45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2">
        <v>45536.0</v>
      </c>
      <c r="AS1" s="2">
        <f t="shared" ref="AS1:AS11" si="1">DATE(YEAR(AR1),MONTH(AR1)+1,DAY(AR1))</f>
        <v>45566</v>
      </c>
    </row>
    <row r="2">
      <c r="A2" s="3">
        <v>1891456.0</v>
      </c>
      <c r="B2" s="2">
        <v>45511.0</v>
      </c>
      <c r="C2" s="4" t="s">
        <v>42</v>
      </c>
      <c r="D2" s="3">
        <v>1875462.0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46</v>
      </c>
      <c r="J2" s="4" t="s">
        <v>46</v>
      </c>
      <c r="K2" s="4" t="s">
        <v>47</v>
      </c>
      <c r="L2" s="4" t="s">
        <v>48</v>
      </c>
      <c r="M2" s="2">
        <v>45352.0</v>
      </c>
      <c r="N2" s="4" t="s">
        <v>49</v>
      </c>
      <c r="O2" s="4" t="s">
        <v>46</v>
      </c>
      <c r="P2" s="4" t="s">
        <v>50</v>
      </c>
      <c r="Q2" s="4" t="s">
        <v>51</v>
      </c>
      <c r="R2" s="3">
        <v>1.0</v>
      </c>
      <c r="S2" s="3">
        <v>17.0</v>
      </c>
      <c r="T2" s="4" t="s">
        <v>52</v>
      </c>
      <c r="U2" s="4" t="s">
        <v>46</v>
      </c>
      <c r="V2" s="4" t="s">
        <v>53</v>
      </c>
      <c r="W2" s="5">
        <v>22.0</v>
      </c>
      <c r="X2" s="5">
        <v>-1105.02</v>
      </c>
      <c r="Y2" s="5">
        <v>100.0</v>
      </c>
      <c r="Z2" s="5">
        <v>-243.11</v>
      </c>
      <c r="AA2" s="5">
        <v>0.0</v>
      </c>
      <c r="AB2" s="5">
        <v>0.0</v>
      </c>
      <c r="AD2" s="4" t="s">
        <v>46</v>
      </c>
      <c r="AE2" s="5">
        <v>0.0</v>
      </c>
      <c r="AF2" s="4" t="s">
        <v>54</v>
      </c>
      <c r="AG2" s="2">
        <v>45352.0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46</v>
      </c>
      <c r="AO2" s="4" t="s">
        <v>46</v>
      </c>
      <c r="AP2" s="4" t="s">
        <v>46</v>
      </c>
      <c r="AQ2" s="4" t="s">
        <v>46</v>
      </c>
      <c r="AR2" s="2">
        <v>45505.0</v>
      </c>
      <c r="AS2" s="2">
        <f t="shared" si="1"/>
        <v>45536</v>
      </c>
    </row>
    <row r="3">
      <c r="A3" s="3">
        <v>1891456.0</v>
      </c>
      <c r="B3" s="2">
        <v>45511.0</v>
      </c>
      <c r="C3" s="4" t="s">
        <v>55</v>
      </c>
      <c r="D3" s="3">
        <v>1673763.0</v>
      </c>
      <c r="E3" s="4" t="s">
        <v>56</v>
      </c>
      <c r="F3" s="4" t="s">
        <v>57</v>
      </c>
      <c r="G3" s="4" t="s">
        <v>58</v>
      </c>
      <c r="H3" s="4" t="s">
        <v>46</v>
      </c>
      <c r="I3" s="4" t="s">
        <v>46</v>
      </c>
      <c r="J3" s="4" t="s">
        <v>46</v>
      </c>
      <c r="K3" s="4" t="s">
        <v>47</v>
      </c>
      <c r="L3" s="4" t="s">
        <v>48</v>
      </c>
      <c r="M3" s="2">
        <v>45505.0</v>
      </c>
      <c r="N3" s="4" t="s">
        <v>59</v>
      </c>
      <c r="O3" s="4" t="s">
        <v>46</v>
      </c>
      <c r="P3" s="4" t="s">
        <v>50</v>
      </c>
      <c r="Q3" s="4" t="s">
        <v>51</v>
      </c>
      <c r="R3" s="3">
        <v>1.0</v>
      </c>
      <c r="S3" s="3">
        <v>17.0</v>
      </c>
      <c r="T3" s="4" t="s">
        <v>52</v>
      </c>
      <c r="U3" s="4" t="s">
        <v>46</v>
      </c>
      <c r="V3" s="4" t="s">
        <v>53</v>
      </c>
      <c r="W3" s="5">
        <v>22.0</v>
      </c>
      <c r="X3" s="5">
        <v>130.08</v>
      </c>
      <c r="Y3" s="5">
        <v>100.0</v>
      </c>
      <c r="Z3" s="5">
        <v>28.62</v>
      </c>
      <c r="AA3" s="5">
        <v>0.0</v>
      </c>
      <c r="AB3" s="5">
        <v>0.0</v>
      </c>
      <c r="AD3" s="4" t="s">
        <v>46</v>
      </c>
      <c r="AE3" s="5">
        <v>0.0</v>
      </c>
      <c r="AF3" s="4" t="s">
        <v>60</v>
      </c>
      <c r="AG3" s="2">
        <v>45261.0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46</v>
      </c>
      <c r="AO3" s="4" t="s">
        <v>46</v>
      </c>
      <c r="AP3" s="4" t="s">
        <v>46</v>
      </c>
      <c r="AQ3" s="4" t="s">
        <v>46</v>
      </c>
      <c r="AR3" s="2">
        <v>45505.0</v>
      </c>
      <c r="AS3" s="2">
        <f t="shared" si="1"/>
        <v>45536</v>
      </c>
    </row>
    <row r="4">
      <c r="A4" s="3">
        <v>1891456.0</v>
      </c>
      <c r="B4" s="2">
        <v>45511.0</v>
      </c>
      <c r="C4" s="4" t="s">
        <v>61</v>
      </c>
      <c r="D4" s="3">
        <v>1775329.0</v>
      </c>
      <c r="E4" s="4" t="s">
        <v>62</v>
      </c>
      <c r="F4" s="4" t="s">
        <v>63</v>
      </c>
      <c r="G4" s="4" t="s">
        <v>64</v>
      </c>
      <c r="H4" s="4" t="s">
        <v>46</v>
      </c>
      <c r="I4" s="4" t="s">
        <v>46</v>
      </c>
      <c r="J4" s="4" t="s">
        <v>46</v>
      </c>
      <c r="K4" s="4" t="s">
        <v>47</v>
      </c>
      <c r="L4" s="4" t="s">
        <v>48</v>
      </c>
      <c r="M4" s="2">
        <v>45505.0</v>
      </c>
      <c r="N4" s="4" t="s">
        <v>59</v>
      </c>
      <c r="O4" s="4" t="s">
        <v>46</v>
      </c>
      <c r="P4" s="4" t="s">
        <v>50</v>
      </c>
      <c r="Q4" s="4" t="s">
        <v>51</v>
      </c>
      <c r="R4" s="3">
        <v>1.0</v>
      </c>
      <c r="S4" s="3">
        <v>17.0</v>
      </c>
      <c r="T4" s="4" t="s">
        <v>52</v>
      </c>
      <c r="U4" s="4" t="s">
        <v>46</v>
      </c>
      <c r="V4" s="6" t="s">
        <v>65</v>
      </c>
      <c r="W4" s="5">
        <v>11.0</v>
      </c>
      <c r="X4" s="5">
        <v>1512.24</v>
      </c>
      <c r="Y4" s="5">
        <v>100.0</v>
      </c>
      <c r="Z4" s="5">
        <v>166.32</v>
      </c>
      <c r="AA4" s="5">
        <v>0.0</v>
      </c>
      <c r="AB4" s="5">
        <v>0.0</v>
      </c>
      <c r="AD4" s="4" t="s">
        <v>46</v>
      </c>
      <c r="AE4" s="5">
        <v>0.0</v>
      </c>
      <c r="AF4" s="4" t="s">
        <v>66</v>
      </c>
      <c r="AG4" s="2">
        <v>45505.0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46</v>
      </c>
      <c r="AO4" s="4" t="s">
        <v>46</v>
      </c>
      <c r="AP4" s="4" t="s">
        <v>46</v>
      </c>
      <c r="AQ4" s="4" t="s">
        <v>46</v>
      </c>
      <c r="AR4" s="2">
        <v>45536.0</v>
      </c>
      <c r="AS4" s="2">
        <f t="shared" si="1"/>
        <v>45566</v>
      </c>
    </row>
    <row r="5">
      <c r="A5" s="3">
        <v>1891456.0</v>
      </c>
      <c r="B5" s="2">
        <v>45511.0</v>
      </c>
      <c r="C5" s="4" t="s">
        <v>67</v>
      </c>
      <c r="D5" s="3">
        <v>1524629.0</v>
      </c>
      <c r="E5" s="4" t="s">
        <v>68</v>
      </c>
      <c r="F5" s="4" t="s">
        <v>63</v>
      </c>
      <c r="G5" s="4" t="s">
        <v>69</v>
      </c>
      <c r="H5" s="4" t="s">
        <v>46</v>
      </c>
      <c r="I5" s="4" t="s">
        <v>46</v>
      </c>
      <c r="J5" s="4" t="s">
        <v>46</v>
      </c>
      <c r="K5" s="4" t="s">
        <v>47</v>
      </c>
      <c r="L5" s="4" t="s">
        <v>48</v>
      </c>
      <c r="M5" s="2">
        <v>45505.0</v>
      </c>
      <c r="N5" s="4" t="s">
        <v>59</v>
      </c>
      <c r="O5" s="4" t="s">
        <v>46</v>
      </c>
      <c r="P5" s="4" t="s">
        <v>50</v>
      </c>
      <c r="Q5" s="4" t="s">
        <v>51</v>
      </c>
      <c r="R5" s="3">
        <v>1.0</v>
      </c>
      <c r="S5" s="3">
        <v>17.0</v>
      </c>
      <c r="T5" s="4" t="s">
        <v>52</v>
      </c>
      <c r="U5" s="4" t="s">
        <v>46</v>
      </c>
      <c r="V5" s="6" t="s">
        <v>65</v>
      </c>
      <c r="W5" s="5">
        <v>11.0</v>
      </c>
      <c r="X5" s="5">
        <v>1699.8</v>
      </c>
      <c r="Y5" s="5">
        <v>100.0</v>
      </c>
      <c r="Z5" s="5">
        <v>186.96</v>
      </c>
      <c r="AA5" s="5">
        <v>0.0</v>
      </c>
      <c r="AB5" s="5">
        <v>0.0</v>
      </c>
      <c r="AD5" s="4" t="s">
        <v>46</v>
      </c>
      <c r="AE5" s="5">
        <v>0.0</v>
      </c>
      <c r="AF5" s="4" t="s">
        <v>66</v>
      </c>
      <c r="AG5" s="2">
        <v>45505.0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46</v>
      </c>
      <c r="AO5" s="4" t="s">
        <v>46</v>
      </c>
      <c r="AP5" s="4" t="s">
        <v>46</v>
      </c>
      <c r="AQ5" s="4" t="s">
        <v>46</v>
      </c>
      <c r="AR5" s="2">
        <v>45505.0</v>
      </c>
      <c r="AS5" s="2">
        <f t="shared" si="1"/>
        <v>45536</v>
      </c>
    </row>
    <row r="6">
      <c r="A6" s="3">
        <v>1891456.0</v>
      </c>
      <c r="B6" s="2">
        <v>45511.0</v>
      </c>
      <c r="C6" s="4" t="s">
        <v>67</v>
      </c>
      <c r="D6" s="3">
        <v>1524629.0</v>
      </c>
      <c r="E6" s="4" t="s">
        <v>70</v>
      </c>
      <c r="F6" s="4" t="s">
        <v>63</v>
      </c>
      <c r="G6" s="4" t="s">
        <v>71</v>
      </c>
      <c r="H6" s="4" t="s">
        <v>46</v>
      </c>
      <c r="I6" s="4" t="s">
        <v>46</v>
      </c>
      <c r="J6" s="4" t="s">
        <v>46</v>
      </c>
      <c r="K6" s="4" t="s">
        <v>47</v>
      </c>
      <c r="L6" s="4" t="s">
        <v>48</v>
      </c>
      <c r="M6" s="2">
        <v>45505.0</v>
      </c>
      <c r="N6" s="4" t="s">
        <v>59</v>
      </c>
      <c r="O6" s="4" t="s">
        <v>46</v>
      </c>
      <c r="P6" s="4" t="s">
        <v>50</v>
      </c>
      <c r="Q6" s="4" t="s">
        <v>51</v>
      </c>
      <c r="R6" s="3">
        <v>1.0</v>
      </c>
      <c r="S6" s="3">
        <v>17.0</v>
      </c>
      <c r="T6" s="4" t="s">
        <v>52</v>
      </c>
      <c r="U6" s="4" t="s">
        <v>46</v>
      </c>
      <c r="V6" s="6" t="s">
        <v>65</v>
      </c>
      <c r="W6" s="5">
        <v>11.0</v>
      </c>
      <c r="X6" s="5">
        <v>2493.48</v>
      </c>
      <c r="Y6" s="5">
        <v>100.0</v>
      </c>
      <c r="Z6" s="5">
        <v>274.32</v>
      </c>
      <c r="AA6" s="5">
        <v>0.0</v>
      </c>
      <c r="AB6" s="5">
        <v>0.0</v>
      </c>
      <c r="AD6" s="4" t="s">
        <v>46</v>
      </c>
      <c r="AE6" s="5">
        <v>0.0</v>
      </c>
      <c r="AF6" s="4" t="s">
        <v>66</v>
      </c>
      <c r="AG6" s="2">
        <v>45505.0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  <c r="AQ6" s="4" t="s">
        <v>46</v>
      </c>
      <c r="AR6" s="2">
        <v>45505.0</v>
      </c>
      <c r="AS6" s="2">
        <f t="shared" si="1"/>
        <v>45536</v>
      </c>
    </row>
    <row r="7">
      <c r="A7" s="3">
        <v>1891456.0</v>
      </c>
      <c r="B7" s="2">
        <v>45511.0</v>
      </c>
      <c r="C7" s="4" t="s">
        <v>67</v>
      </c>
      <c r="D7" s="3">
        <v>1524629.0</v>
      </c>
      <c r="E7" s="6" t="s">
        <v>72</v>
      </c>
      <c r="F7" s="4" t="s">
        <v>44</v>
      </c>
      <c r="G7" s="4" t="s">
        <v>73</v>
      </c>
      <c r="H7" s="4" t="s">
        <v>46</v>
      </c>
      <c r="I7" s="4" t="s">
        <v>46</v>
      </c>
      <c r="J7" s="4" t="s">
        <v>46</v>
      </c>
      <c r="K7" s="4" t="s">
        <v>47</v>
      </c>
      <c r="L7" s="4" t="s">
        <v>48</v>
      </c>
      <c r="M7" s="2">
        <v>45505.0</v>
      </c>
      <c r="N7" s="4" t="s">
        <v>59</v>
      </c>
      <c r="O7" s="4" t="s">
        <v>46</v>
      </c>
      <c r="P7" s="4" t="s">
        <v>50</v>
      </c>
      <c r="Q7" s="4" t="s">
        <v>51</v>
      </c>
      <c r="R7" s="3">
        <v>1.0</v>
      </c>
      <c r="S7" s="3">
        <v>17.0</v>
      </c>
      <c r="T7" s="4" t="s">
        <v>52</v>
      </c>
      <c r="U7" s="4" t="s">
        <v>46</v>
      </c>
      <c r="V7" s="4" t="s">
        <v>53</v>
      </c>
      <c r="W7" s="5">
        <v>22.0</v>
      </c>
      <c r="X7" s="5">
        <v>1383.6</v>
      </c>
      <c r="Y7" s="5">
        <v>100.0</v>
      </c>
      <c r="Z7" s="5">
        <v>304.44</v>
      </c>
      <c r="AA7" s="5">
        <v>0.0</v>
      </c>
      <c r="AB7" s="5">
        <v>0.0</v>
      </c>
      <c r="AD7" s="4" t="s">
        <v>46</v>
      </c>
      <c r="AE7" s="5">
        <v>0.0</v>
      </c>
      <c r="AF7" s="4" t="s">
        <v>54</v>
      </c>
      <c r="AG7" s="2">
        <v>45505.0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  <c r="AQ7" s="4" t="s">
        <v>46</v>
      </c>
      <c r="AR7" s="2">
        <v>45505.0</v>
      </c>
      <c r="AS7" s="2">
        <f t="shared" si="1"/>
        <v>45536</v>
      </c>
    </row>
    <row r="8">
      <c r="A8" s="3">
        <v>1891456.0</v>
      </c>
      <c r="B8" s="2">
        <v>45511.0</v>
      </c>
      <c r="C8" s="4" t="s">
        <v>74</v>
      </c>
      <c r="D8" s="3">
        <v>1418187.0</v>
      </c>
      <c r="E8" s="4" t="s">
        <v>75</v>
      </c>
      <c r="F8" s="4" t="s">
        <v>44</v>
      </c>
      <c r="G8" s="4" t="s">
        <v>76</v>
      </c>
      <c r="H8" s="4" t="s">
        <v>46</v>
      </c>
      <c r="I8" s="4" t="s">
        <v>46</v>
      </c>
      <c r="J8" s="4" t="s">
        <v>46</v>
      </c>
      <c r="K8" s="4" t="s">
        <v>47</v>
      </c>
      <c r="L8" s="4" t="s">
        <v>48</v>
      </c>
      <c r="M8" s="2">
        <v>45505.0</v>
      </c>
      <c r="N8" s="4" t="s">
        <v>59</v>
      </c>
      <c r="O8" s="4" t="s">
        <v>46</v>
      </c>
      <c r="P8" s="4" t="s">
        <v>50</v>
      </c>
      <c r="Q8" s="4" t="s">
        <v>51</v>
      </c>
      <c r="R8" s="3">
        <v>1.0</v>
      </c>
      <c r="S8" s="3">
        <v>17.0</v>
      </c>
      <c r="T8" s="4" t="s">
        <v>52</v>
      </c>
      <c r="U8" s="4" t="s">
        <v>46</v>
      </c>
      <c r="V8" s="4" t="s">
        <v>53</v>
      </c>
      <c r="W8" s="5">
        <v>22.0</v>
      </c>
      <c r="X8" s="5">
        <v>1549.44</v>
      </c>
      <c r="Y8" s="5">
        <v>100.0</v>
      </c>
      <c r="Z8" s="5">
        <v>340.92</v>
      </c>
      <c r="AA8" s="5">
        <v>0.0</v>
      </c>
      <c r="AB8" s="5">
        <v>0.0</v>
      </c>
      <c r="AD8" s="4" t="s">
        <v>46</v>
      </c>
      <c r="AE8" s="5">
        <v>0.0</v>
      </c>
      <c r="AF8" s="4" t="s">
        <v>54</v>
      </c>
      <c r="AG8" s="2">
        <v>45505.0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  <c r="AQ8" s="4" t="s">
        <v>46</v>
      </c>
      <c r="AR8" s="2">
        <v>45505.0</v>
      </c>
      <c r="AS8" s="2">
        <f t="shared" si="1"/>
        <v>45536</v>
      </c>
    </row>
    <row r="9">
      <c r="A9" s="3">
        <v>1891456.0</v>
      </c>
      <c r="B9" s="2">
        <v>45511.0</v>
      </c>
      <c r="C9" s="4" t="s">
        <v>55</v>
      </c>
      <c r="D9" s="3">
        <v>1673763.0</v>
      </c>
      <c r="E9" s="4" t="s">
        <v>77</v>
      </c>
      <c r="F9" s="4" t="s">
        <v>44</v>
      </c>
      <c r="G9" s="4" t="s">
        <v>78</v>
      </c>
      <c r="H9" s="4" t="s">
        <v>46</v>
      </c>
      <c r="I9" s="4" t="s">
        <v>46</v>
      </c>
      <c r="J9" s="4" t="s">
        <v>46</v>
      </c>
      <c r="K9" s="4" t="s">
        <v>47</v>
      </c>
      <c r="L9" s="4" t="s">
        <v>48</v>
      </c>
      <c r="M9" s="2">
        <v>45505.0</v>
      </c>
      <c r="N9" s="4" t="s">
        <v>59</v>
      </c>
      <c r="O9" s="4" t="s">
        <v>46</v>
      </c>
      <c r="P9" s="4" t="s">
        <v>50</v>
      </c>
      <c r="Q9" s="4" t="s">
        <v>51</v>
      </c>
      <c r="R9" s="3">
        <v>1.0</v>
      </c>
      <c r="S9" s="3">
        <v>17.0</v>
      </c>
      <c r="T9" s="4" t="s">
        <v>52</v>
      </c>
      <c r="U9" s="4" t="s">
        <v>46</v>
      </c>
      <c r="V9" s="4" t="s">
        <v>53</v>
      </c>
      <c r="W9" s="5">
        <v>22.0</v>
      </c>
      <c r="X9" s="5">
        <v>1560.96</v>
      </c>
      <c r="Y9" s="5">
        <v>100.0</v>
      </c>
      <c r="Z9" s="5">
        <v>343.44</v>
      </c>
      <c r="AA9" s="5">
        <v>0.0</v>
      </c>
      <c r="AB9" s="5">
        <v>0.0</v>
      </c>
      <c r="AD9" s="4" t="s">
        <v>46</v>
      </c>
      <c r="AE9" s="5">
        <v>0.0</v>
      </c>
      <c r="AF9" s="4" t="s">
        <v>54</v>
      </c>
      <c r="AG9" s="2">
        <v>45505.0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  <c r="AQ9" s="4" t="s">
        <v>46</v>
      </c>
      <c r="AR9" s="2">
        <v>45505.0</v>
      </c>
      <c r="AS9" s="2">
        <f t="shared" si="1"/>
        <v>45536</v>
      </c>
    </row>
    <row r="10">
      <c r="A10" s="3">
        <v>1891456.0</v>
      </c>
      <c r="B10" s="2">
        <v>45511.0</v>
      </c>
      <c r="C10" s="4" t="s">
        <v>55</v>
      </c>
      <c r="D10" s="3">
        <v>1673763.0</v>
      </c>
      <c r="E10" s="4" t="s">
        <v>79</v>
      </c>
      <c r="F10" s="4" t="s">
        <v>44</v>
      </c>
      <c r="G10" s="4" t="s">
        <v>80</v>
      </c>
      <c r="H10" s="4" t="s">
        <v>46</v>
      </c>
      <c r="I10" s="4" t="s">
        <v>46</v>
      </c>
      <c r="J10" s="4" t="s">
        <v>46</v>
      </c>
      <c r="K10" s="4" t="s">
        <v>47</v>
      </c>
      <c r="L10" s="4" t="s">
        <v>48</v>
      </c>
      <c r="M10" s="2">
        <v>45505.0</v>
      </c>
      <c r="N10" s="4" t="s">
        <v>59</v>
      </c>
      <c r="O10" s="4" t="s">
        <v>46</v>
      </c>
      <c r="P10" s="4" t="s">
        <v>50</v>
      </c>
      <c r="Q10" s="4" t="s">
        <v>51</v>
      </c>
      <c r="R10" s="3">
        <v>1.0</v>
      </c>
      <c r="S10" s="3">
        <v>17.0</v>
      </c>
      <c r="T10" s="4" t="s">
        <v>52</v>
      </c>
      <c r="U10" s="4" t="s">
        <v>46</v>
      </c>
      <c r="V10" s="4" t="s">
        <v>81</v>
      </c>
      <c r="W10" s="5">
        <v>26.0</v>
      </c>
      <c r="X10" s="5">
        <v>1346.16</v>
      </c>
      <c r="Y10" s="5">
        <v>100.0</v>
      </c>
      <c r="Z10" s="5">
        <v>350.04</v>
      </c>
      <c r="AA10" s="5">
        <v>0.0</v>
      </c>
      <c r="AB10" s="5">
        <v>0.0</v>
      </c>
      <c r="AD10" s="4" t="s">
        <v>46</v>
      </c>
      <c r="AE10" s="5">
        <v>0.0</v>
      </c>
      <c r="AF10" s="4" t="s">
        <v>54</v>
      </c>
      <c r="AG10" s="2">
        <v>45505.0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  <c r="AQ10" s="4" t="s">
        <v>46</v>
      </c>
      <c r="AR10" s="2">
        <v>45505.0</v>
      </c>
      <c r="AS10" s="2">
        <f t="shared" si="1"/>
        <v>45536</v>
      </c>
    </row>
    <row r="11">
      <c r="A11" s="3">
        <v>1891456.0</v>
      </c>
      <c r="B11" s="2">
        <v>45511.0</v>
      </c>
      <c r="C11" s="4" t="s">
        <v>55</v>
      </c>
      <c r="D11" s="3">
        <v>1673763.0</v>
      </c>
      <c r="E11" s="4" t="s">
        <v>82</v>
      </c>
      <c r="F11" s="4" t="s">
        <v>44</v>
      </c>
      <c r="G11" s="4" t="s">
        <v>83</v>
      </c>
      <c r="H11" s="4" t="s">
        <v>46</v>
      </c>
      <c r="I11" s="4" t="s">
        <v>46</v>
      </c>
      <c r="J11" s="4" t="s">
        <v>46</v>
      </c>
      <c r="K11" s="4" t="s">
        <v>47</v>
      </c>
      <c r="L11" s="4" t="s">
        <v>48</v>
      </c>
      <c r="M11" s="2">
        <v>45505.0</v>
      </c>
      <c r="N11" s="4" t="s">
        <v>59</v>
      </c>
      <c r="O11" s="4" t="s">
        <v>46</v>
      </c>
      <c r="P11" s="4" t="s">
        <v>50</v>
      </c>
      <c r="Q11" s="4" t="s">
        <v>51</v>
      </c>
      <c r="R11" s="3">
        <v>1.0</v>
      </c>
      <c r="S11" s="3">
        <v>17.0</v>
      </c>
      <c r="T11" s="4" t="s">
        <v>52</v>
      </c>
      <c r="U11" s="4" t="s">
        <v>46</v>
      </c>
      <c r="V11" s="4" t="s">
        <v>53</v>
      </c>
      <c r="W11" s="5">
        <v>22.0</v>
      </c>
      <c r="X11" s="5">
        <v>1979.28</v>
      </c>
      <c r="Y11" s="5">
        <v>100.0</v>
      </c>
      <c r="Z11" s="5">
        <v>435.48</v>
      </c>
      <c r="AA11" s="5">
        <v>0.0</v>
      </c>
      <c r="AB11" s="5">
        <v>0.0</v>
      </c>
      <c r="AD11" s="4" t="s">
        <v>46</v>
      </c>
      <c r="AE11" s="5">
        <v>0.0</v>
      </c>
      <c r="AF11" s="4" t="s">
        <v>54</v>
      </c>
      <c r="AG11" s="2">
        <v>45505.0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  <c r="AQ11" s="4" t="s">
        <v>46</v>
      </c>
      <c r="AR11" s="2">
        <v>45352.0</v>
      </c>
      <c r="AS11" s="2">
        <f t="shared" si="1"/>
        <v>45383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2024-08-23T15:00:10Z</dcterms:created>
  <dc:creator>Janki Patel</dc:creator>
</cp:coreProperties>
</file>