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Humana Med supp bonus\"/>
    </mc:Choice>
  </mc:AlternateContent>
  <xr:revisionPtr revIDLastSave="0" documentId="13_ncr:1_{987F1669-60FB-4615-97DB-6BD8580E93FA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2" i="1" l="1"/>
  <c r="M63" i="1"/>
  <c r="M64" i="1"/>
  <c r="M65" i="1"/>
  <c r="M66" i="1"/>
  <c r="M67" i="1"/>
  <c r="M61" i="1"/>
  <c r="M52" i="1"/>
  <c r="M53" i="1"/>
  <c r="M54" i="1"/>
  <c r="M55" i="1"/>
  <c r="M56" i="1"/>
  <c r="M57" i="1"/>
  <c r="M51" i="1"/>
  <c r="M43" i="1"/>
  <c r="M44" i="1"/>
  <c r="M45" i="1"/>
  <c r="M46" i="1"/>
  <c r="M42" i="1"/>
  <c r="L38" i="1"/>
  <c r="M27" i="1"/>
  <c r="M28" i="1"/>
  <c r="M29" i="1"/>
  <c r="M30" i="1"/>
  <c r="M31" i="1"/>
  <c r="M32" i="1"/>
  <c r="M33" i="1"/>
  <c r="M34" i="1"/>
  <c r="M35" i="1"/>
  <c r="M36" i="1"/>
  <c r="M37" i="1"/>
  <c r="M26" i="1"/>
  <c r="M17" i="1"/>
  <c r="M18" i="1"/>
  <c r="M19" i="1"/>
  <c r="M20" i="1"/>
  <c r="M16" i="1"/>
  <c r="L14" i="1"/>
  <c r="M6" i="1"/>
  <c r="M7" i="1"/>
  <c r="M8" i="1"/>
  <c r="M9" i="1"/>
  <c r="M10" i="1"/>
  <c r="M11" i="1"/>
  <c r="M12" i="1"/>
  <c r="M13" i="1"/>
  <c r="M5" i="1"/>
</calcChain>
</file>

<file path=xl/sharedStrings.xml><?xml version="1.0" encoding="utf-8"?>
<sst xmlns="http://schemas.openxmlformats.org/spreadsheetml/2006/main" count="268" uniqueCount="195">
  <si>
    <r>
      <rPr>
        <b/>
        <sz val="20"/>
        <color rgb="FFFFFFFF"/>
        <rFont val="Calibri"/>
        <family val="2"/>
      </rPr>
      <t xml:space="preserve">Medicare Supplement Bonus Program
</t>
    </r>
    <r>
      <rPr>
        <b/>
        <sz val="14"/>
        <color rgb="FFFFFFFF"/>
        <rFont val="Calibri"/>
        <family val="2"/>
      </rPr>
      <t xml:space="preserve">Applications Submitted and Approved 10/1/2024 - 12/31/2024
</t>
    </r>
    <r>
      <rPr>
        <b/>
        <sz val="14"/>
        <color rgb="FF002F56"/>
        <rFont val="Calibri"/>
        <family val="2"/>
      </rPr>
      <t xml:space="preserve">Payee SAN         Payee Name                                                                         Total Apps       Total Payment
</t>
    </r>
    <r>
      <rPr>
        <b/>
        <sz val="12"/>
        <color rgb="FF002F56"/>
        <rFont val="Calibri"/>
        <family val="2"/>
      </rPr>
      <t>1891456                 MAIN LINE BENEFITS LLC                                                                                     45                     $5,250.00</t>
    </r>
  </si>
  <si>
    <r>
      <rPr>
        <b/>
        <sz val="12"/>
        <color rgb="FF002F56"/>
        <rFont val="Calibri"/>
        <family val="2"/>
      </rPr>
      <t>Sign Date</t>
    </r>
  </si>
  <si>
    <r>
      <rPr>
        <b/>
        <sz val="12"/>
        <color rgb="FF002F56"/>
        <rFont val="Calibri"/>
        <family val="2"/>
      </rPr>
      <t>Effective Date</t>
    </r>
  </si>
  <si>
    <r>
      <rPr>
        <b/>
        <sz val="12"/>
        <color rgb="FF002F56"/>
        <rFont val="Calibri"/>
        <family val="2"/>
      </rPr>
      <t>Member Id</t>
    </r>
  </si>
  <si>
    <r>
      <rPr>
        <b/>
        <sz val="12"/>
        <color rgb="FF002F56"/>
        <rFont val="Calibri"/>
        <family val="2"/>
      </rPr>
      <t>Member Name</t>
    </r>
  </si>
  <si>
    <r>
      <rPr>
        <b/>
        <sz val="12"/>
        <color rgb="FF002F56"/>
        <rFont val="Calibri"/>
        <family val="2"/>
      </rPr>
      <t>Type</t>
    </r>
  </si>
  <si>
    <r>
      <rPr>
        <b/>
        <sz val="12"/>
        <color rgb="FF002F56"/>
        <rFont val="Calibri"/>
        <family val="2"/>
      </rPr>
      <t>Bonus</t>
    </r>
  </si>
  <si>
    <r>
      <rPr>
        <sz val="11"/>
        <color rgb="FF002F56"/>
        <rFont val="Calibri"/>
        <family val="2"/>
      </rPr>
      <t>H70247602</t>
    </r>
  </si>
  <si>
    <r>
      <rPr>
        <sz val="11"/>
        <color rgb="FF002F56"/>
        <rFont val="Calibri"/>
        <family val="2"/>
      </rPr>
      <t>DIGIACOMO, ARTHUR</t>
    </r>
  </si>
  <si>
    <r>
      <rPr>
        <sz val="11"/>
        <color rgb="FF002F56"/>
        <rFont val="Calibri"/>
        <family val="2"/>
      </rPr>
      <t>UW</t>
    </r>
  </si>
  <si>
    <r>
      <rPr>
        <sz val="11"/>
        <color rgb="FF002F56"/>
        <rFont val="Calibri"/>
        <family val="2"/>
      </rPr>
      <t>H92003731</t>
    </r>
  </si>
  <si>
    <r>
      <rPr>
        <sz val="11"/>
        <color rgb="FF002F56"/>
        <rFont val="Calibri"/>
        <family val="2"/>
      </rPr>
      <t>JENKINS, HEIDI</t>
    </r>
  </si>
  <si>
    <r>
      <rPr>
        <sz val="11"/>
        <color rgb="FF002F56"/>
        <rFont val="Calibri"/>
        <family val="2"/>
      </rPr>
      <t>OEP</t>
    </r>
  </si>
  <si>
    <r>
      <rPr>
        <sz val="11"/>
        <color rgb="FF002F56"/>
        <rFont val="Calibri"/>
        <family val="2"/>
      </rPr>
      <t>H68680048</t>
    </r>
  </si>
  <si>
    <r>
      <rPr>
        <sz val="11"/>
        <color rgb="FF002F56"/>
        <rFont val="Calibri"/>
        <family val="2"/>
      </rPr>
      <t>BAXTER, RICHARD</t>
    </r>
  </si>
  <si>
    <r>
      <rPr>
        <sz val="11"/>
        <color rgb="FF002F56"/>
        <rFont val="Calibri"/>
        <family val="2"/>
      </rPr>
      <t>H49641409</t>
    </r>
  </si>
  <si>
    <r>
      <rPr>
        <sz val="11"/>
        <color rgb="FF002F56"/>
        <rFont val="Calibri"/>
        <family val="2"/>
      </rPr>
      <t>BURGOS, VICTOR</t>
    </r>
  </si>
  <si>
    <r>
      <rPr>
        <sz val="11"/>
        <color rgb="FF002F56"/>
        <rFont val="Calibri"/>
        <family val="2"/>
      </rPr>
      <t>H88060812</t>
    </r>
  </si>
  <si>
    <r>
      <rPr>
        <sz val="11"/>
        <color rgb="FF002F56"/>
        <rFont val="Calibri"/>
        <family val="2"/>
      </rPr>
      <t>BILLINGSLEY, DUANE</t>
    </r>
  </si>
  <si>
    <r>
      <rPr>
        <sz val="11"/>
        <color rgb="FF002F56"/>
        <rFont val="Calibri"/>
        <family val="2"/>
      </rPr>
      <t>H92098271</t>
    </r>
  </si>
  <si>
    <r>
      <rPr>
        <sz val="11"/>
        <color rgb="FF002F56"/>
        <rFont val="Calibri"/>
        <family val="2"/>
      </rPr>
      <t>LAPOINTE, L</t>
    </r>
  </si>
  <si>
    <r>
      <rPr>
        <sz val="11"/>
        <color rgb="FF002F56"/>
        <rFont val="Calibri"/>
        <family val="2"/>
      </rPr>
      <t>H92104840</t>
    </r>
  </si>
  <si>
    <r>
      <rPr>
        <sz val="11"/>
        <color rgb="FF002F56"/>
        <rFont val="Calibri"/>
        <family val="2"/>
      </rPr>
      <t>DEVIRGILIIS, COLLEEN</t>
    </r>
  </si>
  <si>
    <r>
      <rPr>
        <sz val="11"/>
        <color rgb="FF002F56"/>
        <rFont val="Calibri"/>
        <family val="2"/>
      </rPr>
      <t>H88079555</t>
    </r>
  </si>
  <si>
    <r>
      <rPr>
        <sz val="11"/>
        <color rgb="FF002F56"/>
        <rFont val="Calibri"/>
        <family val="2"/>
      </rPr>
      <t>PARKER, DONALD</t>
    </r>
  </si>
  <si>
    <r>
      <rPr>
        <sz val="11"/>
        <color rgb="FF002F56"/>
        <rFont val="Calibri"/>
        <family val="2"/>
      </rPr>
      <t>H94135665</t>
    </r>
  </si>
  <si>
    <r>
      <rPr>
        <sz val="11"/>
        <color rgb="FF002F56"/>
        <rFont val="Calibri"/>
        <family val="2"/>
      </rPr>
      <t>LAREN, ANDERS</t>
    </r>
  </si>
  <si>
    <r>
      <rPr>
        <b/>
        <sz val="11"/>
        <color rgb="FFFAFCFD"/>
        <rFont val="Calibri"/>
        <family val="2"/>
      </rPr>
      <t>Writing Agent:  1545980                         RICHTER, ADAM J                                                   Agent Apps:     5                              $250.00</t>
    </r>
  </si>
  <si>
    <r>
      <rPr>
        <sz val="11"/>
        <color rgb="FF002F56"/>
        <rFont val="Calibri"/>
        <family val="2"/>
      </rPr>
      <t>H69985328</t>
    </r>
  </si>
  <si>
    <r>
      <rPr>
        <sz val="11"/>
        <color rgb="FF002F56"/>
        <rFont val="Calibri"/>
        <family val="2"/>
      </rPr>
      <t>BRADLEY, KATHY</t>
    </r>
  </si>
  <si>
    <r>
      <rPr>
        <sz val="11"/>
        <color rgb="FF002F56"/>
        <rFont val="Calibri"/>
        <family val="2"/>
      </rPr>
      <t>H92087416</t>
    </r>
  </si>
  <si>
    <r>
      <rPr>
        <sz val="11"/>
        <color rgb="FF002F56"/>
        <rFont val="Calibri"/>
        <family val="2"/>
      </rPr>
      <t>CHIN, JIMMY</t>
    </r>
  </si>
  <si>
    <r>
      <rPr>
        <sz val="11"/>
        <color rgb="FF002F56"/>
        <rFont val="Calibri"/>
        <family val="2"/>
      </rPr>
      <t>H94128119</t>
    </r>
  </si>
  <si>
    <r>
      <rPr>
        <sz val="11"/>
        <color rgb="FF002F56"/>
        <rFont val="Calibri"/>
        <family val="2"/>
      </rPr>
      <t>PARARAS, MICHAEL</t>
    </r>
  </si>
  <si>
    <r>
      <rPr>
        <sz val="11"/>
        <color rgb="FF002F56"/>
        <rFont val="Calibri"/>
        <family val="2"/>
      </rPr>
      <t>H73367051</t>
    </r>
  </si>
  <si>
    <r>
      <rPr>
        <sz val="11"/>
        <color rgb="FF002F56"/>
        <rFont val="Calibri"/>
        <family val="2"/>
      </rPr>
      <t>PERRY, KATHERINE</t>
    </r>
  </si>
  <si>
    <r>
      <rPr>
        <sz val="11"/>
        <color rgb="FF002F56"/>
        <rFont val="Calibri"/>
        <family val="2"/>
      </rPr>
      <t>H61363866</t>
    </r>
  </si>
  <si>
    <r>
      <rPr>
        <sz val="11"/>
        <color rgb="FF002F56"/>
        <rFont val="Calibri"/>
        <family val="2"/>
      </rPr>
      <t>OBROCKI, CRAIG</t>
    </r>
  </si>
  <si>
    <r>
      <rPr>
        <b/>
        <sz val="11"/>
        <color rgb="FFFAFCFD"/>
        <rFont val="Calibri"/>
        <family val="2"/>
      </rPr>
      <t>Writing Agent:  1673763                         INSKIPT, DEBORAH L                                             Agent Apps:   12                          $1,500.00</t>
    </r>
  </si>
  <si>
    <r>
      <rPr>
        <sz val="11"/>
        <color rgb="FF002F56"/>
        <rFont val="Calibri"/>
        <family val="2"/>
      </rPr>
      <t>H94029113</t>
    </r>
  </si>
  <si>
    <r>
      <rPr>
        <sz val="11"/>
        <color rgb="FF002F56"/>
        <rFont val="Calibri"/>
        <family val="2"/>
      </rPr>
      <t>JOSEPH, DAVID</t>
    </r>
  </si>
  <si>
    <r>
      <rPr>
        <sz val="11"/>
        <color rgb="FF002F56"/>
        <rFont val="Calibri"/>
        <family val="2"/>
      </rPr>
      <t>H63486830</t>
    </r>
  </si>
  <si>
    <r>
      <rPr>
        <sz val="11"/>
        <color rgb="FF002F56"/>
        <rFont val="Calibri"/>
        <family val="2"/>
      </rPr>
      <t>CULLY, DEBRA</t>
    </r>
  </si>
  <si>
    <r>
      <rPr>
        <sz val="11"/>
        <color rgb="FF002F56"/>
        <rFont val="Calibri"/>
        <family val="2"/>
      </rPr>
      <t>H92004962</t>
    </r>
  </si>
  <si>
    <r>
      <rPr>
        <sz val="11"/>
        <color rgb="FF002F56"/>
        <rFont val="Calibri"/>
        <family val="2"/>
      </rPr>
      <t>ENNIS, RICK</t>
    </r>
  </si>
  <si>
    <r>
      <rPr>
        <sz val="11"/>
        <color rgb="FF002F56"/>
        <rFont val="Calibri"/>
        <family val="2"/>
      </rPr>
      <t>H92004968</t>
    </r>
  </si>
  <si>
    <r>
      <rPr>
        <sz val="11"/>
        <color rgb="FF002F56"/>
        <rFont val="Calibri"/>
        <family val="2"/>
      </rPr>
      <t>PALMER, BRIAN</t>
    </r>
  </si>
  <si>
    <r>
      <rPr>
        <sz val="11"/>
        <color rgb="FF002F56"/>
        <rFont val="Calibri"/>
        <family val="2"/>
      </rPr>
      <t>H92022689</t>
    </r>
  </si>
  <si>
    <r>
      <rPr>
        <sz val="11"/>
        <color rgb="FF002F56"/>
        <rFont val="Calibri"/>
        <family val="2"/>
      </rPr>
      <t>SLOVICK, DENNIS</t>
    </r>
  </si>
  <si>
    <r>
      <rPr>
        <sz val="11"/>
        <color rgb="FF002F56"/>
        <rFont val="Calibri"/>
        <family val="2"/>
      </rPr>
      <t>H98107670</t>
    </r>
  </si>
  <si>
    <r>
      <rPr>
        <sz val="11"/>
        <color rgb="FF002F56"/>
        <rFont val="Calibri"/>
        <family val="2"/>
      </rPr>
      <t>VEZZI, DONALD</t>
    </r>
  </si>
  <si>
    <r>
      <rPr>
        <sz val="11"/>
        <color rgb="FF002F56"/>
        <rFont val="Calibri"/>
        <family val="2"/>
      </rPr>
      <t>H92045412</t>
    </r>
  </si>
  <si>
    <r>
      <rPr>
        <sz val="11"/>
        <color rgb="FF002F56"/>
        <rFont val="Calibri"/>
        <family val="2"/>
      </rPr>
      <t>VEZZI, MICHELE</t>
    </r>
  </si>
  <si>
    <r>
      <rPr>
        <sz val="11"/>
        <color rgb="FF002F56"/>
        <rFont val="Calibri"/>
        <family val="2"/>
      </rPr>
      <t>H92056178</t>
    </r>
  </si>
  <si>
    <r>
      <rPr>
        <sz val="11"/>
        <color rgb="FF002F56"/>
        <rFont val="Calibri"/>
        <family val="2"/>
      </rPr>
      <t>COHAN, KATHY</t>
    </r>
  </si>
  <si>
    <r>
      <rPr>
        <sz val="11"/>
        <color rgb="FF002F56"/>
        <rFont val="Calibri"/>
        <family val="2"/>
      </rPr>
      <t>H92056396</t>
    </r>
  </si>
  <si>
    <r>
      <rPr>
        <sz val="11"/>
        <color rgb="FF002F56"/>
        <rFont val="Calibri"/>
        <family val="2"/>
      </rPr>
      <t>HINES, KATHLEEN</t>
    </r>
  </si>
  <si>
    <r>
      <rPr>
        <sz val="11"/>
        <color rgb="FF002F56"/>
        <rFont val="Calibri"/>
        <family val="2"/>
      </rPr>
      <t>H92102798</t>
    </r>
  </si>
  <si>
    <r>
      <rPr>
        <sz val="11"/>
        <color rgb="FF002F56"/>
        <rFont val="Calibri"/>
        <family val="2"/>
      </rPr>
      <t>JORDAN, MICHAEL</t>
    </r>
  </si>
  <si>
    <r>
      <rPr>
        <sz val="11"/>
        <color rgb="FF002F56"/>
        <rFont val="Calibri"/>
        <family val="2"/>
      </rPr>
      <t>H67978068</t>
    </r>
  </si>
  <si>
    <r>
      <rPr>
        <sz val="11"/>
        <color rgb="FF002F56"/>
        <rFont val="Calibri"/>
        <family val="2"/>
      </rPr>
      <t>TOMA, LINDA</t>
    </r>
  </si>
  <si>
    <r>
      <rPr>
        <sz val="11"/>
        <color rgb="FF002F56"/>
        <rFont val="Calibri"/>
        <family val="2"/>
      </rPr>
      <t>H92109664</t>
    </r>
  </si>
  <si>
    <r>
      <rPr>
        <sz val="11"/>
        <color rgb="FF002F56"/>
        <rFont val="Calibri"/>
        <family val="2"/>
      </rPr>
      <t>PARKER, LAURA</t>
    </r>
  </si>
  <si>
    <r>
      <rPr>
        <b/>
        <sz val="11"/>
        <color rgb="FFFAFCFD"/>
        <rFont val="Calibri"/>
        <family val="2"/>
      </rPr>
      <t>Writing Agent:  1758433                         LONG, PATRICIA M                                                Agent Apps:     5                              $550.00</t>
    </r>
  </si>
  <si>
    <r>
      <rPr>
        <sz val="11"/>
        <color rgb="FF002F56"/>
        <rFont val="Calibri"/>
        <family val="2"/>
      </rPr>
      <t>H77972584</t>
    </r>
  </si>
  <si>
    <r>
      <rPr>
        <sz val="11"/>
        <color rgb="FF002F56"/>
        <rFont val="Calibri"/>
        <family val="2"/>
      </rPr>
      <t>MISSIMER, DONNA</t>
    </r>
  </si>
  <si>
    <r>
      <rPr>
        <sz val="11"/>
        <color rgb="FF002F56"/>
        <rFont val="Calibri"/>
        <family val="2"/>
      </rPr>
      <t>H92004967</t>
    </r>
  </si>
  <si>
    <r>
      <rPr>
        <sz val="11"/>
        <color rgb="FF002F56"/>
        <rFont val="Calibri"/>
        <family val="2"/>
      </rPr>
      <t>COPE, DEBRA</t>
    </r>
  </si>
  <si>
    <r>
      <rPr>
        <sz val="11"/>
        <color rgb="FF002F56"/>
        <rFont val="Calibri"/>
        <family val="2"/>
      </rPr>
      <t>H92042004</t>
    </r>
  </si>
  <si>
    <r>
      <rPr>
        <sz val="11"/>
        <color rgb="FF002F56"/>
        <rFont val="Calibri"/>
        <family val="2"/>
      </rPr>
      <t>OBRIEN, VIVIAN</t>
    </r>
  </si>
  <si>
    <r>
      <rPr>
        <sz val="11"/>
        <color rgb="FF002F56"/>
        <rFont val="Calibri"/>
        <family val="2"/>
      </rPr>
      <t>H61299953</t>
    </r>
  </si>
  <si>
    <r>
      <rPr>
        <sz val="11"/>
        <color rgb="FF002F56"/>
        <rFont val="Calibri"/>
        <family val="2"/>
      </rPr>
      <t>DOLAN, ROBIN</t>
    </r>
  </si>
  <si>
    <r>
      <rPr>
        <sz val="11"/>
        <color rgb="FF002F56"/>
        <rFont val="Calibri"/>
        <family val="2"/>
      </rPr>
      <t>H94132874</t>
    </r>
  </si>
  <si>
    <r>
      <rPr>
        <sz val="11"/>
        <color rgb="FF002F56"/>
        <rFont val="Calibri"/>
        <family val="2"/>
      </rPr>
      <t>SCHANTZENBACH, BONI</t>
    </r>
  </si>
  <si>
    <r>
      <rPr>
        <b/>
        <sz val="11"/>
        <color rgb="FFFAFCFD"/>
        <rFont val="Calibri"/>
        <family val="2"/>
      </rPr>
      <t>Writing Agent:  1775329                         MAX, RONALD J                                                      Agent Apps:     7                              $350.00</t>
    </r>
  </si>
  <si>
    <r>
      <rPr>
        <sz val="11"/>
        <color rgb="FF002F56"/>
        <rFont val="Calibri"/>
        <family val="2"/>
      </rPr>
      <t>H77991424</t>
    </r>
  </si>
  <si>
    <r>
      <rPr>
        <sz val="11"/>
        <color rgb="FF002F56"/>
        <rFont val="Calibri"/>
        <family val="2"/>
      </rPr>
      <t>LEWIS, CHARLENE</t>
    </r>
  </si>
  <si>
    <r>
      <rPr>
        <sz val="11"/>
        <color rgb="FF002F56"/>
        <rFont val="Calibri"/>
        <family val="2"/>
      </rPr>
      <t>H94062588</t>
    </r>
  </si>
  <si>
    <r>
      <rPr>
        <sz val="11"/>
        <color rgb="FF002F56"/>
        <rFont val="Calibri"/>
        <family val="2"/>
      </rPr>
      <t>GOLD, GRAHAM</t>
    </r>
  </si>
  <si>
    <r>
      <rPr>
        <sz val="11"/>
        <color rgb="FF002F56"/>
        <rFont val="Calibri"/>
        <family val="2"/>
      </rPr>
      <t>H94071808</t>
    </r>
  </si>
  <si>
    <r>
      <rPr>
        <sz val="11"/>
        <color rgb="FF002F56"/>
        <rFont val="Calibri"/>
        <family val="2"/>
      </rPr>
      <t>MICHAEL, RUSSELL</t>
    </r>
  </si>
  <si>
    <r>
      <rPr>
        <sz val="11"/>
        <color rgb="FF002F56"/>
        <rFont val="Calibri"/>
        <family val="2"/>
      </rPr>
      <t>H94073720</t>
    </r>
  </si>
  <si>
    <r>
      <rPr>
        <sz val="11"/>
        <color rgb="FF002F56"/>
        <rFont val="Calibri"/>
        <family val="2"/>
      </rPr>
      <t>POSTEN, GREGORY</t>
    </r>
  </si>
  <si>
    <r>
      <rPr>
        <sz val="11"/>
        <color rgb="FF002F56"/>
        <rFont val="Calibri"/>
        <family val="2"/>
      </rPr>
      <t>H94080090</t>
    </r>
  </si>
  <si>
    <r>
      <rPr>
        <sz val="11"/>
        <color rgb="FF002F56"/>
        <rFont val="Calibri"/>
        <family val="2"/>
      </rPr>
      <t>GAREY, KEVIN</t>
    </r>
  </si>
  <si>
    <r>
      <rPr>
        <sz val="11"/>
        <color rgb="FF002F56"/>
        <rFont val="Calibri"/>
        <family val="2"/>
      </rPr>
      <t>H94106669</t>
    </r>
  </si>
  <si>
    <r>
      <rPr>
        <sz val="11"/>
        <color rgb="FF002F56"/>
        <rFont val="Calibri"/>
        <family val="2"/>
      </rPr>
      <t>ROSA, LYNN</t>
    </r>
  </si>
  <si>
    <r>
      <rPr>
        <sz val="11"/>
        <color rgb="FF002F56"/>
        <rFont val="Calibri"/>
        <family val="2"/>
      </rPr>
      <t>H94128849</t>
    </r>
  </si>
  <si>
    <r>
      <rPr>
        <sz val="11"/>
        <color rgb="FF002F56"/>
        <rFont val="Calibri"/>
        <family val="2"/>
      </rPr>
      <t>SHARKEY, ANTHONY</t>
    </r>
  </si>
  <si>
    <r>
      <rPr>
        <b/>
        <sz val="11"/>
        <color rgb="FFFAFCFD"/>
        <rFont val="Calibri"/>
        <family val="2"/>
      </rPr>
      <t>Writing Agent:  1875462                         KOZACHECK, ANNE MARIE                                   Agent Apps:     7                          $1,100.00</t>
    </r>
  </si>
  <si>
    <r>
      <rPr>
        <sz val="11"/>
        <color rgb="FF002F56"/>
        <rFont val="Calibri"/>
        <family val="2"/>
      </rPr>
      <t>H77971758</t>
    </r>
  </si>
  <si>
    <r>
      <rPr>
        <sz val="11"/>
        <color rgb="FF002F56"/>
        <rFont val="Calibri"/>
        <family val="2"/>
      </rPr>
      <t>ANDONIAN, MICHAEL</t>
    </r>
  </si>
  <si>
    <r>
      <rPr>
        <sz val="11"/>
        <color rgb="FF002F56"/>
        <rFont val="Calibri"/>
        <family val="2"/>
      </rPr>
      <t>H57792329</t>
    </r>
  </si>
  <si>
    <r>
      <rPr>
        <sz val="11"/>
        <color rgb="FF002F56"/>
        <rFont val="Calibri"/>
        <family val="2"/>
      </rPr>
      <t>BUTLER, PATRICIA</t>
    </r>
  </si>
  <si>
    <r>
      <rPr>
        <sz val="11"/>
        <color rgb="FF002F56"/>
        <rFont val="Calibri"/>
        <family val="2"/>
      </rPr>
      <t>H88020468</t>
    </r>
  </si>
  <si>
    <r>
      <rPr>
        <sz val="11"/>
        <color rgb="FF002F56"/>
        <rFont val="Calibri"/>
        <family val="2"/>
      </rPr>
      <t>TRABBOLD, JUDY</t>
    </r>
  </si>
  <si>
    <r>
      <rPr>
        <sz val="11"/>
        <color rgb="FF002F56"/>
        <rFont val="Calibri"/>
        <family val="2"/>
      </rPr>
      <t>H67955927</t>
    </r>
  </si>
  <si>
    <r>
      <rPr>
        <sz val="11"/>
        <color rgb="FF002F56"/>
        <rFont val="Calibri"/>
        <family val="2"/>
      </rPr>
      <t>ROSE, CHARLENE</t>
    </r>
  </si>
  <si>
    <r>
      <rPr>
        <sz val="11"/>
        <color rgb="FF002F56"/>
        <rFont val="Calibri"/>
        <family val="2"/>
      </rPr>
      <t>H92084364</t>
    </r>
  </si>
  <si>
    <r>
      <rPr>
        <sz val="11"/>
        <color rgb="FF002F56"/>
        <rFont val="Calibri"/>
        <family val="2"/>
      </rPr>
      <t>LUCE, DAVID</t>
    </r>
  </si>
  <si>
    <r>
      <rPr>
        <sz val="11"/>
        <color rgb="FF002F56"/>
        <rFont val="Calibri"/>
        <family val="2"/>
      </rPr>
      <t>H94130761</t>
    </r>
  </si>
  <si>
    <r>
      <rPr>
        <sz val="11"/>
        <color rgb="FF002F56"/>
        <rFont val="Calibri"/>
        <family val="2"/>
      </rPr>
      <t>BALTZERSEN, ROBERT</t>
    </r>
  </si>
  <si>
    <r>
      <rPr>
        <sz val="11"/>
        <color rgb="FF002F56"/>
        <rFont val="Calibri"/>
        <family val="2"/>
      </rPr>
      <t>H96076523</t>
    </r>
  </si>
  <si>
    <r>
      <rPr>
        <sz val="11"/>
        <color rgb="FF002F56"/>
        <rFont val="Calibri"/>
        <family val="2"/>
      </rPr>
      <t>LOEPER, LINDA</t>
    </r>
  </si>
  <si>
    <t>H70247602</t>
  </si>
  <si>
    <t>DIGIACOMO, ARTHUR</t>
  </si>
  <si>
    <t>H92003731</t>
  </si>
  <si>
    <t>JENKINS, HEIDI</t>
  </si>
  <si>
    <t>H68680048</t>
  </si>
  <si>
    <t>BAXTER, RICHARD</t>
  </si>
  <si>
    <t>H49641409</t>
  </si>
  <si>
    <t>BURGOS, VICTOR</t>
  </si>
  <si>
    <t>H88060812</t>
  </si>
  <si>
    <t>BILLINGSLEY, DUANE</t>
  </si>
  <si>
    <t>H92098271</t>
  </si>
  <si>
    <t>LAPOINTE, L</t>
  </si>
  <si>
    <t>H92104840</t>
  </si>
  <si>
    <t>DEVIRGILIIS, COLLEEN</t>
  </si>
  <si>
    <t>H88079555</t>
  </si>
  <si>
    <t>PARKER, DONALD</t>
  </si>
  <si>
    <t>H94135665</t>
  </si>
  <si>
    <t>LAREN, ANDERS</t>
  </si>
  <si>
    <t>H69985328</t>
  </si>
  <si>
    <t>BRADLEY, KATHY</t>
  </si>
  <si>
    <t>H92087416</t>
  </si>
  <si>
    <t>CHIN, JIMMY</t>
  </si>
  <si>
    <t>H94128119</t>
  </si>
  <si>
    <t>PARARAS, MICHAEL</t>
  </si>
  <si>
    <t>H73367051</t>
  </si>
  <si>
    <t>PERRY, KATHERINE</t>
  </si>
  <si>
    <t>H61363866</t>
  </si>
  <si>
    <t>OBROCKI, CRAIG</t>
  </si>
  <si>
    <t>H94029113</t>
  </si>
  <si>
    <t>JOSEPH, DAVID</t>
  </si>
  <si>
    <t>H63486830</t>
  </si>
  <si>
    <t>CULLY, DEBRA</t>
  </si>
  <si>
    <t>H92004962</t>
  </si>
  <si>
    <t>ENNIS, RICK</t>
  </si>
  <si>
    <t>H92004968</t>
  </si>
  <si>
    <t>PALMER, BRIAN</t>
  </si>
  <si>
    <t>H92022689</t>
  </si>
  <si>
    <t>SLOVICK, DENNIS</t>
  </si>
  <si>
    <t>H98107670</t>
  </si>
  <si>
    <t>VEZZI, DONALD</t>
  </si>
  <si>
    <t>H92045412</t>
  </si>
  <si>
    <t>VEZZI, MICHELE</t>
  </si>
  <si>
    <t>H92056178</t>
  </si>
  <si>
    <t>COHAN, KATHY</t>
  </si>
  <si>
    <t>H92056396</t>
  </si>
  <si>
    <t>HINES, KATHLEEN</t>
  </si>
  <si>
    <t>H92102798</t>
  </si>
  <si>
    <t>JORDAN, MICHAEL</t>
  </si>
  <si>
    <t>H67978068</t>
  </si>
  <si>
    <t>TOMA, LINDA</t>
  </si>
  <si>
    <t>H92109664</t>
  </si>
  <si>
    <t>PARKER, LAURA</t>
  </si>
  <si>
    <t>H77972584</t>
  </si>
  <si>
    <t>MISSIMER, DONNA</t>
  </si>
  <si>
    <t>H92004967</t>
  </si>
  <si>
    <t>COPE, DEBRA</t>
  </si>
  <si>
    <t>H92042004</t>
  </si>
  <si>
    <t>OBRIEN, VIVIAN</t>
  </si>
  <si>
    <t>H61299953</t>
  </si>
  <si>
    <t>DOLAN, ROBIN</t>
  </si>
  <si>
    <t>H94132874</t>
  </si>
  <si>
    <t>SCHANTZENBACH, BONI</t>
  </si>
  <si>
    <t>H77991424</t>
  </si>
  <si>
    <t>LEWIS, CHARLENE</t>
  </si>
  <si>
    <t>H94062588</t>
  </si>
  <si>
    <t>GOLD, GRAHAM</t>
  </si>
  <si>
    <t>H94071808</t>
  </si>
  <si>
    <t>MICHAEL, RUSSELL</t>
  </si>
  <si>
    <t>H94073720</t>
  </si>
  <si>
    <t>POSTEN, GREGORY</t>
  </si>
  <si>
    <t>H94080090</t>
  </si>
  <si>
    <t>GAREY, KEVIN</t>
  </si>
  <si>
    <t>H94106669</t>
  </si>
  <si>
    <t>ROSA, LYNN</t>
  </si>
  <si>
    <t>H94128849</t>
  </si>
  <si>
    <t>SHARKEY, ANTHONY</t>
  </si>
  <si>
    <t>H77971758</t>
  </si>
  <si>
    <t>ANDONIAN, MICHAEL</t>
  </si>
  <si>
    <t>H57792329</t>
  </si>
  <si>
    <t>BUTLER, PATRICIA</t>
  </si>
  <si>
    <t>H88020468</t>
  </si>
  <si>
    <t>TRABBOLD, JUDY</t>
  </si>
  <si>
    <t>H67955927</t>
  </si>
  <si>
    <t>ROSE, CHARLENE</t>
  </si>
  <si>
    <t>H92084364</t>
  </si>
  <si>
    <t>LUCE, DAVID</t>
  </si>
  <si>
    <t>H94130761</t>
  </si>
  <si>
    <t>BALTZERSEN, ROBERT</t>
  </si>
  <si>
    <t>H96076523</t>
  </si>
  <si>
    <t>LOEPER, LINDA</t>
  </si>
  <si>
    <t>Writing Agent:  1524629                         HOFFMANN, JASON R                                           Agent Apps:     9                          $1,500.00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</si>
</sst>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/d/yyyy;@"/>
    <numFmt numFmtId="165" formatCode="\$0.00"/>
  </numFmts>
  <fonts count="12" x14ac:knownFonts="1">
    <font>
      <sz val="10"/>
      <color rgb="FF000000"/>
      <name val="Times New Roman"/>
      <charset val="204"/>
    </font>
    <font>
      <b/>
      <sz val="11"/>
      <name val="Calibri"/>
    </font>
    <font>
      <b/>
      <sz val="12"/>
      <name val="Calibri"/>
    </font>
    <font>
      <sz val="11"/>
      <color rgb="FF002F56"/>
      <name val="Calibri"/>
      <family val="2"/>
    </font>
    <font>
      <sz val="11"/>
      <name val="Calibri"/>
    </font>
    <font>
      <b/>
      <sz val="20"/>
      <color rgb="FFFFFFFF"/>
      <name val="Calibri"/>
      <family val="2"/>
    </font>
    <font>
      <b/>
      <sz val="14"/>
      <color rgb="FFFFFFFF"/>
      <name val="Calibri"/>
      <family val="2"/>
    </font>
    <font>
      <b/>
      <sz val="14"/>
      <color rgb="FF002F56"/>
      <name val="Calibri"/>
      <family val="2"/>
    </font>
    <font>
      <b/>
      <sz val="12"/>
      <color rgb="FF002F56"/>
      <name val="Calibri"/>
      <family val="2"/>
    </font>
    <font>
      <b/>
      <sz val="11"/>
      <color rgb="FFFAFCFD"/>
      <name val="Calibri"/>
      <family val="2"/>
    </font>
    <font>
      <sz val="10"/>
      <color rgb="FF000000"/>
      <name val="Times New Roman"/>
      <charset val="204"/>
    </font>
    <font>
      <sz val="8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rgb="FF78BD1F"/>
      </patternFill>
    </fill>
    <fill>
      <patternFill patternType="solid">
        <fgColor rgb="FF002F56"/>
      </patternFill>
    </fill>
  </fills>
  <borders count="3">
    <border>
      <left/>
      <right/>
      <top/>
      <bottom/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19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 indent="2"/>
    </xf>
    <xf numFmtId="0" fontId="2" fillId="0" borderId="0" xfId="0" applyFont="1" applyAlignment="1">
      <alignment horizontal="left" vertical="top" wrapText="1" indent="6"/>
    </xf>
    <xf numFmtId="0" fontId="2" fillId="0" borderId="0" xfId="0" applyFont="1" applyAlignment="1">
      <alignment horizontal="right" vertical="top" wrapText="1" indent="1"/>
    </xf>
    <xf numFmtId="164" fontId="3" fillId="0" borderId="0" xfId="0" applyNumberFormat="1" applyFont="1" applyAlignment="1">
      <alignment horizontal="center" vertical="top" shrinkToFit="1"/>
    </xf>
    <xf numFmtId="164" fontId="3" fillId="0" borderId="0" xfId="0" applyNumberFormat="1" applyFont="1" applyAlignment="1">
      <alignment horizontal="left" vertical="top" indent="2" shrinkToFi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 indent="2"/>
    </xf>
    <xf numFmtId="0" fontId="4" fillId="0" borderId="0" xfId="0" applyFont="1" applyAlignment="1">
      <alignment horizontal="left" vertical="top" wrapText="1" indent="6"/>
    </xf>
    <xf numFmtId="165" fontId="3" fillId="0" borderId="0" xfId="0" applyNumberFormat="1" applyFont="1" applyAlignment="1">
      <alignment horizontal="right" vertical="top" shrinkToFit="1"/>
    </xf>
    <xf numFmtId="44" fontId="0" fillId="0" borderId="0" xfId="1" applyFont="1" applyAlignment="1">
      <alignment horizontal="left" vertical="top"/>
    </xf>
    <xf numFmtId="44" fontId="0" fillId="0" borderId="0" xfId="0" applyNumberFormat="1" applyAlignment="1">
      <alignment horizontal="left" vertical="top"/>
    </xf>
    <xf numFmtId="0" fontId="1" fillId="3" borderId="2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9" fillId="3" borderId="2" xfId="0" applyFont="1" applyFill="1" applyBorder="1" applyAlignment="1">
      <alignment horizontal="left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</xdr:rowOff>
    </xdr:from>
    <xdr:ext cx="7384415" cy="2331085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3810"/>
          <a:ext cx="7384415" cy="2331085"/>
          <a:chOff x="0" y="0"/>
          <a:chExt cx="7384415" cy="233108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0"/>
            <a:ext cx="7384415" cy="2331085"/>
          </a:xfrm>
          <a:custGeom>
            <a:avLst/>
            <a:gdLst/>
            <a:ahLst/>
            <a:cxnLst/>
            <a:rect l="0" t="0" r="0" b="0"/>
            <a:pathLst>
              <a:path w="7384415" h="2331085">
                <a:moveTo>
                  <a:pt x="7384288" y="0"/>
                </a:moveTo>
                <a:lnTo>
                  <a:pt x="0" y="0"/>
                </a:lnTo>
                <a:lnTo>
                  <a:pt x="0" y="2330577"/>
                </a:lnTo>
                <a:lnTo>
                  <a:pt x="7384288" y="2330577"/>
                </a:lnTo>
                <a:lnTo>
                  <a:pt x="7384288" y="0"/>
                </a:lnTo>
                <a:close/>
              </a:path>
            </a:pathLst>
          </a:custGeom>
          <a:solidFill>
            <a:srgbClr val="78BD1F">
              <a:alpha val="50000"/>
            </a:srgbClr>
          </a:solidFill>
        </xdr:spPr>
      </xdr:sp>
      <xdr:pic>
        <xdr:nvPicPr>
          <xdr:cNvPr id="4" name="image1.png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2239" y="38"/>
            <a:ext cx="6758178" cy="1104099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workbookViewId="0">
      <selection activeCell="A3" sqref="A3:G3"/>
    </sheetView>
  </sheetViews>
  <sheetFormatPr defaultRowHeight="12.75" x14ac:dyDescent="0.2"/>
  <cols>
    <col min="1" max="1" width="14" customWidth="1"/>
    <col min="2" max="2" width="20.83203125" customWidth="1"/>
    <col min="3" max="3" width="19.83203125" customWidth="1"/>
    <col min="4" max="4" width="39.5" customWidth="1"/>
    <col min="5" max="5" width="23.33203125" customWidth="1"/>
    <col min="6" max="6" width="15.1640625" customWidth="1"/>
    <col min="7" max="7" width="2.1640625" customWidth="1"/>
    <col min="8" max="8" width="1.1640625" customWidth="1"/>
    <col min="10" max="10" width="10.6640625" bestFit="1" customWidth="1"/>
    <col min="11" max="11" width="23.5" bestFit="1" customWidth="1"/>
    <col min="12" max="12" width="10.5" bestFit="1" customWidth="1"/>
    <col min="13" max="13" width="36.5" bestFit="1" customWidth="1"/>
  </cols>
  <sheetData>
    <row r="1" spans="1:13" ht="183.6" customHeight="1" x14ac:dyDescent="0.2">
      <c r="A1" s="17" t="s">
        <v>0</v>
      </c>
      <c r="B1" s="17"/>
      <c r="C1" s="17"/>
      <c r="D1" s="17"/>
      <c r="E1" s="17"/>
      <c r="F1" s="17"/>
      <c r="G1" s="17"/>
      <c r="H1" s="17"/>
    </row>
    <row r="2" spans="1:13" ht="6.75" customHeight="1" x14ac:dyDescent="0.2">
      <c r="A2" s="1"/>
      <c r="B2" s="1"/>
      <c r="C2" s="1"/>
      <c r="D2" s="1"/>
      <c r="E2" s="1"/>
      <c r="F2" s="1"/>
      <c r="G2" s="1"/>
      <c r="H2" s="1"/>
    </row>
    <row r="3" spans="1:13" ht="20.45" customHeight="1" x14ac:dyDescent="0.2">
      <c r="A3" s="18" t="s">
        <v>194</v>
      </c>
      <c r="B3" s="15"/>
      <c r="C3" s="15"/>
      <c r="D3" s="15"/>
      <c r="E3" s="15"/>
      <c r="F3" s="15"/>
      <c r="G3" s="16"/>
      <c r="H3" s="1"/>
    </row>
    <row r="4" spans="1:13" ht="12.75" customHeight="1" x14ac:dyDescent="0.2">
      <c r="A4" s="1"/>
      <c r="B4" s="1"/>
      <c r="C4" s="1"/>
      <c r="D4" s="1"/>
      <c r="E4" s="1"/>
      <c r="F4" s="1"/>
      <c r="G4" s="1"/>
      <c r="H4" s="1"/>
    </row>
    <row r="5" spans="1:13" ht="18" customHeight="1" x14ac:dyDescent="0.2">
      <c r="A5" s="2" t="s">
        <v>1</v>
      </c>
      <c r="B5" s="3" t="s">
        <v>2</v>
      </c>
      <c r="C5" s="2" t="s">
        <v>3</v>
      </c>
      <c r="D5" s="4" t="s">
        <v>4</v>
      </c>
      <c r="E5" s="5" t="s">
        <v>5</v>
      </c>
      <c r="F5" s="6" t="s">
        <v>6</v>
      </c>
      <c r="G5" s="1"/>
      <c r="H5" s="1"/>
      <c r="J5" t="s">
        <v>104</v>
      </c>
      <c r="K5" t="s">
        <v>105</v>
      </c>
      <c r="L5" s="13">
        <v>200</v>
      </c>
      <c r="M5" t="str">
        <f>CONCATENATE(J5, " ",K5, " ",L5)</f>
        <v>H70247602 DIGIACOMO, ARTHUR 200</v>
      </c>
    </row>
    <row r="6" spans="1:13" ht="17.100000000000001" customHeight="1" x14ac:dyDescent="0.2">
      <c r="A6" s="7">
        <v>45575</v>
      </c>
      <c r="B6" s="8">
        <v>45597</v>
      </c>
      <c r="C6" s="9" t="s">
        <v>7</v>
      </c>
      <c r="D6" s="10" t="s">
        <v>8</v>
      </c>
      <c r="E6" s="11" t="s">
        <v>9</v>
      </c>
      <c r="F6" s="12">
        <v>200</v>
      </c>
      <c r="G6" s="1"/>
      <c r="H6" s="1"/>
      <c r="J6" t="s">
        <v>106</v>
      </c>
      <c r="K6" t="s">
        <v>107</v>
      </c>
      <c r="L6" s="13">
        <v>50</v>
      </c>
      <c r="M6" t="str">
        <f t="shared" ref="M6:M13" si="0">CONCATENATE(J6, " ",K6, " ",L6)</f>
        <v>H92003731 JENKINS, HEIDI 50</v>
      </c>
    </row>
    <row r="7" spans="1:13" ht="18" customHeight="1" x14ac:dyDescent="0.2">
      <c r="A7" s="7">
        <v>45576</v>
      </c>
      <c r="B7" s="8">
        <v>45597</v>
      </c>
      <c r="C7" s="9" t="s">
        <v>10</v>
      </c>
      <c r="D7" s="10" t="s">
        <v>11</v>
      </c>
      <c r="E7" s="11" t="s">
        <v>12</v>
      </c>
      <c r="F7" s="12">
        <v>50</v>
      </c>
      <c r="G7" s="1"/>
      <c r="H7" s="1"/>
      <c r="J7" t="s">
        <v>108</v>
      </c>
      <c r="K7" t="s">
        <v>109</v>
      </c>
      <c r="L7" s="13">
        <v>200</v>
      </c>
      <c r="M7" t="str">
        <f t="shared" si="0"/>
        <v>H68680048 BAXTER, RICHARD 200</v>
      </c>
    </row>
    <row r="8" spans="1:13" ht="18" customHeight="1" x14ac:dyDescent="0.2">
      <c r="A8" s="7">
        <v>45589</v>
      </c>
      <c r="B8" s="8">
        <v>45597</v>
      </c>
      <c r="C8" s="9" t="s">
        <v>13</v>
      </c>
      <c r="D8" s="10" t="s">
        <v>14</v>
      </c>
      <c r="E8" s="11" t="s">
        <v>9</v>
      </c>
      <c r="F8" s="12">
        <v>200</v>
      </c>
      <c r="G8" s="1"/>
      <c r="H8" s="1"/>
      <c r="J8" t="s">
        <v>110</v>
      </c>
      <c r="K8" t="s">
        <v>111</v>
      </c>
      <c r="L8" s="13">
        <v>200</v>
      </c>
      <c r="M8" t="str">
        <f t="shared" si="0"/>
        <v>H49641409 BURGOS, VICTOR 200</v>
      </c>
    </row>
    <row r="9" spans="1:13" ht="18" customHeight="1" x14ac:dyDescent="0.2">
      <c r="A9" s="7">
        <v>45604</v>
      </c>
      <c r="B9" s="8">
        <v>45627</v>
      </c>
      <c r="C9" s="9" t="s">
        <v>15</v>
      </c>
      <c r="D9" s="10" t="s">
        <v>16</v>
      </c>
      <c r="E9" s="11" t="s">
        <v>9</v>
      </c>
      <c r="F9" s="12">
        <v>200</v>
      </c>
      <c r="G9" s="1"/>
      <c r="H9" s="1"/>
      <c r="J9" t="s">
        <v>112</v>
      </c>
      <c r="K9" t="s">
        <v>113</v>
      </c>
      <c r="L9" s="13">
        <v>200</v>
      </c>
      <c r="M9" t="str">
        <f t="shared" si="0"/>
        <v>H88060812 BILLINGSLEY, DUANE 200</v>
      </c>
    </row>
    <row r="10" spans="1:13" ht="18" customHeight="1" x14ac:dyDescent="0.2">
      <c r="A10" s="7">
        <v>45628</v>
      </c>
      <c r="B10" s="8">
        <v>45658</v>
      </c>
      <c r="C10" s="9" t="s">
        <v>17</v>
      </c>
      <c r="D10" s="10" t="s">
        <v>18</v>
      </c>
      <c r="E10" s="11" t="s">
        <v>9</v>
      </c>
      <c r="F10" s="12">
        <v>200</v>
      </c>
      <c r="G10" s="1"/>
      <c r="H10" s="1"/>
      <c r="J10" t="s">
        <v>114</v>
      </c>
      <c r="K10" t="s">
        <v>115</v>
      </c>
      <c r="L10" s="13">
        <v>50</v>
      </c>
      <c r="M10" t="str">
        <f t="shared" si="0"/>
        <v>H92098271 LAPOINTE, L 50</v>
      </c>
    </row>
    <row r="11" spans="1:13" ht="18" customHeight="1" x14ac:dyDescent="0.2">
      <c r="A11" s="7">
        <v>45633</v>
      </c>
      <c r="B11" s="8">
        <v>45658</v>
      </c>
      <c r="C11" s="9" t="s">
        <v>19</v>
      </c>
      <c r="D11" s="10" t="s">
        <v>20</v>
      </c>
      <c r="E11" s="11" t="s">
        <v>12</v>
      </c>
      <c r="F11" s="12">
        <v>50</v>
      </c>
      <c r="G11" s="1"/>
      <c r="H11" s="1"/>
      <c r="J11" t="s">
        <v>116</v>
      </c>
      <c r="K11" t="s">
        <v>117</v>
      </c>
      <c r="L11" s="13">
        <v>200</v>
      </c>
      <c r="M11" t="str">
        <f t="shared" si="0"/>
        <v>H92104840 DEVIRGILIIS, COLLEEN 200</v>
      </c>
    </row>
    <row r="12" spans="1:13" ht="18" customHeight="1" x14ac:dyDescent="0.2">
      <c r="A12" s="7">
        <v>45637</v>
      </c>
      <c r="B12" s="8">
        <v>45658</v>
      </c>
      <c r="C12" s="9" t="s">
        <v>21</v>
      </c>
      <c r="D12" s="10" t="s">
        <v>22</v>
      </c>
      <c r="E12" s="11" t="s">
        <v>12</v>
      </c>
      <c r="F12" s="12">
        <v>200</v>
      </c>
      <c r="G12" s="1"/>
      <c r="H12" s="1"/>
      <c r="J12" t="s">
        <v>118</v>
      </c>
      <c r="K12" t="s">
        <v>119</v>
      </c>
      <c r="L12" s="13">
        <v>200</v>
      </c>
      <c r="M12" t="str">
        <f t="shared" si="0"/>
        <v>H88079555 PARKER, DONALD 200</v>
      </c>
    </row>
    <row r="13" spans="1:13" ht="18" customHeight="1" x14ac:dyDescent="0.2">
      <c r="A13" s="7">
        <v>45637</v>
      </c>
      <c r="B13" s="8">
        <v>45717</v>
      </c>
      <c r="C13" s="9" t="s">
        <v>23</v>
      </c>
      <c r="D13" s="10" t="s">
        <v>24</v>
      </c>
      <c r="E13" s="11" t="s">
        <v>12</v>
      </c>
      <c r="F13" s="12">
        <v>200</v>
      </c>
      <c r="G13" s="1"/>
      <c r="H13" s="1"/>
      <c r="J13" t="s">
        <v>120</v>
      </c>
      <c r="K13" t="s">
        <v>121</v>
      </c>
      <c r="L13" s="13">
        <v>200</v>
      </c>
      <c r="M13" t="str">
        <f t="shared" si="0"/>
        <v>H94135665 LAREN, ANDERS 200</v>
      </c>
    </row>
    <row r="14" spans="1:13" ht="16.5" customHeight="1" x14ac:dyDescent="0.2">
      <c r="A14" s="7">
        <v>45657</v>
      </c>
      <c r="B14" s="8">
        <v>45689</v>
      </c>
      <c r="C14" s="9" t="s">
        <v>25</v>
      </c>
      <c r="D14" s="10" t="s">
        <v>26</v>
      </c>
      <c r="E14" s="11" t="s">
        <v>12</v>
      </c>
      <c r="F14" s="12">
        <v>200</v>
      </c>
      <c r="G14" s="1"/>
      <c r="H14" s="1"/>
      <c r="L14" s="14">
        <f>SUM(L5:L13)</f>
        <v>1500</v>
      </c>
    </row>
    <row r="15" spans="1:13" ht="9.6" customHeight="1" x14ac:dyDescent="0.2">
      <c r="A15" s="1"/>
      <c r="B15" s="1"/>
      <c r="C15" s="1"/>
      <c r="D15" s="1"/>
      <c r="E15" s="1"/>
      <c r="F15" s="1"/>
      <c r="G15" s="1"/>
      <c r="H15" s="1"/>
    </row>
    <row r="16" spans="1:13" ht="20.45" customHeight="1" x14ac:dyDescent="0.2">
      <c r="A16" s="15" t="s">
        <v>27</v>
      </c>
      <c r="B16" s="15"/>
      <c r="C16" s="15"/>
      <c r="D16" s="15"/>
      <c r="E16" s="15"/>
      <c r="F16" s="15"/>
      <c r="G16" s="16"/>
      <c r="H16" s="1"/>
      <c r="J16" t="s">
        <v>122</v>
      </c>
      <c r="K16" t="s">
        <v>123</v>
      </c>
      <c r="L16">
        <v>50</v>
      </c>
      <c r="M16" t="str">
        <f t="shared" ref="M16:M20" si="1">CONCATENATE(J16, " ",K16, " ",L16)</f>
        <v>H69985328 BRADLEY, KATHY 50</v>
      </c>
    </row>
    <row r="17" spans="1:13" ht="14.25" customHeight="1" x14ac:dyDescent="0.2">
      <c r="A17" s="1"/>
      <c r="B17" s="1"/>
      <c r="C17" s="1"/>
      <c r="D17" s="1"/>
      <c r="E17" s="1"/>
      <c r="F17" s="1"/>
      <c r="G17" s="1"/>
      <c r="H17" s="1"/>
      <c r="J17" t="s">
        <v>124</v>
      </c>
      <c r="K17" t="s">
        <v>125</v>
      </c>
      <c r="L17">
        <v>50</v>
      </c>
      <c r="M17" t="str">
        <f t="shared" si="1"/>
        <v>H92087416 CHIN, JIMMY 50</v>
      </c>
    </row>
    <row r="18" spans="1:13" ht="18" customHeight="1" x14ac:dyDescent="0.2">
      <c r="A18" s="2" t="s">
        <v>1</v>
      </c>
      <c r="B18" s="3" t="s">
        <v>2</v>
      </c>
      <c r="C18" s="2" t="s">
        <v>3</v>
      </c>
      <c r="D18" s="4" t="s">
        <v>4</v>
      </c>
      <c r="E18" s="5" t="s">
        <v>5</v>
      </c>
      <c r="F18" s="6" t="s">
        <v>6</v>
      </c>
      <c r="G18" s="1"/>
      <c r="H18" s="1"/>
      <c r="J18" t="s">
        <v>126</v>
      </c>
      <c r="K18" t="s">
        <v>127</v>
      </c>
      <c r="L18">
        <v>50</v>
      </c>
      <c r="M18" t="str">
        <f t="shared" si="1"/>
        <v>H94128119 PARARAS, MICHAEL 50</v>
      </c>
    </row>
    <row r="19" spans="1:13" ht="17.100000000000001" customHeight="1" x14ac:dyDescent="0.2">
      <c r="A19" s="7">
        <v>45580</v>
      </c>
      <c r="B19" s="8">
        <v>45627</v>
      </c>
      <c r="C19" s="9" t="s">
        <v>28</v>
      </c>
      <c r="D19" s="10" t="s">
        <v>29</v>
      </c>
      <c r="E19" s="11" t="s">
        <v>12</v>
      </c>
      <c r="F19" s="12">
        <v>50</v>
      </c>
      <c r="G19" s="1"/>
      <c r="H19" s="1"/>
      <c r="J19" t="s">
        <v>128</v>
      </c>
      <c r="K19" t="s">
        <v>129</v>
      </c>
      <c r="L19">
        <v>50</v>
      </c>
      <c r="M19" t="str">
        <f t="shared" si="1"/>
        <v>H73367051 PERRY, KATHERINE 50</v>
      </c>
    </row>
    <row r="20" spans="1:13" ht="18" customHeight="1" x14ac:dyDescent="0.2">
      <c r="A20" s="7">
        <v>45628</v>
      </c>
      <c r="B20" s="8">
        <v>45658</v>
      </c>
      <c r="C20" s="9" t="s">
        <v>30</v>
      </c>
      <c r="D20" s="10" t="s">
        <v>31</v>
      </c>
      <c r="E20" s="11" t="s">
        <v>9</v>
      </c>
      <c r="F20" s="12">
        <v>50</v>
      </c>
      <c r="G20" s="1"/>
      <c r="H20" s="1"/>
      <c r="J20" t="s">
        <v>130</v>
      </c>
      <c r="K20" t="s">
        <v>131</v>
      </c>
      <c r="L20">
        <v>50</v>
      </c>
      <c r="M20" t="str">
        <f t="shared" si="1"/>
        <v>H61363866 OBROCKI, CRAIG 50</v>
      </c>
    </row>
    <row r="21" spans="1:13" ht="18" customHeight="1" x14ac:dyDescent="0.2">
      <c r="A21" s="7">
        <v>45641</v>
      </c>
      <c r="B21" s="8">
        <v>45658</v>
      </c>
      <c r="C21" s="9" t="s">
        <v>32</v>
      </c>
      <c r="D21" s="10" t="s">
        <v>33</v>
      </c>
      <c r="E21" s="11" t="s">
        <v>12</v>
      </c>
      <c r="F21" s="12">
        <v>50</v>
      </c>
      <c r="G21" s="1"/>
      <c r="H21" s="1"/>
    </row>
    <row r="22" spans="1:13" ht="18" customHeight="1" x14ac:dyDescent="0.2">
      <c r="A22" s="7">
        <v>45653</v>
      </c>
      <c r="B22" s="8">
        <v>45689</v>
      </c>
      <c r="C22" s="9" t="s">
        <v>34</v>
      </c>
      <c r="D22" s="10" t="s">
        <v>35</v>
      </c>
      <c r="E22" s="11" t="s">
        <v>9</v>
      </c>
      <c r="F22" s="12">
        <v>50</v>
      </c>
      <c r="G22" s="1"/>
      <c r="H22" s="1"/>
    </row>
    <row r="23" spans="1:13" ht="16.5" customHeight="1" x14ac:dyDescent="0.2">
      <c r="A23" s="7">
        <v>45654</v>
      </c>
      <c r="B23" s="8">
        <v>45689</v>
      </c>
      <c r="C23" s="9" t="s">
        <v>36</v>
      </c>
      <c r="D23" s="10" t="s">
        <v>37</v>
      </c>
      <c r="E23" s="11" t="s">
        <v>12</v>
      </c>
      <c r="F23" s="12">
        <v>50</v>
      </c>
      <c r="G23" s="1"/>
      <c r="H23" s="1"/>
    </row>
    <row r="24" spans="1:13" ht="20.45" customHeight="1" x14ac:dyDescent="0.2">
      <c r="A24" s="15" t="s">
        <v>38</v>
      </c>
      <c r="B24" s="15"/>
      <c r="C24" s="15"/>
      <c r="D24" s="15"/>
      <c r="E24" s="15"/>
      <c r="F24" s="15"/>
      <c r="G24" s="16"/>
    </row>
    <row r="25" spans="1:13" ht="14.25" customHeight="1" x14ac:dyDescent="0.2">
      <c r="A25" s="1"/>
      <c r="B25" s="1"/>
      <c r="C25" s="1"/>
      <c r="D25" s="1"/>
      <c r="E25" s="1"/>
      <c r="F25" s="1"/>
      <c r="G25" s="1"/>
    </row>
    <row r="26" spans="1:13" ht="18" customHeight="1" x14ac:dyDescent="0.2">
      <c r="A26" s="2" t="s">
        <v>1</v>
      </c>
      <c r="B26" s="3" t="s">
        <v>2</v>
      </c>
      <c r="C26" s="2" t="s">
        <v>3</v>
      </c>
      <c r="D26" s="4" t="s">
        <v>4</v>
      </c>
      <c r="E26" s="5" t="s">
        <v>5</v>
      </c>
      <c r="F26" s="6" t="s">
        <v>6</v>
      </c>
      <c r="G26" s="1"/>
      <c r="J26" t="s">
        <v>132</v>
      </c>
      <c r="K26" t="s">
        <v>133</v>
      </c>
      <c r="L26">
        <v>50</v>
      </c>
      <c r="M26" t="str">
        <f t="shared" ref="M26:M37" si="2">CONCATENATE(J26, " ",K26, " ",L26)</f>
        <v>H94029113 JOSEPH, DAVID 50</v>
      </c>
    </row>
    <row r="27" spans="1:13" ht="17.100000000000001" customHeight="1" x14ac:dyDescent="0.2">
      <c r="A27" s="7">
        <v>45572</v>
      </c>
      <c r="B27" s="8">
        <v>45597</v>
      </c>
      <c r="C27" s="9" t="s">
        <v>39</v>
      </c>
      <c r="D27" s="10" t="s">
        <v>40</v>
      </c>
      <c r="E27" s="11" t="s">
        <v>12</v>
      </c>
      <c r="F27" s="12">
        <v>50</v>
      </c>
      <c r="G27" s="1"/>
      <c r="J27" t="s">
        <v>134</v>
      </c>
      <c r="K27" t="s">
        <v>135</v>
      </c>
      <c r="L27">
        <v>200</v>
      </c>
      <c r="M27" t="str">
        <f t="shared" si="2"/>
        <v>H63486830 CULLY, DEBRA 200</v>
      </c>
    </row>
    <row r="28" spans="1:13" ht="18" customHeight="1" x14ac:dyDescent="0.2">
      <c r="A28" s="7">
        <v>45579</v>
      </c>
      <c r="B28" s="8">
        <v>45658</v>
      </c>
      <c r="C28" s="9" t="s">
        <v>41</v>
      </c>
      <c r="D28" s="10" t="s">
        <v>42</v>
      </c>
      <c r="E28" s="11" t="s">
        <v>9</v>
      </c>
      <c r="F28" s="12">
        <v>200</v>
      </c>
      <c r="G28" s="1"/>
      <c r="J28" t="s">
        <v>136</v>
      </c>
      <c r="K28" t="s">
        <v>137</v>
      </c>
      <c r="L28">
        <v>200</v>
      </c>
      <c r="M28" t="str">
        <f t="shared" si="2"/>
        <v>H92004962 ENNIS, RICK 200</v>
      </c>
    </row>
    <row r="29" spans="1:13" ht="18" customHeight="1" x14ac:dyDescent="0.2">
      <c r="A29" s="7">
        <v>45579</v>
      </c>
      <c r="B29" s="8">
        <v>45658</v>
      </c>
      <c r="C29" s="9" t="s">
        <v>43</v>
      </c>
      <c r="D29" s="10" t="s">
        <v>44</v>
      </c>
      <c r="E29" s="11" t="s">
        <v>9</v>
      </c>
      <c r="F29" s="12">
        <v>200</v>
      </c>
      <c r="G29" s="1"/>
      <c r="J29" t="s">
        <v>138</v>
      </c>
      <c r="K29" t="s">
        <v>139</v>
      </c>
      <c r="L29">
        <v>50</v>
      </c>
      <c r="M29" t="str">
        <f t="shared" si="2"/>
        <v>H92004968 PALMER, BRIAN 50</v>
      </c>
    </row>
    <row r="30" spans="1:13" ht="18" customHeight="1" x14ac:dyDescent="0.2">
      <c r="A30" s="7">
        <v>45579</v>
      </c>
      <c r="B30" s="8">
        <v>45658</v>
      </c>
      <c r="C30" s="9" t="s">
        <v>45</v>
      </c>
      <c r="D30" s="10" t="s">
        <v>46</v>
      </c>
      <c r="E30" s="11" t="s">
        <v>12</v>
      </c>
      <c r="F30" s="12">
        <v>50</v>
      </c>
      <c r="G30" s="1"/>
      <c r="J30" t="s">
        <v>140</v>
      </c>
      <c r="K30" t="s">
        <v>141</v>
      </c>
      <c r="L30">
        <v>200</v>
      </c>
      <c r="M30" t="str">
        <f t="shared" si="2"/>
        <v>H92022689 SLOVICK, DENNIS 200</v>
      </c>
    </row>
    <row r="31" spans="1:13" ht="18" customHeight="1" x14ac:dyDescent="0.2">
      <c r="A31" s="7">
        <v>45589</v>
      </c>
      <c r="B31" s="8">
        <v>45658</v>
      </c>
      <c r="C31" s="9" t="s">
        <v>47</v>
      </c>
      <c r="D31" s="10" t="s">
        <v>48</v>
      </c>
      <c r="E31" s="11" t="s">
        <v>9</v>
      </c>
      <c r="F31" s="12">
        <v>200</v>
      </c>
      <c r="G31" s="1"/>
      <c r="J31" t="s">
        <v>142</v>
      </c>
      <c r="K31" t="s">
        <v>143</v>
      </c>
      <c r="L31">
        <v>200</v>
      </c>
      <c r="M31" t="str">
        <f t="shared" si="2"/>
        <v>H98107670 VEZZI, DONALD 200</v>
      </c>
    </row>
    <row r="32" spans="1:13" ht="18" customHeight="1" x14ac:dyDescent="0.2">
      <c r="A32" s="7">
        <v>45609</v>
      </c>
      <c r="B32" s="8">
        <v>45658</v>
      </c>
      <c r="C32" s="9" t="s">
        <v>49</v>
      </c>
      <c r="D32" s="10" t="s">
        <v>50</v>
      </c>
      <c r="E32" s="11" t="s">
        <v>9</v>
      </c>
      <c r="F32" s="12">
        <v>200</v>
      </c>
      <c r="G32" s="1"/>
      <c r="J32" t="s">
        <v>144</v>
      </c>
      <c r="K32" t="s">
        <v>145</v>
      </c>
      <c r="L32">
        <v>200</v>
      </c>
      <c r="M32" t="str">
        <f t="shared" si="2"/>
        <v>H92045412 VEZZI, MICHELE 200</v>
      </c>
    </row>
    <row r="33" spans="1:13" ht="18" customHeight="1" x14ac:dyDescent="0.2">
      <c r="A33" s="7">
        <v>45609</v>
      </c>
      <c r="B33" s="8">
        <v>45658</v>
      </c>
      <c r="C33" s="9" t="s">
        <v>51</v>
      </c>
      <c r="D33" s="10" t="s">
        <v>52</v>
      </c>
      <c r="E33" s="11" t="s">
        <v>9</v>
      </c>
      <c r="F33" s="12">
        <v>200</v>
      </c>
      <c r="G33" s="1"/>
      <c r="J33" t="s">
        <v>146</v>
      </c>
      <c r="K33" t="s">
        <v>147</v>
      </c>
      <c r="L33">
        <v>50</v>
      </c>
      <c r="M33" t="str">
        <f t="shared" si="2"/>
        <v>H92056178 COHAN, KATHY 50</v>
      </c>
    </row>
    <row r="34" spans="1:13" ht="18" customHeight="1" x14ac:dyDescent="0.2">
      <c r="A34" s="7">
        <v>45615</v>
      </c>
      <c r="B34" s="8">
        <v>45627</v>
      </c>
      <c r="C34" s="9" t="s">
        <v>53</v>
      </c>
      <c r="D34" s="10" t="s">
        <v>54</v>
      </c>
      <c r="E34" s="11" t="s">
        <v>12</v>
      </c>
      <c r="F34" s="12">
        <v>50</v>
      </c>
      <c r="G34" s="1"/>
      <c r="J34" t="s">
        <v>148</v>
      </c>
      <c r="K34" t="s">
        <v>149</v>
      </c>
      <c r="L34">
        <v>50</v>
      </c>
      <c r="M34" t="str">
        <f t="shared" si="2"/>
        <v>H92056396 HINES, KATHLEEN 50</v>
      </c>
    </row>
    <row r="35" spans="1:13" ht="18" customHeight="1" x14ac:dyDescent="0.2">
      <c r="A35" s="7">
        <v>45616</v>
      </c>
      <c r="B35" s="8">
        <v>45658</v>
      </c>
      <c r="C35" s="9" t="s">
        <v>55</v>
      </c>
      <c r="D35" s="10" t="s">
        <v>56</v>
      </c>
      <c r="E35" s="11" t="s">
        <v>12</v>
      </c>
      <c r="F35" s="12">
        <v>50</v>
      </c>
      <c r="G35" s="1"/>
      <c r="J35" t="s">
        <v>150</v>
      </c>
      <c r="K35" t="s">
        <v>151</v>
      </c>
      <c r="L35">
        <v>50</v>
      </c>
      <c r="M35" t="str">
        <f t="shared" si="2"/>
        <v>H92102798 JORDAN, MICHAEL 50</v>
      </c>
    </row>
    <row r="36" spans="1:13" ht="18" customHeight="1" x14ac:dyDescent="0.2">
      <c r="A36" s="7">
        <v>45635</v>
      </c>
      <c r="B36" s="8">
        <v>45658</v>
      </c>
      <c r="C36" s="9" t="s">
        <v>57</v>
      </c>
      <c r="D36" s="10" t="s">
        <v>58</v>
      </c>
      <c r="E36" s="11" t="s">
        <v>12</v>
      </c>
      <c r="F36" s="12">
        <v>50</v>
      </c>
      <c r="G36" s="1"/>
      <c r="J36" t="s">
        <v>152</v>
      </c>
      <c r="K36" t="s">
        <v>153</v>
      </c>
      <c r="L36">
        <v>50</v>
      </c>
      <c r="M36" t="str">
        <f t="shared" si="2"/>
        <v>H67978068 TOMA, LINDA 50</v>
      </c>
    </row>
    <row r="37" spans="1:13" ht="18" customHeight="1" x14ac:dyDescent="0.2">
      <c r="A37" s="7">
        <v>45643</v>
      </c>
      <c r="B37" s="8">
        <v>45658</v>
      </c>
      <c r="C37" s="9" t="s">
        <v>59</v>
      </c>
      <c r="D37" s="10" t="s">
        <v>60</v>
      </c>
      <c r="E37" s="11" t="s">
        <v>12</v>
      </c>
      <c r="F37" s="12">
        <v>50</v>
      </c>
      <c r="G37" s="1"/>
      <c r="J37" t="s">
        <v>154</v>
      </c>
      <c r="K37" t="s">
        <v>155</v>
      </c>
      <c r="L37">
        <v>200</v>
      </c>
      <c r="M37" t="str">
        <f t="shared" si="2"/>
        <v>H92109664 PARKER, LAURA 200</v>
      </c>
    </row>
    <row r="38" spans="1:13" ht="16.5" customHeight="1" x14ac:dyDescent="0.2">
      <c r="A38" s="7">
        <v>45643</v>
      </c>
      <c r="B38" s="8">
        <v>45689</v>
      </c>
      <c r="C38" s="9" t="s">
        <v>61</v>
      </c>
      <c r="D38" s="10" t="s">
        <v>62</v>
      </c>
      <c r="E38" s="11" t="s">
        <v>12</v>
      </c>
      <c r="F38" s="12">
        <v>200</v>
      </c>
      <c r="G38" s="1"/>
      <c r="L38">
        <f>SUM(L26:L37)</f>
        <v>1500</v>
      </c>
    </row>
    <row r="39" spans="1:13" ht="10.5" customHeight="1" x14ac:dyDescent="0.2">
      <c r="A39" s="1"/>
      <c r="B39" s="1"/>
      <c r="C39" s="1"/>
      <c r="D39" s="1"/>
      <c r="E39" s="1"/>
      <c r="F39" s="1"/>
      <c r="G39" s="1"/>
    </row>
    <row r="40" spans="1:13" ht="20.45" customHeight="1" x14ac:dyDescent="0.2">
      <c r="A40" s="15" t="s">
        <v>63</v>
      </c>
      <c r="B40" s="15"/>
      <c r="C40" s="15"/>
      <c r="D40" s="15"/>
      <c r="E40" s="15"/>
      <c r="F40" s="15"/>
      <c r="G40" s="16"/>
    </row>
    <row r="41" spans="1:13" ht="12.75" customHeight="1" x14ac:dyDescent="0.2">
      <c r="A41" s="1"/>
      <c r="B41" s="1"/>
      <c r="C41" s="1"/>
      <c r="D41" s="1"/>
      <c r="E41" s="1"/>
      <c r="F41" s="1"/>
      <c r="G41" s="1"/>
    </row>
    <row r="42" spans="1:13" ht="18" customHeight="1" x14ac:dyDescent="0.2">
      <c r="A42" s="2" t="s">
        <v>1</v>
      </c>
      <c r="B42" s="3" t="s">
        <v>2</v>
      </c>
      <c r="C42" s="2" t="s">
        <v>3</v>
      </c>
      <c r="D42" s="4" t="s">
        <v>4</v>
      </c>
      <c r="E42" s="5" t="s">
        <v>5</v>
      </c>
      <c r="F42" s="6" t="s">
        <v>6</v>
      </c>
      <c r="G42" s="1"/>
      <c r="J42" s="9" t="s">
        <v>156</v>
      </c>
      <c r="K42" s="10" t="s">
        <v>157</v>
      </c>
      <c r="L42">
        <v>50</v>
      </c>
      <c r="M42" t="str">
        <f t="shared" ref="M42:M46" si="3">CONCATENATE(J42, " ",K42, " ",L42)</f>
        <v>H77972584 MISSIMER, DONNA 50</v>
      </c>
    </row>
    <row r="43" spans="1:13" ht="17.100000000000001" customHeight="1" x14ac:dyDescent="0.2">
      <c r="A43" s="7">
        <v>45567</v>
      </c>
      <c r="B43" s="8">
        <v>45597</v>
      </c>
      <c r="C43" s="9" t="s">
        <v>64</v>
      </c>
      <c r="D43" s="10" t="s">
        <v>65</v>
      </c>
      <c r="E43" s="11" t="s">
        <v>12</v>
      </c>
      <c r="F43" s="12">
        <v>50</v>
      </c>
      <c r="G43" s="1"/>
      <c r="J43" s="9" t="s">
        <v>158</v>
      </c>
      <c r="K43" s="10" t="s">
        <v>159</v>
      </c>
      <c r="L43">
        <v>50</v>
      </c>
      <c r="M43" t="str">
        <f t="shared" si="3"/>
        <v>H92004967 COPE, DEBRA 50</v>
      </c>
    </row>
    <row r="44" spans="1:13" ht="18" customHeight="1" x14ac:dyDescent="0.2">
      <c r="A44" s="7">
        <v>45580</v>
      </c>
      <c r="B44" s="8">
        <v>45597</v>
      </c>
      <c r="C44" s="9" t="s">
        <v>66</v>
      </c>
      <c r="D44" s="10" t="s">
        <v>67</v>
      </c>
      <c r="E44" s="11" t="s">
        <v>12</v>
      </c>
      <c r="F44" s="12">
        <v>50</v>
      </c>
      <c r="G44" s="1"/>
      <c r="J44" s="9" t="s">
        <v>160</v>
      </c>
      <c r="K44" s="10" t="s">
        <v>161</v>
      </c>
      <c r="L44">
        <v>200</v>
      </c>
      <c r="M44" t="str">
        <f t="shared" si="3"/>
        <v>H92042004 OBRIEN, VIVIAN 200</v>
      </c>
    </row>
    <row r="45" spans="1:13" ht="18" customHeight="1" x14ac:dyDescent="0.2">
      <c r="A45" s="7">
        <v>45607</v>
      </c>
      <c r="B45" s="8">
        <v>45689</v>
      </c>
      <c r="C45" s="9" t="s">
        <v>68</v>
      </c>
      <c r="D45" s="10" t="s">
        <v>69</v>
      </c>
      <c r="E45" s="11" t="s">
        <v>12</v>
      </c>
      <c r="F45" s="12">
        <v>200</v>
      </c>
      <c r="G45" s="1"/>
      <c r="J45" s="9" t="s">
        <v>162</v>
      </c>
      <c r="K45" s="10" t="s">
        <v>163</v>
      </c>
      <c r="L45">
        <v>200</v>
      </c>
      <c r="M45" t="str">
        <f t="shared" si="3"/>
        <v>H61299953 DOLAN, ROBIN 200</v>
      </c>
    </row>
    <row r="46" spans="1:13" ht="18" customHeight="1" x14ac:dyDescent="0.2">
      <c r="A46" s="7">
        <v>45609</v>
      </c>
      <c r="B46" s="8">
        <v>45689</v>
      </c>
      <c r="C46" s="9" t="s">
        <v>70</v>
      </c>
      <c r="D46" s="10" t="s">
        <v>71</v>
      </c>
      <c r="E46" s="11" t="s">
        <v>12</v>
      </c>
      <c r="F46" s="12">
        <v>200</v>
      </c>
      <c r="G46" s="1"/>
      <c r="J46" s="9" t="s">
        <v>164</v>
      </c>
      <c r="K46" s="10" t="s">
        <v>165</v>
      </c>
      <c r="L46">
        <v>50</v>
      </c>
      <c r="M46" t="str">
        <f t="shared" si="3"/>
        <v>H94132874 SCHANTZENBACH, BONI 50</v>
      </c>
    </row>
    <row r="47" spans="1:13" ht="16.5" customHeight="1" x14ac:dyDescent="0.2">
      <c r="A47" s="7">
        <v>45649</v>
      </c>
      <c r="B47" s="8">
        <v>45658</v>
      </c>
      <c r="C47" s="9" t="s">
        <v>72</v>
      </c>
      <c r="D47" s="10" t="s">
        <v>73</v>
      </c>
      <c r="E47" s="11" t="s">
        <v>12</v>
      </c>
      <c r="F47" s="12">
        <v>50</v>
      </c>
      <c r="G47" s="1"/>
    </row>
    <row r="48" spans="1:13" ht="9.6" customHeight="1" x14ac:dyDescent="0.2">
      <c r="A48" s="1"/>
      <c r="B48" s="1"/>
      <c r="C48" s="1"/>
      <c r="D48" s="1"/>
      <c r="E48" s="1"/>
      <c r="F48" s="1"/>
      <c r="G48" s="1"/>
    </row>
    <row r="49" spans="1:14" ht="21.6" customHeight="1" x14ac:dyDescent="0.2">
      <c r="A49" s="15" t="s">
        <v>74</v>
      </c>
      <c r="B49" s="15"/>
      <c r="C49" s="15"/>
      <c r="D49" s="15"/>
      <c r="E49" s="15"/>
      <c r="F49" s="15"/>
      <c r="G49" s="16"/>
    </row>
    <row r="50" spans="1:14" ht="12.75" customHeight="1" x14ac:dyDescent="0.2">
      <c r="A50" s="1"/>
      <c r="B50" s="1"/>
      <c r="C50" s="1"/>
      <c r="D50" s="1"/>
      <c r="E50" s="1"/>
      <c r="F50" s="1"/>
      <c r="G50" s="1"/>
    </row>
    <row r="51" spans="1:14" ht="18" customHeight="1" x14ac:dyDescent="0.2">
      <c r="A51" s="2" t="s">
        <v>1</v>
      </c>
      <c r="B51" s="3" t="s">
        <v>2</v>
      </c>
      <c r="C51" s="2" t="s">
        <v>3</v>
      </c>
      <c r="D51" s="4" t="s">
        <v>4</v>
      </c>
      <c r="E51" s="5" t="s">
        <v>5</v>
      </c>
      <c r="F51" s="6" t="s">
        <v>6</v>
      </c>
      <c r="G51" s="1"/>
      <c r="J51" t="s">
        <v>166</v>
      </c>
      <c r="K51" t="s">
        <v>167</v>
      </c>
      <c r="L51">
        <v>50</v>
      </c>
      <c r="M51" t="str">
        <f t="shared" ref="M51:M57" si="4">CONCATENATE(J51, " ",K51, " ",L51)</f>
        <v>H77991424 LEWIS, CHARLENE 50</v>
      </c>
      <c r="N51">
        <v>5442438</v>
      </c>
    </row>
    <row r="52" spans="1:14" ht="17.100000000000001" customHeight="1" x14ac:dyDescent="0.2">
      <c r="A52" s="7">
        <v>45590</v>
      </c>
      <c r="B52" s="8">
        <v>45597</v>
      </c>
      <c r="C52" s="9" t="s">
        <v>75</v>
      </c>
      <c r="D52" s="10" t="s">
        <v>76</v>
      </c>
      <c r="E52" s="11" t="s">
        <v>12</v>
      </c>
      <c r="F52" s="12">
        <v>50</v>
      </c>
      <c r="G52" s="1"/>
      <c r="J52" t="s">
        <v>168</v>
      </c>
      <c r="K52" t="s">
        <v>169</v>
      </c>
      <c r="L52">
        <v>50</v>
      </c>
      <c r="M52" t="str">
        <f t="shared" si="4"/>
        <v>H94062588 GOLD, GRAHAM 50</v>
      </c>
    </row>
    <row r="53" spans="1:14" ht="18" customHeight="1" x14ac:dyDescent="0.2">
      <c r="A53" s="7">
        <v>45603</v>
      </c>
      <c r="B53" s="8">
        <v>45627</v>
      </c>
      <c r="C53" s="9" t="s">
        <v>77</v>
      </c>
      <c r="D53" s="10" t="s">
        <v>78</v>
      </c>
      <c r="E53" s="11" t="s">
        <v>12</v>
      </c>
      <c r="F53" s="12">
        <v>50</v>
      </c>
      <c r="G53" s="1"/>
      <c r="J53" t="s">
        <v>170</v>
      </c>
      <c r="K53" t="s">
        <v>171</v>
      </c>
      <c r="L53">
        <v>50</v>
      </c>
      <c r="M53" t="str">
        <f t="shared" si="4"/>
        <v>H94071808 MICHAEL, RUSSELL 50</v>
      </c>
    </row>
    <row r="54" spans="1:14" ht="18" customHeight="1" x14ac:dyDescent="0.2">
      <c r="A54" s="7">
        <v>45610</v>
      </c>
      <c r="B54" s="8">
        <v>45627</v>
      </c>
      <c r="C54" s="9" t="s">
        <v>79</v>
      </c>
      <c r="D54" s="10" t="s">
        <v>80</v>
      </c>
      <c r="E54" s="11" t="s">
        <v>12</v>
      </c>
      <c r="F54" s="12">
        <v>50</v>
      </c>
      <c r="G54" s="1"/>
      <c r="J54" t="s">
        <v>172</v>
      </c>
      <c r="K54" t="s">
        <v>173</v>
      </c>
      <c r="L54">
        <v>50</v>
      </c>
      <c r="M54" t="str">
        <f t="shared" si="4"/>
        <v>H94073720 POSTEN, GREGORY 50</v>
      </c>
    </row>
    <row r="55" spans="1:14" ht="18" customHeight="1" x14ac:dyDescent="0.2">
      <c r="A55" s="7">
        <v>45610</v>
      </c>
      <c r="B55" s="8">
        <v>45627</v>
      </c>
      <c r="C55" s="9" t="s">
        <v>81</v>
      </c>
      <c r="D55" s="10" t="s">
        <v>82</v>
      </c>
      <c r="E55" s="11" t="s">
        <v>12</v>
      </c>
      <c r="F55" s="12">
        <v>50</v>
      </c>
      <c r="G55" s="1"/>
      <c r="J55" t="s">
        <v>174</v>
      </c>
      <c r="K55" t="s">
        <v>175</v>
      </c>
      <c r="L55">
        <v>50</v>
      </c>
      <c r="M55" t="str">
        <f t="shared" si="4"/>
        <v>H94080090 GAREY, KEVIN 50</v>
      </c>
    </row>
    <row r="56" spans="1:14" ht="18" customHeight="1" x14ac:dyDescent="0.2">
      <c r="A56" s="7">
        <v>45616</v>
      </c>
      <c r="B56" s="8">
        <v>45658</v>
      </c>
      <c r="C56" s="9" t="s">
        <v>83</v>
      </c>
      <c r="D56" s="10" t="s">
        <v>84</v>
      </c>
      <c r="E56" s="11" t="s">
        <v>12</v>
      </c>
      <c r="F56" s="12">
        <v>50</v>
      </c>
      <c r="G56" s="1"/>
      <c r="J56" t="s">
        <v>176</v>
      </c>
      <c r="K56" t="s">
        <v>177</v>
      </c>
      <c r="L56">
        <v>50</v>
      </c>
      <c r="M56" t="str">
        <f t="shared" si="4"/>
        <v>H94106669 ROSA, LYNN 50</v>
      </c>
    </row>
    <row r="57" spans="1:14" ht="18" customHeight="1" x14ac:dyDescent="0.2">
      <c r="A57" s="7">
        <v>45629</v>
      </c>
      <c r="B57" s="8">
        <v>45658</v>
      </c>
      <c r="C57" s="9" t="s">
        <v>85</v>
      </c>
      <c r="D57" s="10" t="s">
        <v>86</v>
      </c>
      <c r="E57" s="11" t="s">
        <v>12</v>
      </c>
      <c r="F57" s="12">
        <v>50</v>
      </c>
      <c r="G57" s="1"/>
      <c r="J57" t="s">
        <v>178</v>
      </c>
      <c r="K57" t="s">
        <v>179</v>
      </c>
      <c r="L57">
        <v>50</v>
      </c>
      <c r="M57" t="str">
        <f t="shared" si="4"/>
        <v>H94128849 SHARKEY, ANTHONY 50</v>
      </c>
    </row>
    <row r="58" spans="1:14" ht="16.5" customHeight="1" x14ac:dyDescent="0.2">
      <c r="A58" s="7">
        <v>45642</v>
      </c>
      <c r="B58" s="8">
        <v>45658</v>
      </c>
      <c r="C58" s="9" t="s">
        <v>87</v>
      </c>
      <c r="D58" s="10" t="s">
        <v>88</v>
      </c>
      <c r="E58" s="11" t="s">
        <v>12</v>
      </c>
      <c r="F58" s="12">
        <v>50</v>
      </c>
      <c r="G58" s="1"/>
    </row>
    <row r="59" spans="1:14" ht="20.45" customHeight="1" x14ac:dyDescent="0.2">
      <c r="A59" s="15" t="s">
        <v>89</v>
      </c>
      <c r="B59" s="15"/>
      <c r="C59" s="15"/>
      <c r="D59" s="15"/>
      <c r="E59" s="15"/>
      <c r="F59" s="15"/>
      <c r="G59" s="16"/>
    </row>
    <row r="60" spans="1:14" ht="14.25" customHeight="1" x14ac:dyDescent="0.2">
      <c r="A60" s="1"/>
      <c r="B60" s="1"/>
      <c r="C60" s="1"/>
      <c r="D60" s="1"/>
      <c r="E60" s="1"/>
      <c r="F60" s="1"/>
      <c r="G60" s="1"/>
    </row>
    <row r="61" spans="1:14" ht="18" customHeight="1" x14ac:dyDescent="0.2">
      <c r="A61" s="2" t="s">
        <v>1</v>
      </c>
      <c r="B61" s="3" t="s">
        <v>2</v>
      </c>
      <c r="C61" s="2" t="s">
        <v>3</v>
      </c>
      <c r="D61" s="4" t="s">
        <v>4</v>
      </c>
      <c r="E61" s="5" t="s">
        <v>5</v>
      </c>
      <c r="F61" s="6" t="s">
        <v>6</v>
      </c>
      <c r="G61" s="1"/>
      <c r="J61" t="s">
        <v>180</v>
      </c>
      <c r="K61" t="s">
        <v>181</v>
      </c>
      <c r="L61">
        <v>50</v>
      </c>
      <c r="M61" t="str">
        <f t="shared" ref="M61:M67" si="5">CONCATENATE(J61, " ",K61, " ",L61)</f>
        <v>H77971758 ANDONIAN, MICHAEL 50</v>
      </c>
      <c r="N61">
        <v>19278370</v>
      </c>
    </row>
    <row r="62" spans="1:14" ht="17.100000000000001" customHeight="1" x14ac:dyDescent="0.2">
      <c r="A62" s="7">
        <v>45566</v>
      </c>
      <c r="B62" s="8">
        <v>45597</v>
      </c>
      <c r="C62" s="9" t="s">
        <v>90</v>
      </c>
      <c r="D62" s="10" t="s">
        <v>91</v>
      </c>
      <c r="E62" s="11" t="s">
        <v>12</v>
      </c>
      <c r="F62" s="12">
        <v>50</v>
      </c>
      <c r="G62" s="1"/>
      <c r="J62" t="s">
        <v>182</v>
      </c>
      <c r="K62" t="s">
        <v>183</v>
      </c>
      <c r="L62">
        <v>200</v>
      </c>
      <c r="M62" t="str">
        <f t="shared" si="5"/>
        <v>H57792329 BUTLER, PATRICIA 200</v>
      </c>
    </row>
    <row r="63" spans="1:14" ht="18" customHeight="1" x14ac:dyDescent="0.2">
      <c r="A63" s="7">
        <v>45593</v>
      </c>
      <c r="B63" s="8">
        <v>45658</v>
      </c>
      <c r="C63" s="9" t="s">
        <v>92</v>
      </c>
      <c r="D63" s="10" t="s">
        <v>93</v>
      </c>
      <c r="E63" s="11" t="s">
        <v>9</v>
      </c>
      <c r="F63" s="12">
        <v>200</v>
      </c>
      <c r="G63" s="1"/>
      <c r="J63" t="s">
        <v>184</v>
      </c>
      <c r="K63" t="s">
        <v>185</v>
      </c>
      <c r="L63">
        <v>200</v>
      </c>
      <c r="M63" t="str">
        <f t="shared" si="5"/>
        <v>H88020468 TRABBOLD, JUDY 200</v>
      </c>
    </row>
    <row r="64" spans="1:14" ht="18" customHeight="1" x14ac:dyDescent="0.2">
      <c r="A64" s="7">
        <v>45607</v>
      </c>
      <c r="B64" s="8">
        <v>45658</v>
      </c>
      <c r="C64" s="9" t="s">
        <v>94</v>
      </c>
      <c r="D64" s="10" t="s">
        <v>95</v>
      </c>
      <c r="E64" s="11" t="s">
        <v>9</v>
      </c>
      <c r="F64" s="12">
        <v>200</v>
      </c>
      <c r="G64" s="1"/>
      <c r="J64" t="s">
        <v>186</v>
      </c>
      <c r="K64" t="s">
        <v>187</v>
      </c>
      <c r="L64">
        <v>200</v>
      </c>
      <c r="M64" t="str">
        <f t="shared" si="5"/>
        <v>H67955927 ROSE, CHARLENE 200</v>
      </c>
    </row>
    <row r="65" spans="1:13" ht="18" customHeight="1" x14ac:dyDescent="0.2">
      <c r="A65" s="7">
        <v>45628</v>
      </c>
      <c r="B65" s="8">
        <v>45658</v>
      </c>
      <c r="C65" s="9" t="s">
        <v>96</v>
      </c>
      <c r="D65" s="10" t="s">
        <v>97</v>
      </c>
      <c r="E65" s="11" t="s">
        <v>9</v>
      </c>
      <c r="F65" s="12">
        <v>200</v>
      </c>
      <c r="G65" s="1"/>
      <c r="J65" t="s">
        <v>188</v>
      </c>
      <c r="K65" t="s">
        <v>189</v>
      </c>
      <c r="L65">
        <v>50</v>
      </c>
      <c r="M65" t="str">
        <f t="shared" si="5"/>
        <v>H92084364 LUCE, DAVID 50</v>
      </c>
    </row>
    <row r="66" spans="1:13" ht="18" customHeight="1" x14ac:dyDescent="0.2">
      <c r="A66" s="7">
        <v>45629</v>
      </c>
      <c r="B66" s="8">
        <v>45658</v>
      </c>
      <c r="C66" s="9" t="s">
        <v>98</v>
      </c>
      <c r="D66" s="10" t="s">
        <v>99</v>
      </c>
      <c r="E66" s="11" t="s">
        <v>12</v>
      </c>
      <c r="F66" s="12">
        <v>50</v>
      </c>
      <c r="G66" s="1"/>
      <c r="J66" t="s">
        <v>190</v>
      </c>
      <c r="K66" t="s">
        <v>191</v>
      </c>
      <c r="L66">
        <v>200</v>
      </c>
      <c r="M66" t="str">
        <f t="shared" si="5"/>
        <v>H94130761 BALTZERSEN, ROBERT 200</v>
      </c>
    </row>
    <row r="67" spans="1:13" ht="18" customHeight="1" x14ac:dyDescent="0.2">
      <c r="A67" s="7">
        <v>45645</v>
      </c>
      <c r="B67" s="8">
        <v>45658</v>
      </c>
      <c r="C67" s="9" t="s">
        <v>100</v>
      </c>
      <c r="D67" s="10" t="s">
        <v>101</v>
      </c>
      <c r="E67" s="11" t="s">
        <v>12</v>
      </c>
      <c r="F67" s="12">
        <v>200</v>
      </c>
      <c r="G67" s="1"/>
      <c r="J67" t="s">
        <v>192</v>
      </c>
      <c r="K67" t="s">
        <v>193</v>
      </c>
      <c r="L67">
        <v>200</v>
      </c>
      <c r="M67" t="str">
        <f t="shared" si="5"/>
        <v>H96076523 LOEPER, LINDA 200</v>
      </c>
    </row>
    <row r="68" spans="1:13" ht="16.5" customHeight="1" x14ac:dyDescent="0.2">
      <c r="A68" s="7">
        <v>45646</v>
      </c>
      <c r="B68" s="8">
        <v>45658</v>
      </c>
      <c r="C68" s="9" t="s">
        <v>102</v>
      </c>
      <c r="D68" s="10" t="s">
        <v>103</v>
      </c>
      <c r="E68" s="11" t="s">
        <v>9</v>
      </c>
      <c r="F68" s="12">
        <v>200</v>
      </c>
      <c r="G68" s="1"/>
    </row>
  </sheetData>
  <mergeCells count="7">
    <mergeCell ref="A49:G49"/>
    <mergeCell ref="A59:G59"/>
    <mergeCell ref="A1:H1"/>
    <mergeCell ref="A3:G3"/>
    <mergeCell ref="A16:G16"/>
    <mergeCell ref="A24:G24"/>
    <mergeCell ref="A40:G40"/>
  </mergeCells>
  <phoneticPr fontId="1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Janki Patel</cp:lastModifiedBy>
  <dcterms:created xsi:type="dcterms:W3CDTF">2025-01-30T18:18:40Z</dcterms:created>
  <dcterms:modified xsi:type="dcterms:W3CDTF">2026-02-04T21:30:12Z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2025-01-30T00:00:00Z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2025-01-30T00:00:00Z</vt:filetime>
  </property>
</Properties>
</file>