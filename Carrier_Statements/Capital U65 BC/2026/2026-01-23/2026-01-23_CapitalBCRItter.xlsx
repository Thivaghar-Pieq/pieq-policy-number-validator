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6\Ritter\1-23-26\"/>
    </mc:Choice>
  </mc:AlternateContent>
  <xr:revisionPtr revIDLastSave="0" documentId="13_ncr:1_{A4DAFFC9-229E-401A-A6B6-B43A7C19D2E9}" xr6:coauthVersionLast="47" xr6:coauthVersionMax="47" xr10:uidLastSave="{00000000-0000-0000-0000-000000000000}"/>
  <bookViews>
    <workbookView xWindow="28680" yWindow="-120" windowWidth="29040" windowHeight="16440" xr2:uid="{93A7B379-92AE-4997-86C5-33089F9915E7}"/>
  </bookViews>
  <sheets>
    <sheet name="Sheet1" sheetId="1" r:id="rId1"/>
  </sheets>
  <definedNames>
    <definedName name="_xlnm._FilterDatabase" localSheetId="0" hidden="1">Sheet1!$A$1:$K$258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1" l="1"/>
  <c r="L7" i="1"/>
  <c r="L6" i="1"/>
  <c r="L5" i="1"/>
  <c r="L8" i="1"/>
  <c r="L4" i="1"/>
</calcChain>
</file>

<file path=xl/sharedStrings.xml><?xml version="1.0" encoding="utf-8"?>
<sst xmlns="http://schemas.openxmlformats.org/spreadsheetml/2006/main" count="1296" uniqueCount="369">
  <si>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</si>
  <si>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</si>
  <si>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</si>
  <si>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</si>
  <si>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</si>
  <si>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</si>
  <si>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</si>
  <si>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</si>
  <si>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</si>
  <si>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</si>
  <si>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</si>
  <si>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</si>
  <si>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Trudy</t>
  </si>
  <si>
    <t>Brown</t>
  </si>
  <si>
    <t>Capital Blue Cross U65</t>
  </si>
  <si>
    <t>Capital Blue Cross U65 2022-2026 IVL NEW Gold, Silver, Bronze, Cat ST (ProRata: 2) Premium Period: 12/1/2025</t>
  </si>
  <si>
    <t>Scott Aguglia</t>
  </si>
  <si>
    <t>Brian</t>
  </si>
  <si>
    <t>Brennan</t>
  </si>
  <si>
    <t>Capital Blue Cross U65 2024-26 IVL Renewing Gold, Silver, Bronze, Cat ST (ProRata: 1) Premium Period: 12/1/2025</t>
  </si>
  <si>
    <t>Alison Luse</t>
  </si>
  <si>
    <t>Bradley</t>
  </si>
  <si>
    <t>Lyon</t>
  </si>
  <si>
    <t>Capital Blue Cross U65 2024-26 IVL Renewing Gold, Silver, Bronze, Cat ST (ProRata: 2) Premium Period: 12/1/2025</t>
  </si>
  <si>
    <t>Crystal</t>
  </si>
  <si>
    <t>Wierbowski</t>
  </si>
  <si>
    <t>Capital Blue Cross U65 2022-2026 IVL NEW Gold, Silver, Bronze, Cat ST (ProRata: 1) Premium Period: 12/1/2025</t>
  </si>
  <si>
    <t>Jesse</t>
  </si>
  <si>
    <t>Wargo</t>
  </si>
  <si>
    <t>Capital Blue Cross U65 2024-26 IVL Renewing Gold, Silver, Bronze, Cat ST (ProRata: 4) Premium Period: 12/1/2025</t>
  </si>
  <si>
    <t>John</t>
  </si>
  <si>
    <t>Gajewski</t>
  </si>
  <si>
    <t>Kevin</t>
  </si>
  <si>
    <t>Conklin</t>
  </si>
  <si>
    <t>Lorraine</t>
  </si>
  <si>
    <t>A Port</t>
  </si>
  <si>
    <t>Tyler</t>
  </si>
  <si>
    <t>Penland</t>
  </si>
  <si>
    <t>Capital Blue Cross U65 2022-2026 IVL NEW Gold, Silver, Bronze, Cat ST (ProRata: 4) Premium Period: 12/1/2025</t>
  </si>
  <si>
    <t>Capital Blue Cross U65 2024-26 IVL Renewing Gold, Silver, Bronze, Cat ST (ProRata: 4) Premium Period: 1/1/2026</t>
  </si>
  <si>
    <t>Dalia</t>
  </si>
  <si>
    <t>N Gertmonaite</t>
  </si>
  <si>
    <t>Capital Blue Cross U65 2022-2026 IVL NEW Gold, Silver, Bronze, Cat ST (ProRata: 1) Premium Period: 1/1/2026</t>
  </si>
  <si>
    <t>Jason Hoffmann</t>
  </si>
  <si>
    <t>Clare</t>
  </si>
  <si>
    <t>Graham</t>
  </si>
  <si>
    <t>Doreen</t>
  </si>
  <si>
    <t>Peters</t>
  </si>
  <si>
    <t>Capital Blue Cross U65 2024-26 IVL Renewing Gold, Silver, Bronze, Cat ST (ProRata: 1) Premium Period: 1/1/2026</t>
  </si>
  <si>
    <t>Dylan</t>
  </si>
  <si>
    <t>Fritzinger</t>
  </si>
  <si>
    <t>Elizabeth</t>
  </si>
  <si>
    <t>Ervin</t>
  </si>
  <si>
    <t>Fred</t>
  </si>
  <si>
    <t>Carbonell</t>
  </si>
  <si>
    <t>Giovanna</t>
  </si>
  <si>
    <t>Dimaio</t>
  </si>
  <si>
    <t>Gretchen</t>
  </si>
  <si>
    <t>Flanley</t>
  </si>
  <si>
    <t>Capital Blue Cross U65 2024-26 IVL Renewing Gold, Silver, Bronze, Cat ST (ProRata: 2) Premium Period: 1/1/2026</t>
  </si>
  <si>
    <t>Isabella</t>
  </si>
  <si>
    <t>Jaramillo</t>
  </si>
  <si>
    <t>Jason</t>
  </si>
  <si>
    <t>Mcmillen</t>
  </si>
  <si>
    <t>Jayne</t>
  </si>
  <si>
    <t>Mutter</t>
  </si>
  <si>
    <t>Jean-Michel</t>
  </si>
  <si>
    <t>Jerald</t>
  </si>
  <si>
    <t>Metcalf</t>
  </si>
  <si>
    <t>Kayla</t>
  </si>
  <si>
    <t>Nace</t>
  </si>
  <si>
    <t>Mark</t>
  </si>
  <si>
    <t>Gutshall</t>
  </si>
  <si>
    <t>Michael</t>
  </si>
  <si>
    <t>Giorgio</t>
  </si>
  <si>
    <t>Pascal</t>
  </si>
  <si>
    <t>Capital Blue Cross U65 2024-26 IVL Renewing Gold, Silver, Bronze, Cat ST (ProRata: 5) Premium Period: 12/1/2025</t>
  </si>
  <si>
    <t>Kiehl</t>
  </si>
  <si>
    <t>Gwin</t>
  </si>
  <si>
    <t>Misty</t>
  </si>
  <si>
    <t>Stillman</t>
  </si>
  <si>
    <t>Capital Blue Cross U65 2024-26 IVL Renewing Gold, Silver, Bronze, Cat ST (ProRata: 3) Premium Period: 1/1/2026</t>
  </si>
  <si>
    <t>Peter</t>
  </si>
  <si>
    <t>Moberg</t>
  </si>
  <si>
    <t>Richard</t>
  </si>
  <si>
    <t>Stern</t>
  </si>
  <si>
    <t>Steve</t>
  </si>
  <si>
    <t>Long</t>
  </si>
  <si>
    <t>Susan</t>
  </si>
  <si>
    <t>Steltz</t>
  </si>
  <si>
    <t>Murray Sterner</t>
  </si>
  <si>
    <t>Caterina</t>
  </si>
  <si>
    <t>Baiada</t>
  </si>
  <si>
    <t>Donald</t>
  </si>
  <si>
    <t>Naughton</t>
  </si>
  <si>
    <t>Capital Blue Cross U65 2024-26 IVL Renewing Gold, Silver, Bronze, Cat ST (ProRata: 3) Premium Period: 12/1/2025</t>
  </si>
  <si>
    <t>Giuseppe</t>
  </si>
  <si>
    <t>Grigoli</t>
  </si>
  <si>
    <t>Capital Blue Cross 2016 &amp; 2023-26 CF 65+ Street (ProRata: 1) Premium Period: 12/1/2025</t>
  </si>
  <si>
    <t>Capital Blue Cross 2016 &amp; 2023-26 CF 65+ Street (ProRata: 1) Premium Period: 1/1/2026</t>
  </si>
  <si>
    <t>Henry</t>
  </si>
  <si>
    <t>Bruce</t>
  </si>
  <si>
    <t>A Barnes</t>
  </si>
  <si>
    <t>Capital Blue Cross U65 2022-2026 IVL NEW Gold, Silver, Bronze, Cat ST (ProRata: 2) Premium Period: 1/1/2026</t>
  </si>
  <si>
    <t>Peter Richter</t>
  </si>
  <si>
    <t>Alyssa</t>
  </si>
  <si>
    <t>Harris</t>
  </si>
  <si>
    <t>Lauren</t>
  </si>
  <si>
    <t>Horn</t>
  </si>
  <si>
    <t>Capital Blue Cross U65 2022-2026 IVL NEW Gold, Silver, Bronze, Cat ST (ProRata: 5) Premium Period: 12/1/2025</t>
  </si>
  <si>
    <t>Carol Foley</t>
  </si>
  <si>
    <t>Bonnie</t>
  </si>
  <si>
    <t>Orwan</t>
  </si>
  <si>
    <t>Carl</t>
  </si>
  <si>
    <t>Mertz</t>
  </si>
  <si>
    <t>Capital Blue Cross U65 2024-26 IVL Renewing Gold, Silver, Bronze, Cat ST (ProRata: 2) Premium Period: 11/1/2025</t>
  </si>
  <si>
    <t>Jamie</t>
  </si>
  <si>
    <t>Orris</t>
  </si>
  <si>
    <t>Jonathan</t>
  </si>
  <si>
    <t>Medina</t>
  </si>
  <si>
    <t>Deborah Inskipt</t>
  </si>
  <si>
    <t>Joyce</t>
  </si>
  <si>
    <t>Foura</t>
  </si>
  <si>
    <t>David</t>
  </si>
  <si>
    <t>W Witmoyer</t>
  </si>
  <si>
    <t>Chad Bender</t>
  </si>
  <si>
    <t>Cesar</t>
  </si>
  <si>
    <t>Martinez</t>
  </si>
  <si>
    <t>Karen</t>
  </si>
  <si>
    <t>Diehl</t>
  </si>
  <si>
    <t>Craig</t>
  </si>
  <si>
    <t>Berkheimer</t>
  </si>
  <si>
    <t>Michelle McCorkle</t>
  </si>
  <si>
    <t>Jennifer</t>
  </si>
  <si>
    <t>Caron</t>
  </si>
  <si>
    <t>Junell</t>
  </si>
  <si>
    <t>Kirchner</t>
  </si>
  <si>
    <t>Patricia Long</t>
  </si>
  <si>
    <t>Alesha</t>
  </si>
  <si>
    <t>Baughman</t>
  </si>
  <si>
    <t>Walschburger</t>
  </si>
  <si>
    <t>Carol</t>
  </si>
  <si>
    <t>Tegyi</t>
  </si>
  <si>
    <t>Donna</t>
  </si>
  <si>
    <t>Steffy</t>
  </si>
  <si>
    <t>Jamal</t>
  </si>
  <si>
    <t>Rafraf</t>
  </si>
  <si>
    <t>Janssen</t>
  </si>
  <si>
    <t>Seidel</t>
  </si>
  <si>
    <t>Kayden</t>
  </si>
  <si>
    <t>Makenzie</t>
  </si>
  <si>
    <t>Smith</t>
  </si>
  <si>
    <t>Marybeth</t>
  </si>
  <si>
    <t>Riter</t>
  </si>
  <si>
    <t>Patricia</t>
  </si>
  <si>
    <t>C Graver</t>
  </si>
  <si>
    <t>Rebecca</t>
  </si>
  <si>
    <t>Parise</t>
  </si>
  <si>
    <t>Rita</t>
  </si>
  <si>
    <t>Rosella</t>
  </si>
  <si>
    <t>Moll</t>
  </si>
  <si>
    <t>Ryan</t>
  </si>
  <si>
    <t>Hertzog</t>
  </si>
  <si>
    <t>Tiffany</t>
  </si>
  <si>
    <t>Ritter</t>
  </si>
  <si>
    <t>Tom</t>
  </si>
  <si>
    <t>R Schlickbernd</t>
  </si>
  <si>
    <t>Andrew</t>
  </si>
  <si>
    <t>Stella</t>
  </si>
  <si>
    <t>Caroline</t>
  </si>
  <si>
    <t>Ongoro</t>
  </si>
  <si>
    <t>Nader</t>
  </si>
  <si>
    <t>Nseir</t>
  </si>
  <si>
    <t>Cynthia</t>
  </si>
  <si>
    <t>Sheaffer</t>
  </si>
  <si>
    <t>Erica Solivan</t>
  </si>
  <si>
    <t>Jill</t>
  </si>
  <si>
    <t>Druckenmiller</t>
  </si>
  <si>
    <t>Thomas Kucan</t>
  </si>
  <si>
    <t>Olga</t>
  </si>
  <si>
    <t>Ney</t>
  </si>
  <si>
    <t>Capital Blue Cross U65 2022-2026 IVL NEW Gold, Silver, Bronze, Cat ST (ProRata: 3) Premium Period: 1/1/2026</t>
  </si>
  <si>
    <t>Capital Blue Cross 2016-2026 STMP Single OR (ProRata: 1) Premium Period: 12/1/2025</t>
  </si>
  <si>
    <t>Capital Blue Cross 2020-2026 IVL GSBC OR (ProRata: 1) Premium Period: 12/1/2025</t>
  </si>
  <si>
    <t>Capital Blue Cross 2016-2026 STMP Single OR (ProRata: 1) Premium Period: 1/1/2026</t>
  </si>
  <si>
    <t>Bryan Krobath</t>
  </si>
  <si>
    <t>Alicia</t>
  </si>
  <si>
    <t>Shaffer</t>
  </si>
  <si>
    <t>Shurgalla</t>
  </si>
  <si>
    <t>Reed</t>
  </si>
  <si>
    <t>Stroup</t>
  </si>
  <si>
    <t>Casey</t>
  </si>
  <si>
    <t>Paradis</t>
  </si>
  <si>
    <t>Cortney</t>
  </si>
  <si>
    <t>Ellis</t>
  </si>
  <si>
    <t>James</t>
  </si>
  <si>
    <t>Mcmullen</t>
  </si>
  <si>
    <t>Joshua</t>
  </si>
  <si>
    <t>Lily</t>
  </si>
  <si>
    <t>Hostetler</t>
  </si>
  <si>
    <t>Marcus</t>
  </si>
  <si>
    <t>Rivers</t>
  </si>
  <si>
    <t>Robert</t>
  </si>
  <si>
    <t>Phillips</t>
  </si>
  <si>
    <t>Schirl</t>
  </si>
  <si>
    <t>A Warner</t>
  </si>
  <si>
    <t>William</t>
  </si>
  <si>
    <t>B Hawk</t>
  </si>
  <si>
    <t>Kurtz</t>
  </si>
  <si>
    <t>Dawson</t>
  </si>
  <si>
    <t>Hain</t>
  </si>
  <si>
    <t>Brent</t>
  </si>
  <si>
    <t>M Auker</t>
  </si>
  <si>
    <t>Erin</t>
  </si>
  <si>
    <t>Beardsley</t>
  </si>
  <si>
    <t>Jodi</t>
  </si>
  <si>
    <t>Barbara</t>
  </si>
  <si>
    <t>Heikes</t>
  </si>
  <si>
    <t>Jacob</t>
  </si>
  <si>
    <t>D Suarez</t>
  </si>
  <si>
    <t>Mary</t>
  </si>
  <si>
    <t>Bokeko</t>
  </si>
  <si>
    <t>Chad</t>
  </si>
  <si>
    <t>Darr</t>
  </si>
  <si>
    <t>Christopher</t>
  </si>
  <si>
    <t>Brinley</t>
  </si>
  <si>
    <t>Updegraff</t>
  </si>
  <si>
    <t>Gosnell</t>
  </si>
  <si>
    <t>Tammy</t>
  </si>
  <si>
    <t>Melton</t>
  </si>
  <si>
    <t>Christine</t>
  </si>
  <si>
    <t>Reedy</t>
  </si>
  <si>
    <t>Kelsey</t>
  </si>
  <si>
    <t>Shappell</t>
  </si>
  <si>
    <t>Megan</t>
  </si>
  <si>
    <t>Andrews</t>
  </si>
  <si>
    <t>Haldeman</t>
  </si>
  <si>
    <t>Dennis</t>
  </si>
  <si>
    <t>Brandt</t>
  </si>
  <si>
    <t>Logan</t>
  </si>
  <si>
    <t>Camp</t>
  </si>
  <si>
    <t>Dominic</t>
  </si>
  <si>
    <t>Cecco</t>
  </si>
  <si>
    <t>Sarah</t>
  </si>
  <si>
    <t>Barrows</t>
  </si>
  <si>
    <t>Bret</t>
  </si>
  <si>
    <t>Andrea</t>
  </si>
  <si>
    <t>Martin</t>
  </si>
  <si>
    <t>Marjorie</t>
  </si>
  <si>
    <t>Day</t>
  </si>
  <si>
    <t>Joni</t>
  </si>
  <si>
    <t>Coken</t>
  </si>
  <si>
    <t>Wyatt</t>
  </si>
  <si>
    <t>L Osterlund</t>
  </si>
  <si>
    <t>Capital Blue Cross 2020-2026 IVL GSBC OR (ProRata: 1) Premium Period: 1/1/2026</t>
  </si>
  <si>
    <t>William Schaeffer</t>
  </si>
  <si>
    <t>Cheryl</t>
  </si>
  <si>
    <t>Deacon</t>
  </si>
  <si>
    <t>Gruver</t>
  </si>
  <si>
    <t>Deborah</t>
  </si>
  <si>
    <t>Lehr</t>
  </si>
  <si>
    <t>Hannah</t>
  </si>
  <si>
    <t>Yingling</t>
  </si>
  <si>
    <t>Kerri</t>
  </si>
  <si>
    <t>Miller</t>
  </si>
  <si>
    <t>Michelle</t>
  </si>
  <si>
    <t>Eichman</t>
  </si>
  <si>
    <t>Patrick</t>
  </si>
  <si>
    <t>Bodmer</t>
  </si>
  <si>
    <t>Ronald</t>
  </si>
  <si>
    <t>Ritz</t>
  </si>
  <si>
    <t>Lori Tunstall</t>
  </si>
  <si>
    <t>Kravetz</t>
  </si>
  <si>
    <t>Erik</t>
  </si>
  <si>
    <t>Lis</t>
  </si>
  <si>
    <t>Heather</t>
  </si>
  <si>
    <t>Eczko</t>
  </si>
  <si>
    <t>Wittmer</t>
  </si>
  <si>
    <t>Nicholas</t>
  </si>
  <si>
    <t>Pizarro</t>
  </si>
  <si>
    <t>Carla</t>
  </si>
  <si>
    <t>Parsons</t>
  </si>
  <si>
    <t>Margaret Finnegan</t>
  </si>
  <si>
    <t>Amalia</t>
  </si>
  <si>
    <t>Lamparter</t>
  </si>
  <si>
    <t>Weaver</t>
  </si>
  <si>
    <t>Wagner</t>
  </si>
  <si>
    <t>Capital Blue Cross 2020-2026 IVL GSBC OR (ProRata: 2) Premium Period: 12/1/2025</t>
  </si>
  <si>
    <t>Capital Blue Cross 2016-2026 STMP Single OR (ProRata: 2) Premium Period: 12/1/2025</t>
  </si>
  <si>
    <t>Capital Blue Cross 2016-2026 STMP Single OR (ProRata: 4) Premium Period: 12/1/2025</t>
  </si>
  <si>
    <t>Capital Blue Cross 2020-2026 IVL GSBC OR (ProRata: 4) Premium Period: 12/1/2025</t>
  </si>
  <si>
    <t>Capital Blue Cross 2016-2026 STMP Single OR (ProRata: 4) Premium Period: 1/1/2026</t>
  </si>
  <si>
    <t>Capital Blue Cross 2016-2026 STMP Single OR (ProRata: 2) Premium Period: 1/1/2026</t>
  </si>
  <si>
    <t>Capital Blue Cross 2016-2026 STMP Single OR (ProRata: 5) Premium Period: 12/1/2025</t>
  </si>
  <si>
    <t>Capital Blue Cross 2016-2026 STMP Single OR (ProRata: 3) Premium Period: 1/1/2026</t>
  </si>
  <si>
    <t>Capital Blue Cross 2016-2026 STMP Single OR (ProRata: 3) Premium Period: 12/1/2025</t>
  </si>
  <si>
    <t>Capital Blue Cross 2016-2026 CF 65+ OR-only (ProRata: 1) Premium Period: 1/1/2026</t>
  </si>
  <si>
    <t>Capital Blue Cross 2016-2026 CF 65+ OR-only (ProRata: 1) Premium Period: 12/1/2025</t>
  </si>
  <si>
    <t>Capital Blue Cross 2020-2026 IVL GSBC OR (ProRata: 5) Premium Period: 12/1/2025</t>
  </si>
  <si>
    <t>Capital Blue Cross 2016-2026 STMP Single OR (ProRata: 2) Premium Period: 11/1/2025</t>
  </si>
  <si>
    <t>Schmitt</t>
  </si>
  <si>
    <t>Melanie</t>
  </si>
  <si>
    <t>L Hoerner</t>
  </si>
  <si>
    <t>Cross</t>
  </si>
  <si>
    <t>Capital Blue Cross 2016-2026 STMP Single OR (ProRata: 5) Premium Period: 1/1/2026</t>
  </si>
  <si>
    <t>Sean</t>
  </si>
  <si>
    <t>Quinlan</t>
  </si>
  <si>
    <t>Paul</t>
  </si>
  <si>
    <t>Arnold</t>
  </si>
  <si>
    <t>Hoffman</t>
  </si>
  <si>
    <t>J Herritt</t>
  </si>
  <si>
    <t>Klees</t>
  </si>
  <si>
    <t>Zane</t>
  </si>
  <si>
    <t>Simpson</t>
  </si>
  <si>
    <t>Matthew</t>
  </si>
  <si>
    <t>H Daniels</t>
  </si>
  <si>
    <t>Jamin</t>
  </si>
  <si>
    <t>Carvell</t>
  </si>
  <si>
    <t>Samuel</t>
  </si>
  <si>
    <t>N Smith</t>
  </si>
  <si>
    <t>Shirk</t>
  </si>
  <si>
    <t>Scott</t>
  </si>
  <si>
    <t>Roush</t>
  </si>
  <si>
    <t>Brandan</t>
  </si>
  <si>
    <t>Longacre</t>
  </si>
  <si>
    <t>Miranda</t>
  </si>
  <si>
    <t>Stroik</t>
  </si>
  <si>
    <t>Pinchak</t>
  </si>
  <si>
    <t>Mull</t>
  </si>
  <si>
    <t>Justin</t>
  </si>
  <si>
    <t>Kline</t>
  </si>
  <si>
    <t>Ashley</t>
  </si>
  <si>
    <t>Daley</t>
  </si>
  <si>
    <t>Evans</t>
  </si>
  <si>
    <t>Dori</t>
  </si>
  <si>
    <t>Amy</t>
  </si>
  <si>
    <t>Bedner</t>
  </si>
  <si>
    <t>Bryan</t>
  </si>
  <si>
    <t>Haberstroh</t>
  </si>
  <si>
    <t>Collin</t>
  </si>
  <si>
    <t>L Schadel</t>
  </si>
  <si>
    <t>Douglas</t>
  </si>
  <si>
    <t>Kerstetter</t>
  </si>
  <si>
    <t>Jeffrey</t>
  </si>
  <si>
    <t>Good</t>
  </si>
  <si>
    <t>Loren</t>
  </si>
  <si>
    <t>Wolgemuth</t>
  </si>
  <si>
    <t>Rhonda</t>
  </si>
  <si>
    <t>Jennifer Mixell-Hoffman</t>
  </si>
  <si>
    <t>Shaben</t>
  </si>
  <si>
    <t>Capital Blue Cross 2020-2026 IVL GSBC OR (ProRata: 2) Premium Period: 1/1/2026</t>
  </si>
  <si>
    <t>Capital Blue Cross</t>
  </si>
  <si>
    <t>Notes: Capital Blue Cross U65 PREM = $28.45 Payment Period 12/01/2025. MM</t>
  </si>
  <si>
    <t>Notes: Capital Blue Cross U65 PREM = $29 Payment Period 01/01/2026. MM</t>
  </si>
  <si>
    <t>Dannie</t>
  </si>
  <si>
    <t>R Hostetler</t>
  </si>
  <si>
    <t>Notes: Capital Blue Cross U65 PREM = $22.2 Payment Period 01/01/2026. MM</t>
  </si>
  <si>
    <t>Emily</t>
  </si>
  <si>
    <t>Sorensen</t>
  </si>
  <si>
    <t>Bevenour</t>
  </si>
  <si>
    <t>Notes: Capital Blue Cross U65 PREM = $5.95 Payment Period 01/01/2026. MM</t>
  </si>
  <si>
    <t>Notes: Capital Blue Cross U65 PREM = $5.95 Payment Period 12/01/2025. MM</t>
  </si>
  <si>
    <t>Faust</t>
  </si>
  <si>
    <t>Notes: Capital Blue Cross U65 PREM = $58 Payment Period 01/01/2026. MM</t>
  </si>
  <si>
    <t>Notes: Capital Blue Cross U65 PREM = $11.9 Payment Period 12/01/2025. MM</t>
  </si>
  <si>
    <t>Tracy</t>
  </si>
  <si>
    <t>M Boyer</t>
  </si>
  <si>
    <t>Kylie</t>
  </si>
  <si>
    <t>Notes: Capital Blue Cross U65 PREM = $11.1 Payment Period 01/01/2026.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</si>
</sst>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8E1E-AD83-47E6-B3CC-BEFE2FDB6565}">
  <dimension ref="A1:L258"/>
  <sheetViews>
    <sheetView tabSelected="1" workbookViewId="0">
      <pane ySplit="1" topLeftCell="A2" activePane="bottomLeft" state="frozen"/>
      <selection pane="bottomLeft" activeCell="F81" sqref="F81"/>
    </sheetView>
  </sheetViews>
  <sheetFormatPr defaultColWidth="8.85546875" defaultRowHeight="15" x14ac:dyDescent="0.25"/>
  <cols>
    <col min="1" max="1" width="23.14062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4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2.42578125" bestFit="1" customWidth="1"/>
    <col min="11" max="11" width="15.7109375" bestFit="1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x14ac:dyDescent="0.25">
      <c r="A2" t="s">
        <v>104</v>
      </c>
      <c r="C2">
        <v>16509456</v>
      </c>
      <c r="D2" t="s">
        <v>107</v>
      </c>
      <c r="E2" t="s">
        <v>108</v>
      </c>
      <c r="F2">
        <v>803094359</v>
      </c>
      <c r="G2" s="1">
        <v>45962</v>
      </c>
      <c r="H2" s="1">
        <v>46045</v>
      </c>
      <c r="I2" t="s">
        <v>14</v>
      </c>
      <c r="J2" t="s">
        <v>109</v>
      </c>
      <c r="K2" s="2">
        <v>110</v>
      </c>
    </row>
    <row r="3" spans="1:12" x14ac:dyDescent="0.25">
      <c r="A3" t="s">
        <v>43</v>
      </c>
      <c r="C3">
        <v>15278437</v>
      </c>
      <c r="D3" t="s">
        <v>73</v>
      </c>
      <c r="E3" t="s">
        <v>75</v>
      </c>
      <c r="F3">
        <v>802566055</v>
      </c>
      <c r="G3" s="1">
        <v>45658</v>
      </c>
      <c r="H3" s="1">
        <v>46045</v>
      </c>
      <c r="I3" t="s">
        <v>14</v>
      </c>
      <c r="J3" t="s">
        <v>76</v>
      </c>
      <c r="K3" s="2">
        <v>90</v>
      </c>
    </row>
    <row r="4" spans="1:12" s="4" customFormat="1" x14ac:dyDescent="0.25">
      <c r="A4" s="4" t="s">
        <v>20</v>
      </c>
      <c r="C4" s="4">
        <v>9254978</v>
      </c>
      <c r="D4" s="4" t="s">
        <v>36</v>
      </c>
      <c r="E4" s="4" t="s">
        <v>37</v>
      </c>
      <c r="F4" s="4">
        <v>802999435</v>
      </c>
      <c r="G4" s="5">
        <v>45658</v>
      </c>
      <c r="H4" s="5">
        <v>46045</v>
      </c>
      <c r="I4" s="4" t="s">
        <v>14</v>
      </c>
      <c r="J4" s="4" t="s">
        <v>38</v>
      </c>
      <c r="K4" s="6">
        <v>88</v>
      </c>
      <c r="L4" s="4">
        <f>77.44+6.16+4.4</f>
        <v>88</v>
      </c>
    </row>
    <row r="5" spans="1:12" s="4" customFormat="1" x14ac:dyDescent="0.25">
      <c r="A5" s="4" t="s">
        <v>20</v>
      </c>
      <c r="C5" s="4">
        <v>9254978</v>
      </c>
      <c r="D5" s="4" t="s">
        <v>32</v>
      </c>
      <c r="E5" s="4" t="s">
        <v>33</v>
      </c>
      <c r="F5" s="4">
        <v>802766776</v>
      </c>
      <c r="G5" s="5">
        <v>45658</v>
      </c>
      <c r="H5" s="5">
        <v>46045</v>
      </c>
      <c r="I5" s="4" t="s">
        <v>14</v>
      </c>
      <c r="J5" s="4" t="s">
        <v>29</v>
      </c>
      <c r="K5" s="6">
        <v>72</v>
      </c>
      <c r="L5" s="4">
        <f>63.36+2.64+6</f>
        <v>72</v>
      </c>
    </row>
    <row r="6" spans="1:12" s="4" customFormat="1" x14ac:dyDescent="0.25">
      <c r="A6" s="4" t="s">
        <v>20</v>
      </c>
      <c r="C6" s="4">
        <v>9254978</v>
      </c>
      <c r="D6" s="4" t="s">
        <v>27</v>
      </c>
      <c r="E6" s="4" t="s">
        <v>28</v>
      </c>
      <c r="F6" s="4">
        <v>802776949</v>
      </c>
      <c r="G6" s="5">
        <v>45658</v>
      </c>
      <c r="H6" s="5">
        <v>46045</v>
      </c>
      <c r="I6" s="4" t="s">
        <v>14</v>
      </c>
      <c r="J6" s="4" t="s">
        <v>29</v>
      </c>
      <c r="K6" s="6">
        <v>72</v>
      </c>
      <c r="L6" s="4">
        <f>63.36+2.64+6</f>
        <v>72</v>
      </c>
    </row>
    <row r="7" spans="1:12" x14ac:dyDescent="0.25">
      <c r="A7" t="s">
        <v>110</v>
      </c>
      <c r="C7">
        <v>17425766</v>
      </c>
      <c r="D7" t="s">
        <v>118</v>
      </c>
      <c r="E7" t="s">
        <v>119</v>
      </c>
      <c r="F7">
        <v>802944983</v>
      </c>
      <c r="G7" s="1">
        <v>45658</v>
      </c>
      <c r="H7" s="1">
        <v>46045</v>
      </c>
      <c r="I7" t="s">
        <v>14</v>
      </c>
      <c r="J7" t="s">
        <v>29</v>
      </c>
      <c r="K7" s="2">
        <v>72</v>
      </c>
      <c r="L7">
        <f>66.24+2.64+3.12</f>
        <v>72</v>
      </c>
    </row>
    <row r="8" spans="1:12" s="4" customFormat="1" x14ac:dyDescent="0.25">
      <c r="A8" s="4" t="s">
        <v>20</v>
      </c>
      <c r="C8" s="4">
        <v>9254978</v>
      </c>
      <c r="D8" s="4" t="s">
        <v>36</v>
      </c>
      <c r="E8" s="4" t="s">
        <v>37</v>
      </c>
      <c r="F8" s="4">
        <v>802999435</v>
      </c>
      <c r="G8" s="5">
        <v>46023</v>
      </c>
      <c r="H8" s="5">
        <v>46045</v>
      </c>
      <c r="I8" s="4" t="s">
        <v>14</v>
      </c>
      <c r="J8" s="4" t="s">
        <v>39</v>
      </c>
      <c r="K8" s="6">
        <v>72</v>
      </c>
      <c r="L8" s="4">
        <f>77.44+6.16+4.4</f>
        <v>88</v>
      </c>
    </row>
    <row r="9" spans="1:12" x14ac:dyDescent="0.25">
      <c r="A9" t="s">
        <v>178</v>
      </c>
      <c r="C9">
        <v>16202925</v>
      </c>
      <c r="D9" t="s">
        <v>179</v>
      </c>
      <c r="E9" t="s">
        <v>180</v>
      </c>
      <c r="F9">
        <v>803122045</v>
      </c>
      <c r="G9" s="1">
        <v>46023</v>
      </c>
      <c r="H9" s="1">
        <v>46045</v>
      </c>
      <c r="I9" t="s">
        <v>14</v>
      </c>
      <c r="J9" t="s">
        <v>181</v>
      </c>
      <c r="K9" s="2">
        <v>66</v>
      </c>
    </row>
    <row r="10" spans="1:12" x14ac:dyDescent="0.25">
      <c r="A10" t="s">
        <v>43</v>
      </c>
      <c r="C10">
        <v>15278437</v>
      </c>
      <c r="D10" t="s">
        <v>79</v>
      </c>
      <c r="E10" t="s">
        <v>80</v>
      </c>
      <c r="F10">
        <v>802020387</v>
      </c>
      <c r="G10" s="1">
        <v>46023</v>
      </c>
      <c r="H10" s="1">
        <v>46045</v>
      </c>
      <c r="I10" t="s">
        <v>14</v>
      </c>
      <c r="J10" t="s">
        <v>81</v>
      </c>
      <c r="K10" s="2">
        <v>54</v>
      </c>
    </row>
    <row r="11" spans="1:12" x14ac:dyDescent="0.25">
      <c r="A11" t="s">
        <v>90</v>
      </c>
      <c r="C11">
        <v>16212649</v>
      </c>
      <c r="D11" t="s">
        <v>93</v>
      </c>
      <c r="E11" t="s">
        <v>94</v>
      </c>
      <c r="F11">
        <v>802332242</v>
      </c>
      <c r="G11" s="1">
        <v>45658</v>
      </c>
      <c r="H11" s="1">
        <v>46045</v>
      </c>
      <c r="I11" t="s">
        <v>14</v>
      </c>
      <c r="J11" t="s">
        <v>95</v>
      </c>
      <c r="K11" s="2">
        <v>54</v>
      </c>
    </row>
    <row r="12" spans="1:12" x14ac:dyDescent="0.25">
      <c r="A12" t="s">
        <v>132</v>
      </c>
      <c r="C12">
        <v>18710070</v>
      </c>
      <c r="D12" t="s">
        <v>135</v>
      </c>
      <c r="E12" t="s">
        <v>136</v>
      </c>
      <c r="F12">
        <v>803016096</v>
      </c>
      <c r="G12" s="1">
        <v>45689</v>
      </c>
      <c r="H12" s="1">
        <v>46045</v>
      </c>
      <c r="I12" t="s">
        <v>14</v>
      </c>
      <c r="J12" t="s">
        <v>15</v>
      </c>
      <c r="K12" s="2">
        <v>44</v>
      </c>
    </row>
    <row r="13" spans="1:12" x14ac:dyDescent="0.25">
      <c r="A13" t="s">
        <v>11</v>
      </c>
      <c r="C13">
        <v>8307933</v>
      </c>
      <c r="D13" t="s">
        <v>12</v>
      </c>
      <c r="E13" t="s">
        <v>13</v>
      </c>
      <c r="F13">
        <v>803038832</v>
      </c>
      <c r="G13" s="1">
        <v>45778</v>
      </c>
      <c r="H13" s="1">
        <v>46045</v>
      </c>
      <c r="I13" t="s">
        <v>14</v>
      </c>
      <c r="J13" t="s">
        <v>15</v>
      </c>
      <c r="K13" s="2">
        <v>44</v>
      </c>
    </row>
    <row r="14" spans="1:12" x14ac:dyDescent="0.25">
      <c r="A14" t="s">
        <v>137</v>
      </c>
      <c r="C14">
        <v>18794740</v>
      </c>
      <c r="D14" t="s">
        <v>165</v>
      </c>
      <c r="E14" t="s">
        <v>166</v>
      </c>
      <c r="F14">
        <v>803085222</v>
      </c>
      <c r="G14" s="1">
        <v>45962</v>
      </c>
      <c r="H14" s="1">
        <v>46045</v>
      </c>
      <c r="I14" t="s">
        <v>14</v>
      </c>
      <c r="J14" t="s">
        <v>15</v>
      </c>
      <c r="K14" s="2">
        <v>44</v>
      </c>
    </row>
    <row r="15" spans="1:12" x14ac:dyDescent="0.25">
      <c r="A15" t="s">
        <v>137</v>
      </c>
      <c r="C15">
        <v>18794740</v>
      </c>
      <c r="D15" t="s">
        <v>167</v>
      </c>
      <c r="E15" t="s">
        <v>168</v>
      </c>
      <c r="F15">
        <v>803100155</v>
      </c>
      <c r="G15" s="1">
        <v>46023</v>
      </c>
      <c r="H15" s="1">
        <v>46045</v>
      </c>
      <c r="I15" t="s">
        <v>14</v>
      </c>
      <c r="J15" t="s">
        <v>103</v>
      </c>
      <c r="K15" s="2">
        <v>44</v>
      </c>
    </row>
    <row r="16" spans="1:12" x14ac:dyDescent="0.25">
      <c r="A16" t="s">
        <v>137</v>
      </c>
      <c r="C16">
        <v>18794740</v>
      </c>
      <c r="D16" t="s">
        <v>171</v>
      </c>
      <c r="E16" t="s">
        <v>172</v>
      </c>
      <c r="F16">
        <v>803101540</v>
      </c>
      <c r="G16" s="1">
        <v>46023</v>
      </c>
      <c r="H16" s="1">
        <v>46045</v>
      </c>
      <c r="I16" t="s">
        <v>14</v>
      </c>
      <c r="J16" t="s">
        <v>103</v>
      </c>
      <c r="K16" s="2">
        <v>44</v>
      </c>
    </row>
    <row r="17" spans="1:12" x14ac:dyDescent="0.25">
      <c r="A17" t="s">
        <v>90</v>
      </c>
      <c r="C17">
        <v>16212649</v>
      </c>
      <c r="D17" t="s">
        <v>101</v>
      </c>
      <c r="E17" t="s">
        <v>102</v>
      </c>
      <c r="F17">
        <v>803105747</v>
      </c>
      <c r="G17" s="1">
        <v>46023</v>
      </c>
      <c r="H17" s="1">
        <v>46045</v>
      </c>
      <c r="I17" t="s">
        <v>14</v>
      </c>
      <c r="J17" t="s">
        <v>103</v>
      </c>
      <c r="K17" s="2">
        <v>44</v>
      </c>
    </row>
    <row r="18" spans="1:12" x14ac:dyDescent="0.25">
      <c r="A18" t="s">
        <v>137</v>
      </c>
      <c r="C18">
        <v>18794740</v>
      </c>
      <c r="D18" t="s">
        <v>169</v>
      </c>
      <c r="E18" t="s">
        <v>170</v>
      </c>
      <c r="F18">
        <v>803107563</v>
      </c>
      <c r="G18" s="1">
        <v>46023</v>
      </c>
      <c r="H18" s="1">
        <v>46045</v>
      </c>
      <c r="I18" t="s">
        <v>14</v>
      </c>
      <c r="J18" t="s">
        <v>103</v>
      </c>
      <c r="K18" s="2">
        <v>44</v>
      </c>
    </row>
    <row r="19" spans="1:12" x14ac:dyDescent="0.25">
      <c r="A19" t="s">
        <v>43</v>
      </c>
      <c r="C19">
        <v>15278437</v>
      </c>
      <c r="D19" t="s">
        <v>57</v>
      </c>
      <c r="E19" t="s">
        <v>58</v>
      </c>
      <c r="F19">
        <v>801998355</v>
      </c>
      <c r="G19" s="1">
        <v>46023</v>
      </c>
      <c r="H19" s="1">
        <v>46045</v>
      </c>
      <c r="I19" t="s">
        <v>14</v>
      </c>
      <c r="J19" t="s">
        <v>59</v>
      </c>
      <c r="K19" s="2">
        <v>36</v>
      </c>
    </row>
    <row r="20" spans="1:12" x14ac:dyDescent="0.25">
      <c r="A20" t="s">
        <v>43</v>
      </c>
      <c r="C20">
        <v>15278437</v>
      </c>
      <c r="D20" t="s">
        <v>73</v>
      </c>
      <c r="E20" t="s">
        <v>78</v>
      </c>
      <c r="F20">
        <v>802327643</v>
      </c>
      <c r="G20" s="1">
        <v>46023</v>
      </c>
      <c r="H20" s="1">
        <v>46045</v>
      </c>
      <c r="I20" t="s">
        <v>14</v>
      </c>
      <c r="J20" t="s">
        <v>59</v>
      </c>
      <c r="K20" s="2">
        <v>36</v>
      </c>
    </row>
    <row r="21" spans="1:12" x14ac:dyDescent="0.25">
      <c r="A21" t="s">
        <v>43</v>
      </c>
      <c r="C21">
        <v>15278437</v>
      </c>
      <c r="D21" t="s">
        <v>62</v>
      </c>
      <c r="E21" t="s">
        <v>63</v>
      </c>
      <c r="F21">
        <v>802332852</v>
      </c>
      <c r="G21" s="1">
        <v>45658</v>
      </c>
      <c r="H21" s="1">
        <v>46045</v>
      </c>
      <c r="I21" t="s">
        <v>14</v>
      </c>
      <c r="J21" t="s">
        <v>23</v>
      </c>
      <c r="K21" s="2">
        <v>36</v>
      </c>
    </row>
    <row r="22" spans="1:12" x14ac:dyDescent="0.25">
      <c r="A22" t="s">
        <v>137</v>
      </c>
      <c r="C22">
        <v>18794740</v>
      </c>
      <c r="D22" t="s">
        <v>145</v>
      </c>
      <c r="E22" t="s">
        <v>146</v>
      </c>
      <c r="F22">
        <v>802341284</v>
      </c>
      <c r="G22" s="1">
        <v>45658</v>
      </c>
      <c r="H22" s="1">
        <v>46045</v>
      </c>
      <c r="I22" t="s">
        <v>14</v>
      </c>
      <c r="J22" t="s">
        <v>23</v>
      </c>
      <c r="K22" s="2">
        <v>36</v>
      </c>
    </row>
    <row r="23" spans="1:12" x14ac:dyDescent="0.25">
      <c r="A23" t="s">
        <v>43</v>
      </c>
      <c r="C23">
        <v>15278437</v>
      </c>
      <c r="D23" t="s">
        <v>73</v>
      </c>
      <c r="E23" t="s">
        <v>74</v>
      </c>
      <c r="F23">
        <v>802385143</v>
      </c>
      <c r="G23" s="1">
        <v>45658</v>
      </c>
      <c r="H23" s="1">
        <v>46045</v>
      </c>
      <c r="I23" t="s">
        <v>14</v>
      </c>
      <c r="J23" t="s">
        <v>23</v>
      </c>
      <c r="K23" s="2">
        <v>36</v>
      </c>
    </row>
    <row r="24" spans="1:12" x14ac:dyDescent="0.25">
      <c r="A24" t="s">
        <v>43</v>
      </c>
      <c r="C24">
        <v>15278437</v>
      </c>
      <c r="D24" t="s">
        <v>51</v>
      </c>
      <c r="E24" t="s">
        <v>52</v>
      </c>
      <c r="F24">
        <v>802417758</v>
      </c>
      <c r="G24" s="1">
        <v>45658</v>
      </c>
      <c r="H24" s="1">
        <v>46045</v>
      </c>
      <c r="I24" t="s">
        <v>14</v>
      </c>
      <c r="J24" t="s">
        <v>23</v>
      </c>
      <c r="K24" s="2">
        <v>36</v>
      </c>
    </row>
    <row r="25" spans="1:12" x14ac:dyDescent="0.25">
      <c r="A25" t="s">
        <v>43</v>
      </c>
      <c r="C25">
        <v>15278437</v>
      </c>
      <c r="D25" t="s">
        <v>55</v>
      </c>
      <c r="E25" t="s">
        <v>56</v>
      </c>
      <c r="F25">
        <v>802534788</v>
      </c>
      <c r="G25" s="1">
        <v>45658</v>
      </c>
      <c r="H25" s="1">
        <v>46045</v>
      </c>
      <c r="I25" t="s">
        <v>14</v>
      </c>
      <c r="J25" t="s">
        <v>23</v>
      </c>
      <c r="K25" s="2">
        <v>36</v>
      </c>
    </row>
    <row r="26" spans="1:12" x14ac:dyDescent="0.25">
      <c r="A26" t="s">
        <v>20</v>
      </c>
      <c r="C26">
        <v>9254978</v>
      </c>
      <c r="D26" t="s">
        <v>21</v>
      </c>
      <c r="E26" t="s">
        <v>22</v>
      </c>
      <c r="F26">
        <v>802624955</v>
      </c>
      <c r="G26" s="1">
        <v>45658</v>
      </c>
      <c r="H26" s="1">
        <v>46045</v>
      </c>
      <c r="I26" t="s">
        <v>14</v>
      </c>
      <c r="J26" t="s">
        <v>23</v>
      </c>
      <c r="K26" s="2">
        <v>36</v>
      </c>
    </row>
    <row r="27" spans="1:12" x14ac:dyDescent="0.25">
      <c r="A27" t="s">
        <v>137</v>
      </c>
      <c r="C27">
        <v>18794740</v>
      </c>
      <c r="D27" t="s">
        <v>17</v>
      </c>
      <c r="E27" t="s">
        <v>140</v>
      </c>
      <c r="F27">
        <v>802629089</v>
      </c>
      <c r="G27" s="1">
        <v>45658</v>
      </c>
      <c r="H27" s="1">
        <v>46045</v>
      </c>
      <c r="I27" t="s">
        <v>14</v>
      </c>
      <c r="J27" t="s">
        <v>23</v>
      </c>
      <c r="K27" s="2">
        <v>36</v>
      </c>
    </row>
    <row r="28" spans="1:12" x14ac:dyDescent="0.25">
      <c r="A28" t="s">
        <v>137</v>
      </c>
      <c r="C28">
        <v>18794740</v>
      </c>
      <c r="D28" t="s">
        <v>161</v>
      </c>
      <c r="E28" t="s">
        <v>162</v>
      </c>
      <c r="F28">
        <v>802651099</v>
      </c>
      <c r="G28" s="1">
        <v>45658</v>
      </c>
      <c r="H28" s="1">
        <v>46045</v>
      </c>
      <c r="I28" t="s">
        <v>14</v>
      </c>
      <c r="J28" t="s">
        <v>23</v>
      </c>
      <c r="K28" s="2">
        <v>36</v>
      </c>
    </row>
    <row r="29" spans="1:12" x14ac:dyDescent="0.25">
      <c r="A29" t="s">
        <v>43</v>
      </c>
      <c r="C29">
        <v>15278437</v>
      </c>
      <c r="D29" t="s">
        <v>71</v>
      </c>
      <c r="E29" t="s">
        <v>72</v>
      </c>
      <c r="F29">
        <v>802784780</v>
      </c>
      <c r="G29" s="1">
        <v>46023</v>
      </c>
      <c r="H29" s="1">
        <v>46045</v>
      </c>
      <c r="I29" t="s">
        <v>14</v>
      </c>
      <c r="J29" t="s">
        <v>59</v>
      </c>
      <c r="K29" s="2">
        <v>36</v>
      </c>
    </row>
    <row r="30" spans="1:12" x14ac:dyDescent="0.25">
      <c r="A30" t="s">
        <v>137</v>
      </c>
      <c r="C30">
        <v>18794740</v>
      </c>
      <c r="D30" t="s">
        <v>147</v>
      </c>
      <c r="E30" t="s">
        <v>148</v>
      </c>
      <c r="F30">
        <v>802893616</v>
      </c>
      <c r="G30" s="1">
        <v>45658</v>
      </c>
      <c r="H30" s="1">
        <v>46045</v>
      </c>
      <c r="I30" t="s">
        <v>14</v>
      </c>
      <c r="J30" t="s">
        <v>23</v>
      </c>
      <c r="K30" s="2">
        <v>36</v>
      </c>
    </row>
    <row r="31" spans="1:12" x14ac:dyDescent="0.25">
      <c r="A31" t="s">
        <v>110</v>
      </c>
      <c r="C31">
        <v>17425766</v>
      </c>
      <c r="D31" t="s">
        <v>118</v>
      </c>
      <c r="E31" t="s">
        <v>119</v>
      </c>
      <c r="F31">
        <v>802944983</v>
      </c>
      <c r="G31" s="1">
        <v>45658</v>
      </c>
      <c r="H31" s="1">
        <v>46045</v>
      </c>
      <c r="I31" t="s">
        <v>14</v>
      </c>
      <c r="J31" t="s">
        <v>115</v>
      </c>
      <c r="K31" s="2">
        <v>36</v>
      </c>
      <c r="L31">
        <f>33.12+1.32+1.56</f>
        <v>36</v>
      </c>
    </row>
    <row r="32" spans="1:12" x14ac:dyDescent="0.25">
      <c r="A32" t="s">
        <v>110</v>
      </c>
      <c r="C32">
        <v>17425766</v>
      </c>
      <c r="D32" t="s">
        <v>113</v>
      </c>
      <c r="E32" t="s">
        <v>114</v>
      </c>
      <c r="F32">
        <v>802964248</v>
      </c>
      <c r="G32" s="1">
        <v>45658</v>
      </c>
      <c r="H32" s="1">
        <v>46045</v>
      </c>
      <c r="I32" t="s">
        <v>14</v>
      </c>
      <c r="J32" t="s">
        <v>115</v>
      </c>
      <c r="K32" s="2">
        <v>36</v>
      </c>
    </row>
    <row r="33" spans="1:11" x14ac:dyDescent="0.25">
      <c r="A33" t="s">
        <v>110</v>
      </c>
      <c r="C33">
        <v>17425766</v>
      </c>
      <c r="D33" t="s">
        <v>113</v>
      </c>
      <c r="E33" t="s">
        <v>114</v>
      </c>
      <c r="F33">
        <v>802964248</v>
      </c>
      <c r="G33" s="1">
        <v>45658</v>
      </c>
      <c r="H33" s="1">
        <v>46045</v>
      </c>
      <c r="I33" t="s">
        <v>14</v>
      </c>
      <c r="J33" t="s">
        <v>23</v>
      </c>
      <c r="K33" s="2">
        <v>36</v>
      </c>
    </row>
    <row r="34" spans="1:11" x14ac:dyDescent="0.25">
      <c r="A34" t="s">
        <v>132</v>
      </c>
      <c r="C34">
        <v>18710070</v>
      </c>
      <c r="D34" t="s">
        <v>135</v>
      </c>
      <c r="E34" t="s">
        <v>136</v>
      </c>
      <c r="F34">
        <v>803016096</v>
      </c>
      <c r="G34" s="1">
        <v>46023</v>
      </c>
      <c r="H34" s="1">
        <v>46045</v>
      </c>
      <c r="I34" t="s">
        <v>14</v>
      </c>
      <c r="J34" t="s">
        <v>59</v>
      </c>
      <c r="K34" s="2">
        <v>36</v>
      </c>
    </row>
    <row r="35" spans="1:11" x14ac:dyDescent="0.25">
      <c r="A35" t="s">
        <v>90</v>
      </c>
      <c r="C35">
        <v>16212649</v>
      </c>
      <c r="D35" t="s">
        <v>96</v>
      </c>
      <c r="E35" t="s">
        <v>97</v>
      </c>
      <c r="F35">
        <v>803090183</v>
      </c>
      <c r="G35" s="1">
        <v>45962</v>
      </c>
      <c r="H35" s="1">
        <v>46045</v>
      </c>
      <c r="I35" t="s">
        <v>14</v>
      </c>
      <c r="J35" t="s">
        <v>98</v>
      </c>
      <c r="K35" s="2">
        <v>31</v>
      </c>
    </row>
    <row r="36" spans="1:11" x14ac:dyDescent="0.25">
      <c r="A36" t="s">
        <v>90</v>
      </c>
      <c r="C36">
        <v>16212649</v>
      </c>
      <c r="D36" t="s">
        <v>96</v>
      </c>
      <c r="E36" t="s">
        <v>97</v>
      </c>
      <c r="F36">
        <v>803090183</v>
      </c>
      <c r="G36" s="1">
        <v>45962</v>
      </c>
      <c r="H36" s="1">
        <v>46045</v>
      </c>
      <c r="I36" t="s">
        <v>14</v>
      </c>
      <c r="J36" t="s">
        <v>99</v>
      </c>
      <c r="K36" s="2">
        <v>31</v>
      </c>
    </row>
    <row r="37" spans="1:11" x14ac:dyDescent="0.25">
      <c r="A37" t="s">
        <v>20</v>
      </c>
      <c r="C37">
        <v>9254978</v>
      </c>
      <c r="D37" t="s">
        <v>24</v>
      </c>
      <c r="E37" t="s">
        <v>25</v>
      </c>
      <c r="F37">
        <v>801951292</v>
      </c>
      <c r="G37" s="1">
        <v>45689</v>
      </c>
      <c r="H37" s="1">
        <v>46045</v>
      </c>
      <c r="I37" t="s">
        <v>14</v>
      </c>
      <c r="J37" t="s">
        <v>26</v>
      </c>
      <c r="K37" s="2">
        <v>22</v>
      </c>
    </row>
    <row r="38" spans="1:11" x14ac:dyDescent="0.25">
      <c r="A38" t="s">
        <v>175</v>
      </c>
      <c r="C38">
        <v>21605264</v>
      </c>
      <c r="D38" t="s">
        <v>176</v>
      </c>
      <c r="E38" t="s">
        <v>177</v>
      </c>
      <c r="F38">
        <v>802985488</v>
      </c>
      <c r="G38" s="1">
        <v>45658</v>
      </c>
      <c r="H38" s="1">
        <v>46045</v>
      </c>
      <c r="I38" t="s">
        <v>14</v>
      </c>
      <c r="J38" t="s">
        <v>26</v>
      </c>
      <c r="K38" s="2">
        <v>22</v>
      </c>
    </row>
    <row r="39" spans="1:11" x14ac:dyDescent="0.25">
      <c r="A39" t="s">
        <v>43</v>
      </c>
      <c r="C39">
        <v>15278437</v>
      </c>
      <c r="D39" t="s">
        <v>67</v>
      </c>
      <c r="E39" t="s">
        <v>68</v>
      </c>
      <c r="F39">
        <v>802987578</v>
      </c>
      <c r="G39" s="1">
        <v>45658</v>
      </c>
      <c r="H39" s="1">
        <v>46045</v>
      </c>
      <c r="I39" t="s">
        <v>14</v>
      </c>
      <c r="J39" t="s">
        <v>26</v>
      </c>
      <c r="K39" s="2">
        <v>22</v>
      </c>
    </row>
    <row r="40" spans="1:11" x14ac:dyDescent="0.25">
      <c r="A40" t="s">
        <v>90</v>
      </c>
      <c r="C40">
        <v>16212649</v>
      </c>
      <c r="D40" t="s">
        <v>91</v>
      </c>
      <c r="E40" t="s">
        <v>92</v>
      </c>
      <c r="F40">
        <v>803049628</v>
      </c>
      <c r="G40" s="1">
        <v>45809</v>
      </c>
      <c r="H40" s="1">
        <v>46045</v>
      </c>
      <c r="I40" t="s">
        <v>14</v>
      </c>
      <c r="J40" t="s">
        <v>26</v>
      </c>
      <c r="K40" s="2">
        <v>22</v>
      </c>
    </row>
    <row r="41" spans="1:11" x14ac:dyDescent="0.25">
      <c r="A41" t="s">
        <v>120</v>
      </c>
      <c r="C41">
        <v>17528908</v>
      </c>
      <c r="D41" t="s">
        <v>121</v>
      </c>
      <c r="E41" t="s">
        <v>122</v>
      </c>
      <c r="F41">
        <v>803052081</v>
      </c>
      <c r="G41" s="1">
        <v>45839</v>
      </c>
      <c r="H41" s="1">
        <v>46045</v>
      </c>
      <c r="I41" t="s">
        <v>14</v>
      </c>
      <c r="J41" t="s">
        <v>26</v>
      </c>
      <c r="K41" s="2">
        <v>22</v>
      </c>
    </row>
    <row r="42" spans="1:11" x14ac:dyDescent="0.25">
      <c r="A42" t="s">
        <v>137</v>
      </c>
      <c r="C42">
        <v>18794740</v>
      </c>
      <c r="D42" t="s">
        <v>150</v>
      </c>
      <c r="E42" t="s">
        <v>151</v>
      </c>
      <c r="F42">
        <v>803065418</v>
      </c>
      <c r="G42" s="1">
        <v>45870</v>
      </c>
      <c r="H42" s="1">
        <v>46045</v>
      </c>
      <c r="I42" t="s">
        <v>14</v>
      </c>
      <c r="J42" t="s">
        <v>26</v>
      </c>
      <c r="K42" s="2">
        <v>22</v>
      </c>
    </row>
    <row r="43" spans="1:11" x14ac:dyDescent="0.25">
      <c r="A43" t="s">
        <v>132</v>
      </c>
      <c r="C43">
        <v>18710070</v>
      </c>
      <c r="D43" t="s">
        <v>133</v>
      </c>
      <c r="E43" t="s">
        <v>134</v>
      </c>
      <c r="F43">
        <v>803069665</v>
      </c>
      <c r="G43" s="1">
        <v>45901</v>
      </c>
      <c r="H43" s="1">
        <v>46045</v>
      </c>
      <c r="I43" t="s">
        <v>14</v>
      </c>
      <c r="J43" t="s">
        <v>26</v>
      </c>
      <c r="K43" s="2">
        <v>22</v>
      </c>
    </row>
    <row r="44" spans="1:11" x14ac:dyDescent="0.25">
      <c r="A44" t="s">
        <v>43</v>
      </c>
      <c r="C44">
        <v>15278437</v>
      </c>
      <c r="D44" t="s">
        <v>53</v>
      </c>
      <c r="E44" t="s">
        <v>54</v>
      </c>
      <c r="F44">
        <v>803075621</v>
      </c>
      <c r="G44" s="1">
        <v>45901</v>
      </c>
      <c r="H44" s="1">
        <v>46045</v>
      </c>
      <c r="I44" t="s">
        <v>14</v>
      </c>
      <c r="J44" t="s">
        <v>26</v>
      </c>
      <c r="K44" s="2">
        <v>22</v>
      </c>
    </row>
    <row r="45" spans="1:11" x14ac:dyDescent="0.25">
      <c r="A45" t="s">
        <v>43</v>
      </c>
      <c r="C45">
        <v>15278437</v>
      </c>
      <c r="D45" t="s">
        <v>49</v>
      </c>
      <c r="E45" t="s">
        <v>50</v>
      </c>
      <c r="F45">
        <v>803086559</v>
      </c>
      <c r="G45" s="1">
        <v>45931</v>
      </c>
      <c r="H45" s="1">
        <v>46045</v>
      </c>
      <c r="I45" t="s">
        <v>14</v>
      </c>
      <c r="J45" t="s">
        <v>26</v>
      </c>
      <c r="K45" s="2">
        <v>22</v>
      </c>
    </row>
    <row r="46" spans="1:11" x14ac:dyDescent="0.25">
      <c r="A46" t="s">
        <v>137</v>
      </c>
      <c r="C46">
        <v>18794740</v>
      </c>
      <c r="D46" t="s">
        <v>173</v>
      </c>
      <c r="E46" t="s">
        <v>174</v>
      </c>
      <c r="F46">
        <v>803095503</v>
      </c>
      <c r="G46" s="1">
        <v>46023</v>
      </c>
      <c r="H46" s="1">
        <v>46045</v>
      </c>
      <c r="I46" t="s">
        <v>14</v>
      </c>
      <c r="J46" t="s">
        <v>42</v>
      </c>
      <c r="K46" s="2">
        <v>22</v>
      </c>
    </row>
    <row r="47" spans="1:11" x14ac:dyDescent="0.25">
      <c r="A47" t="s">
        <v>20</v>
      </c>
      <c r="C47">
        <v>9254978</v>
      </c>
      <c r="D47" t="s">
        <v>40</v>
      </c>
      <c r="E47" t="s">
        <v>41</v>
      </c>
      <c r="F47">
        <v>803096452</v>
      </c>
      <c r="G47" s="1">
        <v>46023</v>
      </c>
      <c r="H47" s="1">
        <v>46045</v>
      </c>
      <c r="I47" t="s">
        <v>14</v>
      </c>
      <c r="J47" t="s">
        <v>42</v>
      </c>
      <c r="K47" s="2">
        <v>22</v>
      </c>
    </row>
    <row r="48" spans="1:11" x14ac:dyDescent="0.25">
      <c r="A48" t="s">
        <v>125</v>
      </c>
      <c r="C48">
        <v>18598357</v>
      </c>
      <c r="D48" t="s">
        <v>130</v>
      </c>
      <c r="E48" t="s">
        <v>131</v>
      </c>
      <c r="F48">
        <v>803112589</v>
      </c>
      <c r="G48" s="1">
        <v>46023</v>
      </c>
      <c r="H48" s="1">
        <v>46045</v>
      </c>
      <c r="I48" t="s">
        <v>14</v>
      </c>
      <c r="J48" t="s">
        <v>42</v>
      </c>
      <c r="K48" s="2">
        <v>22</v>
      </c>
    </row>
    <row r="49" spans="1:11" x14ac:dyDescent="0.25">
      <c r="A49" t="s">
        <v>120</v>
      </c>
      <c r="C49">
        <v>17528908</v>
      </c>
      <c r="D49" t="s">
        <v>123</v>
      </c>
      <c r="E49" t="s">
        <v>124</v>
      </c>
      <c r="F49">
        <v>803124115</v>
      </c>
      <c r="G49" s="1">
        <v>46023</v>
      </c>
      <c r="H49" s="1">
        <v>46045</v>
      </c>
      <c r="I49" t="s">
        <v>14</v>
      </c>
      <c r="J49" t="s">
        <v>42</v>
      </c>
      <c r="K49" s="2">
        <v>22</v>
      </c>
    </row>
    <row r="50" spans="1:11" x14ac:dyDescent="0.25">
      <c r="A50" t="s">
        <v>43</v>
      </c>
      <c r="C50">
        <v>15278437</v>
      </c>
      <c r="D50" t="s">
        <v>66</v>
      </c>
      <c r="E50" t="s">
        <v>61</v>
      </c>
      <c r="F50">
        <v>801940958</v>
      </c>
      <c r="G50" s="1">
        <v>46023</v>
      </c>
      <c r="H50" s="1">
        <v>46045</v>
      </c>
      <c r="I50" t="s">
        <v>14</v>
      </c>
      <c r="J50" t="s">
        <v>48</v>
      </c>
      <c r="K50" s="2">
        <v>18</v>
      </c>
    </row>
    <row r="51" spans="1:11" x14ac:dyDescent="0.25">
      <c r="A51" t="s">
        <v>125</v>
      </c>
      <c r="C51">
        <v>18598357</v>
      </c>
      <c r="D51" t="s">
        <v>126</v>
      </c>
      <c r="E51" t="s">
        <v>127</v>
      </c>
      <c r="F51">
        <v>802041455</v>
      </c>
      <c r="G51" s="1">
        <v>45658</v>
      </c>
      <c r="H51" s="1">
        <v>46045</v>
      </c>
      <c r="I51" t="s">
        <v>14</v>
      </c>
      <c r="J51" t="s">
        <v>19</v>
      </c>
      <c r="K51" s="2">
        <v>18</v>
      </c>
    </row>
    <row r="52" spans="1:11" x14ac:dyDescent="0.25">
      <c r="A52" t="s">
        <v>43</v>
      </c>
      <c r="C52">
        <v>15278437</v>
      </c>
      <c r="D52" t="s">
        <v>69</v>
      </c>
      <c r="E52" t="s">
        <v>70</v>
      </c>
      <c r="F52">
        <v>802207450</v>
      </c>
      <c r="G52" s="1">
        <v>46023</v>
      </c>
      <c r="H52" s="1">
        <v>46045</v>
      </c>
      <c r="I52" t="s">
        <v>14</v>
      </c>
      <c r="J52" t="s">
        <v>48</v>
      </c>
      <c r="K52" s="2">
        <v>18</v>
      </c>
    </row>
    <row r="53" spans="1:11" x14ac:dyDescent="0.25">
      <c r="A53" t="s">
        <v>137</v>
      </c>
      <c r="C53">
        <v>18794740</v>
      </c>
      <c r="D53" t="s">
        <v>159</v>
      </c>
      <c r="E53" t="s">
        <v>160</v>
      </c>
      <c r="F53">
        <v>802401885</v>
      </c>
      <c r="G53" s="1">
        <v>45658</v>
      </c>
      <c r="H53" s="1">
        <v>46045</v>
      </c>
      <c r="I53" t="s">
        <v>14</v>
      </c>
      <c r="J53" t="s">
        <v>19</v>
      </c>
      <c r="K53" s="2">
        <v>18</v>
      </c>
    </row>
    <row r="54" spans="1:11" x14ac:dyDescent="0.25">
      <c r="A54" t="s">
        <v>43</v>
      </c>
      <c r="C54">
        <v>15278437</v>
      </c>
      <c r="D54" t="s">
        <v>60</v>
      </c>
      <c r="E54" t="s">
        <v>61</v>
      </c>
      <c r="F54">
        <v>802417862</v>
      </c>
      <c r="G54" s="1">
        <v>46023</v>
      </c>
      <c r="H54" s="1">
        <v>46045</v>
      </c>
      <c r="I54" t="s">
        <v>14</v>
      </c>
      <c r="J54" t="s">
        <v>48</v>
      </c>
      <c r="K54" s="2">
        <v>18</v>
      </c>
    </row>
    <row r="55" spans="1:11" x14ac:dyDescent="0.25">
      <c r="A55" t="s">
        <v>16</v>
      </c>
      <c r="C55">
        <v>8971826</v>
      </c>
      <c r="D55" t="s">
        <v>17</v>
      </c>
      <c r="E55" t="s">
        <v>18</v>
      </c>
      <c r="F55">
        <v>802422752</v>
      </c>
      <c r="G55" s="1">
        <v>45658</v>
      </c>
      <c r="H55" s="1">
        <v>46045</v>
      </c>
      <c r="I55" t="s">
        <v>14</v>
      </c>
      <c r="J55" t="s">
        <v>19</v>
      </c>
      <c r="K55" s="2">
        <v>18</v>
      </c>
    </row>
    <row r="56" spans="1:11" x14ac:dyDescent="0.25">
      <c r="A56" t="s">
        <v>43</v>
      </c>
      <c r="C56">
        <v>15278437</v>
      </c>
      <c r="D56" t="s">
        <v>73</v>
      </c>
      <c r="E56" t="s">
        <v>77</v>
      </c>
      <c r="F56">
        <v>802492983</v>
      </c>
      <c r="G56" s="1">
        <v>46023</v>
      </c>
      <c r="H56" s="1">
        <v>46045</v>
      </c>
      <c r="I56" t="s">
        <v>14</v>
      </c>
      <c r="J56" t="s">
        <v>48</v>
      </c>
      <c r="K56" s="2">
        <v>18</v>
      </c>
    </row>
    <row r="57" spans="1:11" x14ac:dyDescent="0.25">
      <c r="A57" t="s">
        <v>125</v>
      </c>
      <c r="C57">
        <v>18598357</v>
      </c>
      <c r="D57" t="s">
        <v>128</v>
      </c>
      <c r="E57" t="s">
        <v>129</v>
      </c>
      <c r="F57">
        <v>802493406</v>
      </c>
      <c r="G57" s="1">
        <v>46023</v>
      </c>
      <c r="H57" s="1">
        <v>46045</v>
      </c>
      <c r="I57" t="s">
        <v>14</v>
      </c>
      <c r="J57" t="s">
        <v>48</v>
      </c>
      <c r="K57" s="2">
        <v>18</v>
      </c>
    </row>
    <row r="58" spans="1:11" x14ac:dyDescent="0.25">
      <c r="A58" t="s">
        <v>43</v>
      </c>
      <c r="C58">
        <v>15278437</v>
      </c>
      <c r="D58" t="s">
        <v>86</v>
      </c>
      <c r="E58" t="s">
        <v>87</v>
      </c>
      <c r="F58">
        <v>802540674</v>
      </c>
      <c r="G58" s="1">
        <v>45658</v>
      </c>
      <c r="H58" s="1">
        <v>46045</v>
      </c>
      <c r="I58" t="s">
        <v>14</v>
      </c>
      <c r="J58" t="s">
        <v>19</v>
      </c>
      <c r="K58" s="2">
        <v>18</v>
      </c>
    </row>
    <row r="59" spans="1:11" x14ac:dyDescent="0.25">
      <c r="A59" t="s">
        <v>137</v>
      </c>
      <c r="C59">
        <v>18794740</v>
      </c>
      <c r="D59" t="s">
        <v>158</v>
      </c>
      <c r="E59" t="s">
        <v>151</v>
      </c>
      <c r="F59">
        <v>802552042</v>
      </c>
      <c r="G59" s="1">
        <v>46023</v>
      </c>
      <c r="H59" s="1">
        <v>46045</v>
      </c>
      <c r="I59" t="s">
        <v>14</v>
      </c>
      <c r="J59" t="s">
        <v>48</v>
      </c>
      <c r="K59" s="2">
        <v>18</v>
      </c>
    </row>
    <row r="60" spans="1:11" x14ac:dyDescent="0.25">
      <c r="A60" t="s">
        <v>90</v>
      </c>
      <c r="C60">
        <v>16212649</v>
      </c>
      <c r="D60" t="s">
        <v>100</v>
      </c>
      <c r="E60" t="s">
        <v>94</v>
      </c>
      <c r="F60">
        <v>802558568</v>
      </c>
      <c r="G60" s="1">
        <v>45658</v>
      </c>
      <c r="H60" s="1">
        <v>46045</v>
      </c>
      <c r="I60" t="s">
        <v>14</v>
      </c>
      <c r="J60" t="s">
        <v>19</v>
      </c>
      <c r="K60" s="2">
        <v>18</v>
      </c>
    </row>
    <row r="61" spans="1:11" x14ac:dyDescent="0.25">
      <c r="A61" t="s">
        <v>43</v>
      </c>
      <c r="C61">
        <v>15278437</v>
      </c>
      <c r="D61" t="s">
        <v>84</v>
      </c>
      <c r="E61" t="s">
        <v>85</v>
      </c>
      <c r="F61">
        <v>802597589</v>
      </c>
      <c r="G61" s="1">
        <v>45658</v>
      </c>
      <c r="H61" s="1">
        <v>46045</v>
      </c>
      <c r="I61" t="s">
        <v>14</v>
      </c>
      <c r="J61" t="s">
        <v>19</v>
      </c>
      <c r="K61" s="2">
        <v>18</v>
      </c>
    </row>
    <row r="62" spans="1:11" x14ac:dyDescent="0.25">
      <c r="A62" t="s">
        <v>43</v>
      </c>
      <c r="C62">
        <v>15278437</v>
      </c>
      <c r="D62" t="s">
        <v>84</v>
      </c>
      <c r="E62" t="s">
        <v>85</v>
      </c>
      <c r="F62">
        <v>802597589</v>
      </c>
      <c r="G62" s="1">
        <v>46023</v>
      </c>
      <c r="H62" s="1">
        <v>46045</v>
      </c>
      <c r="I62" t="s">
        <v>14</v>
      </c>
      <c r="J62" t="s">
        <v>48</v>
      </c>
      <c r="K62" s="2">
        <v>18</v>
      </c>
    </row>
    <row r="63" spans="1:11" x14ac:dyDescent="0.25">
      <c r="A63" t="s">
        <v>137</v>
      </c>
      <c r="C63">
        <v>18794740</v>
      </c>
      <c r="D63" t="s">
        <v>149</v>
      </c>
      <c r="E63" t="s">
        <v>140</v>
      </c>
      <c r="F63">
        <v>802629066</v>
      </c>
      <c r="G63" s="1">
        <v>45658</v>
      </c>
      <c r="H63" s="1">
        <v>46045</v>
      </c>
      <c r="I63" t="s">
        <v>14</v>
      </c>
      <c r="J63" t="s">
        <v>19</v>
      </c>
      <c r="K63" s="2">
        <v>18</v>
      </c>
    </row>
    <row r="64" spans="1:11" x14ac:dyDescent="0.25">
      <c r="A64" t="s">
        <v>137</v>
      </c>
      <c r="C64">
        <v>18794740</v>
      </c>
      <c r="D64" t="s">
        <v>143</v>
      </c>
      <c r="E64" t="s">
        <v>144</v>
      </c>
      <c r="F64">
        <v>802629573</v>
      </c>
      <c r="G64" s="1">
        <v>45658</v>
      </c>
      <c r="H64" s="1">
        <v>46045</v>
      </c>
      <c r="I64" t="s">
        <v>14</v>
      </c>
      <c r="J64" t="s">
        <v>19</v>
      </c>
      <c r="K64" s="2">
        <v>18</v>
      </c>
    </row>
    <row r="65" spans="1:11" x14ac:dyDescent="0.25">
      <c r="A65" t="s">
        <v>43</v>
      </c>
      <c r="C65">
        <v>15278437</v>
      </c>
      <c r="D65" t="s">
        <v>64</v>
      </c>
      <c r="E65" t="s">
        <v>65</v>
      </c>
      <c r="F65">
        <v>802650873</v>
      </c>
      <c r="G65" s="1">
        <v>45658</v>
      </c>
      <c r="H65" s="1">
        <v>46045</v>
      </c>
      <c r="I65" t="s">
        <v>14</v>
      </c>
      <c r="J65" t="s">
        <v>19</v>
      </c>
      <c r="K65" s="2">
        <v>18</v>
      </c>
    </row>
    <row r="66" spans="1:11" x14ac:dyDescent="0.25">
      <c r="A66" t="s">
        <v>20</v>
      </c>
      <c r="C66">
        <v>9254978</v>
      </c>
      <c r="D66" t="s">
        <v>34</v>
      </c>
      <c r="E66" t="s">
        <v>35</v>
      </c>
      <c r="F66">
        <v>802742865</v>
      </c>
      <c r="G66" s="1">
        <v>45658</v>
      </c>
      <c r="H66" s="1">
        <v>46045</v>
      </c>
      <c r="I66" t="s">
        <v>14</v>
      </c>
      <c r="J66" t="s">
        <v>19</v>
      </c>
      <c r="K66" s="2">
        <v>18</v>
      </c>
    </row>
    <row r="67" spans="1:11" x14ac:dyDescent="0.25">
      <c r="A67" t="s">
        <v>20</v>
      </c>
      <c r="C67">
        <v>9254978</v>
      </c>
      <c r="D67" t="s">
        <v>30</v>
      </c>
      <c r="E67" t="s">
        <v>31</v>
      </c>
      <c r="F67">
        <v>802758903</v>
      </c>
      <c r="G67" s="1">
        <v>45658</v>
      </c>
      <c r="H67" s="1">
        <v>46045</v>
      </c>
      <c r="I67" t="s">
        <v>14</v>
      </c>
      <c r="J67" t="s">
        <v>19</v>
      </c>
      <c r="K67" s="2">
        <v>18</v>
      </c>
    </row>
    <row r="68" spans="1:11" x14ac:dyDescent="0.25">
      <c r="A68" t="s">
        <v>110</v>
      </c>
      <c r="C68">
        <v>17425766</v>
      </c>
      <c r="D68" t="s">
        <v>116</v>
      </c>
      <c r="E68" t="s">
        <v>117</v>
      </c>
      <c r="F68">
        <v>802764281</v>
      </c>
      <c r="G68" s="1">
        <v>45658</v>
      </c>
      <c r="H68" s="1">
        <v>46045</v>
      </c>
      <c r="I68" t="s">
        <v>14</v>
      </c>
      <c r="J68" t="s">
        <v>19</v>
      </c>
      <c r="K68" s="2">
        <v>18</v>
      </c>
    </row>
    <row r="69" spans="1:11" x14ac:dyDescent="0.25">
      <c r="A69" t="s">
        <v>137</v>
      </c>
      <c r="C69">
        <v>18794740</v>
      </c>
      <c r="D69" t="s">
        <v>163</v>
      </c>
      <c r="E69" t="s">
        <v>164</v>
      </c>
      <c r="F69">
        <v>802765299</v>
      </c>
      <c r="G69" s="1">
        <v>45658</v>
      </c>
      <c r="H69" s="1">
        <v>46045</v>
      </c>
      <c r="I69" t="s">
        <v>14</v>
      </c>
      <c r="J69" t="s">
        <v>19</v>
      </c>
      <c r="K69" s="2">
        <v>18</v>
      </c>
    </row>
    <row r="70" spans="1:11" x14ac:dyDescent="0.25">
      <c r="A70" t="s">
        <v>137</v>
      </c>
      <c r="C70">
        <v>18794740</v>
      </c>
      <c r="D70" t="s">
        <v>163</v>
      </c>
      <c r="E70" t="s">
        <v>164</v>
      </c>
      <c r="F70">
        <v>802765299</v>
      </c>
      <c r="G70" s="1">
        <v>46023</v>
      </c>
      <c r="H70" s="1">
        <v>46045</v>
      </c>
      <c r="I70" t="s">
        <v>14</v>
      </c>
      <c r="J70" t="s">
        <v>48</v>
      </c>
      <c r="K70" s="2">
        <v>18</v>
      </c>
    </row>
    <row r="71" spans="1:11" x14ac:dyDescent="0.25">
      <c r="A71" t="s">
        <v>110</v>
      </c>
      <c r="C71">
        <v>17425766</v>
      </c>
      <c r="D71" t="s">
        <v>111</v>
      </c>
      <c r="E71" t="s">
        <v>112</v>
      </c>
      <c r="F71">
        <v>802766120</v>
      </c>
      <c r="G71" s="1">
        <v>46023</v>
      </c>
      <c r="H71" s="1">
        <v>46045</v>
      </c>
      <c r="I71" t="s">
        <v>14</v>
      </c>
      <c r="J71" t="s">
        <v>48</v>
      </c>
      <c r="K71" s="2">
        <v>18</v>
      </c>
    </row>
    <row r="72" spans="1:11" x14ac:dyDescent="0.25">
      <c r="A72" t="s">
        <v>137</v>
      </c>
      <c r="C72">
        <v>18794740</v>
      </c>
      <c r="D72" t="s">
        <v>141</v>
      </c>
      <c r="E72" t="s">
        <v>142</v>
      </c>
      <c r="F72">
        <v>802833363</v>
      </c>
      <c r="G72" s="1">
        <v>45658</v>
      </c>
      <c r="H72" s="1">
        <v>46045</v>
      </c>
      <c r="I72" t="s">
        <v>14</v>
      </c>
      <c r="J72" t="s">
        <v>19</v>
      </c>
      <c r="K72" s="2">
        <v>18</v>
      </c>
    </row>
    <row r="73" spans="1:11" x14ac:dyDescent="0.25">
      <c r="A73" t="s">
        <v>43</v>
      </c>
      <c r="C73">
        <v>15278437</v>
      </c>
      <c r="D73" t="s">
        <v>46</v>
      </c>
      <c r="E73" t="s">
        <v>47</v>
      </c>
      <c r="F73">
        <v>802854393</v>
      </c>
      <c r="G73" s="1">
        <v>46023</v>
      </c>
      <c r="H73" s="1">
        <v>46045</v>
      </c>
      <c r="I73" t="s">
        <v>14</v>
      </c>
      <c r="J73" t="s">
        <v>48</v>
      </c>
      <c r="K73" s="2">
        <v>18</v>
      </c>
    </row>
    <row r="74" spans="1:11" x14ac:dyDescent="0.25">
      <c r="A74" t="s">
        <v>137</v>
      </c>
      <c r="C74">
        <v>18794740</v>
      </c>
      <c r="D74" t="s">
        <v>152</v>
      </c>
      <c r="E74" t="s">
        <v>153</v>
      </c>
      <c r="F74">
        <v>802902756</v>
      </c>
      <c r="G74" s="1">
        <v>45658</v>
      </c>
      <c r="H74" s="1">
        <v>46045</v>
      </c>
      <c r="I74" t="s">
        <v>14</v>
      </c>
      <c r="J74" t="s">
        <v>19</v>
      </c>
      <c r="K74" s="2">
        <v>18</v>
      </c>
    </row>
    <row r="75" spans="1:11" x14ac:dyDescent="0.25">
      <c r="A75" t="s">
        <v>43</v>
      </c>
      <c r="C75">
        <v>15278437</v>
      </c>
      <c r="D75" t="s">
        <v>44</v>
      </c>
      <c r="E75" t="s">
        <v>45</v>
      </c>
      <c r="F75">
        <v>802924885</v>
      </c>
      <c r="G75" s="1">
        <v>45658</v>
      </c>
      <c r="H75" s="1">
        <v>46045</v>
      </c>
      <c r="I75" t="s">
        <v>14</v>
      </c>
      <c r="J75" t="s">
        <v>19</v>
      </c>
      <c r="K75" s="2">
        <v>18</v>
      </c>
    </row>
    <row r="76" spans="1:11" x14ac:dyDescent="0.25">
      <c r="A76" t="s">
        <v>43</v>
      </c>
      <c r="C76">
        <v>15278437</v>
      </c>
      <c r="D76" t="s">
        <v>88</v>
      </c>
      <c r="E76" t="s">
        <v>89</v>
      </c>
      <c r="F76">
        <v>802965039</v>
      </c>
      <c r="G76" s="1">
        <v>45658</v>
      </c>
      <c r="H76" s="1">
        <v>46045</v>
      </c>
      <c r="I76" t="s">
        <v>14</v>
      </c>
      <c r="J76" t="s">
        <v>19</v>
      </c>
      <c r="K76" s="2">
        <v>18</v>
      </c>
    </row>
    <row r="77" spans="1:11" x14ac:dyDescent="0.25">
      <c r="A77" t="s">
        <v>43</v>
      </c>
      <c r="C77">
        <v>15278437</v>
      </c>
      <c r="D77" t="s">
        <v>82</v>
      </c>
      <c r="E77" t="s">
        <v>83</v>
      </c>
      <c r="F77">
        <v>802966160</v>
      </c>
      <c r="G77" s="1">
        <v>45658</v>
      </c>
      <c r="H77" s="1">
        <v>46045</v>
      </c>
      <c r="I77" t="s">
        <v>14</v>
      </c>
      <c r="J77" t="s">
        <v>19</v>
      </c>
      <c r="K77" s="2">
        <v>18</v>
      </c>
    </row>
    <row r="78" spans="1:11" s="4" customFormat="1" x14ac:dyDescent="0.25">
      <c r="A78" s="4" t="s">
        <v>137</v>
      </c>
      <c r="C78" s="4">
        <v>18794740</v>
      </c>
      <c r="D78" s="4" t="s">
        <v>138</v>
      </c>
      <c r="E78" s="4" t="s">
        <v>139</v>
      </c>
      <c r="F78" s="4">
        <v>803044035</v>
      </c>
      <c r="G78" s="5">
        <v>46023</v>
      </c>
      <c r="H78" s="5">
        <v>46045</v>
      </c>
      <c r="I78" s="4" t="s">
        <v>14</v>
      </c>
      <c r="J78" s="4" t="s">
        <v>48</v>
      </c>
      <c r="K78" s="6">
        <v>18</v>
      </c>
    </row>
    <row r="79" spans="1:11" s="4" customFormat="1" x14ac:dyDescent="0.25">
      <c r="A79" s="4" t="s">
        <v>137</v>
      </c>
      <c r="C79" s="4">
        <v>18794740</v>
      </c>
      <c r="D79" s="4" t="s">
        <v>156</v>
      </c>
      <c r="E79" s="4" t="s">
        <v>157</v>
      </c>
      <c r="F79" s="4">
        <v>803050668</v>
      </c>
      <c r="G79" s="5">
        <v>46023</v>
      </c>
      <c r="H79" s="5">
        <v>46045</v>
      </c>
      <c r="I79" s="4" t="s">
        <v>14</v>
      </c>
      <c r="J79" s="4" t="s">
        <v>48</v>
      </c>
      <c r="K79" s="6">
        <v>18</v>
      </c>
    </row>
    <row r="80" spans="1:11" s="4" customFormat="1" x14ac:dyDescent="0.25">
      <c r="A80" s="4" t="s">
        <v>104</v>
      </c>
      <c r="C80" s="4">
        <v>16509456</v>
      </c>
      <c r="D80" s="4" t="s">
        <v>105</v>
      </c>
      <c r="E80" s="4" t="s">
        <v>106</v>
      </c>
      <c r="F80" s="4">
        <v>803072574</v>
      </c>
      <c r="G80" s="5">
        <v>46023</v>
      </c>
      <c r="H80" s="5">
        <v>46045</v>
      </c>
      <c r="I80" s="4" t="s">
        <v>14</v>
      </c>
      <c r="J80" s="4" t="s">
        <v>48</v>
      </c>
      <c r="K80" s="6">
        <v>18</v>
      </c>
    </row>
    <row r="81" spans="1:11" s="4" customFormat="1" x14ac:dyDescent="0.25">
      <c r="A81" s="4" t="s">
        <v>137</v>
      </c>
      <c r="C81" s="4">
        <v>18794740</v>
      </c>
      <c r="D81" s="4" t="s">
        <v>154</v>
      </c>
      <c r="E81" s="4" t="s">
        <v>155</v>
      </c>
      <c r="F81" s="4">
        <v>803080963</v>
      </c>
      <c r="G81" s="5">
        <v>46023</v>
      </c>
      <c r="H81" s="5">
        <v>46045</v>
      </c>
      <c r="I81" s="4" t="s">
        <v>14</v>
      </c>
      <c r="J81" s="4" t="s">
        <v>48</v>
      </c>
      <c r="K81" s="6">
        <v>18</v>
      </c>
    </row>
    <row r="82" spans="1:11" x14ac:dyDescent="0.25">
      <c r="A82" t="s">
        <v>104</v>
      </c>
      <c r="C82">
        <v>16509456</v>
      </c>
      <c r="D82" t="s">
        <v>107</v>
      </c>
      <c r="E82" t="s">
        <v>108</v>
      </c>
      <c r="F82">
        <v>803094359</v>
      </c>
      <c r="G82" s="1">
        <v>45962</v>
      </c>
      <c r="H82" s="1">
        <v>46045</v>
      </c>
      <c r="I82" t="s">
        <v>14</v>
      </c>
      <c r="J82" t="s">
        <v>298</v>
      </c>
      <c r="K82" s="2">
        <v>13.35</v>
      </c>
    </row>
    <row r="83" spans="1:11" x14ac:dyDescent="0.25">
      <c r="A83" t="s">
        <v>20</v>
      </c>
      <c r="C83">
        <v>9254978</v>
      </c>
      <c r="D83" t="s">
        <v>36</v>
      </c>
      <c r="E83" t="s">
        <v>37</v>
      </c>
      <c r="F83">
        <v>802999435</v>
      </c>
      <c r="G83" s="1">
        <v>45658</v>
      </c>
      <c r="H83" s="1">
        <v>46045</v>
      </c>
      <c r="I83" t="s">
        <v>14</v>
      </c>
      <c r="J83" t="s">
        <v>290</v>
      </c>
      <c r="K83" s="2">
        <v>10.68</v>
      </c>
    </row>
    <row r="84" spans="1:11" x14ac:dyDescent="0.25">
      <c r="A84" t="s">
        <v>271</v>
      </c>
      <c r="C84">
        <v>18134413</v>
      </c>
      <c r="D84" t="s">
        <v>335</v>
      </c>
      <c r="E84" t="s">
        <v>336</v>
      </c>
      <c r="F84">
        <v>802533739</v>
      </c>
      <c r="G84" s="1">
        <v>45717</v>
      </c>
      <c r="H84" s="1">
        <v>46045</v>
      </c>
      <c r="I84" t="s">
        <v>14</v>
      </c>
      <c r="J84" t="s">
        <v>293</v>
      </c>
      <c r="K84" s="2">
        <v>10</v>
      </c>
    </row>
    <row r="85" spans="1:11" x14ac:dyDescent="0.25">
      <c r="A85" t="s">
        <v>43</v>
      </c>
      <c r="C85">
        <v>15278437</v>
      </c>
      <c r="D85" t="s">
        <v>73</v>
      </c>
      <c r="E85" t="s">
        <v>75</v>
      </c>
      <c r="F85">
        <v>802566055</v>
      </c>
      <c r="G85" s="1">
        <v>45658</v>
      </c>
      <c r="H85" s="1">
        <v>46045</v>
      </c>
      <c r="I85" t="s">
        <v>14</v>
      </c>
      <c r="J85" t="s">
        <v>293</v>
      </c>
      <c r="K85" s="2">
        <v>10</v>
      </c>
    </row>
    <row r="86" spans="1:11" x14ac:dyDescent="0.25">
      <c r="A86" t="s">
        <v>255</v>
      </c>
      <c r="C86">
        <v>18010408</v>
      </c>
      <c r="D86" t="s">
        <v>62</v>
      </c>
      <c r="E86" t="s">
        <v>333</v>
      </c>
      <c r="F86">
        <v>802839140</v>
      </c>
      <c r="G86" s="1">
        <v>45658</v>
      </c>
      <c r="H86" s="1">
        <v>46045</v>
      </c>
      <c r="I86" t="s">
        <v>14</v>
      </c>
      <c r="J86" t="s">
        <v>293</v>
      </c>
      <c r="K86" s="2">
        <v>10</v>
      </c>
    </row>
    <row r="87" spans="1:11" x14ac:dyDescent="0.25">
      <c r="A87" t="s">
        <v>20</v>
      </c>
      <c r="C87">
        <v>9254978</v>
      </c>
      <c r="D87" t="s">
        <v>32</v>
      </c>
      <c r="E87" t="s">
        <v>33</v>
      </c>
      <c r="F87">
        <v>802766776</v>
      </c>
      <c r="G87" s="1">
        <v>45658</v>
      </c>
      <c r="H87" s="1">
        <v>46045</v>
      </c>
      <c r="I87" t="s">
        <v>14</v>
      </c>
      <c r="J87" t="s">
        <v>289</v>
      </c>
      <c r="K87" s="2">
        <v>8</v>
      </c>
    </row>
    <row r="88" spans="1:11" x14ac:dyDescent="0.25">
      <c r="A88" t="s">
        <v>20</v>
      </c>
      <c r="C88">
        <v>9254978</v>
      </c>
      <c r="D88" t="s">
        <v>27</v>
      </c>
      <c r="E88" t="s">
        <v>28</v>
      </c>
      <c r="F88">
        <v>802776949</v>
      </c>
      <c r="G88" s="1">
        <v>45658</v>
      </c>
      <c r="H88" s="1">
        <v>46045</v>
      </c>
      <c r="I88" t="s">
        <v>14</v>
      </c>
      <c r="J88" t="s">
        <v>289</v>
      </c>
      <c r="K88" s="2">
        <v>8</v>
      </c>
    </row>
    <row r="89" spans="1:11" x14ac:dyDescent="0.25">
      <c r="A89" t="s">
        <v>110</v>
      </c>
      <c r="C89">
        <v>17425766</v>
      </c>
      <c r="D89" t="s">
        <v>118</v>
      </c>
      <c r="E89" t="s">
        <v>119</v>
      </c>
      <c r="F89">
        <v>802944983</v>
      </c>
      <c r="G89" s="1">
        <v>45658</v>
      </c>
      <c r="H89" s="1">
        <v>46045</v>
      </c>
      <c r="I89" t="s">
        <v>14</v>
      </c>
      <c r="J89" t="s">
        <v>289</v>
      </c>
      <c r="K89" s="2">
        <v>8</v>
      </c>
    </row>
    <row r="90" spans="1:11" x14ac:dyDescent="0.25">
      <c r="A90" t="s">
        <v>255</v>
      </c>
      <c r="C90">
        <v>18010408</v>
      </c>
      <c r="D90" t="s">
        <v>30</v>
      </c>
      <c r="E90" t="s">
        <v>334</v>
      </c>
      <c r="F90">
        <v>802996058</v>
      </c>
      <c r="G90" s="1">
        <v>45658</v>
      </c>
      <c r="H90" s="1">
        <v>46045</v>
      </c>
      <c r="I90" t="s">
        <v>14</v>
      </c>
      <c r="J90" t="s">
        <v>289</v>
      </c>
      <c r="K90" s="2">
        <v>8</v>
      </c>
    </row>
    <row r="91" spans="1:11" x14ac:dyDescent="0.25">
      <c r="A91" t="s">
        <v>20</v>
      </c>
      <c r="C91">
        <v>9254978</v>
      </c>
      <c r="D91" t="s">
        <v>36</v>
      </c>
      <c r="E91" t="s">
        <v>37</v>
      </c>
      <c r="F91">
        <v>802999435</v>
      </c>
      <c r="G91" s="1">
        <v>46023</v>
      </c>
      <c r="H91" s="1">
        <v>46045</v>
      </c>
      <c r="I91" t="s">
        <v>14</v>
      </c>
      <c r="J91" t="s">
        <v>291</v>
      </c>
      <c r="K91" s="2">
        <v>8</v>
      </c>
    </row>
    <row r="92" spans="1:11" x14ac:dyDescent="0.25">
      <c r="A92" t="s">
        <v>43</v>
      </c>
      <c r="C92">
        <v>15278437</v>
      </c>
      <c r="D92" t="s">
        <v>79</v>
      </c>
      <c r="E92" t="s">
        <v>80</v>
      </c>
      <c r="F92">
        <v>802020387</v>
      </c>
      <c r="G92" s="1">
        <v>46023</v>
      </c>
      <c r="H92" s="1">
        <v>46045</v>
      </c>
      <c r="I92" t="s">
        <v>14</v>
      </c>
      <c r="J92" t="s">
        <v>294</v>
      </c>
      <c r="K92" s="2">
        <v>6</v>
      </c>
    </row>
    <row r="93" spans="1:11" x14ac:dyDescent="0.25">
      <c r="A93" t="s">
        <v>90</v>
      </c>
      <c r="C93">
        <v>16212649</v>
      </c>
      <c r="D93" t="s">
        <v>93</v>
      </c>
      <c r="E93" t="s">
        <v>94</v>
      </c>
      <c r="F93">
        <v>802332242</v>
      </c>
      <c r="G93" s="1">
        <v>45658</v>
      </c>
      <c r="H93" s="1">
        <v>46045</v>
      </c>
      <c r="I93" t="s">
        <v>14</v>
      </c>
      <c r="J93" t="s">
        <v>295</v>
      </c>
      <c r="K93" s="2">
        <v>6</v>
      </c>
    </row>
    <row r="94" spans="1:11" x14ac:dyDescent="0.25">
      <c r="A94" t="s">
        <v>132</v>
      </c>
      <c r="C94">
        <v>18710070</v>
      </c>
      <c r="D94" t="s">
        <v>135</v>
      </c>
      <c r="E94" t="s">
        <v>136</v>
      </c>
      <c r="F94">
        <v>803016096</v>
      </c>
      <c r="G94" s="1">
        <v>45689</v>
      </c>
      <c r="H94" s="1">
        <v>46045</v>
      </c>
      <c r="I94" t="s">
        <v>14</v>
      </c>
      <c r="J94" t="s">
        <v>287</v>
      </c>
      <c r="K94" s="2">
        <v>5.34</v>
      </c>
    </row>
    <row r="95" spans="1:11" x14ac:dyDescent="0.25">
      <c r="A95" t="s">
        <v>11</v>
      </c>
      <c r="C95">
        <v>8307933</v>
      </c>
      <c r="D95" t="s">
        <v>12</v>
      </c>
      <c r="E95" t="s">
        <v>13</v>
      </c>
      <c r="F95">
        <v>803038832</v>
      </c>
      <c r="G95" s="1">
        <v>45778</v>
      </c>
      <c r="H95" s="1">
        <v>46045</v>
      </c>
      <c r="I95" t="s">
        <v>14</v>
      </c>
      <c r="J95" t="s">
        <v>287</v>
      </c>
      <c r="K95" s="2">
        <v>5.34</v>
      </c>
    </row>
    <row r="96" spans="1:11" x14ac:dyDescent="0.25">
      <c r="A96" t="s">
        <v>137</v>
      </c>
      <c r="C96">
        <v>18794740</v>
      </c>
      <c r="D96" t="s">
        <v>165</v>
      </c>
      <c r="E96" t="s">
        <v>166</v>
      </c>
      <c r="F96">
        <v>803085222</v>
      </c>
      <c r="G96" s="1">
        <v>45962</v>
      </c>
      <c r="H96" s="1">
        <v>46045</v>
      </c>
      <c r="I96" t="s">
        <v>14</v>
      </c>
      <c r="J96" t="s">
        <v>287</v>
      </c>
      <c r="K96" s="2">
        <v>5.34</v>
      </c>
    </row>
    <row r="97" spans="1:11" x14ac:dyDescent="0.25">
      <c r="A97" t="s">
        <v>348</v>
      </c>
      <c r="C97">
        <v>4567262</v>
      </c>
      <c r="D97" t="s">
        <v>62</v>
      </c>
      <c r="E97" t="s">
        <v>349</v>
      </c>
      <c r="F97">
        <v>803123597</v>
      </c>
      <c r="G97" s="1">
        <v>46023</v>
      </c>
      <c r="H97" s="1">
        <v>46045</v>
      </c>
      <c r="I97" t="s">
        <v>14</v>
      </c>
      <c r="J97" t="s">
        <v>350</v>
      </c>
      <c r="K97" s="2">
        <v>5.34</v>
      </c>
    </row>
    <row r="98" spans="1:11" x14ac:dyDescent="0.25">
      <c r="A98" t="s">
        <v>90</v>
      </c>
      <c r="C98">
        <v>16212649</v>
      </c>
      <c r="D98" t="s">
        <v>96</v>
      </c>
      <c r="E98" t="s">
        <v>97</v>
      </c>
      <c r="F98">
        <v>803090183</v>
      </c>
      <c r="G98" s="1">
        <v>45962</v>
      </c>
      <c r="H98" s="1">
        <v>46045</v>
      </c>
      <c r="I98" t="s">
        <v>14</v>
      </c>
      <c r="J98" t="s">
        <v>296</v>
      </c>
      <c r="K98" s="2">
        <v>5.16</v>
      </c>
    </row>
    <row r="99" spans="1:11" x14ac:dyDescent="0.25">
      <c r="A99" t="s">
        <v>90</v>
      </c>
      <c r="C99">
        <v>16212649</v>
      </c>
      <c r="D99" t="s">
        <v>96</v>
      </c>
      <c r="E99" t="s">
        <v>97</v>
      </c>
      <c r="F99">
        <v>803090183</v>
      </c>
      <c r="G99" s="1">
        <v>45962</v>
      </c>
      <c r="H99" s="1">
        <v>46045</v>
      </c>
      <c r="I99" t="s">
        <v>14</v>
      </c>
      <c r="J99" t="s">
        <v>297</v>
      </c>
      <c r="K99" s="2">
        <v>5.16</v>
      </c>
    </row>
    <row r="100" spans="1:11" x14ac:dyDescent="0.25">
      <c r="A100" t="s">
        <v>43</v>
      </c>
      <c r="C100">
        <v>15278437</v>
      </c>
      <c r="D100" t="s">
        <v>57</v>
      </c>
      <c r="E100" t="s">
        <v>58</v>
      </c>
      <c r="F100">
        <v>801998355</v>
      </c>
      <c r="G100" s="1">
        <v>46023</v>
      </c>
      <c r="H100" s="1">
        <v>46045</v>
      </c>
      <c r="I100" t="s">
        <v>14</v>
      </c>
      <c r="J100" t="s">
        <v>292</v>
      </c>
      <c r="K100" s="2">
        <v>4</v>
      </c>
    </row>
    <row r="101" spans="1:11" x14ac:dyDescent="0.25">
      <c r="A101" t="s">
        <v>43</v>
      </c>
      <c r="C101">
        <v>15278437</v>
      </c>
      <c r="D101" t="s">
        <v>73</v>
      </c>
      <c r="E101" t="s">
        <v>78</v>
      </c>
      <c r="F101">
        <v>802327643</v>
      </c>
      <c r="G101" s="1">
        <v>46023</v>
      </c>
      <c r="H101" s="1">
        <v>46045</v>
      </c>
      <c r="I101" t="s">
        <v>14</v>
      </c>
      <c r="J101" t="s">
        <v>292</v>
      </c>
      <c r="K101" s="2">
        <v>4</v>
      </c>
    </row>
    <row r="102" spans="1:11" x14ac:dyDescent="0.25">
      <c r="A102" t="s">
        <v>43</v>
      </c>
      <c r="C102">
        <v>15278437</v>
      </c>
      <c r="D102" t="s">
        <v>62</v>
      </c>
      <c r="E102" t="s">
        <v>63</v>
      </c>
      <c r="F102">
        <v>802332852</v>
      </c>
      <c r="G102" s="1">
        <v>45658</v>
      </c>
      <c r="H102" s="1">
        <v>46045</v>
      </c>
      <c r="I102" t="s">
        <v>14</v>
      </c>
      <c r="J102" t="s">
        <v>288</v>
      </c>
      <c r="K102" s="2">
        <v>4</v>
      </c>
    </row>
    <row r="103" spans="1:11" x14ac:dyDescent="0.25">
      <c r="A103" t="s">
        <v>137</v>
      </c>
      <c r="C103">
        <v>18794740</v>
      </c>
      <c r="D103" t="s">
        <v>145</v>
      </c>
      <c r="E103" t="s">
        <v>146</v>
      </c>
      <c r="F103">
        <v>802341284</v>
      </c>
      <c r="G103" s="1">
        <v>45658</v>
      </c>
      <c r="H103" s="1">
        <v>46045</v>
      </c>
      <c r="I103" t="s">
        <v>14</v>
      </c>
      <c r="J103" t="s">
        <v>288</v>
      </c>
      <c r="K103" s="2">
        <v>4</v>
      </c>
    </row>
    <row r="104" spans="1:11" x14ac:dyDescent="0.25">
      <c r="A104" t="s">
        <v>43</v>
      </c>
      <c r="C104">
        <v>15278437</v>
      </c>
      <c r="D104" t="s">
        <v>73</v>
      </c>
      <c r="E104" t="s">
        <v>74</v>
      </c>
      <c r="F104">
        <v>802385143</v>
      </c>
      <c r="G104" s="1">
        <v>45658</v>
      </c>
      <c r="H104" s="1">
        <v>46045</v>
      </c>
      <c r="I104" t="s">
        <v>14</v>
      </c>
      <c r="J104" t="s">
        <v>288</v>
      </c>
      <c r="K104" s="2">
        <v>4</v>
      </c>
    </row>
    <row r="105" spans="1:11" x14ac:dyDescent="0.25">
      <c r="A105" t="s">
        <v>43</v>
      </c>
      <c r="C105">
        <v>15278437</v>
      </c>
      <c r="D105" t="s">
        <v>51</v>
      </c>
      <c r="E105" t="s">
        <v>52</v>
      </c>
      <c r="F105">
        <v>802417758</v>
      </c>
      <c r="G105" s="1">
        <v>45658</v>
      </c>
      <c r="H105" s="1">
        <v>46045</v>
      </c>
      <c r="I105" t="s">
        <v>14</v>
      </c>
      <c r="J105" t="s">
        <v>288</v>
      </c>
      <c r="K105" s="2">
        <v>4</v>
      </c>
    </row>
    <row r="106" spans="1:11" x14ac:dyDescent="0.25">
      <c r="A106" t="s">
        <v>43</v>
      </c>
      <c r="C106">
        <v>15278437</v>
      </c>
      <c r="D106" t="s">
        <v>55</v>
      </c>
      <c r="E106" t="s">
        <v>56</v>
      </c>
      <c r="F106">
        <v>802534788</v>
      </c>
      <c r="G106" s="1">
        <v>45658</v>
      </c>
      <c r="H106" s="1">
        <v>46045</v>
      </c>
      <c r="I106" t="s">
        <v>14</v>
      </c>
      <c r="J106" t="s">
        <v>288</v>
      </c>
      <c r="K106" s="2">
        <v>4</v>
      </c>
    </row>
    <row r="107" spans="1:11" x14ac:dyDescent="0.25">
      <c r="A107" t="s">
        <v>282</v>
      </c>
      <c r="C107">
        <v>19861194</v>
      </c>
      <c r="D107" t="s">
        <v>345</v>
      </c>
      <c r="E107" t="s">
        <v>346</v>
      </c>
      <c r="F107">
        <v>802569980</v>
      </c>
      <c r="G107" s="1">
        <v>46023</v>
      </c>
      <c r="H107" s="1">
        <v>46045</v>
      </c>
      <c r="I107" t="s">
        <v>14</v>
      </c>
      <c r="J107" t="s">
        <v>292</v>
      </c>
      <c r="K107" s="2">
        <v>4</v>
      </c>
    </row>
    <row r="108" spans="1:11" x14ac:dyDescent="0.25">
      <c r="A108" t="s">
        <v>20</v>
      </c>
      <c r="C108">
        <v>9254978</v>
      </c>
      <c r="D108" t="s">
        <v>21</v>
      </c>
      <c r="E108" t="s">
        <v>22</v>
      </c>
      <c r="F108">
        <v>802624955</v>
      </c>
      <c r="G108" s="1">
        <v>45658</v>
      </c>
      <c r="H108" s="1">
        <v>46045</v>
      </c>
      <c r="I108" t="s">
        <v>14</v>
      </c>
      <c r="J108" t="s">
        <v>288</v>
      </c>
      <c r="K108" s="2">
        <v>4</v>
      </c>
    </row>
    <row r="109" spans="1:11" x14ac:dyDescent="0.25">
      <c r="A109" t="s">
        <v>137</v>
      </c>
      <c r="C109">
        <v>18794740</v>
      </c>
      <c r="D109" t="s">
        <v>17</v>
      </c>
      <c r="E109" t="s">
        <v>140</v>
      </c>
      <c r="F109">
        <v>802629089</v>
      </c>
      <c r="G109" s="1">
        <v>45658</v>
      </c>
      <c r="H109" s="1">
        <v>46045</v>
      </c>
      <c r="I109" t="s">
        <v>14</v>
      </c>
      <c r="J109" t="s">
        <v>288</v>
      </c>
      <c r="K109" s="2">
        <v>4</v>
      </c>
    </row>
    <row r="110" spans="1:11" x14ac:dyDescent="0.25">
      <c r="A110" t="s">
        <v>137</v>
      </c>
      <c r="C110">
        <v>18794740</v>
      </c>
      <c r="D110" t="s">
        <v>161</v>
      </c>
      <c r="E110" t="s">
        <v>162</v>
      </c>
      <c r="F110">
        <v>802651099</v>
      </c>
      <c r="G110" s="1">
        <v>45658</v>
      </c>
      <c r="H110" s="1">
        <v>46045</v>
      </c>
      <c r="I110" t="s">
        <v>14</v>
      </c>
      <c r="J110" t="s">
        <v>288</v>
      </c>
      <c r="K110" s="2">
        <v>4</v>
      </c>
    </row>
    <row r="111" spans="1:11" x14ac:dyDescent="0.25">
      <c r="A111" t="s">
        <v>282</v>
      </c>
      <c r="C111">
        <v>19861194</v>
      </c>
      <c r="D111" t="s">
        <v>343</v>
      </c>
      <c r="E111" t="s">
        <v>344</v>
      </c>
      <c r="F111">
        <v>802652442</v>
      </c>
      <c r="G111" s="1">
        <v>45658</v>
      </c>
      <c r="H111" s="1">
        <v>46045</v>
      </c>
      <c r="I111" t="s">
        <v>14</v>
      </c>
      <c r="J111" t="s">
        <v>288</v>
      </c>
      <c r="K111" s="2">
        <v>4</v>
      </c>
    </row>
    <row r="112" spans="1:11" x14ac:dyDescent="0.25">
      <c r="A112" t="s">
        <v>282</v>
      </c>
      <c r="C112">
        <v>19861194</v>
      </c>
      <c r="D112" t="s">
        <v>341</v>
      </c>
      <c r="E112" t="s">
        <v>342</v>
      </c>
      <c r="F112">
        <v>802755206</v>
      </c>
      <c r="G112" s="1">
        <v>45658</v>
      </c>
      <c r="H112" s="1">
        <v>46045</v>
      </c>
      <c r="I112" t="s">
        <v>14</v>
      </c>
      <c r="J112" t="s">
        <v>288</v>
      </c>
      <c r="K112" s="2">
        <v>4</v>
      </c>
    </row>
    <row r="113" spans="1:11" x14ac:dyDescent="0.25">
      <c r="A113" t="s">
        <v>43</v>
      </c>
      <c r="C113">
        <v>15278437</v>
      </c>
      <c r="D113" t="s">
        <v>71</v>
      </c>
      <c r="E113" t="s">
        <v>72</v>
      </c>
      <c r="F113">
        <v>802784780</v>
      </c>
      <c r="G113" s="1">
        <v>46023</v>
      </c>
      <c r="H113" s="1">
        <v>46045</v>
      </c>
      <c r="I113" t="s">
        <v>14</v>
      </c>
      <c r="J113" t="s">
        <v>292</v>
      </c>
      <c r="K113" s="2">
        <v>4</v>
      </c>
    </row>
    <row r="114" spans="1:11" x14ac:dyDescent="0.25">
      <c r="A114" t="s">
        <v>137</v>
      </c>
      <c r="C114">
        <v>18794740</v>
      </c>
      <c r="D114" t="s">
        <v>147</v>
      </c>
      <c r="E114" t="s">
        <v>148</v>
      </c>
      <c r="F114">
        <v>802893616</v>
      </c>
      <c r="G114" s="1">
        <v>45658</v>
      </c>
      <c r="H114" s="1">
        <v>46045</v>
      </c>
      <c r="I114" t="s">
        <v>14</v>
      </c>
      <c r="J114" t="s">
        <v>288</v>
      </c>
      <c r="K114" s="2">
        <v>4</v>
      </c>
    </row>
    <row r="115" spans="1:11" x14ac:dyDescent="0.25">
      <c r="A115" t="s">
        <v>110</v>
      </c>
      <c r="C115">
        <v>17425766</v>
      </c>
      <c r="D115" t="s">
        <v>118</v>
      </c>
      <c r="E115" t="s">
        <v>119</v>
      </c>
      <c r="F115">
        <v>802944983</v>
      </c>
      <c r="G115" s="1">
        <v>45658</v>
      </c>
      <c r="H115" s="1">
        <v>46045</v>
      </c>
      <c r="I115" t="s">
        <v>14</v>
      </c>
      <c r="J115" t="s">
        <v>299</v>
      </c>
      <c r="K115" s="2">
        <v>4</v>
      </c>
    </row>
    <row r="116" spans="1:11" x14ac:dyDescent="0.25">
      <c r="A116" t="s">
        <v>110</v>
      </c>
      <c r="C116">
        <v>17425766</v>
      </c>
      <c r="D116" t="s">
        <v>113</v>
      </c>
      <c r="E116" t="s">
        <v>114</v>
      </c>
      <c r="F116">
        <v>802964248</v>
      </c>
      <c r="G116" s="1">
        <v>45658</v>
      </c>
      <c r="H116" s="1">
        <v>46045</v>
      </c>
      <c r="I116" t="s">
        <v>14</v>
      </c>
      <c r="J116" t="s">
        <v>299</v>
      </c>
      <c r="K116" s="2">
        <v>4</v>
      </c>
    </row>
    <row r="117" spans="1:11" x14ac:dyDescent="0.25">
      <c r="A117" t="s">
        <v>110</v>
      </c>
      <c r="C117">
        <v>17425766</v>
      </c>
      <c r="D117" t="s">
        <v>113</v>
      </c>
      <c r="E117" t="s">
        <v>114</v>
      </c>
      <c r="F117">
        <v>802964248</v>
      </c>
      <c r="G117" s="1">
        <v>45658</v>
      </c>
      <c r="H117" s="1">
        <v>46045</v>
      </c>
      <c r="I117" t="s">
        <v>14</v>
      </c>
      <c r="J117" t="s">
        <v>288</v>
      </c>
      <c r="K117" s="2">
        <v>4</v>
      </c>
    </row>
    <row r="118" spans="1:11" x14ac:dyDescent="0.25">
      <c r="A118" t="s">
        <v>282</v>
      </c>
      <c r="C118">
        <v>19861194</v>
      </c>
      <c r="D118" t="s">
        <v>202</v>
      </c>
      <c r="E118" t="s">
        <v>187</v>
      </c>
      <c r="F118">
        <v>802974510</v>
      </c>
      <c r="G118" s="1">
        <v>46023</v>
      </c>
      <c r="H118" s="1">
        <v>46045</v>
      </c>
      <c r="I118" t="s">
        <v>14</v>
      </c>
      <c r="J118" t="s">
        <v>292</v>
      </c>
      <c r="K118" s="2">
        <v>4</v>
      </c>
    </row>
    <row r="119" spans="1:11" x14ac:dyDescent="0.25">
      <c r="A119" t="s">
        <v>271</v>
      </c>
      <c r="C119">
        <v>18134413</v>
      </c>
      <c r="D119" t="s">
        <v>337</v>
      </c>
      <c r="E119" t="s">
        <v>338</v>
      </c>
      <c r="F119">
        <v>803002591</v>
      </c>
      <c r="G119" s="1">
        <v>46023</v>
      </c>
      <c r="H119" s="1">
        <v>46045</v>
      </c>
      <c r="I119" t="s">
        <v>14</v>
      </c>
      <c r="J119" t="s">
        <v>292</v>
      </c>
      <c r="K119" s="2">
        <v>4</v>
      </c>
    </row>
    <row r="120" spans="1:11" x14ac:dyDescent="0.25">
      <c r="A120" t="s">
        <v>132</v>
      </c>
      <c r="C120">
        <v>18710070</v>
      </c>
      <c r="D120" t="s">
        <v>135</v>
      </c>
      <c r="E120" t="s">
        <v>136</v>
      </c>
      <c r="F120">
        <v>803016096</v>
      </c>
      <c r="G120" s="1">
        <v>46023</v>
      </c>
      <c r="H120" s="1">
        <v>46045</v>
      </c>
      <c r="I120" t="s">
        <v>14</v>
      </c>
      <c r="J120" t="s">
        <v>292</v>
      </c>
      <c r="K120" s="2">
        <v>4</v>
      </c>
    </row>
    <row r="121" spans="1:11" x14ac:dyDescent="0.25">
      <c r="A121" t="s">
        <v>20</v>
      </c>
      <c r="C121">
        <v>9254978</v>
      </c>
      <c r="D121" t="s">
        <v>24</v>
      </c>
      <c r="E121" t="s">
        <v>25</v>
      </c>
      <c r="F121">
        <v>802996993</v>
      </c>
      <c r="G121" s="1">
        <v>45689</v>
      </c>
      <c r="H121" s="1">
        <v>46045</v>
      </c>
      <c r="I121" t="s">
        <v>351</v>
      </c>
      <c r="J121" t="s">
        <v>353</v>
      </c>
      <c r="K121" s="2">
        <v>2.9</v>
      </c>
    </row>
    <row r="122" spans="1:11" x14ac:dyDescent="0.25">
      <c r="A122" t="s">
        <v>20</v>
      </c>
      <c r="C122">
        <v>9254978</v>
      </c>
      <c r="D122" t="s">
        <v>24</v>
      </c>
      <c r="E122" t="s">
        <v>25</v>
      </c>
      <c r="F122">
        <v>802996993</v>
      </c>
      <c r="G122" s="1">
        <v>45689</v>
      </c>
      <c r="H122" s="1">
        <v>46045</v>
      </c>
      <c r="I122" t="s">
        <v>351</v>
      </c>
      <c r="J122" t="s">
        <v>352</v>
      </c>
      <c r="K122" s="2">
        <v>2.85</v>
      </c>
    </row>
    <row r="123" spans="1:11" x14ac:dyDescent="0.25">
      <c r="A123" t="s">
        <v>20</v>
      </c>
      <c r="C123">
        <v>9254978</v>
      </c>
      <c r="D123" t="s">
        <v>24</v>
      </c>
      <c r="E123" t="s">
        <v>25</v>
      </c>
      <c r="F123">
        <v>801951292</v>
      </c>
      <c r="G123" s="1">
        <v>45689</v>
      </c>
      <c r="H123" s="1">
        <v>46045</v>
      </c>
      <c r="I123" t="s">
        <v>14</v>
      </c>
      <c r="J123" t="s">
        <v>183</v>
      </c>
      <c r="K123" s="2">
        <v>2.67</v>
      </c>
    </row>
    <row r="124" spans="1:11" x14ac:dyDescent="0.25">
      <c r="A124" t="s">
        <v>255</v>
      </c>
      <c r="C124">
        <v>18010408</v>
      </c>
      <c r="D124" t="s">
        <v>263</v>
      </c>
      <c r="E124" t="s">
        <v>264</v>
      </c>
      <c r="F124">
        <v>802955987</v>
      </c>
      <c r="G124" s="1">
        <v>45717</v>
      </c>
      <c r="H124" s="1">
        <v>46045</v>
      </c>
      <c r="I124" t="s">
        <v>14</v>
      </c>
      <c r="J124" t="s">
        <v>183</v>
      </c>
      <c r="K124" s="2">
        <v>2.67</v>
      </c>
    </row>
    <row r="125" spans="1:11" x14ac:dyDescent="0.25">
      <c r="A125" t="s">
        <v>175</v>
      </c>
      <c r="C125">
        <v>21605264</v>
      </c>
      <c r="D125" t="s">
        <v>176</v>
      </c>
      <c r="E125" t="s">
        <v>177</v>
      </c>
      <c r="F125">
        <v>802985488</v>
      </c>
      <c r="G125" s="1">
        <v>45658</v>
      </c>
      <c r="H125" s="1">
        <v>46045</v>
      </c>
      <c r="I125" t="s">
        <v>14</v>
      </c>
      <c r="J125" t="s">
        <v>183</v>
      </c>
      <c r="K125" s="2">
        <v>2.67</v>
      </c>
    </row>
    <row r="126" spans="1:11" x14ac:dyDescent="0.25">
      <c r="A126" t="s">
        <v>43</v>
      </c>
      <c r="C126">
        <v>15278437</v>
      </c>
      <c r="D126" t="s">
        <v>67</v>
      </c>
      <c r="E126" t="s">
        <v>68</v>
      </c>
      <c r="F126">
        <v>802987578</v>
      </c>
      <c r="G126" s="1">
        <v>45658</v>
      </c>
      <c r="H126" s="1">
        <v>46045</v>
      </c>
      <c r="I126" t="s">
        <v>14</v>
      </c>
      <c r="J126" t="s">
        <v>183</v>
      </c>
      <c r="K126" s="2">
        <v>2.67</v>
      </c>
    </row>
    <row r="127" spans="1:11" x14ac:dyDescent="0.25">
      <c r="A127" t="s">
        <v>271</v>
      </c>
      <c r="C127">
        <v>18134413</v>
      </c>
      <c r="D127" t="s">
        <v>123</v>
      </c>
      <c r="E127" t="s">
        <v>272</v>
      </c>
      <c r="F127">
        <v>803011172</v>
      </c>
      <c r="G127" s="1">
        <v>45689</v>
      </c>
      <c r="H127" s="1">
        <v>46045</v>
      </c>
      <c r="I127" t="s">
        <v>14</v>
      </c>
      <c r="J127" t="s">
        <v>183</v>
      </c>
      <c r="K127" s="2">
        <v>2.67</v>
      </c>
    </row>
    <row r="128" spans="1:11" x14ac:dyDescent="0.25">
      <c r="A128" t="s">
        <v>282</v>
      </c>
      <c r="C128">
        <v>19861194</v>
      </c>
      <c r="D128" t="s">
        <v>339</v>
      </c>
      <c r="E128" t="s">
        <v>340</v>
      </c>
      <c r="F128">
        <v>803038410</v>
      </c>
      <c r="G128" s="1">
        <v>45809</v>
      </c>
      <c r="H128" s="1">
        <v>46045</v>
      </c>
      <c r="I128" t="s">
        <v>14</v>
      </c>
      <c r="J128" t="s">
        <v>183</v>
      </c>
      <c r="K128" s="2">
        <v>2.67</v>
      </c>
    </row>
    <row r="129" spans="1:11" x14ac:dyDescent="0.25">
      <c r="A129" t="s">
        <v>282</v>
      </c>
      <c r="C129">
        <v>19861194</v>
      </c>
      <c r="D129" t="s">
        <v>73</v>
      </c>
      <c r="E129" t="s">
        <v>286</v>
      </c>
      <c r="F129">
        <v>803044336</v>
      </c>
      <c r="G129" s="1">
        <v>45839</v>
      </c>
      <c r="H129" s="1">
        <v>46045</v>
      </c>
      <c r="I129" t="s">
        <v>14</v>
      </c>
      <c r="J129" t="s">
        <v>183</v>
      </c>
      <c r="K129" s="2">
        <v>2.67</v>
      </c>
    </row>
    <row r="130" spans="1:11" x14ac:dyDescent="0.25">
      <c r="A130" t="s">
        <v>90</v>
      </c>
      <c r="C130">
        <v>16212649</v>
      </c>
      <c r="D130" t="s">
        <v>91</v>
      </c>
      <c r="E130" t="s">
        <v>92</v>
      </c>
      <c r="F130">
        <v>803049628</v>
      </c>
      <c r="G130" s="1">
        <v>45809</v>
      </c>
      <c r="H130" s="1">
        <v>46045</v>
      </c>
      <c r="I130" t="s">
        <v>14</v>
      </c>
      <c r="J130" t="s">
        <v>183</v>
      </c>
      <c r="K130" s="2">
        <v>2.67</v>
      </c>
    </row>
    <row r="131" spans="1:11" x14ac:dyDescent="0.25">
      <c r="A131" t="s">
        <v>120</v>
      </c>
      <c r="C131">
        <v>17528908</v>
      </c>
      <c r="D131" t="s">
        <v>121</v>
      </c>
      <c r="E131" t="s">
        <v>122</v>
      </c>
      <c r="F131">
        <v>803052081</v>
      </c>
      <c r="G131" s="1">
        <v>45839</v>
      </c>
      <c r="H131" s="1">
        <v>46045</v>
      </c>
      <c r="I131" t="s">
        <v>14</v>
      </c>
      <c r="J131" t="s">
        <v>183</v>
      </c>
      <c r="K131" s="2">
        <v>2.67</v>
      </c>
    </row>
    <row r="132" spans="1:11" x14ac:dyDescent="0.25">
      <c r="A132" t="s">
        <v>137</v>
      </c>
      <c r="C132">
        <v>18794740</v>
      </c>
      <c r="D132" t="s">
        <v>150</v>
      </c>
      <c r="E132" t="s">
        <v>151</v>
      </c>
      <c r="F132">
        <v>803065418</v>
      </c>
      <c r="G132" s="1">
        <v>45870</v>
      </c>
      <c r="H132" s="1">
        <v>46045</v>
      </c>
      <c r="I132" t="s">
        <v>14</v>
      </c>
      <c r="J132" t="s">
        <v>183</v>
      </c>
      <c r="K132" s="2">
        <v>2.67</v>
      </c>
    </row>
    <row r="133" spans="1:11" x14ac:dyDescent="0.25">
      <c r="A133" t="s">
        <v>132</v>
      </c>
      <c r="C133">
        <v>18710070</v>
      </c>
      <c r="D133" t="s">
        <v>133</v>
      </c>
      <c r="E133" t="s">
        <v>134</v>
      </c>
      <c r="F133">
        <v>803069665</v>
      </c>
      <c r="G133" s="1">
        <v>45901</v>
      </c>
      <c r="H133" s="1">
        <v>46045</v>
      </c>
      <c r="I133" t="s">
        <v>14</v>
      </c>
      <c r="J133" t="s">
        <v>183</v>
      </c>
      <c r="K133" s="2">
        <v>2.67</v>
      </c>
    </row>
    <row r="134" spans="1:11" x14ac:dyDescent="0.25">
      <c r="A134" t="s">
        <v>43</v>
      </c>
      <c r="C134">
        <v>15278437</v>
      </c>
      <c r="D134" t="s">
        <v>53</v>
      </c>
      <c r="E134" t="s">
        <v>54</v>
      </c>
      <c r="F134">
        <v>803075621</v>
      </c>
      <c r="G134" s="1">
        <v>45901</v>
      </c>
      <c r="H134" s="1">
        <v>46045</v>
      </c>
      <c r="I134" t="s">
        <v>14</v>
      </c>
      <c r="J134" t="s">
        <v>183</v>
      </c>
      <c r="K134" s="2">
        <v>2.67</v>
      </c>
    </row>
    <row r="135" spans="1:11" x14ac:dyDescent="0.25">
      <c r="A135" t="s">
        <v>43</v>
      </c>
      <c r="C135">
        <v>15278437</v>
      </c>
      <c r="D135" t="s">
        <v>49</v>
      </c>
      <c r="E135" t="s">
        <v>50</v>
      </c>
      <c r="F135">
        <v>803086559</v>
      </c>
      <c r="G135" s="1">
        <v>45931</v>
      </c>
      <c r="H135" s="1">
        <v>46045</v>
      </c>
      <c r="I135" t="s">
        <v>14</v>
      </c>
      <c r="J135" t="s">
        <v>183</v>
      </c>
      <c r="K135" s="2">
        <v>2.67</v>
      </c>
    </row>
    <row r="136" spans="1:11" x14ac:dyDescent="0.25">
      <c r="A136" t="s">
        <v>282</v>
      </c>
      <c r="C136">
        <v>19861194</v>
      </c>
      <c r="D136" t="s">
        <v>347</v>
      </c>
      <c r="E136" t="s">
        <v>342</v>
      </c>
      <c r="F136">
        <v>803122960</v>
      </c>
      <c r="G136" s="1">
        <v>46023</v>
      </c>
      <c r="H136" s="1">
        <v>46045</v>
      </c>
      <c r="I136" t="s">
        <v>14</v>
      </c>
      <c r="J136" t="s">
        <v>254</v>
      </c>
      <c r="K136" s="2">
        <v>2.67</v>
      </c>
    </row>
    <row r="137" spans="1:11" x14ac:dyDescent="0.25">
      <c r="A137" t="s">
        <v>348</v>
      </c>
      <c r="C137">
        <v>4567262</v>
      </c>
      <c r="D137" t="s">
        <v>329</v>
      </c>
      <c r="E137" t="s">
        <v>349</v>
      </c>
      <c r="F137">
        <v>803123600</v>
      </c>
      <c r="G137" s="1">
        <v>46023</v>
      </c>
      <c r="H137" s="1">
        <v>46045</v>
      </c>
      <c r="I137" t="s">
        <v>14</v>
      </c>
      <c r="J137" t="s">
        <v>254</v>
      </c>
      <c r="K137" s="2">
        <v>2.67</v>
      </c>
    </row>
    <row r="138" spans="1:11" x14ac:dyDescent="0.25">
      <c r="A138" t="s">
        <v>120</v>
      </c>
      <c r="C138">
        <v>17528908</v>
      </c>
      <c r="D138" t="s">
        <v>123</v>
      </c>
      <c r="E138" t="s">
        <v>124</v>
      </c>
      <c r="F138">
        <v>803124115</v>
      </c>
      <c r="G138" s="1">
        <v>46023</v>
      </c>
      <c r="H138" s="1">
        <v>46045</v>
      </c>
      <c r="I138" t="s">
        <v>14</v>
      </c>
      <c r="J138" t="s">
        <v>254</v>
      </c>
      <c r="K138" s="2">
        <v>2.67</v>
      </c>
    </row>
    <row r="139" spans="1:11" x14ac:dyDescent="0.25">
      <c r="A139" t="s">
        <v>185</v>
      </c>
      <c r="C139">
        <v>17429706</v>
      </c>
      <c r="D139" t="s">
        <v>278</v>
      </c>
      <c r="E139" t="s">
        <v>303</v>
      </c>
      <c r="F139">
        <v>802523721</v>
      </c>
      <c r="G139" s="1">
        <v>46023</v>
      </c>
      <c r="H139" s="1">
        <v>46045</v>
      </c>
      <c r="I139" t="s">
        <v>14</v>
      </c>
      <c r="J139" t="s">
        <v>304</v>
      </c>
      <c r="K139" s="2">
        <v>2.5</v>
      </c>
    </row>
    <row r="140" spans="1:11" x14ac:dyDescent="0.25">
      <c r="A140" t="s">
        <v>185</v>
      </c>
      <c r="C140">
        <v>17429706</v>
      </c>
      <c r="D140" t="s">
        <v>323</v>
      </c>
      <c r="E140" t="s">
        <v>324</v>
      </c>
      <c r="F140">
        <v>802813878</v>
      </c>
      <c r="G140" s="1">
        <v>45658</v>
      </c>
      <c r="H140" s="1">
        <v>46045</v>
      </c>
      <c r="I140" t="s">
        <v>14</v>
      </c>
      <c r="J140" t="s">
        <v>293</v>
      </c>
      <c r="K140" s="2">
        <v>2.5</v>
      </c>
    </row>
    <row r="141" spans="1:11" x14ac:dyDescent="0.25">
      <c r="A141" t="s">
        <v>43</v>
      </c>
      <c r="C141">
        <v>15278437</v>
      </c>
      <c r="D141" t="s">
        <v>66</v>
      </c>
      <c r="E141" t="s">
        <v>61</v>
      </c>
      <c r="F141">
        <v>801940958</v>
      </c>
      <c r="G141" s="1">
        <v>46023</v>
      </c>
      <c r="H141" s="1">
        <v>46045</v>
      </c>
      <c r="I141" t="s">
        <v>14</v>
      </c>
      <c r="J141" t="s">
        <v>184</v>
      </c>
      <c r="K141" s="2">
        <v>2</v>
      </c>
    </row>
    <row r="142" spans="1:11" x14ac:dyDescent="0.25">
      <c r="A142" t="s">
        <v>185</v>
      </c>
      <c r="C142">
        <v>17429706</v>
      </c>
      <c r="D142" t="s">
        <v>305</v>
      </c>
      <c r="E142" t="s">
        <v>306</v>
      </c>
      <c r="F142">
        <v>802012088</v>
      </c>
      <c r="G142" s="1">
        <v>46023</v>
      </c>
      <c r="H142" s="1">
        <v>46045</v>
      </c>
      <c r="I142" t="s">
        <v>14</v>
      </c>
      <c r="J142" t="s">
        <v>291</v>
      </c>
      <c r="K142" s="2">
        <v>2</v>
      </c>
    </row>
    <row r="143" spans="1:11" x14ac:dyDescent="0.25">
      <c r="A143" t="s">
        <v>125</v>
      </c>
      <c r="C143">
        <v>18598357</v>
      </c>
      <c r="D143" t="s">
        <v>126</v>
      </c>
      <c r="E143" t="s">
        <v>127</v>
      </c>
      <c r="F143">
        <v>802041455</v>
      </c>
      <c r="G143" s="1">
        <v>45658</v>
      </c>
      <c r="H143" s="1">
        <v>46045</v>
      </c>
      <c r="I143" t="s">
        <v>14</v>
      </c>
      <c r="J143" t="s">
        <v>182</v>
      </c>
      <c r="K143" s="2">
        <v>2</v>
      </c>
    </row>
    <row r="144" spans="1:11" x14ac:dyDescent="0.25">
      <c r="A144" t="s">
        <v>43</v>
      </c>
      <c r="C144">
        <v>15278437</v>
      </c>
      <c r="D144" t="s">
        <v>69</v>
      </c>
      <c r="E144" t="s">
        <v>70</v>
      </c>
      <c r="F144">
        <v>802207450</v>
      </c>
      <c r="G144" s="1">
        <v>46023</v>
      </c>
      <c r="H144" s="1">
        <v>46045</v>
      </c>
      <c r="I144" t="s">
        <v>14</v>
      </c>
      <c r="J144" t="s">
        <v>184</v>
      </c>
      <c r="K144" s="2">
        <v>2</v>
      </c>
    </row>
    <row r="145" spans="1:11" x14ac:dyDescent="0.25">
      <c r="A145" t="s">
        <v>271</v>
      </c>
      <c r="C145">
        <v>18134413</v>
      </c>
      <c r="D145" t="s">
        <v>273</v>
      </c>
      <c r="E145" t="s">
        <v>274</v>
      </c>
      <c r="F145">
        <v>802338366</v>
      </c>
      <c r="G145" s="1">
        <v>46023</v>
      </c>
      <c r="H145" s="1">
        <v>46045</v>
      </c>
      <c r="I145" t="s">
        <v>14</v>
      </c>
      <c r="J145" t="s">
        <v>184</v>
      </c>
      <c r="K145" s="2">
        <v>2</v>
      </c>
    </row>
    <row r="146" spans="1:11" x14ac:dyDescent="0.25">
      <c r="A146" t="s">
        <v>137</v>
      </c>
      <c r="C146">
        <v>18794740</v>
      </c>
      <c r="D146" t="s">
        <v>159</v>
      </c>
      <c r="E146" t="s">
        <v>160</v>
      </c>
      <c r="F146">
        <v>802401885</v>
      </c>
      <c r="G146" s="1">
        <v>45658</v>
      </c>
      <c r="H146" s="1">
        <v>46045</v>
      </c>
      <c r="I146" t="s">
        <v>14</v>
      </c>
      <c r="J146" t="s">
        <v>182</v>
      </c>
      <c r="K146" s="2">
        <v>2</v>
      </c>
    </row>
    <row r="147" spans="1:11" x14ac:dyDescent="0.25">
      <c r="A147" t="s">
        <v>43</v>
      </c>
      <c r="C147">
        <v>15278437</v>
      </c>
      <c r="D147" t="s">
        <v>60</v>
      </c>
      <c r="E147" t="s">
        <v>61</v>
      </c>
      <c r="F147">
        <v>802417862</v>
      </c>
      <c r="G147" s="1">
        <v>46023</v>
      </c>
      <c r="H147" s="1">
        <v>46045</v>
      </c>
      <c r="I147" t="s">
        <v>14</v>
      </c>
      <c r="J147" t="s">
        <v>184</v>
      </c>
      <c r="K147" s="2">
        <v>2</v>
      </c>
    </row>
    <row r="148" spans="1:11" x14ac:dyDescent="0.25">
      <c r="A148" t="s">
        <v>16</v>
      </c>
      <c r="C148">
        <v>8971826</v>
      </c>
      <c r="D148" t="s">
        <v>17</v>
      </c>
      <c r="E148" t="s">
        <v>18</v>
      </c>
      <c r="F148">
        <v>802422752</v>
      </c>
      <c r="G148" s="1">
        <v>45658</v>
      </c>
      <c r="H148" s="1">
        <v>46045</v>
      </c>
      <c r="I148" t="s">
        <v>14</v>
      </c>
      <c r="J148" t="s">
        <v>182</v>
      </c>
      <c r="K148" s="2">
        <v>2</v>
      </c>
    </row>
    <row r="149" spans="1:11" x14ac:dyDescent="0.25">
      <c r="A149" t="s">
        <v>43</v>
      </c>
      <c r="C149">
        <v>15278437</v>
      </c>
      <c r="D149" t="s">
        <v>73</v>
      </c>
      <c r="E149" t="s">
        <v>77</v>
      </c>
      <c r="F149">
        <v>802492983</v>
      </c>
      <c r="G149" s="1">
        <v>46023</v>
      </c>
      <c r="H149" s="1">
        <v>46045</v>
      </c>
      <c r="I149" t="s">
        <v>14</v>
      </c>
      <c r="J149" t="s">
        <v>184</v>
      </c>
      <c r="K149" s="2">
        <v>2</v>
      </c>
    </row>
    <row r="150" spans="1:11" x14ac:dyDescent="0.25">
      <c r="A150" t="s">
        <v>125</v>
      </c>
      <c r="C150">
        <v>18598357</v>
      </c>
      <c r="D150" t="s">
        <v>128</v>
      </c>
      <c r="E150" t="s">
        <v>129</v>
      </c>
      <c r="F150">
        <v>802493406</v>
      </c>
      <c r="G150" s="1">
        <v>46023</v>
      </c>
      <c r="H150" s="1">
        <v>46045</v>
      </c>
      <c r="I150" t="s">
        <v>14</v>
      </c>
      <c r="J150" t="s">
        <v>184</v>
      </c>
      <c r="K150" s="2">
        <v>2</v>
      </c>
    </row>
    <row r="151" spans="1:11" x14ac:dyDescent="0.25">
      <c r="A151" t="s">
        <v>255</v>
      </c>
      <c r="C151">
        <v>18010408</v>
      </c>
      <c r="D151" t="s">
        <v>256</v>
      </c>
      <c r="E151" t="s">
        <v>258</v>
      </c>
      <c r="F151">
        <v>802503895</v>
      </c>
      <c r="G151" s="1">
        <v>46023</v>
      </c>
      <c r="H151" s="1">
        <v>46045</v>
      </c>
      <c r="I151" t="s">
        <v>14</v>
      </c>
      <c r="J151" t="s">
        <v>184</v>
      </c>
      <c r="K151" s="2">
        <v>2</v>
      </c>
    </row>
    <row r="152" spans="1:11" x14ac:dyDescent="0.25">
      <c r="A152" t="s">
        <v>43</v>
      </c>
      <c r="C152">
        <v>15278437</v>
      </c>
      <c r="D152" t="s">
        <v>86</v>
      </c>
      <c r="E152" t="s">
        <v>87</v>
      </c>
      <c r="F152">
        <v>802540674</v>
      </c>
      <c r="G152" s="1">
        <v>45658</v>
      </c>
      <c r="H152" s="1">
        <v>46045</v>
      </c>
      <c r="I152" t="s">
        <v>14</v>
      </c>
      <c r="J152" t="s">
        <v>182</v>
      </c>
      <c r="K152" s="2">
        <v>2</v>
      </c>
    </row>
    <row r="153" spans="1:11" x14ac:dyDescent="0.25">
      <c r="A153" t="s">
        <v>137</v>
      </c>
      <c r="C153">
        <v>18794740</v>
      </c>
      <c r="D153" t="s">
        <v>158</v>
      </c>
      <c r="E153" t="s">
        <v>151</v>
      </c>
      <c r="F153">
        <v>802552042</v>
      </c>
      <c r="G153" s="1">
        <v>46023</v>
      </c>
      <c r="H153" s="1">
        <v>46045</v>
      </c>
      <c r="I153" t="s">
        <v>14</v>
      </c>
      <c r="J153" t="s">
        <v>184</v>
      </c>
      <c r="K153" s="2">
        <v>2</v>
      </c>
    </row>
    <row r="154" spans="1:11" x14ac:dyDescent="0.25">
      <c r="A154" t="s">
        <v>125</v>
      </c>
      <c r="C154">
        <v>18598357</v>
      </c>
      <c r="D154" t="s">
        <v>280</v>
      </c>
      <c r="E154" t="s">
        <v>281</v>
      </c>
      <c r="F154">
        <v>802556534</v>
      </c>
      <c r="G154" s="1">
        <v>46023</v>
      </c>
      <c r="H154" s="1">
        <v>46045</v>
      </c>
      <c r="I154" t="s">
        <v>14</v>
      </c>
      <c r="J154" t="s">
        <v>184</v>
      </c>
      <c r="K154" s="2">
        <v>2</v>
      </c>
    </row>
    <row r="155" spans="1:11" x14ac:dyDescent="0.25">
      <c r="A155" t="s">
        <v>90</v>
      </c>
      <c r="C155">
        <v>16212649</v>
      </c>
      <c r="D155" t="s">
        <v>100</v>
      </c>
      <c r="E155" t="s">
        <v>94</v>
      </c>
      <c r="F155">
        <v>802558568</v>
      </c>
      <c r="G155" s="1">
        <v>45658</v>
      </c>
      <c r="H155" s="1">
        <v>46045</v>
      </c>
      <c r="I155" t="s">
        <v>14</v>
      </c>
      <c r="J155" t="s">
        <v>182</v>
      </c>
      <c r="K155" s="2">
        <v>2</v>
      </c>
    </row>
    <row r="156" spans="1:11" x14ac:dyDescent="0.25">
      <c r="A156" t="s">
        <v>185</v>
      </c>
      <c r="C156">
        <v>17429706</v>
      </c>
      <c r="D156" t="s">
        <v>314</v>
      </c>
      <c r="E156" t="s">
        <v>315</v>
      </c>
      <c r="F156">
        <v>802563989</v>
      </c>
      <c r="G156" s="1">
        <v>45658</v>
      </c>
      <c r="H156" s="1">
        <v>46045</v>
      </c>
      <c r="I156" t="s">
        <v>14</v>
      </c>
      <c r="J156" t="s">
        <v>289</v>
      </c>
      <c r="K156" s="2">
        <v>2</v>
      </c>
    </row>
    <row r="157" spans="1:11" x14ac:dyDescent="0.25">
      <c r="A157" t="s">
        <v>255</v>
      </c>
      <c r="C157">
        <v>18010408</v>
      </c>
      <c r="D157" t="s">
        <v>267</v>
      </c>
      <c r="E157" t="s">
        <v>268</v>
      </c>
      <c r="F157">
        <v>802568134</v>
      </c>
      <c r="G157" s="1">
        <v>45658</v>
      </c>
      <c r="H157" s="1">
        <v>46045</v>
      </c>
      <c r="I157" t="s">
        <v>14</v>
      </c>
      <c r="J157" t="s">
        <v>182</v>
      </c>
      <c r="K157" s="2">
        <v>2</v>
      </c>
    </row>
    <row r="158" spans="1:11" x14ac:dyDescent="0.25">
      <c r="A158" t="s">
        <v>43</v>
      </c>
      <c r="C158">
        <v>15278437</v>
      </c>
      <c r="D158" t="s">
        <v>84</v>
      </c>
      <c r="E158" t="s">
        <v>85</v>
      </c>
      <c r="F158">
        <v>802597589</v>
      </c>
      <c r="G158" s="1">
        <v>45658</v>
      </c>
      <c r="H158" s="1">
        <v>46045</v>
      </c>
      <c r="I158" t="s">
        <v>14</v>
      </c>
      <c r="J158" t="s">
        <v>182</v>
      </c>
      <c r="K158" s="2">
        <v>2</v>
      </c>
    </row>
    <row r="159" spans="1:11" x14ac:dyDescent="0.25">
      <c r="A159" t="s">
        <v>43</v>
      </c>
      <c r="C159">
        <v>15278437</v>
      </c>
      <c r="D159" t="s">
        <v>84</v>
      </c>
      <c r="E159" t="s">
        <v>85</v>
      </c>
      <c r="F159">
        <v>802597589</v>
      </c>
      <c r="G159" s="1">
        <v>46023</v>
      </c>
      <c r="H159" s="1">
        <v>46045</v>
      </c>
      <c r="I159" t="s">
        <v>14</v>
      </c>
      <c r="J159" t="s">
        <v>184</v>
      </c>
      <c r="K159" s="2">
        <v>2</v>
      </c>
    </row>
    <row r="160" spans="1:11" x14ac:dyDescent="0.25">
      <c r="A160" t="s">
        <v>271</v>
      </c>
      <c r="C160">
        <v>18134413</v>
      </c>
      <c r="D160" t="s">
        <v>275</v>
      </c>
      <c r="E160" t="s">
        <v>276</v>
      </c>
      <c r="F160">
        <v>802602392</v>
      </c>
      <c r="G160" s="1">
        <v>45658</v>
      </c>
      <c r="H160" s="1">
        <v>46045</v>
      </c>
      <c r="I160" t="s">
        <v>14</v>
      </c>
      <c r="J160" t="s">
        <v>182</v>
      </c>
      <c r="K160" s="2">
        <v>2</v>
      </c>
    </row>
    <row r="161" spans="1:11" x14ac:dyDescent="0.25">
      <c r="A161" t="s">
        <v>271</v>
      </c>
      <c r="C161">
        <v>18134413</v>
      </c>
      <c r="D161" t="s">
        <v>195</v>
      </c>
      <c r="E161" t="s">
        <v>277</v>
      </c>
      <c r="F161">
        <v>802627683</v>
      </c>
      <c r="G161" s="1">
        <v>45658</v>
      </c>
      <c r="H161" s="1">
        <v>46045</v>
      </c>
      <c r="I161" t="s">
        <v>14</v>
      </c>
      <c r="J161" t="s">
        <v>182</v>
      </c>
      <c r="K161" s="2">
        <v>2</v>
      </c>
    </row>
    <row r="162" spans="1:11" x14ac:dyDescent="0.25">
      <c r="A162" t="s">
        <v>137</v>
      </c>
      <c r="C162">
        <v>18794740</v>
      </c>
      <c r="D162" t="s">
        <v>149</v>
      </c>
      <c r="E162" t="s">
        <v>140</v>
      </c>
      <c r="F162">
        <v>802629066</v>
      </c>
      <c r="G162" s="1">
        <v>45658</v>
      </c>
      <c r="H162" s="1">
        <v>46045</v>
      </c>
      <c r="I162" t="s">
        <v>14</v>
      </c>
      <c r="J162" t="s">
        <v>182</v>
      </c>
      <c r="K162" s="2">
        <v>2</v>
      </c>
    </row>
    <row r="163" spans="1:11" x14ac:dyDescent="0.25">
      <c r="A163" t="s">
        <v>137</v>
      </c>
      <c r="C163">
        <v>18794740</v>
      </c>
      <c r="D163" t="s">
        <v>143</v>
      </c>
      <c r="E163" t="s">
        <v>144</v>
      </c>
      <c r="F163">
        <v>802629573</v>
      </c>
      <c r="G163" s="1">
        <v>45658</v>
      </c>
      <c r="H163" s="1">
        <v>46045</v>
      </c>
      <c r="I163" t="s">
        <v>14</v>
      </c>
      <c r="J163" t="s">
        <v>182</v>
      </c>
      <c r="K163" s="2">
        <v>2</v>
      </c>
    </row>
    <row r="164" spans="1:11" x14ac:dyDescent="0.25">
      <c r="A164" t="s">
        <v>282</v>
      </c>
      <c r="C164">
        <v>19861194</v>
      </c>
      <c r="D164" t="s">
        <v>283</v>
      </c>
      <c r="E164" t="s">
        <v>284</v>
      </c>
      <c r="F164">
        <v>802644782</v>
      </c>
      <c r="G164" s="1">
        <v>45658</v>
      </c>
      <c r="H164" s="1">
        <v>46045</v>
      </c>
      <c r="I164" t="s">
        <v>14</v>
      </c>
      <c r="J164" t="s">
        <v>182</v>
      </c>
      <c r="K164" s="2">
        <v>2</v>
      </c>
    </row>
    <row r="165" spans="1:11" x14ac:dyDescent="0.25">
      <c r="A165" t="s">
        <v>43</v>
      </c>
      <c r="C165">
        <v>15278437</v>
      </c>
      <c r="D165" t="s">
        <v>64</v>
      </c>
      <c r="E165" t="s">
        <v>65</v>
      </c>
      <c r="F165">
        <v>802650873</v>
      </c>
      <c r="G165" s="1">
        <v>45658</v>
      </c>
      <c r="H165" s="1">
        <v>46045</v>
      </c>
      <c r="I165" t="s">
        <v>14</v>
      </c>
      <c r="J165" t="s">
        <v>182</v>
      </c>
      <c r="K165" s="2">
        <v>2</v>
      </c>
    </row>
    <row r="166" spans="1:11" x14ac:dyDescent="0.25">
      <c r="A166" t="s">
        <v>185</v>
      </c>
      <c r="C166">
        <v>17429706</v>
      </c>
      <c r="D166" t="s">
        <v>316</v>
      </c>
      <c r="E166" t="s">
        <v>317</v>
      </c>
      <c r="F166">
        <v>802720797</v>
      </c>
      <c r="G166" s="1">
        <v>45658</v>
      </c>
      <c r="H166" s="1">
        <v>46045</v>
      </c>
      <c r="I166" t="s">
        <v>14</v>
      </c>
      <c r="J166" t="s">
        <v>289</v>
      </c>
      <c r="K166" s="2">
        <v>2</v>
      </c>
    </row>
    <row r="167" spans="1:11" x14ac:dyDescent="0.25">
      <c r="A167" t="s">
        <v>20</v>
      </c>
      <c r="C167">
        <v>9254978</v>
      </c>
      <c r="D167" t="s">
        <v>34</v>
      </c>
      <c r="E167" t="s">
        <v>35</v>
      </c>
      <c r="F167">
        <v>802742865</v>
      </c>
      <c r="G167" s="1">
        <v>45658</v>
      </c>
      <c r="H167" s="1">
        <v>46045</v>
      </c>
      <c r="I167" t="s">
        <v>14</v>
      </c>
      <c r="J167" t="s">
        <v>182</v>
      </c>
      <c r="K167" s="2">
        <v>2</v>
      </c>
    </row>
    <row r="168" spans="1:11" x14ac:dyDescent="0.25">
      <c r="A168" t="s">
        <v>255</v>
      </c>
      <c r="C168">
        <v>18010408</v>
      </c>
      <c r="D168" t="s">
        <v>259</v>
      </c>
      <c r="E168" t="s">
        <v>260</v>
      </c>
      <c r="F168">
        <v>802745395</v>
      </c>
      <c r="G168" s="1">
        <v>46023</v>
      </c>
      <c r="H168" s="1">
        <v>46045</v>
      </c>
      <c r="I168" t="s">
        <v>14</v>
      </c>
      <c r="J168" t="s">
        <v>184</v>
      </c>
      <c r="K168" s="2">
        <v>2</v>
      </c>
    </row>
    <row r="169" spans="1:11" x14ac:dyDescent="0.25">
      <c r="A169" t="s">
        <v>20</v>
      </c>
      <c r="C169">
        <v>9254978</v>
      </c>
      <c r="D169" t="s">
        <v>30</v>
      </c>
      <c r="E169" t="s">
        <v>31</v>
      </c>
      <c r="F169">
        <v>802758903</v>
      </c>
      <c r="G169" s="1">
        <v>45658</v>
      </c>
      <c r="H169" s="1">
        <v>46045</v>
      </c>
      <c r="I169" t="s">
        <v>14</v>
      </c>
      <c r="J169" t="s">
        <v>182</v>
      </c>
      <c r="K169" s="2">
        <v>2</v>
      </c>
    </row>
    <row r="170" spans="1:11" x14ac:dyDescent="0.25">
      <c r="A170" t="s">
        <v>110</v>
      </c>
      <c r="C170">
        <v>17425766</v>
      </c>
      <c r="D170" t="s">
        <v>116</v>
      </c>
      <c r="E170" t="s">
        <v>117</v>
      </c>
      <c r="F170">
        <v>802764281</v>
      </c>
      <c r="G170" s="1">
        <v>45658</v>
      </c>
      <c r="H170" s="1">
        <v>46045</v>
      </c>
      <c r="I170" t="s">
        <v>14</v>
      </c>
      <c r="J170" t="s">
        <v>182</v>
      </c>
      <c r="K170" s="2">
        <v>2</v>
      </c>
    </row>
    <row r="171" spans="1:11" x14ac:dyDescent="0.25">
      <c r="A171" t="s">
        <v>110</v>
      </c>
      <c r="C171">
        <v>17425766</v>
      </c>
      <c r="D171" t="s">
        <v>116</v>
      </c>
      <c r="E171" t="s">
        <v>117</v>
      </c>
      <c r="F171">
        <v>802764281</v>
      </c>
      <c r="G171" s="1">
        <v>46023</v>
      </c>
      <c r="H171" s="1">
        <v>46045</v>
      </c>
      <c r="I171" t="s">
        <v>14</v>
      </c>
      <c r="J171" t="s">
        <v>184</v>
      </c>
      <c r="K171" s="2">
        <v>2</v>
      </c>
    </row>
    <row r="172" spans="1:11" x14ac:dyDescent="0.25">
      <c r="A172" t="s">
        <v>137</v>
      </c>
      <c r="C172">
        <v>18794740</v>
      </c>
      <c r="D172" t="s">
        <v>163</v>
      </c>
      <c r="E172" t="s">
        <v>164</v>
      </c>
      <c r="F172">
        <v>802765299</v>
      </c>
      <c r="G172" s="1">
        <v>45658</v>
      </c>
      <c r="H172" s="1">
        <v>46045</v>
      </c>
      <c r="I172" t="s">
        <v>14</v>
      </c>
      <c r="J172" t="s">
        <v>182</v>
      </c>
      <c r="K172" s="2">
        <v>2</v>
      </c>
    </row>
    <row r="173" spans="1:11" x14ac:dyDescent="0.25">
      <c r="A173" t="s">
        <v>110</v>
      </c>
      <c r="C173">
        <v>17425766</v>
      </c>
      <c r="D173" t="s">
        <v>111</v>
      </c>
      <c r="E173" t="s">
        <v>112</v>
      </c>
      <c r="F173">
        <v>802766120</v>
      </c>
      <c r="G173" s="1">
        <v>46023</v>
      </c>
      <c r="H173" s="1">
        <v>46045</v>
      </c>
      <c r="I173" t="s">
        <v>14</v>
      </c>
      <c r="J173" t="s">
        <v>184</v>
      </c>
      <c r="K173" s="2">
        <v>2</v>
      </c>
    </row>
    <row r="174" spans="1:11" x14ac:dyDescent="0.25">
      <c r="A174" t="s">
        <v>255</v>
      </c>
      <c r="C174">
        <v>18010408</v>
      </c>
      <c r="D174" t="s">
        <v>256</v>
      </c>
      <c r="E174" t="s">
        <v>257</v>
      </c>
      <c r="F174">
        <v>802769602</v>
      </c>
      <c r="G174" s="1">
        <v>46023</v>
      </c>
      <c r="H174" s="1">
        <v>46045</v>
      </c>
      <c r="I174" t="s">
        <v>14</v>
      </c>
      <c r="J174" t="s">
        <v>184</v>
      </c>
      <c r="K174" s="2">
        <v>2</v>
      </c>
    </row>
    <row r="175" spans="1:11" x14ac:dyDescent="0.25">
      <c r="A175" t="s">
        <v>255</v>
      </c>
      <c r="C175">
        <v>18010408</v>
      </c>
      <c r="D175" t="s">
        <v>269</v>
      </c>
      <c r="E175" t="s">
        <v>270</v>
      </c>
      <c r="F175">
        <v>802789575</v>
      </c>
      <c r="G175" s="1">
        <v>46023</v>
      </c>
      <c r="H175" s="1">
        <v>46045</v>
      </c>
      <c r="I175" t="s">
        <v>14</v>
      </c>
      <c r="J175" t="s">
        <v>184</v>
      </c>
      <c r="K175" s="2">
        <v>2</v>
      </c>
    </row>
    <row r="176" spans="1:11" x14ac:dyDescent="0.25">
      <c r="A176" t="s">
        <v>185</v>
      </c>
      <c r="C176">
        <v>17429706</v>
      </c>
      <c r="D176" t="s">
        <v>123</v>
      </c>
      <c r="E176" t="s">
        <v>328</v>
      </c>
      <c r="F176">
        <v>802792099</v>
      </c>
      <c r="G176" s="1">
        <v>45658</v>
      </c>
      <c r="H176" s="1">
        <v>46045</v>
      </c>
      <c r="I176" t="s">
        <v>14</v>
      </c>
      <c r="J176" t="s">
        <v>289</v>
      </c>
      <c r="K176" s="2">
        <v>2</v>
      </c>
    </row>
    <row r="177" spans="1:11" x14ac:dyDescent="0.25">
      <c r="A177" t="s">
        <v>185</v>
      </c>
      <c r="C177">
        <v>17429706</v>
      </c>
      <c r="D177" t="s">
        <v>321</v>
      </c>
      <c r="E177" t="s">
        <v>322</v>
      </c>
      <c r="F177">
        <v>802815657</v>
      </c>
      <c r="G177" s="1">
        <v>45658</v>
      </c>
      <c r="H177" s="1">
        <v>46045</v>
      </c>
      <c r="I177" t="s">
        <v>14</v>
      </c>
      <c r="J177" t="s">
        <v>289</v>
      </c>
      <c r="K177" s="2">
        <v>2</v>
      </c>
    </row>
    <row r="178" spans="1:11" x14ac:dyDescent="0.25">
      <c r="A178" t="s">
        <v>137</v>
      </c>
      <c r="C178">
        <v>18794740</v>
      </c>
      <c r="D178" t="s">
        <v>141</v>
      </c>
      <c r="E178" t="s">
        <v>142</v>
      </c>
      <c r="F178">
        <v>802833363</v>
      </c>
      <c r="G178" s="1">
        <v>45658</v>
      </c>
      <c r="H178" s="1">
        <v>46045</v>
      </c>
      <c r="I178" t="s">
        <v>14</v>
      </c>
      <c r="J178" t="s">
        <v>182</v>
      </c>
      <c r="K178" s="2">
        <v>2</v>
      </c>
    </row>
    <row r="179" spans="1:11" x14ac:dyDescent="0.25">
      <c r="A179" t="s">
        <v>255</v>
      </c>
      <c r="C179">
        <v>18010408</v>
      </c>
      <c r="D179" t="s">
        <v>261</v>
      </c>
      <c r="E179" t="s">
        <v>262</v>
      </c>
      <c r="F179">
        <v>802851677</v>
      </c>
      <c r="G179" s="1">
        <v>45658</v>
      </c>
      <c r="H179" s="1">
        <v>46045</v>
      </c>
      <c r="I179" t="s">
        <v>14</v>
      </c>
      <c r="J179" t="s">
        <v>182</v>
      </c>
      <c r="K179" s="2">
        <v>2</v>
      </c>
    </row>
    <row r="180" spans="1:11" x14ac:dyDescent="0.25">
      <c r="A180" t="s">
        <v>43</v>
      </c>
      <c r="C180">
        <v>15278437</v>
      </c>
      <c r="D180" t="s">
        <v>46</v>
      </c>
      <c r="E180" t="s">
        <v>47</v>
      </c>
      <c r="F180">
        <v>802854393</v>
      </c>
      <c r="G180" s="1">
        <v>46023</v>
      </c>
      <c r="H180" s="1">
        <v>46045</v>
      </c>
      <c r="I180" t="s">
        <v>14</v>
      </c>
      <c r="J180" t="s">
        <v>184</v>
      </c>
      <c r="K180" s="2">
        <v>2</v>
      </c>
    </row>
    <row r="181" spans="1:11" x14ac:dyDescent="0.25">
      <c r="A181" t="s">
        <v>282</v>
      </c>
      <c r="C181">
        <v>19861194</v>
      </c>
      <c r="D181" t="s">
        <v>62</v>
      </c>
      <c r="E181" t="s">
        <v>87</v>
      </c>
      <c r="F181">
        <v>802890500</v>
      </c>
      <c r="G181" s="1">
        <v>45658</v>
      </c>
      <c r="H181" s="1">
        <v>46045</v>
      </c>
      <c r="I181" t="s">
        <v>14</v>
      </c>
      <c r="J181" t="s">
        <v>182</v>
      </c>
      <c r="K181" s="2">
        <v>2</v>
      </c>
    </row>
    <row r="182" spans="1:11" x14ac:dyDescent="0.25">
      <c r="A182" t="s">
        <v>137</v>
      </c>
      <c r="C182">
        <v>18794740</v>
      </c>
      <c r="D182" t="s">
        <v>152</v>
      </c>
      <c r="E182" t="s">
        <v>153</v>
      </c>
      <c r="F182">
        <v>802902756</v>
      </c>
      <c r="G182" s="1">
        <v>45658</v>
      </c>
      <c r="H182" s="1">
        <v>46045</v>
      </c>
      <c r="I182" t="s">
        <v>14</v>
      </c>
      <c r="J182" t="s">
        <v>182</v>
      </c>
      <c r="K182" s="2">
        <v>2</v>
      </c>
    </row>
    <row r="183" spans="1:11" x14ac:dyDescent="0.25">
      <c r="A183" t="s">
        <v>271</v>
      </c>
      <c r="C183">
        <v>18134413</v>
      </c>
      <c r="D183" t="s">
        <v>278</v>
      </c>
      <c r="E183" t="s">
        <v>279</v>
      </c>
      <c r="F183">
        <v>802912633</v>
      </c>
      <c r="G183" s="1">
        <v>45658</v>
      </c>
      <c r="H183" s="1">
        <v>46045</v>
      </c>
      <c r="I183" t="s">
        <v>14</v>
      </c>
      <c r="J183" t="s">
        <v>182</v>
      </c>
      <c r="K183" s="2">
        <v>2</v>
      </c>
    </row>
    <row r="184" spans="1:11" x14ac:dyDescent="0.25">
      <c r="A184" t="s">
        <v>282</v>
      </c>
      <c r="C184">
        <v>19861194</v>
      </c>
      <c r="D184" t="s">
        <v>239</v>
      </c>
      <c r="E184" t="s">
        <v>285</v>
      </c>
      <c r="F184">
        <v>802923864</v>
      </c>
      <c r="G184" s="1">
        <v>45658</v>
      </c>
      <c r="H184" s="1">
        <v>46045</v>
      </c>
      <c r="I184" t="s">
        <v>14</v>
      </c>
      <c r="J184" t="s">
        <v>182</v>
      </c>
      <c r="K184" s="2">
        <v>2</v>
      </c>
    </row>
    <row r="185" spans="1:11" x14ac:dyDescent="0.25">
      <c r="A185" t="s">
        <v>43</v>
      </c>
      <c r="C185">
        <v>15278437</v>
      </c>
      <c r="D185" t="s">
        <v>44</v>
      </c>
      <c r="E185" t="s">
        <v>45</v>
      </c>
      <c r="F185">
        <v>802924885</v>
      </c>
      <c r="G185" s="1">
        <v>45658</v>
      </c>
      <c r="H185" s="1">
        <v>46045</v>
      </c>
      <c r="I185" t="s">
        <v>14</v>
      </c>
      <c r="J185" t="s">
        <v>182</v>
      </c>
      <c r="K185" s="2">
        <v>2</v>
      </c>
    </row>
    <row r="186" spans="1:11" x14ac:dyDescent="0.25">
      <c r="A186" t="s">
        <v>43</v>
      </c>
      <c r="C186">
        <v>15278437</v>
      </c>
      <c r="D186" t="s">
        <v>88</v>
      </c>
      <c r="E186" t="s">
        <v>89</v>
      </c>
      <c r="F186">
        <v>802965039</v>
      </c>
      <c r="G186" s="1">
        <v>45658</v>
      </c>
      <c r="H186" s="1">
        <v>46045</v>
      </c>
      <c r="I186" t="s">
        <v>14</v>
      </c>
      <c r="J186" t="s">
        <v>182</v>
      </c>
      <c r="K186" s="2">
        <v>2</v>
      </c>
    </row>
    <row r="187" spans="1:11" x14ac:dyDescent="0.25">
      <c r="A187" t="s">
        <v>43</v>
      </c>
      <c r="C187">
        <v>15278437</v>
      </c>
      <c r="D187" t="s">
        <v>82</v>
      </c>
      <c r="E187" t="s">
        <v>83</v>
      </c>
      <c r="F187">
        <v>802966160</v>
      </c>
      <c r="G187" s="1">
        <v>45658</v>
      </c>
      <c r="H187" s="1">
        <v>46045</v>
      </c>
      <c r="I187" t="s">
        <v>14</v>
      </c>
      <c r="J187" t="s">
        <v>182</v>
      </c>
      <c r="K187" s="2">
        <v>2</v>
      </c>
    </row>
    <row r="188" spans="1:11" x14ac:dyDescent="0.25">
      <c r="A188" t="s">
        <v>185</v>
      </c>
      <c r="C188">
        <v>17429706</v>
      </c>
      <c r="D188" t="s">
        <v>331</v>
      </c>
      <c r="E188" t="s">
        <v>332</v>
      </c>
      <c r="F188">
        <v>802969249</v>
      </c>
      <c r="G188" s="1">
        <v>45658</v>
      </c>
      <c r="H188" s="1">
        <v>46045</v>
      </c>
      <c r="I188" t="s">
        <v>14</v>
      </c>
      <c r="J188" t="s">
        <v>289</v>
      </c>
      <c r="K188" s="2">
        <v>2</v>
      </c>
    </row>
    <row r="189" spans="1:11" x14ac:dyDescent="0.25">
      <c r="A189" t="s">
        <v>185</v>
      </c>
      <c r="C189">
        <v>17429706</v>
      </c>
      <c r="D189" t="s">
        <v>220</v>
      </c>
      <c r="E189" t="s">
        <v>300</v>
      </c>
      <c r="F189">
        <v>802974981</v>
      </c>
      <c r="G189" s="1">
        <v>46023</v>
      </c>
      <c r="H189" s="1">
        <v>46045</v>
      </c>
      <c r="I189" t="s">
        <v>14</v>
      </c>
      <c r="J189" t="s">
        <v>291</v>
      </c>
      <c r="K189" s="2">
        <v>2</v>
      </c>
    </row>
    <row r="190" spans="1:11" x14ac:dyDescent="0.25">
      <c r="A190" t="s">
        <v>137</v>
      </c>
      <c r="C190">
        <v>18794740</v>
      </c>
      <c r="D190" t="s">
        <v>138</v>
      </c>
      <c r="E190" t="s">
        <v>139</v>
      </c>
      <c r="F190">
        <v>803044035</v>
      </c>
      <c r="G190" s="1">
        <v>46023</v>
      </c>
      <c r="H190" s="1">
        <v>46045</v>
      </c>
      <c r="I190" t="s">
        <v>14</v>
      </c>
      <c r="J190" t="s">
        <v>184</v>
      </c>
      <c r="K190" s="2">
        <v>2</v>
      </c>
    </row>
    <row r="191" spans="1:11" x14ac:dyDescent="0.25">
      <c r="A191" t="s">
        <v>282</v>
      </c>
      <c r="C191">
        <v>19861194</v>
      </c>
      <c r="D191" t="s">
        <v>73</v>
      </c>
      <c r="E191" t="s">
        <v>286</v>
      </c>
      <c r="F191">
        <v>803044336</v>
      </c>
      <c r="G191" s="1">
        <v>46023</v>
      </c>
      <c r="H191" s="1">
        <v>46045</v>
      </c>
      <c r="I191" t="s">
        <v>14</v>
      </c>
      <c r="J191" t="s">
        <v>184</v>
      </c>
      <c r="K191" s="2">
        <v>2</v>
      </c>
    </row>
    <row r="192" spans="1:11" x14ac:dyDescent="0.25">
      <c r="A192" t="s">
        <v>137</v>
      </c>
      <c r="C192">
        <v>18794740</v>
      </c>
      <c r="D192" t="s">
        <v>156</v>
      </c>
      <c r="E192" t="s">
        <v>157</v>
      </c>
      <c r="F192">
        <v>803050668</v>
      </c>
      <c r="G192" s="1">
        <v>46023</v>
      </c>
      <c r="H192" s="1">
        <v>46045</v>
      </c>
      <c r="I192" t="s">
        <v>14</v>
      </c>
      <c r="J192" t="s">
        <v>184</v>
      </c>
      <c r="K192" s="2">
        <v>2</v>
      </c>
    </row>
    <row r="193" spans="1:11" x14ac:dyDescent="0.25">
      <c r="A193" t="s">
        <v>104</v>
      </c>
      <c r="C193">
        <v>16509456</v>
      </c>
      <c r="D193" t="s">
        <v>105</v>
      </c>
      <c r="E193" t="s">
        <v>106</v>
      </c>
      <c r="F193">
        <v>803072574</v>
      </c>
      <c r="G193" s="1">
        <v>46023</v>
      </c>
      <c r="H193" s="1">
        <v>46045</v>
      </c>
      <c r="I193" t="s">
        <v>14</v>
      </c>
      <c r="J193" t="s">
        <v>184</v>
      </c>
      <c r="K193" s="2">
        <v>2</v>
      </c>
    </row>
    <row r="194" spans="1:11" x14ac:dyDescent="0.25">
      <c r="A194" t="s">
        <v>137</v>
      </c>
      <c r="C194">
        <v>18794740</v>
      </c>
      <c r="D194" t="s">
        <v>154</v>
      </c>
      <c r="E194" t="s">
        <v>155</v>
      </c>
      <c r="F194">
        <v>803080963</v>
      </c>
      <c r="G194" s="1">
        <v>46023</v>
      </c>
      <c r="H194" s="1">
        <v>46045</v>
      </c>
      <c r="I194" t="s">
        <v>14</v>
      </c>
      <c r="J194" t="s">
        <v>184</v>
      </c>
      <c r="K194" s="2">
        <v>2</v>
      </c>
    </row>
    <row r="195" spans="1:11" x14ac:dyDescent="0.25">
      <c r="A195" t="s">
        <v>255</v>
      </c>
      <c r="C195">
        <v>18010408</v>
      </c>
      <c r="D195" t="s">
        <v>265</v>
      </c>
      <c r="E195" t="s">
        <v>266</v>
      </c>
      <c r="F195">
        <v>803086563</v>
      </c>
      <c r="G195" s="1">
        <v>46023</v>
      </c>
      <c r="H195" s="1">
        <v>46045</v>
      </c>
      <c r="I195" t="s">
        <v>14</v>
      </c>
      <c r="J195" t="s">
        <v>184</v>
      </c>
      <c r="K195" s="2">
        <v>2</v>
      </c>
    </row>
    <row r="196" spans="1:11" x14ac:dyDescent="0.25">
      <c r="A196" t="s">
        <v>185</v>
      </c>
      <c r="C196">
        <v>17429706</v>
      </c>
      <c r="D196" t="s">
        <v>224</v>
      </c>
      <c r="E196" t="s">
        <v>327</v>
      </c>
      <c r="F196">
        <v>802510013</v>
      </c>
      <c r="G196" s="1">
        <v>45658</v>
      </c>
      <c r="H196" s="1">
        <v>46045</v>
      </c>
      <c r="I196" t="s">
        <v>14</v>
      </c>
      <c r="J196" t="s">
        <v>295</v>
      </c>
      <c r="K196" s="2">
        <v>1.5</v>
      </c>
    </row>
    <row r="197" spans="1:11" x14ac:dyDescent="0.25">
      <c r="A197" t="s">
        <v>185</v>
      </c>
      <c r="C197">
        <v>17429706</v>
      </c>
      <c r="D197" t="s">
        <v>21</v>
      </c>
      <c r="E197" t="s">
        <v>320</v>
      </c>
      <c r="F197">
        <v>802617750</v>
      </c>
      <c r="G197" s="1">
        <v>45658</v>
      </c>
      <c r="H197" s="1">
        <v>46045</v>
      </c>
      <c r="I197" t="s">
        <v>14</v>
      </c>
      <c r="J197" t="s">
        <v>295</v>
      </c>
      <c r="K197" s="2">
        <v>1.5</v>
      </c>
    </row>
    <row r="198" spans="1:11" x14ac:dyDescent="0.25">
      <c r="A198" t="s">
        <v>185</v>
      </c>
      <c r="C198">
        <v>17429706</v>
      </c>
      <c r="D198" t="s">
        <v>329</v>
      </c>
      <c r="E198" t="s">
        <v>330</v>
      </c>
      <c r="F198">
        <v>802736692</v>
      </c>
      <c r="G198" s="1">
        <v>45658</v>
      </c>
      <c r="H198" s="1">
        <v>46045</v>
      </c>
      <c r="I198" t="s">
        <v>14</v>
      </c>
      <c r="J198" t="s">
        <v>295</v>
      </c>
      <c r="K198" s="2">
        <v>1.5</v>
      </c>
    </row>
    <row r="199" spans="1:11" x14ac:dyDescent="0.25">
      <c r="A199" t="s">
        <v>185</v>
      </c>
      <c r="C199">
        <v>17429706</v>
      </c>
      <c r="D199" t="s">
        <v>312</v>
      </c>
      <c r="E199" t="s">
        <v>313</v>
      </c>
      <c r="F199">
        <v>802788757</v>
      </c>
      <c r="G199" s="1">
        <v>45658</v>
      </c>
      <c r="H199" s="1">
        <v>46045</v>
      </c>
      <c r="I199" t="s">
        <v>14</v>
      </c>
      <c r="J199" t="s">
        <v>295</v>
      </c>
      <c r="K199" s="2">
        <v>1.5</v>
      </c>
    </row>
    <row r="200" spans="1:11" x14ac:dyDescent="0.25">
      <c r="A200" t="s">
        <v>185</v>
      </c>
      <c r="C200">
        <v>17429706</v>
      </c>
      <c r="D200" t="s">
        <v>301</v>
      </c>
      <c r="E200" t="s">
        <v>302</v>
      </c>
      <c r="F200">
        <v>803033617</v>
      </c>
      <c r="G200" s="1">
        <v>46023</v>
      </c>
      <c r="H200" s="1">
        <v>46045</v>
      </c>
      <c r="I200" t="s">
        <v>14</v>
      </c>
      <c r="J200" t="s">
        <v>294</v>
      </c>
      <c r="K200" s="2">
        <v>1.5</v>
      </c>
    </row>
    <row r="201" spans="1:11" x14ac:dyDescent="0.25">
      <c r="A201" t="s">
        <v>185</v>
      </c>
      <c r="C201">
        <v>17429706</v>
      </c>
      <c r="D201" t="s">
        <v>224</v>
      </c>
      <c r="E201" t="s">
        <v>309</v>
      </c>
      <c r="F201">
        <v>802985432</v>
      </c>
      <c r="G201" s="1">
        <v>45658</v>
      </c>
      <c r="H201" s="1">
        <v>46045</v>
      </c>
      <c r="I201" t="s">
        <v>14</v>
      </c>
      <c r="J201" t="s">
        <v>287</v>
      </c>
      <c r="K201" s="2">
        <v>1.34</v>
      </c>
    </row>
    <row r="202" spans="1:11" x14ac:dyDescent="0.25">
      <c r="A202" t="s">
        <v>185</v>
      </c>
      <c r="C202">
        <v>17429706</v>
      </c>
      <c r="D202" t="s">
        <v>325</v>
      </c>
      <c r="E202" t="s">
        <v>326</v>
      </c>
      <c r="F202">
        <v>802985513</v>
      </c>
      <c r="G202" s="1">
        <v>45658</v>
      </c>
      <c r="H202" s="1">
        <v>46045</v>
      </c>
      <c r="I202" t="s">
        <v>14</v>
      </c>
      <c r="J202" t="s">
        <v>287</v>
      </c>
      <c r="K202" s="2">
        <v>1.34</v>
      </c>
    </row>
    <row r="203" spans="1:11" x14ac:dyDescent="0.25">
      <c r="A203" t="s">
        <v>185</v>
      </c>
      <c r="C203">
        <v>17429706</v>
      </c>
      <c r="D203" t="s">
        <v>62</v>
      </c>
      <c r="E203" t="s">
        <v>308</v>
      </c>
      <c r="F203">
        <v>803077123</v>
      </c>
      <c r="G203" s="1">
        <v>45901</v>
      </c>
      <c r="H203" s="1">
        <v>46045</v>
      </c>
      <c r="I203" t="s">
        <v>14</v>
      </c>
      <c r="J203" t="s">
        <v>287</v>
      </c>
      <c r="K203" s="2">
        <v>1.34</v>
      </c>
    </row>
    <row r="204" spans="1:11" x14ac:dyDescent="0.25">
      <c r="A204" t="s">
        <v>185</v>
      </c>
      <c r="C204">
        <v>17429706</v>
      </c>
      <c r="D204" t="s">
        <v>301</v>
      </c>
      <c r="E204" t="s">
        <v>311</v>
      </c>
      <c r="F204">
        <v>803077154</v>
      </c>
      <c r="G204" s="1">
        <v>45901</v>
      </c>
      <c r="H204" s="1">
        <v>46045</v>
      </c>
      <c r="I204" t="s">
        <v>14</v>
      </c>
      <c r="J204" t="s">
        <v>287</v>
      </c>
      <c r="K204" s="2">
        <v>1.34</v>
      </c>
    </row>
    <row r="205" spans="1:11" x14ac:dyDescent="0.25">
      <c r="A205" t="s">
        <v>185</v>
      </c>
      <c r="C205">
        <v>17429706</v>
      </c>
      <c r="D205" t="s">
        <v>32</v>
      </c>
      <c r="E205" t="s">
        <v>310</v>
      </c>
      <c r="F205">
        <v>803077860</v>
      </c>
      <c r="G205" s="1">
        <v>45901</v>
      </c>
      <c r="H205" s="1">
        <v>46045</v>
      </c>
      <c r="I205" t="s">
        <v>14</v>
      </c>
      <c r="J205" t="s">
        <v>287</v>
      </c>
      <c r="K205" s="2">
        <v>1.34</v>
      </c>
    </row>
    <row r="206" spans="1:11" x14ac:dyDescent="0.25">
      <c r="A206" t="s">
        <v>185</v>
      </c>
      <c r="C206">
        <v>17429706</v>
      </c>
      <c r="D206" t="s">
        <v>318</v>
      </c>
      <c r="E206" t="s">
        <v>319</v>
      </c>
      <c r="F206">
        <v>802164697</v>
      </c>
      <c r="G206" s="1">
        <v>45658</v>
      </c>
      <c r="H206" s="1">
        <v>46045</v>
      </c>
      <c r="I206" t="s">
        <v>14</v>
      </c>
      <c r="J206" t="s">
        <v>288</v>
      </c>
      <c r="K206" s="2">
        <v>1</v>
      </c>
    </row>
    <row r="207" spans="1:11" x14ac:dyDescent="0.25">
      <c r="A207" t="s">
        <v>185</v>
      </c>
      <c r="C207">
        <v>17429706</v>
      </c>
      <c r="D207" t="s">
        <v>307</v>
      </c>
      <c r="E207" t="s">
        <v>286</v>
      </c>
      <c r="F207">
        <v>802593618</v>
      </c>
      <c r="G207" s="1">
        <v>45658</v>
      </c>
      <c r="H207" s="1">
        <v>46045</v>
      </c>
      <c r="I207" t="s">
        <v>14</v>
      </c>
      <c r="J207" t="s">
        <v>288</v>
      </c>
      <c r="K207" s="2">
        <v>1</v>
      </c>
    </row>
    <row r="208" spans="1:11" x14ac:dyDescent="0.25">
      <c r="A208" t="s">
        <v>185</v>
      </c>
      <c r="C208">
        <v>17429706</v>
      </c>
      <c r="D208" t="s">
        <v>237</v>
      </c>
      <c r="E208" t="s">
        <v>210</v>
      </c>
      <c r="F208">
        <v>802815646</v>
      </c>
      <c r="G208" s="1">
        <v>45658</v>
      </c>
      <c r="H208" s="1">
        <v>46045</v>
      </c>
      <c r="I208" t="s">
        <v>14</v>
      </c>
      <c r="J208" t="s">
        <v>288</v>
      </c>
      <c r="K208" s="2">
        <v>1</v>
      </c>
    </row>
    <row r="209" spans="1:11" x14ac:dyDescent="0.25">
      <c r="A209" t="s">
        <v>185</v>
      </c>
      <c r="C209">
        <v>17429706</v>
      </c>
      <c r="D209" t="s">
        <v>220</v>
      </c>
      <c r="E209" t="s">
        <v>221</v>
      </c>
      <c r="F209">
        <v>802972954</v>
      </c>
      <c r="G209" s="1">
        <v>45658</v>
      </c>
      <c r="H209" s="1">
        <v>46045</v>
      </c>
      <c r="I209" t="s">
        <v>14</v>
      </c>
      <c r="J209" t="s">
        <v>183</v>
      </c>
      <c r="K209" s="2">
        <v>0.67</v>
      </c>
    </row>
    <row r="210" spans="1:11" x14ac:dyDescent="0.25">
      <c r="A210" t="s">
        <v>185</v>
      </c>
      <c r="C210">
        <v>17429706</v>
      </c>
      <c r="D210" t="s">
        <v>239</v>
      </c>
      <c r="E210" t="s">
        <v>240</v>
      </c>
      <c r="F210">
        <v>802975198</v>
      </c>
      <c r="G210" s="1">
        <v>45658</v>
      </c>
      <c r="H210" s="1">
        <v>46045</v>
      </c>
      <c r="I210" t="s">
        <v>14</v>
      </c>
      <c r="J210" t="s">
        <v>183</v>
      </c>
      <c r="K210" s="2">
        <v>0.67</v>
      </c>
    </row>
    <row r="211" spans="1:11" x14ac:dyDescent="0.25">
      <c r="A211" t="s">
        <v>185</v>
      </c>
      <c r="C211">
        <v>17429706</v>
      </c>
      <c r="D211" t="s">
        <v>230</v>
      </c>
      <c r="E211" t="s">
        <v>231</v>
      </c>
      <c r="F211">
        <v>802988093</v>
      </c>
      <c r="G211" s="1">
        <v>45658</v>
      </c>
      <c r="H211" s="1">
        <v>46045</v>
      </c>
      <c r="I211" t="s">
        <v>14</v>
      </c>
      <c r="J211" t="s">
        <v>183</v>
      </c>
      <c r="K211" s="2">
        <v>0.67</v>
      </c>
    </row>
    <row r="212" spans="1:11" x14ac:dyDescent="0.25">
      <c r="A212" t="s">
        <v>185</v>
      </c>
      <c r="C212">
        <v>17429706</v>
      </c>
      <c r="D212" t="s">
        <v>246</v>
      </c>
      <c r="E212" t="s">
        <v>247</v>
      </c>
      <c r="F212">
        <v>802999575</v>
      </c>
      <c r="G212" s="1">
        <v>45658</v>
      </c>
      <c r="H212" s="1">
        <v>46045</v>
      </c>
      <c r="I212" t="s">
        <v>14</v>
      </c>
      <c r="J212" t="s">
        <v>183</v>
      </c>
      <c r="K212" s="2">
        <v>0.67</v>
      </c>
    </row>
    <row r="213" spans="1:11" x14ac:dyDescent="0.25">
      <c r="A213" t="s">
        <v>185</v>
      </c>
      <c r="C213">
        <v>17429706</v>
      </c>
      <c r="D213" t="s">
        <v>218</v>
      </c>
      <c r="E213" t="s">
        <v>219</v>
      </c>
      <c r="F213">
        <v>803036488</v>
      </c>
      <c r="G213" s="1">
        <v>45778</v>
      </c>
      <c r="H213" s="1">
        <v>46045</v>
      </c>
      <c r="I213" t="s">
        <v>14</v>
      </c>
      <c r="J213" t="s">
        <v>183</v>
      </c>
      <c r="K213" s="2">
        <v>0.67</v>
      </c>
    </row>
    <row r="214" spans="1:11" x14ac:dyDescent="0.25">
      <c r="A214" t="s">
        <v>185</v>
      </c>
      <c r="C214">
        <v>17429706</v>
      </c>
      <c r="D214" t="s">
        <v>216</v>
      </c>
      <c r="E214" t="s">
        <v>217</v>
      </c>
      <c r="F214">
        <v>803077125</v>
      </c>
      <c r="G214" s="1">
        <v>45901</v>
      </c>
      <c r="H214" s="1">
        <v>46045</v>
      </c>
      <c r="I214" t="s">
        <v>14</v>
      </c>
      <c r="J214" t="s">
        <v>183</v>
      </c>
      <c r="K214" s="2">
        <v>0.67</v>
      </c>
    </row>
    <row r="215" spans="1:11" x14ac:dyDescent="0.25">
      <c r="A215" t="s">
        <v>185</v>
      </c>
      <c r="C215">
        <v>17429706</v>
      </c>
      <c r="D215" t="s">
        <v>222</v>
      </c>
      <c r="E215" t="s">
        <v>223</v>
      </c>
      <c r="F215">
        <v>803077762</v>
      </c>
      <c r="G215" s="1">
        <v>45901</v>
      </c>
      <c r="H215" s="1">
        <v>46045</v>
      </c>
      <c r="I215" t="s">
        <v>14</v>
      </c>
      <c r="J215" t="s">
        <v>183</v>
      </c>
      <c r="K215" s="2">
        <v>0.67</v>
      </c>
    </row>
    <row r="216" spans="1:11" x14ac:dyDescent="0.25">
      <c r="A216" t="s">
        <v>185</v>
      </c>
      <c r="C216">
        <v>17429706</v>
      </c>
      <c r="D216" t="s">
        <v>241</v>
      </c>
      <c r="E216" t="s">
        <v>242</v>
      </c>
      <c r="F216">
        <v>803081952</v>
      </c>
      <c r="G216" s="1">
        <v>45931</v>
      </c>
      <c r="H216" s="1">
        <v>46045</v>
      </c>
      <c r="I216" t="s">
        <v>14</v>
      </c>
      <c r="J216" t="s">
        <v>183</v>
      </c>
      <c r="K216" s="2">
        <v>0.67</v>
      </c>
    </row>
    <row r="217" spans="1:11" x14ac:dyDescent="0.25">
      <c r="A217" t="s">
        <v>185</v>
      </c>
      <c r="C217">
        <v>17429706</v>
      </c>
      <c r="D217" t="s">
        <v>252</v>
      </c>
      <c r="E217" t="s">
        <v>253</v>
      </c>
      <c r="F217">
        <v>803101497</v>
      </c>
      <c r="G217" s="1">
        <v>46023</v>
      </c>
      <c r="H217" s="1">
        <v>46045</v>
      </c>
      <c r="I217" t="s">
        <v>14</v>
      </c>
      <c r="J217" t="s">
        <v>254</v>
      </c>
      <c r="K217" s="2">
        <v>0.67</v>
      </c>
    </row>
    <row r="218" spans="1:11" x14ac:dyDescent="0.25">
      <c r="A218" t="s">
        <v>185</v>
      </c>
      <c r="C218">
        <v>17429706</v>
      </c>
      <c r="D218" t="s">
        <v>186</v>
      </c>
      <c r="E218" t="s">
        <v>187</v>
      </c>
      <c r="F218">
        <v>801965326</v>
      </c>
      <c r="G218" s="1">
        <v>46023</v>
      </c>
      <c r="H218" s="1">
        <v>46045</v>
      </c>
      <c r="I218" t="s">
        <v>14</v>
      </c>
      <c r="J218" t="s">
        <v>184</v>
      </c>
      <c r="K218" s="2">
        <v>0.5</v>
      </c>
    </row>
    <row r="219" spans="1:11" x14ac:dyDescent="0.25">
      <c r="A219" t="s">
        <v>185</v>
      </c>
      <c r="C219">
        <v>17429706</v>
      </c>
      <c r="D219" t="s">
        <v>73</v>
      </c>
      <c r="E219" t="s">
        <v>226</v>
      </c>
      <c r="F219">
        <v>801983845</v>
      </c>
      <c r="G219" s="1">
        <v>45658</v>
      </c>
      <c r="H219" s="1">
        <v>46045</v>
      </c>
      <c r="I219" t="s">
        <v>14</v>
      </c>
      <c r="J219" t="s">
        <v>182</v>
      </c>
      <c r="K219" s="2">
        <v>0.5</v>
      </c>
    </row>
    <row r="220" spans="1:11" x14ac:dyDescent="0.25">
      <c r="A220" t="s">
        <v>185</v>
      </c>
      <c r="C220">
        <v>17429706</v>
      </c>
      <c r="D220" t="s">
        <v>197</v>
      </c>
      <c r="E220" t="s">
        <v>87</v>
      </c>
      <c r="F220">
        <v>802000991</v>
      </c>
      <c r="G220" s="1">
        <v>46023</v>
      </c>
      <c r="H220" s="1">
        <v>46045</v>
      </c>
      <c r="I220" t="s">
        <v>14</v>
      </c>
      <c r="J220" t="s">
        <v>184</v>
      </c>
      <c r="K220" s="2">
        <v>0.5</v>
      </c>
    </row>
    <row r="221" spans="1:11" x14ac:dyDescent="0.25">
      <c r="A221" t="s">
        <v>185</v>
      </c>
      <c r="C221">
        <v>17429706</v>
      </c>
      <c r="D221" t="s">
        <v>161</v>
      </c>
      <c r="E221" t="s">
        <v>236</v>
      </c>
      <c r="F221">
        <v>802025795</v>
      </c>
      <c r="G221" s="1">
        <v>45658</v>
      </c>
      <c r="H221" s="1">
        <v>46045</v>
      </c>
      <c r="I221" t="s">
        <v>14</v>
      </c>
      <c r="J221" t="s">
        <v>182</v>
      </c>
      <c r="K221" s="2">
        <v>0.5</v>
      </c>
    </row>
    <row r="222" spans="1:11" x14ac:dyDescent="0.25">
      <c r="A222" t="s">
        <v>185</v>
      </c>
      <c r="C222">
        <v>17429706</v>
      </c>
      <c r="D222" t="s">
        <v>245</v>
      </c>
      <c r="E222" t="s">
        <v>236</v>
      </c>
      <c r="F222">
        <v>802025800</v>
      </c>
      <c r="G222" s="1">
        <v>45658</v>
      </c>
      <c r="H222" s="1">
        <v>46045</v>
      </c>
      <c r="I222" t="s">
        <v>14</v>
      </c>
      <c r="J222" t="s">
        <v>182</v>
      </c>
      <c r="K222" s="2">
        <v>0.5</v>
      </c>
    </row>
    <row r="223" spans="1:11" x14ac:dyDescent="0.25">
      <c r="A223" t="s">
        <v>185</v>
      </c>
      <c r="C223">
        <v>17429706</v>
      </c>
      <c r="D223" t="s">
        <v>243</v>
      </c>
      <c r="E223" t="s">
        <v>244</v>
      </c>
      <c r="F223">
        <v>802090721</v>
      </c>
      <c r="G223" s="1">
        <v>45658</v>
      </c>
      <c r="H223" s="1">
        <v>46045</v>
      </c>
      <c r="I223" t="s">
        <v>14</v>
      </c>
      <c r="J223" t="s">
        <v>182</v>
      </c>
      <c r="K223" s="2">
        <v>0.5</v>
      </c>
    </row>
    <row r="224" spans="1:11" x14ac:dyDescent="0.25">
      <c r="A224" t="s">
        <v>185</v>
      </c>
      <c r="C224">
        <v>17429706</v>
      </c>
      <c r="D224" t="s">
        <v>191</v>
      </c>
      <c r="E224" t="s">
        <v>192</v>
      </c>
      <c r="F224">
        <v>802259162</v>
      </c>
      <c r="G224" s="1">
        <v>46023</v>
      </c>
      <c r="H224" s="1">
        <v>46045</v>
      </c>
      <c r="I224" t="s">
        <v>14</v>
      </c>
      <c r="J224" t="s">
        <v>184</v>
      </c>
      <c r="K224" s="2">
        <v>0.5</v>
      </c>
    </row>
    <row r="225" spans="1:11" x14ac:dyDescent="0.25">
      <c r="A225" t="s">
        <v>185</v>
      </c>
      <c r="C225">
        <v>17429706</v>
      </c>
      <c r="D225" t="s">
        <v>105</v>
      </c>
      <c r="E225" t="s">
        <v>188</v>
      </c>
      <c r="F225">
        <v>802275550</v>
      </c>
      <c r="G225" s="1">
        <v>46023</v>
      </c>
      <c r="H225" s="1">
        <v>46045</v>
      </c>
      <c r="I225" t="s">
        <v>14</v>
      </c>
      <c r="J225" t="s">
        <v>184</v>
      </c>
      <c r="K225" s="2">
        <v>0.5</v>
      </c>
    </row>
    <row r="226" spans="1:11" x14ac:dyDescent="0.25">
      <c r="A226" t="s">
        <v>185</v>
      </c>
      <c r="C226">
        <v>17429706</v>
      </c>
      <c r="D226" t="s">
        <v>215</v>
      </c>
      <c r="E226" t="s">
        <v>188</v>
      </c>
      <c r="F226">
        <v>802275580</v>
      </c>
      <c r="G226" s="1">
        <v>45658</v>
      </c>
      <c r="H226" s="1">
        <v>46045</v>
      </c>
      <c r="I226" t="s">
        <v>14</v>
      </c>
      <c r="J226" t="s">
        <v>182</v>
      </c>
      <c r="K226" s="2">
        <v>0.5</v>
      </c>
    </row>
    <row r="227" spans="1:11" x14ac:dyDescent="0.25">
      <c r="A227" t="s">
        <v>185</v>
      </c>
      <c r="C227">
        <v>17429706</v>
      </c>
      <c r="D227" t="s">
        <v>232</v>
      </c>
      <c r="E227" t="s">
        <v>233</v>
      </c>
      <c r="F227">
        <v>802276982</v>
      </c>
      <c r="G227" s="1">
        <v>45658</v>
      </c>
      <c r="H227" s="1">
        <v>46045</v>
      </c>
      <c r="I227" t="s">
        <v>14</v>
      </c>
      <c r="J227" t="s">
        <v>182</v>
      </c>
      <c r="K227" s="2">
        <v>0.5</v>
      </c>
    </row>
    <row r="228" spans="1:11" x14ac:dyDescent="0.25">
      <c r="A228" t="s">
        <v>185</v>
      </c>
      <c r="C228">
        <v>17429706</v>
      </c>
      <c r="D228" t="s">
        <v>228</v>
      </c>
      <c r="E228" t="s">
        <v>229</v>
      </c>
      <c r="F228">
        <v>802313580</v>
      </c>
      <c r="G228" s="1">
        <v>45658</v>
      </c>
      <c r="H228" s="1">
        <v>46045</v>
      </c>
      <c r="I228" t="s">
        <v>14</v>
      </c>
      <c r="J228" t="s">
        <v>182</v>
      </c>
      <c r="K228" s="2">
        <v>0.5</v>
      </c>
    </row>
    <row r="229" spans="1:11" x14ac:dyDescent="0.25">
      <c r="A229" t="s">
        <v>185</v>
      </c>
      <c r="C229">
        <v>17429706</v>
      </c>
      <c r="D229" t="s">
        <v>248</v>
      </c>
      <c r="E229" t="s">
        <v>249</v>
      </c>
      <c r="F229">
        <v>802510978</v>
      </c>
      <c r="G229" s="1">
        <v>45658</v>
      </c>
      <c r="H229" s="1">
        <v>46045</v>
      </c>
      <c r="I229" t="s">
        <v>14</v>
      </c>
      <c r="J229" t="s">
        <v>182</v>
      </c>
      <c r="K229" s="2">
        <v>0.5</v>
      </c>
    </row>
    <row r="230" spans="1:11" x14ac:dyDescent="0.25">
      <c r="A230" t="s">
        <v>185</v>
      </c>
      <c r="C230">
        <v>17429706</v>
      </c>
      <c r="D230" t="s">
        <v>248</v>
      </c>
      <c r="E230" t="s">
        <v>249</v>
      </c>
      <c r="F230">
        <v>802510978</v>
      </c>
      <c r="G230" s="1">
        <v>46023</v>
      </c>
      <c r="H230" s="1">
        <v>46045</v>
      </c>
      <c r="I230" t="s">
        <v>14</v>
      </c>
      <c r="J230" t="s">
        <v>184</v>
      </c>
      <c r="K230" s="2">
        <v>0.5</v>
      </c>
    </row>
    <row r="231" spans="1:11" x14ac:dyDescent="0.25">
      <c r="A231" t="s">
        <v>185</v>
      </c>
      <c r="C231">
        <v>17429706</v>
      </c>
      <c r="D231" t="s">
        <v>200</v>
      </c>
      <c r="E231" t="s">
        <v>201</v>
      </c>
      <c r="F231">
        <v>802534455</v>
      </c>
      <c r="G231" s="1">
        <v>46023</v>
      </c>
      <c r="H231" s="1">
        <v>46045</v>
      </c>
      <c r="I231" t="s">
        <v>14</v>
      </c>
      <c r="J231" t="s">
        <v>184</v>
      </c>
      <c r="K231" s="2">
        <v>0.5</v>
      </c>
    </row>
    <row r="232" spans="1:11" x14ac:dyDescent="0.25">
      <c r="A232" t="s">
        <v>185</v>
      </c>
      <c r="C232">
        <v>17429706</v>
      </c>
      <c r="D232" t="s">
        <v>195</v>
      </c>
      <c r="E232" t="s">
        <v>196</v>
      </c>
      <c r="F232">
        <v>802569564</v>
      </c>
      <c r="G232" s="1">
        <v>46023</v>
      </c>
      <c r="H232" s="1">
        <v>46045</v>
      </c>
      <c r="I232" t="s">
        <v>14</v>
      </c>
      <c r="J232" t="s">
        <v>184</v>
      </c>
      <c r="K232" s="2">
        <v>0.5</v>
      </c>
    </row>
    <row r="233" spans="1:11" x14ac:dyDescent="0.25">
      <c r="A233" t="s">
        <v>185</v>
      </c>
      <c r="C233">
        <v>17429706</v>
      </c>
      <c r="D233" t="s">
        <v>224</v>
      </c>
      <c r="E233" t="s">
        <v>225</v>
      </c>
      <c r="F233">
        <v>802590662</v>
      </c>
      <c r="G233" s="1">
        <v>45658</v>
      </c>
      <c r="H233" s="1">
        <v>46045</v>
      </c>
      <c r="I233" t="s">
        <v>14</v>
      </c>
      <c r="J233" t="s">
        <v>182</v>
      </c>
      <c r="K233" s="2">
        <v>0.5</v>
      </c>
    </row>
    <row r="234" spans="1:11" x14ac:dyDescent="0.25">
      <c r="A234" t="s">
        <v>185</v>
      </c>
      <c r="C234">
        <v>17429706</v>
      </c>
      <c r="D234" t="s">
        <v>237</v>
      </c>
      <c r="E234" t="s">
        <v>238</v>
      </c>
      <c r="F234">
        <v>802599374</v>
      </c>
      <c r="G234" s="1">
        <v>45658</v>
      </c>
      <c r="H234" s="1">
        <v>46045</v>
      </c>
      <c r="I234" t="s">
        <v>14</v>
      </c>
      <c r="J234" t="s">
        <v>182</v>
      </c>
      <c r="K234" s="2">
        <v>0.5</v>
      </c>
    </row>
    <row r="235" spans="1:11" x14ac:dyDescent="0.25">
      <c r="A235" t="s">
        <v>185</v>
      </c>
      <c r="C235">
        <v>17429706</v>
      </c>
      <c r="D235" t="s">
        <v>111</v>
      </c>
      <c r="E235" t="s">
        <v>189</v>
      </c>
      <c r="F235">
        <v>802608706</v>
      </c>
      <c r="G235" s="1">
        <v>46023</v>
      </c>
      <c r="H235" s="1">
        <v>46045</v>
      </c>
      <c r="I235" t="s">
        <v>14</v>
      </c>
      <c r="J235" t="s">
        <v>184</v>
      </c>
      <c r="K235" s="2">
        <v>0.5</v>
      </c>
    </row>
    <row r="236" spans="1:11" x14ac:dyDescent="0.25">
      <c r="A236" t="s">
        <v>185</v>
      </c>
      <c r="C236">
        <v>17429706</v>
      </c>
      <c r="D236" t="s">
        <v>105</v>
      </c>
      <c r="E236" t="s">
        <v>227</v>
      </c>
      <c r="F236">
        <v>802644728</v>
      </c>
      <c r="G236" s="1">
        <v>45658</v>
      </c>
      <c r="H236" s="1">
        <v>46045</v>
      </c>
      <c r="I236" t="s">
        <v>14</v>
      </c>
      <c r="J236" t="s">
        <v>182</v>
      </c>
      <c r="K236" s="2">
        <v>0.5</v>
      </c>
    </row>
    <row r="237" spans="1:11" x14ac:dyDescent="0.25">
      <c r="A237" t="s">
        <v>185</v>
      </c>
      <c r="C237">
        <v>17429706</v>
      </c>
      <c r="D237" t="s">
        <v>71</v>
      </c>
      <c r="E237" t="s">
        <v>208</v>
      </c>
      <c r="F237">
        <v>802672126</v>
      </c>
      <c r="G237" s="1">
        <v>45658</v>
      </c>
      <c r="H237" s="1">
        <v>46045</v>
      </c>
      <c r="I237" t="s">
        <v>14</v>
      </c>
      <c r="J237" t="s">
        <v>182</v>
      </c>
      <c r="K237" s="2">
        <v>0.5</v>
      </c>
    </row>
    <row r="238" spans="1:11" x14ac:dyDescent="0.25">
      <c r="A238" t="s">
        <v>185</v>
      </c>
      <c r="C238">
        <v>17429706</v>
      </c>
      <c r="D238" t="s">
        <v>234</v>
      </c>
      <c r="E238" t="s">
        <v>235</v>
      </c>
      <c r="F238">
        <v>802731330</v>
      </c>
      <c r="G238" s="1">
        <v>45658</v>
      </c>
      <c r="H238" s="1">
        <v>46045</v>
      </c>
      <c r="I238" t="s">
        <v>14</v>
      </c>
      <c r="J238" t="s">
        <v>182</v>
      </c>
      <c r="K238" s="2">
        <v>0.5</v>
      </c>
    </row>
    <row r="239" spans="1:11" x14ac:dyDescent="0.25">
      <c r="A239" t="s">
        <v>185</v>
      </c>
      <c r="C239">
        <v>17429706</v>
      </c>
      <c r="D239" t="s">
        <v>211</v>
      </c>
      <c r="E239" t="s">
        <v>212</v>
      </c>
      <c r="F239">
        <v>802735629</v>
      </c>
      <c r="G239" s="1">
        <v>45658</v>
      </c>
      <c r="H239" s="1">
        <v>46045</v>
      </c>
      <c r="I239" t="s">
        <v>14</v>
      </c>
      <c r="J239" t="s">
        <v>182</v>
      </c>
      <c r="K239" s="2">
        <v>0.5</v>
      </c>
    </row>
    <row r="240" spans="1:11" x14ac:dyDescent="0.25">
      <c r="A240" t="s">
        <v>185</v>
      </c>
      <c r="C240">
        <v>17429706</v>
      </c>
      <c r="D240" t="s">
        <v>21</v>
      </c>
      <c r="E240" t="s">
        <v>190</v>
      </c>
      <c r="F240">
        <v>802755228</v>
      </c>
      <c r="G240" s="1">
        <v>46023</v>
      </c>
      <c r="H240" s="1">
        <v>46045</v>
      </c>
      <c r="I240" t="s">
        <v>14</v>
      </c>
      <c r="J240" t="s">
        <v>184</v>
      </c>
      <c r="K240" s="2">
        <v>0.5</v>
      </c>
    </row>
    <row r="241" spans="1:11" x14ac:dyDescent="0.25">
      <c r="A241" t="s">
        <v>185</v>
      </c>
      <c r="C241">
        <v>17429706</v>
      </c>
      <c r="D241" t="s">
        <v>213</v>
      </c>
      <c r="E241" t="s">
        <v>214</v>
      </c>
      <c r="F241">
        <v>802794574</v>
      </c>
      <c r="G241" s="1">
        <v>45658</v>
      </c>
      <c r="H241" s="1">
        <v>46045</v>
      </c>
      <c r="I241" t="s">
        <v>14</v>
      </c>
      <c r="J241" t="s">
        <v>182</v>
      </c>
      <c r="K241" s="2">
        <v>0.5</v>
      </c>
    </row>
    <row r="242" spans="1:11" x14ac:dyDescent="0.25">
      <c r="A242" t="s">
        <v>185</v>
      </c>
      <c r="C242">
        <v>17429706</v>
      </c>
      <c r="D242" t="s">
        <v>209</v>
      </c>
      <c r="E242" t="s">
        <v>210</v>
      </c>
      <c r="F242">
        <v>802817440</v>
      </c>
      <c r="G242" s="1">
        <v>45658</v>
      </c>
      <c r="H242" s="1">
        <v>46045</v>
      </c>
      <c r="I242" t="s">
        <v>14</v>
      </c>
      <c r="J242" t="s">
        <v>182</v>
      </c>
      <c r="K242" s="2">
        <v>0.5</v>
      </c>
    </row>
    <row r="243" spans="1:11" x14ac:dyDescent="0.25">
      <c r="A243" t="s">
        <v>185</v>
      </c>
      <c r="C243">
        <v>17429706</v>
      </c>
      <c r="D243" t="s">
        <v>202</v>
      </c>
      <c r="E243" t="s">
        <v>203</v>
      </c>
      <c r="F243">
        <v>802857070</v>
      </c>
      <c r="G243" s="1">
        <v>46023</v>
      </c>
      <c r="H243" s="1">
        <v>46045</v>
      </c>
      <c r="I243" t="s">
        <v>14</v>
      </c>
      <c r="J243" t="s">
        <v>184</v>
      </c>
      <c r="K243" s="2">
        <v>0.5</v>
      </c>
    </row>
    <row r="244" spans="1:11" x14ac:dyDescent="0.25">
      <c r="A244" t="s">
        <v>185</v>
      </c>
      <c r="C244">
        <v>17429706</v>
      </c>
      <c r="D244" t="s">
        <v>250</v>
      </c>
      <c r="E244" t="s">
        <v>251</v>
      </c>
      <c r="F244">
        <v>802909480</v>
      </c>
      <c r="G244" s="1">
        <v>45658</v>
      </c>
      <c r="H244" s="1">
        <v>46045</v>
      </c>
      <c r="I244" t="s">
        <v>14</v>
      </c>
      <c r="J244" t="s">
        <v>182</v>
      </c>
      <c r="K244" s="2">
        <v>0.5</v>
      </c>
    </row>
    <row r="245" spans="1:11" x14ac:dyDescent="0.25">
      <c r="A245" t="s">
        <v>185</v>
      </c>
      <c r="C245">
        <v>17429706</v>
      </c>
      <c r="D245" t="s">
        <v>193</v>
      </c>
      <c r="E245" t="s">
        <v>194</v>
      </c>
      <c r="F245">
        <v>802915806</v>
      </c>
      <c r="G245" s="1">
        <v>46023</v>
      </c>
      <c r="H245" s="1">
        <v>46045</v>
      </c>
      <c r="I245" t="s">
        <v>14</v>
      </c>
      <c r="J245" t="s">
        <v>184</v>
      </c>
      <c r="K245" s="2">
        <v>0.5</v>
      </c>
    </row>
    <row r="246" spans="1:11" x14ac:dyDescent="0.25">
      <c r="A246" t="s">
        <v>185</v>
      </c>
      <c r="C246">
        <v>17429706</v>
      </c>
      <c r="D246" t="s">
        <v>204</v>
      </c>
      <c r="E246" t="s">
        <v>205</v>
      </c>
      <c r="F246">
        <v>802974437</v>
      </c>
      <c r="G246" s="1">
        <v>46023</v>
      </c>
      <c r="H246" s="1">
        <v>46045</v>
      </c>
      <c r="I246" t="s">
        <v>14</v>
      </c>
      <c r="J246" t="s">
        <v>184</v>
      </c>
      <c r="K246" s="2">
        <v>0.5</v>
      </c>
    </row>
    <row r="247" spans="1:11" x14ac:dyDescent="0.25">
      <c r="A247" t="s">
        <v>185</v>
      </c>
      <c r="C247">
        <v>17429706</v>
      </c>
      <c r="D247" t="s">
        <v>206</v>
      </c>
      <c r="E247" t="s">
        <v>207</v>
      </c>
      <c r="F247">
        <v>802992629</v>
      </c>
      <c r="G247" s="1">
        <v>46023</v>
      </c>
      <c r="H247" s="1">
        <v>46045</v>
      </c>
      <c r="I247" t="s">
        <v>14</v>
      </c>
      <c r="J247" t="s">
        <v>184</v>
      </c>
      <c r="K247" s="2">
        <v>0.5</v>
      </c>
    </row>
    <row r="248" spans="1:11" x14ac:dyDescent="0.25">
      <c r="A248" t="s">
        <v>185</v>
      </c>
      <c r="C248">
        <v>17429706</v>
      </c>
      <c r="D248" t="s">
        <v>198</v>
      </c>
      <c r="E248" t="s">
        <v>199</v>
      </c>
      <c r="F248">
        <v>803090379</v>
      </c>
      <c r="G248" s="1">
        <v>46023</v>
      </c>
      <c r="H248" s="1">
        <v>46045</v>
      </c>
      <c r="I248" t="s">
        <v>14</v>
      </c>
      <c r="J248" t="s">
        <v>184</v>
      </c>
      <c r="K248" s="2">
        <v>0.5</v>
      </c>
    </row>
    <row r="249" spans="1:11" x14ac:dyDescent="0.25">
      <c r="A249" t="s">
        <v>20</v>
      </c>
      <c r="C249">
        <v>9254978</v>
      </c>
      <c r="D249" t="s">
        <v>24</v>
      </c>
      <c r="E249" t="s">
        <v>25</v>
      </c>
      <c r="F249">
        <v>802996993</v>
      </c>
      <c r="G249" s="1">
        <v>45689</v>
      </c>
      <c r="H249" s="1">
        <v>46045</v>
      </c>
      <c r="I249" t="s">
        <v>351</v>
      </c>
      <c r="J249" t="s">
        <v>353</v>
      </c>
      <c r="K249" s="2">
        <v>0.39</v>
      </c>
    </row>
    <row r="250" spans="1:11" x14ac:dyDescent="0.25">
      <c r="A250" t="s">
        <v>20</v>
      </c>
      <c r="C250">
        <v>9254978</v>
      </c>
      <c r="D250" t="s">
        <v>24</v>
      </c>
      <c r="E250" t="s">
        <v>25</v>
      </c>
      <c r="F250">
        <v>802996993</v>
      </c>
      <c r="G250" s="1">
        <v>45689</v>
      </c>
      <c r="H250" s="1">
        <v>46045</v>
      </c>
      <c r="I250" t="s">
        <v>351</v>
      </c>
      <c r="J250" t="s">
        <v>352</v>
      </c>
      <c r="K250" s="2">
        <v>0.38</v>
      </c>
    </row>
    <row r="251" spans="1:11" x14ac:dyDescent="0.25">
      <c r="A251" t="s">
        <v>185</v>
      </c>
      <c r="C251">
        <v>17429706</v>
      </c>
      <c r="D251" t="s">
        <v>197</v>
      </c>
      <c r="E251" t="s">
        <v>362</v>
      </c>
      <c r="F251">
        <v>803102051</v>
      </c>
      <c r="G251" s="1">
        <v>46023</v>
      </c>
      <c r="H251" s="1">
        <v>46045</v>
      </c>
      <c r="I251" t="s">
        <v>351</v>
      </c>
      <c r="J251" t="s">
        <v>363</v>
      </c>
      <c r="K251" s="2">
        <v>0.19</v>
      </c>
    </row>
    <row r="252" spans="1:11" x14ac:dyDescent="0.25">
      <c r="A252" t="s">
        <v>282</v>
      </c>
      <c r="C252">
        <v>19861194</v>
      </c>
      <c r="D252" t="s">
        <v>367</v>
      </c>
      <c r="E252" t="s">
        <v>344</v>
      </c>
      <c r="F252">
        <v>802820214</v>
      </c>
      <c r="G252" s="1">
        <v>45139</v>
      </c>
      <c r="H252" s="1">
        <v>46045</v>
      </c>
      <c r="I252" t="s">
        <v>351</v>
      </c>
      <c r="J252" t="s">
        <v>368</v>
      </c>
      <c r="K252" s="2">
        <v>0.15</v>
      </c>
    </row>
    <row r="253" spans="1:11" x14ac:dyDescent="0.25">
      <c r="A253" t="s">
        <v>185</v>
      </c>
      <c r="C253">
        <v>17429706</v>
      </c>
      <c r="D253" t="s">
        <v>357</v>
      </c>
      <c r="E253" t="s">
        <v>358</v>
      </c>
      <c r="F253">
        <v>802755784</v>
      </c>
      <c r="G253" s="1">
        <v>44927</v>
      </c>
      <c r="H253" s="1">
        <v>46045</v>
      </c>
      <c r="I253" t="s">
        <v>351</v>
      </c>
      <c r="J253" t="s">
        <v>352</v>
      </c>
      <c r="K253" s="2">
        <v>0.09</v>
      </c>
    </row>
    <row r="254" spans="1:11" x14ac:dyDescent="0.25">
      <c r="A254" t="s">
        <v>185</v>
      </c>
      <c r="C254">
        <v>17429706</v>
      </c>
      <c r="D254" t="s">
        <v>354</v>
      </c>
      <c r="E254" t="s">
        <v>355</v>
      </c>
      <c r="F254">
        <v>802849468</v>
      </c>
      <c r="G254" s="1">
        <v>45962</v>
      </c>
      <c r="H254" s="1">
        <v>46045</v>
      </c>
      <c r="I254" t="s">
        <v>351</v>
      </c>
      <c r="J254" t="s">
        <v>356</v>
      </c>
      <c r="K254" s="2">
        <v>7.0000000000000007E-2</v>
      </c>
    </row>
    <row r="255" spans="1:11" x14ac:dyDescent="0.25">
      <c r="A255" t="s">
        <v>185</v>
      </c>
      <c r="C255">
        <v>17429706</v>
      </c>
      <c r="D255" t="s">
        <v>365</v>
      </c>
      <c r="E255" t="s">
        <v>366</v>
      </c>
      <c r="F255">
        <v>802504977</v>
      </c>
      <c r="G255" s="1">
        <v>45717</v>
      </c>
      <c r="H255" s="1">
        <v>46045</v>
      </c>
      <c r="I255" t="s">
        <v>351</v>
      </c>
      <c r="J255" t="s">
        <v>364</v>
      </c>
      <c r="K255" s="2">
        <v>0.04</v>
      </c>
    </row>
    <row r="256" spans="1:11" x14ac:dyDescent="0.25">
      <c r="A256" t="s">
        <v>185</v>
      </c>
      <c r="C256">
        <v>17429706</v>
      </c>
      <c r="D256" t="s">
        <v>32</v>
      </c>
      <c r="E256" t="s">
        <v>310</v>
      </c>
      <c r="F256">
        <v>802937524</v>
      </c>
      <c r="G256" s="1">
        <v>45505</v>
      </c>
      <c r="H256" s="1">
        <v>46045</v>
      </c>
      <c r="I256" t="s">
        <v>351</v>
      </c>
      <c r="J256" t="s">
        <v>364</v>
      </c>
      <c r="K256" s="2">
        <v>0.04</v>
      </c>
    </row>
    <row r="257" spans="1:11" x14ac:dyDescent="0.25">
      <c r="A257" t="s">
        <v>185</v>
      </c>
      <c r="C257">
        <v>17429706</v>
      </c>
      <c r="D257" t="s">
        <v>133</v>
      </c>
      <c r="E257" t="s">
        <v>359</v>
      </c>
      <c r="F257">
        <v>802861359</v>
      </c>
      <c r="G257" s="1">
        <v>45292</v>
      </c>
      <c r="H257" s="1">
        <v>46045</v>
      </c>
      <c r="I257" t="s">
        <v>351</v>
      </c>
      <c r="J257" t="s">
        <v>360</v>
      </c>
      <c r="K257" s="2">
        <v>0.02</v>
      </c>
    </row>
    <row r="258" spans="1:11" x14ac:dyDescent="0.25">
      <c r="A258" t="s">
        <v>185</v>
      </c>
      <c r="C258">
        <v>17429706</v>
      </c>
      <c r="D258" t="s">
        <v>133</v>
      </c>
      <c r="E258" t="s">
        <v>359</v>
      </c>
      <c r="F258">
        <v>802861359</v>
      </c>
      <c r="G258" s="1">
        <v>45292</v>
      </c>
      <c r="H258" s="1">
        <v>46045</v>
      </c>
      <c r="I258" t="s">
        <v>351</v>
      </c>
      <c r="J258" t="s">
        <v>361</v>
      </c>
      <c r="K258" s="2">
        <v>0.02</v>
      </c>
    </row>
  </sheetData>
  <sortState xmlns:xlrd2="http://schemas.microsoft.com/office/spreadsheetml/2017/richdata2" ref="A2:K258">
    <sortCondition descending="1" ref="K2:K258"/>
    <sortCondition ref="F2:F2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2026-01-23T16:41:57Z</dcterms:created>
  <dcterms:modified xsi:type="dcterms:W3CDTF">2026-01-28T21:46:48Z</dcterms:modified>
</cp:coreProperties>
</file>