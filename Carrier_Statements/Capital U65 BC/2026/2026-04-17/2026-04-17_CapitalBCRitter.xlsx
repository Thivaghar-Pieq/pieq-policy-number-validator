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Sheet2!$A$1:$Y$1000</definedName>
  </definedNames>
  <calcPr/>
  <extLst>
    <ext uri="GoogleSheetsCustomDataVersion2">
      <go:sheetsCustomData xmlns:go="http://customooxmlschemas.google.com/" r:id="rId6" roundtripDataChecksum="QcCnuEJXNIRc8TJJfioxqcDv0wJs7IRTH5Y756q2Bgo="/>
    </ext>
  </extLst>
</workbook>
</file>

<file path=xl/sharedStrings.xml><?xml version="1.0" encoding="utf-8"?>
<sst xmlns="http://schemas.openxmlformats.org/spreadsheetml/2006/main" count="2607" uniqueCount="358">
  <si>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</si>
  <si>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</si>
  <si>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</si>
  <si>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</si>
  <si>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</si>
  <si>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</si>
  <si>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</si>
  <si>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</si>
  <si>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</si>
  <si>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</si>
  <si>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</si>
  <si>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</si>
  <si>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Crystal</t>
  </si>
  <si>
    <t>Wierbowski</t>
  </si>
  <si>
    <t>Capital Blue Cross</t>
  </si>
  <si>
    <t>Notes: Capital Blue Cross U65 PREM = $29 Payment Period 03/01/2026. MM</t>
  </si>
  <si>
    <t>Margaret Finnegan</t>
  </si>
  <si>
    <t>Collin</t>
  </si>
  <si>
    <t>L Schadel</t>
  </si>
  <si>
    <t>Notes: Capital Blue Cross U65 PREM = $5.95 Payment Period 03/01/2026. MM</t>
  </si>
  <si>
    <t>Kylie</t>
  </si>
  <si>
    <t>Good</t>
  </si>
  <si>
    <t>Notes: Capital Blue Cross U65 PREM = $11.1 Payment Period 04/01/2026. MM</t>
  </si>
  <si>
    <t>Jason Hoffmann</t>
  </si>
  <si>
    <t>Nicholas</t>
  </si>
  <si>
    <t>A Nudy</t>
  </si>
  <si>
    <t>Bryan Krobath</t>
  </si>
  <si>
    <t>Joshua</t>
  </si>
  <si>
    <t>Faust</t>
  </si>
  <si>
    <t>Notes: Capital Blue Cross U65 PREM = $58 Payment Period 02/01/2026. MM</t>
  </si>
  <si>
    <t>Notes: Capital Blue Cross U65 PREM = $58 Payment Period 03/01/2026. MM</t>
  </si>
  <si>
    <t>Jennifer</t>
  </si>
  <si>
    <t>Bevenour</t>
  </si>
  <si>
    <t>Notes: Capital Blue Cross U65 PREM = $5.95 Payment Period 04/01/2026. MM</t>
  </si>
  <si>
    <t>Kevin</t>
  </si>
  <si>
    <t>J Herritt</t>
  </si>
  <si>
    <t>Notes: Capital Blue Cross U65 PREM = $11.9 Payment Period 03/01/2026. MM</t>
  </si>
  <si>
    <t>Dannie</t>
  </si>
  <si>
    <t>R Hostetler</t>
  </si>
  <si>
    <t>Notes: Capital Blue Cross U65 PREM = $22.2 Payment Period 04/01/2026. MM</t>
  </si>
  <si>
    <t>Patricia Long</t>
  </si>
  <si>
    <t>Alesha</t>
  </si>
  <si>
    <t>Baughman</t>
  </si>
  <si>
    <t>Capital Blue Cross U65</t>
  </si>
  <si>
    <t>Capital Blue Cross U65 2024-26 IVL Renewing Gold, Silver, Bronze, Cat ST (ProRata: 1) Premium Period: 4/1/2026</t>
  </si>
  <si>
    <t>Peter Richter</t>
  </si>
  <si>
    <t>Alyssa</t>
  </si>
  <si>
    <t>Harris</t>
  </si>
  <si>
    <t>Capital Blue Cross U65 2024-26 IVL Renewing Gold, Silver, Bronze, Cat ST (ProRata: 1) Premium Period: 3/1/2026</t>
  </si>
  <si>
    <t>Capital Blue Cross U65 2024-26 IVL Renewing Gold, Silver, Bronze, Cat ST (ProRata: 1) Premium Period: 2/1/2026</t>
  </si>
  <si>
    <t>Annetta</t>
  </si>
  <si>
    <t>Otto</t>
  </si>
  <si>
    <t>Carol Foley</t>
  </si>
  <si>
    <t>Bonnie</t>
  </si>
  <si>
    <t>Orwan</t>
  </si>
  <si>
    <t>Scott Aguglia</t>
  </si>
  <si>
    <t>Brian</t>
  </si>
  <si>
    <t>Brennan</t>
  </si>
  <si>
    <t>Chad Bender</t>
  </si>
  <si>
    <t>Carla</t>
  </si>
  <si>
    <t>Parsons</t>
  </si>
  <si>
    <t>Casey</t>
  </si>
  <si>
    <t>Randler</t>
  </si>
  <si>
    <t>Murray Sterner</t>
  </si>
  <si>
    <t>Caterina</t>
  </si>
  <si>
    <t>Baiada</t>
  </si>
  <si>
    <t>Cesar</t>
  </si>
  <si>
    <t>Martinez</t>
  </si>
  <si>
    <t>Clare</t>
  </si>
  <si>
    <t>Graham</t>
  </si>
  <si>
    <t>Donna</t>
  </si>
  <si>
    <t>Steffy</t>
  </si>
  <si>
    <t>Eric</t>
  </si>
  <si>
    <t>Ludwig</t>
  </si>
  <si>
    <t>Evelyn</t>
  </si>
  <si>
    <t>J Moehring</t>
  </si>
  <si>
    <t>Capital Blue Cross U65 2024-26 IVL Renewing Gold, Silver, Bronze, Cat ST (ProRata: 1) Premium Period: 12/1/2025</t>
  </si>
  <si>
    <t>Fred</t>
  </si>
  <si>
    <t>Carbonell</t>
  </si>
  <si>
    <t>Gregory</t>
  </si>
  <si>
    <t>Nace</t>
  </si>
  <si>
    <t>Isabella</t>
  </si>
  <si>
    <t>Jaramillo</t>
  </si>
  <si>
    <t>Jayne</t>
  </si>
  <si>
    <t>Mutter</t>
  </si>
  <si>
    <t>Jean-Michel</t>
  </si>
  <si>
    <t>Gaugler</t>
  </si>
  <si>
    <t>Michelle McCorkle</t>
  </si>
  <si>
    <t>Caron</t>
  </si>
  <si>
    <t>Deborah Inskipt</t>
  </si>
  <si>
    <t>Joyce</t>
  </si>
  <si>
    <t>Foura</t>
  </si>
  <si>
    <t>Karen</t>
  </si>
  <si>
    <t>Diehl</t>
  </si>
  <si>
    <t>Kathy</t>
  </si>
  <si>
    <t>Wiles</t>
  </si>
  <si>
    <t>Kayla</t>
  </si>
  <si>
    <t>Lisa</t>
  </si>
  <si>
    <t>Reichard</t>
  </si>
  <si>
    <t>Lorraine</t>
  </si>
  <si>
    <t>A Port</t>
  </si>
  <si>
    <t>Marybeth</t>
  </si>
  <si>
    <t>Riter</t>
  </si>
  <si>
    <t>Michael</t>
  </si>
  <si>
    <t>Kiehl</t>
  </si>
  <si>
    <t>Patricia</t>
  </si>
  <si>
    <t>C Graver</t>
  </si>
  <si>
    <t>Rebecca</t>
  </si>
  <si>
    <t>Parise</t>
  </si>
  <si>
    <t>Richard</t>
  </si>
  <si>
    <t>Stern</t>
  </si>
  <si>
    <t>Rita</t>
  </si>
  <si>
    <t>Smith</t>
  </si>
  <si>
    <t>Steve</t>
  </si>
  <si>
    <t>Long</t>
  </si>
  <si>
    <t>Suzanne</t>
  </si>
  <si>
    <t>Nafus</t>
  </si>
  <si>
    <t>Tanya</t>
  </si>
  <si>
    <t>Dean</t>
  </si>
  <si>
    <t>Tiffany</t>
  </si>
  <si>
    <t>Melisauskas</t>
  </si>
  <si>
    <t>Gregory Teipel</t>
  </si>
  <si>
    <t>Trudy</t>
  </si>
  <si>
    <t>Brown</t>
  </si>
  <si>
    <t>Alison</t>
  </si>
  <si>
    <t>Sommer</t>
  </si>
  <si>
    <t>Capital Blue Cross U65 2022-2026 IVL NEW Gold, Silver, Bronze, Cat ST (ProRata: 1) Premium Period: 3/1/2026</t>
  </si>
  <si>
    <t>John Rader</t>
  </si>
  <si>
    <t>Christopher</t>
  </si>
  <si>
    <t>Luther</t>
  </si>
  <si>
    <t>Craig</t>
  </si>
  <si>
    <t>Berkheimer</t>
  </si>
  <si>
    <t>Cynthia</t>
  </si>
  <si>
    <t>Sheaffer</t>
  </si>
  <si>
    <t>Capital Blue Cross U65 2022-2026 IVL NEW Gold, Silver, Bronze, Cat ST (ProRata: 1) Premium Period: 4/1/2026</t>
  </si>
  <si>
    <t>Dalia</t>
  </si>
  <si>
    <t>N Gertmonaite</t>
  </si>
  <si>
    <t>David</t>
  </si>
  <si>
    <t>W Witmoyer</t>
  </si>
  <si>
    <t>Erica Solivan</t>
  </si>
  <si>
    <t>Jill</t>
  </si>
  <si>
    <t>Druckenmiller</t>
  </si>
  <si>
    <t>Valerie</t>
  </si>
  <si>
    <t>Soto</t>
  </si>
  <si>
    <t>Zachary</t>
  </si>
  <si>
    <t>Phillips</t>
  </si>
  <si>
    <t>Sandy</t>
  </si>
  <si>
    <t>Mertz</t>
  </si>
  <si>
    <t>Misty</t>
  </si>
  <si>
    <t>Stillman</t>
  </si>
  <si>
    <t>Capital Blue Cross U65 2024-26 IVL Renewing Gold, Silver, Bronze, Cat ST (ProRata: 3) Premium Period: 4/1/2026</t>
  </si>
  <si>
    <t>Bradley</t>
  </si>
  <si>
    <t>Lyon</t>
  </si>
  <si>
    <t>Capital Blue Cross U65 2024-26 IVL Renewing Gold, Silver, Bronze, Cat ST (ProRata: 2) Premium Period: 3/1/2026</t>
  </si>
  <si>
    <t>Chris</t>
  </si>
  <si>
    <t>Schmidt</t>
  </si>
  <si>
    <t>Carr</t>
  </si>
  <si>
    <t>Capital Blue Cross U65 2024-26 IVL Renewing Gold, Silver, Bronze, Cat ST (ProRata: 2) Premium Period: 4/1/2026</t>
  </si>
  <si>
    <t>Elizabeth</t>
  </si>
  <si>
    <t>Ervin</t>
  </si>
  <si>
    <t>Giovanna</t>
  </si>
  <si>
    <t>Dimaio</t>
  </si>
  <si>
    <t>Gretchen</t>
  </si>
  <si>
    <t>Flanley</t>
  </si>
  <si>
    <t>Jamal</t>
  </si>
  <si>
    <t>Rafraf</t>
  </si>
  <si>
    <t>James</t>
  </si>
  <si>
    <t>Heckenberger</t>
  </si>
  <si>
    <t>Capital Blue Cross U65 2024-26 IVL Renewing Gold, Silver, Bronze, Cat ST (ProRata: 2) Premium Period: 2/1/2026</t>
  </si>
  <si>
    <t>Jason</t>
  </si>
  <si>
    <t>Mcmillen</t>
  </si>
  <si>
    <t>Junell</t>
  </si>
  <si>
    <t>Kirchner</t>
  </si>
  <si>
    <t>Ritter</t>
  </si>
  <si>
    <t>Mark</t>
  </si>
  <si>
    <t>Gutshall</t>
  </si>
  <si>
    <t>Giorgio</t>
  </si>
  <si>
    <t>Gwin</t>
  </si>
  <si>
    <t>Tom</t>
  </si>
  <si>
    <t>R Schlickbernd</t>
  </si>
  <si>
    <t>Vera</t>
  </si>
  <si>
    <t>Arnold</t>
  </si>
  <si>
    <t>Andrew</t>
  </si>
  <si>
    <t>Stella</t>
  </si>
  <si>
    <t>Capital Blue Cross U65 2022-2026 IVL NEW Gold, Silver, Bronze, Cat ST (ProRata: 2) Premium Period: 4/1/2026</t>
  </si>
  <si>
    <t>Caroline</t>
  </si>
  <si>
    <t>Ongoro</t>
  </si>
  <si>
    <t>Capital Blue Cross U65 2022-2026 IVL NEW Gold, Silver, Bronze, Cat ST (ProRata: 2) Premium Period: 3/1/2026</t>
  </si>
  <si>
    <t>Marc</t>
  </si>
  <si>
    <t>Friedman</t>
  </si>
  <si>
    <t>Dwight</t>
  </si>
  <si>
    <t>D Walbert</t>
  </si>
  <si>
    <t>Tyler</t>
  </si>
  <si>
    <t>Penland</t>
  </si>
  <si>
    <t>Capital Blue Cross U65 2024-26 IVL Renewing Gold, Silver, Bronze, Cat ST (ProRata: 4) Premium Period: 4/1/2026</t>
  </si>
  <si>
    <t>Lauren</t>
  </si>
  <si>
    <t>Horn</t>
  </si>
  <si>
    <t>Capital Blue Cross U65 2024-26 IVL Renewing Gold, Silver, Bronze, Cat ST (ProRata: 5) Premium Period: 3/1/2026</t>
  </si>
  <si>
    <t>Capital Blue Cross 2016-2026 STMP Single OR (ProRata: 1) Premium Period: 4/1/2026</t>
  </si>
  <si>
    <t>Alexandra</t>
  </si>
  <si>
    <t>Dreese</t>
  </si>
  <si>
    <t>Capital Blue Cross 2016-2026 STMP Single OR (ProRata: 1) Premium Period: 3/1/2026</t>
  </si>
  <si>
    <t>Alicia</t>
  </si>
  <si>
    <t>Shaffer</t>
  </si>
  <si>
    <t>Shurgalla</t>
  </si>
  <si>
    <t>Capital Blue Cross 2016-2026 STMP Single OR (ProRata: 1) Premium Period: 2/1/2026</t>
  </si>
  <si>
    <t>Gosnell</t>
  </si>
  <si>
    <t>Amalia</t>
  </si>
  <si>
    <t>Lamparter</t>
  </si>
  <si>
    <t>Andrea</t>
  </si>
  <si>
    <t>Martin</t>
  </si>
  <si>
    <t>Lori Tunstall</t>
  </si>
  <si>
    <t>Hoover</t>
  </si>
  <si>
    <t>Reed</t>
  </si>
  <si>
    <t>Stroup</t>
  </si>
  <si>
    <t>Bret</t>
  </si>
  <si>
    <t>Haldeman</t>
  </si>
  <si>
    <t>Paradis</t>
  </si>
  <si>
    <t>William Schaeffer</t>
  </si>
  <si>
    <t>Cheryl</t>
  </si>
  <si>
    <t>Gruver</t>
  </si>
  <si>
    <t>Brinley</t>
  </si>
  <si>
    <t>Cortney</t>
  </si>
  <si>
    <t>Ellis</t>
  </si>
  <si>
    <t>Deborah</t>
  </si>
  <si>
    <t>Lehr</t>
  </si>
  <si>
    <t>Dennis</t>
  </si>
  <si>
    <t>Brandt</t>
  </si>
  <si>
    <t>Trimmer</t>
  </si>
  <si>
    <t>Erik</t>
  </si>
  <si>
    <t>Lis</t>
  </si>
  <si>
    <t>Erin</t>
  </si>
  <si>
    <t>Finnegan</t>
  </si>
  <si>
    <t>Beardsley</t>
  </si>
  <si>
    <t>Capital Blue Cross 2016-2026 STMP Single OR (ProRata: 1) Premium Period: 12/1/2025</t>
  </si>
  <si>
    <t>Diana Zimmerman</t>
  </si>
  <si>
    <t>Gwyneth</t>
  </si>
  <si>
    <t>E Trafford</t>
  </si>
  <si>
    <t>Hannah</t>
  </si>
  <si>
    <t>Yingling</t>
  </si>
  <si>
    <t>Wittmer</t>
  </si>
  <si>
    <t>Joni</t>
  </si>
  <si>
    <t>Coken</t>
  </si>
  <si>
    <t>Kerri</t>
  </si>
  <si>
    <t>Miller</t>
  </si>
  <si>
    <t>Lily</t>
  </si>
  <si>
    <t>Hostetler</t>
  </si>
  <si>
    <t>Logan</t>
  </si>
  <si>
    <t>Weaver</t>
  </si>
  <si>
    <t>Marjorie</t>
  </si>
  <si>
    <t>Day</t>
  </si>
  <si>
    <t>Kurtz</t>
  </si>
  <si>
    <t>Megan</t>
  </si>
  <si>
    <t>Andrews</t>
  </si>
  <si>
    <t>Wagner</t>
  </si>
  <si>
    <t>Michelle</t>
  </si>
  <si>
    <t>Eichman</t>
  </si>
  <si>
    <t>Mudgett</t>
  </si>
  <si>
    <t>Patrick</t>
  </si>
  <si>
    <t>Bodmer</t>
  </si>
  <si>
    <t>Lowry</t>
  </si>
  <si>
    <t>Ryan</t>
  </si>
  <si>
    <t>Sarah</t>
  </si>
  <si>
    <t>Barrows</t>
  </si>
  <si>
    <t>Schirl</t>
  </si>
  <si>
    <t>A Warner</t>
  </si>
  <si>
    <t>Sipe</t>
  </si>
  <si>
    <t>Tracy</t>
  </si>
  <si>
    <t>Haidar</t>
  </si>
  <si>
    <t>A Miloro</t>
  </si>
  <si>
    <t>Snyder</t>
  </si>
  <si>
    <t>Capital Blue Cross 2020-2026 IVL GSBC OR (ProRata: 1) Premium Period: 3/1/2026</t>
  </si>
  <si>
    <t>Brianna</t>
  </si>
  <si>
    <t>L Wolfe</t>
  </si>
  <si>
    <t>Capital Blue Cross 2020-2026 IVL GSBC OR (ProRata: 1) Premium Period: 4/1/2026</t>
  </si>
  <si>
    <t>Huntington</t>
  </si>
  <si>
    <t>Paige</t>
  </si>
  <si>
    <t>Magnelli</t>
  </si>
  <si>
    <t>Rhonda</t>
  </si>
  <si>
    <t>Kerstetter</t>
  </si>
  <si>
    <t>Tammy</t>
  </si>
  <si>
    <t>Mccarthy</t>
  </si>
  <si>
    <t>Valentina</t>
  </si>
  <si>
    <t>Ruiz</t>
  </si>
  <si>
    <t>Wyatt</t>
  </si>
  <si>
    <t>L Osterlund</t>
  </si>
  <si>
    <t>Kelly</t>
  </si>
  <si>
    <t>Rowe</t>
  </si>
  <si>
    <t>Capital Blue Cross 2020-2026 IVL GSBC OR (ProRata: 1) Premium Period: 12/1/2025</t>
  </si>
  <si>
    <t>Capital Blue Cross 2016-2026 STMP Single OR (ProRata: 2) Premium Period: 3/1/2026</t>
  </si>
  <si>
    <t>Keister</t>
  </si>
  <si>
    <t>Bryan</t>
  </si>
  <si>
    <t>Haberstroh</t>
  </si>
  <si>
    <t>Charles</t>
  </si>
  <si>
    <t>Freeman</t>
  </si>
  <si>
    <t>Capital Blue Cross 2016-2026 STMP Single OR (ProRata: 2) Premium Period: 12/1/2025</t>
  </si>
  <si>
    <t>Capital Blue Cross 2016-2026 STMP Single OR (ProRata: 2) Premium Period: 4/1/2026</t>
  </si>
  <si>
    <t>Capital Blue Cross 2016-2026 STMP Single OR (ProRata: 2) Premium Period: 2/1/2026</t>
  </si>
  <si>
    <t>Jared</t>
  </si>
  <si>
    <t>Ebersole</t>
  </si>
  <si>
    <t>Jeffrey</t>
  </si>
  <si>
    <t>E Osterlund</t>
  </si>
  <si>
    <t>Lee</t>
  </si>
  <si>
    <t>Vaught</t>
  </si>
  <si>
    <t>Miranda</t>
  </si>
  <si>
    <t>Stroik</t>
  </si>
  <si>
    <t>Robert</t>
  </si>
  <si>
    <t>Ronda</t>
  </si>
  <si>
    <t>Andre</t>
  </si>
  <si>
    <t>Capital Blue Cross 2020-2026 IVL GSBC OR (ProRata: 2) Premium Period: 3/1/2026</t>
  </si>
  <si>
    <t>Capital Blue Cross 2020-2026 IVL GSBC OR (ProRata: 2) Premium Period: 4/1/2026</t>
  </si>
  <si>
    <t>Sheila Koser</t>
  </si>
  <si>
    <t>Deresha</t>
  </si>
  <si>
    <t>L Shannon</t>
  </si>
  <si>
    <t>Capital Blue Cross 2020-2026 IVL GSBC OR (ProRata: 2) Premium Period: 1/1/2026</t>
  </si>
  <si>
    <t>Fiora</t>
  </si>
  <si>
    <t>D Palmer</t>
  </si>
  <si>
    <t>Jennifer Mixell-Hoffman</t>
  </si>
  <si>
    <t>Shaben</t>
  </si>
  <si>
    <t>Wayne</t>
  </si>
  <si>
    <t>W Glass Jr</t>
  </si>
  <si>
    <t>Shirk</t>
  </si>
  <si>
    <t>Capital Blue Cross 2016-2026 STMP Single OR (ProRata: 3) Premium Period: 3/1/2026</t>
  </si>
  <si>
    <t>Melanie</t>
  </si>
  <si>
    <t>L Hoerner</t>
  </si>
  <si>
    <t>Capital Blue Cross 2016-2026 STMP Single OR (ProRata: 3) Premium Period: 4/1/2026</t>
  </si>
  <si>
    <t>Ashley</t>
  </si>
  <si>
    <t>Daley</t>
  </si>
  <si>
    <t>Capital Blue Cross 2016-2026 STMP Single OR (ProRata: 4) Premium Period: 3/1/2026</t>
  </si>
  <si>
    <t>Matthew</t>
  </si>
  <si>
    <t>H Daniels</t>
  </si>
  <si>
    <t>Capital Blue Cross 2016-2026 STMP Single OR (ProRata: 4) Premium Period: 4/1/2026</t>
  </si>
  <si>
    <t>Evans</t>
  </si>
  <si>
    <t>Capital Blue Cross 2016-2026 STMP Single OR (ProRata: 5) Premium Period: 3/1/2026</t>
  </si>
  <si>
    <t>Cross</t>
  </si>
  <si>
    <t>Adam</t>
  </si>
  <si>
    <t>Ross</t>
  </si>
  <si>
    <t>Capital Blue Cross 2020-2026 IVL GSBC OR (ProRata: 4) Premium Period: 3/1/2026</t>
  </si>
  <si>
    <t>Jared Kinyua</t>
  </si>
  <si>
    <t>Grace</t>
  </si>
  <si>
    <t>F Oguntoye</t>
  </si>
  <si>
    <t>Lomago</t>
  </si>
  <si>
    <t>Capital Blue Cross 2020-2026 IVL GSBC OR (ProRata: 4) Premium Period: 4/1/2026</t>
  </si>
  <si>
    <t>Julian</t>
  </si>
  <si>
    <t>A Santos</t>
  </si>
  <si>
    <t>Capital Blue Cross 2020-2026 IVL GSBC OR (ProRata: 4) Premium Period: 12/1/2025</t>
  </si>
  <si>
    <t>pmpm</t>
  </si>
  <si>
    <t>prem</t>
  </si>
  <si>
    <t>product</t>
  </si>
  <si>
    <t>paid to dates</t>
  </si>
  <si>
    <t>Capital Blue Cross Dental</t>
  </si>
  <si>
    <t>Capital Blue Cross ACA</t>
  </si>
  <si>
    <t>[PMPM=3]</t>
  </si>
  <si>
    <t>[PMPM=2]</t>
  </si>
  <si>
    <t>[PMPM=4]</t>
  </si>
  <si>
    <t>[PMPM=5]</t>
  </si>
  <si>
    <t>Main Line Benefits</t>
  </si>
  <si>
    <t>CBC ACA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</si>
</sst>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1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5.43"/>
    <col customWidth="1" min="3" max="3" width="10.71"/>
    <col customWidth="1" min="4" max="4" width="11.71"/>
    <col customWidth="1" min="5" max="5" width="14.29"/>
    <col customWidth="1" min="6" max="6" width="10.86"/>
    <col customWidth="1" min="7" max="7" width="11.86"/>
    <col customWidth="1" min="8" max="8" width="14.71"/>
    <col customWidth="1" min="9" max="9" width="20.71"/>
    <col customWidth="1" min="10" max="10" width="102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9254978.0</v>
      </c>
      <c r="D2" s="1" t="s">
        <v>12</v>
      </c>
      <c r="E2" s="1" t="s">
        <v>13</v>
      </c>
      <c r="F2" s="1">
        <v>8.02996993E8</v>
      </c>
      <c r="G2" s="2">
        <v>45689.0</v>
      </c>
      <c r="H2" s="2">
        <v>46129.0</v>
      </c>
      <c r="I2" s="1" t="s">
        <v>14</v>
      </c>
      <c r="J2" s="1" t="s">
        <v>15</v>
      </c>
      <c r="K2" s="3">
        <v>2.9</v>
      </c>
    </row>
    <row r="3">
      <c r="A3" s="1" t="s">
        <v>11</v>
      </c>
      <c r="C3" s="1">
        <v>9254978.0</v>
      </c>
      <c r="D3" s="1" t="s">
        <v>12</v>
      </c>
      <c r="E3" s="1" t="s">
        <v>13</v>
      </c>
      <c r="F3" s="1">
        <v>8.02996993E8</v>
      </c>
      <c r="G3" s="2">
        <v>45689.0</v>
      </c>
      <c r="H3" s="2">
        <v>46129.0</v>
      </c>
      <c r="I3" s="1" t="s">
        <v>14</v>
      </c>
      <c r="J3" s="1" t="s">
        <v>15</v>
      </c>
      <c r="K3" s="3">
        <v>0.39</v>
      </c>
    </row>
    <row r="4">
      <c r="A4" s="1" t="s">
        <v>16</v>
      </c>
      <c r="C4" s="1">
        <v>1.9861194E7</v>
      </c>
      <c r="D4" s="1" t="s">
        <v>17</v>
      </c>
      <c r="E4" s="1" t="s">
        <v>18</v>
      </c>
      <c r="F4" s="1">
        <v>8.03143627E8</v>
      </c>
      <c r="G4" s="2">
        <v>46054.0</v>
      </c>
      <c r="H4" s="2">
        <v>46129.0</v>
      </c>
      <c r="I4" s="1" t="s">
        <v>14</v>
      </c>
      <c r="J4" s="1" t="s">
        <v>19</v>
      </c>
      <c r="K4" s="3">
        <v>0.08</v>
      </c>
    </row>
    <row r="5">
      <c r="A5" s="1" t="s">
        <v>16</v>
      </c>
      <c r="C5" s="1">
        <v>1.9861194E7</v>
      </c>
      <c r="D5" s="1" t="s">
        <v>20</v>
      </c>
      <c r="E5" s="1" t="s">
        <v>21</v>
      </c>
      <c r="F5" s="1">
        <v>8.02820214E8</v>
      </c>
      <c r="G5" s="2">
        <v>45139.0</v>
      </c>
      <c r="H5" s="2">
        <v>46129.0</v>
      </c>
      <c r="I5" s="1" t="s">
        <v>14</v>
      </c>
      <c r="J5" s="1" t="s">
        <v>22</v>
      </c>
      <c r="K5" s="3">
        <v>0.15</v>
      </c>
    </row>
    <row r="6">
      <c r="A6" s="1" t="s">
        <v>23</v>
      </c>
      <c r="C6" s="1">
        <v>1.5278437E7</v>
      </c>
      <c r="D6" s="1" t="s">
        <v>24</v>
      </c>
      <c r="E6" s="1" t="s">
        <v>25</v>
      </c>
      <c r="F6" s="1">
        <v>8.03116354E8</v>
      </c>
      <c r="G6" s="2">
        <v>46023.0</v>
      </c>
      <c r="H6" s="2">
        <v>46129.0</v>
      </c>
      <c r="I6" s="1" t="s">
        <v>14</v>
      </c>
      <c r="J6" s="1" t="s">
        <v>19</v>
      </c>
      <c r="K6" s="3">
        <v>0.6</v>
      </c>
    </row>
    <row r="7">
      <c r="A7" s="1" t="s">
        <v>23</v>
      </c>
      <c r="C7" s="1">
        <v>1.5278437E7</v>
      </c>
      <c r="D7" s="1" t="s">
        <v>24</v>
      </c>
      <c r="E7" s="1" t="s">
        <v>25</v>
      </c>
      <c r="F7" s="1">
        <v>8.03116354E8</v>
      </c>
      <c r="G7" s="2">
        <v>46023.0</v>
      </c>
      <c r="H7" s="2">
        <v>46129.0</v>
      </c>
      <c r="I7" s="1" t="s">
        <v>14</v>
      </c>
      <c r="J7" s="1" t="s">
        <v>19</v>
      </c>
      <c r="K7" s="3">
        <v>0.08</v>
      </c>
    </row>
    <row r="8">
      <c r="A8" s="1" t="s">
        <v>26</v>
      </c>
      <c r="C8" s="1">
        <v>1.7429706E7</v>
      </c>
      <c r="D8" s="1" t="s">
        <v>27</v>
      </c>
      <c r="E8" s="1" t="s">
        <v>28</v>
      </c>
      <c r="F8" s="1">
        <v>8.03102051E8</v>
      </c>
      <c r="G8" s="2">
        <v>46023.0</v>
      </c>
      <c r="H8" s="2">
        <v>46129.0</v>
      </c>
      <c r="I8" s="1" t="s">
        <v>14</v>
      </c>
      <c r="J8" s="1" t="s">
        <v>29</v>
      </c>
      <c r="K8" s="3">
        <v>0.19</v>
      </c>
    </row>
    <row r="9">
      <c r="A9" s="1" t="s">
        <v>26</v>
      </c>
      <c r="C9" s="1">
        <v>1.7429706E7</v>
      </c>
      <c r="D9" s="1" t="s">
        <v>27</v>
      </c>
      <c r="E9" s="1" t="s">
        <v>28</v>
      </c>
      <c r="F9" s="1">
        <v>8.03102051E8</v>
      </c>
      <c r="G9" s="2">
        <v>46023.0</v>
      </c>
      <c r="H9" s="2">
        <v>46129.0</v>
      </c>
      <c r="I9" s="1" t="s">
        <v>14</v>
      </c>
      <c r="J9" s="1" t="s">
        <v>30</v>
      </c>
      <c r="K9" s="3">
        <v>0.19</v>
      </c>
    </row>
    <row r="10">
      <c r="A10" s="1" t="s">
        <v>26</v>
      </c>
      <c r="C10" s="1">
        <v>1.7429706E7</v>
      </c>
      <c r="D10" s="1" t="s">
        <v>31</v>
      </c>
      <c r="E10" s="1" t="s">
        <v>32</v>
      </c>
      <c r="F10" s="1">
        <v>8.02861359E8</v>
      </c>
      <c r="G10" s="2">
        <v>45292.0</v>
      </c>
      <c r="H10" s="2">
        <v>46129.0</v>
      </c>
      <c r="I10" s="1" t="s">
        <v>14</v>
      </c>
      <c r="J10" s="1" t="s">
        <v>33</v>
      </c>
      <c r="K10" s="3">
        <v>0.02</v>
      </c>
    </row>
    <row r="11">
      <c r="A11" s="1" t="s">
        <v>26</v>
      </c>
      <c r="C11" s="1">
        <v>1.7429706E7</v>
      </c>
      <c r="D11" s="1" t="s">
        <v>34</v>
      </c>
      <c r="E11" s="1" t="s">
        <v>35</v>
      </c>
      <c r="F11" s="1">
        <v>8.02937524E8</v>
      </c>
      <c r="G11" s="2">
        <v>45505.0</v>
      </c>
      <c r="H11" s="2">
        <v>46129.0</v>
      </c>
      <c r="I11" s="1" t="s">
        <v>14</v>
      </c>
      <c r="J11" s="1" t="s">
        <v>36</v>
      </c>
      <c r="K11" s="3">
        <v>0.04</v>
      </c>
    </row>
    <row r="12">
      <c r="A12" s="1" t="s">
        <v>26</v>
      </c>
      <c r="C12" s="1">
        <v>1.7429706E7</v>
      </c>
      <c r="D12" s="1" t="s">
        <v>37</v>
      </c>
      <c r="E12" s="1" t="s">
        <v>38</v>
      </c>
      <c r="F12" s="1">
        <v>8.02849468E8</v>
      </c>
      <c r="G12" s="2">
        <v>45962.0</v>
      </c>
      <c r="H12" s="2">
        <v>46129.0</v>
      </c>
      <c r="I12" s="1" t="s">
        <v>14</v>
      </c>
      <c r="J12" s="1" t="s">
        <v>39</v>
      </c>
      <c r="K12" s="3">
        <v>0.07</v>
      </c>
    </row>
    <row r="13">
      <c r="A13" s="1" t="s">
        <v>40</v>
      </c>
      <c r="C13" s="1">
        <v>1.879474E7</v>
      </c>
      <c r="D13" s="1" t="s">
        <v>41</v>
      </c>
      <c r="E13" s="1" t="s">
        <v>42</v>
      </c>
      <c r="F13" s="1">
        <v>8.03044035E8</v>
      </c>
      <c r="G13" s="2">
        <v>46023.0</v>
      </c>
      <c r="H13" s="2">
        <v>46129.0</v>
      </c>
      <c r="I13" s="1" t="s">
        <v>43</v>
      </c>
      <c r="J13" s="1" t="s">
        <v>44</v>
      </c>
      <c r="K13" s="3">
        <v>18.0</v>
      </c>
    </row>
    <row r="14">
      <c r="A14" s="1" t="s">
        <v>45</v>
      </c>
      <c r="C14" s="1">
        <v>1.6509456E7</v>
      </c>
      <c r="D14" s="1" t="s">
        <v>46</v>
      </c>
      <c r="E14" s="1" t="s">
        <v>47</v>
      </c>
      <c r="F14" s="1">
        <v>8.03072574E8</v>
      </c>
      <c r="G14" s="2">
        <v>46023.0</v>
      </c>
      <c r="H14" s="2">
        <v>46129.0</v>
      </c>
      <c r="I14" s="1" t="s">
        <v>43</v>
      </c>
      <c r="J14" s="1" t="s">
        <v>48</v>
      </c>
      <c r="K14" s="3">
        <v>18.0</v>
      </c>
    </row>
    <row r="15">
      <c r="A15" s="1" t="s">
        <v>45</v>
      </c>
      <c r="C15" s="1">
        <v>1.6509456E7</v>
      </c>
      <c r="D15" s="1" t="s">
        <v>46</v>
      </c>
      <c r="E15" s="1" t="s">
        <v>47</v>
      </c>
      <c r="F15" s="1">
        <v>8.03072574E8</v>
      </c>
      <c r="G15" s="2">
        <v>46023.0</v>
      </c>
      <c r="H15" s="2">
        <v>46129.0</v>
      </c>
      <c r="I15" s="1" t="s">
        <v>43</v>
      </c>
      <c r="J15" s="1" t="s">
        <v>49</v>
      </c>
      <c r="K15" s="3">
        <v>18.0</v>
      </c>
    </row>
    <row r="16">
      <c r="A16" s="1" t="s">
        <v>11</v>
      </c>
      <c r="C16" s="1">
        <v>9254978.0</v>
      </c>
      <c r="D16" s="1" t="s">
        <v>50</v>
      </c>
      <c r="E16" s="1" t="s">
        <v>51</v>
      </c>
      <c r="F16" s="1">
        <v>8.03052014E8</v>
      </c>
      <c r="G16" s="2">
        <v>46023.0</v>
      </c>
      <c r="H16" s="2">
        <v>46129.0</v>
      </c>
      <c r="I16" s="1" t="s">
        <v>43</v>
      </c>
      <c r="J16" s="1" t="s">
        <v>48</v>
      </c>
      <c r="K16" s="3">
        <v>18.0</v>
      </c>
    </row>
    <row r="17">
      <c r="A17" s="1" t="s">
        <v>52</v>
      </c>
      <c r="C17" s="1">
        <v>1.7425766E7</v>
      </c>
      <c r="D17" s="1" t="s">
        <v>53</v>
      </c>
      <c r="E17" s="1" t="s">
        <v>54</v>
      </c>
      <c r="F17" s="1">
        <v>8.0276612E8</v>
      </c>
      <c r="G17" s="2">
        <v>46023.0</v>
      </c>
      <c r="H17" s="2">
        <v>46129.0</v>
      </c>
      <c r="I17" s="1" t="s">
        <v>43</v>
      </c>
      <c r="J17" s="1" t="s">
        <v>44</v>
      </c>
      <c r="K17" s="3">
        <v>18.0</v>
      </c>
    </row>
    <row r="18">
      <c r="A18" s="1" t="s">
        <v>55</v>
      </c>
      <c r="C18" s="1">
        <v>8971826.0</v>
      </c>
      <c r="D18" s="1" t="s">
        <v>56</v>
      </c>
      <c r="E18" s="1" t="s">
        <v>57</v>
      </c>
      <c r="F18" s="1">
        <v>8.02422752E8</v>
      </c>
      <c r="G18" s="2">
        <v>46023.0</v>
      </c>
      <c r="H18" s="2">
        <v>46129.0</v>
      </c>
      <c r="I18" s="1" t="s">
        <v>43</v>
      </c>
      <c r="J18" s="1" t="s">
        <v>48</v>
      </c>
      <c r="K18" s="3">
        <v>18.0</v>
      </c>
    </row>
    <row r="19">
      <c r="A19" s="1" t="s">
        <v>58</v>
      </c>
      <c r="C19" s="1">
        <v>1.8598357E7</v>
      </c>
      <c r="D19" s="1" t="s">
        <v>59</v>
      </c>
      <c r="E19" s="1" t="s">
        <v>60</v>
      </c>
      <c r="F19" s="1">
        <v>8.02556534E8</v>
      </c>
      <c r="G19" s="2">
        <v>46023.0</v>
      </c>
      <c r="H19" s="2">
        <v>46129.0</v>
      </c>
      <c r="I19" s="1" t="s">
        <v>43</v>
      </c>
      <c r="J19" s="1" t="s">
        <v>44</v>
      </c>
      <c r="K19" s="3">
        <v>18.0</v>
      </c>
    </row>
    <row r="20">
      <c r="A20" s="1" t="s">
        <v>23</v>
      </c>
      <c r="C20" s="1">
        <v>1.5278437E7</v>
      </c>
      <c r="D20" s="1" t="s">
        <v>61</v>
      </c>
      <c r="E20" s="1" t="s">
        <v>62</v>
      </c>
      <c r="F20" s="1">
        <v>8.02672124E8</v>
      </c>
      <c r="G20" s="2">
        <v>46023.0</v>
      </c>
      <c r="H20" s="2">
        <v>46129.0</v>
      </c>
      <c r="I20" s="1" t="s">
        <v>43</v>
      </c>
      <c r="J20" s="1" t="s">
        <v>48</v>
      </c>
      <c r="K20" s="3">
        <v>18.0</v>
      </c>
    </row>
    <row r="21" ht="15.75" customHeight="1">
      <c r="A21" s="1" t="s">
        <v>63</v>
      </c>
      <c r="C21" s="1">
        <v>1.6212649E7</v>
      </c>
      <c r="D21" s="1" t="s">
        <v>64</v>
      </c>
      <c r="E21" s="1" t="s">
        <v>65</v>
      </c>
      <c r="F21" s="1">
        <v>8.03049628E8</v>
      </c>
      <c r="G21" s="2">
        <v>46023.0</v>
      </c>
      <c r="H21" s="2">
        <v>46129.0</v>
      </c>
      <c r="I21" s="1" t="s">
        <v>43</v>
      </c>
      <c r="J21" s="1" t="s">
        <v>44</v>
      </c>
      <c r="K21" s="3">
        <v>18.0</v>
      </c>
    </row>
    <row r="22" ht="15.75" customHeight="1">
      <c r="A22" s="1" t="s">
        <v>58</v>
      </c>
      <c r="C22" s="1">
        <v>1.8598357E7</v>
      </c>
      <c r="D22" s="1" t="s">
        <v>66</v>
      </c>
      <c r="E22" s="1" t="s">
        <v>67</v>
      </c>
      <c r="F22" s="1">
        <v>8.02041455E8</v>
      </c>
      <c r="G22" s="2">
        <v>46023.0</v>
      </c>
      <c r="H22" s="2">
        <v>46129.0</v>
      </c>
      <c r="I22" s="1" t="s">
        <v>43</v>
      </c>
      <c r="J22" s="1" t="s">
        <v>48</v>
      </c>
      <c r="K22" s="3">
        <v>18.0</v>
      </c>
    </row>
    <row r="23" ht="15.75" customHeight="1">
      <c r="A23" s="1" t="s">
        <v>23</v>
      </c>
      <c r="C23" s="1">
        <v>1.5278437E7</v>
      </c>
      <c r="D23" s="1" t="s">
        <v>68</v>
      </c>
      <c r="E23" s="1" t="s">
        <v>69</v>
      </c>
      <c r="F23" s="1">
        <v>8.02924885E8</v>
      </c>
      <c r="G23" s="2">
        <v>46023.0</v>
      </c>
      <c r="H23" s="2">
        <v>46129.0</v>
      </c>
      <c r="I23" s="1" t="s">
        <v>43</v>
      </c>
      <c r="J23" s="1" t="s">
        <v>44</v>
      </c>
      <c r="K23" s="3">
        <v>18.0</v>
      </c>
    </row>
    <row r="24" ht="15.75" customHeight="1">
      <c r="A24" s="1" t="s">
        <v>40</v>
      </c>
      <c r="C24" s="1">
        <v>1.879474E7</v>
      </c>
      <c r="D24" s="1" t="s">
        <v>70</v>
      </c>
      <c r="E24" s="1" t="s">
        <v>71</v>
      </c>
      <c r="F24" s="1">
        <v>8.02629573E8</v>
      </c>
      <c r="G24" s="2">
        <v>46023.0</v>
      </c>
      <c r="H24" s="2">
        <v>46129.0</v>
      </c>
      <c r="I24" s="1" t="s">
        <v>43</v>
      </c>
      <c r="J24" s="1" t="s">
        <v>48</v>
      </c>
      <c r="K24" s="3">
        <v>18.0</v>
      </c>
    </row>
    <row r="25" ht="15.75" customHeight="1">
      <c r="A25" s="1" t="s">
        <v>23</v>
      </c>
      <c r="C25" s="1">
        <v>1.5278437E7</v>
      </c>
      <c r="D25" s="1" t="s">
        <v>72</v>
      </c>
      <c r="E25" s="1" t="s">
        <v>73</v>
      </c>
      <c r="F25" s="1">
        <v>8.02898409E8</v>
      </c>
      <c r="G25" s="2">
        <v>46023.0</v>
      </c>
      <c r="H25" s="2">
        <v>46129.0</v>
      </c>
      <c r="I25" s="1" t="s">
        <v>43</v>
      </c>
      <c r="J25" s="1" t="s">
        <v>44</v>
      </c>
      <c r="K25" s="3">
        <v>18.0</v>
      </c>
    </row>
    <row r="26" ht="15.75" customHeight="1">
      <c r="A26" s="1" t="s">
        <v>23</v>
      </c>
      <c r="C26" s="1">
        <v>1.5278437E7</v>
      </c>
      <c r="D26" s="1" t="s">
        <v>72</v>
      </c>
      <c r="E26" s="1" t="s">
        <v>73</v>
      </c>
      <c r="F26" s="1">
        <v>8.02898409E8</v>
      </c>
      <c r="G26" s="2">
        <v>46023.0</v>
      </c>
      <c r="H26" s="2">
        <v>46129.0</v>
      </c>
      <c r="I26" s="1" t="s">
        <v>43</v>
      </c>
      <c r="J26" s="1" t="s">
        <v>48</v>
      </c>
      <c r="K26" s="3">
        <v>18.0</v>
      </c>
    </row>
    <row r="27" ht="15.75" customHeight="1">
      <c r="A27" s="1" t="s">
        <v>40</v>
      </c>
      <c r="C27" s="1">
        <v>1.879474E7</v>
      </c>
      <c r="D27" s="1" t="s">
        <v>74</v>
      </c>
      <c r="E27" s="1" t="s">
        <v>75</v>
      </c>
      <c r="F27" s="1">
        <v>8.02944968E8</v>
      </c>
      <c r="G27" s="2">
        <v>45658.0</v>
      </c>
      <c r="H27" s="2">
        <v>46129.0</v>
      </c>
      <c r="I27" s="1" t="s">
        <v>43</v>
      </c>
      <c r="J27" s="1" t="s">
        <v>76</v>
      </c>
      <c r="K27" s="3">
        <v>18.0</v>
      </c>
    </row>
    <row r="28" ht="15.75" customHeight="1">
      <c r="A28" s="1" t="s">
        <v>23</v>
      </c>
      <c r="C28" s="1">
        <v>1.5278437E7</v>
      </c>
      <c r="D28" s="1" t="s">
        <v>77</v>
      </c>
      <c r="E28" s="1" t="s">
        <v>78</v>
      </c>
      <c r="F28" s="1">
        <v>8.03075621E8</v>
      </c>
      <c r="G28" s="2">
        <v>46023.0</v>
      </c>
      <c r="H28" s="2">
        <v>46129.0</v>
      </c>
      <c r="I28" s="1" t="s">
        <v>43</v>
      </c>
      <c r="J28" s="1" t="s">
        <v>49</v>
      </c>
      <c r="K28" s="3">
        <v>18.0</v>
      </c>
    </row>
    <row r="29" ht="15.75" customHeight="1">
      <c r="A29" s="1" t="s">
        <v>23</v>
      </c>
      <c r="C29" s="1">
        <v>1.5278437E7</v>
      </c>
      <c r="D29" s="1" t="s">
        <v>79</v>
      </c>
      <c r="E29" s="1" t="s">
        <v>80</v>
      </c>
      <c r="F29" s="1">
        <v>8.02533763E8</v>
      </c>
      <c r="G29" s="2">
        <v>46023.0</v>
      </c>
      <c r="H29" s="2">
        <v>46129.0</v>
      </c>
      <c r="I29" s="1" t="s">
        <v>43</v>
      </c>
      <c r="J29" s="1" t="s">
        <v>48</v>
      </c>
      <c r="K29" s="3">
        <v>18.0</v>
      </c>
    </row>
    <row r="30" ht="15.75" customHeight="1">
      <c r="A30" s="1" t="s">
        <v>23</v>
      </c>
      <c r="C30" s="1">
        <v>1.5278437E7</v>
      </c>
      <c r="D30" s="1" t="s">
        <v>79</v>
      </c>
      <c r="E30" s="1" t="s">
        <v>80</v>
      </c>
      <c r="F30" s="1">
        <v>8.02533763E8</v>
      </c>
      <c r="G30" s="2">
        <v>46023.0</v>
      </c>
      <c r="H30" s="2">
        <v>46129.0</v>
      </c>
      <c r="I30" s="1" t="s">
        <v>43</v>
      </c>
      <c r="J30" s="1" t="s">
        <v>44</v>
      </c>
      <c r="K30" s="3">
        <v>18.0</v>
      </c>
    </row>
    <row r="31" ht="15.75" customHeight="1">
      <c r="A31" s="1" t="s">
        <v>23</v>
      </c>
      <c r="C31" s="1">
        <v>1.5278437E7</v>
      </c>
      <c r="D31" s="1" t="s">
        <v>81</v>
      </c>
      <c r="E31" s="1" t="s">
        <v>82</v>
      </c>
      <c r="F31" s="1">
        <v>8.02417862E8</v>
      </c>
      <c r="G31" s="2">
        <v>46023.0</v>
      </c>
      <c r="H31" s="2">
        <v>46129.0</v>
      </c>
      <c r="I31" s="1" t="s">
        <v>43</v>
      </c>
      <c r="J31" s="1" t="s">
        <v>48</v>
      </c>
      <c r="K31" s="3">
        <v>18.0</v>
      </c>
    </row>
    <row r="32" ht="15.75" customHeight="1">
      <c r="A32" s="1" t="s">
        <v>23</v>
      </c>
      <c r="C32" s="1">
        <v>1.5278437E7</v>
      </c>
      <c r="D32" s="1" t="s">
        <v>83</v>
      </c>
      <c r="E32" s="1" t="s">
        <v>84</v>
      </c>
      <c r="F32" s="1">
        <v>8.02650873E8</v>
      </c>
      <c r="G32" s="2">
        <v>46023.0</v>
      </c>
      <c r="H32" s="2">
        <v>46129.0</v>
      </c>
      <c r="I32" s="1" t="s">
        <v>43</v>
      </c>
      <c r="J32" s="1" t="s">
        <v>48</v>
      </c>
      <c r="K32" s="3">
        <v>18.0</v>
      </c>
    </row>
    <row r="33" ht="15.75" customHeight="1">
      <c r="A33" s="1" t="s">
        <v>23</v>
      </c>
      <c r="C33" s="1">
        <v>1.5278437E7</v>
      </c>
      <c r="D33" s="1" t="s">
        <v>85</v>
      </c>
      <c r="E33" s="1" t="s">
        <v>82</v>
      </c>
      <c r="F33" s="1">
        <v>8.01940958E8</v>
      </c>
      <c r="G33" s="2">
        <v>46023.0</v>
      </c>
      <c r="H33" s="2">
        <v>46129.0</v>
      </c>
      <c r="I33" s="1" t="s">
        <v>43</v>
      </c>
      <c r="J33" s="1" t="s">
        <v>44</v>
      </c>
      <c r="K33" s="3">
        <v>18.0</v>
      </c>
    </row>
    <row r="34" ht="15.75" customHeight="1">
      <c r="A34" s="1" t="s">
        <v>23</v>
      </c>
      <c r="C34" s="1">
        <v>1.5278437E7</v>
      </c>
      <c r="D34" s="1" t="s">
        <v>31</v>
      </c>
      <c r="E34" s="1" t="s">
        <v>86</v>
      </c>
      <c r="F34" s="1">
        <v>8.02604725E8</v>
      </c>
      <c r="G34" s="2">
        <v>46023.0</v>
      </c>
      <c r="H34" s="2">
        <v>46129.0</v>
      </c>
      <c r="I34" s="1" t="s">
        <v>43</v>
      </c>
      <c r="J34" s="1" t="s">
        <v>44</v>
      </c>
      <c r="K34" s="3">
        <v>18.0</v>
      </c>
    </row>
    <row r="35" ht="15.75" customHeight="1">
      <c r="A35" s="1" t="s">
        <v>87</v>
      </c>
      <c r="C35" s="1">
        <v>1.871007E7</v>
      </c>
      <c r="D35" s="1" t="s">
        <v>31</v>
      </c>
      <c r="E35" s="1" t="s">
        <v>88</v>
      </c>
      <c r="F35" s="1">
        <v>8.03069665E8</v>
      </c>
      <c r="G35" s="2">
        <v>46023.0</v>
      </c>
      <c r="H35" s="2">
        <v>46129.0</v>
      </c>
      <c r="I35" s="1" t="s">
        <v>43</v>
      </c>
      <c r="J35" s="1" t="s">
        <v>48</v>
      </c>
      <c r="K35" s="3">
        <v>18.0</v>
      </c>
    </row>
    <row r="36" ht="15.75" customHeight="1">
      <c r="A36" s="1" t="s">
        <v>89</v>
      </c>
      <c r="C36" s="1">
        <v>1.7528908E7</v>
      </c>
      <c r="D36" s="1" t="s">
        <v>90</v>
      </c>
      <c r="E36" s="1" t="s">
        <v>91</v>
      </c>
      <c r="F36" s="1">
        <v>8.03052081E8</v>
      </c>
      <c r="G36" s="2">
        <v>46023.0</v>
      </c>
      <c r="H36" s="2">
        <v>46129.0</v>
      </c>
      <c r="I36" s="1" t="s">
        <v>43</v>
      </c>
      <c r="J36" s="1" t="s">
        <v>48</v>
      </c>
      <c r="K36" s="3">
        <v>18.0</v>
      </c>
    </row>
    <row r="37" ht="15.75" customHeight="1">
      <c r="A37" s="1" t="s">
        <v>58</v>
      </c>
      <c r="C37" s="1">
        <v>1.8598357E7</v>
      </c>
      <c r="D37" s="1" t="s">
        <v>92</v>
      </c>
      <c r="E37" s="1" t="s">
        <v>93</v>
      </c>
      <c r="F37" s="1">
        <v>8.02493406E8</v>
      </c>
      <c r="G37" s="2">
        <v>46023.0</v>
      </c>
      <c r="H37" s="2">
        <v>46129.0</v>
      </c>
      <c r="I37" s="1" t="s">
        <v>43</v>
      </c>
      <c r="J37" s="1" t="s">
        <v>44</v>
      </c>
      <c r="K37" s="3">
        <v>18.0</v>
      </c>
    </row>
    <row r="38" ht="15.75" customHeight="1">
      <c r="A38" s="1" t="s">
        <v>89</v>
      </c>
      <c r="C38" s="1">
        <v>1.7528908E7</v>
      </c>
      <c r="D38" s="1" t="s">
        <v>94</v>
      </c>
      <c r="E38" s="1" t="s">
        <v>95</v>
      </c>
      <c r="F38" s="1">
        <v>8.02910086E8</v>
      </c>
      <c r="G38" s="2">
        <v>46023.0</v>
      </c>
      <c r="H38" s="2">
        <v>46129.0</v>
      </c>
      <c r="I38" s="1" t="s">
        <v>43</v>
      </c>
      <c r="J38" s="1" t="s">
        <v>48</v>
      </c>
      <c r="K38" s="3">
        <v>18.0</v>
      </c>
    </row>
    <row r="39" ht="15.75" customHeight="1">
      <c r="A39" s="1" t="s">
        <v>23</v>
      </c>
      <c r="C39" s="1">
        <v>1.5278437E7</v>
      </c>
      <c r="D39" s="1" t="s">
        <v>96</v>
      </c>
      <c r="E39" s="1" t="s">
        <v>80</v>
      </c>
      <c r="F39" s="1">
        <v>8.0220745E8</v>
      </c>
      <c r="G39" s="2">
        <v>46023.0</v>
      </c>
      <c r="H39" s="2">
        <v>46129.0</v>
      </c>
      <c r="I39" s="1" t="s">
        <v>43</v>
      </c>
      <c r="J39" s="1" t="s">
        <v>44</v>
      </c>
      <c r="K39" s="3">
        <v>18.0</v>
      </c>
    </row>
    <row r="40" ht="15.75" customHeight="1">
      <c r="A40" s="1" t="s">
        <v>23</v>
      </c>
      <c r="C40" s="1">
        <v>1.5278437E7</v>
      </c>
      <c r="D40" s="1" t="s">
        <v>97</v>
      </c>
      <c r="E40" s="1" t="s">
        <v>98</v>
      </c>
      <c r="F40" s="1">
        <v>8.02604729E8</v>
      </c>
      <c r="G40" s="2">
        <v>46054.0</v>
      </c>
      <c r="H40" s="2">
        <v>46129.0</v>
      </c>
      <c r="I40" s="1" t="s">
        <v>43</v>
      </c>
      <c r="J40" s="1" t="s">
        <v>48</v>
      </c>
      <c r="K40" s="3">
        <v>18.0</v>
      </c>
    </row>
    <row r="41" ht="15.75" customHeight="1">
      <c r="A41" s="1" t="s">
        <v>11</v>
      </c>
      <c r="C41" s="1">
        <v>9254978.0</v>
      </c>
      <c r="D41" s="1" t="s">
        <v>99</v>
      </c>
      <c r="E41" s="1" t="s">
        <v>100</v>
      </c>
      <c r="F41" s="1">
        <v>8.02742865E8</v>
      </c>
      <c r="G41" s="2">
        <v>46023.0</v>
      </c>
      <c r="H41" s="2">
        <v>46129.0</v>
      </c>
      <c r="I41" s="1" t="s">
        <v>43</v>
      </c>
      <c r="J41" s="1" t="s">
        <v>48</v>
      </c>
      <c r="K41" s="3">
        <v>18.0</v>
      </c>
    </row>
    <row r="42" ht="15.75" customHeight="1">
      <c r="A42" s="1" t="s">
        <v>40</v>
      </c>
      <c r="C42" s="1">
        <v>1.879474E7</v>
      </c>
      <c r="D42" s="1" t="s">
        <v>101</v>
      </c>
      <c r="E42" s="1" t="s">
        <v>102</v>
      </c>
      <c r="F42" s="1">
        <v>8.02902756E8</v>
      </c>
      <c r="G42" s="2">
        <v>46023.0</v>
      </c>
      <c r="H42" s="2">
        <v>46129.0</v>
      </c>
      <c r="I42" s="1" t="s">
        <v>43</v>
      </c>
      <c r="J42" s="1" t="s">
        <v>48</v>
      </c>
      <c r="K42" s="3">
        <v>18.0</v>
      </c>
    </row>
    <row r="43" ht="15.75" customHeight="1">
      <c r="A43" s="1" t="s">
        <v>23</v>
      </c>
      <c r="C43" s="1">
        <v>1.5278437E7</v>
      </c>
      <c r="D43" s="1" t="s">
        <v>103</v>
      </c>
      <c r="E43" s="1" t="s">
        <v>104</v>
      </c>
      <c r="F43" s="1">
        <v>8.02492983E8</v>
      </c>
      <c r="G43" s="2">
        <v>46023.0</v>
      </c>
      <c r="H43" s="2">
        <v>46129.0</v>
      </c>
      <c r="I43" s="1" t="s">
        <v>43</v>
      </c>
      <c r="J43" s="1" t="s">
        <v>44</v>
      </c>
      <c r="K43" s="3">
        <v>18.0</v>
      </c>
    </row>
    <row r="44" ht="15.75" customHeight="1">
      <c r="A44" s="1" t="s">
        <v>40</v>
      </c>
      <c r="C44" s="1">
        <v>1.879474E7</v>
      </c>
      <c r="D44" s="1" t="s">
        <v>105</v>
      </c>
      <c r="E44" s="1" t="s">
        <v>106</v>
      </c>
      <c r="F44" s="1">
        <v>8.03080963E8</v>
      </c>
      <c r="G44" s="2">
        <v>46023.0</v>
      </c>
      <c r="H44" s="2">
        <v>46129.0</v>
      </c>
      <c r="I44" s="1" t="s">
        <v>43</v>
      </c>
      <c r="J44" s="1" t="s">
        <v>44</v>
      </c>
      <c r="K44" s="3">
        <v>18.0</v>
      </c>
    </row>
    <row r="45" ht="15.75" customHeight="1">
      <c r="A45" s="1" t="s">
        <v>40</v>
      </c>
      <c r="C45" s="1">
        <v>1.879474E7</v>
      </c>
      <c r="D45" s="1" t="s">
        <v>107</v>
      </c>
      <c r="E45" s="1" t="s">
        <v>108</v>
      </c>
      <c r="F45" s="1">
        <v>8.03050668E8</v>
      </c>
      <c r="G45" s="2">
        <v>46023.0</v>
      </c>
      <c r="H45" s="2">
        <v>46129.0</v>
      </c>
      <c r="I45" s="1" t="s">
        <v>43</v>
      </c>
      <c r="J45" s="1" t="s">
        <v>48</v>
      </c>
      <c r="K45" s="3">
        <v>18.0</v>
      </c>
    </row>
    <row r="46" ht="15.75" customHeight="1">
      <c r="A46" s="1" t="s">
        <v>40</v>
      </c>
      <c r="C46" s="1">
        <v>1.879474E7</v>
      </c>
      <c r="D46" s="1" t="s">
        <v>107</v>
      </c>
      <c r="E46" s="1" t="s">
        <v>108</v>
      </c>
      <c r="F46" s="1">
        <v>8.03050668E8</v>
      </c>
      <c r="G46" s="2">
        <v>46023.0</v>
      </c>
      <c r="H46" s="2">
        <v>46129.0</v>
      </c>
      <c r="I46" s="1" t="s">
        <v>43</v>
      </c>
      <c r="J46" s="1" t="s">
        <v>44</v>
      </c>
      <c r="K46" s="3">
        <v>18.0</v>
      </c>
    </row>
    <row r="47" ht="15.75" customHeight="1">
      <c r="A47" s="1" t="s">
        <v>23</v>
      </c>
      <c r="C47" s="1">
        <v>1.5278437E7</v>
      </c>
      <c r="D47" s="1" t="s">
        <v>109</v>
      </c>
      <c r="E47" s="1" t="s">
        <v>110</v>
      </c>
      <c r="F47" s="1">
        <v>8.02597589E8</v>
      </c>
      <c r="G47" s="2">
        <v>46023.0</v>
      </c>
      <c r="H47" s="2">
        <v>46129.0</v>
      </c>
      <c r="I47" s="1" t="s">
        <v>43</v>
      </c>
      <c r="J47" s="1" t="s">
        <v>48</v>
      </c>
      <c r="K47" s="3">
        <v>18.0</v>
      </c>
    </row>
    <row r="48" ht="15.75" customHeight="1">
      <c r="A48" s="1" t="s">
        <v>40</v>
      </c>
      <c r="C48" s="1">
        <v>1.879474E7</v>
      </c>
      <c r="D48" s="1" t="s">
        <v>111</v>
      </c>
      <c r="E48" s="1" t="s">
        <v>112</v>
      </c>
      <c r="F48" s="1">
        <v>8.02552042E8</v>
      </c>
      <c r="G48" s="2">
        <v>46023.0</v>
      </c>
      <c r="H48" s="2">
        <v>46129.0</v>
      </c>
      <c r="I48" s="1" t="s">
        <v>43</v>
      </c>
      <c r="J48" s="1" t="s">
        <v>48</v>
      </c>
      <c r="K48" s="3">
        <v>18.0</v>
      </c>
    </row>
    <row r="49" ht="15.75" customHeight="1">
      <c r="A49" s="1" t="s">
        <v>23</v>
      </c>
      <c r="C49" s="1">
        <v>1.5278437E7</v>
      </c>
      <c r="D49" s="1" t="s">
        <v>113</v>
      </c>
      <c r="E49" s="1" t="s">
        <v>114</v>
      </c>
      <c r="F49" s="1">
        <v>8.02540674E8</v>
      </c>
      <c r="G49" s="2">
        <v>46023.0</v>
      </c>
      <c r="H49" s="2">
        <v>46129.0</v>
      </c>
      <c r="I49" s="1" t="s">
        <v>43</v>
      </c>
      <c r="J49" s="1" t="s">
        <v>48</v>
      </c>
      <c r="K49" s="3">
        <v>18.0</v>
      </c>
    </row>
    <row r="50" ht="15.75" customHeight="1">
      <c r="A50" s="1" t="s">
        <v>40</v>
      </c>
      <c r="C50" s="1">
        <v>1.879474E7</v>
      </c>
      <c r="D50" s="1" t="s">
        <v>115</v>
      </c>
      <c r="E50" s="1" t="s">
        <v>116</v>
      </c>
      <c r="F50" s="1">
        <v>8.02777578E8</v>
      </c>
      <c r="G50" s="2">
        <v>46023.0</v>
      </c>
      <c r="H50" s="2">
        <v>46129.0</v>
      </c>
      <c r="I50" s="1" t="s">
        <v>43</v>
      </c>
      <c r="J50" s="1" t="s">
        <v>48</v>
      </c>
      <c r="K50" s="3">
        <v>18.0</v>
      </c>
    </row>
    <row r="51" ht="15.75" customHeight="1">
      <c r="A51" s="1" t="s">
        <v>23</v>
      </c>
      <c r="C51" s="1">
        <v>1.5278437E7</v>
      </c>
      <c r="D51" s="1" t="s">
        <v>117</v>
      </c>
      <c r="E51" s="1" t="s">
        <v>118</v>
      </c>
      <c r="F51" s="1">
        <v>8.0306365E8</v>
      </c>
      <c r="G51" s="2">
        <v>46023.0</v>
      </c>
      <c r="H51" s="2">
        <v>46129.0</v>
      </c>
      <c r="I51" s="1" t="s">
        <v>43</v>
      </c>
      <c r="J51" s="1" t="s">
        <v>48</v>
      </c>
      <c r="K51" s="3">
        <v>18.0</v>
      </c>
    </row>
    <row r="52" ht="15.75" customHeight="1">
      <c r="A52" s="1" t="s">
        <v>23</v>
      </c>
      <c r="C52" s="1">
        <v>1.5278437E7</v>
      </c>
      <c r="D52" s="1" t="s">
        <v>119</v>
      </c>
      <c r="E52" s="1" t="s">
        <v>120</v>
      </c>
      <c r="F52" s="1">
        <v>8.02683072E8</v>
      </c>
      <c r="G52" s="2">
        <v>46023.0</v>
      </c>
      <c r="H52" s="2">
        <v>46129.0</v>
      </c>
      <c r="I52" s="1" t="s">
        <v>43</v>
      </c>
      <c r="J52" s="1" t="s">
        <v>49</v>
      </c>
      <c r="K52" s="3">
        <v>18.0</v>
      </c>
    </row>
    <row r="53" ht="15.75" customHeight="1">
      <c r="A53" s="1" t="s">
        <v>23</v>
      </c>
      <c r="C53" s="1">
        <v>1.5278437E7</v>
      </c>
      <c r="D53" s="1" t="s">
        <v>119</v>
      </c>
      <c r="E53" s="1" t="s">
        <v>120</v>
      </c>
      <c r="F53" s="1">
        <v>8.02683072E8</v>
      </c>
      <c r="G53" s="2">
        <v>46023.0</v>
      </c>
      <c r="H53" s="2">
        <v>46129.0</v>
      </c>
      <c r="I53" s="1" t="s">
        <v>43</v>
      </c>
      <c r="J53" s="1" t="s">
        <v>48</v>
      </c>
      <c r="K53" s="3">
        <v>18.0</v>
      </c>
    </row>
    <row r="54" ht="15.75" customHeight="1">
      <c r="A54" s="1" t="s">
        <v>121</v>
      </c>
      <c r="C54" s="1">
        <v>8307933.0</v>
      </c>
      <c r="D54" s="1" t="s">
        <v>122</v>
      </c>
      <c r="E54" s="1" t="s">
        <v>123</v>
      </c>
      <c r="F54" s="1">
        <v>8.03038832E8</v>
      </c>
      <c r="G54" s="2">
        <v>46023.0</v>
      </c>
      <c r="H54" s="2">
        <v>46129.0</v>
      </c>
      <c r="I54" s="1" t="s">
        <v>43</v>
      </c>
      <c r="J54" s="1" t="s">
        <v>48</v>
      </c>
      <c r="K54" s="3">
        <v>18.0</v>
      </c>
    </row>
    <row r="55" ht="15.75" customHeight="1">
      <c r="A55" s="1" t="s">
        <v>40</v>
      </c>
      <c r="C55" s="1">
        <v>1.879474E7</v>
      </c>
      <c r="D55" s="1" t="s">
        <v>124</v>
      </c>
      <c r="E55" s="1" t="s">
        <v>125</v>
      </c>
      <c r="F55" s="1">
        <v>8.0311454E8</v>
      </c>
      <c r="G55" s="2">
        <v>46023.0</v>
      </c>
      <c r="H55" s="2">
        <v>46129.0</v>
      </c>
      <c r="I55" s="1" t="s">
        <v>43</v>
      </c>
      <c r="J55" s="1" t="s">
        <v>126</v>
      </c>
      <c r="K55" s="3">
        <v>22.0</v>
      </c>
    </row>
    <row r="56" ht="15.75" customHeight="1">
      <c r="A56" s="1" t="s">
        <v>127</v>
      </c>
      <c r="C56" s="1">
        <v>2.17589E7</v>
      </c>
      <c r="D56" s="1" t="s">
        <v>128</v>
      </c>
      <c r="E56" s="1" t="s">
        <v>129</v>
      </c>
      <c r="F56" s="1">
        <v>8.03117914E8</v>
      </c>
      <c r="G56" s="2">
        <v>46023.0</v>
      </c>
      <c r="H56" s="2">
        <v>46129.0</v>
      </c>
      <c r="I56" s="1" t="s">
        <v>43</v>
      </c>
      <c r="J56" s="1" t="s">
        <v>126</v>
      </c>
      <c r="K56" s="3">
        <v>22.0</v>
      </c>
    </row>
    <row r="57" ht="15.75" customHeight="1">
      <c r="A57" s="1" t="s">
        <v>58</v>
      </c>
      <c r="C57" s="1">
        <v>1.8598357E7</v>
      </c>
      <c r="D57" s="1" t="s">
        <v>130</v>
      </c>
      <c r="E57" s="1" t="s">
        <v>131</v>
      </c>
      <c r="F57" s="1">
        <v>8.03112589E8</v>
      </c>
      <c r="G57" s="2">
        <v>46023.0</v>
      </c>
      <c r="H57" s="2">
        <v>46129.0</v>
      </c>
      <c r="I57" s="1" t="s">
        <v>43</v>
      </c>
      <c r="J57" s="1" t="s">
        <v>126</v>
      </c>
      <c r="K57" s="3">
        <v>22.0</v>
      </c>
    </row>
    <row r="58" ht="15.75" customHeight="1">
      <c r="A58" s="1" t="s">
        <v>40</v>
      </c>
      <c r="C58" s="1">
        <v>1.879474E7</v>
      </c>
      <c r="D58" s="1" t="s">
        <v>132</v>
      </c>
      <c r="E58" s="1" t="s">
        <v>133</v>
      </c>
      <c r="F58" s="1">
        <v>8.03095503E8</v>
      </c>
      <c r="G58" s="2">
        <v>46023.0</v>
      </c>
      <c r="H58" s="2">
        <v>46129.0</v>
      </c>
      <c r="I58" s="1" t="s">
        <v>43</v>
      </c>
      <c r="J58" s="1" t="s">
        <v>134</v>
      </c>
      <c r="K58" s="3">
        <v>22.0</v>
      </c>
    </row>
    <row r="59" ht="15.75" customHeight="1">
      <c r="A59" s="1" t="s">
        <v>11</v>
      </c>
      <c r="C59" s="1">
        <v>9254978.0</v>
      </c>
      <c r="D59" s="1" t="s">
        <v>135</v>
      </c>
      <c r="E59" s="1" t="s">
        <v>136</v>
      </c>
      <c r="F59" s="1">
        <v>8.03096452E8</v>
      </c>
      <c r="G59" s="2">
        <v>46023.0</v>
      </c>
      <c r="H59" s="2">
        <v>46129.0</v>
      </c>
      <c r="I59" s="1" t="s">
        <v>43</v>
      </c>
      <c r="J59" s="1" t="s">
        <v>126</v>
      </c>
      <c r="K59" s="3">
        <v>22.0</v>
      </c>
    </row>
    <row r="60" ht="15.75" customHeight="1">
      <c r="A60" s="1" t="s">
        <v>89</v>
      </c>
      <c r="C60" s="1">
        <v>1.7528908E7</v>
      </c>
      <c r="D60" s="1" t="s">
        <v>137</v>
      </c>
      <c r="E60" s="1" t="s">
        <v>138</v>
      </c>
      <c r="F60" s="1">
        <v>8.03124115E8</v>
      </c>
      <c r="G60" s="2">
        <v>46023.0</v>
      </c>
      <c r="H60" s="2">
        <v>46129.0</v>
      </c>
      <c r="I60" s="1" t="s">
        <v>43</v>
      </c>
      <c r="J60" s="1" t="s">
        <v>126</v>
      </c>
      <c r="K60" s="3">
        <v>22.0</v>
      </c>
    </row>
    <row r="61" ht="15.75" customHeight="1">
      <c r="A61" s="1" t="s">
        <v>139</v>
      </c>
      <c r="C61" s="1">
        <v>2.1605264E7</v>
      </c>
      <c r="D61" s="1" t="s">
        <v>140</v>
      </c>
      <c r="E61" s="1" t="s">
        <v>141</v>
      </c>
      <c r="F61" s="1">
        <v>8.0296641E8</v>
      </c>
      <c r="G61" s="2">
        <v>46023.0</v>
      </c>
      <c r="H61" s="2">
        <v>46129.0</v>
      </c>
      <c r="I61" s="1" t="s">
        <v>43</v>
      </c>
      <c r="J61" s="1" t="s">
        <v>126</v>
      </c>
      <c r="K61" s="3">
        <v>22.0</v>
      </c>
    </row>
    <row r="62" ht="15.75" customHeight="1">
      <c r="A62" s="1" t="s">
        <v>40</v>
      </c>
      <c r="C62" s="1">
        <v>1.879474E7</v>
      </c>
      <c r="D62" s="1" t="s">
        <v>142</v>
      </c>
      <c r="E62" s="1" t="s">
        <v>143</v>
      </c>
      <c r="F62" s="1">
        <v>8.03098189E8</v>
      </c>
      <c r="G62" s="2">
        <v>46023.0</v>
      </c>
      <c r="H62" s="2">
        <v>46129.0</v>
      </c>
      <c r="I62" s="1" t="s">
        <v>43</v>
      </c>
      <c r="J62" s="1" t="s">
        <v>126</v>
      </c>
      <c r="K62" s="3">
        <v>22.0</v>
      </c>
    </row>
    <row r="63" ht="15.75" customHeight="1">
      <c r="A63" s="1" t="s">
        <v>127</v>
      </c>
      <c r="C63" s="1">
        <v>2.17589E7</v>
      </c>
      <c r="D63" s="1" t="s">
        <v>144</v>
      </c>
      <c r="E63" s="1" t="s">
        <v>145</v>
      </c>
      <c r="F63" s="1">
        <v>8.03135405E8</v>
      </c>
      <c r="G63" s="2">
        <v>46023.0</v>
      </c>
      <c r="H63" s="2">
        <v>46129.0</v>
      </c>
      <c r="I63" s="1" t="s">
        <v>43</v>
      </c>
      <c r="J63" s="1" t="s">
        <v>126</v>
      </c>
      <c r="K63" s="3">
        <v>22.0</v>
      </c>
    </row>
    <row r="64" ht="15.75" customHeight="1">
      <c r="A64" s="1" t="s">
        <v>127</v>
      </c>
      <c r="C64" s="1">
        <v>2.17589E7</v>
      </c>
      <c r="D64" s="1" t="s">
        <v>144</v>
      </c>
      <c r="E64" s="1" t="s">
        <v>145</v>
      </c>
      <c r="F64" s="1">
        <v>8.03135405E8</v>
      </c>
      <c r="G64" s="2">
        <v>46023.0</v>
      </c>
      <c r="H64" s="2">
        <v>46129.0</v>
      </c>
      <c r="I64" s="1" t="s">
        <v>43</v>
      </c>
      <c r="J64" s="1" t="s">
        <v>134</v>
      </c>
      <c r="K64" s="3">
        <v>22.0</v>
      </c>
    </row>
    <row r="65" ht="15.75" customHeight="1">
      <c r="A65" s="1" t="s">
        <v>52</v>
      </c>
      <c r="C65" s="1">
        <v>1.7425766E7</v>
      </c>
      <c r="D65" s="1" t="s">
        <v>146</v>
      </c>
      <c r="E65" s="1" t="s">
        <v>147</v>
      </c>
      <c r="F65" s="1">
        <v>8.03147431E8</v>
      </c>
      <c r="G65" s="2">
        <v>46082.0</v>
      </c>
      <c r="H65" s="2">
        <v>46129.0</v>
      </c>
      <c r="I65" s="1" t="s">
        <v>43</v>
      </c>
      <c r="J65" s="1" t="s">
        <v>126</v>
      </c>
      <c r="K65" s="3">
        <v>22.0</v>
      </c>
    </row>
    <row r="66" ht="15.75" customHeight="1">
      <c r="A66" s="1" t="s">
        <v>23</v>
      </c>
      <c r="C66" s="1">
        <v>1.5278437E7</v>
      </c>
      <c r="D66" s="1" t="s">
        <v>148</v>
      </c>
      <c r="E66" s="1" t="s">
        <v>149</v>
      </c>
      <c r="F66" s="1">
        <v>8.02020387E8</v>
      </c>
      <c r="G66" s="2">
        <v>46023.0</v>
      </c>
      <c r="H66" s="2">
        <v>46129.0</v>
      </c>
      <c r="I66" s="1" t="s">
        <v>43</v>
      </c>
      <c r="J66" s="1" t="s">
        <v>150</v>
      </c>
      <c r="K66" s="3">
        <v>54.0</v>
      </c>
    </row>
    <row r="67" ht="15.75" customHeight="1">
      <c r="A67" s="1" t="s">
        <v>11</v>
      </c>
      <c r="C67" s="1">
        <v>9254978.0</v>
      </c>
      <c r="D67" s="1" t="s">
        <v>151</v>
      </c>
      <c r="E67" s="1" t="s">
        <v>152</v>
      </c>
      <c r="F67" s="1">
        <v>8.02624955E8</v>
      </c>
      <c r="G67" s="2">
        <v>46023.0</v>
      </c>
      <c r="H67" s="2">
        <v>46129.0</v>
      </c>
      <c r="I67" s="1" t="s">
        <v>43</v>
      </c>
      <c r="J67" s="1" t="s">
        <v>153</v>
      </c>
      <c r="K67" s="3">
        <v>36.0</v>
      </c>
    </row>
    <row r="68" ht="15.75" customHeight="1">
      <c r="A68" s="1" t="s">
        <v>23</v>
      </c>
      <c r="C68" s="1">
        <v>1.5278437E7</v>
      </c>
      <c r="D68" s="1" t="s">
        <v>154</v>
      </c>
      <c r="E68" s="1" t="s">
        <v>155</v>
      </c>
      <c r="F68" s="1">
        <v>8.02532346E8</v>
      </c>
      <c r="G68" s="2">
        <v>46023.0</v>
      </c>
      <c r="H68" s="2">
        <v>46129.0</v>
      </c>
      <c r="I68" s="1" t="s">
        <v>43</v>
      </c>
      <c r="J68" s="1" t="s">
        <v>153</v>
      </c>
      <c r="K68" s="3">
        <v>36.0</v>
      </c>
    </row>
    <row r="69" ht="15.75" customHeight="1">
      <c r="A69" s="1" t="s">
        <v>23</v>
      </c>
      <c r="C69" s="1">
        <v>1.5278437E7</v>
      </c>
      <c r="D69" s="1" t="s">
        <v>137</v>
      </c>
      <c r="E69" s="1" t="s">
        <v>156</v>
      </c>
      <c r="F69" s="1">
        <v>8.02301278E8</v>
      </c>
      <c r="G69" s="2">
        <v>46023.0</v>
      </c>
      <c r="H69" s="2">
        <v>46129.0</v>
      </c>
      <c r="I69" s="1" t="s">
        <v>43</v>
      </c>
      <c r="J69" s="1" t="s">
        <v>157</v>
      </c>
      <c r="K69" s="3">
        <v>36.0</v>
      </c>
    </row>
    <row r="70" ht="15.75" customHeight="1">
      <c r="A70" s="1" t="s">
        <v>23</v>
      </c>
      <c r="C70" s="1">
        <v>1.5278437E7</v>
      </c>
      <c r="D70" s="1" t="s">
        <v>137</v>
      </c>
      <c r="E70" s="1" t="s">
        <v>156</v>
      </c>
      <c r="F70" s="1">
        <v>8.02301278E8</v>
      </c>
      <c r="G70" s="2">
        <v>46023.0</v>
      </c>
      <c r="H70" s="2">
        <v>46129.0</v>
      </c>
      <c r="I70" s="1" t="s">
        <v>43</v>
      </c>
      <c r="J70" s="1" t="s">
        <v>153</v>
      </c>
      <c r="K70" s="3">
        <v>36.0</v>
      </c>
    </row>
    <row r="71" ht="15.75" customHeight="1">
      <c r="A71" s="1" t="s">
        <v>23</v>
      </c>
      <c r="C71" s="1">
        <v>1.5278437E7</v>
      </c>
      <c r="D71" s="1" t="s">
        <v>158</v>
      </c>
      <c r="E71" s="1" t="s">
        <v>159</v>
      </c>
      <c r="F71" s="1">
        <v>8.02417758E8</v>
      </c>
      <c r="G71" s="2">
        <v>46023.0</v>
      </c>
      <c r="H71" s="2">
        <v>46129.0</v>
      </c>
      <c r="I71" s="1" t="s">
        <v>43</v>
      </c>
      <c r="J71" s="1" t="s">
        <v>153</v>
      </c>
      <c r="K71" s="3">
        <v>36.0</v>
      </c>
    </row>
    <row r="72" ht="15.75" customHeight="1">
      <c r="A72" s="1" t="s">
        <v>23</v>
      </c>
      <c r="C72" s="1">
        <v>1.5278437E7</v>
      </c>
      <c r="D72" s="1" t="s">
        <v>160</v>
      </c>
      <c r="E72" s="1" t="s">
        <v>161</v>
      </c>
      <c r="F72" s="1">
        <v>8.02534788E8</v>
      </c>
      <c r="G72" s="2">
        <v>46023.0</v>
      </c>
      <c r="H72" s="2">
        <v>46129.0</v>
      </c>
      <c r="I72" s="1" t="s">
        <v>43</v>
      </c>
      <c r="J72" s="1" t="s">
        <v>153</v>
      </c>
      <c r="K72" s="3">
        <v>36.0</v>
      </c>
    </row>
    <row r="73" ht="15.75" customHeight="1">
      <c r="A73" s="1" t="s">
        <v>23</v>
      </c>
      <c r="C73" s="1">
        <v>1.5278437E7</v>
      </c>
      <c r="D73" s="1" t="s">
        <v>162</v>
      </c>
      <c r="E73" s="1" t="s">
        <v>163</v>
      </c>
      <c r="F73" s="1">
        <v>8.01998355E8</v>
      </c>
      <c r="G73" s="2">
        <v>46023.0</v>
      </c>
      <c r="H73" s="2">
        <v>46129.0</v>
      </c>
      <c r="I73" s="1" t="s">
        <v>43</v>
      </c>
      <c r="J73" s="1" t="s">
        <v>153</v>
      </c>
      <c r="K73" s="3">
        <v>36.0</v>
      </c>
    </row>
    <row r="74" ht="15.75" customHeight="1">
      <c r="A74" s="1" t="s">
        <v>40</v>
      </c>
      <c r="C74" s="1">
        <v>1.879474E7</v>
      </c>
      <c r="D74" s="1" t="s">
        <v>164</v>
      </c>
      <c r="E74" s="1" t="s">
        <v>165</v>
      </c>
      <c r="F74" s="1">
        <v>8.02341284E8</v>
      </c>
      <c r="G74" s="2">
        <v>46023.0</v>
      </c>
      <c r="H74" s="2">
        <v>46129.0</v>
      </c>
      <c r="I74" s="1" t="s">
        <v>43</v>
      </c>
      <c r="J74" s="1" t="s">
        <v>153</v>
      </c>
      <c r="K74" s="3">
        <v>36.0</v>
      </c>
    </row>
    <row r="75" ht="15.75" customHeight="1">
      <c r="A75" s="1" t="s">
        <v>40</v>
      </c>
      <c r="C75" s="1">
        <v>1.879474E7</v>
      </c>
      <c r="D75" s="1" t="s">
        <v>166</v>
      </c>
      <c r="E75" s="1" t="s">
        <v>167</v>
      </c>
      <c r="F75" s="1">
        <v>8.02807514E8</v>
      </c>
      <c r="G75" s="2">
        <v>46023.0</v>
      </c>
      <c r="H75" s="2">
        <v>46129.0</v>
      </c>
      <c r="I75" s="1" t="s">
        <v>43</v>
      </c>
      <c r="J75" s="1" t="s">
        <v>153</v>
      </c>
      <c r="K75" s="3">
        <v>36.0</v>
      </c>
    </row>
    <row r="76" ht="15.75" customHeight="1">
      <c r="A76" s="1" t="s">
        <v>40</v>
      </c>
      <c r="C76" s="1">
        <v>1.879474E7</v>
      </c>
      <c r="D76" s="1" t="s">
        <v>166</v>
      </c>
      <c r="E76" s="1" t="s">
        <v>167</v>
      </c>
      <c r="F76" s="1">
        <v>8.02807514E8</v>
      </c>
      <c r="G76" s="2">
        <v>46023.0</v>
      </c>
      <c r="H76" s="2">
        <v>46129.0</v>
      </c>
      <c r="I76" s="1" t="s">
        <v>43</v>
      </c>
      <c r="J76" s="1" t="s">
        <v>168</v>
      </c>
      <c r="K76" s="3">
        <v>36.0</v>
      </c>
    </row>
    <row r="77" ht="15.75" customHeight="1">
      <c r="A77" s="1" t="s">
        <v>23</v>
      </c>
      <c r="C77" s="1">
        <v>1.5278437E7</v>
      </c>
      <c r="D77" s="1" t="s">
        <v>169</v>
      </c>
      <c r="E77" s="1" t="s">
        <v>170</v>
      </c>
      <c r="F77" s="1">
        <v>8.02332852E8</v>
      </c>
      <c r="G77" s="2">
        <v>46023.0</v>
      </c>
      <c r="H77" s="2">
        <v>46129.0</v>
      </c>
      <c r="I77" s="1" t="s">
        <v>43</v>
      </c>
      <c r="J77" s="1" t="s">
        <v>153</v>
      </c>
      <c r="K77" s="3">
        <v>36.0</v>
      </c>
    </row>
    <row r="78" ht="15.75" customHeight="1">
      <c r="A78" s="1" t="s">
        <v>87</v>
      </c>
      <c r="C78" s="1">
        <v>1.871007E7</v>
      </c>
      <c r="D78" s="1" t="s">
        <v>171</v>
      </c>
      <c r="E78" s="1" t="s">
        <v>172</v>
      </c>
      <c r="F78" s="1">
        <v>8.03016096E8</v>
      </c>
      <c r="G78" s="2">
        <v>46023.0</v>
      </c>
      <c r="H78" s="2">
        <v>46129.0</v>
      </c>
      <c r="I78" s="1" t="s">
        <v>43</v>
      </c>
      <c r="J78" s="1" t="s">
        <v>153</v>
      </c>
      <c r="K78" s="3">
        <v>36.0</v>
      </c>
    </row>
    <row r="79" ht="15.75" customHeight="1">
      <c r="A79" s="1" t="s">
        <v>40</v>
      </c>
      <c r="C79" s="1">
        <v>1.879474E7</v>
      </c>
      <c r="D79" s="1" t="s">
        <v>92</v>
      </c>
      <c r="E79" s="1" t="s">
        <v>173</v>
      </c>
      <c r="F79" s="1">
        <v>8.0201604E8</v>
      </c>
      <c r="G79" s="2">
        <v>46023.0</v>
      </c>
      <c r="H79" s="2">
        <v>46129.0</v>
      </c>
      <c r="I79" s="1" t="s">
        <v>43</v>
      </c>
      <c r="J79" s="1" t="s">
        <v>153</v>
      </c>
      <c r="K79" s="3">
        <v>36.0</v>
      </c>
    </row>
    <row r="80" ht="15.75" customHeight="1">
      <c r="A80" s="1" t="s">
        <v>23</v>
      </c>
      <c r="C80" s="1">
        <v>1.5278437E7</v>
      </c>
      <c r="D80" s="1" t="s">
        <v>174</v>
      </c>
      <c r="E80" s="1" t="s">
        <v>175</v>
      </c>
      <c r="F80" s="1">
        <v>8.0278478E8</v>
      </c>
      <c r="G80" s="2">
        <v>46023.0</v>
      </c>
      <c r="H80" s="2">
        <v>46129.0</v>
      </c>
      <c r="I80" s="1" t="s">
        <v>43</v>
      </c>
      <c r="J80" s="1" t="s">
        <v>157</v>
      </c>
      <c r="K80" s="3">
        <v>36.0</v>
      </c>
    </row>
    <row r="81" ht="15.75" customHeight="1">
      <c r="A81" s="1" t="s">
        <v>23</v>
      </c>
      <c r="C81" s="1">
        <v>1.5278437E7</v>
      </c>
      <c r="D81" s="1" t="s">
        <v>103</v>
      </c>
      <c r="E81" s="1" t="s">
        <v>176</v>
      </c>
      <c r="F81" s="1">
        <v>8.02385143E8</v>
      </c>
      <c r="G81" s="2">
        <v>46023.0</v>
      </c>
      <c r="H81" s="2">
        <v>46129.0</v>
      </c>
      <c r="I81" s="1" t="s">
        <v>43</v>
      </c>
      <c r="J81" s="1" t="s">
        <v>153</v>
      </c>
      <c r="K81" s="3">
        <v>36.0</v>
      </c>
    </row>
    <row r="82" ht="15.75" customHeight="1">
      <c r="A82" s="1" t="s">
        <v>23</v>
      </c>
      <c r="C82" s="1">
        <v>1.5278437E7</v>
      </c>
      <c r="D82" s="1" t="s">
        <v>103</v>
      </c>
      <c r="E82" s="1" t="s">
        <v>177</v>
      </c>
      <c r="F82" s="1">
        <v>8.02327643E8</v>
      </c>
      <c r="G82" s="2">
        <v>46023.0</v>
      </c>
      <c r="H82" s="2">
        <v>46129.0</v>
      </c>
      <c r="I82" s="1" t="s">
        <v>43</v>
      </c>
      <c r="J82" s="1" t="s">
        <v>153</v>
      </c>
      <c r="K82" s="3">
        <v>36.0</v>
      </c>
    </row>
    <row r="83" ht="15.75" customHeight="1">
      <c r="A83" s="1" t="s">
        <v>40</v>
      </c>
      <c r="C83" s="1">
        <v>1.879474E7</v>
      </c>
      <c r="D83" s="1" t="s">
        <v>178</v>
      </c>
      <c r="E83" s="1" t="s">
        <v>179</v>
      </c>
      <c r="F83" s="1">
        <v>8.03085222E8</v>
      </c>
      <c r="G83" s="2">
        <v>46023.0</v>
      </c>
      <c r="H83" s="2">
        <v>46129.0</v>
      </c>
      <c r="I83" s="1" t="s">
        <v>43</v>
      </c>
      <c r="J83" s="1" t="s">
        <v>153</v>
      </c>
      <c r="K83" s="3">
        <v>36.0</v>
      </c>
    </row>
    <row r="84" ht="15.75" customHeight="1">
      <c r="A84" s="1" t="s">
        <v>139</v>
      </c>
      <c r="C84" s="1">
        <v>2.1605264E7</v>
      </c>
      <c r="D84" s="1" t="s">
        <v>180</v>
      </c>
      <c r="E84" s="1" t="s">
        <v>181</v>
      </c>
      <c r="F84" s="1">
        <v>8.02293839E8</v>
      </c>
      <c r="G84" s="2">
        <v>46023.0</v>
      </c>
      <c r="H84" s="2">
        <v>46129.0</v>
      </c>
      <c r="I84" s="1" t="s">
        <v>43</v>
      </c>
      <c r="J84" s="1" t="s">
        <v>153</v>
      </c>
      <c r="K84" s="3">
        <v>36.0</v>
      </c>
    </row>
    <row r="85" ht="15.75" customHeight="1">
      <c r="A85" s="1" t="s">
        <v>40</v>
      </c>
      <c r="C85" s="1">
        <v>1.879474E7</v>
      </c>
      <c r="D85" s="1" t="s">
        <v>182</v>
      </c>
      <c r="E85" s="1" t="s">
        <v>183</v>
      </c>
      <c r="F85" s="1">
        <v>8.03100155E8</v>
      </c>
      <c r="G85" s="2">
        <v>46023.0</v>
      </c>
      <c r="H85" s="2">
        <v>46129.0</v>
      </c>
      <c r="I85" s="1" t="s">
        <v>43</v>
      </c>
      <c r="J85" s="1" t="s">
        <v>184</v>
      </c>
      <c r="K85" s="3">
        <v>44.0</v>
      </c>
    </row>
    <row r="86" ht="15.75" customHeight="1">
      <c r="A86" s="1" t="s">
        <v>40</v>
      </c>
      <c r="C86" s="1">
        <v>1.879474E7</v>
      </c>
      <c r="D86" s="1" t="s">
        <v>185</v>
      </c>
      <c r="E86" s="1" t="s">
        <v>186</v>
      </c>
      <c r="F86" s="1">
        <v>8.03107563E8</v>
      </c>
      <c r="G86" s="2">
        <v>46023.0</v>
      </c>
      <c r="H86" s="2">
        <v>46129.0</v>
      </c>
      <c r="I86" s="1" t="s">
        <v>43</v>
      </c>
      <c r="J86" s="1" t="s">
        <v>187</v>
      </c>
      <c r="K86" s="3">
        <v>44.0</v>
      </c>
    </row>
    <row r="87" ht="15.75" customHeight="1">
      <c r="A87" s="1" t="s">
        <v>23</v>
      </c>
      <c r="C87" s="1">
        <v>1.5278437E7</v>
      </c>
      <c r="D87" s="1" t="s">
        <v>188</v>
      </c>
      <c r="E87" s="1" t="s">
        <v>189</v>
      </c>
      <c r="F87" s="1">
        <v>8.03104059E8</v>
      </c>
      <c r="G87" s="2">
        <v>46023.0</v>
      </c>
      <c r="H87" s="2">
        <v>46129.0</v>
      </c>
      <c r="I87" s="1" t="s">
        <v>43</v>
      </c>
      <c r="J87" s="1" t="s">
        <v>187</v>
      </c>
      <c r="K87" s="3">
        <v>44.0</v>
      </c>
    </row>
    <row r="88" ht="15.75" customHeight="1">
      <c r="A88" s="1" t="s">
        <v>23</v>
      </c>
      <c r="C88" s="1">
        <v>1.5278437E7</v>
      </c>
      <c r="D88" s="1" t="s">
        <v>190</v>
      </c>
      <c r="E88" s="1" t="s">
        <v>191</v>
      </c>
      <c r="F88" s="1">
        <v>8.03152334E8</v>
      </c>
      <c r="G88" s="2">
        <v>46082.0</v>
      </c>
      <c r="H88" s="2">
        <v>46129.0</v>
      </c>
      <c r="I88" s="1" t="s">
        <v>43</v>
      </c>
      <c r="J88" s="1" t="s">
        <v>184</v>
      </c>
      <c r="K88" s="3">
        <v>44.0</v>
      </c>
    </row>
    <row r="89" ht="15.75" customHeight="1">
      <c r="A89" s="1" t="s">
        <v>11</v>
      </c>
      <c r="C89" s="1">
        <v>9254978.0</v>
      </c>
      <c r="D89" s="1" t="s">
        <v>192</v>
      </c>
      <c r="E89" s="1" t="s">
        <v>193</v>
      </c>
      <c r="F89" s="1">
        <v>8.02999435E8</v>
      </c>
      <c r="G89" s="2">
        <v>46023.0</v>
      </c>
      <c r="H89" s="2">
        <v>46129.0</v>
      </c>
      <c r="I89" s="1" t="s">
        <v>43</v>
      </c>
      <c r="J89" s="1" t="s">
        <v>194</v>
      </c>
      <c r="K89" s="3">
        <v>72.0</v>
      </c>
    </row>
    <row r="90" ht="15.75" customHeight="1">
      <c r="A90" s="1" t="s">
        <v>45</v>
      </c>
      <c r="C90" s="1">
        <v>1.6509456E7</v>
      </c>
      <c r="D90" s="1" t="s">
        <v>195</v>
      </c>
      <c r="E90" s="1" t="s">
        <v>196</v>
      </c>
      <c r="F90" s="1">
        <v>8.03094359E8</v>
      </c>
      <c r="G90" s="2">
        <v>46023.0</v>
      </c>
      <c r="H90" s="2">
        <v>46129.0</v>
      </c>
      <c r="I90" s="1" t="s">
        <v>43</v>
      </c>
      <c r="J90" s="1" t="s">
        <v>197</v>
      </c>
      <c r="K90" s="3">
        <v>90.0</v>
      </c>
    </row>
    <row r="91" ht="15.75" customHeight="1">
      <c r="A91" s="1" t="s">
        <v>40</v>
      </c>
      <c r="C91" s="1">
        <v>1.879474E7</v>
      </c>
      <c r="D91" s="1" t="s">
        <v>41</v>
      </c>
      <c r="E91" s="1" t="s">
        <v>42</v>
      </c>
      <c r="F91" s="1">
        <v>8.03044035E8</v>
      </c>
      <c r="G91" s="2">
        <v>46023.0</v>
      </c>
      <c r="H91" s="2">
        <v>46129.0</v>
      </c>
      <c r="I91" s="1" t="s">
        <v>43</v>
      </c>
      <c r="J91" s="1" t="s">
        <v>198</v>
      </c>
      <c r="K91" s="3">
        <v>2.0</v>
      </c>
    </row>
    <row r="92" ht="15.75" customHeight="1">
      <c r="A92" s="1" t="s">
        <v>26</v>
      </c>
      <c r="C92" s="1">
        <v>1.7429706E7</v>
      </c>
      <c r="D92" s="1" t="s">
        <v>199</v>
      </c>
      <c r="E92" s="1" t="s">
        <v>200</v>
      </c>
      <c r="F92" s="1">
        <v>8.02910781E8</v>
      </c>
      <c r="G92" s="2">
        <v>46023.0</v>
      </c>
      <c r="H92" s="2">
        <v>46129.0</v>
      </c>
      <c r="I92" s="1" t="s">
        <v>43</v>
      </c>
      <c r="J92" s="1" t="s">
        <v>201</v>
      </c>
      <c r="K92" s="3">
        <v>0.5</v>
      </c>
    </row>
    <row r="93" ht="15.75" customHeight="1">
      <c r="A93" s="1" t="s">
        <v>26</v>
      </c>
      <c r="C93" s="1">
        <v>1.7429706E7</v>
      </c>
      <c r="D93" s="1" t="s">
        <v>202</v>
      </c>
      <c r="E93" s="1" t="s">
        <v>203</v>
      </c>
      <c r="F93" s="1">
        <v>8.01965326E8</v>
      </c>
      <c r="G93" s="2">
        <v>46023.0</v>
      </c>
      <c r="H93" s="2">
        <v>46129.0</v>
      </c>
      <c r="I93" s="1" t="s">
        <v>43</v>
      </c>
      <c r="J93" s="1" t="s">
        <v>198</v>
      </c>
      <c r="K93" s="3">
        <v>0.5</v>
      </c>
    </row>
    <row r="94" ht="15.75" customHeight="1">
      <c r="A94" s="1" t="s">
        <v>26</v>
      </c>
      <c r="C94" s="1">
        <v>1.7429706E7</v>
      </c>
      <c r="D94" s="1" t="s">
        <v>46</v>
      </c>
      <c r="E94" s="1" t="s">
        <v>204</v>
      </c>
      <c r="F94" s="1">
        <v>8.0227555E8</v>
      </c>
      <c r="G94" s="2">
        <v>46023.0</v>
      </c>
      <c r="H94" s="2">
        <v>46129.0</v>
      </c>
      <c r="I94" s="1" t="s">
        <v>43</v>
      </c>
      <c r="J94" s="1" t="s">
        <v>205</v>
      </c>
      <c r="K94" s="3">
        <v>0.5</v>
      </c>
    </row>
    <row r="95" ht="15.75" customHeight="1">
      <c r="A95" s="1" t="s">
        <v>26</v>
      </c>
      <c r="C95" s="1">
        <v>1.7429706E7</v>
      </c>
      <c r="D95" s="1" t="s">
        <v>46</v>
      </c>
      <c r="E95" s="1" t="s">
        <v>206</v>
      </c>
      <c r="F95" s="1">
        <v>8.02644728E8</v>
      </c>
      <c r="G95" s="2">
        <v>46023.0</v>
      </c>
      <c r="H95" s="2">
        <v>46129.0</v>
      </c>
      <c r="I95" s="1" t="s">
        <v>43</v>
      </c>
      <c r="J95" s="1" t="s">
        <v>201</v>
      </c>
      <c r="K95" s="3">
        <v>0.5</v>
      </c>
    </row>
    <row r="96" ht="15.75" customHeight="1">
      <c r="A96" s="1" t="s">
        <v>45</v>
      </c>
      <c r="C96" s="1">
        <v>1.6509456E7</v>
      </c>
      <c r="D96" s="1" t="s">
        <v>46</v>
      </c>
      <c r="E96" s="1" t="s">
        <v>47</v>
      </c>
      <c r="F96" s="1">
        <v>8.03072574E8</v>
      </c>
      <c r="G96" s="2">
        <v>46023.0</v>
      </c>
      <c r="H96" s="2">
        <v>46129.0</v>
      </c>
      <c r="I96" s="1" t="s">
        <v>43</v>
      </c>
      <c r="J96" s="1" t="s">
        <v>205</v>
      </c>
      <c r="K96" s="3">
        <v>2.0</v>
      </c>
    </row>
    <row r="97" ht="15.75" customHeight="1">
      <c r="A97" s="1" t="s">
        <v>45</v>
      </c>
      <c r="C97" s="1">
        <v>1.6509456E7</v>
      </c>
      <c r="D97" s="1" t="s">
        <v>46</v>
      </c>
      <c r="E97" s="1" t="s">
        <v>47</v>
      </c>
      <c r="F97" s="1">
        <v>8.03072574E8</v>
      </c>
      <c r="G97" s="2">
        <v>46023.0</v>
      </c>
      <c r="H97" s="2">
        <v>46129.0</v>
      </c>
      <c r="I97" s="1" t="s">
        <v>43</v>
      </c>
      <c r="J97" s="1" t="s">
        <v>201</v>
      </c>
      <c r="K97" s="3">
        <v>2.0</v>
      </c>
    </row>
    <row r="98" ht="15.75" customHeight="1">
      <c r="A98" s="1" t="s">
        <v>26</v>
      </c>
      <c r="C98" s="1">
        <v>1.7429706E7</v>
      </c>
      <c r="D98" s="1" t="s">
        <v>46</v>
      </c>
      <c r="E98" s="1" t="s">
        <v>204</v>
      </c>
      <c r="F98" s="1">
        <v>8.0227555E8</v>
      </c>
      <c r="G98" s="2">
        <v>46023.0</v>
      </c>
      <c r="H98" s="2">
        <v>46129.0</v>
      </c>
      <c r="I98" s="1" t="s">
        <v>43</v>
      </c>
      <c r="J98" s="1" t="s">
        <v>201</v>
      </c>
      <c r="K98" s="3">
        <v>0.5</v>
      </c>
    </row>
    <row r="99" ht="15.75" customHeight="1">
      <c r="A99" s="1" t="s">
        <v>16</v>
      </c>
      <c r="C99" s="1">
        <v>1.9861194E7</v>
      </c>
      <c r="D99" s="1" t="s">
        <v>207</v>
      </c>
      <c r="E99" s="1" t="s">
        <v>208</v>
      </c>
      <c r="F99" s="1">
        <v>8.02644782E8</v>
      </c>
      <c r="G99" s="2">
        <v>46023.0</v>
      </c>
      <c r="H99" s="2">
        <v>46129.0</v>
      </c>
      <c r="I99" s="1" t="s">
        <v>43</v>
      </c>
      <c r="J99" s="1" t="s">
        <v>201</v>
      </c>
      <c r="K99" s="3">
        <v>2.0</v>
      </c>
    </row>
    <row r="100" ht="15.75" customHeight="1">
      <c r="A100" s="1" t="s">
        <v>26</v>
      </c>
      <c r="C100" s="1">
        <v>1.7429706E7</v>
      </c>
      <c r="D100" s="1" t="s">
        <v>209</v>
      </c>
      <c r="E100" s="1" t="s">
        <v>210</v>
      </c>
      <c r="F100" s="1">
        <v>8.02999575E8</v>
      </c>
      <c r="G100" s="2">
        <v>46023.0</v>
      </c>
      <c r="H100" s="2">
        <v>46129.0</v>
      </c>
      <c r="I100" s="1" t="s">
        <v>43</v>
      </c>
      <c r="J100" s="1" t="s">
        <v>201</v>
      </c>
      <c r="K100" s="3">
        <v>0.5</v>
      </c>
    </row>
    <row r="101" ht="15.75" customHeight="1">
      <c r="A101" s="1" t="s">
        <v>211</v>
      </c>
      <c r="C101" s="1">
        <v>1.8134413E7</v>
      </c>
      <c r="D101" s="1" t="s">
        <v>182</v>
      </c>
      <c r="E101" s="1" t="s">
        <v>212</v>
      </c>
      <c r="F101" s="1">
        <v>8.02869185E8</v>
      </c>
      <c r="G101" s="2">
        <v>46054.0</v>
      </c>
      <c r="H101" s="2">
        <v>46129.0</v>
      </c>
      <c r="I101" s="1" t="s">
        <v>43</v>
      </c>
      <c r="J101" s="1" t="s">
        <v>201</v>
      </c>
      <c r="K101" s="3">
        <v>2.0</v>
      </c>
    </row>
    <row r="102" ht="15.75" customHeight="1">
      <c r="A102" s="1" t="s">
        <v>211</v>
      </c>
      <c r="C102" s="1">
        <v>1.8134413E7</v>
      </c>
      <c r="D102" s="1" t="s">
        <v>182</v>
      </c>
      <c r="E102" s="1" t="s">
        <v>212</v>
      </c>
      <c r="F102" s="1">
        <v>8.02869185E8</v>
      </c>
      <c r="G102" s="2">
        <v>46054.0</v>
      </c>
      <c r="H102" s="2">
        <v>46129.0</v>
      </c>
      <c r="I102" s="1" t="s">
        <v>43</v>
      </c>
      <c r="J102" s="1" t="s">
        <v>198</v>
      </c>
      <c r="K102" s="3">
        <v>2.0</v>
      </c>
    </row>
    <row r="103" ht="15.75" customHeight="1">
      <c r="A103" s="1" t="s">
        <v>11</v>
      </c>
      <c r="C103" s="1">
        <v>9254978.0</v>
      </c>
      <c r="D103" s="1" t="s">
        <v>50</v>
      </c>
      <c r="E103" s="1" t="s">
        <v>51</v>
      </c>
      <c r="F103" s="1">
        <v>8.03052014E8</v>
      </c>
      <c r="G103" s="2">
        <v>46023.0</v>
      </c>
      <c r="H103" s="2">
        <v>46129.0</v>
      </c>
      <c r="I103" s="1" t="s">
        <v>43</v>
      </c>
      <c r="J103" s="1" t="s">
        <v>201</v>
      </c>
      <c r="K103" s="3">
        <v>2.0</v>
      </c>
    </row>
    <row r="104" ht="15.75" customHeight="1">
      <c r="A104" s="1" t="s">
        <v>26</v>
      </c>
      <c r="C104" s="1">
        <v>1.7429706E7</v>
      </c>
      <c r="D104" s="1" t="s">
        <v>53</v>
      </c>
      <c r="E104" s="1" t="s">
        <v>213</v>
      </c>
      <c r="F104" s="1">
        <v>8.02608706E8</v>
      </c>
      <c r="G104" s="2">
        <v>46023.0</v>
      </c>
      <c r="H104" s="2">
        <v>46129.0</v>
      </c>
      <c r="I104" s="1" t="s">
        <v>43</v>
      </c>
      <c r="J104" s="1" t="s">
        <v>198</v>
      </c>
      <c r="K104" s="3">
        <v>0.5</v>
      </c>
    </row>
    <row r="105" ht="15.75" customHeight="1">
      <c r="A105" s="1" t="s">
        <v>52</v>
      </c>
      <c r="C105" s="1">
        <v>1.7425766E7</v>
      </c>
      <c r="D105" s="1" t="s">
        <v>53</v>
      </c>
      <c r="E105" s="1" t="s">
        <v>54</v>
      </c>
      <c r="F105" s="1">
        <v>8.0276612E8</v>
      </c>
      <c r="G105" s="2">
        <v>46023.0</v>
      </c>
      <c r="H105" s="2">
        <v>46129.0</v>
      </c>
      <c r="I105" s="1" t="s">
        <v>43</v>
      </c>
      <c r="J105" s="1" t="s">
        <v>198</v>
      </c>
      <c r="K105" s="3">
        <v>2.0</v>
      </c>
    </row>
    <row r="106" ht="15.75" customHeight="1">
      <c r="A106" s="1" t="s">
        <v>26</v>
      </c>
      <c r="C106" s="1">
        <v>1.7429706E7</v>
      </c>
      <c r="D106" s="1" t="s">
        <v>151</v>
      </c>
      <c r="E106" s="1" t="s">
        <v>214</v>
      </c>
      <c r="F106" s="1">
        <v>8.02755228E8</v>
      </c>
      <c r="G106" s="2">
        <v>46023.0</v>
      </c>
      <c r="H106" s="2">
        <v>46129.0</v>
      </c>
      <c r="I106" s="1" t="s">
        <v>43</v>
      </c>
      <c r="J106" s="1" t="s">
        <v>198</v>
      </c>
      <c r="K106" s="3">
        <v>0.5</v>
      </c>
    </row>
    <row r="107" ht="15.75" customHeight="1">
      <c r="A107" s="1" t="s">
        <v>26</v>
      </c>
      <c r="C107" s="1">
        <v>1.7429706E7</v>
      </c>
      <c r="D107" s="1" t="s">
        <v>215</v>
      </c>
      <c r="E107" s="1" t="s">
        <v>216</v>
      </c>
      <c r="F107" s="1">
        <v>8.020258E8</v>
      </c>
      <c r="G107" s="2">
        <v>46023.0</v>
      </c>
      <c r="H107" s="2">
        <v>46129.0</v>
      </c>
      <c r="I107" s="1" t="s">
        <v>43</v>
      </c>
      <c r="J107" s="1" t="s">
        <v>201</v>
      </c>
      <c r="K107" s="3">
        <v>0.5</v>
      </c>
    </row>
    <row r="108" ht="15.75" customHeight="1">
      <c r="A108" s="1" t="s">
        <v>55</v>
      </c>
      <c r="C108" s="1">
        <v>8971826.0</v>
      </c>
      <c r="D108" s="1" t="s">
        <v>56</v>
      </c>
      <c r="E108" s="1" t="s">
        <v>57</v>
      </c>
      <c r="F108" s="1">
        <v>8.02422752E8</v>
      </c>
      <c r="G108" s="2">
        <v>46023.0</v>
      </c>
      <c r="H108" s="2">
        <v>46129.0</v>
      </c>
      <c r="I108" s="1" t="s">
        <v>43</v>
      </c>
      <c r="J108" s="1" t="s">
        <v>201</v>
      </c>
      <c r="K108" s="3">
        <v>2.0</v>
      </c>
    </row>
    <row r="109" ht="15.75" customHeight="1">
      <c r="A109" s="1" t="s">
        <v>58</v>
      </c>
      <c r="C109" s="1">
        <v>1.8598357E7</v>
      </c>
      <c r="D109" s="1" t="s">
        <v>59</v>
      </c>
      <c r="E109" s="1" t="s">
        <v>60</v>
      </c>
      <c r="F109" s="1">
        <v>8.02556534E8</v>
      </c>
      <c r="G109" s="2">
        <v>46023.0</v>
      </c>
      <c r="H109" s="2">
        <v>46129.0</v>
      </c>
      <c r="I109" s="1" t="s">
        <v>43</v>
      </c>
      <c r="J109" s="1" t="s">
        <v>198</v>
      </c>
      <c r="K109" s="3">
        <v>2.0</v>
      </c>
    </row>
    <row r="110" ht="15.75" customHeight="1">
      <c r="A110" s="1" t="s">
        <v>26</v>
      </c>
      <c r="C110" s="1">
        <v>1.7429706E7</v>
      </c>
      <c r="D110" s="1" t="s">
        <v>61</v>
      </c>
      <c r="E110" s="1" t="s">
        <v>217</v>
      </c>
      <c r="F110" s="1">
        <v>8.02259162E8</v>
      </c>
      <c r="G110" s="2">
        <v>46023.0</v>
      </c>
      <c r="H110" s="2">
        <v>46129.0</v>
      </c>
      <c r="I110" s="1" t="s">
        <v>43</v>
      </c>
      <c r="J110" s="1" t="s">
        <v>198</v>
      </c>
      <c r="K110" s="3">
        <v>0.5</v>
      </c>
    </row>
    <row r="111" ht="15.75" customHeight="1">
      <c r="A111" s="1" t="s">
        <v>23</v>
      </c>
      <c r="C111" s="1">
        <v>1.5278437E7</v>
      </c>
      <c r="D111" s="1" t="s">
        <v>61</v>
      </c>
      <c r="E111" s="1" t="s">
        <v>62</v>
      </c>
      <c r="F111" s="1">
        <v>8.02672124E8</v>
      </c>
      <c r="G111" s="2">
        <v>46023.0</v>
      </c>
      <c r="H111" s="2">
        <v>46129.0</v>
      </c>
      <c r="I111" s="1" t="s">
        <v>43</v>
      </c>
      <c r="J111" s="1" t="s">
        <v>201</v>
      </c>
      <c r="K111" s="3">
        <v>2.0</v>
      </c>
    </row>
    <row r="112" ht="15.75" customHeight="1">
      <c r="A112" s="1" t="s">
        <v>63</v>
      </c>
      <c r="C112" s="1">
        <v>1.6212649E7</v>
      </c>
      <c r="D112" s="1" t="s">
        <v>64</v>
      </c>
      <c r="E112" s="1" t="s">
        <v>65</v>
      </c>
      <c r="F112" s="1">
        <v>8.03049628E8</v>
      </c>
      <c r="G112" s="2">
        <v>46023.0</v>
      </c>
      <c r="H112" s="2">
        <v>46129.0</v>
      </c>
      <c r="I112" s="1" t="s">
        <v>43</v>
      </c>
      <c r="J112" s="1" t="s">
        <v>198</v>
      </c>
      <c r="K112" s="3">
        <v>2.0</v>
      </c>
    </row>
    <row r="113" ht="15.75" customHeight="1">
      <c r="A113" s="1" t="s">
        <v>58</v>
      </c>
      <c r="C113" s="1">
        <v>1.8598357E7</v>
      </c>
      <c r="D113" s="1" t="s">
        <v>66</v>
      </c>
      <c r="E113" s="1" t="s">
        <v>67</v>
      </c>
      <c r="F113" s="1">
        <v>8.02041455E8</v>
      </c>
      <c r="G113" s="2">
        <v>46023.0</v>
      </c>
      <c r="H113" s="2">
        <v>46129.0</v>
      </c>
      <c r="I113" s="1" t="s">
        <v>43</v>
      </c>
      <c r="J113" s="1" t="s">
        <v>201</v>
      </c>
      <c r="K113" s="3">
        <v>2.0</v>
      </c>
    </row>
    <row r="114" ht="15.75" customHeight="1">
      <c r="A114" s="1" t="s">
        <v>218</v>
      </c>
      <c r="C114" s="1">
        <v>1.8010408E7</v>
      </c>
      <c r="D114" s="1" t="s">
        <v>219</v>
      </c>
      <c r="E114" s="1" t="s">
        <v>220</v>
      </c>
      <c r="F114" s="1">
        <v>8.02503895E8</v>
      </c>
      <c r="G114" s="2">
        <v>46023.0</v>
      </c>
      <c r="H114" s="2">
        <v>46129.0</v>
      </c>
      <c r="I114" s="1" t="s">
        <v>43</v>
      </c>
      <c r="J114" s="1" t="s">
        <v>201</v>
      </c>
      <c r="K114" s="3">
        <v>2.0</v>
      </c>
    </row>
    <row r="115" ht="15.75" customHeight="1">
      <c r="A115" s="1" t="s">
        <v>26</v>
      </c>
      <c r="C115" s="1">
        <v>1.7429706E7</v>
      </c>
      <c r="D115" s="1" t="s">
        <v>128</v>
      </c>
      <c r="E115" s="1" t="s">
        <v>221</v>
      </c>
      <c r="F115" s="1">
        <v>8.02590662E8</v>
      </c>
      <c r="G115" s="2">
        <v>46023.0</v>
      </c>
      <c r="H115" s="2">
        <v>46129.0</v>
      </c>
      <c r="I115" s="1" t="s">
        <v>43</v>
      </c>
      <c r="J115" s="1" t="s">
        <v>201</v>
      </c>
      <c r="K115" s="3">
        <v>0.5</v>
      </c>
    </row>
    <row r="116" ht="15.75" customHeight="1">
      <c r="A116" s="1" t="s">
        <v>23</v>
      </c>
      <c r="C116" s="1">
        <v>1.5278437E7</v>
      </c>
      <c r="D116" s="1" t="s">
        <v>68</v>
      </c>
      <c r="E116" s="1" t="s">
        <v>69</v>
      </c>
      <c r="F116" s="1">
        <v>8.02924885E8</v>
      </c>
      <c r="G116" s="2">
        <v>46023.0</v>
      </c>
      <c r="H116" s="2">
        <v>46129.0</v>
      </c>
      <c r="I116" s="1" t="s">
        <v>43</v>
      </c>
      <c r="J116" s="1" t="s">
        <v>198</v>
      </c>
      <c r="K116" s="3">
        <v>2.0</v>
      </c>
    </row>
    <row r="117" ht="15.75" customHeight="1">
      <c r="A117" s="1" t="s">
        <v>16</v>
      </c>
      <c r="C117" s="1">
        <v>1.9861194E7</v>
      </c>
      <c r="D117" s="1" t="s">
        <v>17</v>
      </c>
      <c r="E117" s="1" t="s">
        <v>18</v>
      </c>
      <c r="F117" s="1">
        <v>8.0303841E8</v>
      </c>
      <c r="G117" s="2">
        <v>46054.0</v>
      </c>
      <c r="H117" s="2">
        <v>46129.0</v>
      </c>
      <c r="I117" s="1" t="s">
        <v>43</v>
      </c>
      <c r="J117" s="1" t="s">
        <v>201</v>
      </c>
      <c r="K117" s="3">
        <v>2.0</v>
      </c>
    </row>
    <row r="118" ht="15.75" customHeight="1">
      <c r="A118" s="1" t="s">
        <v>26</v>
      </c>
      <c r="C118" s="1">
        <v>1.7429706E7</v>
      </c>
      <c r="D118" s="1" t="s">
        <v>222</v>
      </c>
      <c r="E118" s="1" t="s">
        <v>223</v>
      </c>
      <c r="F118" s="1">
        <v>8.02915806E8</v>
      </c>
      <c r="G118" s="2">
        <v>46023.0</v>
      </c>
      <c r="H118" s="2">
        <v>46129.0</v>
      </c>
      <c r="I118" s="1" t="s">
        <v>43</v>
      </c>
      <c r="J118" s="1" t="s">
        <v>198</v>
      </c>
      <c r="K118" s="3">
        <v>0.5</v>
      </c>
    </row>
    <row r="119" ht="15.75" customHeight="1">
      <c r="A119" s="1" t="s">
        <v>218</v>
      </c>
      <c r="C119" s="1">
        <v>1.8010408E7</v>
      </c>
      <c r="D119" s="1" t="s">
        <v>224</v>
      </c>
      <c r="E119" s="1" t="s">
        <v>225</v>
      </c>
      <c r="F119" s="1">
        <v>8.02745395E8</v>
      </c>
      <c r="G119" s="2">
        <v>46023.0</v>
      </c>
      <c r="H119" s="2">
        <v>46129.0</v>
      </c>
      <c r="I119" s="1" t="s">
        <v>43</v>
      </c>
      <c r="J119" s="1" t="s">
        <v>198</v>
      </c>
      <c r="K119" s="3">
        <v>2.0</v>
      </c>
    </row>
    <row r="120" ht="15.75" customHeight="1">
      <c r="A120" s="1" t="s">
        <v>26</v>
      </c>
      <c r="C120" s="1">
        <v>1.7429706E7</v>
      </c>
      <c r="D120" s="1" t="s">
        <v>226</v>
      </c>
      <c r="E120" s="1" t="s">
        <v>227</v>
      </c>
      <c r="F120" s="1">
        <v>8.02599374E8</v>
      </c>
      <c r="G120" s="2">
        <v>46023.0</v>
      </c>
      <c r="H120" s="2">
        <v>46129.0</v>
      </c>
      <c r="I120" s="1" t="s">
        <v>43</v>
      </c>
      <c r="J120" s="1" t="s">
        <v>198</v>
      </c>
      <c r="K120" s="3">
        <v>0.5</v>
      </c>
    </row>
    <row r="121" ht="15.75" customHeight="1">
      <c r="A121" s="1" t="s">
        <v>26</v>
      </c>
      <c r="C121" s="1">
        <v>1.7429706E7</v>
      </c>
      <c r="D121" s="1" t="s">
        <v>226</v>
      </c>
      <c r="E121" s="1" t="s">
        <v>228</v>
      </c>
      <c r="F121" s="1">
        <v>8.03015372E8</v>
      </c>
      <c r="G121" s="2">
        <v>46023.0</v>
      </c>
      <c r="H121" s="2">
        <v>46129.0</v>
      </c>
      <c r="I121" s="1" t="s">
        <v>43</v>
      </c>
      <c r="J121" s="1" t="s">
        <v>198</v>
      </c>
      <c r="K121" s="3">
        <v>0.5</v>
      </c>
    </row>
    <row r="122" ht="15.75" customHeight="1">
      <c r="A122" s="1" t="s">
        <v>26</v>
      </c>
      <c r="C122" s="1">
        <v>1.7429706E7</v>
      </c>
      <c r="D122" s="1" t="s">
        <v>226</v>
      </c>
      <c r="E122" s="1" t="s">
        <v>227</v>
      </c>
      <c r="F122" s="1">
        <v>8.02599374E8</v>
      </c>
      <c r="G122" s="2">
        <v>46023.0</v>
      </c>
      <c r="H122" s="2">
        <v>46129.0</v>
      </c>
      <c r="I122" s="1" t="s">
        <v>43</v>
      </c>
      <c r="J122" s="1" t="s">
        <v>201</v>
      </c>
      <c r="K122" s="3">
        <v>0.5</v>
      </c>
    </row>
    <row r="123" ht="15.75" customHeight="1">
      <c r="A123" s="1" t="s">
        <v>40</v>
      </c>
      <c r="C123" s="1">
        <v>1.879474E7</v>
      </c>
      <c r="D123" s="1" t="s">
        <v>70</v>
      </c>
      <c r="E123" s="1" t="s">
        <v>71</v>
      </c>
      <c r="F123" s="1">
        <v>8.02629573E8</v>
      </c>
      <c r="G123" s="2">
        <v>46023.0</v>
      </c>
      <c r="H123" s="2">
        <v>46129.0</v>
      </c>
      <c r="I123" s="1" t="s">
        <v>43</v>
      </c>
      <c r="J123" s="1" t="s">
        <v>201</v>
      </c>
      <c r="K123" s="3">
        <v>2.0</v>
      </c>
    </row>
    <row r="124" ht="15.75" customHeight="1">
      <c r="A124" s="1" t="s">
        <v>23</v>
      </c>
      <c r="C124" s="1">
        <v>1.5278437E7</v>
      </c>
      <c r="D124" s="1" t="s">
        <v>72</v>
      </c>
      <c r="E124" s="1" t="s">
        <v>73</v>
      </c>
      <c r="F124" s="1">
        <v>8.02898409E8</v>
      </c>
      <c r="G124" s="2">
        <v>46023.0</v>
      </c>
      <c r="H124" s="2">
        <v>46129.0</v>
      </c>
      <c r="I124" s="1" t="s">
        <v>43</v>
      </c>
      <c r="J124" s="1" t="s">
        <v>201</v>
      </c>
      <c r="K124" s="3">
        <v>2.0</v>
      </c>
    </row>
    <row r="125" ht="15.75" customHeight="1">
      <c r="A125" s="1" t="s">
        <v>23</v>
      </c>
      <c r="C125" s="1">
        <v>1.5278437E7</v>
      </c>
      <c r="D125" s="1" t="s">
        <v>72</v>
      </c>
      <c r="E125" s="1" t="s">
        <v>73</v>
      </c>
      <c r="F125" s="1">
        <v>8.02898409E8</v>
      </c>
      <c r="G125" s="2">
        <v>46023.0</v>
      </c>
      <c r="H125" s="2">
        <v>46129.0</v>
      </c>
      <c r="I125" s="1" t="s">
        <v>43</v>
      </c>
      <c r="J125" s="1" t="s">
        <v>198</v>
      </c>
      <c r="K125" s="3">
        <v>2.0</v>
      </c>
    </row>
    <row r="126" ht="15.75" customHeight="1">
      <c r="A126" s="1" t="s">
        <v>211</v>
      </c>
      <c r="C126" s="1">
        <v>1.8134413E7</v>
      </c>
      <c r="D126" s="1" t="s">
        <v>229</v>
      </c>
      <c r="E126" s="1" t="s">
        <v>230</v>
      </c>
      <c r="F126" s="1">
        <v>8.02338366E8</v>
      </c>
      <c r="G126" s="2">
        <v>46023.0</v>
      </c>
      <c r="H126" s="2">
        <v>46129.0</v>
      </c>
      <c r="I126" s="1" t="s">
        <v>43</v>
      </c>
      <c r="J126" s="1" t="s">
        <v>198</v>
      </c>
      <c r="K126" s="3">
        <v>2.0</v>
      </c>
    </row>
    <row r="127" ht="15.75" customHeight="1">
      <c r="A127" s="1" t="s">
        <v>16</v>
      </c>
      <c r="C127" s="1">
        <v>1.9861194E7</v>
      </c>
      <c r="D127" s="1" t="s">
        <v>231</v>
      </c>
      <c r="E127" s="1" t="s">
        <v>232</v>
      </c>
      <c r="F127" s="1">
        <v>8.03068447E8</v>
      </c>
      <c r="G127" s="2">
        <v>46023.0</v>
      </c>
      <c r="H127" s="2">
        <v>46129.0</v>
      </c>
      <c r="I127" s="1" t="s">
        <v>43</v>
      </c>
      <c r="J127" s="1" t="s">
        <v>201</v>
      </c>
      <c r="K127" s="3">
        <v>2.0</v>
      </c>
    </row>
    <row r="128" ht="15.75" customHeight="1">
      <c r="A128" s="1" t="s">
        <v>26</v>
      </c>
      <c r="C128" s="1">
        <v>1.7429706E7</v>
      </c>
      <c r="D128" s="1" t="s">
        <v>231</v>
      </c>
      <c r="E128" s="1" t="s">
        <v>233</v>
      </c>
      <c r="F128" s="1">
        <v>8.02794574E8</v>
      </c>
      <c r="G128" s="2">
        <v>46023.0</v>
      </c>
      <c r="H128" s="2">
        <v>46129.0</v>
      </c>
      <c r="I128" s="1" t="s">
        <v>43</v>
      </c>
      <c r="J128" s="1" t="s">
        <v>201</v>
      </c>
      <c r="K128" s="3">
        <v>0.5</v>
      </c>
    </row>
    <row r="129" ht="15.75" customHeight="1">
      <c r="A129" s="1" t="s">
        <v>40</v>
      </c>
      <c r="C129" s="1">
        <v>1.879474E7</v>
      </c>
      <c r="D129" s="1" t="s">
        <v>74</v>
      </c>
      <c r="E129" s="1" t="s">
        <v>75</v>
      </c>
      <c r="F129" s="1">
        <v>8.02944968E8</v>
      </c>
      <c r="G129" s="2">
        <v>45658.0</v>
      </c>
      <c r="H129" s="2">
        <v>46129.0</v>
      </c>
      <c r="I129" s="1" t="s">
        <v>43</v>
      </c>
      <c r="J129" s="1" t="s">
        <v>234</v>
      </c>
      <c r="K129" s="3">
        <v>2.0</v>
      </c>
    </row>
    <row r="130" ht="15.75" customHeight="1">
      <c r="A130" s="1" t="s">
        <v>23</v>
      </c>
      <c r="C130" s="1">
        <v>1.5278437E7</v>
      </c>
      <c r="D130" s="1" t="s">
        <v>77</v>
      </c>
      <c r="E130" s="1" t="s">
        <v>78</v>
      </c>
      <c r="F130" s="1">
        <v>8.03075621E8</v>
      </c>
      <c r="G130" s="2">
        <v>46023.0</v>
      </c>
      <c r="H130" s="2">
        <v>46129.0</v>
      </c>
      <c r="I130" s="1" t="s">
        <v>43</v>
      </c>
      <c r="J130" s="1" t="s">
        <v>205</v>
      </c>
      <c r="K130" s="3">
        <v>2.0</v>
      </c>
    </row>
    <row r="131" ht="15.75" customHeight="1">
      <c r="A131" s="1" t="s">
        <v>23</v>
      </c>
      <c r="C131" s="1">
        <v>1.5278437E7</v>
      </c>
      <c r="D131" s="1" t="s">
        <v>79</v>
      </c>
      <c r="E131" s="1" t="s">
        <v>80</v>
      </c>
      <c r="F131" s="1">
        <v>8.02533763E8</v>
      </c>
      <c r="G131" s="2">
        <v>46023.0</v>
      </c>
      <c r="H131" s="2">
        <v>46129.0</v>
      </c>
      <c r="I131" s="1" t="s">
        <v>43</v>
      </c>
      <c r="J131" s="1" t="s">
        <v>198</v>
      </c>
      <c r="K131" s="3">
        <v>2.0</v>
      </c>
    </row>
    <row r="132" ht="15.75" customHeight="1">
      <c r="A132" s="1" t="s">
        <v>23</v>
      </c>
      <c r="C132" s="1">
        <v>1.5278437E7</v>
      </c>
      <c r="D132" s="1" t="s">
        <v>79</v>
      </c>
      <c r="E132" s="1" t="s">
        <v>80</v>
      </c>
      <c r="F132" s="1">
        <v>8.02533763E8</v>
      </c>
      <c r="G132" s="2">
        <v>46023.0</v>
      </c>
      <c r="H132" s="2">
        <v>46129.0</v>
      </c>
      <c r="I132" s="1" t="s">
        <v>43</v>
      </c>
      <c r="J132" s="1" t="s">
        <v>201</v>
      </c>
      <c r="K132" s="3">
        <v>2.0</v>
      </c>
    </row>
    <row r="133" ht="15.75" customHeight="1">
      <c r="A133" s="1" t="s">
        <v>235</v>
      </c>
      <c r="C133" s="1">
        <v>1.7640026E7</v>
      </c>
      <c r="D133" s="1" t="s">
        <v>236</v>
      </c>
      <c r="E133" s="1" t="s">
        <v>237</v>
      </c>
      <c r="F133" s="1">
        <v>8.03073692E8</v>
      </c>
      <c r="G133" s="2">
        <v>46023.0</v>
      </c>
      <c r="H133" s="2">
        <v>46129.0</v>
      </c>
      <c r="I133" s="1" t="s">
        <v>43</v>
      </c>
      <c r="J133" s="1" t="s">
        <v>198</v>
      </c>
      <c r="K133" s="3">
        <v>2.0</v>
      </c>
    </row>
    <row r="134" ht="15.75" customHeight="1">
      <c r="A134" s="1" t="s">
        <v>218</v>
      </c>
      <c r="C134" s="1">
        <v>1.8010408E7</v>
      </c>
      <c r="D134" s="1" t="s">
        <v>238</v>
      </c>
      <c r="E134" s="1" t="s">
        <v>239</v>
      </c>
      <c r="F134" s="1">
        <v>8.02851677E8</v>
      </c>
      <c r="G134" s="2">
        <v>46023.0</v>
      </c>
      <c r="H134" s="2">
        <v>46129.0</v>
      </c>
      <c r="I134" s="1" t="s">
        <v>43</v>
      </c>
      <c r="J134" s="1" t="s">
        <v>198</v>
      </c>
      <c r="K134" s="3">
        <v>2.0</v>
      </c>
    </row>
    <row r="135" ht="15.75" customHeight="1">
      <c r="A135" s="1" t="s">
        <v>218</v>
      </c>
      <c r="C135" s="1">
        <v>1.8010408E7</v>
      </c>
      <c r="D135" s="1" t="s">
        <v>238</v>
      </c>
      <c r="E135" s="1" t="s">
        <v>239</v>
      </c>
      <c r="F135" s="1">
        <v>8.02851677E8</v>
      </c>
      <c r="G135" s="2">
        <v>46023.0</v>
      </c>
      <c r="H135" s="2">
        <v>46129.0</v>
      </c>
      <c r="I135" s="1" t="s">
        <v>43</v>
      </c>
      <c r="J135" s="1" t="s">
        <v>201</v>
      </c>
      <c r="K135" s="3">
        <v>2.0</v>
      </c>
    </row>
    <row r="136" ht="15.75" customHeight="1">
      <c r="A136" s="1" t="s">
        <v>23</v>
      </c>
      <c r="C136" s="1">
        <v>1.5278437E7</v>
      </c>
      <c r="D136" s="1" t="s">
        <v>81</v>
      </c>
      <c r="E136" s="1" t="s">
        <v>82</v>
      </c>
      <c r="F136" s="1">
        <v>8.02417862E8</v>
      </c>
      <c r="G136" s="2">
        <v>46023.0</v>
      </c>
      <c r="H136" s="2">
        <v>46129.0</v>
      </c>
      <c r="I136" s="1" t="s">
        <v>43</v>
      </c>
      <c r="J136" s="1" t="s">
        <v>201</v>
      </c>
      <c r="K136" s="3">
        <v>2.0</v>
      </c>
    </row>
    <row r="137" ht="15.75" customHeight="1">
      <c r="A137" s="1" t="s">
        <v>211</v>
      </c>
      <c r="C137" s="1">
        <v>1.8134413E7</v>
      </c>
      <c r="D137" s="1" t="s">
        <v>166</v>
      </c>
      <c r="E137" s="1" t="s">
        <v>240</v>
      </c>
      <c r="F137" s="1">
        <v>8.02627683E8</v>
      </c>
      <c r="G137" s="2">
        <v>46023.0</v>
      </c>
      <c r="H137" s="2">
        <v>46129.0</v>
      </c>
      <c r="I137" s="1" t="s">
        <v>43</v>
      </c>
      <c r="J137" s="1" t="s">
        <v>201</v>
      </c>
      <c r="K137" s="3">
        <v>2.0</v>
      </c>
    </row>
    <row r="138" ht="15.75" customHeight="1">
      <c r="A138" s="1" t="s">
        <v>23</v>
      </c>
      <c r="C138" s="1">
        <v>1.5278437E7</v>
      </c>
      <c r="D138" s="1" t="s">
        <v>83</v>
      </c>
      <c r="E138" s="1" t="s">
        <v>84</v>
      </c>
      <c r="F138" s="1">
        <v>8.02650873E8</v>
      </c>
      <c r="G138" s="2">
        <v>46023.0</v>
      </c>
      <c r="H138" s="2">
        <v>46129.0</v>
      </c>
      <c r="I138" s="1" t="s">
        <v>43</v>
      </c>
      <c r="J138" s="1" t="s">
        <v>201</v>
      </c>
      <c r="K138" s="3">
        <v>2.0</v>
      </c>
    </row>
    <row r="139" ht="15.75" customHeight="1">
      <c r="A139" s="1" t="s">
        <v>23</v>
      </c>
      <c r="C139" s="1">
        <v>1.5278437E7</v>
      </c>
      <c r="D139" s="1" t="s">
        <v>85</v>
      </c>
      <c r="E139" s="1" t="s">
        <v>82</v>
      </c>
      <c r="F139" s="1">
        <v>8.01940958E8</v>
      </c>
      <c r="G139" s="2">
        <v>46023.0</v>
      </c>
      <c r="H139" s="2">
        <v>46129.0</v>
      </c>
      <c r="I139" s="1" t="s">
        <v>43</v>
      </c>
      <c r="J139" s="1" t="s">
        <v>198</v>
      </c>
      <c r="K139" s="3">
        <v>2.0</v>
      </c>
    </row>
    <row r="140" ht="15.75" customHeight="1">
      <c r="A140" s="1" t="s">
        <v>87</v>
      </c>
      <c r="C140" s="1">
        <v>1.871007E7</v>
      </c>
      <c r="D140" s="1" t="s">
        <v>31</v>
      </c>
      <c r="E140" s="1" t="s">
        <v>88</v>
      </c>
      <c r="F140" s="1">
        <v>8.03069665E8</v>
      </c>
      <c r="G140" s="2">
        <v>46023.0</v>
      </c>
      <c r="H140" s="2">
        <v>46129.0</v>
      </c>
      <c r="I140" s="1" t="s">
        <v>43</v>
      </c>
      <c r="J140" s="1" t="s">
        <v>201</v>
      </c>
      <c r="K140" s="3">
        <v>2.0</v>
      </c>
    </row>
    <row r="141" ht="15.75" customHeight="1">
      <c r="A141" s="1" t="s">
        <v>23</v>
      </c>
      <c r="C141" s="1">
        <v>1.5278437E7</v>
      </c>
      <c r="D141" s="1" t="s">
        <v>31</v>
      </c>
      <c r="E141" s="1" t="s">
        <v>86</v>
      </c>
      <c r="F141" s="1">
        <v>8.02604725E8</v>
      </c>
      <c r="G141" s="2">
        <v>46023.0</v>
      </c>
      <c r="H141" s="2">
        <v>46129.0</v>
      </c>
      <c r="I141" s="1" t="s">
        <v>43</v>
      </c>
      <c r="J141" s="1" t="s">
        <v>198</v>
      </c>
      <c r="K141" s="3">
        <v>2.0</v>
      </c>
    </row>
    <row r="142" ht="15.75" customHeight="1">
      <c r="A142" s="1" t="s">
        <v>26</v>
      </c>
      <c r="C142" s="1">
        <v>1.7429706E7</v>
      </c>
      <c r="D142" s="1" t="s">
        <v>241</v>
      </c>
      <c r="E142" s="1" t="s">
        <v>242</v>
      </c>
      <c r="F142" s="1">
        <v>8.0290948E8</v>
      </c>
      <c r="G142" s="2">
        <v>46023.0</v>
      </c>
      <c r="H142" s="2">
        <v>46129.0</v>
      </c>
      <c r="I142" s="1" t="s">
        <v>43</v>
      </c>
      <c r="J142" s="1" t="s">
        <v>201</v>
      </c>
      <c r="K142" s="3">
        <v>0.5</v>
      </c>
    </row>
    <row r="143" ht="15.75" customHeight="1">
      <c r="A143" s="1" t="s">
        <v>26</v>
      </c>
      <c r="C143" s="1">
        <v>1.7429706E7</v>
      </c>
      <c r="D143" s="1" t="s">
        <v>27</v>
      </c>
      <c r="E143" s="1" t="s">
        <v>114</v>
      </c>
      <c r="F143" s="1">
        <v>8.02000991E8</v>
      </c>
      <c r="G143" s="2">
        <v>46023.0</v>
      </c>
      <c r="H143" s="2">
        <v>46129.0</v>
      </c>
      <c r="I143" s="1" t="s">
        <v>43</v>
      </c>
      <c r="J143" s="1" t="s">
        <v>198</v>
      </c>
      <c r="K143" s="3">
        <v>0.5</v>
      </c>
    </row>
    <row r="144" ht="15.75" customHeight="1">
      <c r="A144" s="1" t="s">
        <v>89</v>
      </c>
      <c r="C144" s="1">
        <v>1.7528908E7</v>
      </c>
      <c r="D144" s="1" t="s">
        <v>90</v>
      </c>
      <c r="E144" s="1" t="s">
        <v>91</v>
      </c>
      <c r="F144" s="1">
        <v>8.03052081E8</v>
      </c>
      <c r="G144" s="2">
        <v>46023.0</v>
      </c>
      <c r="H144" s="2">
        <v>46129.0</v>
      </c>
      <c r="I144" s="1" t="s">
        <v>43</v>
      </c>
      <c r="J144" s="1" t="s">
        <v>201</v>
      </c>
      <c r="K144" s="3">
        <v>2.0</v>
      </c>
    </row>
    <row r="145" ht="15.75" customHeight="1">
      <c r="A145" s="1" t="s">
        <v>58</v>
      </c>
      <c r="C145" s="1">
        <v>1.8598357E7</v>
      </c>
      <c r="D145" s="1" t="s">
        <v>92</v>
      </c>
      <c r="E145" s="1" t="s">
        <v>93</v>
      </c>
      <c r="F145" s="1">
        <v>8.02493406E8</v>
      </c>
      <c r="G145" s="2">
        <v>46023.0</v>
      </c>
      <c r="H145" s="2">
        <v>46129.0</v>
      </c>
      <c r="I145" s="1" t="s">
        <v>43</v>
      </c>
      <c r="J145" s="1" t="s">
        <v>198</v>
      </c>
      <c r="K145" s="3">
        <v>2.0</v>
      </c>
    </row>
    <row r="146" ht="15.75" customHeight="1">
      <c r="A146" s="1" t="s">
        <v>89</v>
      </c>
      <c r="C146" s="1">
        <v>1.7528908E7</v>
      </c>
      <c r="D146" s="1" t="s">
        <v>94</v>
      </c>
      <c r="E146" s="1" t="s">
        <v>95</v>
      </c>
      <c r="F146" s="1">
        <v>8.02910086E8</v>
      </c>
      <c r="G146" s="2">
        <v>46023.0</v>
      </c>
      <c r="H146" s="2">
        <v>46129.0</v>
      </c>
      <c r="I146" s="1" t="s">
        <v>43</v>
      </c>
      <c r="J146" s="1" t="s">
        <v>201</v>
      </c>
      <c r="K146" s="3">
        <v>2.0</v>
      </c>
    </row>
    <row r="147" ht="15.75" customHeight="1">
      <c r="A147" s="1" t="s">
        <v>23</v>
      </c>
      <c r="C147" s="1">
        <v>1.5278437E7</v>
      </c>
      <c r="D147" s="1" t="s">
        <v>96</v>
      </c>
      <c r="E147" s="1" t="s">
        <v>80</v>
      </c>
      <c r="F147" s="1">
        <v>8.0220745E8</v>
      </c>
      <c r="G147" s="2">
        <v>46023.0</v>
      </c>
      <c r="H147" s="2">
        <v>46129.0</v>
      </c>
      <c r="I147" s="1" t="s">
        <v>43</v>
      </c>
      <c r="J147" s="1" t="s">
        <v>198</v>
      </c>
      <c r="K147" s="3">
        <v>2.0</v>
      </c>
    </row>
    <row r="148" ht="15.75" customHeight="1">
      <c r="A148" s="1" t="s">
        <v>218</v>
      </c>
      <c r="C148" s="1">
        <v>1.8010408E7</v>
      </c>
      <c r="D148" s="1" t="s">
        <v>243</v>
      </c>
      <c r="E148" s="1" t="s">
        <v>244</v>
      </c>
      <c r="F148" s="1">
        <v>8.02955987E8</v>
      </c>
      <c r="G148" s="2">
        <v>46023.0</v>
      </c>
      <c r="H148" s="2">
        <v>46129.0</v>
      </c>
      <c r="I148" s="1" t="s">
        <v>43</v>
      </c>
      <c r="J148" s="1" t="s">
        <v>201</v>
      </c>
      <c r="K148" s="3">
        <v>2.0</v>
      </c>
    </row>
    <row r="149" ht="15.75" customHeight="1">
      <c r="A149" s="1" t="s">
        <v>26</v>
      </c>
      <c r="C149" s="1">
        <v>1.7429706E7</v>
      </c>
      <c r="D149" s="1" t="s">
        <v>245</v>
      </c>
      <c r="E149" s="1" t="s">
        <v>246</v>
      </c>
      <c r="F149" s="1">
        <v>8.03090379E8</v>
      </c>
      <c r="G149" s="2">
        <v>46023.0</v>
      </c>
      <c r="H149" s="2">
        <v>46129.0</v>
      </c>
      <c r="I149" s="1" t="s">
        <v>43</v>
      </c>
      <c r="J149" s="1" t="s">
        <v>201</v>
      </c>
      <c r="K149" s="3">
        <v>0.5</v>
      </c>
    </row>
    <row r="150" ht="15.75" customHeight="1">
      <c r="A150" s="1" t="s">
        <v>23</v>
      </c>
      <c r="C150" s="1">
        <v>1.5278437E7</v>
      </c>
      <c r="D150" s="1" t="s">
        <v>97</v>
      </c>
      <c r="E150" s="1" t="s">
        <v>98</v>
      </c>
      <c r="F150" s="1">
        <v>8.02604729E8</v>
      </c>
      <c r="G150" s="2">
        <v>46054.0</v>
      </c>
      <c r="H150" s="2">
        <v>46129.0</v>
      </c>
      <c r="I150" s="1" t="s">
        <v>43</v>
      </c>
      <c r="J150" s="1" t="s">
        <v>201</v>
      </c>
      <c r="K150" s="3">
        <v>2.0</v>
      </c>
    </row>
    <row r="151" ht="15.75" customHeight="1">
      <c r="A151" s="1" t="s">
        <v>16</v>
      </c>
      <c r="C151" s="1">
        <v>1.9861194E7</v>
      </c>
      <c r="D151" s="1" t="s">
        <v>247</v>
      </c>
      <c r="E151" s="1" t="s">
        <v>248</v>
      </c>
      <c r="F151" s="1">
        <v>8.02923864E8</v>
      </c>
      <c r="G151" s="2">
        <v>46023.0</v>
      </c>
      <c r="H151" s="2">
        <v>46129.0</v>
      </c>
      <c r="I151" s="1" t="s">
        <v>43</v>
      </c>
      <c r="J151" s="1" t="s">
        <v>201</v>
      </c>
      <c r="K151" s="3">
        <v>2.0</v>
      </c>
    </row>
    <row r="152" ht="15.75" customHeight="1">
      <c r="A152" s="1" t="s">
        <v>11</v>
      </c>
      <c r="C152" s="1">
        <v>9254978.0</v>
      </c>
      <c r="D152" s="1" t="s">
        <v>99</v>
      </c>
      <c r="E152" s="1" t="s">
        <v>100</v>
      </c>
      <c r="F152" s="1">
        <v>8.02742865E8</v>
      </c>
      <c r="G152" s="2">
        <v>46023.0</v>
      </c>
      <c r="H152" s="2">
        <v>46129.0</v>
      </c>
      <c r="I152" s="1" t="s">
        <v>43</v>
      </c>
      <c r="J152" s="1" t="s">
        <v>201</v>
      </c>
      <c r="K152" s="3">
        <v>2.0</v>
      </c>
    </row>
    <row r="153" ht="15.75" customHeight="1">
      <c r="A153" s="1" t="s">
        <v>26</v>
      </c>
      <c r="C153" s="1">
        <v>1.7429706E7</v>
      </c>
      <c r="D153" s="1" t="s">
        <v>249</v>
      </c>
      <c r="E153" s="1" t="s">
        <v>250</v>
      </c>
      <c r="F153" s="1">
        <v>8.02510978E8</v>
      </c>
      <c r="G153" s="2">
        <v>46023.0</v>
      </c>
      <c r="H153" s="2">
        <v>46129.0</v>
      </c>
      <c r="I153" s="1" t="s">
        <v>43</v>
      </c>
      <c r="J153" s="1" t="s">
        <v>201</v>
      </c>
      <c r="K153" s="3">
        <v>0.5</v>
      </c>
    </row>
    <row r="154" ht="15.75" customHeight="1">
      <c r="A154" s="1" t="s">
        <v>26</v>
      </c>
      <c r="C154" s="1">
        <v>1.7429706E7</v>
      </c>
      <c r="D154" s="1" t="s">
        <v>249</v>
      </c>
      <c r="E154" s="1" t="s">
        <v>250</v>
      </c>
      <c r="F154" s="1">
        <v>8.02510978E8</v>
      </c>
      <c r="G154" s="2">
        <v>46023.0</v>
      </c>
      <c r="H154" s="2">
        <v>46129.0</v>
      </c>
      <c r="I154" s="1" t="s">
        <v>43</v>
      </c>
      <c r="J154" s="1" t="s">
        <v>198</v>
      </c>
      <c r="K154" s="3">
        <v>0.5</v>
      </c>
    </row>
    <row r="155" ht="15.75" customHeight="1">
      <c r="A155" s="1" t="s">
        <v>26</v>
      </c>
      <c r="C155" s="1">
        <v>1.7429706E7</v>
      </c>
      <c r="D155" s="1" t="s">
        <v>174</v>
      </c>
      <c r="E155" s="1" t="s">
        <v>251</v>
      </c>
      <c r="F155" s="1">
        <v>8.02672126E8</v>
      </c>
      <c r="G155" s="2">
        <v>46023.0</v>
      </c>
      <c r="H155" s="2">
        <v>46129.0</v>
      </c>
      <c r="I155" s="1" t="s">
        <v>43</v>
      </c>
      <c r="J155" s="1" t="s">
        <v>201</v>
      </c>
      <c r="K155" s="3">
        <v>0.5</v>
      </c>
    </row>
    <row r="156" ht="15.75" customHeight="1">
      <c r="A156" s="1" t="s">
        <v>40</v>
      </c>
      <c r="C156" s="1">
        <v>1.879474E7</v>
      </c>
      <c r="D156" s="1" t="s">
        <v>101</v>
      </c>
      <c r="E156" s="1" t="s">
        <v>102</v>
      </c>
      <c r="F156" s="1">
        <v>8.02902756E8</v>
      </c>
      <c r="G156" s="2">
        <v>46023.0</v>
      </c>
      <c r="H156" s="2">
        <v>46129.0</v>
      </c>
      <c r="I156" s="1" t="s">
        <v>43</v>
      </c>
      <c r="J156" s="1" t="s">
        <v>201</v>
      </c>
      <c r="K156" s="3">
        <v>2.0</v>
      </c>
    </row>
    <row r="157" ht="15.75" customHeight="1">
      <c r="A157" s="1" t="s">
        <v>26</v>
      </c>
      <c r="C157" s="1">
        <v>1.7429706E7</v>
      </c>
      <c r="D157" s="1" t="s">
        <v>252</v>
      </c>
      <c r="E157" s="1" t="s">
        <v>253</v>
      </c>
      <c r="F157" s="1">
        <v>8.0273133E8</v>
      </c>
      <c r="G157" s="2">
        <v>46082.0</v>
      </c>
      <c r="H157" s="2">
        <v>46129.0</v>
      </c>
      <c r="I157" s="1" t="s">
        <v>43</v>
      </c>
      <c r="J157" s="1" t="s">
        <v>201</v>
      </c>
      <c r="K157" s="3">
        <v>0.5</v>
      </c>
    </row>
    <row r="158" ht="15.75" customHeight="1">
      <c r="A158" s="1" t="s">
        <v>16</v>
      </c>
      <c r="C158" s="1">
        <v>1.9861194E7</v>
      </c>
      <c r="D158" s="1" t="s">
        <v>103</v>
      </c>
      <c r="E158" s="1" t="s">
        <v>254</v>
      </c>
      <c r="F158" s="1">
        <v>8.03044336E8</v>
      </c>
      <c r="G158" s="2">
        <v>46023.0</v>
      </c>
      <c r="H158" s="2">
        <v>46129.0</v>
      </c>
      <c r="I158" s="1" t="s">
        <v>43</v>
      </c>
      <c r="J158" s="1" t="s">
        <v>198</v>
      </c>
      <c r="K158" s="3">
        <v>2.0</v>
      </c>
    </row>
    <row r="159" ht="15.75" customHeight="1">
      <c r="A159" s="1" t="s">
        <v>23</v>
      </c>
      <c r="C159" s="1">
        <v>1.5278437E7</v>
      </c>
      <c r="D159" s="1" t="s">
        <v>103</v>
      </c>
      <c r="E159" s="1" t="s">
        <v>104</v>
      </c>
      <c r="F159" s="1">
        <v>8.02492983E8</v>
      </c>
      <c r="G159" s="2">
        <v>46023.0</v>
      </c>
      <c r="H159" s="2">
        <v>46129.0</v>
      </c>
      <c r="I159" s="1" t="s">
        <v>43</v>
      </c>
      <c r="J159" s="1" t="s">
        <v>198</v>
      </c>
      <c r="K159" s="3">
        <v>2.0</v>
      </c>
    </row>
    <row r="160" ht="15.75" customHeight="1">
      <c r="A160" s="1" t="s">
        <v>218</v>
      </c>
      <c r="C160" s="1">
        <v>1.8010408E7</v>
      </c>
      <c r="D160" s="1" t="s">
        <v>255</v>
      </c>
      <c r="E160" s="1" t="s">
        <v>256</v>
      </c>
      <c r="F160" s="1">
        <v>8.03086563E8</v>
      </c>
      <c r="G160" s="2">
        <v>46023.0</v>
      </c>
      <c r="H160" s="2">
        <v>46129.0</v>
      </c>
      <c r="I160" s="1" t="s">
        <v>43</v>
      </c>
      <c r="J160" s="1" t="s">
        <v>201</v>
      </c>
      <c r="K160" s="3">
        <v>2.0</v>
      </c>
    </row>
    <row r="161" ht="15.75" customHeight="1">
      <c r="A161" s="1" t="s">
        <v>235</v>
      </c>
      <c r="C161" s="1">
        <v>1.7640026E7</v>
      </c>
      <c r="D161" s="1" t="s">
        <v>105</v>
      </c>
      <c r="E161" s="1" t="s">
        <v>257</v>
      </c>
      <c r="F161" s="1">
        <v>8.0307042E8</v>
      </c>
      <c r="G161" s="2">
        <v>46023.0</v>
      </c>
      <c r="H161" s="2">
        <v>46129.0</v>
      </c>
      <c r="I161" s="1" t="s">
        <v>43</v>
      </c>
      <c r="J161" s="1" t="s">
        <v>198</v>
      </c>
      <c r="K161" s="3">
        <v>2.0</v>
      </c>
    </row>
    <row r="162" ht="15.75" customHeight="1">
      <c r="A162" s="1" t="s">
        <v>40</v>
      </c>
      <c r="C162" s="1">
        <v>1.879474E7</v>
      </c>
      <c r="D162" s="1" t="s">
        <v>105</v>
      </c>
      <c r="E162" s="1" t="s">
        <v>106</v>
      </c>
      <c r="F162" s="1">
        <v>8.03080963E8</v>
      </c>
      <c r="G162" s="2">
        <v>46023.0</v>
      </c>
      <c r="H162" s="2">
        <v>46129.0</v>
      </c>
      <c r="I162" s="1" t="s">
        <v>43</v>
      </c>
      <c r="J162" s="1" t="s">
        <v>198</v>
      </c>
      <c r="K162" s="3">
        <v>2.0</v>
      </c>
    </row>
    <row r="163" ht="15.75" customHeight="1">
      <c r="A163" s="1" t="s">
        <v>218</v>
      </c>
      <c r="C163" s="1">
        <v>1.8010408E7</v>
      </c>
      <c r="D163" s="1" t="s">
        <v>258</v>
      </c>
      <c r="E163" s="1" t="s">
        <v>259</v>
      </c>
      <c r="F163" s="1">
        <v>8.02568134E8</v>
      </c>
      <c r="G163" s="2">
        <v>46023.0</v>
      </c>
      <c r="H163" s="2">
        <v>46129.0</v>
      </c>
      <c r="I163" s="1" t="s">
        <v>43</v>
      </c>
      <c r="J163" s="1" t="s">
        <v>201</v>
      </c>
      <c r="K163" s="3">
        <v>2.0</v>
      </c>
    </row>
    <row r="164" ht="15.75" customHeight="1">
      <c r="A164" s="1" t="s">
        <v>40</v>
      </c>
      <c r="C164" s="1">
        <v>1.879474E7</v>
      </c>
      <c r="D164" s="1" t="s">
        <v>107</v>
      </c>
      <c r="E164" s="1" t="s">
        <v>108</v>
      </c>
      <c r="F164" s="1">
        <v>8.03050668E8</v>
      </c>
      <c r="G164" s="2">
        <v>46023.0</v>
      </c>
      <c r="H164" s="2">
        <v>46129.0</v>
      </c>
      <c r="I164" s="1" t="s">
        <v>43</v>
      </c>
      <c r="J164" s="1" t="s">
        <v>201</v>
      </c>
      <c r="K164" s="3">
        <v>2.0</v>
      </c>
    </row>
    <row r="165" ht="15.75" customHeight="1">
      <c r="A165" s="1" t="s">
        <v>40</v>
      </c>
      <c r="C165" s="1">
        <v>1.879474E7</v>
      </c>
      <c r="D165" s="1" t="s">
        <v>107</v>
      </c>
      <c r="E165" s="1" t="s">
        <v>108</v>
      </c>
      <c r="F165" s="1">
        <v>8.03050668E8</v>
      </c>
      <c r="G165" s="2">
        <v>46023.0</v>
      </c>
      <c r="H165" s="2">
        <v>46129.0</v>
      </c>
      <c r="I165" s="1" t="s">
        <v>43</v>
      </c>
      <c r="J165" s="1" t="s">
        <v>198</v>
      </c>
      <c r="K165" s="3">
        <v>2.0</v>
      </c>
    </row>
    <row r="166" ht="15.75" customHeight="1">
      <c r="A166" s="1" t="s">
        <v>26</v>
      </c>
      <c r="C166" s="1">
        <v>1.7429706E7</v>
      </c>
      <c r="D166" s="1" t="s">
        <v>107</v>
      </c>
      <c r="E166" s="1" t="s">
        <v>260</v>
      </c>
      <c r="F166" s="1">
        <v>8.02710622E8</v>
      </c>
      <c r="G166" s="2">
        <v>46054.0</v>
      </c>
      <c r="H166" s="2">
        <v>46129.0</v>
      </c>
      <c r="I166" s="1" t="s">
        <v>43</v>
      </c>
      <c r="J166" s="1" t="s">
        <v>201</v>
      </c>
      <c r="K166" s="3">
        <v>0.5</v>
      </c>
    </row>
    <row r="167" ht="15.75" customHeight="1">
      <c r="A167" s="1" t="s">
        <v>23</v>
      </c>
      <c r="C167" s="1">
        <v>1.5278437E7</v>
      </c>
      <c r="D167" s="1" t="s">
        <v>109</v>
      </c>
      <c r="E167" s="1" t="s">
        <v>110</v>
      </c>
      <c r="F167" s="1">
        <v>8.02597589E8</v>
      </c>
      <c r="G167" s="2">
        <v>46023.0</v>
      </c>
      <c r="H167" s="2">
        <v>46129.0</v>
      </c>
      <c r="I167" s="1" t="s">
        <v>43</v>
      </c>
      <c r="J167" s="1" t="s">
        <v>201</v>
      </c>
      <c r="K167" s="3">
        <v>2.0</v>
      </c>
    </row>
    <row r="168" ht="15.75" customHeight="1">
      <c r="A168" s="1" t="s">
        <v>40</v>
      </c>
      <c r="C168" s="1">
        <v>1.879474E7</v>
      </c>
      <c r="D168" s="1" t="s">
        <v>111</v>
      </c>
      <c r="E168" s="1" t="s">
        <v>112</v>
      </c>
      <c r="F168" s="1">
        <v>8.02552042E8</v>
      </c>
      <c r="G168" s="2">
        <v>46023.0</v>
      </c>
      <c r="H168" s="2">
        <v>46129.0</v>
      </c>
      <c r="I168" s="1" t="s">
        <v>43</v>
      </c>
      <c r="J168" s="1" t="s">
        <v>201</v>
      </c>
      <c r="K168" s="3">
        <v>2.0</v>
      </c>
    </row>
    <row r="169" ht="15.75" customHeight="1">
      <c r="A169" s="1" t="s">
        <v>26</v>
      </c>
      <c r="C169" s="1">
        <v>1.7429706E7</v>
      </c>
      <c r="D169" s="1" t="s">
        <v>261</v>
      </c>
      <c r="E169" s="1" t="s">
        <v>216</v>
      </c>
      <c r="F169" s="1">
        <v>8.02025795E8</v>
      </c>
      <c r="G169" s="2">
        <v>46023.0</v>
      </c>
      <c r="H169" s="2">
        <v>46129.0</v>
      </c>
      <c r="I169" s="1" t="s">
        <v>43</v>
      </c>
      <c r="J169" s="1" t="s">
        <v>201</v>
      </c>
      <c r="K169" s="3">
        <v>0.5</v>
      </c>
    </row>
    <row r="170" ht="15.75" customHeight="1">
      <c r="A170" s="1" t="s">
        <v>26</v>
      </c>
      <c r="C170" s="1">
        <v>1.7429706E7</v>
      </c>
      <c r="D170" s="1" t="s">
        <v>262</v>
      </c>
      <c r="E170" s="1" t="s">
        <v>263</v>
      </c>
      <c r="F170" s="1">
        <v>8.02090721E8</v>
      </c>
      <c r="G170" s="2">
        <v>46023.0</v>
      </c>
      <c r="H170" s="2">
        <v>46129.0</v>
      </c>
      <c r="I170" s="1" t="s">
        <v>43</v>
      </c>
      <c r="J170" s="1" t="s">
        <v>201</v>
      </c>
      <c r="K170" s="3">
        <v>0.5</v>
      </c>
    </row>
    <row r="171" ht="15.75" customHeight="1">
      <c r="A171" s="1" t="s">
        <v>26</v>
      </c>
      <c r="C171" s="1">
        <v>1.7429706E7</v>
      </c>
      <c r="D171" s="1" t="s">
        <v>264</v>
      </c>
      <c r="E171" s="1" t="s">
        <v>265</v>
      </c>
      <c r="F171" s="1">
        <v>8.02974437E8</v>
      </c>
      <c r="G171" s="2">
        <v>46023.0</v>
      </c>
      <c r="H171" s="2">
        <v>46129.0</v>
      </c>
      <c r="I171" s="1" t="s">
        <v>43</v>
      </c>
      <c r="J171" s="1" t="s">
        <v>198</v>
      </c>
      <c r="K171" s="3">
        <v>0.5</v>
      </c>
    </row>
    <row r="172" ht="15.75" customHeight="1">
      <c r="A172" s="1" t="s">
        <v>23</v>
      </c>
      <c r="C172" s="1">
        <v>1.5278437E7</v>
      </c>
      <c r="D172" s="1" t="s">
        <v>113</v>
      </c>
      <c r="E172" s="1" t="s">
        <v>114</v>
      </c>
      <c r="F172" s="1">
        <v>8.02540674E8</v>
      </c>
      <c r="G172" s="2">
        <v>46023.0</v>
      </c>
      <c r="H172" s="2">
        <v>46129.0</v>
      </c>
      <c r="I172" s="1" t="s">
        <v>43</v>
      </c>
      <c r="J172" s="1" t="s">
        <v>201</v>
      </c>
      <c r="K172" s="3">
        <v>2.0</v>
      </c>
    </row>
    <row r="173" ht="15.75" customHeight="1">
      <c r="A173" s="1" t="s">
        <v>40</v>
      </c>
      <c r="C173" s="1">
        <v>1.879474E7</v>
      </c>
      <c r="D173" s="1" t="s">
        <v>115</v>
      </c>
      <c r="E173" s="1" t="s">
        <v>116</v>
      </c>
      <c r="F173" s="1">
        <v>8.02777578E8</v>
      </c>
      <c r="G173" s="2">
        <v>46023.0</v>
      </c>
      <c r="H173" s="2">
        <v>46129.0</v>
      </c>
      <c r="I173" s="1" t="s">
        <v>43</v>
      </c>
      <c r="J173" s="1" t="s">
        <v>201</v>
      </c>
      <c r="K173" s="3">
        <v>2.0</v>
      </c>
    </row>
    <row r="174" ht="15.75" customHeight="1">
      <c r="A174" s="1" t="s">
        <v>26</v>
      </c>
      <c r="C174" s="1">
        <v>1.7429706E7</v>
      </c>
      <c r="D174" s="1" t="s">
        <v>115</v>
      </c>
      <c r="E174" s="1" t="s">
        <v>266</v>
      </c>
      <c r="F174" s="1">
        <v>8.02281215E8</v>
      </c>
      <c r="G174" s="2">
        <v>46023.0</v>
      </c>
      <c r="H174" s="2">
        <v>46129.0</v>
      </c>
      <c r="I174" s="1" t="s">
        <v>43</v>
      </c>
      <c r="J174" s="1" t="s">
        <v>198</v>
      </c>
      <c r="K174" s="3">
        <v>0.5</v>
      </c>
    </row>
    <row r="175" ht="15.75" customHeight="1">
      <c r="A175" s="1" t="s">
        <v>26</v>
      </c>
      <c r="C175" s="1">
        <v>1.7429706E7</v>
      </c>
      <c r="D175" s="1" t="s">
        <v>115</v>
      </c>
      <c r="E175" s="1" t="s">
        <v>266</v>
      </c>
      <c r="F175" s="1">
        <v>8.02281215E8</v>
      </c>
      <c r="G175" s="2">
        <v>46023.0</v>
      </c>
      <c r="H175" s="2">
        <v>46129.0</v>
      </c>
      <c r="I175" s="1" t="s">
        <v>43</v>
      </c>
      <c r="J175" s="1" t="s">
        <v>201</v>
      </c>
      <c r="K175" s="3">
        <v>0.5</v>
      </c>
    </row>
    <row r="176" ht="15.75" customHeight="1">
      <c r="A176" s="1" t="s">
        <v>23</v>
      </c>
      <c r="C176" s="1">
        <v>1.5278437E7</v>
      </c>
      <c r="D176" s="1" t="s">
        <v>117</v>
      </c>
      <c r="E176" s="1" t="s">
        <v>118</v>
      </c>
      <c r="F176" s="1">
        <v>8.0306365E8</v>
      </c>
      <c r="G176" s="2">
        <v>46023.0</v>
      </c>
      <c r="H176" s="2">
        <v>46129.0</v>
      </c>
      <c r="I176" s="1" t="s">
        <v>43</v>
      </c>
      <c r="J176" s="1" t="s">
        <v>201</v>
      </c>
      <c r="K176" s="3">
        <v>2.0</v>
      </c>
    </row>
    <row r="177" ht="15.75" customHeight="1">
      <c r="A177" s="1" t="s">
        <v>23</v>
      </c>
      <c r="C177" s="1">
        <v>1.5278437E7</v>
      </c>
      <c r="D177" s="1" t="s">
        <v>119</v>
      </c>
      <c r="E177" s="1" t="s">
        <v>120</v>
      </c>
      <c r="F177" s="1">
        <v>8.02683072E8</v>
      </c>
      <c r="G177" s="2">
        <v>46023.0</v>
      </c>
      <c r="H177" s="2">
        <v>46129.0</v>
      </c>
      <c r="I177" s="1" t="s">
        <v>43</v>
      </c>
      <c r="J177" s="1" t="s">
        <v>205</v>
      </c>
      <c r="K177" s="3">
        <v>2.0</v>
      </c>
    </row>
    <row r="178" ht="15.75" customHeight="1">
      <c r="A178" s="1" t="s">
        <v>23</v>
      </c>
      <c r="C178" s="1">
        <v>1.5278437E7</v>
      </c>
      <c r="D178" s="1" t="s">
        <v>119</v>
      </c>
      <c r="E178" s="1" t="s">
        <v>120</v>
      </c>
      <c r="F178" s="1">
        <v>8.02683072E8</v>
      </c>
      <c r="G178" s="2">
        <v>46023.0</v>
      </c>
      <c r="H178" s="2">
        <v>46129.0</v>
      </c>
      <c r="I178" s="1" t="s">
        <v>43</v>
      </c>
      <c r="J178" s="1" t="s">
        <v>201</v>
      </c>
      <c r="K178" s="3">
        <v>2.0</v>
      </c>
    </row>
    <row r="179" ht="15.75" customHeight="1">
      <c r="A179" s="1" t="s">
        <v>218</v>
      </c>
      <c r="C179" s="1">
        <v>1.8010408E7</v>
      </c>
      <c r="D179" s="1" t="s">
        <v>267</v>
      </c>
      <c r="E179" s="1" t="s">
        <v>268</v>
      </c>
      <c r="F179" s="1">
        <v>8.03061924E8</v>
      </c>
      <c r="G179" s="2">
        <v>46023.0</v>
      </c>
      <c r="H179" s="2">
        <v>46129.0</v>
      </c>
      <c r="I179" s="1" t="s">
        <v>43</v>
      </c>
      <c r="J179" s="1" t="s">
        <v>201</v>
      </c>
      <c r="K179" s="3">
        <v>2.0</v>
      </c>
    </row>
    <row r="180" ht="15.75" customHeight="1">
      <c r="A180" s="1" t="s">
        <v>218</v>
      </c>
      <c r="C180" s="1">
        <v>1.8010408E7</v>
      </c>
      <c r="D180" s="1" t="s">
        <v>267</v>
      </c>
      <c r="E180" s="1" t="s">
        <v>269</v>
      </c>
      <c r="F180" s="1">
        <v>8.0244552E8</v>
      </c>
      <c r="G180" s="2">
        <v>46023.0</v>
      </c>
      <c r="H180" s="2">
        <v>46129.0</v>
      </c>
      <c r="I180" s="1" t="s">
        <v>43</v>
      </c>
      <c r="J180" s="1" t="s">
        <v>198</v>
      </c>
      <c r="K180" s="3">
        <v>2.0</v>
      </c>
    </row>
    <row r="181" ht="15.75" customHeight="1">
      <c r="A181" s="1" t="s">
        <v>121</v>
      </c>
      <c r="C181" s="1">
        <v>8307933.0</v>
      </c>
      <c r="D181" s="1" t="s">
        <v>122</v>
      </c>
      <c r="E181" s="1" t="s">
        <v>123</v>
      </c>
      <c r="F181" s="1">
        <v>8.03038832E8</v>
      </c>
      <c r="G181" s="2">
        <v>46023.0</v>
      </c>
      <c r="H181" s="2">
        <v>46129.0</v>
      </c>
      <c r="I181" s="1" t="s">
        <v>43</v>
      </c>
      <c r="J181" s="1" t="s">
        <v>201</v>
      </c>
      <c r="K181" s="3">
        <v>2.0</v>
      </c>
    </row>
    <row r="182" ht="15.75" customHeight="1">
      <c r="A182" s="1" t="s">
        <v>26</v>
      </c>
      <c r="C182" s="1">
        <v>1.7429706E7</v>
      </c>
      <c r="D182" s="1" t="s">
        <v>169</v>
      </c>
      <c r="E182" s="1" t="s">
        <v>270</v>
      </c>
      <c r="F182" s="1">
        <v>8.02816046E8</v>
      </c>
      <c r="G182" s="2">
        <v>45658.0</v>
      </c>
      <c r="H182" s="2">
        <v>46129.0</v>
      </c>
      <c r="I182" s="1" t="s">
        <v>43</v>
      </c>
      <c r="J182" s="1" t="s">
        <v>234</v>
      </c>
      <c r="K182" s="3">
        <v>0.5</v>
      </c>
    </row>
    <row r="183" ht="15.75" customHeight="1">
      <c r="A183" s="1" t="s">
        <v>40</v>
      </c>
      <c r="C183" s="1">
        <v>1.879474E7</v>
      </c>
      <c r="D183" s="1" t="s">
        <v>124</v>
      </c>
      <c r="E183" s="1" t="s">
        <v>125</v>
      </c>
      <c r="F183" s="1">
        <v>8.0311454E8</v>
      </c>
      <c r="G183" s="2">
        <v>46023.0</v>
      </c>
      <c r="H183" s="2">
        <v>46129.0</v>
      </c>
      <c r="I183" s="1" t="s">
        <v>43</v>
      </c>
      <c r="J183" s="1" t="s">
        <v>271</v>
      </c>
      <c r="K183" s="3">
        <v>2.67</v>
      </c>
    </row>
    <row r="184" ht="15.75" customHeight="1">
      <c r="A184" s="1" t="s">
        <v>218</v>
      </c>
      <c r="C184" s="1">
        <v>1.8010408E7</v>
      </c>
      <c r="D184" s="1" t="s">
        <v>272</v>
      </c>
      <c r="E184" s="1" t="s">
        <v>273</v>
      </c>
      <c r="F184" s="1">
        <v>8.03122177E8</v>
      </c>
      <c r="G184" s="2">
        <v>46023.0</v>
      </c>
      <c r="H184" s="2">
        <v>46129.0</v>
      </c>
      <c r="I184" s="1" t="s">
        <v>43</v>
      </c>
      <c r="J184" s="1" t="s">
        <v>271</v>
      </c>
      <c r="K184" s="3">
        <v>2.67</v>
      </c>
    </row>
    <row r="185" ht="15.75" customHeight="1">
      <c r="A185" s="1" t="s">
        <v>127</v>
      </c>
      <c r="C185" s="1">
        <v>2.17589E7</v>
      </c>
      <c r="D185" s="1" t="s">
        <v>128</v>
      </c>
      <c r="E185" s="1" t="s">
        <v>129</v>
      </c>
      <c r="F185" s="1">
        <v>8.03117914E8</v>
      </c>
      <c r="G185" s="2">
        <v>46023.0</v>
      </c>
      <c r="H185" s="2">
        <v>46129.0</v>
      </c>
      <c r="I185" s="1" t="s">
        <v>43</v>
      </c>
      <c r="J185" s="1" t="s">
        <v>271</v>
      </c>
      <c r="K185" s="3">
        <v>2.67</v>
      </c>
    </row>
    <row r="186" ht="15.75" customHeight="1">
      <c r="A186" s="1" t="s">
        <v>58</v>
      </c>
      <c r="C186" s="1">
        <v>1.8598357E7</v>
      </c>
      <c r="D186" s="1" t="s">
        <v>130</v>
      </c>
      <c r="E186" s="1" t="s">
        <v>131</v>
      </c>
      <c r="F186" s="1">
        <v>8.03112589E8</v>
      </c>
      <c r="G186" s="2">
        <v>46023.0</v>
      </c>
      <c r="H186" s="2">
        <v>46129.0</v>
      </c>
      <c r="I186" s="1" t="s">
        <v>43</v>
      </c>
      <c r="J186" s="1" t="s">
        <v>271</v>
      </c>
      <c r="K186" s="3">
        <v>2.67</v>
      </c>
    </row>
    <row r="187" ht="15.75" customHeight="1">
      <c r="A187" s="1" t="s">
        <v>40</v>
      </c>
      <c r="C187" s="1">
        <v>1.879474E7</v>
      </c>
      <c r="D187" s="1" t="s">
        <v>132</v>
      </c>
      <c r="E187" s="1" t="s">
        <v>133</v>
      </c>
      <c r="F187" s="1">
        <v>8.03095503E8</v>
      </c>
      <c r="G187" s="2">
        <v>46023.0</v>
      </c>
      <c r="H187" s="2">
        <v>46129.0</v>
      </c>
      <c r="I187" s="1" t="s">
        <v>43</v>
      </c>
      <c r="J187" s="1" t="s">
        <v>274</v>
      </c>
      <c r="K187" s="3">
        <v>2.67</v>
      </c>
    </row>
    <row r="188" ht="15.75" customHeight="1">
      <c r="A188" s="1" t="s">
        <v>11</v>
      </c>
      <c r="C188" s="1">
        <v>9254978.0</v>
      </c>
      <c r="D188" s="1" t="s">
        <v>135</v>
      </c>
      <c r="E188" s="1" t="s">
        <v>136</v>
      </c>
      <c r="F188" s="1">
        <v>8.03096452E8</v>
      </c>
      <c r="G188" s="2">
        <v>46023.0</v>
      </c>
      <c r="H188" s="2">
        <v>46129.0</v>
      </c>
      <c r="I188" s="1" t="s">
        <v>43</v>
      </c>
      <c r="J188" s="1" t="s">
        <v>271</v>
      </c>
      <c r="K188" s="3">
        <v>2.67</v>
      </c>
    </row>
    <row r="189" ht="15.75" customHeight="1">
      <c r="A189" s="1" t="s">
        <v>89</v>
      </c>
      <c r="C189" s="1">
        <v>1.7528908E7</v>
      </c>
      <c r="D189" s="1" t="s">
        <v>137</v>
      </c>
      <c r="E189" s="1" t="s">
        <v>138</v>
      </c>
      <c r="F189" s="1">
        <v>8.03124115E8</v>
      </c>
      <c r="G189" s="2">
        <v>46023.0</v>
      </c>
      <c r="H189" s="2">
        <v>46129.0</v>
      </c>
      <c r="I189" s="1" t="s">
        <v>43</v>
      </c>
      <c r="J189" s="1" t="s">
        <v>271</v>
      </c>
      <c r="K189" s="3">
        <v>2.67</v>
      </c>
    </row>
    <row r="190" ht="15.75" customHeight="1">
      <c r="A190" s="1" t="s">
        <v>26</v>
      </c>
      <c r="C190" s="1">
        <v>1.7429706E7</v>
      </c>
      <c r="D190" s="1" t="s">
        <v>166</v>
      </c>
      <c r="E190" s="1" t="s">
        <v>275</v>
      </c>
      <c r="F190" s="1">
        <v>8.03121227E8</v>
      </c>
      <c r="G190" s="2">
        <v>46023.0</v>
      </c>
      <c r="H190" s="2">
        <v>46129.0</v>
      </c>
      <c r="I190" s="1" t="s">
        <v>43</v>
      </c>
      <c r="J190" s="1" t="s">
        <v>271</v>
      </c>
      <c r="K190" s="3">
        <v>0.67</v>
      </c>
    </row>
    <row r="191" ht="15.75" customHeight="1">
      <c r="A191" s="1" t="s">
        <v>139</v>
      </c>
      <c r="C191" s="1">
        <v>2.1605264E7</v>
      </c>
      <c r="D191" s="1" t="s">
        <v>140</v>
      </c>
      <c r="E191" s="1" t="s">
        <v>141</v>
      </c>
      <c r="F191" s="1">
        <v>8.0296641E8</v>
      </c>
      <c r="G191" s="2">
        <v>46023.0</v>
      </c>
      <c r="H191" s="2">
        <v>46129.0</v>
      </c>
      <c r="I191" s="1" t="s">
        <v>43</v>
      </c>
      <c r="J191" s="1" t="s">
        <v>271</v>
      </c>
      <c r="K191" s="3">
        <v>2.67</v>
      </c>
    </row>
    <row r="192" ht="15.75" customHeight="1">
      <c r="A192" s="1" t="s">
        <v>26</v>
      </c>
      <c r="C192" s="1">
        <v>1.7429706E7</v>
      </c>
      <c r="D192" s="1" t="s">
        <v>276</v>
      </c>
      <c r="E192" s="1" t="s">
        <v>277</v>
      </c>
      <c r="F192" s="1">
        <v>8.03125855E8</v>
      </c>
      <c r="G192" s="2">
        <v>46023.0</v>
      </c>
      <c r="H192" s="2">
        <v>46129.0</v>
      </c>
      <c r="I192" s="1" t="s">
        <v>43</v>
      </c>
      <c r="J192" s="1" t="s">
        <v>274</v>
      </c>
      <c r="K192" s="3">
        <v>0.67</v>
      </c>
    </row>
    <row r="193" ht="15.75" customHeight="1">
      <c r="A193" s="1" t="s">
        <v>16</v>
      </c>
      <c r="C193" s="1">
        <v>1.9861194E7</v>
      </c>
      <c r="D193" s="1" t="s">
        <v>278</v>
      </c>
      <c r="E193" s="1" t="s">
        <v>279</v>
      </c>
      <c r="F193" s="1">
        <v>8.0312296E8</v>
      </c>
      <c r="G193" s="2">
        <v>46023.0</v>
      </c>
      <c r="H193" s="2">
        <v>46129.0</v>
      </c>
      <c r="I193" s="1" t="s">
        <v>43</v>
      </c>
      <c r="J193" s="1" t="s">
        <v>271</v>
      </c>
      <c r="K193" s="3">
        <v>2.67</v>
      </c>
    </row>
    <row r="194" ht="15.75" customHeight="1">
      <c r="A194" s="1" t="s">
        <v>16</v>
      </c>
      <c r="C194" s="1">
        <v>1.9861194E7</v>
      </c>
      <c r="D194" s="1" t="s">
        <v>278</v>
      </c>
      <c r="E194" s="1" t="s">
        <v>279</v>
      </c>
      <c r="F194" s="1">
        <v>8.0312296E8</v>
      </c>
      <c r="G194" s="2">
        <v>46023.0</v>
      </c>
      <c r="H194" s="2">
        <v>46129.0</v>
      </c>
      <c r="I194" s="1" t="s">
        <v>43</v>
      </c>
      <c r="J194" s="1" t="s">
        <v>274</v>
      </c>
      <c r="K194" s="3">
        <v>2.67</v>
      </c>
    </row>
    <row r="195" ht="15.75" customHeight="1">
      <c r="A195" s="1" t="s">
        <v>26</v>
      </c>
      <c r="C195" s="1">
        <v>1.7429706E7</v>
      </c>
      <c r="D195" s="1" t="s">
        <v>280</v>
      </c>
      <c r="E195" s="1" t="s">
        <v>281</v>
      </c>
      <c r="F195" s="1">
        <v>8.03098171E8</v>
      </c>
      <c r="G195" s="2">
        <v>46023.0</v>
      </c>
      <c r="H195" s="2">
        <v>46129.0</v>
      </c>
      <c r="I195" s="1" t="s">
        <v>43</v>
      </c>
      <c r="J195" s="1" t="s">
        <v>274</v>
      </c>
      <c r="K195" s="3">
        <v>0.67</v>
      </c>
    </row>
    <row r="196" ht="15.75" customHeight="1">
      <c r="A196" s="1" t="s">
        <v>26</v>
      </c>
      <c r="C196" s="1">
        <v>1.7429706E7</v>
      </c>
      <c r="D196" s="1" t="s">
        <v>282</v>
      </c>
      <c r="E196" s="1" t="s">
        <v>283</v>
      </c>
      <c r="F196" s="1">
        <v>8.03141261E8</v>
      </c>
      <c r="G196" s="2">
        <v>46054.0</v>
      </c>
      <c r="H196" s="2">
        <v>46129.0</v>
      </c>
      <c r="I196" s="1" t="s">
        <v>43</v>
      </c>
      <c r="J196" s="1" t="s">
        <v>271</v>
      </c>
      <c r="K196" s="3">
        <v>0.67</v>
      </c>
    </row>
    <row r="197" ht="15.75" customHeight="1">
      <c r="A197" s="1" t="s">
        <v>40</v>
      </c>
      <c r="C197" s="1">
        <v>1.879474E7</v>
      </c>
      <c r="D197" s="1" t="s">
        <v>142</v>
      </c>
      <c r="E197" s="1" t="s">
        <v>143</v>
      </c>
      <c r="F197" s="1">
        <v>8.03098189E8</v>
      </c>
      <c r="G197" s="2">
        <v>46023.0</v>
      </c>
      <c r="H197" s="2">
        <v>46129.0</v>
      </c>
      <c r="I197" s="1" t="s">
        <v>43</v>
      </c>
      <c r="J197" s="1" t="s">
        <v>271</v>
      </c>
      <c r="K197" s="3">
        <v>2.67</v>
      </c>
    </row>
    <row r="198" ht="15.75" customHeight="1">
      <c r="A198" s="1" t="s">
        <v>26</v>
      </c>
      <c r="C198" s="1">
        <v>1.7429706E7</v>
      </c>
      <c r="D198" s="1" t="s">
        <v>284</v>
      </c>
      <c r="E198" s="1" t="s">
        <v>285</v>
      </c>
      <c r="F198" s="1">
        <v>8.03101497E8</v>
      </c>
      <c r="G198" s="2">
        <v>46023.0</v>
      </c>
      <c r="H198" s="2">
        <v>46129.0</v>
      </c>
      <c r="I198" s="1" t="s">
        <v>43</v>
      </c>
      <c r="J198" s="1" t="s">
        <v>271</v>
      </c>
      <c r="K198" s="3">
        <v>0.67</v>
      </c>
    </row>
    <row r="199" ht="15.75" customHeight="1">
      <c r="A199" s="1" t="s">
        <v>26</v>
      </c>
      <c r="C199" s="1">
        <v>1.7429706E7</v>
      </c>
      <c r="D199" s="1" t="s">
        <v>284</v>
      </c>
      <c r="E199" s="1" t="s">
        <v>285</v>
      </c>
      <c r="F199" s="1">
        <v>8.03101497E8</v>
      </c>
      <c r="G199" s="2">
        <v>46023.0</v>
      </c>
      <c r="H199" s="2">
        <v>46129.0</v>
      </c>
      <c r="I199" s="1" t="s">
        <v>43</v>
      </c>
      <c r="J199" s="1" t="s">
        <v>274</v>
      </c>
      <c r="K199" s="3">
        <v>0.67</v>
      </c>
    </row>
    <row r="200" ht="15.75" customHeight="1">
      <c r="A200" s="1" t="s">
        <v>127</v>
      </c>
      <c r="C200" s="1">
        <v>2.17589E7</v>
      </c>
      <c r="D200" s="1" t="s">
        <v>144</v>
      </c>
      <c r="E200" s="1" t="s">
        <v>145</v>
      </c>
      <c r="F200" s="1">
        <v>8.03135405E8</v>
      </c>
      <c r="G200" s="2">
        <v>46023.0</v>
      </c>
      <c r="H200" s="2">
        <v>46129.0</v>
      </c>
      <c r="I200" s="1" t="s">
        <v>43</v>
      </c>
      <c r="J200" s="1" t="s">
        <v>274</v>
      </c>
      <c r="K200" s="3">
        <v>2.67</v>
      </c>
    </row>
    <row r="201" ht="15.75" customHeight="1">
      <c r="A201" s="1" t="s">
        <v>127</v>
      </c>
      <c r="C201" s="1">
        <v>2.17589E7</v>
      </c>
      <c r="D201" s="1" t="s">
        <v>144</v>
      </c>
      <c r="E201" s="1" t="s">
        <v>145</v>
      </c>
      <c r="F201" s="1">
        <v>8.03135405E8</v>
      </c>
      <c r="G201" s="2">
        <v>46023.0</v>
      </c>
      <c r="H201" s="2">
        <v>46129.0</v>
      </c>
      <c r="I201" s="1" t="s">
        <v>43</v>
      </c>
      <c r="J201" s="1" t="s">
        <v>271</v>
      </c>
      <c r="K201" s="3">
        <v>2.67</v>
      </c>
    </row>
    <row r="202" ht="15.75" customHeight="1">
      <c r="A202" s="1" t="s">
        <v>52</v>
      </c>
      <c r="C202" s="1">
        <v>1.7425766E7</v>
      </c>
      <c r="D202" s="1" t="s">
        <v>146</v>
      </c>
      <c r="E202" s="1" t="s">
        <v>147</v>
      </c>
      <c r="F202" s="1">
        <v>8.03147431E8</v>
      </c>
      <c r="G202" s="2">
        <v>46082.0</v>
      </c>
      <c r="H202" s="2">
        <v>46129.0</v>
      </c>
      <c r="I202" s="1" t="s">
        <v>43</v>
      </c>
      <c r="J202" s="1" t="s">
        <v>271</v>
      </c>
      <c r="K202" s="3">
        <v>2.67</v>
      </c>
    </row>
    <row r="203" ht="15.75" customHeight="1">
      <c r="A203" s="1" t="s">
        <v>26</v>
      </c>
      <c r="C203" s="1">
        <v>1.7429706E7</v>
      </c>
      <c r="D203" s="1" t="s">
        <v>286</v>
      </c>
      <c r="E203" s="1" t="s">
        <v>287</v>
      </c>
      <c r="F203" s="1">
        <v>8.03049287E8</v>
      </c>
      <c r="G203" s="2">
        <v>45809.0</v>
      </c>
      <c r="H203" s="2">
        <v>46129.0</v>
      </c>
      <c r="I203" s="1" t="s">
        <v>43</v>
      </c>
      <c r="J203" s="1" t="s">
        <v>288</v>
      </c>
      <c r="K203" s="3">
        <v>0.67</v>
      </c>
    </row>
    <row r="204" ht="15.75" customHeight="1">
      <c r="A204" s="1" t="s">
        <v>11</v>
      </c>
      <c r="C204" s="1">
        <v>9254978.0</v>
      </c>
      <c r="D204" s="1" t="s">
        <v>151</v>
      </c>
      <c r="E204" s="1" t="s">
        <v>152</v>
      </c>
      <c r="F204" s="1">
        <v>8.02624955E8</v>
      </c>
      <c r="G204" s="2">
        <v>46023.0</v>
      </c>
      <c r="H204" s="2">
        <v>46129.0</v>
      </c>
      <c r="I204" s="1" t="s">
        <v>43</v>
      </c>
      <c r="J204" s="1" t="s">
        <v>289</v>
      </c>
      <c r="K204" s="3">
        <v>4.0</v>
      </c>
    </row>
    <row r="205" ht="15.75" customHeight="1">
      <c r="A205" s="1" t="s">
        <v>218</v>
      </c>
      <c r="C205" s="1">
        <v>1.8010408E7</v>
      </c>
      <c r="D205" s="1" t="s">
        <v>56</v>
      </c>
      <c r="E205" s="1" t="s">
        <v>290</v>
      </c>
      <c r="F205" s="1">
        <v>8.02778367E8</v>
      </c>
      <c r="G205" s="2">
        <v>46023.0</v>
      </c>
      <c r="H205" s="2">
        <v>46129.0</v>
      </c>
      <c r="I205" s="1" t="s">
        <v>43</v>
      </c>
      <c r="J205" s="1" t="s">
        <v>289</v>
      </c>
      <c r="K205" s="3">
        <v>4.0</v>
      </c>
    </row>
    <row r="206" ht="15.75" customHeight="1">
      <c r="A206" s="1" t="s">
        <v>211</v>
      </c>
      <c r="C206" s="1">
        <v>1.8134413E7</v>
      </c>
      <c r="D206" s="1" t="s">
        <v>291</v>
      </c>
      <c r="E206" s="1" t="s">
        <v>292</v>
      </c>
      <c r="F206" s="1">
        <v>8.03002591E8</v>
      </c>
      <c r="G206" s="2">
        <v>46023.0</v>
      </c>
      <c r="H206" s="2">
        <v>46129.0</v>
      </c>
      <c r="I206" s="1" t="s">
        <v>43</v>
      </c>
      <c r="J206" s="1" t="s">
        <v>289</v>
      </c>
      <c r="K206" s="3">
        <v>4.0</v>
      </c>
    </row>
    <row r="207" ht="15.75" customHeight="1">
      <c r="A207" s="1" t="s">
        <v>218</v>
      </c>
      <c r="C207" s="1">
        <v>1.8010408E7</v>
      </c>
      <c r="D207" s="1" t="s">
        <v>293</v>
      </c>
      <c r="E207" s="1" t="s">
        <v>294</v>
      </c>
      <c r="F207" s="1">
        <v>8.02960692E8</v>
      </c>
      <c r="G207" s="2">
        <v>45658.0</v>
      </c>
      <c r="H207" s="2">
        <v>46129.0</v>
      </c>
      <c r="I207" s="1" t="s">
        <v>43</v>
      </c>
      <c r="J207" s="1" t="s">
        <v>295</v>
      </c>
      <c r="K207" s="3">
        <v>4.0</v>
      </c>
    </row>
    <row r="208" ht="15.75" customHeight="1">
      <c r="A208" s="1" t="s">
        <v>23</v>
      </c>
      <c r="C208" s="1">
        <v>1.5278437E7</v>
      </c>
      <c r="D208" s="1" t="s">
        <v>154</v>
      </c>
      <c r="E208" s="1" t="s">
        <v>155</v>
      </c>
      <c r="F208" s="1">
        <v>8.02532346E8</v>
      </c>
      <c r="G208" s="2">
        <v>46023.0</v>
      </c>
      <c r="H208" s="2">
        <v>46129.0</v>
      </c>
      <c r="I208" s="1" t="s">
        <v>43</v>
      </c>
      <c r="J208" s="1" t="s">
        <v>289</v>
      </c>
      <c r="K208" s="3">
        <v>4.0</v>
      </c>
    </row>
    <row r="209" ht="15.75" customHeight="1">
      <c r="A209" s="1" t="s">
        <v>23</v>
      </c>
      <c r="C209" s="1">
        <v>1.5278437E7</v>
      </c>
      <c r="D209" s="1" t="s">
        <v>137</v>
      </c>
      <c r="E209" s="1" t="s">
        <v>156</v>
      </c>
      <c r="F209" s="1">
        <v>8.02301278E8</v>
      </c>
      <c r="G209" s="2">
        <v>46023.0</v>
      </c>
      <c r="H209" s="2">
        <v>46129.0</v>
      </c>
      <c r="I209" s="1" t="s">
        <v>43</v>
      </c>
      <c r="J209" s="1" t="s">
        <v>296</v>
      </c>
      <c r="K209" s="3">
        <v>4.0</v>
      </c>
    </row>
    <row r="210" ht="15.75" customHeight="1">
      <c r="A210" s="1" t="s">
        <v>23</v>
      </c>
      <c r="C210" s="1">
        <v>1.5278437E7</v>
      </c>
      <c r="D210" s="1" t="s">
        <v>137</v>
      </c>
      <c r="E210" s="1" t="s">
        <v>156</v>
      </c>
      <c r="F210" s="1">
        <v>8.02301278E8</v>
      </c>
      <c r="G210" s="2">
        <v>46023.0</v>
      </c>
      <c r="H210" s="2">
        <v>46129.0</v>
      </c>
      <c r="I210" s="1" t="s">
        <v>43</v>
      </c>
      <c r="J210" s="1" t="s">
        <v>289</v>
      </c>
      <c r="K210" s="3">
        <v>4.0</v>
      </c>
    </row>
    <row r="211" ht="15.75" customHeight="1">
      <c r="A211" s="1" t="s">
        <v>23</v>
      </c>
      <c r="C211" s="1">
        <v>1.5278437E7</v>
      </c>
      <c r="D211" s="1" t="s">
        <v>158</v>
      </c>
      <c r="E211" s="1" t="s">
        <v>159</v>
      </c>
      <c r="F211" s="1">
        <v>8.02417758E8</v>
      </c>
      <c r="G211" s="2">
        <v>46023.0</v>
      </c>
      <c r="H211" s="2">
        <v>46129.0</v>
      </c>
      <c r="I211" s="1" t="s">
        <v>43</v>
      </c>
      <c r="J211" s="1" t="s">
        <v>289</v>
      </c>
      <c r="K211" s="3">
        <v>4.0</v>
      </c>
    </row>
    <row r="212" ht="15.75" customHeight="1">
      <c r="A212" s="1" t="s">
        <v>23</v>
      </c>
      <c r="C212" s="1">
        <v>1.5278437E7</v>
      </c>
      <c r="D212" s="1" t="s">
        <v>160</v>
      </c>
      <c r="E212" s="1" t="s">
        <v>161</v>
      </c>
      <c r="F212" s="1">
        <v>8.02534788E8</v>
      </c>
      <c r="G212" s="2">
        <v>46023.0</v>
      </c>
      <c r="H212" s="2">
        <v>46129.0</v>
      </c>
      <c r="I212" s="1" t="s">
        <v>43</v>
      </c>
      <c r="J212" s="1" t="s">
        <v>289</v>
      </c>
      <c r="K212" s="3">
        <v>4.0</v>
      </c>
    </row>
    <row r="213" ht="15.75" customHeight="1">
      <c r="A213" s="1" t="s">
        <v>23</v>
      </c>
      <c r="C213" s="1">
        <v>1.5278437E7</v>
      </c>
      <c r="D213" s="1" t="s">
        <v>162</v>
      </c>
      <c r="E213" s="1" t="s">
        <v>163</v>
      </c>
      <c r="F213" s="1">
        <v>8.01998355E8</v>
      </c>
      <c r="G213" s="2">
        <v>46023.0</v>
      </c>
      <c r="H213" s="2">
        <v>46129.0</v>
      </c>
      <c r="I213" s="1" t="s">
        <v>43</v>
      </c>
      <c r="J213" s="1" t="s">
        <v>289</v>
      </c>
      <c r="K213" s="3">
        <v>4.0</v>
      </c>
    </row>
    <row r="214" ht="15.75" customHeight="1">
      <c r="A214" s="1" t="s">
        <v>40</v>
      </c>
      <c r="C214" s="1">
        <v>1.879474E7</v>
      </c>
      <c r="D214" s="1" t="s">
        <v>164</v>
      </c>
      <c r="E214" s="1" t="s">
        <v>165</v>
      </c>
      <c r="F214" s="1">
        <v>8.02341284E8</v>
      </c>
      <c r="G214" s="2">
        <v>46023.0</v>
      </c>
      <c r="H214" s="2">
        <v>46129.0</v>
      </c>
      <c r="I214" s="1" t="s">
        <v>43</v>
      </c>
      <c r="J214" s="1" t="s">
        <v>289</v>
      </c>
      <c r="K214" s="3">
        <v>4.0</v>
      </c>
    </row>
    <row r="215" ht="15.75" customHeight="1">
      <c r="A215" s="1" t="s">
        <v>40</v>
      </c>
      <c r="C215" s="1">
        <v>1.879474E7</v>
      </c>
      <c r="D215" s="1" t="s">
        <v>166</v>
      </c>
      <c r="E215" s="1" t="s">
        <v>167</v>
      </c>
      <c r="F215" s="1">
        <v>8.02807514E8</v>
      </c>
      <c r="G215" s="2">
        <v>46023.0</v>
      </c>
      <c r="H215" s="2">
        <v>46129.0</v>
      </c>
      <c r="I215" s="1" t="s">
        <v>43</v>
      </c>
      <c r="J215" s="1" t="s">
        <v>289</v>
      </c>
      <c r="K215" s="3">
        <v>4.0</v>
      </c>
    </row>
    <row r="216" ht="15.75" customHeight="1">
      <c r="A216" s="1" t="s">
        <v>40</v>
      </c>
      <c r="C216" s="1">
        <v>1.879474E7</v>
      </c>
      <c r="D216" s="1" t="s">
        <v>166</v>
      </c>
      <c r="E216" s="1" t="s">
        <v>167</v>
      </c>
      <c r="F216" s="1">
        <v>8.02807514E8</v>
      </c>
      <c r="G216" s="2">
        <v>46023.0</v>
      </c>
      <c r="H216" s="2">
        <v>46129.0</v>
      </c>
      <c r="I216" s="1" t="s">
        <v>43</v>
      </c>
      <c r="J216" s="1" t="s">
        <v>297</v>
      </c>
      <c r="K216" s="3">
        <v>4.0</v>
      </c>
    </row>
    <row r="217" ht="15.75" customHeight="1">
      <c r="A217" s="1" t="s">
        <v>16</v>
      </c>
      <c r="C217" s="1">
        <v>1.9861194E7</v>
      </c>
      <c r="D217" s="1" t="s">
        <v>298</v>
      </c>
      <c r="E217" s="1" t="s">
        <v>299</v>
      </c>
      <c r="F217" s="1">
        <v>8.03014973E8</v>
      </c>
      <c r="G217" s="2">
        <v>46023.0</v>
      </c>
      <c r="H217" s="2">
        <v>46129.0</v>
      </c>
      <c r="I217" s="1" t="s">
        <v>43</v>
      </c>
      <c r="J217" s="1" t="s">
        <v>289</v>
      </c>
      <c r="K217" s="3">
        <v>4.0</v>
      </c>
    </row>
    <row r="218" ht="15.75" customHeight="1">
      <c r="A218" s="1" t="s">
        <v>23</v>
      </c>
      <c r="C218" s="1">
        <v>1.5278437E7</v>
      </c>
      <c r="D218" s="1" t="s">
        <v>169</v>
      </c>
      <c r="E218" s="1" t="s">
        <v>170</v>
      </c>
      <c r="F218" s="1">
        <v>8.02332852E8</v>
      </c>
      <c r="G218" s="2">
        <v>46023.0</v>
      </c>
      <c r="H218" s="2">
        <v>46129.0</v>
      </c>
      <c r="I218" s="1" t="s">
        <v>43</v>
      </c>
      <c r="J218" s="1" t="s">
        <v>289</v>
      </c>
      <c r="K218" s="3">
        <v>4.0</v>
      </c>
    </row>
    <row r="219" ht="15.75" customHeight="1">
      <c r="A219" s="1" t="s">
        <v>16</v>
      </c>
      <c r="C219" s="1">
        <v>1.9861194E7</v>
      </c>
      <c r="D219" s="1" t="s">
        <v>300</v>
      </c>
      <c r="E219" s="1" t="s">
        <v>21</v>
      </c>
      <c r="F219" s="1">
        <v>8.02652442E8</v>
      </c>
      <c r="G219" s="2">
        <v>46023.0</v>
      </c>
      <c r="H219" s="2">
        <v>46129.0</v>
      </c>
      <c r="I219" s="1" t="s">
        <v>43</v>
      </c>
      <c r="J219" s="1" t="s">
        <v>289</v>
      </c>
      <c r="K219" s="3">
        <v>4.0</v>
      </c>
    </row>
    <row r="220" ht="15.75" customHeight="1">
      <c r="A220" s="1" t="s">
        <v>26</v>
      </c>
      <c r="C220" s="1">
        <v>1.7429706E7</v>
      </c>
      <c r="D220" s="1" t="s">
        <v>31</v>
      </c>
      <c r="E220" s="1" t="s">
        <v>301</v>
      </c>
      <c r="F220" s="1">
        <v>8.02509952E8</v>
      </c>
      <c r="G220" s="2">
        <v>46054.0</v>
      </c>
      <c r="H220" s="2">
        <v>46129.0</v>
      </c>
      <c r="I220" s="1" t="s">
        <v>43</v>
      </c>
      <c r="J220" s="1" t="s">
        <v>296</v>
      </c>
      <c r="K220" s="3">
        <v>1.0</v>
      </c>
    </row>
    <row r="221" ht="15.75" customHeight="1">
      <c r="A221" s="1" t="s">
        <v>87</v>
      </c>
      <c r="C221" s="1">
        <v>1.871007E7</v>
      </c>
      <c r="D221" s="1" t="s">
        <v>171</v>
      </c>
      <c r="E221" s="1" t="s">
        <v>172</v>
      </c>
      <c r="F221" s="1">
        <v>8.03016096E8</v>
      </c>
      <c r="G221" s="2">
        <v>46023.0</v>
      </c>
      <c r="H221" s="2">
        <v>46129.0</v>
      </c>
      <c r="I221" s="1" t="s">
        <v>43</v>
      </c>
      <c r="J221" s="1" t="s">
        <v>289</v>
      </c>
      <c r="K221" s="3">
        <v>4.0</v>
      </c>
    </row>
    <row r="222" ht="15.75" customHeight="1">
      <c r="A222" s="1" t="s">
        <v>40</v>
      </c>
      <c r="C222" s="1">
        <v>1.879474E7</v>
      </c>
      <c r="D222" s="1" t="s">
        <v>92</v>
      </c>
      <c r="E222" s="1" t="s">
        <v>173</v>
      </c>
      <c r="F222" s="1">
        <v>8.0201604E8</v>
      </c>
      <c r="G222" s="2">
        <v>46023.0</v>
      </c>
      <c r="H222" s="2">
        <v>46129.0</v>
      </c>
      <c r="I222" s="1" t="s">
        <v>43</v>
      </c>
      <c r="J222" s="1" t="s">
        <v>289</v>
      </c>
      <c r="K222" s="3">
        <v>4.0</v>
      </c>
    </row>
    <row r="223" ht="15.75" customHeight="1">
      <c r="A223" s="1" t="s">
        <v>26</v>
      </c>
      <c r="C223" s="1">
        <v>1.7429706E7</v>
      </c>
      <c r="D223" s="1" t="s">
        <v>302</v>
      </c>
      <c r="E223" s="1" t="s">
        <v>303</v>
      </c>
      <c r="F223" s="1">
        <v>8.02872526E8</v>
      </c>
      <c r="G223" s="2">
        <v>46023.0</v>
      </c>
      <c r="H223" s="2">
        <v>46129.0</v>
      </c>
      <c r="I223" s="1" t="s">
        <v>43</v>
      </c>
      <c r="J223" s="1" t="s">
        <v>289</v>
      </c>
      <c r="K223" s="3">
        <v>1.0</v>
      </c>
    </row>
    <row r="224" ht="15.75" customHeight="1">
      <c r="A224" s="1" t="s">
        <v>23</v>
      </c>
      <c r="C224" s="1">
        <v>1.5278437E7</v>
      </c>
      <c r="D224" s="1" t="s">
        <v>174</v>
      </c>
      <c r="E224" s="1" t="s">
        <v>175</v>
      </c>
      <c r="F224" s="1">
        <v>8.0278478E8</v>
      </c>
      <c r="G224" s="2">
        <v>46023.0</v>
      </c>
      <c r="H224" s="2">
        <v>46129.0</v>
      </c>
      <c r="I224" s="1" t="s">
        <v>43</v>
      </c>
      <c r="J224" s="1" t="s">
        <v>296</v>
      </c>
      <c r="K224" s="3">
        <v>4.0</v>
      </c>
    </row>
    <row r="225" ht="15.75" customHeight="1">
      <c r="A225" s="1" t="s">
        <v>23</v>
      </c>
      <c r="C225" s="1">
        <v>1.5278437E7</v>
      </c>
      <c r="D225" s="1" t="s">
        <v>103</v>
      </c>
      <c r="E225" s="1" t="s">
        <v>177</v>
      </c>
      <c r="F225" s="1">
        <v>8.02327643E8</v>
      </c>
      <c r="G225" s="2">
        <v>46023.0</v>
      </c>
      <c r="H225" s="2">
        <v>46129.0</v>
      </c>
      <c r="I225" s="1" t="s">
        <v>43</v>
      </c>
      <c r="J225" s="1" t="s">
        <v>289</v>
      </c>
      <c r="K225" s="3">
        <v>4.0</v>
      </c>
    </row>
    <row r="226" ht="15.75" customHeight="1">
      <c r="A226" s="1" t="s">
        <v>23</v>
      </c>
      <c r="C226" s="1">
        <v>1.5278437E7</v>
      </c>
      <c r="D226" s="1" t="s">
        <v>103</v>
      </c>
      <c r="E226" s="1" t="s">
        <v>176</v>
      </c>
      <c r="F226" s="1">
        <v>8.02385143E8</v>
      </c>
      <c r="G226" s="2">
        <v>46023.0</v>
      </c>
      <c r="H226" s="2">
        <v>46129.0</v>
      </c>
      <c r="I226" s="1" t="s">
        <v>43</v>
      </c>
      <c r="J226" s="1" t="s">
        <v>289</v>
      </c>
      <c r="K226" s="3">
        <v>4.0</v>
      </c>
    </row>
    <row r="227" ht="15.75" customHeight="1">
      <c r="A227" s="1" t="s">
        <v>26</v>
      </c>
      <c r="C227" s="1">
        <v>1.7429706E7</v>
      </c>
      <c r="D227" s="1" t="s">
        <v>304</v>
      </c>
      <c r="E227" s="1" t="s">
        <v>305</v>
      </c>
      <c r="F227" s="1">
        <v>8.02985513E8</v>
      </c>
      <c r="G227" s="2">
        <v>46023.0</v>
      </c>
      <c r="H227" s="2">
        <v>46129.0</v>
      </c>
      <c r="I227" s="1" t="s">
        <v>43</v>
      </c>
      <c r="J227" s="1" t="s">
        <v>289</v>
      </c>
      <c r="K227" s="3">
        <v>1.0</v>
      </c>
    </row>
    <row r="228" ht="15.75" customHeight="1">
      <c r="A228" s="1" t="s">
        <v>16</v>
      </c>
      <c r="C228" s="1">
        <v>1.9861194E7</v>
      </c>
      <c r="D228" s="1" t="s">
        <v>306</v>
      </c>
      <c r="E228" s="1" t="s">
        <v>203</v>
      </c>
      <c r="F228" s="1">
        <v>8.0297451E8</v>
      </c>
      <c r="G228" s="2">
        <v>46023.0</v>
      </c>
      <c r="H228" s="2">
        <v>46129.0</v>
      </c>
      <c r="I228" s="1" t="s">
        <v>43</v>
      </c>
      <c r="J228" s="1" t="s">
        <v>296</v>
      </c>
      <c r="K228" s="3">
        <v>4.0</v>
      </c>
    </row>
    <row r="229" ht="15.75" customHeight="1">
      <c r="A229" s="1" t="s">
        <v>26</v>
      </c>
      <c r="C229" s="1">
        <v>1.7429706E7</v>
      </c>
      <c r="D229" s="1" t="s">
        <v>307</v>
      </c>
      <c r="E229" s="1" t="s">
        <v>133</v>
      </c>
      <c r="F229" s="1">
        <v>8.0275951E8</v>
      </c>
      <c r="G229" s="2">
        <v>46023.0</v>
      </c>
      <c r="H229" s="2">
        <v>46129.0</v>
      </c>
      <c r="I229" s="1" t="s">
        <v>43</v>
      </c>
      <c r="J229" s="1" t="s">
        <v>289</v>
      </c>
      <c r="K229" s="3">
        <v>1.0</v>
      </c>
    </row>
    <row r="230" ht="15.75" customHeight="1">
      <c r="A230" s="1" t="s">
        <v>40</v>
      </c>
      <c r="C230" s="1">
        <v>1.879474E7</v>
      </c>
      <c r="D230" s="1" t="s">
        <v>178</v>
      </c>
      <c r="E230" s="1" t="s">
        <v>179</v>
      </c>
      <c r="F230" s="1">
        <v>8.03085222E8</v>
      </c>
      <c r="G230" s="2">
        <v>46023.0</v>
      </c>
      <c r="H230" s="2">
        <v>46129.0</v>
      </c>
      <c r="I230" s="1" t="s">
        <v>43</v>
      </c>
      <c r="J230" s="1" t="s">
        <v>289</v>
      </c>
      <c r="K230" s="3">
        <v>4.0</v>
      </c>
    </row>
    <row r="231" ht="15.75" customHeight="1">
      <c r="A231" s="1" t="s">
        <v>139</v>
      </c>
      <c r="C231" s="1">
        <v>2.1605264E7</v>
      </c>
      <c r="D231" s="1" t="s">
        <v>180</v>
      </c>
      <c r="E231" s="1" t="s">
        <v>181</v>
      </c>
      <c r="F231" s="1">
        <v>8.02293839E8</v>
      </c>
      <c r="G231" s="2">
        <v>46023.0</v>
      </c>
      <c r="H231" s="2">
        <v>46129.0</v>
      </c>
      <c r="I231" s="1" t="s">
        <v>43</v>
      </c>
      <c r="J231" s="1" t="s">
        <v>289</v>
      </c>
      <c r="K231" s="3">
        <v>4.0</v>
      </c>
    </row>
    <row r="232" ht="15.75" customHeight="1">
      <c r="A232" s="1" t="s">
        <v>218</v>
      </c>
      <c r="C232" s="1">
        <v>1.8010408E7</v>
      </c>
      <c r="D232" s="1" t="s">
        <v>308</v>
      </c>
      <c r="E232" s="1" t="s">
        <v>112</v>
      </c>
      <c r="F232" s="1">
        <v>8.03142746E8</v>
      </c>
      <c r="G232" s="2">
        <v>46054.0</v>
      </c>
      <c r="H232" s="2">
        <v>46129.0</v>
      </c>
      <c r="I232" s="1" t="s">
        <v>43</v>
      </c>
      <c r="J232" s="1" t="s">
        <v>309</v>
      </c>
      <c r="K232" s="3">
        <v>5.34</v>
      </c>
    </row>
    <row r="233" ht="15.75" customHeight="1">
      <c r="A233" s="1" t="s">
        <v>40</v>
      </c>
      <c r="C233" s="1">
        <v>1.879474E7</v>
      </c>
      <c r="D233" s="1" t="s">
        <v>182</v>
      </c>
      <c r="E233" s="1" t="s">
        <v>183</v>
      </c>
      <c r="F233" s="1">
        <v>8.03100155E8</v>
      </c>
      <c r="G233" s="2">
        <v>46023.0</v>
      </c>
      <c r="H233" s="2">
        <v>46129.0</v>
      </c>
      <c r="I233" s="1" t="s">
        <v>43</v>
      </c>
      <c r="J233" s="1" t="s">
        <v>310</v>
      </c>
      <c r="K233" s="3">
        <v>5.34</v>
      </c>
    </row>
    <row r="234" ht="15.75" customHeight="1">
      <c r="A234" s="1" t="s">
        <v>40</v>
      </c>
      <c r="C234" s="1">
        <v>1.879474E7</v>
      </c>
      <c r="D234" s="1" t="s">
        <v>185</v>
      </c>
      <c r="E234" s="1" t="s">
        <v>186</v>
      </c>
      <c r="F234" s="1">
        <v>8.03107563E8</v>
      </c>
      <c r="G234" s="2">
        <v>46023.0</v>
      </c>
      <c r="H234" s="2">
        <v>46129.0</v>
      </c>
      <c r="I234" s="1" t="s">
        <v>43</v>
      </c>
      <c r="J234" s="1" t="s">
        <v>309</v>
      </c>
      <c r="K234" s="3">
        <v>5.34</v>
      </c>
    </row>
    <row r="235" ht="15.75" customHeight="1">
      <c r="A235" s="1" t="s">
        <v>311</v>
      </c>
      <c r="C235" s="1">
        <v>2.1740129E7</v>
      </c>
      <c r="D235" s="1" t="s">
        <v>312</v>
      </c>
      <c r="E235" s="1" t="s">
        <v>313</v>
      </c>
      <c r="F235" s="1">
        <v>8.03100181E8</v>
      </c>
      <c r="G235" s="2">
        <v>46023.0</v>
      </c>
      <c r="H235" s="2">
        <v>46129.0</v>
      </c>
      <c r="I235" s="1" t="s">
        <v>43</v>
      </c>
      <c r="J235" s="1" t="s">
        <v>314</v>
      </c>
      <c r="K235" s="3">
        <v>5.34</v>
      </c>
    </row>
    <row r="236" ht="15.75" customHeight="1">
      <c r="A236" s="1" t="s">
        <v>26</v>
      </c>
      <c r="C236" s="1">
        <v>1.7429706E7</v>
      </c>
      <c r="D236" s="1" t="s">
        <v>315</v>
      </c>
      <c r="E236" s="1" t="s">
        <v>254</v>
      </c>
      <c r="F236" s="1">
        <v>8.03112462E8</v>
      </c>
      <c r="G236" s="2">
        <v>46082.0</v>
      </c>
      <c r="H236" s="2">
        <v>46129.0</v>
      </c>
      <c r="I236" s="1" t="s">
        <v>43</v>
      </c>
      <c r="J236" s="1" t="s">
        <v>309</v>
      </c>
      <c r="K236" s="3">
        <v>1.34</v>
      </c>
    </row>
    <row r="237" ht="15.75" customHeight="1">
      <c r="A237" s="1" t="s">
        <v>26</v>
      </c>
      <c r="C237" s="1">
        <v>1.7429706E7</v>
      </c>
      <c r="D237" s="1" t="s">
        <v>315</v>
      </c>
      <c r="E237" s="1" t="s">
        <v>254</v>
      </c>
      <c r="F237" s="1">
        <v>8.03112462E8</v>
      </c>
      <c r="G237" s="2">
        <v>46082.0</v>
      </c>
      <c r="H237" s="2">
        <v>46129.0</v>
      </c>
      <c r="I237" s="1" t="s">
        <v>43</v>
      </c>
      <c r="J237" s="1" t="s">
        <v>310</v>
      </c>
      <c r="K237" s="3">
        <v>1.34</v>
      </c>
    </row>
    <row r="238" ht="15.75" customHeight="1">
      <c r="A238" s="1" t="s">
        <v>218</v>
      </c>
      <c r="C238" s="1">
        <v>1.8010408E7</v>
      </c>
      <c r="D238" s="1" t="s">
        <v>169</v>
      </c>
      <c r="E238" s="1" t="s">
        <v>316</v>
      </c>
      <c r="F238" s="1">
        <v>8.0265924E8</v>
      </c>
      <c r="G238" s="2">
        <v>46054.0</v>
      </c>
      <c r="H238" s="2">
        <v>46129.0</v>
      </c>
      <c r="I238" s="1" t="s">
        <v>43</v>
      </c>
      <c r="J238" s="1" t="s">
        <v>309</v>
      </c>
      <c r="K238" s="3">
        <v>5.34</v>
      </c>
    </row>
    <row r="239" ht="15.75" customHeight="1">
      <c r="A239" s="1" t="s">
        <v>317</v>
      </c>
      <c r="C239" s="1">
        <v>4567262.0</v>
      </c>
      <c r="D239" s="1" t="s">
        <v>169</v>
      </c>
      <c r="E239" s="1" t="s">
        <v>318</v>
      </c>
      <c r="F239" s="1">
        <v>8.03123597E8</v>
      </c>
      <c r="G239" s="2">
        <v>46023.0</v>
      </c>
      <c r="H239" s="2">
        <v>46129.0</v>
      </c>
      <c r="I239" s="1" t="s">
        <v>43</v>
      </c>
      <c r="J239" s="1" t="s">
        <v>309</v>
      </c>
      <c r="K239" s="3">
        <v>5.34</v>
      </c>
    </row>
    <row r="240" ht="15.75" customHeight="1">
      <c r="A240" s="1" t="s">
        <v>23</v>
      </c>
      <c r="C240" s="1">
        <v>1.5278437E7</v>
      </c>
      <c r="D240" s="1" t="s">
        <v>188</v>
      </c>
      <c r="E240" s="1" t="s">
        <v>189</v>
      </c>
      <c r="F240" s="1">
        <v>8.03104059E8</v>
      </c>
      <c r="G240" s="2">
        <v>46023.0</v>
      </c>
      <c r="H240" s="2">
        <v>46129.0</v>
      </c>
      <c r="I240" s="1" t="s">
        <v>43</v>
      </c>
      <c r="J240" s="1" t="s">
        <v>309</v>
      </c>
      <c r="K240" s="3">
        <v>5.34</v>
      </c>
    </row>
    <row r="241" ht="15.75" customHeight="1">
      <c r="A241" s="1" t="s">
        <v>16</v>
      </c>
      <c r="C241" s="1">
        <v>1.9861194E7</v>
      </c>
      <c r="D241" s="1" t="s">
        <v>319</v>
      </c>
      <c r="E241" s="1" t="s">
        <v>320</v>
      </c>
      <c r="F241" s="1">
        <v>8.03116554E8</v>
      </c>
      <c r="G241" s="2">
        <v>46023.0</v>
      </c>
      <c r="H241" s="2">
        <v>46129.0</v>
      </c>
      <c r="I241" s="1" t="s">
        <v>43</v>
      </c>
      <c r="J241" s="1" t="s">
        <v>309</v>
      </c>
      <c r="K241" s="3">
        <v>5.34</v>
      </c>
    </row>
    <row r="242" ht="15.75" customHeight="1">
      <c r="A242" s="1" t="s">
        <v>23</v>
      </c>
      <c r="C242" s="1">
        <v>1.5278437E7</v>
      </c>
      <c r="D242" s="1" t="s">
        <v>190</v>
      </c>
      <c r="E242" s="1" t="s">
        <v>191</v>
      </c>
      <c r="F242" s="1">
        <v>8.03152334E8</v>
      </c>
      <c r="G242" s="2">
        <v>46082.0</v>
      </c>
      <c r="H242" s="2">
        <v>46129.0</v>
      </c>
      <c r="I242" s="1" t="s">
        <v>43</v>
      </c>
      <c r="J242" s="1" t="s">
        <v>310</v>
      </c>
      <c r="K242" s="3">
        <v>5.34</v>
      </c>
    </row>
    <row r="243" ht="15.75" customHeight="1">
      <c r="A243" s="1" t="s">
        <v>26</v>
      </c>
      <c r="C243" s="1">
        <v>1.7429706E7</v>
      </c>
      <c r="D243" s="1" t="s">
        <v>151</v>
      </c>
      <c r="E243" s="1" t="s">
        <v>321</v>
      </c>
      <c r="F243" s="1">
        <v>8.0261775E8</v>
      </c>
      <c r="G243" s="2">
        <v>46023.0</v>
      </c>
      <c r="H243" s="2">
        <v>46129.0</v>
      </c>
      <c r="I243" s="1" t="s">
        <v>43</v>
      </c>
      <c r="J243" s="1" t="s">
        <v>322</v>
      </c>
      <c r="K243" s="3">
        <v>1.5</v>
      </c>
    </row>
    <row r="244" ht="15.75" customHeight="1">
      <c r="A244" s="1" t="s">
        <v>26</v>
      </c>
      <c r="C244" s="1">
        <v>1.7429706E7</v>
      </c>
      <c r="D244" s="1" t="s">
        <v>323</v>
      </c>
      <c r="E244" s="1" t="s">
        <v>324</v>
      </c>
      <c r="F244" s="1">
        <v>8.03033617E8</v>
      </c>
      <c r="G244" s="2">
        <v>46023.0</v>
      </c>
      <c r="H244" s="2">
        <v>46129.0</v>
      </c>
      <c r="I244" s="1" t="s">
        <v>43</v>
      </c>
      <c r="J244" s="1" t="s">
        <v>325</v>
      </c>
      <c r="K244" s="3">
        <v>1.5</v>
      </c>
    </row>
    <row r="245" ht="15.75" customHeight="1">
      <c r="A245" s="1" t="s">
        <v>23</v>
      </c>
      <c r="C245" s="1">
        <v>1.5278437E7</v>
      </c>
      <c r="D245" s="1" t="s">
        <v>148</v>
      </c>
      <c r="E245" s="1" t="s">
        <v>149</v>
      </c>
      <c r="F245" s="1">
        <v>8.02020387E8</v>
      </c>
      <c r="G245" s="2">
        <v>46023.0</v>
      </c>
      <c r="H245" s="2">
        <v>46129.0</v>
      </c>
      <c r="I245" s="1" t="s">
        <v>43</v>
      </c>
      <c r="J245" s="1" t="s">
        <v>325</v>
      </c>
      <c r="K245" s="3">
        <v>6.0</v>
      </c>
    </row>
    <row r="246" ht="15.75" customHeight="1">
      <c r="A246" s="1" t="s">
        <v>26</v>
      </c>
      <c r="C246" s="1">
        <v>1.7429706E7</v>
      </c>
      <c r="D246" s="1" t="s">
        <v>326</v>
      </c>
      <c r="E246" s="1" t="s">
        <v>327</v>
      </c>
      <c r="F246" s="1">
        <v>8.02969249E8</v>
      </c>
      <c r="G246" s="2">
        <v>46023.0</v>
      </c>
      <c r="H246" s="2">
        <v>46129.0</v>
      </c>
      <c r="I246" s="1" t="s">
        <v>43</v>
      </c>
      <c r="J246" s="1" t="s">
        <v>328</v>
      </c>
      <c r="K246" s="3">
        <v>2.0</v>
      </c>
    </row>
    <row r="247" ht="15.75" customHeight="1">
      <c r="A247" s="1" t="s">
        <v>26</v>
      </c>
      <c r="C247" s="1">
        <v>1.7429706E7</v>
      </c>
      <c r="D247" s="1" t="s">
        <v>329</v>
      </c>
      <c r="E247" s="1" t="s">
        <v>330</v>
      </c>
      <c r="F247" s="1">
        <v>8.02563989E8</v>
      </c>
      <c r="G247" s="2">
        <v>46023.0</v>
      </c>
      <c r="H247" s="2">
        <v>46129.0</v>
      </c>
      <c r="I247" s="1" t="s">
        <v>43</v>
      </c>
      <c r="J247" s="1" t="s">
        <v>328</v>
      </c>
      <c r="K247" s="3">
        <v>2.0</v>
      </c>
    </row>
    <row r="248" ht="15.75" customHeight="1">
      <c r="A248" s="1" t="s">
        <v>11</v>
      </c>
      <c r="C248" s="1">
        <v>9254978.0</v>
      </c>
      <c r="D248" s="1" t="s">
        <v>192</v>
      </c>
      <c r="E248" s="1" t="s">
        <v>193</v>
      </c>
      <c r="F248" s="1">
        <v>8.02999435E8</v>
      </c>
      <c r="G248" s="2">
        <v>46023.0</v>
      </c>
      <c r="H248" s="2">
        <v>46129.0</v>
      </c>
      <c r="I248" s="1" t="s">
        <v>43</v>
      </c>
      <c r="J248" s="1" t="s">
        <v>331</v>
      </c>
      <c r="K248" s="3">
        <v>8.0</v>
      </c>
    </row>
    <row r="249" ht="15.75" customHeight="1">
      <c r="A249" s="1" t="s">
        <v>218</v>
      </c>
      <c r="C249" s="1">
        <v>1.8010408E7</v>
      </c>
      <c r="D249" s="1" t="s">
        <v>169</v>
      </c>
      <c r="E249" s="1" t="s">
        <v>332</v>
      </c>
      <c r="F249" s="1">
        <v>8.0283914E8</v>
      </c>
      <c r="G249" s="2">
        <v>46023.0</v>
      </c>
      <c r="H249" s="2">
        <v>46129.0</v>
      </c>
      <c r="I249" s="1" t="s">
        <v>43</v>
      </c>
      <c r="J249" s="1" t="s">
        <v>333</v>
      </c>
      <c r="K249" s="3">
        <v>10.0</v>
      </c>
    </row>
    <row r="250" ht="15.75" customHeight="1">
      <c r="A250" s="1" t="s">
        <v>45</v>
      </c>
      <c r="C250" s="1">
        <v>1.6509456E7</v>
      </c>
      <c r="D250" s="1" t="s">
        <v>195</v>
      </c>
      <c r="E250" s="1" t="s">
        <v>196</v>
      </c>
      <c r="F250" s="1">
        <v>8.03094359E8</v>
      </c>
      <c r="G250" s="2">
        <v>46023.0</v>
      </c>
      <c r="H250" s="2">
        <v>46129.0</v>
      </c>
      <c r="I250" s="1" t="s">
        <v>43</v>
      </c>
      <c r="J250" s="1" t="s">
        <v>333</v>
      </c>
      <c r="K250" s="3">
        <v>10.0</v>
      </c>
    </row>
    <row r="251" ht="15.75" customHeight="1">
      <c r="A251" s="1" t="s">
        <v>26</v>
      </c>
      <c r="C251" s="1">
        <v>1.7429706E7</v>
      </c>
      <c r="D251" s="1" t="s">
        <v>24</v>
      </c>
      <c r="E251" s="1" t="s">
        <v>334</v>
      </c>
      <c r="F251" s="1">
        <v>8.02523721E8</v>
      </c>
      <c r="G251" s="2">
        <v>46023.0</v>
      </c>
      <c r="H251" s="2">
        <v>46129.0</v>
      </c>
      <c r="I251" s="1" t="s">
        <v>43</v>
      </c>
      <c r="J251" s="1" t="s">
        <v>333</v>
      </c>
      <c r="K251" s="3">
        <v>2.5</v>
      </c>
    </row>
    <row r="252" ht="15.75" customHeight="1">
      <c r="A252" s="1" t="s">
        <v>218</v>
      </c>
      <c r="C252" s="1">
        <v>1.8010408E7</v>
      </c>
      <c r="D252" s="1" t="s">
        <v>335</v>
      </c>
      <c r="E252" s="1" t="s">
        <v>336</v>
      </c>
      <c r="F252" s="1">
        <v>8.03098221E8</v>
      </c>
      <c r="G252" s="2">
        <v>46023.0</v>
      </c>
      <c r="H252" s="2">
        <v>46129.0</v>
      </c>
      <c r="I252" s="1" t="s">
        <v>43</v>
      </c>
      <c r="J252" s="1" t="s">
        <v>337</v>
      </c>
      <c r="K252" s="3">
        <v>10.68</v>
      </c>
    </row>
    <row r="253" ht="15.75" customHeight="1">
      <c r="A253" s="1" t="s">
        <v>338</v>
      </c>
      <c r="C253" s="1">
        <v>1.9279958E7</v>
      </c>
      <c r="D253" s="1" t="s">
        <v>339</v>
      </c>
      <c r="E253" s="1" t="s">
        <v>340</v>
      </c>
      <c r="F253" s="1">
        <v>8.0315654E8</v>
      </c>
      <c r="G253" s="2">
        <v>46082.0</v>
      </c>
      <c r="H253" s="2">
        <v>46129.0</v>
      </c>
      <c r="I253" s="1" t="s">
        <v>43</v>
      </c>
      <c r="J253" s="1" t="s">
        <v>126</v>
      </c>
      <c r="K253" s="3">
        <v>22.0</v>
      </c>
    </row>
    <row r="254" ht="15.75" customHeight="1">
      <c r="A254" s="1" t="s">
        <v>338</v>
      </c>
      <c r="C254" s="1">
        <v>1.9279958E7</v>
      </c>
      <c r="D254" s="1" t="s">
        <v>339</v>
      </c>
      <c r="E254" s="1" t="s">
        <v>340</v>
      </c>
      <c r="F254" s="1">
        <v>8.0315654E8</v>
      </c>
      <c r="G254" s="2">
        <v>46082.0</v>
      </c>
      <c r="H254" s="2">
        <v>46129.0</v>
      </c>
      <c r="I254" s="1" t="s">
        <v>43</v>
      </c>
      <c r="J254" s="1" t="s">
        <v>271</v>
      </c>
      <c r="K254" s="3">
        <v>2.67</v>
      </c>
    </row>
    <row r="255" ht="15.75" customHeight="1">
      <c r="A255" s="1" t="s">
        <v>26</v>
      </c>
      <c r="C255" s="1">
        <v>1.7429706E7</v>
      </c>
      <c r="D255" s="1" t="s">
        <v>261</v>
      </c>
      <c r="E255" s="1" t="s">
        <v>341</v>
      </c>
      <c r="F255" s="1">
        <v>8.03080969E8</v>
      </c>
      <c r="G255" s="2">
        <v>46023.0</v>
      </c>
      <c r="H255" s="2">
        <v>46129.0</v>
      </c>
      <c r="I255" s="1" t="s">
        <v>43</v>
      </c>
      <c r="J255" s="1" t="s">
        <v>337</v>
      </c>
      <c r="K255" s="3">
        <v>2.68</v>
      </c>
    </row>
    <row r="256" ht="15.75" customHeight="1">
      <c r="A256" s="1" t="s">
        <v>26</v>
      </c>
      <c r="C256" s="1">
        <v>1.7429706E7</v>
      </c>
      <c r="D256" s="1" t="s">
        <v>261</v>
      </c>
      <c r="E256" s="1" t="s">
        <v>341</v>
      </c>
      <c r="F256" s="1">
        <v>8.03080969E8</v>
      </c>
      <c r="G256" s="2">
        <v>46023.0</v>
      </c>
      <c r="H256" s="2">
        <v>46129.0</v>
      </c>
      <c r="I256" s="1" t="s">
        <v>43</v>
      </c>
      <c r="J256" s="1" t="s">
        <v>342</v>
      </c>
      <c r="K256" s="3">
        <v>2.68</v>
      </c>
    </row>
    <row r="257" ht="15.75" customHeight="1">
      <c r="A257" s="1" t="s">
        <v>26</v>
      </c>
      <c r="C257" s="1">
        <v>1.7429706E7</v>
      </c>
      <c r="D257" s="1" t="s">
        <v>343</v>
      </c>
      <c r="E257" s="1" t="s">
        <v>344</v>
      </c>
      <c r="F257" s="1">
        <v>8.02994463E8</v>
      </c>
      <c r="G257" s="2">
        <v>45658.0</v>
      </c>
      <c r="H257" s="2">
        <v>46129.0</v>
      </c>
      <c r="I257" s="1" t="s">
        <v>43</v>
      </c>
      <c r="J257" s="1" t="s">
        <v>345</v>
      </c>
      <c r="K257" s="3">
        <v>2.68</v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1.43"/>
    <col customWidth="1" min="3" max="4" width="13.86"/>
    <col customWidth="1" min="5" max="5" width="10.86"/>
    <col customWidth="1" min="6" max="6" width="14.43"/>
    <col customWidth="1" min="7" max="7" width="11.57"/>
    <col customWidth="1" min="8" max="8" width="97.43"/>
    <col customWidth="1" min="9" max="10" width="15.14"/>
    <col customWidth="1" min="12" max="12" width="22.29"/>
    <col customWidth="1" min="15" max="15" width="17.29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346</v>
      </c>
      <c r="J1" s="5" t="s">
        <v>10</v>
      </c>
      <c r="K1" s="6" t="s">
        <v>347</v>
      </c>
      <c r="L1" s="6" t="s">
        <v>348</v>
      </c>
      <c r="M1" s="6" t="s">
        <v>349</v>
      </c>
    </row>
    <row r="2">
      <c r="A2" s="1" t="s">
        <v>11</v>
      </c>
      <c r="B2" s="1" t="s">
        <v>12</v>
      </c>
      <c r="C2" s="1" t="s">
        <v>13</v>
      </c>
      <c r="D2" s="1" t="str">
        <f t="shared" ref="D2:D257" si="1">concatenate(B2," ",C2)</f>
        <v>Crystal Wierbowski</v>
      </c>
      <c r="E2" s="1">
        <v>8.02996993E8</v>
      </c>
      <c r="F2" s="1" t="str">
        <f t="shared" ref="F2:F12" si="2">concat(E2,0)</f>
        <v>8029969930</v>
      </c>
      <c r="G2" s="2">
        <v>45689.0</v>
      </c>
      <c r="H2" s="1" t="s">
        <v>15</v>
      </c>
      <c r="I2" s="7"/>
      <c r="J2" s="7">
        <v>2.9</v>
      </c>
      <c r="K2" s="1">
        <f t="shared" ref="K2:K12" si="3">J2*10</f>
        <v>29</v>
      </c>
      <c r="L2" s="6" t="s">
        <v>350</v>
      </c>
      <c r="M2" s="8">
        <v>46082.0</v>
      </c>
    </row>
    <row r="3">
      <c r="A3" s="1" t="s">
        <v>11</v>
      </c>
      <c r="B3" s="1" t="s">
        <v>12</v>
      </c>
      <c r="C3" s="1" t="s">
        <v>13</v>
      </c>
      <c r="D3" s="1" t="str">
        <f t="shared" si="1"/>
        <v>Crystal Wierbowski</v>
      </c>
      <c r="E3" s="1">
        <v>8.02996993E8</v>
      </c>
      <c r="F3" s="1" t="str">
        <f t="shared" si="2"/>
        <v>8029969930</v>
      </c>
      <c r="G3" s="2">
        <v>45689.0</v>
      </c>
      <c r="H3" s="1" t="s">
        <v>15</v>
      </c>
      <c r="I3" s="7"/>
      <c r="J3" s="7">
        <v>0.39</v>
      </c>
      <c r="K3" s="1">
        <f t="shared" si="3"/>
        <v>3.9</v>
      </c>
      <c r="L3" s="6" t="s">
        <v>350</v>
      </c>
      <c r="M3" s="8">
        <v>46082.0</v>
      </c>
    </row>
    <row r="4">
      <c r="A4" s="1" t="s">
        <v>16</v>
      </c>
      <c r="B4" s="1" t="s">
        <v>17</v>
      </c>
      <c r="C4" s="1" t="s">
        <v>18</v>
      </c>
      <c r="D4" s="1" t="str">
        <f t="shared" si="1"/>
        <v>Collin L Schadel</v>
      </c>
      <c r="E4" s="1">
        <v>8.03143627E8</v>
      </c>
      <c r="F4" s="1" t="str">
        <f t="shared" si="2"/>
        <v>8031436270</v>
      </c>
      <c r="G4" s="2">
        <v>46054.0</v>
      </c>
      <c r="H4" s="1" t="s">
        <v>19</v>
      </c>
      <c r="I4" s="7"/>
      <c r="J4" s="7">
        <v>0.08</v>
      </c>
      <c r="K4" s="1">
        <f t="shared" si="3"/>
        <v>0.8</v>
      </c>
      <c r="L4" s="6" t="s">
        <v>350</v>
      </c>
      <c r="M4" s="8">
        <v>46082.0</v>
      </c>
    </row>
    <row r="5">
      <c r="A5" s="1" t="s">
        <v>16</v>
      </c>
      <c r="B5" s="1" t="s">
        <v>20</v>
      </c>
      <c r="C5" s="1" t="s">
        <v>21</v>
      </c>
      <c r="D5" s="1" t="str">
        <f t="shared" si="1"/>
        <v>Kylie Good</v>
      </c>
      <c r="E5" s="1">
        <v>8.02820214E8</v>
      </c>
      <c r="F5" s="1" t="str">
        <f t="shared" si="2"/>
        <v>8028202140</v>
      </c>
      <c r="G5" s="2">
        <v>45139.0</v>
      </c>
      <c r="H5" s="1" t="s">
        <v>22</v>
      </c>
      <c r="I5" s="7"/>
      <c r="J5" s="7">
        <v>0.15</v>
      </c>
      <c r="K5" s="1">
        <f t="shared" si="3"/>
        <v>1.5</v>
      </c>
      <c r="L5" s="6" t="s">
        <v>350</v>
      </c>
      <c r="M5" s="8">
        <v>46113.0</v>
      </c>
    </row>
    <row r="6">
      <c r="A6" s="1" t="s">
        <v>23</v>
      </c>
      <c r="B6" s="1" t="s">
        <v>24</v>
      </c>
      <c r="C6" s="1" t="s">
        <v>25</v>
      </c>
      <c r="D6" s="1" t="str">
        <f t="shared" si="1"/>
        <v>Nicholas A Nudy</v>
      </c>
      <c r="E6" s="1">
        <v>8.03116354E8</v>
      </c>
      <c r="F6" s="1" t="str">
        <f t="shared" si="2"/>
        <v>8031163540</v>
      </c>
      <c r="G6" s="2">
        <v>46023.0</v>
      </c>
      <c r="H6" s="1" t="s">
        <v>19</v>
      </c>
      <c r="I6" s="7"/>
      <c r="J6" s="7">
        <v>0.6</v>
      </c>
      <c r="K6" s="1">
        <f t="shared" si="3"/>
        <v>6</v>
      </c>
      <c r="L6" s="6" t="s">
        <v>350</v>
      </c>
      <c r="M6" s="8">
        <v>46082.0</v>
      </c>
    </row>
    <row r="7">
      <c r="A7" s="1" t="s">
        <v>23</v>
      </c>
      <c r="B7" s="1" t="s">
        <v>24</v>
      </c>
      <c r="C7" s="1" t="s">
        <v>25</v>
      </c>
      <c r="D7" s="1" t="str">
        <f t="shared" si="1"/>
        <v>Nicholas A Nudy</v>
      </c>
      <c r="E7" s="1">
        <v>8.03116354E8</v>
      </c>
      <c r="F7" s="1" t="str">
        <f t="shared" si="2"/>
        <v>8031163540</v>
      </c>
      <c r="G7" s="2">
        <v>46023.0</v>
      </c>
      <c r="H7" s="1" t="s">
        <v>19</v>
      </c>
      <c r="I7" s="7"/>
      <c r="J7" s="7">
        <v>0.08</v>
      </c>
      <c r="K7" s="1">
        <f t="shared" si="3"/>
        <v>0.8</v>
      </c>
      <c r="L7" s="6" t="s">
        <v>350</v>
      </c>
      <c r="M7" s="8">
        <v>46082.0</v>
      </c>
    </row>
    <row r="8">
      <c r="A8" s="1" t="s">
        <v>26</v>
      </c>
      <c r="B8" s="1" t="s">
        <v>27</v>
      </c>
      <c r="C8" s="1" t="s">
        <v>28</v>
      </c>
      <c r="D8" s="1" t="str">
        <f t="shared" si="1"/>
        <v>Joshua Faust</v>
      </c>
      <c r="E8" s="1">
        <v>8.03102051E8</v>
      </c>
      <c r="F8" s="1" t="str">
        <f t="shared" si="2"/>
        <v>8031020510</v>
      </c>
      <c r="G8" s="2">
        <v>46023.0</v>
      </c>
      <c r="H8" s="1" t="s">
        <v>29</v>
      </c>
      <c r="I8" s="7"/>
      <c r="J8" s="7">
        <v>0.19</v>
      </c>
      <c r="K8" s="1">
        <f t="shared" si="3"/>
        <v>1.9</v>
      </c>
      <c r="L8" s="6" t="s">
        <v>350</v>
      </c>
      <c r="M8" s="8">
        <v>46054.0</v>
      </c>
    </row>
    <row r="9">
      <c r="A9" s="1" t="s">
        <v>26</v>
      </c>
      <c r="B9" s="1" t="s">
        <v>27</v>
      </c>
      <c r="C9" s="1" t="s">
        <v>28</v>
      </c>
      <c r="D9" s="1" t="str">
        <f t="shared" si="1"/>
        <v>Joshua Faust</v>
      </c>
      <c r="E9" s="1">
        <v>8.03102051E8</v>
      </c>
      <c r="F9" s="1" t="str">
        <f t="shared" si="2"/>
        <v>8031020510</v>
      </c>
      <c r="G9" s="2">
        <v>46023.0</v>
      </c>
      <c r="H9" s="1" t="s">
        <v>30</v>
      </c>
      <c r="I9" s="7"/>
      <c r="J9" s="7">
        <v>0.19</v>
      </c>
      <c r="K9" s="1">
        <f t="shared" si="3"/>
        <v>1.9</v>
      </c>
      <c r="L9" s="6" t="s">
        <v>350</v>
      </c>
      <c r="M9" s="8">
        <v>46082.0</v>
      </c>
    </row>
    <row r="10">
      <c r="A10" s="1" t="s">
        <v>26</v>
      </c>
      <c r="B10" s="1" t="s">
        <v>31</v>
      </c>
      <c r="C10" s="1" t="s">
        <v>32</v>
      </c>
      <c r="D10" s="1" t="str">
        <f t="shared" si="1"/>
        <v>Jennifer Bevenour</v>
      </c>
      <c r="E10" s="1">
        <v>8.02861359E8</v>
      </c>
      <c r="F10" s="1" t="str">
        <f t="shared" si="2"/>
        <v>8028613590</v>
      </c>
      <c r="G10" s="2">
        <v>45292.0</v>
      </c>
      <c r="H10" s="1" t="s">
        <v>33</v>
      </c>
      <c r="I10" s="7"/>
      <c r="J10" s="7">
        <v>0.02</v>
      </c>
      <c r="K10" s="1">
        <f t="shared" si="3"/>
        <v>0.2</v>
      </c>
      <c r="L10" s="6" t="s">
        <v>350</v>
      </c>
      <c r="M10" s="8">
        <v>46113.0</v>
      </c>
    </row>
    <row r="11">
      <c r="A11" s="1" t="s">
        <v>26</v>
      </c>
      <c r="B11" s="1" t="s">
        <v>34</v>
      </c>
      <c r="C11" s="1" t="s">
        <v>35</v>
      </c>
      <c r="D11" s="1" t="str">
        <f t="shared" si="1"/>
        <v>Kevin J Herritt</v>
      </c>
      <c r="E11" s="1">
        <v>8.02937524E8</v>
      </c>
      <c r="F11" s="1" t="str">
        <f t="shared" si="2"/>
        <v>8029375240</v>
      </c>
      <c r="G11" s="2">
        <v>45505.0</v>
      </c>
      <c r="H11" s="1" t="s">
        <v>36</v>
      </c>
      <c r="I11" s="7"/>
      <c r="J11" s="7">
        <v>0.04</v>
      </c>
      <c r="K11" s="1">
        <f t="shared" si="3"/>
        <v>0.4</v>
      </c>
      <c r="L11" s="6" t="s">
        <v>350</v>
      </c>
      <c r="M11" s="8">
        <v>46082.0</v>
      </c>
    </row>
    <row r="12">
      <c r="A12" s="1" t="s">
        <v>26</v>
      </c>
      <c r="B12" s="1" t="s">
        <v>37</v>
      </c>
      <c r="C12" s="1" t="s">
        <v>38</v>
      </c>
      <c r="D12" s="1" t="str">
        <f t="shared" si="1"/>
        <v>Dannie R Hostetler</v>
      </c>
      <c r="E12" s="1">
        <v>8.02849468E8</v>
      </c>
      <c r="F12" s="1" t="str">
        <f t="shared" si="2"/>
        <v>8028494680</v>
      </c>
      <c r="G12" s="2">
        <v>45962.0</v>
      </c>
      <c r="H12" s="1" t="s">
        <v>39</v>
      </c>
      <c r="I12" s="7"/>
      <c r="J12" s="7">
        <v>0.07</v>
      </c>
      <c r="K12" s="1">
        <f t="shared" si="3"/>
        <v>0.7</v>
      </c>
      <c r="L12" s="6" t="s">
        <v>350</v>
      </c>
      <c r="M12" s="8">
        <v>46113.0</v>
      </c>
    </row>
    <row r="13">
      <c r="A13" s="1" t="s">
        <v>40</v>
      </c>
      <c r="B13" s="1" t="s">
        <v>41</v>
      </c>
      <c r="C13" s="1" t="s">
        <v>42</v>
      </c>
      <c r="D13" s="1" t="str">
        <f t="shared" si="1"/>
        <v>Alesha Baughman</v>
      </c>
      <c r="E13" s="1">
        <v>8.03044035E8</v>
      </c>
      <c r="F13" s="1">
        <v>8.03044035E8</v>
      </c>
      <c r="G13" s="2">
        <v>46023.0</v>
      </c>
      <c r="H13" s="1" t="s">
        <v>44</v>
      </c>
      <c r="I13" s="7"/>
      <c r="J13" s="7">
        <v>18.0</v>
      </c>
      <c r="K13" s="6">
        <v>1.0</v>
      </c>
      <c r="L13" s="6" t="s">
        <v>351</v>
      </c>
      <c r="M13" s="1" t="str">
        <f t="shared" ref="M13:M257" si="4">MID(H13, FIND("Premium Period: ", H13)+LEN("Premium Period: "), 10)</f>
        <v>4/1/2026</v>
      </c>
    </row>
    <row r="14">
      <c r="A14" s="1" t="s">
        <v>45</v>
      </c>
      <c r="B14" s="1" t="s">
        <v>46</v>
      </c>
      <c r="C14" s="1" t="s">
        <v>47</v>
      </c>
      <c r="D14" s="1" t="str">
        <f t="shared" si="1"/>
        <v>Alyssa Harris</v>
      </c>
      <c r="E14" s="1">
        <v>8.03072574E8</v>
      </c>
      <c r="F14" s="1">
        <v>8.03072574E8</v>
      </c>
      <c r="G14" s="2">
        <v>46023.0</v>
      </c>
      <c r="H14" s="1" t="s">
        <v>48</v>
      </c>
      <c r="I14" s="7"/>
      <c r="J14" s="7">
        <v>18.0</v>
      </c>
      <c r="K14" s="6">
        <v>1.0</v>
      </c>
      <c r="L14" s="6" t="s">
        <v>351</v>
      </c>
      <c r="M14" s="1" t="str">
        <f t="shared" si="4"/>
        <v>3/1/2026</v>
      </c>
    </row>
    <row r="15">
      <c r="A15" s="1" t="s">
        <v>45</v>
      </c>
      <c r="B15" s="1" t="s">
        <v>46</v>
      </c>
      <c r="C15" s="1" t="s">
        <v>47</v>
      </c>
      <c r="D15" s="1" t="str">
        <f t="shared" si="1"/>
        <v>Alyssa Harris</v>
      </c>
      <c r="E15" s="1">
        <v>8.03072574E8</v>
      </c>
      <c r="F15" s="1">
        <v>8.03072574E8</v>
      </c>
      <c r="G15" s="2">
        <v>46023.0</v>
      </c>
      <c r="H15" s="1" t="s">
        <v>49</v>
      </c>
      <c r="I15" s="7"/>
      <c r="J15" s="7">
        <v>18.0</v>
      </c>
      <c r="K15" s="6">
        <v>1.0</v>
      </c>
      <c r="L15" s="6" t="s">
        <v>351</v>
      </c>
      <c r="M15" s="1" t="str">
        <f t="shared" si="4"/>
        <v>2/1/2026</v>
      </c>
    </row>
    <row r="16">
      <c r="A16" s="1" t="s">
        <v>11</v>
      </c>
      <c r="B16" s="1" t="s">
        <v>50</v>
      </c>
      <c r="C16" s="1" t="s">
        <v>51</v>
      </c>
      <c r="D16" s="1" t="str">
        <f t="shared" si="1"/>
        <v>Annetta Otto</v>
      </c>
      <c r="E16" s="1">
        <v>8.03052014E8</v>
      </c>
      <c r="F16" s="1">
        <v>8.03052014E8</v>
      </c>
      <c r="G16" s="2">
        <v>46023.0</v>
      </c>
      <c r="H16" s="1" t="s">
        <v>48</v>
      </c>
      <c r="I16" s="7"/>
      <c r="J16" s="7">
        <v>18.0</v>
      </c>
      <c r="K16" s="6">
        <v>1.0</v>
      </c>
      <c r="L16" s="6" t="s">
        <v>351</v>
      </c>
      <c r="M16" s="1" t="str">
        <f t="shared" si="4"/>
        <v>3/1/2026</v>
      </c>
    </row>
    <row r="17">
      <c r="A17" s="1" t="s">
        <v>52</v>
      </c>
      <c r="B17" s="1" t="s">
        <v>53</v>
      </c>
      <c r="C17" s="1" t="s">
        <v>54</v>
      </c>
      <c r="D17" s="1" t="str">
        <f t="shared" si="1"/>
        <v>Bonnie Orwan</v>
      </c>
      <c r="E17" s="1">
        <v>8.0276612E8</v>
      </c>
      <c r="F17" s="1">
        <v>8.0276612E8</v>
      </c>
      <c r="G17" s="2">
        <v>46023.0</v>
      </c>
      <c r="H17" s="1" t="s">
        <v>44</v>
      </c>
      <c r="I17" s="7"/>
      <c r="J17" s="7">
        <v>18.0</v>
      </c>
      <c r="K17" s="6">
        <v>1.0</v>
      </c>
      <c r="L17" s="6" t="s">
        <v>351</v>
      </c>
      <c r="M17" s="1" t="str">
        <f t="shared" si="4"/>
        <v>4/1/2026</v>
      </c>
    </row>
    <row r="18">
      <c r="A18" s="1" t="s">
        <v>55</v>
      </c>
      <c r="B18" s="1" t="s">
        <v>56</v>
      </c>
      <c r="C18" s="1" t="s">
        <v>57</v>
      </c>
      <c r="D18" s="1" t="str">
        <f t="shared" si="1"/>
        <v>Brian Brennan</v>
      </c>
      <c r="E18" s="1">
        <v>8.02422752E8</v>
      </c>
      <c r="F18" s="1">
        <v>8.02422752E8</v>
      </c>
      <c r="G18" s="2">
        <v>46023.0</v>
      </c>
      <c r="H18" s="1" t="s">
        <v>48</v>
      </c>
      <c r="I18" s="7"/>
      <c r="J18" s="7">
        <v>18.0</v>
      </c>
      <c r="K18" s="6">
        <v>1.0</v>
      </c>
      <c r="L18" s="6" t="s">
        <v>351</v>
      </c>
      <c r="M18" s="1" t="str">
        <f t="shared" si="4"/>
        <v>3/1/2026</v>
      </c>
    </row>
    <row r="19">
      <c r="A19" s="1" t="s">
        <v>58</v>
      </c>
      <c r="B19" s="1" t="s">
        <v>59</v>
      </c>
      <c r="C19" s="1" t="s">
        <v>60</v>
      </c>
      <c r="D19" s="1" t="str">
        <f t="shared" si="1"/>
        <v>Carla Parsons</v>
      </c>
      <c r="E19" s="1">
        <v>8.02556534E8</v>
      </c>
      <c r="F19" s="1">
        <v>8.02556534E8</v>
      </c>
      <c r="G19" s="2">
        <v>46023.0</v>
      </c>
      <c r="H19" s="1" t="s">
        <v>44</v>
      </c>
      <c r="I19" s="7"/>
      <c r="J19" s="7">
        <v>18.0</v>
      </c>
      <c r="K19" s="6">
        <v>1.0</v>
      </c>
      <c r="L19" s="6" t="s">
        <v>351</v>
      </c>
      <c r="M19" s="1" t="str">
        <f t="shared" si="4"/>
        <v>4/1/2026</v>
      </c>
    </row>
    <row r="20">
      <c r="A20" s="1" t="s">
        <v>23</v>
      </c>
      <c r="B20" s="1" t="s">
        <v>61</v>
      </c>
      <c r="C20" s="1" t="s">
        <v>62</v>
      </c>
      <c r="D20" s="1" t="str">
        <f t="shared" si="1"/>
        <v>Casey Randler</v>
      </c>
      <c r="E20" s="1">
        <v>8.02672124E8</v>
      </c>
      <c r="F20" s="1">
        <v>8.02672124E8</v>
      </c>
      <c r="G20" s="2">
        <v>46023.0</v>
      </c>
      <c r="H20" s="1" t="s">
        <v>48</v>
      </c>
      <c r="I20" s="7"/>
      <c r="J20" s="7">
        <v>18.0</v>
      </c>
      <c r="K20" s="6">
        <v>1.0</v>
      </c>
      <c r="L20" s="6" t="s">
        <v>351</v>
      </c>
      <c r="M20" s="1" t="str">
        <f t="shared" si="4"/>
        <v>3/1/2026</v>
      </c>
    </row>
    <row r="21">
      <c r="A21" s="1" t="s">
        <v>63</v>
      </c>
      <c r="B21" s="1" t="s">
        <v>64</v>
      </c>
      <c r="C21" s="1" t="s">
        <v>65</v>
      </c>
      <c r="D21" s="1" t="str">
        <f t="shared" si="1"/>
        <v>Caterina Baiada</v>
      </c>
      <c r="E21" s="1">
        <v>8.03049628E8</v>
      </c>
      <c r="F21" s="1">
        <v>8.03049628E8</v>
      </c>
      <c r="G21" s="2">
        <v>46023.0</v>
      </c>
      <c r="H21" s="1" t="s">
        <v>44</v>
      </c>
      <c r="I21" s="7"/>
      <c r="J21" s="7">
        <v>18.0</v>
      </c>
      <c r="K21" s="6">
        <v>1.0</v>
      </c>
      <c r="L21" s="6" t="s">
        <v>351</v>
      </c>
      <c r="M21" s="1" t="str">
        <f t="shared" si="4"/>
        <v>4/1/2026</v>
      </c>
    </row>
    <row r="22">
      <c r="A22" s="1" t="s">
        <v>58</v>
      </c>
      <c r="B22" s="1" t="s">
        <v>66</v>
      </c>
      <c r="C22" s="1" t="s">
        <v>67</v>
      </c>
      <c r="D22" s="1" t="str">
        <f t="shared" si="1"/>
        <v>Cesar Martinez</v>
      </c>
      <c r="E22" s="1">
        <v>8.02041455E8</v>
      </c>
      <c r="F22" s="1">
        <v>8.02041455E8</v>
      </c>
      <c r="G22" s="2">
        <v>46023.0</v>
      </c>
      <c r="H22" s="1" t="s">
        <v>48</v>
      </c>
      <c r="I22" s="7"/>
      <c r="J22" s="7">
        <v>18.0</v>
      </c>
      <c r="K22" s="6">
        <v>1.0</v>
      </c>
      <c r="L22" s="6" t="s">
        <v>351</v>
      </c>
      <c r="M22" s="1" t="str">
        <f t="shared" si="4"/>
        <v>3/1/2026</v>
      </c>
    </row>
    <row r="23">
      <c r="A23" s="1" t="s">
        <v>23</v>
      </c>
      <c r="B23" s="1" t="s">
        <v>68</v>
      </c>
      <c r="C23" s="1" t="s">
        <v>69</v>
      </c>
      <c r="D23" s="1" t="str">
        <f t="shared" si="1"/>
        <v>Clare Graham</v>
      </c>
      <c r="E23" s="1">
        <v>8.02924885E8</v>
      </c>
      <c r="F23" s="1">
        <v>8.02924885E8</v>
      </c>
      <c r="G23" s="2">
        <v>46023.0</v>
      </c>
      <c r="H23" s="1" t="s">
        <v>44</v>
      </c>
      <c r="I23" s="7"/>
      <c r="J23" s="7">
        <v>18.0</v>
      </c>
      <c r="K23" s="6">
        <v>1.0</v>
      </c>
      <c r="L23" s="6" t="s">
        <v>351</v>
      </c>
      <c r="M23" s="1" t="str">
        <f t="shared" si="4"/>
        <v>4/1/2026</v>
      </c>
    </row>
    <row r="24">
      <c r="A24" s="1" t="s">
        <v>40</v>
      </c>
      <c r="B24" s="1" t="s">
        <v>70</v>
      </c>
      <c r="C24" s="1" t="s">
        <v>71</v>
      </c>
      <c r="D24" s="1" t="str">
        <f t="shared" si="1"/>
        <v>Donna Steffy</v>
      </c>
      <c r="E24" s="1">
        <v>8.02629573E8</v>
      </c>
      <c r="F24" s="1">
        <v>8.02629573E8</v>
      </c>
      <c r="G24" s="2">
        <v>46023.0</v>
      </c>
      <c r="H24" s="1" t="s">
        <v>48</v>
      </c>
      <c r="I24" s="7"/>
      <c r="J24" s="7">
        <v>18.0</v>
      </c>
      <c r="K24" s="6">
        <v>1.0</v>
      </c>
      <c r="L24" s="6" t="s">
        <v>351</v>
      </c>
      <c r="M24" s="1" t="str">
        <f t="shared" si="4"/>
        <v>3/1/2026</v>
      </c>
    </row>
    <row r="25">
      <c r="A25" s="1" t="s">
        <v>23</v>
      </c>
      <c r="B25" s="1" t="s">
        <v>72</v>
      </c>
      <c r="C25" s="1" t="s">
        <v>73</v>
      </c>
      <c r="D25" s="1" t="str">
        <f t="shared" si="1"/>
        <v>Eric Ludwig</v>
      </c>
      <c r="E25" s="1">
        <v>8.02898409E8</v>
      </c>
      <c r="F25" s="1">
        <v>8.02898409E8</v>
      </c>
      <c r="G25" s="2">
        <v>46023.0</v>
      </c>
      <c r="H25" s="1" t="s">
        <v>44</v>
      </c>
      <c r="I25" s="7"/>
      <c r="J25" s="7">
        <v>18.0</v>
      </c>
      <c r="K25" s="6">
        <v>1.0</v>
      </c>
      <c r="L25" s="6" t="s">
        <v>351</v>
      </c>
      <c r="M25" s="1" t="str">
        <f t="shared" si="4"/>
        <v>4/1/2026</v>
      </c>
    </row>
    <row r="26">
      <c r="A26" s="1" t="s">
        <v>23</v>
      </c>
      <c r="B26" s="1" t="s">
        <v>72</v>
      </c>
      <c r="C26" s="1" t="s">
        <v>73</v>
      </c>
      <c r="D26" s="1" t="str">
        <f t="shared" si="1"/>
        <v>Eric Ludwig</v>
      </c>
      <c r="E26" s="1">
        <v>8.02898409E8</v>
      </c>
      <c r="F26" s="1">
        <v>8.02898409E8</v>
      </c>
      <c r="G26" s="2">
        <v>46023.0</v>
      </c>
      <c r="H26" s="1" t="s">
        <v>48</v>
      </c>
      <c r="I26" s="7"/>
      <c r="J26" s="7">
        <v>18.0</v>
      </c>
      <c r="K26" s="6">
        <v>1.0</v>
      </c>
      <c r="L26" s="6" t="s">
        <v>351</v>
      </c>
      <c r="M26" s="1" t="str">
        <f t="shared" si="4"/>
        <v>3/1/2026</v>
      </c>
    </row>
    <row r="27">
      <c r="A27" s="1" t="s">
        <v>40</v>
      </c>
      <c r="B27" s="1" t="s">
        <v>74</v>
      </c>
      <c r="C27" s="1" t="s">
        <v>75</v>
      </c>
      <c r="D27" s="1" t="str">
        <f t="shared" si="1"/>
        <v>Evelyn J Moehring</v>
      </c>
      <c r="E27" s="1">
        <v>8.02944968E8</v>
      </c>
      <c r="F27" s="1">
        <v>8.02944968E8</v>
      </c>
      <c r="G27" s="2">
        <v>45658.0</v>
      </c>
      <c r="H27" s="1" t="s">
        <v>76</v>
      </c>
      <c r="I27" s="7"/>
      <c r="J27" s="7">
        <v>18.0</v>
      </c>
      <c r="K27" s="6">
        <v>1.0</v>
      </c>
      <c r="L27" s="6" t="s">
        <v>351</v>
      </c>
      <c r="M27" s="1" t="str">
        <f t="shared" si="4"/>
        <v>12/1/2025</v>
      </c>
    </row>
    <row r="28">
      <c r="A28" s="1" t="s">
        <v>23</v>
      </c>
      <c r="B28" s="1" t="s">
        <v>77</v>
      </c>
      <c r="C28" s="1" t="s">
        <v>78</v>
      </c>
      <c r="D28" s="1" t="str">
        <f t="shared" si="1"/>
        <v>Fred Carbonell</v>
      </c>
      <c r="E28" s="1">
        <v>8.03075621E8</v>
      </c>
      <c r="F28" s="1">
        <v>8.03075621E8</v>
      </c>
      <c r="G28" s="2">
        <v>46023.0</v>
      </c>
      <c r="H28" s="1" t="s">
        <v>49</v>
      </c>
      <c r="I28" s="7"/>
      <c r="J28" s="7">
        <v>18.0</v>
      </c>
      <c r="K28" s="6">
        <v>1.0</v>
      </c>
      <c r="L28" s="6" t="s">
        <v>351</v>
      </c>
      <c r="M28" s="1" t="str">
        <f t="shared" si="4"/>
        <v>2/1/2026</v>
      </c>
    </row>
    <row r="29">
      <c r="A29" s="1" t="s">
        <v>23</v>
      </c>
      <c r="B29" s="1" t="s">
        <v>79</v>
      </c>
      <c r="C29" s="1" t="s">
        <v>80</v>
      </c>
      <c r="D29" s="1" t="str">
        <f t="shared" si="1"/>
        <v>Gregory Nace</v>
      </c>
      <c r="E29" s="1">
        <v>8.02533763E8</v>
      </c>
      <c r="F29" s="1">
        <v>8.02533763E8</v>
      </c>
      <c r="G29" s="2">
        <v>46023.0</v>
      </c>
      <c r="H29" s="1" t="s">
        <v>48</v>
      </c>
      <c r="I29" s="7"/>
      <c r="J29" s="7">
        <v>18.0</v>
      </c>
      <c r="K29" s="6">
        <v>1.0</v>
      </c>
      <c r="L29" s="6" t="s">
        <v>351</v>
      </c>
      <c r="M29" s="1" t="str">
        <f t="shared" si="4"/>
        <v>3/1/2026</v>
      </c>
    </row>
    <row r="30">
      <c r="A30" s="1" t="s">
        <v>23</v>
      </c>
      <c r="B30" s="1" t="s">
        <v>79</v>
      </c>
      <c r="C30" s="1" t="s">
        <v>80</v>
      </c>
      <c r="D30" s="1" t="str">
        <f t="shared" si="1"/>
        <v>Gregory Nace</v>
      </c>
      <c r="E30" s="1">
        <v>8.02533763E8</v>
      </c>
      <c r="F30" s="1">
        <v>8.02533763E8</v>
      </c>
      <c r="G30" s="2">
        <v>46023.0</v>
      </c>
      <c r="H30" s="1" t="s">
        <v>44</v>
      </c>
      <c r="I30" s="7"/>
      <c r="J30" s="7">
        <v>18.0</v>
      </c>
      <c r="K30" s="6">
        <v>1.0</v>
      </c>
      <c r="L30" s="6" t="s">
        <v>351</v>
      </c>
      <c r="M30" s="1" t="str">
        <f t="shared" si="4"/>
        <v>4/1/2026</v>
      </c>
    </row>
    <row r="31">
      <c r="A31" s="1" t="s">
        <v>23</v>
      </c>
      <c r="B31" s="1" t="s">
        <v>81</v>
      </c>
      <c r="C31" s="1" t="s">
        <v>82</v>
      </c>
      <c r="D31" s="1" t="str">
        <f t="shared" si="1"/>
        <v>Isabella Jaramillo</v>
      </c>
      <c r="E31" s="1">
        <v>8.02417862E8</v>
      </c>
      <c r="F31" s="1">
        <v>8.02417862E8</v>
      </c>
      <c r="G31" s="2">
        <v>46023.0</v>
      </c>
      <c r="H31" s="1" t="s">
        <v>48</v>
      </c>
      <c r="I31" s="7"/>
      <c r="J31" s="7">
        <v>18.0</v>
      </c>
      <c r="K31" s="6">
        <v>1.0</v>
      </c>
      <c r="L31" s="6" t="s">
        <v>351</v>
      </c>
      <c r="M31" s="1" t="str">
        <f t="shared" si="4"/>
        <v>3/1/2026</v>
      </c>
    </row>
    <row r="32">
      <c r="A32" s="1" t="s">
        <v>23</v>
      </c>
      <c r="B32" s="1" t="s">
        <v>83</v>
      </c>
      <c r="C32" s="1" t="s">
        <v>84</v>
      </c>
      <c r="D32" s="1" t="str">
        <f t="shared" si="1"/>
        <v>Jayne Mutter</v>
      </c>
      <c r="E32" s="1">
        <v>8.02650873E8</v>
      </c>
      <c r="F32" s="1">
        <v>8.02650873E8</v>
      </c>
      <c r="G32" s="2">
        <v>46023.0</v>
      </c>
      <c r="H32" s="1" t="s">
        <v>48</v>
      </c>
      <c r="I32" s="7"/>
      <c r="J32" s="7">
        <v>18.0</v>
      </c>
      <c r="K32" s="6">
        <v>1.0</v>
      </c>
      <c r="L32" s="6" t="s">
        <v>351</v>
      </c>
      <c r="M32" s="1" t="str">
        <f t="shared" si="4"/>
        <v>3/1/2026</v>
      </c>
    </row>
    <row r="33">
      <c r="A33" s="1" t="s">
        <v>23</v>
      </c>
      <c r="B33" s="1" t="s">
        <v>85</v>
      </c>
      <c r="C33" s="1" t="s">
        <v>82</v>
      </c>
      <c r="D33" s="1" t="str">
        <f t="shared" si="1"/>
        <v>Jean-Michel Jaramillo</v>
      </c>
      <c r="E33" s="1">
        <v>8.01940958E8</v>
      </c>
      <c r="F33" s="1">
        <v>8.01940958E8</v>
      </c>
      <c r="G33" s="2">
        <v>46023.0</v>
      </c>
      <c r="H33" s="1" t="s">
        <v>44</v>
      </c>
      <c r="I33" s="7"/>
      <c r="J33" s="7">
        <v>18.0</v>
      </c>
      <c r="K33" s="6">
        <v>1.0</v>
      </c>
      <c r="L33" s="6" t="s">
        <v>351</v>
      </c>
      <c r="M33" s="1" t="str">
        <f t="shared" si="4"/>
        <v>4/1/2026</v>
      </c>
    </row>
    <row r="34">
      <c r="A34" s="1" t="s">
        <v>23</v>
      </c>
      <c r="B34" s="1" t="s">
        <v>31</v>
      </c>
      <c r="C34" s="1" t="s">
        <v>86</v>
      </c>
      <c r="D34" s="1" t="str">
        <f t="shared" si="1"/>
        <v>Jennifer Gaugler</v>
      </c>
      <c r="E34" s="1">
        <v>8.02604725E8</v>
      </c>
      <c r="F34" s="1">
        <v>8.02604725E8</v>
      </c>
      <c r="G34" s="2">
        <v>46023.0</v>
      </c>
      <c r="H34" s="1" t="s">
        <v>44</v>
      </c>
      <c r="I34" s="7"/>
      <c r="J34" s="7">
        <v>18.0</v>
      </c>
      <c r="K34" s="6">
        <v>1.0</v>
      </c>
      <c r="L34" s="6" t="s">
        <v>351</v>
      </c>
      <c r="M34" s="1" t="str">
        <f t="shared" si="4"/>
        <v>4/1/2026</v>
      </c>
    </row>
    <row r="35">
      <c r="A35" s="1" t="s">
        <v>87</v>
      </c>
      <c r="B35" s="1" t="s">
        <v>31</v>
      </c>
      <c r="C35" s="1" t="s">
        <v>88</v>
      </c>
      <c r="D35" s="1" t="str">
        <f t="shared" si="1"/>
        <v>Jennifer Caron</v>
      </c>
      <c r="E35" s="1">
        <v>8.03069665E8</v>
      </c>
      <c r="F35" s="1">
        <v>8.03069665E8</v>
      </c>
      <c r="G35" s="2">
        <v>46023.0</v>
      </c>
      <c r="H35" s="1" t="s">
        <v>48</v>
      </c>
      <c r="I35" s="7"/>
      <c r="J35" s="7">
        <v>18.0</v>
      </c>
      <c r="K35" s="6">
        <v>1.0</v>
      </c>
      <c r="L35" s="6" t="s">
        <v>351</v>
      </c>
      <c r="M35" s="1" t="str">
        <f t="shared" si="4"/>
        <v>3/1/2026</v>
      </c>
    </row>
    <row r="36">
      <c r="A36" s="1" t="s">
        <v>89</v>
      </c>
      <c r="B36" s="1" t="s">
        <v>90</v>
      </c>
      <c r="C36" s="1" t="s">
        <v>91</v>
      </c>
      <c r="D36" s="1" t="str">
        <f t="shared" si="1"/>
        <v>Joyce Foura</v>
      </c>
      <c r="E36" s="1">
        <v>8.03052081E8</v>
      </c>
      <c r="F36" s="1">
        <v>8.03052081E8</v>
      </c>
      <c r="G36" s="2">
        <v>46023.0</v>
      </c>
      <c r="H36" s="1" t="s">
        <v>48</v>
      </c>
      <c r="I36" s="7"/>
      <c r="J36" s="7">
        <v>18.0</v>
      </c>
      <c r="K36" s="6">
        <v>1.0</v>
      </c>
      <c r="L36" s="6" t="s">
        <v>351</v>
      </c>
      <c r="M36" s="1" t="str">
        <f t="shared" si="4"/>
        <v>3/1/2026</v>
      </c>
    </row>
    <row r="37">
      <c r="A37" s="1" t="s">
        <v>58</v>
      </c>
      <c r="B37" s="1" t="s">
        <v>92</v>
      </c>
      <c r="C37" s="1" t="s">
        <v>93</v>
      </c>
      <c r="D37" s="1" t="str">
        <f t="shared" si="1"/>
        <v>Karen Diehl</v>
      </c>
      <c r="E37" s="1">
        <v>8.02493406E8</v>
      </c>
      <c r="F37" s="1">
        <v>8.02493406E8</v>
      </c>
      <c r="G37" s="2">
        <v>46023.0</v>
      </c>
      <c r="H37" s="1" t="s">
        <v>44</v>
      </c>
      <c r="I37" s="7"/>
      <c r="J37" s="7">
        <v>18.0</v>
      </c>
      <c r="K37" s="6">
        <v>1.0</v>
      </c>
      <c r="L37" s="6" t="s">
        <v>351</v>
      </c>
      <c r="M37" s="1" t="str">
        <f t="shared" si="4"/>
        <v>4/1/2026</v>
      </c>
    </row>
    <row r="38">
      <c r="A38" s="1" t="s">
        <v>89</v>
      </c>
      <c r="B38" s="1" t="s">
        <v>94</v>
      </c>
      <c r="C38" s="1" t="s">
        <v>95</v>
      </c>
      <c r="D38" s="1" t="str">
        <f t="shared" si="1"/>
        <v>Kathy Wiles</v>
      </c>
      <c r="E38" s="1">
        <v>8.02910086E8</v>
      </c>
      <c r="F38" s="1">
        <v>8.02910086E8</v>
      </c>
      <c r="G38" s="2">
        <v>46023.0</v>
      </c>
      <c r="H38" s="1" t="s">
        <v>48</v>
      </c>
      <c r="I38" s="7"/>
      <c r="J38" s="7">
        <v>18.0</v>
      </c>
      <c r="K38" s="6">
        <v>1.0</v>
      </c>
      <c r="L38" s="6" t="s">
        <v>351</v>
      </c>
      <c r="M38" s="1" t="str">
        <f t="shared" si="4"/>
        <v>3/1/2026</v>
      </c>
    </row>
    <row r="39">
      <c r="A39" s="1" t="s">
        <v>23</v>
      </c>
      <c r="B39" s="1" t="s">
        <v>96</v>
      </c>
      <c r="C39" s="1" t="s">
        <v>80</v>
      </c>
      <c r="D39" s="1" t="str">
        <f t="shared" si="1"/>
        <v>Kayla Nace</v>
      </c>
      <c r="E39" s="1">
        <v>8.0220745E8</v>
      </c>
      <c r="F39" s="1">
        <v>8.0220745E8</v>
      </c>
      <c r="G39" s="2">
        <v>46023.0</v>
      </c>
      <c r="H39" s="1" t="s">
        <v>44</v>
      </c>
      <c r="I39" s="7"/>
      <c r="J39" s="7">
        <v>18.0</v>
      </c>
      <c r="K39" s="6">
        <v>1.0</v>
      </c>
      <c r="L39" s="6" t="s">
        <v>351</v>
      </c>
      <c r="M39" s="1" t="str">
        <f t="shared" si="4"/>
        <v>4/1/2026</v>
      </c>
    </row>
    <row r="40">
      <c r="A40" s="1" t="s">
        <v>23</v>
      </c>
      <c r="B40" s="1" t="s">
        <v>97</v>
      </c>
      <c r="C40" s="1" t="s">
        <v>98</v>
      </c>
      <c r="D40" s="1" t="str">
        <f t="shared" si="1"/>
        <v>Lisa Reichard</v>
      </c>
      <c r="E40" s="1">
        <v>8.02604729E8</v>
      </c>
      <c r="F40" s="1">
        <v>8.02604729E8</v>
      </c>
      <c r="G40" s="2">
        <v>46054.0</v>
      </c>
      <c r="H40" s="1" t="s">
        <v>48</v>
      </c>
      <c r="I40" s="7"/>
      <c r="J40" s="7">
        <v>18.0</v>
      </c>
      <c r="K40" s="6">
        <v>1.0</v>
      </c>
      <c r="L40" s="6" t="s">
        <v>351</v>
      </c>
      <c r="M40" s="1" t="str">
        <f t="shared" si="4"/>
        <v>3/1/2026</v>
      </c>
    </row>
    <row r="41">
      <c r="A41" s="1" t="s">
        <v>11</v>
      </c>
      <c r="B41" s="1" t="s">
        <v>99</v>
      </c>
      <c r="C41" s="1" t="s">
        <v>100</v>
      </c>
      <c r="D41" s="1" t="str">
        <f t="shared" si="1"/>
        <v>Lorraine A Port</v>
      </c>
      <c r="E41" s="1">
        <v>8.02742865E8</v>
      </c>
      <c r="F41" s="1">
        <v>8.02742865E8</v>
      </c>
      <c r="G41" s="2">
        <v>46023.0</v>
      </c>
      <c r="H41" s="1" t="s">
        <v>48</v>
      </c>
      <c r="I41" s="7"/>
      <c r="J41" s="7">
        <v>18.0</v>
      </c>
      <c r="K41" s="6">
        <v>1.0</v>
      </c>
      <c r="L41" s="6" t="s">
        <v>351</v>
      </c>
      <c r="M41" s="1" t="str">
        <f t="shared" si="4"/>
        <v>3/1/2026</v>
      </c>
    </row>
    <row r="42">
      <c r="A42" s="1" t="s">
        <v>40</v>
      </c>
      <c r="B42" s="1" t="s">
        <v>101</v>
      </c>
      <c r="C42" s="1" t="s">
        <v>102</v>
      </c>
      <c r="D42" s="1" t="str">
        <f t="shared" si="1"/>
        <v>Marybeth Riter</v>
      </c>
      <c r="E42" s="1">
        <v>8.02902756E8</v>
      </c>
      <c r="F42" s="1">
        <v>8.02902756E8</v>
      </c>
      <c r="G42" s="2">
        <v>46023.0</v>
      </c>
      <c r="H42" s="1" t="s">
        <v>48</v>
      </c>
      <c r="I42" s="7"/>
      <c r="J42" s="7">
        <v>18.0</v>
      </c>
      <c r="K42" s="6">
        <v>1.0</v>
      </c>
      <c r="L42" s="6" t="s">
        <v>351</v>
      </c>
      <c r="M42" s="1" t="str">
        <f t="shared" si="4"/>
        <v>3/1/2026</v>
      </c>
    </row>
    <row r="43">
      <c r="A43" s="1" t="s">
        <v>23</v>
      </c>
      <c r="B43" s="1" t="s">
        <v>103</v>
      </c>
      <c r="C43" s="1" t="s">
        <v>104</v>
      </c>
      <c r="D43" s="1" t="str">
        <f t="shared" si="1"/>
        <v>Michael Kiehl</v>
      </c>
      <c r="E43" s="1">
        <v>8.02492983E8</v>
      </c>
      <c r="F43" s="1">
        <v>8.02492983E8</v>
      </c>
      <c r="G43" s="2">
        <v>46023.0</v>
      </c>
      <c r="H43" s="1" t="s">
        <v>44</v>
      </c>
      <c r="I43" s="7"/>
      <c r="J43" s="7">
        <v>18.0</v>
      </c>
      <c r="K43" s="6">
        <v>1.0</v>
      </c>
      <c r="L43" s="6" t="s">
        <v>351</v>
      </c>
      <c r="M43" s="1" t="str">
        <f t="shared" si="4"/>
        <v>4/1/2026</v>
      </c>
    </row>
    <row r="44">
      <c r="A44" s="1" t="s">
        <v>40</v>
      </c>
      <c r="B44" s="1" t="s">
        <v>105</v>
      </c>
      <c r="C44" s="1" t="s">
        <v>106</v>
      </c>
      <c r="D44" s="1" t="str">
        <f t="shared" si="1"/>
        <v>Patricia C Graver</v>
      </c>
      <c r="E44" s="1">
        <v>8.03080963E8</v>
      </c>
      <c r="F44" s="1">
        <v>8.03080963E8</v>
      </c>
      <c r="G44" s="2">
        <v>46023.0</v>
      </c>
      <c r="H44" s="1" t="s">
        <v>44</v>
      </c>
      <c r="I44" s="7"/>
      <c r="J44" s="7">
        <v>18.0</v>
      </c>
      <c r="K44" s="6">
        <v>1.0</v>
      </c>
      <c r="L44" s="6" t="s">
        <v>351</v>
      </c>
      <c r="M44" s="1" t="str">
        <f t="shared" si="4"/>
        <v>4/1/2026</v>
      </c>
    </row>
    <row r="45">
      <c r="A45" s="1" t="s">
        <v>40</v>
      </c>
      <c r="B45" s="1" t="s">
        <v>107</v>
      </c>
      <c r="C45" s="1" t="s">
        <v>108</v>
      </c>
      <c r="D45" s="1" t="str">
        <f t="shared" si="1"/>
        <v>Rebecca Parise</v>
      </c>
      <c r="E45" s="1">
        <v>8.03050668E8</v>
      </c>
      <c r="F45" s="1">
        <v>8.03050668E8</v>
      </c>
      <c r="G45" s="2">
        <v>46023.0</v>
      </c>
      <c r="H45" s="1" t="s">
        <v>48</v>
      </c>
      <c r="I45" s="7"/>
      <c r="J45" s="7">
        <v>18.0</v>
      </c>
      <c r="K45" s="6">
        <v>1.0</v>
      </c>
      <c r="L45" s="6" t="s">
        <v>351</v>
      </c>
      <c r="M45" s="1" t="str">
        <f t="shared" si="4"/>
        <v>3/1/2026</v>
      </c>
    </row>
    <row r="46">
      <c r="A46" s="1" t="s">
        <v>40</v>
      </c>
      <c r="B46" s="1" t="s">
        <v>107</v>
      </c>
      <c r="C46" s="1" t="s">
        <v>108</v>
      </c>
      <c r="D46" s="1" t="str">
        <f t="shared" si="1"/>
        <v>Rebecca Parise</v>
      </c>
      <c r="E46" s="1">
        <v>8.03050668E8</v>
      </c>
      <c r="F46" s="1">
        <v>8.03050668E8</v>
      </c>
      <c r="G46" s="2">
        <v>46023.0</v>
      </c>
      <c r="H46" s="1" t="s">
        <v>44</v>
      </c>
      <c r="I46" s="7"/>
      <c r="J46" s="7">
        <v>18.0</v>
      </c>
      <c r="K46" s="6">
        <v>1.0</v>
      </c>
      <c r="L46" s="6" t="s">
        <v>351</v>
      </c>
      <c r="M46" s="1" t="str">
        <f t="shared" si="4"/>
        <v>4/1/2026</v>
      </c>
    </row>
    <row r="47">
      <c r="A47" s="1" t="s">
        <v>23</v>
      </c>
      <c r="B47" s="1" t="s">
        <v>109</v>
      </c>
      <c r="C47" s="1" t="s">
        <v>110</v>
      </c>
      <c r="D47" s="1" t="str">
        <f t="shared" si="1"/>
        <v>Richard Stern</v>
      </c>
      <c r="E47" s="1">
        <v>8.02597589E8</v>
      </c>
      <c r="F47" s="1">
        <v>8.02597589E8</v>
      </c>
      <c r="G47" s="2">
        <v>46023.0</v>
      </c>
      <c r="H47" s="1" t="s">
        <v>48</v>
      </c>
      <c r="I47" s="7"/>
      <c r="J47" s="7">
        <v>18.0</v>
      </c>
      <c r="K47" s="6">
        <v>1.0</v>
      </c>
      <c r="L47" s="6" t="s">
        <v>351</v>
      </c>
      <c r="M47" s="1" t="str">
        <f t="shared" si="4"/>
        <v>3/1/2026</v>
      </c>
    </row>
    <row r="48">
      <c r="A48" s="1" t="s">
        <v>40</v>
      </c>
      <c r="B48" s="1" t="s">
        <v>111</v>
      </c>
      <c r="C48" s="1" t="s">
        <v>112</v>
      </c>
      <c r="D48" s="1" t="str">
        <f t="shared" si="1"/>
        <v>Rita Smith</v>
      </c>
      <c r="E48" s="1">
        <v>8.02552042E8</v>
      </c>
      <c r="F48" s="1">
        <v>8.02552042E8</v>
      </c>
      <c r="G48" s="2">
        <v>46023.0</v>
      </c>
      <c r="H48" s="1" t="s">
        <v>48</v>
      </c>
      <c r="I48" s="7"/>
      <c r="J48" s="7">
        <v>18.0</v>
      </c>
      <c r="K48" s="6">
        <v>1.0</v>
      </c>
      <c r="L48" s="6" t="s">
        <v>351</v>
      </c>
      <c r="M48" s="1" t="str">
        <f t="shared" si="4"/>
        <v>3/1/2026</v>
      </c>
    </row>
    <row r="49">
      <c r="A49" s="1" t="s">
        <v>23</v>
      </c>
      <c r="B49" s="1" t="s">
        <v>113</v>
      </c>
      <c r="C49" s="1" t="s">
        <v>114</v>
      </c>
      <c r="D49" s="1" t="str">
        <f t="shared" si="1"/>
        <v>Steve Long</v>
      </c>
      <c r="E49" s="1">
        <v>8.02540674E8</v>
      </c>
      <c r="F49" s="1">
        <v>8.02540674E8</v>
      </c>
      <c r="G49" s="2">
        <v>46023.0</v>
      </c>
      <c r="H49" s="1" t="s">
        <v>48</v>
      </c>
      <c r="I49" s="7"/>
      <c r="J49" s="7">
        <v>18.0</v>
      </c>
      <c r="K49" s="6">
        <v>1.0</v>
      </c>
      <c r="L49" s="6" t="s">
        <v>351</v>
      </c>
      <c r="M49" s="1" t="str">
        <f t="shared" si="4"/>
        <v>3/1/2026</v>
      </c>
    </row>
    <row r="50">
      <c r="A50" s="1" t="s">
        <v>40</v>
      </c>
      <c r="B50" s="1" t="s">
        <v>115</v>
      </c>
      <c r="C50" s="1" t="s">
        <v>116</v>
      </c>
      <c r="D50" s="1" t="str">
        <f t="shared" si="1"/>
        <v>Suzanne Nafus</v>
      </c>
      <c r="E50" s="1">
        <v>8.02777578E8</v>
      </c>
      <c r="F50" s="1">
        <v>8.02777578E8</v>
      </c>
      <c r="G50" s="2">
        <v>46023.0</v>
      </c>
      <c r="H50" s="1" t="s">
        <v>48</v>
      </c>
      <c r="I50" s="7"/>
      <c r="J50" s="7">
        <v>18.0</v>
      </c>
      <c r="K50" s="6">
        <v>1.0</v>
      </c>
      <c r="L50" s="6" t="s">
        <v>351</v>
      </c>
      <c r="M50" s="1" t="str">
        <f t="shared" si="4"/>
        <v>3/1/2026</v>
      </c>
    </row>
    <row r="51">
      <c r="A51" s="1" t="s">
        <v>23</v>
      </c>
      <c r="B51" s="1" t="s">
        <v>117</v>
      </c>
      <c r="C51" s="1" t="s">
        <v>118</v>
      </c>
      <c r="D51" s="1" t="str">
        <f t="shared" si="1"/>
        <v>Tanya Dean</v>
      </c>
      <c r="E51" s="1">
        <v>8.0306365E8</v>
      </c>
      <c r="F51" s="1">
        <v>8.0306365E8</v>
      </c>
      <c r="G51" s="2">
        <v>46023.0</v>
      </c>
      <c r="H51" s="1" t="s">
        <v>48</v>
      </c>
      <c r="I51" s="7"/>
      <c r="J51" s="7">
        <v>18.0</v>
      </c>
      <c r="K51" s="6">
        <v>1.0</v>
      </c>
      <c r="L51" s="6" t="s">
        <v>351</v>
      </c>
      <c r="M51" s="1" t="str">
        <f t="shared" si="4"/>
        <v>3/1/2026</v>
      </c>
    </row>
    <row r="52">
      <c r="A52" s="1" t="s">
        <v>23</v>
      </c>
      <c r="B52" s="1" t="s">
        <v>119</v>
      </c>
      <c r="C52" s="1" t="s">
        <v>120</v>
      </c>
      <c r="D52" s="1" t="str">
        <f t="shared" si="1"/>
        <v>Tiffany Melisauskas</v>
      </c>
      <c r="E52" s="1">
        <v>8.02683072E8</v>
      </c>
      <c r="F52" s="1">
        <v>8.02683072E8</v>
      </c>
      <c r="G52" s="2">
        <v>46023.0</v>
      </c>
      <c r="H52" s="1" t="s">
        <v>49</v>
      </c>
      <c r="I52" s="7"/>
      <c r="J52" s="7">
        <v>18.0</v>
      </c>
      <c r="K52" s="6">
        <v>1.0</v>
      </c>
      <c r="L52" s="6" t="s">
        <v>351</v>
      </c>
      <c r="M52" s="1" t="str">
        <f t="shared" si="4"/>
        <v>2/1/2026</v>
      </c>
    </row>
    <row r="53">
      <c r="A53" s="1" t="s">
        <v>23</v>
      </c>
      <c r="B53" s="1" t="s">
        <v>119</v>
      </c>
      <c r="C53" s="1" t="s">
        <v>120</v>
      </c>
      <c r="D53" s="1" t="str">
        <f t="shared" si="1"/>
        <v>Tiffany Melisauskas</v>
      </c>
      <c r="E53" s="1">
        <v>8.02683072E8</v>
      </c>
      <c r="F53" s="1">
        <v>8.02683072E8</v>
      </c>
      <c r="G53" s="2">
        <v>46023.0</v>
      </c>
      <c r="H53" s="1" t="s">
        <v>48</v>
      </c>
      <c r="I53" s="7"/>
      <c r="J53" s="7">
        <v>18.0</v>
      </c>
      <c r="K53" s="6">
        <v>1.0</v>
      </c>
      <c r="L53" s="6" t="s">
        <v>351</v>
      </c>
      <c r="M53" s="1" t="str">
        <f t="shared" si="4"/>
        <v>3/1/2026</v>
      </c>
    </row>
    <row r="54">
      <c r="A54" s="1" t="s">
        <v>121</v>
      </c>
      <c r="B54" s="1" t="s">
        <v>122</v>
      </c>
      <c r="C54" s="1" t="s">
        <v>123</v>
      </c>
      <c r="D54" s="1" t="str">
        <f t="shared" si="1"/>
        <v>Trudy Brown</v>
      </c>
      <c r="E54" s="1">
        <v>8.03038832E8</v>
      </c>
      <c r="F54" s="1">
        <v>8.03038832E8</v>
      </c>
      <c r="G54" s="2">
        <v>46023.0</v>
      </c>
      <c r="H54" s="1" t="s">
        <v>48</v>
      </c>
      <c r="I54" s="7"/>
      <c r="J54" s="7">
        <v>18.0</v>
      </c>
      <c r="K54" s="6">
        <v>1.0</v>
      </c>
      <c r="L54" s="6" t="s">
        <v>351</v>
      </c>
      <c r="M54" s="1" t="str">
        <f t="shared" si="4"/>
        <v>3/1/2026</v>
      </c>
    </row>
    <row r="55">
      <c r="A55" s="1" t="s">
        <v>40</v>
      </c>
      <c r="B55" s="1" t="s">
        <v>124</v>
      </c>
      <c r="C55" s="1" t="s">
        <v>125</v>
      </c>
      <c r="D55" s="1" t="str">
        <f t="shared" si="1"/>
        <v>Alison Sommer</v>
      </c>
      <c r="E55" s="1">
        <v>8.0311454E8</v>
      </c>
      <c r="F55" s="1">
        <v>8.0311454E8</v>
      </c>
      <c r="G55" s="2">
        <v>46023.0</v>
      </c>
      <c r="H55" s="1" t="s">
        <v>126</v>
      </c>
      <c r="I55" s="7"/>
      <c r="J55" s="7">
        <v>22.0</v>
      </c>
      <c r="K55" s="6">
        <v>1.0</v>
      </c>
      <c r="L55" s="6" t="s">
        <v>351</v>
      </c>
      <c r="M55" s="1" t="str">
        <f t="shared" si="4"/>
        <v>3/1/2026</v>
      </c>
    </row>
    <row r="56">
      <c r="A56" s="1" t="s">
        <v>127</v>
      </c>
      <c r="B56" s="1" t="s">
        <v>128</v>
      </c>
      <c r="C56" s="1" t="s">
        <v>129</v>
      </c>
      <c r="D56" s="1" t="str">
        <f t="shared" si="1"/>
        <v>Christopher Luther</v>
      </c>
      <c r="E56" s="1">
        <v>8.03117914E8</v>
      </c>
      <c r="F56" s="1">
        <v>8.03117914E8</v>
      </c>
      <c r="G56" s="2">
        <v>46023.0</v>
      </c>
      <c r="H56" s="1" t="s">
        <v>126</v>
      </c>
      <c r="I56" s="7"/>
      <c r="J56" s="7">
        <v>22.0</v>
      </c>
      <c r="K56" s="6">
        <v>1.0</v>
      </c>
      <c r="L56" s="6" t="s">
        <v>351</v>
      </c>
      <c r="M56" s="1" t="str">
        <f t="shared" si="4"/>
        <v>3/1/2026</v>
      </c>
    </row>
    <row r="57">
      <c r="A57" s="1" t="s">
        <v>58</v>
      </c>
      <c r="B57" s="1" t="s">
        <v>130</v>
      </c>
      <c r="C57" s="1" t="s">
        <v>131</v>
      </c>
      <c r="D57" s="1" t="str">
        <f t="shared" si="1"/>
        <v>Craig Berkheimer</v>
      </c>
      <c r="E57" s="1">
        <v>8.03112589E8</v>
      </c>
      <c r="F57" s="1">
        <v>8.03112589E8</v>
      </c>
      <c r="G57" s="2">
        <v>46023.0</v>
      </c>
      <c r="H57" s="1" t="s">
        <v>126</v>
      </c>
      <c r="I57" s="7"/>
      <c r="J57" s="7">
        <v>22.0</v>
      </c>
      <c r="K57" s="6">
        <v>1.0</v>
      </c>
      <c r="L57" s="6" t="s">
        <v>351</v>
      </c>
      <c r="M57" s="1" t="str">
        <f t="shared" si="4"/>
        <v>3/1/2026</v>
      </c>
    </row>
    <row r="58">
      <c r="A58" s="1" t="s">
        <v>40</v>
      </c>
      <c r="B58" s="1" t="s">
        <v>132</v>
      </c>
      <c r="C58" s="1" t="s">
        <v>133</v>
      </c>
      <c r="D58" s="1" t="str">
        <f t="shared" si="1"/>
        <v>Cynthia Sheaffer</v>
      </c>
      <c r="E58" s="1">
        <v>8.03095503E8</v>
      </c>
      <c r="F58" s="1">
        <v>8.03095503E8</v>
      </c>
      <c r="G58" s="2">
        <v>46023.0</v>
      </c>
      <c r="H58" s="1" t="s">
        <v>134</v>
      </c>
      <c r="I58" s="7"/>
      <c r="J58" s="7">
        <v>22.0</v>
      </c>
      <c r="K58" s="6">
        <v>1.0</v>
      </c>
      <c r="L58" s="6" t="s">
        <v>351</v>
      </c>
      <c r="M58" s="1" t="str">
        <f t="shared" si="4"/>
        <v>4/1/2026</v>
      </c>
    </row>
    <row r="59">
      <c r="A59" s="1" t="s">
        <v>11</v>
      </c>
      <c r="B59" s="1" t="s">
        <v>135</v>
      </c>
      <c r="C59" s="1" t="s">
        <v>136</v>
      </c>
      <c r="D59" s="1" t="str">
        <f t="shared" si="1"/>
        <v>Dalia N Gertmonaite</v>
      </c>
      <c r="E59" s="1">
        <v>8.03096452E8</v>
      </c>
      <c r="F59" s="1">
        <v>8.03096452E8</v>
      </c>
      <c r="G59" s="2">
        <v>46023.0</v>
      </c>
      <c r="H59" s="1" t="s">
        <v>126</v>
      </c>
      <c r="I59" s="7"/>
      <c r="J59" s="7">
        <v>22.0</v>
      </c>
      <c r="K59" s="6">
        <v>1.0</v>
      </c>
      <c r="L59" s="6" t="s">
        <v>351</v>
      </c>
      <c r="M59" s="1" t="str">
        <f t="shared" si="4"/>
        <v>3/1/2026</v>
      </c>
    </row>
    <row r="60">
      <c r="A60" s="1" t="s">
        <v>89</v>
      </c>
      <c r="B60" s="1" t="s">
        <v>137</v>
      </c>
      <c r="C60" s="1" t="s">
        <v>138</v>
      </c>
      <c r="D60" s="1" t="str">
        <f t="shared" si="1"/>
        <v>David W Witmoyer</v>
      </c>
      <c r="E60" s="1">
        <v>8.03124115E8</v>
      </c>
      <c r="F60" s="1">
        <v>8.03124115E8</v>
      </c>
      <c r="G60" s="2">
        <v>46023.0</v>
      </c>
      <c r="H60" s="1" t="s">
        <v>126</v>
      </c>
      <c r="I60" s="7"/>
      <c r="J60" s="7">
        <v>22.0</v>
      </c>
      <c r="K60" s="6">
        <v>1.0</v>
      </c>
      <c r="L60" s="6" t="s">
        <v>351</v>
      </c>
      <c r="M60" s="1" t="str">
        <f t="shared" si="4"/>
        <v>3/1/2026</v>
      </c>
    </row>
    <row r="61">
      <c r="A61" s="1" t="s">
        <v>139</v>
      </c>
      <c r="B61" s="1" t="s">
        <v>140</v>
      </c>
      <c r="C61" s="1" t="s">
        <v>141</v>
      </c>
      <c r="D61" s="1" t="str">
        <f t="shared" si="1"/>
        <v>Jill Druckenmiller</v>
      </c>
      <c r="E61" s="1">
        <v>8.0296641E8</v>
      </c>
      <c r="F61" s="1">
        <v>8.0296641E8</v>
      </c>
      <c r="G61" s="2">
        <v>46023.0</v>
      </c>
      <c r="H61" s="1" t="s">
        <v>126</v>
      </c>
      <c r="I61" s="7"/>
      <c r="J61" s="7">
        <v>22.0</v>
      </c>
      <c r="K61" s="6">
        <v>1.0</v>
      </c>
      <c r="L61" s="6" t="s">
        <v>351</v>
      </c>
      <c r="M61" s="1" t="str">
        <f t="shared" si="4"/>
        <v>3/1/2026</v>
      </c>
    </row>
    <row r="62">
      <c r="A62" s="1" t="s">
        <v>40</v>
      </c>
      <c r="B62" s="1" t="s">
        <v>142</v>
      </c>
      <c r="C62" s="1" t="s">
        <v>143</v>
      </c>
      <c r="D62" s="1" t="str">
        <f t="shared" si="1"/>
        <v>Valerie Soto</v>
      </c>
      <c r="E62" s="1">
        <v>8.03098189E8</v>
      </c>
      <c r="F62" s="1">
        <v>8.03098189E8</v>
      </c>
      <c r="G62" s="2">
        <v>46023.0</v>
      </c>
      <c r="H62" s="1" t="s">
        <v>126</v>
      </c>
      <c r="I62" s="7"/>
      <c r="J62" s="7">
        <v>22.0</v>
      </c>
      <c r="K62" s="6">
        <v>1.0</v>
      </c>
      <c r="L62" s="6" t="s">
        <v>351</v>
      </c>
      <c r="M62" s="1" t="str">
        <f t="shared" si="4"/>
        <v>3/1/2026</v>
      </c>
    </row>
    <row r="63">
      <c r="A63" s="1" t="s">
        <v>127</v>
      </c>
      <c r="B63" s="1" t="s">
        <v>144</v>
      </c>
      <c r="C63" s="1" t="s">
        <v>145</v>
      </c>
      <c r="D63" s="1" t="str">
        <f t="shared" si="1"/>
        <v>Zachary Phillips</v>
      </c>
      <c r="E63" s="1">
        <v>8.03135405E8</v>
      </c>
      <c r="F63" s="1">
        <v>8.03135405E8</v>
      </c>
      <c r="G63" s="2">
        <v>46023.0</v>
      </c>
      <c r="H63" s="1" t="s">
        <v>126</v>
      </c>
      <c r="I63" s="7"/>
      <c r="J63" s="7">
        <v>22.0</v>
      </c>
      <c r="K63" s="6">
        <v>1.0</v>
      </c>
      <c r="L63" s="6" t="s">
        <v>351</v>
      </c>
      <c r="M63" s="1" t="str">
        <f t="shared" si="4"/>
        <v>3/1/2026</v>
      </c>
    </row>
    <row r="64">
      <c r="A64" s="1" t="s">
        <v>127</v>
      </c>
      <c r="B64" s="1" t="s">
        <v>144</v>
      </c>
      <c r="C64" s="1" t="s">
        <v>145</v>
      </c>
      <c r="D64" s="1" t="str">
        <f t="shared" si="1"/>
        <v>Zachary Phillips</v>
      </c>
      <c r="E64" s="1">
        <v>8.03135405E8</v>
      </c>
      <c r="F64" s="1">
        <v>8.03135405E8</v>
      </c>
      <c r="G64" s="2">
        <v>46023.0</v>
      </c>
      <c r="H64" s="1" t="s">
        <v>134</v>
      </c>
      <c r="I64" s="7"/>
      <c r="J64" s="7">
        <v>22.0</v>
      </c>
      <c r="K64" s="6">
        <v>1.0</v>
      </c>
      <c r="L64" s="6" t="s">
        <v>351</v>
      </c>
      <c r="M64" s="1" t="str">
        <f t="shared" si="4"/>
        <v>4/1/2026</v>
      </c>
    </row>
    <row r="65">
      <c r="A65" s="1" t="s">
        <v>52</v>
      </c>
      <c r="B65" s="1" t="s">
        <v>146</v>
      </c>
      <c r="C65" s="1" t="s">
        <v>147</v>
      </c>
      <c r="D65" s="1" t="str">
        <f t="shared" si="1"/>
        <v>Sandy Mertz</v>
      </c>
      <c r="E65" s="1">
        <v>8.03147431E8</v>
      </c>
      <c r="F65" s="1">
        <v>8.03147431E8</v>
      </c>
      <c r="G65" s="2">
        <v>46082.0</v>
      </c>
      <c r="H65" s="1" t="s">
        <v>126</v>
      </c>
      <c r="I65" s="7"/>
      <c r="J65" s="7">
        <v>22.0</v>
      </c>
      <c r="K65" s="6">
        <v>1.0</v>
      </c>
      <c r="L65" s="6" t="s">
        <v>351</v>
      </c>
      <c r="M65" s="1" t="str">
        <f t="shared" si="4"/>
        <v>3/1/2026</v>
      </c>
    </row>
    <row r="66">
      <c r="A66" s="1" t="s">
        <v>23</v>
      </c>
      <c r="B66" s="1" t="s">
        <v>148</v>
      </c>
      <c r="C66" s="1" t="s">
        <v>149</v>
      </c>
      <c r="D66" s="1" t="str">
        <f t="shared" si="1"/>
        <v>Misty Stillman</v>
      </c>
      <c r="E66" s="1">
        <v>8.02020387E8</v>
      </c>
      <c r="F66" s="1">
        <v>8.02020387E8</v>
      </c>
      <c r="G66" s="2">
        <v>46023.0</v>
      </c>
      <c r="H66" s="1" t="s">
        <v>150</v>
      </c>
      <c r="I66" s="9" t="s">
        <v>352</v>
      </c>
      <c r="J66" s="7">
        <v>54.0</v>
      </c>
      <c r="K66" s="6">
        <v>1.0</v>
      </c>
      <c r="L66" s="6" t="s">
        <v>351</v>
      </c>
      <c r="M66" s="1" t="str">
        <f t="shared" si="4"/>
        <v>4/1/2026</v>
      </c>
    </row>
    <row r="67">
      <c r="A67" s="1" t="s">
        <v>11</v>
      </c>
      <c r="B67" s="1" t="s">
        <v>151</v>
      </c>
      <c r="C67" s="1" t="s">
        <v>152</v>
      </c>
      <c r="D67" s="1" t="str">
        <f t="shared" si="1"/>
        <v>Bradley Lyon</v>
      </c>
      <c r="E67" s="1">
        <v>8.02624955E8</v>
      </c>
      <c r="F67" s="1">
        <v>8.02624955E8</v>
      </c>
      <c r="G67" s="2">
        <v>46023.0</v>
      </c>
      <c r="H67" s="1" t="s">
        <v>153</v>
      </c>
      <c r="I67" s="9" t="s">
        <v>353</v>
      </c>
      <c r="J67" s="7">
        <v>36.0</v>
      </c>
      <c r="K67" s="6">
        <v>1.0</v>
      </c>
      <c r="L67" s="6" t="s">
        <v>351</v>
      </c>
      <c r="M67" s="1" t="str">
        <f t="shared" si="4"/>
        <v>3/1/2026</v>
      </c>
    </row>
    <row r="68">
      <c r="A68" s="1" t="s">
        <v>23</v>
      </c>
      <c r="B68" s="1" t="s">
        <v>154</v>
      </c>
      <c r="C68" s="1" t="s">
        <v>155</v>
      </c>
      <c r="D68" s="1" t="str">
        <f t="shared" si="1"/>
        <v>Chris Schmidt</v>
      </c>
      <c r="E68" s="1">
        <v>8.02532346E8</v>
      </c>
      <c r="F68" s="1">
        <v>8.02532346E8</v>
      </c>
      <c r="G68" s="2">
        <v>46023.0</v>
      </c>
      <c r="H68" s="1" t="s">
        <v>153</v>
      </c>
      <c r="I68" s="9" t="s">
        <v>353</v>
      </c>
      <c r="J68" s="7">
        <v>36.0</v>
      </c>
      <c r="K68" s="6">
        <v>1.0</v>
      </c>
      <c r="L68" s="6" t="s">
        <v>351</v>
      </c>
      <c r="M68" s="1" t="str">
        <f t="shared" si="4"/>
        <v>3/1/2026</v>
      </c>
    </row>
    <row r="69">
      <c r="A69" s="1" t="s">
        <v>23</v>
      </c>
      <c r="B69" s="1" t="s">
        <v>137</v>
      </c>
      <c r="C69" s="1" t="s">
        <v>156</v>
      </c>
      <c r="D69" s="1" t="str">
        <f t="shared" si="1"/>
        <v>David Carr</v>
      </c>
      <c r="E69" s="1">
        <v>8.02301278E8</v>
      </c>
      <c r="F69" s="1">
        <v>8.02301278E8</v>
      </c>
      <c r="G69" s="2">
        <v>46023.0</v>
      </c>
      <c r="H69" s="1" t="s">
        <v>157</v>
      </c>
      <c r="I69" s="9" t="s">
        <v>353</v>
      </c>
      <c r="J69" s="7">
        <v>36.0</v>
      </c>
      <c r="K69" s="6">
        <v>1.0</v>
      </c>
      <c r="L69" s="6" t="s">
        <v>351</v>
      </c>
      <c r="M69" s="1" t="str">
        <f t="shared" si="4"/>
        <v>4/1/2026</v>
      </c>
    </row>
    <row r="70">
      <c r="A70" s="1" t="s">
        <v>23</v>
      </c>
      <c r="B70" s="1" t="s">
        <v>137</v>
      </c>
      <c r="C70" s="1" t="s">
        <v>156</v>
      </c>
      <c r="D70" s="1" t="str">
        <f t="shared" si="1"/>
        <v>David Carr</v>
      </c>
      <c r="E70" s="1">
        <v>8.02301278E8</v>
      </c>
      <c r="F70" s="1">
        <v>8.02301278E8</v>
      </c>
      <c r="G70" s="2">
        <v>46023.0</v>
      </c>
      <c r="H70" s="1" t="s">
        <v>153</v>
      </c>
      <c r="I70" s="9" t="s">
        <v>353</v>
      </c>
      <c r="J70" s="7">
        <v>36.0</v>
      </c>
      <c r="K70" s="6">
        <v>1.0</v>
      </c>
      <c r="L70" s="6" t="s">
        <v>351</v>
      </c>
      <c r="M70" s="1" t="str">
        <f t="shared" si="4"/>
        <v>3/1/2026</v>
      </c>
    </row>
    <row r="71">
      <c r="A71" s="1" t="s">
        <v>23</v>
      </c>
      <c r="B71" s="1" t="s">
        <v>158</v>
      </c>
      <c r="C71" s="1" t="s">
        <v>159</v>
      </c>
      <c r="D71" s="1" t="str">
        <f t="shared" si="1"/>
        <v>Elizabeth Ervin</v>
      </c>
      <c r="E71" s="1">
        <v>8.02417758E8</v>
      </c>
      <c r="F71" s="1">
        <v>8.02417758E8</v>
      </c>
      <c r="G71" s="2">
        <v>46023.0</v>
      </c>
      <c r="H71" s="1" t="s">
        <v>153</v>
      </c>
      <c r="I71" s="9" t="s">
        <v>353</v>
      </c>
      <c r="J71" s="7">
        <v>36.0</v>
      </c>
      <c r="K71" s="6">
        <v>1.0</v>
      </c>
      <c r="L71" s="6" t="s">
        <v>351</v>
      </c>
      <c r="M71" s="1" t="str">
        <f t="shared" si="4"/>
        <v>3/1/2026</v>
      </c>
    </row>
    <row r="72">
      <c r="A72" s="1" t="s">
        <v>23</v>
      </c>
      <c r="B72" s="1" t="s">
        <v>160</v>
      </c>
      <c r="C72" s="1" t="s">
        <v>161</v>
      </c>
      <c r="D72" s="1" t="str">
        <f t="shared" si="1"/>
        <v>Giovanna Dimaio</v>
      </c>
      <c r="E72" s="1">
        <v>8.02534788E8</v>
      </c>
      <c r="F72" s="1">
        <v>8.02534788E8</v>
      </c>
      <c r="G72" s="2">
        <v>46023.0</v>
      </c>
      <c r="H72" s="1" t="s">
        <v>153</v>
      </c>
      <c r="I72" s="9" t="s">
        <v>353</v>
      </c>
      <c r="J72" s="7">
        <v>36.0</v>
      </c>
      <c r="K72" s="6">
        <v>1.0</v>
      </c>
      <c r="L72" s="6" t="s">
        <v>351</v>
      </c>
      <c r="M72" s="1" t="str">
        <f t="shared" si="4"/>
        <v>3/1/2026</v>
      </c>
    </row>
    <row r="73">
      <c r="A73" s="1" t="s">
        <v>23</v>
      </c>
      <c r="B73" s="1" t="s">
        <v>162</v>
      </c>
      <c r="C73" s="1" t="s">
        <v>163</v>
      </c>
      <c r="D73" s="1" t="str">
        <f t="shared" si="1"/>
        <v>Gretchen Flanley</v>
      </c>
      <c r="E73" s="1">
        <v>8.01998355E8</v>
      </c>
      <c r="F73" s="1">
        <v>8.01998355E8</v>
      </c>
      <c r="G73" s="2">
        <v>46023.0</v>
      </c>
      <c r="H73" s="1" t="s">
        <v>153</v>
      </c>
      <c r="I73" s="9" t="s">
        <v>353</v>
      </c>
      <c r="J73" s="7">
        <v>36.0</v>
      </c>
      <c r="K73" s="6">
        <v>1.0</v>
      </c>
      <c r="L73" s="6" t="s">
        <v>351</v>
      </c>
      <c r="M73" s="1" t="str">
        <f t="shared" si="4"/>
        <v>3/1/2026</v>
      </c>
    </row>
    <row r="74">
      <c r="A74" s="1" t="s">
        <v>40</v>
      </c>
      <c r="B74" s="1" t="s">
        <v>164</v>
      </c>
      <c r="C74" s="1" t="s">
        <v>165</v>
      </c>
      <c r="D74" s="1" t="str">
        <f t="shared" si="1"/>
        <v>Jamal Rafraf</v>
      </c>
      <c r="E74" s="1">
        <v>8.02341284E8</v>
      </c>
      <c r="F74" s="1">
        <v>8.02341284E8</v>
      </c>
      <c r="G74" s="2">
        <v>46023.0</v>
      </c>
      <c r="H74" s="1" t="s">
        <v>153</v>
      </c>
      <c r="I74" s="9" t="s">
        <v>353</v>
      </c>
      <c r="J74" s="7">
        <v>36.0</v>
      </c>
      <c r="K74" s="6">
        <v>1.0</v>
      </c>
      <c r="L74" s="6" t="s">
        <v>351</v>
      </c>
      <c r="M74" s="1" t="str">
        <f t="shared" si="4"/>
        <v>3/1/2026</v>
      </c>
    </row>
    <row r="75">
      <c r="A75" s="1" t="s">
        <v>40</v>
      </c>
      <c r="B75" s="1" t="s">
        <v>166</v>
      </c>
      <c r="C75" s="1" t="s">
        <v>167</v>
      </c>
      <c r="D75" s="1" t="str">
        <f t="shared" si="1"/>
        <v>James Heckenberger</v>
      </c>
      <c r="E75" s="1">
        <v>8.02807514E8</v>
      </c>
      <c r="F75" s="1">
        <v>8.02807514E8</v>
      </c>
      <c r="G75" s="2">
        <v>46023.0</v>
      </c>
      <c r="H75" s="1" t="s">
        <v>153</v>
      </c>
      <c r="I75" s="9" t="s">
        <v>353</v>
      </c>
      <c r="J75" s="7">
        <v>36.0</v>
      </c>
      <c r="K75" s="6">
        <v>1.0</v>
      </c>
      <c r="L75" s="6" t="s">
        <v>351</v>
      </c>
      <c r="M75" s="1" t="str">
        <f t="shared" si="4"/>
        <v>3/1/2026</v>
      </c>
    </row>
    <row r="76">
      <c r="A76" s="1" t="s">
        <v>40</v>
      </c>
      <c r="B76" s="1" t="s">
        <v>166</v>
      </c>
      <c r="C76" s="1" t="s">
        <v>167</v>
      </c>
      <c r="D76" s="1" t="str">
        <f t="shared" si="1"/>
        <v>James Heckenberger</v>
      </c>
      <c r="E76" s="1">
        <v>8.02807514E8</v>
      </c>
      <c r="F76" s="1">
        <v>8.02807514E8</v>
      </c>
      <c r="G76" s="2">
        <v>46023.0</v>
      </c>
      <c r="H76" s="1" t="s">
        <v>168</v>
      </c>
      <c r="I76" s="9" t="s">
        <v>353</v>
      </c>
      <c r="J76" s="7">
        <v>36.0</v>
      </c>
      <c r="K76" s="6">
        <v>1.0</v>
      </c>
      <c r="L76" s="6" t="s">
        <v>351</v>
      </c>
      <c r="M76" s="1" t="str">
        <f t="shared" si="4"/>
        <v>2/1/2026</v>
      </c>
    </row>
    <row r="77">
      <c r="A77" s="1" t="s">
        <v>23</v>
      </c>
      <c r="B77" s="1" t="s">
        <v>169</v>
      </c>
      <c r="C77" s="1" t="s">
        <v>170</v>
      </c>
      <c r="D77" s="1" t="str">
        <f t="shared" si="1"/>
        <v>Jason Mcmillen</v>
      </c>
      <c r="E77" s="1">
        <v>8.02332852E8</v>
      </c>
      <c r="F77" s="1">
        <v>8.02332852E8</v>
      </c>
      <c r="G77" s="2">
        <v>46023.0</v>
      </c>
      <c r="H77" s="1" t="s">
        <v>153</v>
      </c>
      <c r="I77" s="9" t="s">
        <v>353</v>
      </c>
      <c r="J77" s="7">
        <v>36.0</v>
      </c>
      <c r="K77" s="6">
        <v>1.0</v>
      </c>
      <c r="L77" s="6" t="s">
        <v>351</v>
      </c>
      <c r="M77" s="1" t="str">
        <f t="shared" si="4"/>
        <v>3/1/2026</v>
      </c>
    </row>
    <row r="78">
      <c r="A78" s="1" t="s">
        <v>87</v>
      </c>
      <c r="B78" s="1" t="s">
        <v>171</v>
      </c>
      <c r="C78" s="1" t="s">
        <v>172</v>
      </c>
      <c r="D78" s="1" t="str">
        <f t="shared" si="1"/>
        <v>Junell Kirchner</v>
      </c>
      <c r="E78" s="1">
        <v>8.03016096E8</v>
      </c>
      <c r="F78" s="1">
        <v>8.03016096E8</v>
      </c>
      <c r="G78" s="2">
        <v>46023.0</v>
      </c>
      <c r="H78" s="1" t="s">
        <v>153</v>
      </c>
      <c r="I78" s="9" t="s">
        <v>353</v>
      </c>
      <c r="J78" s="7">
        <v>36.0</v>
      </c>
      <c r="K78" s="6">
        <v>1.0</v>
      </c>
      <c r="L78" s="6" t="s">
        <v>351</v>
      </c>
      <c r="M78" s="1" t="str">
        <f t="shared" si="4"/>
        <v>3/1/2026</v>
      </c>
    </row>
    <row r="79">
      <c r="A79" s="1" t="s">
        <v>40</v>
      </c>
      <c r="B79" s="1" t="s">
        <v>92</v>
      </c>
      <c r="C79" s="1" t="s">
        <v>173</v>
      </c>
      <c r="D79" s="1" t="str">
        <f t="shared" si="1"/>
        <v>Karen Ritter</v>
      </c>
      <c r="E79" s="1">
        <v>8.0201604E8</v>
      </c>
      <c r="F79" s="1">
        <v>8.0201604E8</v>
      </c>
      <c r="G79" s="2">
        <v>46023.0</v>
      </c>
      <c r="H79" s="1" t="s">
        <v>153</v>
      </c>
      <c r="I79" s="9" t="s">
        <v>353</v>
      </c>
      <c r="J79" s="7">
        <v>36.0</v>
      </c>
      <c r="K79" s="6">
        <v>1.0</v>
      </c>
      <c r="L79" s="6" t="s">
        <v>351</v>
      </c>
      <c r="M79" s="1" t="str">
        <f t="shared" si="4"/>
        <v>3/1/2026</v>
      </c>
    </row>
    <row r="80">
      <c r="A80" s="1" t="s">
        <v>23</v>
      </c>
      <c r="B80" s="1" t="s">
        <v>174</v>
      </c>
      <c r="C80" s="1" t="s">
        <v>175</v>
      </c>
      <c r="D80" s="1" t="str">
        <f t="shared" si="1"/>
        <v>Mark Gutshall</v>
      </c>
      <c r="E80" s="1">
        <v>8.0278478E8</v>
      </c>
      <c r="F80" s="1">
        <v>8.0278478E8</v>
      </c>
      <c r="G80" s="2">
        <v>46023.0</v>
      </c>
      <c r="H80" s="1" t="s">
        <v>157</v>
      </c>
      <c r="I80" s="9" t="s">
        <v>353</v>
      </c>
      <c r="J80" s="7">
        <v>36.0</v>
      </c>
      <c r="K80" s="6">
        <v>1.0</v>
      </c>
      <c r="L80" s="6" t="s">
        <v>351</v>
      </c>
      <c r="M80" s="1" t="str">
        <f t="shared" si="4"/>
        <v>4/1/2026</v>
      </c>
    </row>
    <row r="81">
      <c r="A81" s="1" t="s">
        <v>23</v>
      </c>
      <c r="B81" s="1" t="s">
        <v>103</v>
      </c>
      <c r="C81" s="1" t="s">
        <v>176</v>
      </c>
      <c r="D81" s="1" t="str">
        <f t="shared" si="1"/>
        <v>Michael Giorgio</v>
      </c>
      <c r="E81" s="1">
        <v>8.02385143E8</v>
      </c>
      <c r="F81" s="1">
        <v>8.02385143E8</v>
      </c>
      <c r="G81" s="2">
        <v>46023.0</v>
      </c>
      <c r="H81" s="1" t="s">
        <v>153</v>
      </c>
      <c r="I81" s="9" t="s">
        <v>353</v>
      </c>
      <c r="J81" s="7">
        <v>36.0</v>
      </c>
      <c r="K81" s="6">
        <v>1.0</v>
      </c>
      <c r="L81" s="6" t="s">
        <v>351</v>
      </c>
      <c r="M81" s="1" t="str">
        <f t="shared" si="4"/>
        <v>3/1/2026</v>
      </c>
    </row>
    <row r="82">
      <c r="A82" s="1" t="s">
        <v>23</v>
      </c>
      <c r="B82" s="1" t="s">
        <v>103</v>
      </c>
      <c r="C82" s="1" t="s">
        <v>177</v>
      </c>
      <c r="D82" s="1" t="str">
        <f t="shared" si="1"/>
        <v>Michael Gwin</v>
      </c>
      <c r="E82" s="1">
        <v>8.02327643E8</v>
      </c>
      <c r="F82" s="1">
        <v>8.02327643E8</v>
      </c>
      <c r="G82" s="2">
        <v>46023.0</v>
      </c>
      <c r="H82" s="1" t="s">
        <v>153</v>
      </c>
      <c r="I82" s="9" t="s">
        <v>353</v>
      </c>
      <c r="J82" s="7">
        <v>36.0</v>
      </c>
      <c r="K82" s="6">
        <v>1.0</v>
      </c>
      <c r="L82" s="6" t="s">
        <v>351</v>
      </c>
      <c r="M82" s="1" t="str">
        <f t="shared" si="4"/>
        <v>3/1/2026</v>
      </c>
    </row>
    <row r="83">
      <c r="A83" s="1" t="s">
        <v>40</v>
      </c>
      <c r="B83" s="1" t="s">
        <v>178</v>
      </c>
      <c r="C83" s="1" t="s">
        <v>179</v>
      </c>
      <c r="D83" s="1" t="str">
        <f t="shared" si="1"/>
        <v>Tom R Schlickbernd</v>
      </c>
      <c r="E83" s="1">
        <v>8.03085222E8</v>
      </c>
      <c r="F83" s="1">
        <v>8.03085222E8</v>
      </c>
      <c r="G83" s="2">
        <v>46023.0</v>
      </c>
      <c r="H83" s="1" t="s">
        <v>153</v>
      </c>
      <c r="I83" s="9" t="s">
        <v>353</v>
      </c>
      <c r="J83" s="7">
        <v>36.0</v>
      </c>
      <c r="K83" s="6">
        <v>1.0</v>
      </c>
      <c r="L83" s="6" t="s">
        <v>351</v>
      </c>
      <c r="M83" s="1" t="str">
        <f t="shared" si="4"/>
        <v>3/1/2026</v>
      </c>
    </row>
    <row r="84">
      <c r="A84" s="1" t="s">
        <v>139</v>
      </c>
      <c r="B84" s="1" t="s">
        <v>180</v>
      </c>
      <c r="C84" s="1" t="s">
        <v>181</v>
      </c>
      <c r="D84" s="1" t="str">
        <f t="shared" si="1"/>
        <v>Vera Arnold</v>
      </c>
      <c r="E84" s="1">
        <v>8.02293839E8</v>
      </c>
      <c r="F84" s="1">
        <v>8.02293839E8</v>
      </c>
      <c r="G84" s="2">
        <v>46023.0</v>
      </c>
      <c r="H84" s="1" t="s">
        <v>153</v>
      </c>
      <c r="I84" s="9" t="s">
        <v>353</v>
      </c>
      <c r="J84" s="7">
        <v>36.0</v>
      </c>
      <c r="K84" s="6">
        <v>1.0</v>
      </c>
      <c r="L84" s="6" t="s">
        <v>351</v>
      </c>
      <c r="M84" s="1" t="str">
        <f t="shared" si="4"/>
        <v>3/1/2026</v>
      </c>
    </row>
    <row r="85">
      <c r="A85" s="1" t="s">
        <v>40</v>
      </c>
      <c r="B85" s="1" t="s">
        <v>182</v>
      </c>
      <c r="C85" s="1" t="s">
        <v>183</v>
      </c>
      <c r="D85" s="1" t="str">
        <f t="shared" si="1"/>
        <v>Andrew Stella</v>
      </c>
      <c r="E85" s="1">
        <v>8.03100155E8</v>
      </c>
      <c r="F85" s="1">
        <v>8.03100155E8</v>
      </c>
      <c r="G85" s="2">
        <v>46023.0</v>
      </c>
      <c r="H85" s="1" t="s">
        <v>184</v>
      </c>
      <c r="I85" s="9" t="s">
        <v>353</v>
      </c>
      <c r="J85" s="7">
        <v>44.0</v>
      </c>
      <c r="K85" s="6">
        <v>1.0</v>
      </c>
      <c r="L85" s="6" t="s">
        <v>351</v>
      </c>
      <c r="M85" s="1" t="str">
        <f t="shared" si="4"/>
        <v>4/1/2026</v>
      </c>
    </row>
    <row r="86">
      <c r="A86" s="1" t="s">
        <v>40</v>
      </c>
      <c r="B86" s="1" t="s">
        <v>185</v>
      </c>
      <c r="C86" s="1" t="s">
        <v>186</v>
      </c>
      <c r="D86" s="1" t="str">
        <f t="shared" si="1"/>
        <v>Caroline Ongoro</v>
      </c>
      <c r="E86" s="1">
        <v>8.03107563E8</v>
      </c>
      <c r="F86" s="1">
        <v>8.03107563E8</v>
      </c>
      <c r="G86" s="2">
        <v>46023.0</v>
      </c>
      <c r="H86" s="1" t="s">
        <v>187</v>
      </c>
      <c r="I86" s="9" t="s">
        <v>353</v>
      </c>
      <c r="J86" s="7">
        <v>44.0</v>
      </c>
      <c r="K86" s="6">
        <v>1.0</v>
      </c>
      <c r="L86" s="6" t="s">
        <v>351</v>
      </c>
      <c r="M86" s="1" t="str">
        <f t="shared" si="4"/>
        <v>3/1/2026</v>
      </c>
    </row>
    <row r="87">
      <c r="A87" s="1" t="s">
        <v>23</v>
      </c>
      <c r="B87" s="1" t="s">
        <v>188</v>
      </c>
      <c r="C87" s="1" t="s">
        <v>189</v>
      </c>
      <c r="D87" s="1" t="str">
        <f t="shared" si="1"/>
        <v>Marc Friedman</v>
      </c>
      <c r="E87" s="1">
        <v>8.03104059E8</v>
      </c>
      <c r="F87" s="1">
        <v>8.03104059E8</v>
      </c>
      <c r="G87" s="2">
        <v>46023.0</v>
      </c>
      <c r="H87" s="1" t="s">
        <v>187</v>
      </c>
      <c r="I87" s="9" t="s">
        <v>353</v>
      </c>
      <c r="J87" s="7">
        <v>44.0</v>
      </c>
      <c r="K87" s="6">
        <v>1.0</v>
      </c>
      <c r="L87" s="6" t="s">
        <v>351</v>
      </c>
      <c r="M87" s="1" t="str">
        <f t="shared" si="4"/>
        <v>3/1/2026</v>
      </c>
    </row>
    <row r="88">
      <c r="A88" s="1" t="s">
        <v>23</v>
      </c>
      <c r="B88" s="1" t="s">
        <v>190</v>
      </c>
      <c r="C88" s="1" t="s">
        <v>191</v>
      </c>
      <c r="D88" s="1" t="str">
        <f t="shared" si="1"/>
        <v>Dwight D Walbert</v>
      </c>
      <c r="E88" s="1">
        <v>8.03152334E8</v>
      </c>
      <c r="F88" s="1">
        <v>8.03152334E8</v>
      </c>
      <c r="G88" s="2">
        <v>46082.0</v>
      </c>
      <c r="H88" s="1" t="s">
        <v>184</v>
      </c>
      <c r="I88" s="9" t="s">
        <v>353</v>
      </c>
      <c r="J88" s="7">
        <v>44.0</v>
      </c>
      <c r="K88" s="6">
        <v>1.0</v>
      </c>
      <c r="L88" s="6" t="s">
        <v>351</v>
      </c>
      <c r="M88" s="1" t="str">
        <f t="shared" si="4"/>
        <v>4/1/2026</v>
      </c>
    </row>
    <row r="89">
      <c r="A89" s="1" t="s">
        <v>11</v>
      </c>
      <c r="B89" s="1" t="s">
        <v>192</v>
      </c>
      <c r="C89" s="1" t="s">
        <v>193</v>
      </c>
      <c r="D89" s="1" t="str">
        <f t="shared" si="1"/>
        <v>Tyler Penland</v>
      </c>
      <c r="E89" s="1">
        <v>8.02999435E8</v>
      </c>
      <c r="F89" s="1">
        <v>8.02999435E8</v>
      </c>
      <c r="G89" s="2">
        <v>46023.0</v>
      </c>
      <c r="H89" s="1" t="s">
        <v>194</v>
      </c>
      <c r="I89" s="9" t="s">
        <v>354</v>
      </c>
      <c r="J89" s="7">
        <v>72.0</v>
      </c>
      <c r="K89" s="6">
        <v>1.0</v>
      </c>
      <c r="L89" s="6" t="s">
        <v>351</v>
      </c>
      <c r="M89" s="1" t="str">
        <f t="shared" si="4"/>
        <v>4/1/2026</v>
      </c>
    </row>
    <row r="90">
      <c r="A90" s="1" t="s">
        <v>45</v>
      </c>
      <c r="B90" s="1" t="s">
        <v>195</v>
      </c>
      <c r="C90" s="1" t="s">
        <v>196</v>
      </c>
      <c r="D90" s="1" t="str">
        <f t="shared" si="1"/>
        <v>Lauren Horn</v>
      </c>
      <c r="E90" s="1">
        <v>8.03094359E8</v>
      </c>
      <c r="F90" s="1">
        <v>8.03094359E8</v>
      </c>
      <c r="G90" s="2">
        <v>46023.0</v>
      </c>
      <c r="H90" s="1" t="s">
        <v>197</v>
      </c>
      <c r="I90" s="9" t="s">
        <v>355</v>
      </c>
      <c r="J90" s="7">
        <v>90.0</v>
      </c>
      <c r="K90" s="6">
        <v>1.0</v>
      </c>
      <c r="L90" s="6" t="s">
        <v>351</v>
      </c>
      <c r="M90" s="1" t="str">
        <f t="shared" si="4"/>
        <v>3/1/2026</v>
      </c>
    </row>
    <row r="91">
      <c r="A91" s="6" t="s">
        <v>356</v>
      </c>
      <c r="B91" s="1" t="s">
        <v>41</v>
      </c>
      <c r="C91" s="1" t="s">
        <v>42</v>
      </c>
      <c r="D91" s="1" t="str">
        <f t="shared" si="1"/>
        <v>Alesha Baughman</v>
      </c>
      <c r="E91" s="1">
        <v>8.03044035E8</v>
      </c>
      <c r="F91" s="1" t="str">
        <f t="shared" ref="F91:F252" si="5">concat(E91,"OVR")</f>
        <v>803044035OVR</v>
      </c>
      <c r="G91" s="2">
        <v>46023.0</v>
      </c>
      <c r="H91" s="1" t="s">
        <v>198</v>
      </c>
      <c r="I91" s="7"/>
      <c r="J91" s="7">
        <v>2.0</v>
      </c>
      <c r="K91" s="7">
        <v>2.0</v>
      </c>
      <c r="L91" s="6" t="s">
        <v>357</v>
      </c>
      <c r="M91" s="1" t="str">
        <f t="shared" si="4"/>
        <v>4/1/2026</v>
      </c>
    </row>
    <row r="92">
      <c r="A92" s="6" t="s">
        <v>356</v>
      </c>
      <c r="B92" s="1" t="s">
        <v>199</v>
      </c>
      <c r="C92" s="1" t="s">
        <v>200</v>
      </c>
      <c r="D92" s="1" t="str">
        <f t="shared" si="1"/>
        <v>Alexandra Dreese</v>
      </c>
      <c r="E92" s="1">
        <v>8.02910781E8</v>
      </c>
      <c r="F92" s="1" t="str">
        <f t="shared" si="5"/>
        <v>802910781OVR</v>
      </c>
      <c r="G92" s="2">
        <v>46023.0</v>
      </c>
      <c r="H92" s="1" t="s">
        <v>201</v>
      </c>
      <c r="I92" s="7"/>
      <c r="J92" s="7">
        <v>0.5</v>
      </c>
      <c r="K92" s="7">
        <v>0.5</v>
      </c>
      <c r="L92" s="6" t="s">
        <v>357</v>
      </c>
      <c r="M92" s="1" t="str">
        <f t="shared" si="4"/>
        <v>3/1/2026</v>
      </c>
    </row>
    <row r="93">
      <c r="A93" s="6" t="s">
        <v>356</v>
      </c>
      <c r="B93" s="1" t="s">
        <v>202</v>
      </c>
      <c r="C93" s="1" t="s">
        <v>203</v>
      </c>
      <c r="D93" s="1" t="str">
        <f t="shared" si="1"/>
        <v>Alicia Shaffer</v>
      </c>
      <c r="E93" s="1">
        <v>8.01965326E8</v>
      </c>
      <c r="F93" s="1" t="str">
        <f t="shared" si="5"/>
        <v>801965326OVR</v>
      </c>
      <c r="G93" s="2">
        <v>46023.0</v>
      </c>
      <c r="H93" s="1" t="s">
        <v>198</v>
      </c>
      <c r="I93" s="7"/>
      <c r="J93" s="7">
        <v>0.5</v>
      </c>
      <c r="K93" s="7">
        <v>0.5</v>
      </c>
      <c r="L93" s="6" t="s">
        <v>357</v>
      </c>
      <c r="M93" s="1" t="str">
        <f t="shared" si="4"/>
        <v>4/1/2026</v>
      </c>
    </row>
    <row r="94">
      <c r="A94" s="6" t="s">
        <v>356</v>
      </c>
      <c r="B94" s="1" t="s">
        <v>46</v>
      </c>
      <c r="C94" s="1" t="s">
        <v>204</v>
      </c>
      <c r="D94" s="1" t="str">
        <f t="shared" si="1"/>
        <v>Alyssa Shurgalla</v>
      </c>
      <c r="E94" s="1">
        <v>8.0227555E8</v>
      </c>
      <c r="F94" s="1" t="str">
        <f t="shared" si="5"/>
        <v>802275550OVR</v>
      </c>
      <c r="G94" s="2">
        <v>46023.0</v>
      </c>
      <c r="H94" s="1" t="s">
        <v>205</v>
      </c>
      <c r="I94" s="7"/>
      <c r="J94" s="7">
        <v>0.5</v>
      </c>
      <c r="K94" s="7">
        <v>0.5</v>
      </c>
      <c r="L94" s="6" t="s">
        <v>357</v>
      </c>
      <c r="M94" s="1" t="str">
        <f t="shared" si="4"/>
        <v>2/1/2026</v>
      </c>
    </row>
    <row r="95">
      <c r="A95" s="6" t="s">
        <v>356</v>
      </c>
      <c r="B95" s="1" t="s">
        <v>46</v>
      </c>
      <c r="C95" s="1" t="s">
        <v>206</v>
      </c>
      <c r="D95" s="1" t="str">
        <f t="shared" si="1"/>
        <v>Alyssa Gosnell</v>
      </c>
      <c r="E95" s="1">
        <v>8.02644728E8</v>
      </c>
      <c r="F95" s="1" t="str">
        <f t="shared" si="5"/>
        <v>802644728OVR</v>
      </c>
      <c r="G95" s="2">
        <v>46023.0</v>
      </c>
      <c r="H95" s="1" t="s">
        <v>201</v>
      </c>
      <c r="I95" s="7"/>
      <c r="J95" s="7">
        <v>0.5</v>
      </c>
      <c r="K95" s="7">
        <v>0.5</v>
      </c>
      <c r="L95" s="6" t="s">
        <v>357</v>
      </c>
      <c r="M95" s="1" t="str">
        <f t="shared" si="4"/>
        <v>3/1/2026</v>
      </c>
    </row>
    <row r="96">
      <c r="A96" s="6" t="s">
        <v>356</v>
      </c>
      <c r="B96" s="1" t="s">
        <v>46</v>
      </c>
      <c r="C96" s="1" t="s">
        <v>47</v>
      </c>
      <c r="D96" s="1" t="str">
        <f t="shared" si="1"/>
        <v>Alyssa Harris</v>
      </c>
      <c r="E96" s="1">
        <v>8.03072574E8</v>
      </c>
      <c r="F96" s="1" t="str">
        <f t="shared" si="5"/>
        <v>803072574OVR</v>
      </c>
      <c r="G96" s="2">
        <v>46023.0</v>
      </c>
      <c r="H96" s="1" t="s">
        <v>205</v>
      </c>
      <c r="I96" s="7"/>
      <c r="J96" s="7">
        <v>2.0</v>
      </c>
      <c r="K96" s="7">
        <v>2.0</v>
      </c>
      <c r="L96" s="6" t="s">
        <v>357</v>
      </c>
      <c r="M96" s="1" t="str">
        <f t="shared" si="4"/>
        <v>2/1/2026</v>
      </c>
    </row>
    <row r="97">
      <c r="A97" s="6" t="s">
        <v>356</v>
      </c>
      <c r="B97" s="1" t="s">
        <v>46</v>
      </c>
      <c r="C97" s="1" t="s">
        <v>47</v>
      </c>
      <c r="D97" s="1" t="str">
        <f t="shared" si="1"/>
        <v>Alyssa Harris</v>
      </c>
      <c r="E97" s="1">
        <v>8.03072574E8</v>
      </c>
      <c r="F97" s="1" t="str">
        <f t="shared" si="5"/>
        <v>803072574OVR</v>
      </c>
      <c r="G97" s="2">
        <v>46023.0</v>
      </c>
      <c r="H97" s="1" t="s">
        <v>201</v>
      </c>
      <c r="I97" s="7"/>
      <c r="J97" s="7">
        <v>2.0</v>
      </c>
      <c r="K97" s="7">
        <v>2.0</v>
      </c>
      <c r="L97" s="6" t="s">
        <v>357</v>
      </c>
      <c r="M97" s="1" t="str">
        <f t="shared" si="4"/>
        <v>3/1/2026</v>
      </c>
    </row>
    <row r="98">
      <c r="A98" s="6" t="s">
        <v>356</v>
      </c>
      <c r="B98" s="1" t="s">
        <v>46</v>
      </c>
      <c r="C98" s="1" t="s">
        <v>204</v>
      </c>
      <c r="D98" s="1" t="str">
        <f t="shared" si="1"/>
        <v>Alyssa Shurgalla</v>
      </c>
      <c r="E98" s="1">
        <v>8.0227555E8</v>
      </c>
      <c r="F98" s="1" t="str">
        <f t="shared" si="5"/>
        <v>802275550OVR</v>
      </c>
      <c r="G98" s="2">
        <v>46023.0</v>
      </c>
      <c r="H98" s="1" t="s">
        <v>201</v>
      </c>
      <c r="I98" s="7"/>
      <c r="J98" s="7">
        <v>0.5</v>
      </c>
      <c r="K98" s="7">
        <v>0.5</v>
      </c>
      <c r="L98" s="6" t="s">
        <v>357</v>
      </c>
      <c r="M98" s="1" t="str">
        <f t="shared" si="4"/>
        <v>3/1/2026</v>
      </c>
    </row>
    <row r="99">
      <c r="A99" s="6" t="s">
        <v>356</v>
      </c>
      <c r="B99" s="1" t="s">
        <v>207</v>
      </c>
      <c r="C99" s="1" t="s">
        <v>208</v>
      </c>
      <c r="D99" s="1" t="str">
        <f t="shared" si="1"/>
        <v>Amalia Lamparter</v>
      </c>
      <c r="E99" s="1">
        <v>8.02644782E8</v>
      </c>
      <c r="F99" s="1" t="str">
        <f t="shared" si="5"/>
        <v>802644782OVR</v>
      </c>
      <c r="G99" s="2">
        <v>46023.0</v>
      </c>
      <c r="H99" s="1" t="s">
        <v>201</v>
      </c>
      <c r="I99" s="7"/>
      <c r="J99" s="7">
        <v>2.0</v>
      </c>
      <c r="K99" s="7">
        <v>2.0</v>
      </c>
      <c r="L99" s="6" t="s">
        <v>357</v>
      </c>
      <c r="M99" s="1" t="str">
        <f t="shared" si="4"/>
        <v>3/1/2026</v>
      </c>
    </row>
    <row r="100">
      <c r="A100" s="6" t="s">
        <v>356</v>
      </c>
      <c r="B100" s="1" t="s">
        <v>209</v>
      </c>
      <c r="C100" s="1" t="s">
        <v>210</v>
      </c>
      <c r="D100" s="1" t="str">
        <f t="shared" si="1"/>
        <v>Andrea Martin</v>
      </c>
      <c r="E100" s="1">
        <v>8.02999575E8</v>
      </c>
      <c r="F100" s="1" t="str">
        <f t="shared" si="5"/>
        <v>802999575OVR</v>
      </c>
      <c r="G100" s="2">
        <v>46023.0</v>
      </c>
      <c r="H100" s="1" t="s">
        <v>201</v>
      </c>
      <c r="I100" s="7"/>
      <c r="J100" s="7">
        <v>0.5</v>
      </c>
      <c r="K100" s="7">
        <v>0.5</v>
      </c>
      <c r="L100" s="6" t="s">
        <v>357</v>
      </c>
      <c r="M100" s="1" t="str">
        <f t="shared" si="4"/>
        <v>3/1/2026</v>
      </c>
    </row>
    <row r="101">
      <c r="A101" s="6" t="s">
        <v>356</v>
      </c>
      <c r="B101" s="1" t="s">
        <v>182</v>
      </c>
      <c r="C101" s="1" t="s">
        <v>212</v>
      </c>
      <c r="D101" s="1" t="str">
        <f t="shared" si="1"/>
        <v>Andrew Hoover</v>
      </c>
      <c r="E101" s="1">
        <v>8.02869185E8</v>
      </c>
      <c r="F101" s="1" t="str">
        <f t="shared" si="5"/>
        <v>802869185OVR</v>
      </c>
      <c r="G101" s="2">
        <v>46054.0</v>
      </c>
      <c r="H101" s="1" t="s">
        <v>201</v>
      </c>
      <c r="I101" s="7"/>
      <c r="J101" s="7">
        <v>2.0</v>
      </c>
      <c r="K101" s="7">
        <v>2.0</v>
      </c>
      <c r="L101" s="6" t="s">
        <v>357</v>
      </c>
      <c r="M101" s="1" t="str">
        <f t="shared" si="4"/>
        <v>3/1/2026</v>
      </c>
    </row>
    <row r="102">
      <c r="A102" s="6" t="s">
        <v>356</v>
      </c>
      <c r="B102" s="1" t="s">
        <v>182</v>
      </c>
      <c r="C102" s="1" t="s">
        <v>212</v>
      </c>
      <c r="D102" s="1" t="str">
        <f t="shared" si="1"/>
        <v>Andrew Hoover</v>
      </c>
      <c r="E102" s="1">
        <v>8.02869185E8</v>
      </c>
      <c r="F102" s="1" t="str">
        <f t="shared" si="5"/>
        <v>802869185OVR</v>
      </c>
      <c r="G102" s="2">
        <v>46054.0</v>
      </c>
      <c r="H102" s="1" t="s">
        <v>198</v>
      </c>
      <c r="I102" s="7"/>
      <c r="J102" s="7">
        <v>2.0</v>
      </c>
      <c r="K102" s="7">
        <v>2.0</v>
      </c>
      <c r="L102" s="6" t="s">
        <v>357</v>
      </c>
      <c r="M102" s="1" t="str">
        <f t="shared" si="4"/>
        <v>4/1/2026</v>
      </c>
    </row>
    <row r="103">
      <c r="A103" s="6" t="s">
        <v>356</v>
      </c>
      <c r="B103" s="1" t="s">
        <v>50</v>
      </c>
      <c r="C103" s="1" t="s">
        <v>51</v>
      </c>
      <c r="D103" s="1" t="str">
        <f t="shared" si="1"/>
        <v>Annetta Otto</v>
      </c>
      <c r="E103" s="1">
        <v>8.03052014E8</v>
      </c>
      <c r="F103" s="1" t="str">
        <f t="shared" si="5"/>
        <v>803052014OVR</v>
      </c>
      <c r="G103" s="2">
        <v>46023.0</v>
      </c>
      <c r="H103" s="1" t="s">
        <v>201</v>
      </c>
      <c r="I103" s="7"/>
      <c r="J103" s="7">
        <v>2.0</v>
      </c>
      <c r="K103" s="7">
        <v>2.0</v>
      </c>
      <c r="L103" s="6" t="s">
        <v>357</v>
      </c>
      <c r="M103" s="1" t="str">
        <f t="shared" si="4"/>
        <v>3/1/2026</v>
      </c>
    </row>
    <row r="104">
      <c r="A104" s="6" t="s">
        <v>356</v>
      </c>
      <c r="B104" s="1" t="s">
        <v>53</v>
      </c>
      <c r="C104" s="1" t="s">
        <v>213</v>
      </c>
      <c r="D104" s="1" t="str">
        <f t="shared" si="1"/>
        <v>Bonnie Reed</v>
      </c>
      <c r="E104" s="1">
        <v>8.02608706E8</v>
      </c>
      <c r="F104" s="1" t="str">
        <f t="shared" si="5"/>
        <v>802608706OVR</v>
      </c>
      <c r="G104" s="2">
        <v>46023.0</v>
      </c>
      <c r="H104" s="1" t="s">
        <v>198</v>
      </c>
      <c r="I104" s="7"/>
      <c r="J104" s="7">
        <v>0.5</v>
      </c>
      <c r="K104" s="7">
        <v>0.5</v>
      </c>
      <c r="L104" s="6" t="s">
        <v>357</v>
      </c>
      <c r="M104" s="1" t="str">
        <f t="shared" si="4"/>
        <v>4/1/2026</v>
      </c>
    </row>
    <row r="105">
      <c r="A105" s="6" t="s">
        <v>356</v>
      </c>
      <c r="B105" s="1" t="s">
        <v>53</v>
      </c>
      <c r="C105" s="1" t="s">
        <v>54</v>
      </c>
      <c r="D105" s="1" t="str">
        <f t="shared" si="1"/>
        <v>Bonnie Orwan</v>
      </c>
      <c r="E105" s="1">
        <v>8.0276612E8</v>
      </c>
      <c r="F105" s="1" t="str">
        <f t="shared" si="5"/>
        <v>802766120OVR</v>
      </c>
      <c r="G105" s="2">
        <v>46023.0</v>
      </c>
      <c r="H105" s="1" t="s">
        <v>198</v>
      </c>
      <c r="I105" s="7"/>
      <c r="J105" s="7">
        <v>2.0</v>
      </c>
      <c r="K105" s="7">
        <v>2.0</v>
      </c>
      <c r="L105" s="6" t="s">
        <v>357</v>
      </c>
      <c r="M105" s="1" t="str">
        <f t="shared" si="4"/>
        <v>4/1/2026</v>
      </c>
    </row>
    <row r="106">
      <c r="A106" s="6" t="s">
        <v>356</v>
      </c>
      <c r="B106" s="1" t="s">
        <v>151</v>
      </c>
      <c r="C106" s="1" t="s">
        <v>214</v>
      </c>
      <c r="D106" s="1" t="str">
        <f t="shared" si="1"/>
        <v>Bradley Stroup</v>
      </c>
      <c r="E106" s="1">
        <v>8.02755228E8</v>
      </c>
      <c r="F106" s="1" t="str">
        <f t="shared" si="5"/>
        <v>802755228OVR</v>
      </c>
      <c r="G106" s="2">
        <v>46023.0</v>
      </c>
      <c r="H106" s="1" t="s">
        <v>198</v>
      </c>
      <c r="I106" s="7"/>
      <c r="J106" s="7">
        <v>0.5</v>
      </c>
      <c r="K106" s="7">
        <v>0.5</v>
      </c>
      <c r="L106" s="6" t="s">
        <v>357</v>
      </c>
      <c r="M106" s="1" t="str">
        <f t="shared" si="4"/>
        <v>4/1/2026</v>
      </c>
    </row>
    <row r="107">
      <c r="A107" s="6" t="s">
        <v>356</v>
      </c>
      <c r="B107" s="1" t="s">
        <v>215</v>
      </c>
      <c r="C107" s="1" t="s">
        <v>216</v>
      </c>
      <c r="D107" s="1" t="str">
        <f t="shared" si="1"/>
        <v>Bret Haldeman</v>
      </c>
      <c r="E107" s="1">
        <v>8.020258E8</v>
      </c>
      <c r="F107" s="1" t="str">
        <f t="shared" si="5"/>
        <v>802025800OVR</v>
      </c>
      <c r="G107" s="2">
        <v>46023.0</v>
      </c>
      <c r="H107" s="1" t="s">
        <v>201</v>
      </c>
      <c r="I107" s="7"/>
      <c r="J107" s="7">
        <v>0.5</v>
      </c>
      <c r="K107" s="7">
        <v>0.5</v>
      </c>
      <c r="L107" s="6" t="s">
        <v>357</v>
      </c>
      <c r="M107" s="1" t="str">
        <f t="shared" si="4"/>
        <v>3/1/2026</v>
      </c>
    </row>
    <row r="108">
      <c r="A108" s="6" t="s">
        <v>356</v>
      </c>
      <c r="B108" s="1" t="s">
        <v>56</v>
      </c>
      <c r="C108" s="1" t="s">
        <v>57</v>
      </c>
      <c r="D108" s="1" t="str">
        <f t="shared" si="1"/>
        <v>Brian Brennan</v>
      </c>
      <c r="E108" s="1">
        <v>8.02422752E8</v>
      </c>
      <c r="F108" s="1" t="str">
        <f t="shared" si="5"/>
        <v>802422752OVR</v>
      </c>
      <c r="G108" s="2">
        <v>46023.0</v>
      </c>
      <c r="H108" s="1" t="s">
        <v>201</v>
      </c>
      <c r="I108" s="7"/>
      <c r="J108" s="7">
        <v>2.0</v>
      </c>
      <c r="K108" s="7">
        <v>2.0</v>
      </c>
      <c r="L108" s="6" t="s">
        <v>357</v>
      </c>
      <c r="M108" s="1" t="str">
        <f t="shared" si="4"/>
        <v>3/1/2026</v>
      </c>
    </row>
    <row r="109">
      <c r="A109" s="6" t="s">
        <v>356</v>
      </c>
      <c r="B109" s="1" t="s">
        <v>59</v>
      </c>
      <c r="C109" s="1" t="s">
        <v>60</v>
      </c>
      <c r="D109" s="1" t="str">
        <f t="shared" si="1"/>
        <v>Carla Parsons</v>
      </c>
      <c r="E109" s="1">
        <v>8.02556534E8</v>
      </c>
      <c r="F109" s="1" t="str">
        <f t="shared" si="5"/>
        <v>802556534OVR</v>
      </c>
      <c r="G109" s="2">
        <v>46023.0</v>
      </c>
      <c r="H109" s="1" t="s">
        <v>198</v>
      </c>
      <c r="I109" s="7"/>
      <c r="J109" s="7">
        <v>2.0</v>
      </c>
      <c r="K109" s="7">
        <v>2.0</v>
      </c>
      <c r="L109" s="6" t="s">
        <v>357</v>
      </c>
      <c r="M109" s="1" t="str">
        <f t="shared" si="4"/>
        <v>4/1/2026</v>
      </c>
    </row>
    <row r="110">
      <c r="A110" s="6" t="s">
        <v>356</v>
      </c>
      <c r="B110" s="1" t="s">
        <v>61</v>
      </c>
      <c r="C110" s="1" t="s">
        <v>217</v>
      </c>
      <c r="D110" s="1" t="str">
        <f t="shared" si="1"/>
        <v>Casey Paradis</v>
      </c>
      <c r="E110" s="1">
        <v>8.02259162E8</v>
      </c>
      <c r="F110" s="1" t="str">
        <f t="shared" si="5"/>
        <v>802259162OVR</v>
      </c>
      <c r="G110" s="2">
        <v>46023.0</v>
      </c>
      <c r="H110" s="1" t="s">
        <v>198</v>
      </c>
      <c r="I110" s="7"/>
      <c r="J110" s="7">
        <v>0.5</v>
      </c>
      <c r="K110" s="7">
        <v>0.5</v>
      </c>
      <c r="L110" s="6" t="s">
        <v>357</v>
      </c>
      <c r="M110" s="1" t="str">
        <f t="shared" si="4"/>
        <v>4/1/2026</v>
      </c>
    </row>
    <row r="111">
      <c r="A111" s="6" t="s">
        <v>356</v>
      </c>
      <c r="B111" s="1" t="s">
        <v>61</v>
      </c>
      <c r="C111" s="1" t="s">
        <v>62</v>
      </c>
      <c r="D111" s="1" t="str">
        <f t="shared" si="1"/>
        <v>Casey Randler</v>
      </c>
      <c r="E111" s="1">
        <v>8.02672124E8</v>
      </c>
      <c r="F111" s="1" t="str">
        <f t="shared" si="5"/>
        <v>802672124OVR</v>
      </c>
      <c r="G111" s="2">
        <v>46023.0</v>
      </c>
      <c r="H111" s="1" t="s">
        <v>201</v>
      </c>
      <c r="I111" s="7"/>
      <c r="J111" s="7">
        <v>2.0</v>
      </c>
      <c r="K111" s="7">
        <v>2.0</v>
      </c>
      <c r="L111" s="6" t="s">
        <v>357</v>
      </c>
      <c r="M111" s="1" t="str">
        <f t="shared" si="4"/>
        <v>3/1/2026</v>
      </c>
    </row>
    <row r="112">
      <c r="A112" s="6" t="s">
        <v>356</v>
      </c>
      <c r="B112" s="1" t="s">
        <v>64</v>
      </c>
      <c r="C112" s="1" t="s">
        <v>65</v>
      </c>
      <c r="D112" s="1" t="str">
        <f t="shared" si="1"/>
        <v>Caterina Baiada</v>
      </c>
      <c r="E112" s="1">
        <v>8.03049628E8</v>
      </c>
      <c r="F112" s="1" t="str">
        <f t="shared" si="5"/>
        <v>803049628OVR</v>
      </c>
      <c r="G112" s="2">
        <v>46023.0</v>
      </c>
      <c r="H112" s="1" t="s">
        <v>198</v>
      </c>
      <c r="I112" s="7"/>
      <c r="J112" s="7">
        <v>2.0</v>
      </c>
      <c r="K112" s="7">
        <v>2.0</v>
      </c>
      <c r="L112" s="6" t="s">
        <v>357</v>
      </c>
      <c r="M112" s="1" t="str">
        <f t="shared" si="4"/>
        <v>4/1/2026</v>
      </c>
    </row>
    <row r="113">
      <c r="A113" s="6" t="s">
        <v>356</v>
      </c>
      <c r="B113" s="1" t="s">
        <v>66</v>
      </c>
      <c r="C113" s="1" t="s">
        <v>67</v>
      </c>
      <c r="D113" s="1" t="str">
        <f t="shared" si="1"/>
        <v>Cesar Martinez</v>
      </c>
      <c r="E113" s="1">
        <v>8.02041455E8</v>
      </c>
      <c r="F113" s="1" t="str">
        <f t="shared" si="5"/>
        <v>802041455OVR</v>
      </c>
      <c r="G113" s="2">
        <v>46023.0</v>
      </c>
      <c r="H113" s="1" t="s">
        <v>201</v>
      </c>
      <c r="I113" s="7"/>
      <c r="J113" s="7">
        <v>2.0</v>
      </c>
      <c r="K113" s="7">
        <v>2.0</v>
      </c>
      <c r="L113" s="6" t="s">
        <v>357</v>
      </c>
      <c r="M113" s="1" t="str">
        <f t="shared" si="4"/>
        <v>3/1/2026</v>
      </c>
    </row>
    <row r="114">
      <c r="A114" s="6" t="s">
        <v>356</v>
      </c>
      <c r="B114" s="1" t="s">
        <v>219</v>
      </c>
      <c r="C114" s="1" t="s">
        <v>220</v>
      </c>
      <c r="D114" s="1" t="str">
        <f t="shared" si="1"/>
        <v>Cheryl Gruver</v>
      </c>
      <c r="E114" s="1">
        <v>8.02503895E8</v>
      </c>
      <c r="F114" s="1" t="str">
        <f t="shared" si="5"/>
        <v>802503895OVR</v>
      </c>
      <c r="G114" s="2">
        <v>46023.0</v>
      </c>
      <c r="H114" s="1" t="s">
        <v>201</v>
      </c>
      <c r="I114" s="7"/>
      <c r="J114" s="7">
        <v>2.0</v>
      </c>
      <c r="K114" s="7">
        <v>2.0</v>
      </c>
      <c r="L114" s="6" t="s">
        <v>357</v>
      </c>
      <c r="M114" s="1" t="str">
        <f t="shared" si="4"/>
        <v>3/1/2026</v>
      </c>
    </row>
    <row r="115">
      <c r="A115" s="6" t="s">
        <v>356</v>
      </c>
      <c r="B115" s="1" t="s">
        <v>128</v>
      </c>
      <c r="C115" s="1" t="s">
        <v>221</v>
      </c>
      <c r="D115" s="1" t="str">
        <f t="shared" si="1"/>
        <v>Christopher Brinley</v>
      </c>
      <c r="E115" s="1">
        <v>8.02590662E8</v>
      </c>
      <c r="F115" s="1" t="str">
        <f t="shared" si="5"/>
        <v>802590662OVR</v>
      </c>
      <c r="G115" s="2">
        <v>46023.0</v>
      </c>
      <c r="H115" s="1" t="s">
        <v>201</v>
      </c>
      <c r="I115" s="7"/>
      <c r="J115" s="7">
        <v>0.5</v>
      </c>
      <c r="K115" s="7">
        <v>0.5</v>
      </c>
      <c r="L115" s="6" t="s">
        <v>357</v>
      </c>
      <c r="M115" s="1" t="str">
        <f t="shared" si="4"/>
        <v>3/1/2026</v>
      </c>
    </row>
    <row r="116">
      <c r="A116" s="6" t="s">
        <v>356</v>
      </c>
      <c r="B116" s="1" t="s">
        <v>68</v>
      </c>
      <c r="C116" s="1" t="s">
        <v>69</v>
      </c>
      <c r="D116" s="1" t="str">
        <f t="shared" si="1"/>
        <v>Clare Graham</v>
      </c>
      <c r="E116" s="1">
        <v>8.02924885E8</v>
      </c>
      <c r="F116" s="1" t="str">
        <f t="shared" si="5"/>
        <v>802924885OVR</v>
      </c>
      <c r="G116" s="2">
        <v>46023.0</v>
      </c>
      <c r="H116" s="1" t="s">
        <v>198</v>
      </c>
      <c r="I116" s="7"/>
      <c r="J116" s="7">
        <v>2.0</v>
      </c>
      <c r="K116" s="7">
        <v>2.0</v>
      </c>
      <c r="L116" s="6" t="s">
        <v>357</v>
      </c>
      <c r="M116" s="1" t="str">
        <f t="shared" si="4"/>
        <v>4/1/2026</v>
      </c>
    </row>
    <row r="117">
      <c r="A117" s="6" t="s">
        <v>356</v>
      </c>
      <c r="B117" s="1" t="s">
        <v>17</v>
      </c>
      <c r="C117" s="1" t="s">
        <v>18</v>
      </c>
      <c r="D117" s="1" t="str">
        <f t="shared" si="1"/>
        <v>Collin L Schadel</v>
      </c>
      <c r="E117" s="1">
        <v>8.0303841E8</v>
      </c>
      <c r="F117" s="1" t="str">
        <f t="shared" si="5"/>
        <v>803038410OVR</v>
      </c>
      <c r="G117" s="2">
        <v>46054.0</v>
      </c>
      <c r="H117" s="1" t="s">
        <v>201</v>
      </c>
      <c r="I117" s="7"/>
      <c r="J117" s="7">
        <v>2.0</v>
      </c>
      <c r="K117" s="7">
        <v>2.0</v>
      </c>
      <c r="L117" s="6" t="s">
        <v>357</v>
      </c>
      <c r="M117" s="1" t="str">
        <f t="shared" si="4"/>
        <v>3/1/2026</v>
      </c>
    </row>
    <row r="118">
      <c r="A118" s="6" t="s">
        <v>356</v>
      </c>
      <c r="B118" s="1" t="s">
        <v>222</v>
      </c>
      <c r="C118" s="1" t="s">
        <v>223</v>
      </c>
      <c r="D118" s="1" t="str">
        <f t="shared" si="1"/>
        <v>Cortney Ellis</v>
      </c>
      <c r="E118" s="1">
        <v>8.02915806E8</v>
      </c>
      <c r="F118" s="1" t="str">
        <f t="shared" si="5"/>
        <v>802915806OVR</v>
      </c>
      <c r="G118" s="2">
        <v>46023.0</v>
      </c>
      <c r="H118" s="1" t="s">
        <v>198</v>
      </c>
      <c r="I118" s="7"/>
      <c r="J118" s="7">
        <v>0.5</v>
      </c>
      <c r="K118" s="7">
        <v>0.5</v>
      </c>
      <c r="L118" s="6" t="s">
        <v>357</v>
      </c>
      <c r="M118" s="1" t="str">
        <f t="shared" si="4"/>
        <v>4/1/2026</v>
      </c>
    </row>
    <row r="119">
      <c r="A119" s="6" t="s">
        <v>356</v>
      </c>
      <c r="B119" s="1" t="s">
        <v>224</v>
      </c>
      <c r="C119" s="1" t="s">
        <v>225</v>
      </c>
      <c r="D119" s="1" t="str">
        <f t="shared" si="1"/>
        <v>Deborah Lehr</v>
      </c>
      <c r="E119" s="1">
        <v>8.02745395E8</v>
      </c>
      <c r="F119" s="1" t="str">
        <f t="shared" si="5"/>
        <v>802745395OVR</v>
      </c>
      <c r="G119" s="2">
        <v>46023.0</v>
      </c>
      <c r="H119" s="1" t="s">
        <v>198</v>
      </c>
      <c r="I119" s="7"/>
      <c r="J119" s="7">
        <v>2.0</v>
      </c>
      <c r="K119" s="7">
        <v>2.0</v>
      </c>
      <c r="L119" s="6" t="s">
        <v>357</v>
      </c>
      <c r="M119" s="1" t="str">
        <f t="shared" si="4"/>
        <v>4/1/2026</v>
      </c>
    </row>
    <row r="120">
      <c r="A120" s="6" t="s">
        <v>356</v>
      </c>
      <c r="B120" s="1" t="s">
        <v>226</v>
      </c>
      <c r="C120" s="1" t="s">
        <v>227</v>
      </c>
      <c r="D120" s="1" t="str">
        <f t="shared" si="1"/>
        <v>Dennis Brandt</v>
      </c>
      <c r="E120" s="1">
        <v>8.02599374E8</v>
      </c>
      <c r="F120" s="1" t="str">
        <f t="shared" si="5"/>
        <v>802599374OVR</v>
      </c>
      <c r="G120" s="2">
        <v>46023.0</v>
      </c>
      <c r="H120" s="1" t="s">
        <v>198</v>
      </c>
      <c r="I120" s="7"/>
      <c r="J120" s="7">
        <v>0.5</v>
      </c>
      <c r="K120" s="7">
        <v>0.5</v>
      </c>
      <c r="L120" s="6" t="s">
        <v>357</v>
      </c>
      <c r="M120" s="1" t="str">
        <f t="shared" si="4"/>
        <v>4/1/2026</v>
      </c>
    </row>
    <row r="121">
      <c r="A121" s="6" t="s">
        <v>356</v>
      </c>
      <c r="B121" s="1" t="s">
        <v>226</v>
      </c>
      <c r="C121" s="1" t="s">
        <v>228</v>
      </c>
      <c r="D121" s="1" t="str">
        <f t="shared" si="1"/>
        <v>Dennis Trimmer</v>
      </c>
      <c r="E121" s="1">
        <v>8.03015372E8</v>
      </c>
      <c r="F121" s="1" t="str">
        <f t="shared" si="5"/>
        <v>803015372OVR</v>
      </c>
      <c r="G121" s="2">
        <v>46023.0</v>
      </c>
      <c r="H121" s="1" t="s">
        <v>198</v>
      </c>
      <c r="I121" s="7"/>
      <c r="J121" s="7">
        <v>0.5</v>
      </c>
      <c r="K121" s="7">
        <v>0.5</v>
      </c>
      <c r="L121" s="6" t="s">
        <v>357</v>
      </c>
      <c r="M121" s="1" t="str">
        <f t="shared" si="4"/>
        <v>4/1/2026</v>
      </c>
    </row>
    <row r="122">
      <c r="A122" s="6" t="s">
        <v>356</v>
      </c>
      <c r="B122" s="1" t="s">
        <v>226</v>
      </c>
      <c r="C122" s="1" t="s">
        <v>227</v>
      </c>
      <c r="D122" s="1" t="str">
        <f t="shared" si="1"/>
        <v>Dennis Brandt</v>
      </c>
      <c r="E122" s="1">
        <v>8.02599374E8</v>
      </c>
      <c r="F122" s="1" t="str">
        <f t="shared" si="5"/>
        <v>802599374OVR</v>
      </c>
      <c r="G122" s="2">
        <v>46023.0</v>
      </c>
      <c r="H122" s="1" t="s">
        <v>201</v>
      </c>
      <c r="I122" s="7"/>
      <c r="J122" s="7">
        <v>0.5</v>
      </c>
      <c r="K122" s="7">
        <v>0.5</v>
      </c>
      <c r="L122" s="6" t="s">
        <v>357</v>
      </c>
      <c r="M122" s="1" t="str">
        <f t="shared" si="4"/>
        <v>3/1/2026</v>
      </c>
    </row>
    <row r="123">
      <c r="A123" s="6" t="s">
        <v>356</v>
      </c>
      <c r="B123" s="1" t="s">
        <v>70</v>
      </c>
      <c r="C123" s="1" t="s">
        <v>71</v>
      </c>
      <c r="D123" s="1" t="str">
        <f t="shared" si="1"/>
        <v>Donna Steffy</v>
      </c>
      <c r="E123" s="1">
        <v>8.02629573E8</v>
      </c>
      <c r="F123" s="1" t="str">
        <f t="shared" si="5"/>
        <v>802629573OVR</v>
      </c>
      <c r="G123" s="2">
        <v>46023.0</v>
      </c>
      <c r="H123" s="1" t="s">
        <v>201</v>
      </c>
      <c r="I123" s="7"/>
      <c r="J123" s="7">
        <v>2.0</v>
      </c>
      <c r="K123" s="7">
        <v>2.0</v>
      </c>
      <c r="L123" s="6" t="s">
        <v>357</v>
      </c>
      <c r="M123" s="1" t="str">
        <f t="shared" si="4"/>
        <v>3/1/2026</v>
      </c>
    </row>
    <row r="124">
      <c r="A124" s="6" t="s">
        <v>356</v>
      </c>
      <c r="B124" s="1" t="s">
        <v>72</v>
      </c>
      <c r="C124" s="1" t="s">
        <v>73</v>
      </c>
      <c r="D124" s="1" t="str">
        <f t="shared" si="1"/>
        <v>Eric Ludwig</v>
      </c>
      <c r="E124" s="1">
        <v>8.02898409E8</v>
      </c>
      <c r="F124" s="1" t="str">
        <f t="shared" si="5"/>
        <v>802898409OVR</v>
      </c>
      <c r="G124" s="2">
        <v>46023.0</v>
      </c>
      <c r="H124" s="1" t="s">
        <v>201</v>
      </c>
      <c r="I124" s="7"/>
      <c r="J124" s="7">
        <v>2.0</v>
      </c>
      <c r="K124" s="7">
        <v>2.0</v>
      </c>
      <c r="L124" s="6" t="s">
        <v>357</v>
      </c>
      <c r="M124" s="1" t="str">
        <f t="shared" si="4"/>
        <v>3/1/2026</v>
      </c>
    </row>
    <row r="125">
      <c r="A125" s="6" t="s">
        <v>356</v>
      </c>
      <c r="B125" s="1" t="s">
        <v>72</v>
      </c>
      <c r="C125" s="1" t="s">
        <v>73</v>
      </c>
      <c r="D125" s="1" t="str">
        <f t="shared" si="1"/>
        <v>Eric Ludwig</v>
      </c>
      <c r="E125" s="1">
        <v>8.02898409E8</v>
      </c>
      <c r="F125" s="1" t="str">
        <f t="shared" si="5"/>
        <v>802898409OVR</v>
      </c>
      <c r="G125" s="2">
        <v>46023.0</v>
      </c>
      <c r="H125" s="1" t="s">
        <v>198</v>
      </c>
      <c r="I125" s="7"/>
      <c r="J125" s="7">
        <v>2.0</v>
      </c>
      <c r="K125" s="7">
        <v>2.0</v>
      </c>
      <c r="L125" s="6" t="s">
        <v>357</v>
      </c>
      <c r="M125" s="1" t="str">
        <f t="shared" si="4"/>
        <v>4/1/2026</v>
      </c>
    </row>
    <row r="126">
      <c r="A126" s="6" t="s">
        <v>356</v>
      </c>
      <c r="B126" s="1" t="s">
        <v>229</v>
      </c>
      <c r="C126" s="1" t="s">
        <v>230</v>
      </c>
      <c r="D126" s="1" t="str">
        <f t="shared" si="1"/>
        <v>Erik Lis</v>
      </c>
      <c r="E126" s="1">
        <v>8.02338366E8</v>
      </c>
      <c r="F126" s="1" t="str">
        <f t="shared" si="5"/>
        <v>802338366OVR</v>
      </c>
      <c r="G126" s="2">
        <v>46023.0</v>
      </c>
      <c r="H126" s="1" t="s">
        <v>198</v>
      </c>
      <c r="I126" s="7"/>
      <c r="J126" s="7">
        <v>2.0</v>
      </c>
      <c r="K126" s="7">
        <v>2.0</v>
      </c>
      <c r="L126" s="6" t="s">
        <v>357</v>
      </c>
      <c r="M126" s="1" t="str">
        <f t="shared" si="4"/>
        <v>4/1/2026</v>
      </c>
    </row>
    <row r="127">
      <c r="A127" s="6" t="s">
        <v>356</v>
      </c>
      <c r="B127" s="1" t="s">
        <v>231</v>
      </c>
      <c r="C127" s="1" t="s">
        <v>232</v>
      </c>
      <c r="D127" s="1" t="str">
        <f t="shared" si="1"/>
        <v>Erin Finnegan</v>
      </c>
      <c r="E127" s="1">
        <v>8.03068447E8</v>
      </c>
      <c r="F127" s="1" t="str">
        <f t="shared" si="5"/>
        <v>803068447OVR</v>
      </c>
      <c r="G127" s="2">
        <v>46023.0</v>
      </c>
      <c r="H127" s="1" t="s">
        <v>201</v>
      </c>
      <c r="I127" s="7"/>
      <c r="J127" s="7">
        <v>2.0</v>
      </c>
      <c r="K127" s="7">
        <v>2.0</v>
      </c>
      <c r="L127" s="6" t="s">
        <v>357</v>
      </c>
      <c r="M127" s="1" t="str">
        <f t="shared" si="4"/>
        <v>3/1/2026</v>
      </c>
    </row>
    <row r="128">
      <c r="A128" s="6" t="s">
        <v>356</v>
      </c>
      <c r="B128" s="1" t="s">
        <v>231</v>
      </c>
      <c r="C128" s="1" t="s">
        <v>233</v>
      </c>
      <c r="D128" s="1" t="str">
        <f t="shared" si="1"/>
        <v>Erin Beardsley</v>
      </c>
      <c r="E128" s="1">
        <v>8.02794574E8</v>
      </c>
      <c r="F128" s="1" t="str">
        <f t="shared" si="5"/>
        <v>802794574OVR</v>
      </c>
      <c r="G128" s="2">
        <v>46023.0</v>
      </c>
      <c r="H128" s="1" t="s">
        <v>201</v>
      </c>
      <c r="I128" s="7"/>
      <c r="J128" s="7">
        <v>0.5</v>
      </c>
      <c r="K128" s="7">
        <v>0.5</v>
      </c>
      <c r="L128" s="6" t="s">
        <v>357</v>
      </c>
      <c r="M128" s="1" t="str">
        <f t="shared" si="4"/>
        <v>3/1/2026</v>
      </c>
    </row>
    <row r="129">
      <c r="A129" s="6" t="s">
        <v>356</v>
      </c>
      <c r="B129" s="1" t="s">
        <v>74</v>
      </c>
      <c r="C129" s="1" t="s">
        <v>75</v>
      </c>
      <c r="D129" s="1" t="str">
        <f t="shared" si="1"/>
        <v>Evelyn J Moehring</v>
      </c>
      <c r="E129" s="1">
        <v>8.02944968E8</v>
      </c>
      <c r="F129" s="1" t="str">
        <f t="shared" si="5"/>
        <v>802944968OVR</v>
      </c>
      <c r="G129" s="2">
        <v>45658.0</v>
      </c>
      <c r="H129" s="1" t="s">
        <v>234</v>
      </c>
      <c r="I129" s="7"/>
      <c r="J129" s="7">
        <v>2.0</v>
      </c>
      <c r="K129" s="7">
        <v>2.0</v>
      </c>
      <c r="L129" s="6" t="s">
        <v>357</v>
      </c>
      <c r="M129" s="1" t="str">
        <f t="shared" si="4"/>
        <v>12/1/2025</v>
      </c>
    </row>
    <row r="130">
      <c r="A130" s="6" t="s">
        <v>356</v>
      </c>
      <c r="B130" s="1" t="s">
        <v>77</v>
      </c>
      <c r="C130" s="1" t="s">
        <v>78</v>
      </c>
      <c r="D130" s="1" t="str">
        <f t="shared" si="1"/>
        <v>Fred Carbonell</v>
      </c>
      <c r="E130" s="1">
        <v>8.03075621E8</v>
      </c>
      <c r="F130" s="1" t="str">
        <f t="shared" si="5"/>
        <v>803075621OVR</v>
      </c>
      <c r="G130" s="2">
        <v>46023.0</v>
      </c>
      <c r="H130" s="1" t="s">
        <v>205</v>
      </c>
      <c r="I130" s="7"/>
      <c r="J130" s="7">
        <v>2.0</v>
      </c>
      <c r="K130" s="7">
        <v>2.0</v>
      </c>
      <c r="L130" s="6" t="s">
        <v>357</v>
      </c>
      <c r="M130" s="1" t="str">
        <f t="shared" si="4"/>
        <v>2/1/2026</v>
      </c>
    </row>
    <row r="131">
      <c r="A131" s="6" t="s">
        <v>356</v>
      </c>
      <c r="B131" s="1" t="s">
        <v>79</v>
      </c>
      <c r="C131" s="1" t="s">
        <v>80</v>
      </c>
      <c r="D131" s="1" t="str">
        <f t="shared" si="1"/>
        <v>Gregory Nace</v>
      </c>
      <c r="E131" s="1">
        <v>8.02533763E8</v>
      </c>
      <c r="F131" s="1" t="str">
        <f t="shared" si="5"/>
        <v>802533763OVR</v>
      </c>
      <c r="G131" s="2">
        <v>46023.0</v>
      </c>
      <c r="H131" s="1" t="s">
        <v>198</v>
      </c>
      <c r="I131" s="7"/>
      <c r="J131" s="7">
        <v>2.0</v>
      </c>
      <c r="K131" s="7">
        <v>2.0</v>
      </c>
      <c r="L131" s="6" t="s">
        <v>357</v>
      </c>
      <c r="M131" s="1" t="str">
        <f t="shared" si="4"/>
        <v>4/1/2026</v>
      </c>
    </row>
    <row r="132">
      <c r="A132" s="6" t="s">
        <v>356</v>
      </c>
      <c r="B132" s="1" t="s">
        <v>79</v>
      </c>
      <c r="C132" s="1" t="s">
        <v>80</v>
      </c>
      <c r="D132" s="1" t="str">
        <f t="shared" si="1"/>
        <v>Gregory Nace</v>
      </c>
      <c r="E132" s="1">
        <v>8.02533763E8</v>
      </c>
      <c r="F132" s="1" t="str">
        <f t="shared" si="5"/>
        <v>802533763OVR</v>
      </c>
      <c r="G132" s="2">
        <v>46023.0</v>
      </c>
      <c r="H132" s="1" t="s">
        <v>201</v>
      </c>
      <c r="I132" s="7"/>
      <c r="J132" s="7">
        <v>2.0</v>
      </c>
      <c r="K132" s="7">
        <v>2.0</v>
      </c>
      <c r="L132" s="6" t="s">
        <v>357</v>
      </c>
      <c r="M132" s="1" t="str">
        <f t="shared" si="4"/>
        <v>3/1/2026</v>
      </c>
    </row>
    <row r="133">
      <c r="A133" s="6" t="s">
        <v>356</v>
      </c>
      <c r="B133" s="1" t="s">
        <v>236</v>
      </c>
      <c r="C133" s="1" t="s">
        <v>237</v>
      </c>
      <c r="D133" s="1" t="str">
        <f t="shared" si="1"/>
        <v>Gwyneth E Trafford</v>
      </c>
      <c r="E133" s="1">
        <v>8.03073692E8</v>
      </c>
      <c r="F133" s="1" t="str">
        <f t="shared" si="5"/>
        <v>803073692OVR</v>
      </c>
      <c r="G133" s="2">
        <v>46023.0</v>
      </c>
      <c r="H133" s="1" t="s">
        <v>198</v>
      </c>
      <c r="I133" s="7"/>
      <c r="J133" s="7">
        <v>2.0</v>
      </c>
      <c r="K133" s="7">
        <v>2.0</v>
      </c>
      <c r="L133" s="6" t="s">
        <v>357</v>
      </c>
      <c r="M133" s="1" t="str">
        <f t="shared" si="4"/>
        <v>4/1/2026</v>
      </c>
    </row>
    <row r="134">
      <c r="A134" s="6" t="s">
        <v>356</v>
      </c>
      <c r="B134" s="1" t="s">
        <v>238</v>
      </c>
      <c r="C134" s="1" t="s">
        <v>239</v>
      </c>
      <c r="D134" s="1" t="str">
        <f t="shared" si="1"/>
        <v>Hannah Yingling</v>
      </c>
      <c r="E134" s="1">
        <v>8.02851677E8</v>
      </c>
      <c r="F134" s="1" t="str">
        <f t="shared" si="5"/>
        <v>802851677OVR</v>
      </c>
      <c r="G134" s="2">
        <v>46023.0</v>
      </c>
      <c r="H134" s="1" t="s">
        <v>198</v>
      </c>
      <c r="I134" s="7"/>
      <c r="J134" s="7">
        <v>2.0</v>
      </c>
      <c r="K134" s="7">
        <v>2.0</v>
      </c>
      <c r="L134" s="6" t="s">
        <v>357</v>
      </c>
      <c r="M134" s="1" t="str">
        <f t="shared" si="4"/>
        <v>4/1/2026</v>
      </c>
    </row>
    <row r="135">
      <c r="A135" s="6" t="s">
        <v>356</v>
      </c>
      <c r="B135" s="1" t="s">
        <v>238</v>
      </c>
      <c r="C135" s="1" t="s">
        <v>239</v>
      </c>
      <c r="D135" s="1" t="str">
        <f t="shared" si="1"/>
        <v>Hannah Yingling</v>
      </c>
      <c r="E135" s="1">
        <v>8.02851677E8</v>
      </c>
      <c r="F135" s="1" t="str">
        <f t="shared" si="5"/>
        <v>802851677OVR</v>
      </c>
      <c r="G135" s="2">
        <v>46023.0</v>
      </c>
      <c r="H135" s="1" t="s">
        <v>201</v>
      </c>
      <c r="I135" s="7"/>
      <c r="J135" s="7">
        <v>2.0</v>
      </c>
      <c r="K135" s="7">
        <v>2.0</v>
      </c>
      <c r="L135" s="6" t="s">
        <v>357</v>
      </c>
      <c r="M135" s="1" t="str">
        <f t="shared" si="4"/>
        <v>3/1/2026</v>
      </c>
    </row>
    <row r="136">
      <c r="A136" s="6" t="s">
        <v>356</v>
      </c>
      <c r="B136" s="1" t="s">
        <v>81</v>
      </c>
      <c r="C136" s="1" t="s">
        <v>82</v>
      </c>
      <c r="D136" s="1" t="str">
        <f t="shared" si="1"/>
        <v>Isabella Jaramillo</v>
      </c>
      <c r="E136" s="1">
        <v>8.02417862E8</v>
      </c>
      <c r="F136" s="1" t="str">
        <f t="shared" si="5"/>
        <v>802417862OVR</v>
      </c>
      <c r="G136" s="2">
        <v>46023.0</v>
      </c>
      <c r="H136" s="1" t="s">
        <v>201</v>
      </c>
      <c r="I136" s="7"/>
      <c r="J136" s="7">
        <v>2.0</v>
      </c>
      <c r="K136" s="7">
        <v>2.0</v>
      </c>
      <c r="L136" s="6" t="s">
        <v>357</v>
      </c>
      <c r="M136" s="1" t="str">
        <f t="shared" si="4"/>
        <v>3/1/2026</v>
      </c>
    </row>
    <row r="137">
      <c r="A137" s="6" t="s">
        <v>356</v>
      </c>
      <c r="B137" s="1" t="s">
        <v>166</v>
      </c>
      <c r="C137" s="1" t="s">
        <v>240</v>
      </c>
      <c r="D137" s="1" t="str">
        <f t="shared" si="1"/>
        <v>James Wittmer</v>
      </c>
      <c r="E137" s="1">
        <v>8.02627683E8</v>
      </c>
      <c r="F137" s="1" t="str">
        <f t="shared" si="5"/>
        <v>802627683OVR</v>
      </c>
      <c r="G137" s="2">
        <v>46023.0</v>
      </c>
      <c r="H137" s="1" t="s">
        <v>201</v>
      </c>
      <c r="I137" s="7"/>
      <c r="J137" s="7">
        <v>2.0</v>
      </c>
      <c r="K137" s="7">
        <v>2.0</v>
      </c>
      <c r="L137" s="6" t="s">
        <v>357</v>
      </c>
      <c r="M137" s="1" t="str">
        <f t="shared" si="4"/>
        <v>3/1/2026</v>
      </c>
    </row>
    <row r="138">
      <c r="A138" s="6" t="s">
        <v>356</v>
      </c>
      <c r="B138" s="1" t="s">
        <v>83</v>
      </c>
      <c r="C138" s="1" t="s">
        <v>84</v>
      </c>
      <c r="D138" s="1" t="str">
        <f t="shared" si="1"/>
        <v>Jayne Mutter</v>
      </c>
      <c r="E138" s="1">
        <v>8.02650873E8</v>
      </c>
      <c r="F138" s="1" t="str">
        <f t="shared" si="5"/>
        <v>802650873OVR</v>
      </c>
      <c r="G138" s="2">
        <v>46023.0</v>
      </c>
      <c r="H138" s="1" t="s">
        <v>201</v>
      </c>
      <c r="I138" s="7"/>
      <c r="J138" s="7">
        <v>2.0</v>
      </c>
      <c r="K138" s="7">
        <v>2.0</v>
      </c>
      <c r="L138" s="6" t="s">
        <v>357</v>
      </c>
      <c r="M138" s="1" t="str">
        <f t="shared" si="4"/>
        <v>3/1/2026</v>
      </c>
    </row>
    <row r="139">
      <c r="A139" s="6" t="s">
        <v>356</v>
      </c>
      <c r="B139" s="1" t="s">
        <v>85</v>
      </c>
      <c r="C139" s="1" t="s">
        <v>82</v>
      </c>
      <c r="D139" s="1" t="str">
        <f t="shared" si="1"/>
        <v>Jean-Michel Jaramillo</v>
      </c>
      <c r="E139" s="1">
        <v>8.01940958E8</v>
      </c>
      <c r="F139" s="1" t="str">
        <f t="shared" si="5"/>
        <v>801940958OVR</v>
      </c>
      <c r="G139" s="2">
        <v>46023.0</v>
      </c>
      <c r="H139" s="1" t="s">
        <v>198</v>
      </c>
      <c r="I139" s="7"/>
      <c r="J139" s="7">
        <v>2.0</v>
      </c>
      <c r="K139" s="7">
        <v>2.0</v>
      </c>
      <c r="L139" s="6" t="s">
        <v>357</v>
      </c>
      <c r="M139" s="1" t="str">
        <f t="shared" si="4"/>
        <v>4/1/2026</v>
      </c>
    </row>
    <row r="140">
      <c r="A140" s="6" t="s">
        <v>356</v>
      </c>
      <c r="B140" s="1" t="s">
        <v>31</v>
      </c>
      <c r="C140" s="1" t="s">
        <v>88</v>
      </c>
      <c r="D140" s="1" t="str">
        <f t="shared" si="1"/>
        <v>Jennifer Caron</v>
      </c>
      <c r="E140" s="1">
        <v>8.03069665E8</v>
      </c>
      <c r="F140" s="1" t="str">
        <f t="shared" si="5"/>
        <v>803069665OVR</v>
      </c>
      <c r="G140" s="2">
        <v>46023.0</v>
      </c>
      <c r="H140" s="1" t="s">
        <v>201</v>
      </c>
      <c r="I140" s="7"/>
      <c r="J140" s="7">
        <v>2.0</v>
      </c>
      <c r="K140" s="7">
        <v>2.0</v>
      </c>
      <c r="L140" s="6" t="s">
        <v>357</v>
      </c>
      <c r="M140" s="1" t="str">
        <f t="shared" si="4"/>
        <v>3/1/2026</v>
      </c>
    </row>
    <row r="141">
      <c r="A141" s="6" t="s">
        <v>356</v>
      </c>
      <c r="B141" s="1" t="s">
        <v>31</v>
      </c>
      <c r="C141" s="1" t="s">
        <v>86</v>
      </c>
      <c r="D141" s="1" t="str">
        <f t="shared" si="1"/>
        <v>Jennifer Gaugler</v>
      </c>
      <c r="E141" s="1">
        <v>8.02604725E8</v>
      </c>
      <c r="F141" s="1" t="str">
        <f t="shared" si="5"/>
        <v>802604725OVR</v>
      </c>
      <c r="G141" s="2">
        <v>46023.0</v>
      </c>
      <c r="H141" s="1" t="s">
        <v>198</v>
      </c>
      <c r="I141" s="7"/>
      <c r="J141" s="7">
        <v>2.0</v>
      </c>
      <c r="K141" s="7">
        <v>2.0</v>
      </c>
      <c r="L141" s="6" t="s">
        <v>357</v>
      </c>
      <c r="M141" s="1" t="str">
        <f t="shared" si="4"/>
        <v>4/1/2026</v>
      </c>
    </row>
    <row r="142">
      <c r="A142" s="6" t="s">
        <v>356</v>
      </c>
      <c r="B142" s="1" t="s">
        <v>241</v>
      </c>
      <c r="C142" s="1" t="s">
        <v>242</v>
      </c>
      <c r="D142" s="1" t="str">
        <f t="shared" si="1"/>
        <v>Joni Coken</v>
      </c>
      <c r="E142" s="1">
        <v>8.0290948E8</v>
      </c>
      <c r="F142" s="1" t="str">
        <f t="shared" si="5"/>
        <v>802909480OVR</v>
      </c>
      <c r="G142" s="2">
        <v>46023.0</v>
      </c>
      <c r="H142" s="1" t="s">
        <v>201</v>
      </c>
      <c r="I142" s="7"/>
      <c r="J142" s="7">
        <v>0.5</v>
      </c>
      <c r="K142" s="7">
        <v>0.5</v>
      </c>
      <c r="L142" s="6" t="s">
        <v>357</v>
      </c>
      <c r="M142" s="1" t="str">
        <f t="shared" si="4"/>
        <v>3/1/2026</v>
      </c>
    </row>
    <row r="143">
      <c r="A143" s="6" t="s">
        <v>356</v>
      </c>
      <c r="B143" s="1" t="s">
        <v>27</v>
      </c>
      <c r="C143" s="1" t="s">
        <v>114</v>
      </c>
      <c r="D143" s="1" t="str">
        <f t="shared" si="1"/>
        <v>Joshua Long</v>
      </c>
      <c r="E143" s="1">
        <v>8.02000991E8</v>
      </c>
      <c r="F143" s="1" t="str">
        <f t="shared" si="5"/>
        <v>802000991OVR</v>
      </c>
      <c r="G143" s="2">
        <v>46023.0</v>
      </c>
      <c r="H143" s="1" t="s">
        <v>198</v>
      </c>
      <c r="I143" s="7"/>
      <c r="J143" s="7">
        <v>0.5</v>
      </c>
      <c r="K143" s="7">
        <v>0.5</v>
      </c>
      <c r="L143" s="6" t="s">
        <v>357</v>
      </c>
      <c r="M143" s="1" t="str">
        <f t="shared" si="4"/>
        <v>4/1/2026</v>
      </c>
    </row>
    <row r="144">
      <c r="A144" s="6" t="s">
        <v>356</v>
      </c>
      <c r="B144" s="1" t="s">
        <v>90</v>
      </c>
      <c r="C144" s="1" t="s">
        <v>91</v>
      </c>
      <c r="D144" s="1" t="str">
        <f t="shared" si="1"/>
        <v>Joyce Foura</v>
      </c>
      <c r="E144" s="1">
        <v>8.03052081E8</v>
      </c>
      <c r="F144" s="1" t="str">
        <f t="shared" si="5"/>
        <v>803052081OVR</v>
      </c>
      <c r="G144" s="2">
        <v>46023.0</v>
      </c>
      <c r="H144" s="1" t="s">
        <v>201</v>
      </c>
      <c r="I144" s="7"/>
      <c r="J144" s="7">
        <v>2.0</v>
      </c>
      <c r="K144" s="7">
        <v>2.0</v>
      </c>
      <c r="L144" s="6" t="s">
        <v>357</v>
      </c>
      <c r="M144" s="1" t="str">
        <f t="shared" si="4"/>
        <v>3/1/2026</v>
      </c>
    </row>
    <row r="145">
      <c r="A145" s="6" t="s">
        <v>356</v>
      </c>
      <c r="B145" s="1" t="s">
        <v>92</v>
      </c>
      <c r="C145" s="1" t="s">
        <v>93</v>
      </c>
      <c r="D145" s="1" t="str">
        <f t="shared" si="1"/>
        <v>Karen Diehl</v>
      </c>
      <c r="E145" s="1">
        <v>8.02493406E8</v>
      </c>
      <c r="F145" s="1" t="str">
        <f t="shared" si="5"/>
        <v>802493406OVR</v>
      </c>
      <c r="G145" s="2">
        <v>46023.0</v>
      </c>
      <c r="H145" s="1" t="s">
        <v>198</v>
      </c>
      <c r="I145" s="7"/>
      <c r="J145" s="7">
        <v>2.0</v>
      </c>
      <c r="K145" s="7">
        <v>2.0</v>
      </c>
      <c r="L145" s="6" t="s">
        <v>357</v>
      </c>
      <c r="M145" s="1" t="str">
        <f t="shared" si="4"/>
        <v>4/1/2026</v>
      </c>
    </row>
    <row r="146">
      <c r="A146" s="6" t="s">
        <v>356</v>
      </c>
      <c r="B146" s="1" t="s">
        <v>94</v>
      </c>
      <c r="C146" s="1" t="s">
        <v>95</v>
      </c>
      <c r="D146" s="1" t="str">
        <f t="shared" si="1"/>
        <v>Kathy Wiles</v>
      </c>
      <c r="E146" s="1">
        <v>8.02910086E8</v>
      </c>
      <c r="F146" s="1" t="str">
        <f t="shared" si="5"/>
        <v>802910086OVR</v>
      </c>
      <c r="G146" s="2">
        <v>46023.0</v>
      </c>
      <c r="H146" s="1" t="s">
        <v>201</v>
      </c>
      <c r="I146" s="7"/>
      <c r="J146" s="7">
        <v>2.0</v>
      </c>
      <c r="K146" s="7">
        <v>2.0</v>
      </c>
      <c r="L146" s="6" t="s">
        <v>357</v>
      </c>
      <c r="M146" s="1" t="str">
        <f t="shared" si="4"/>
        <v>3/1/2026</v>
      </c>
    </row>
    <row r="147">
      <c r="A147" s="6" t="s">
        <v>356</v>
      </c>
      <c r="B147" s="1" t="s">
        <v>96</v>
      </c>
      <c r="C147" s="1" t="s">
        <v>80</v>
      </c>
      <c r="D147" s="1" t="str">
        <f t="shared" si="1"/>
        <v>Kayla Nace</v>
      </c>
      <c r="E147" s="1">
        <v>8.0220745E8</v>
      </c>
      <c r="F147" s="1" t="str">
        <f t="shared" si="5"/>
        <v>802207450OVR</v>
      </c>
      <c r="G147" s="2">
        <v>46023.0</v>
      </c>
      <c r="H147" s="1" t="s">
        <v>198</v>
      </c>
      <c r="I147" s="7"/>
      <c r="J147" s="7">
        <v>2.0</v>
      </c>
      <c r="K147" s="7">
        <v>2.0</v>
      </c>
      <c r="L147" s="6" t="s">
        <v>357</v>
      </c>
      <c r="M147" s="1" t="str">
        <f t="shared" si="4"/>
        <v>4/1/2026</v>
      </c>
    </row>
    <row r="148">
      <c r="A148" s="6" t="s">
        <v>356</v>
      </c>
      <c r="B148" s="1" t="s">
        <v>243</v>
      </c>
      <c r="C148" s="1" t="s">
        <v>244</v>
      </c>
      <c r="D148" s="1" t="str">
        <f t="shared" si="1"/>
        <v>Kerri Miller</v>
      </c>
      <c r="E148" s="1">
        <v>8.02955987E8</v>
      </c>
      <c r="F148" s="1" t="str">
        <f t="shared" si="5"/>
        <v>802955987OVR</v>
      </c>
      <c r="G148" s="2">
        <v>46023.0</v>
      </c>
      <c r="H148" s="1" t="s">
        <v>201</v>
      </c>
      <c r="I148" s="7"/>
      <c r="J148" s="7">
        <v>2.0</v>
      </c>
      <c r="K148" s="7">
        <v>2.0</v>
      </c>
      <c r="L148" s="6" t="s">
        <v>357</v>
      </c>
      <c r="M148" s="1" t="str">
        <f t="shared" si="4"/>
        <v>3/1/2026</v>
      </c>
    </row>
    <row r="149">
      <c r="A149" s="6" t="s">
        <v>356</v>
      </c>
      <c r="B149" s="1" t="s">
        <v>245</v>
      </c>
      <c r="C149" s="1" t="s">
        <v>246</v>
      </c>
      <c r="D149" s="1" t="str">
        <f t="shared" si="1"/>
        <v>Lily Hostetler</v>
      </c>
      <c r="E149" s="1">
        <v>8.03090379E8</v>
      </c>
      <c r="F149" s="1" t="str">
        <f t="shared" si="5"/>
        <v>803090379OVR</v>
      </c>
      <c r="G149" s="2">
        <v>46023.0</v>
      </c>
      <c r="H149" s="1" t="s">
        <v>201</v>
      </c>
      <c r="I149" s="7"/>
      <c r="J149" s="7">
        <v>0.5</v>
      </c>
      <c r="K149" s="7">
        <v>0.5</v>
      </c>
      <c r="L149" s="6" t="s">
        <v>357</v>
      </c>
      <c r="M149" s="1" t="str">
        <f t="shared" si="4"/>
        <v>3/1/2026</v>
      </c>
    </row>
    <row r="150">
      <c r="A150" s="6" t="s">
        <v>356</v>
      </c>
      <c r="B150" s="1" t="s">
        <v>97</v>
      </c>
      <c r="C150" s="1" t="s">
        <v>98</v>
      </c>
      <c r="D150" s="1" t="str">
        <f t="shared" si="1"/>
        <v>Lisa Reichard</v>
      </c>
      <c r="E150" s="1">
        <v>8.02604729E8</v>
      </c>
      <c r="F150" s="1" t="str">
        <f t="shared" si="5"/>
        <v>802604729OVR</v>
      </c>
      <c r="G150" s="2">
        <v>46054.0</v>
      </c>
      <c r="H150" s="1" t="s">
        <v>201</v>
      </c>
      <c r="I150" s="7"/>
      <c r="J150" s="7">
        <v>2.0</v>
      </c>
      <c r="K150" s="7">
        <v>2.0</v>
      </c>
      <c r="L150" s="6" t="s">
        <v>357</v>
      </c>
      <c r="M150" s="1" t="str">
        <f t="shared" si="4"/>
        <v>3/1/2026</v>
      </c>
    </row>
    <row r="151">
      <c r="A151" s="6" t="s">
        <v>356</v>
      </c>
      <c r="B151" s="1" t="s">
        <v>247</v>
      </c>
      <c r="C151" s="1" t="s">
        <v>248</v>
      </c>
      <c r="D151" s="1" t="str">
        <f t="shared" si="1"/>
        <v>Logan Weaver</v>
      </c>
      <c r="E151" s="1">
        <v>8.02923864E8</v>
      </c>
      <c r="F151" s="1" t="str">
        <f t="shared" si="5"/>
        <v>802923864OVR</v>
      </c>
      <c r="G151" s="2">
        <v>46023.0</v>
      </c>
      <c r="H151" s="1" t="s">
        <v>201</v>
      </c>
      <c r="I151" s="7"/>
      <c r="J151" s="7">
        <v>2.0</v>
      </c>
      <c r="K151" s="7">
        <v>2.0</v>
      </c>
      <c r="L151" s="6" t="s">
        <v>357</v>
      </c>
      <c r="M151" s="1" t="str">
        <f t="shared" si="4"/>
        <v>3/1/2026</v>
      </c>
    </row>
    <row r="152">
      <c r="A152" s="6" t="s">
        <v>356</v>
      </c>
      <c r="B152" s="1" t="s">
        <v>99</v>
      </c>
      <c r="C152" s="1" t="s">
        <v>100</v>
      </c>
      <c r="D152" s="1" t="str">
        <f t="shared" si="1"/>
        <v>Lorraine A Port</v>
      </c>
      <c r="E152" s="1">
        <v>8.02742865E8</v>
      </c>
      <c r="F152" s="1" t="str">
        <f t="shared" si="5"/>
        <v>802742865OVR</v>
      </c>
      <c r="G152" s="2">
        <v>46023.0</v>
      </c>
      <c r="H152" s="1" t="s">
        <v>201</v>
      </c>
      <c r="I152" s="7"/>
      <c r="J152" s="7">
        <v>2.0</v>
      </c>
      <c r="K152" s="7">
        <v>2.0</v>
      </c>
      <c r="L152" s="6" t="s">
        <v>357</v>
      </c>
      <c r="M152" s="1" t="str">
        <f t="shared" si="4"/>
        <v>3/1/2026</v>
      </c>
    </row>
    <row r="153">
      <c r="A153" s="6" t="s">
        <v>356</v>
      </c>
      <c r="B153" s="1" t="s">
        <v>249</v>
      </c>
      <c r="C153" s="1" t="s">
        <v>250</v>
      </c>
      <c r="D153" s="1" t="str">
        <f t="shared" si="1"/>
        <v>Marjorie Day</v>
      </c>
      <c r="E153" s="1">
        <v>8.02510978E8</v>
      </c>
      <c r="F153" s="1" t="str">
        <f t="shared" si="5"/>
        <v>802510978OVR</v>
      </c>
      <c r="G153" s="2">
        <v>46023.0</v>
      </c>
      <c r="H153" s="1" t="s">
        <v>201</v>
      </c>
      <c r="I153" s="7"/>
      <c r="J153" s="7">
        <v>0.5</v>
      </c>
      <c r="K153" s="7">
        <v>0.5</v>
      </c>
      <c r="L153" s="6" t="s">
        <v>357</v>
      </c>
      <c r="M153" s="1" t="str">
        <f t="shared" si="4"/>
        <v>3/1/2026</v>
      </c>
    </row>
    <row r="154">
      <c r="A154" s="6" t="s">
        <v>356</v>
      </c>
      <c r="B154" s="1" t="s">
        <v>249</v>
      </c>
      <c r="C154" s="1" t="s">
        <v>250</v>
      </c>
      <c r="D154" s="1" t="str">
        <f t="shared" si="1"/>
        <v>Marjorie Day</v>
      </c>
      <c r="E154" s="1">
        <v>8.02510978E8</v>
      </c>
      <c r="F154" s="1" t="str">
        <f t="shared" si="5"/>
        <v>802510978OVR</v>
      </c>
      <c r="G154" s="2">
        <v>46023.0</v>
      </c>
      <c r="H154" s="1" t="s">
        <v>198</v>
      </c>
      <c r="I154" s="7"/>
      <c r="J154" s="7">
        <v>0.5</v>
      </c>
      <c r="K154" s="7">
        <v>0.5</v>
      </c>
      <c r="L154" s="6" t="s">
        <v>357</v>
      </c>
      <c r="M154" s="1" t="str">
        <f t="shared" si="4"/>
        <v>4/1/2026</v>
      </c>
    </row>
    <row r="155">
      <c r="A155" s="6" t="s">
        <v>356</v>
      </c>
      <c r="B155" s="1" t="s">
        <v>174</v>
      </c>
      <c r="C155" s="1" t="s">
        <v>251</v>
      </c>
      <c r="D155" s="1" t="str">
        <f t="shared" si="1"/>
        <v>Mark Kurtz</v>
      </c>
      <c r="E155" s="1">
        <v>8.02672126E8</v>
      </c>
      <c r="F155" s="1" t="str">
        <f t="shared" si="5"/>
        <v>802672126OVR</v>
      </c>
      <c r="G155" s="2">
        <v>46023.0</v>
      </c>
      <c r="H155" s="1" t="s">
        <v>201</v>
      </c>
      <c r="I155" s="7"/>
      <c r="J155" s="7">
        <v>0.5</v>
      </c>
      <c r="K155" s="7">
        <v>0.5</v>
      </c>
      <c r="L155" s="6" t="s">
        <v>357</v>
      </c>
      <c r="M155" s="1" t="str">
        <f t="shared" si="4"/>
        <v>3/1/2026</v>
      </c>
    </row>
    <row r="156">
      <c r="A156" s="6" t="s">
        <v>356</v>
      </c>
      <c r="B156" s="1" t="s">
        <v>101</v>
      </c>
      <c r="C156" s="1" t="s">
        <v>102</v>
      </c>
      <c r="D156" s="1" t="str">
        <f t="shared" si="1"/>
        <v>Marybeth Riter</v>
      </c>
      <c r="E156" s="1">
        <v>8.02902756E8</v>
      </c>
      <c r="F156" s="1" t="str">
        <f t="shared" si="5"/>
        <v>802902756OVR</v>
      </c>
      <c r="G156" s="2">
        <v>46023.0</v>
      </c>
      <c r="H156" s="1" t="s">
        <v>201</v>
      </c>
      <c r="I156" s="7"/>
      <c r="J156" s="7">
        <v>2.0</v>
      </c>
      <c r="K156" s="7">
        <v>2.0</v>
      </c>
      <c r="L156" s="6" t="s">
        <v>357</v>
      </c>
      <c r="M156" s="1" t="str">
        <f t="shared" si="4"/>
        <v>3/1/2026</v>
      </c>
    </row>
    <row r="157">
      <c r="A157" s="6" t="s">
        <v>356</v>
      </c>
      <c r="B157" s="1" t="s">
        <v>252</v>
      </c>
      <c r="C157" s="1" t="s">
        <v>253</v>
      </c>
      <c r="D157" s="1" t="str">
        <f t="shared" si="1"/>
        <v>Megan Andrews</v>
      </c>
      <c r="E157" s="1">
        <v>8.0273133E8</v>
      </c>
      <c r="F157" s="1" t="str">
        <f t="shared" si="5"/>
        <v>802731330OVR</v>
      </c>
      <c r="G157" s="2">
        <v>46082.0</v>
      </c>
      <c r="H157" s="1" t="s">
        <v>201</v>
      </c>
      <c r="I157" s="7"/>
      <c r="J157" s="7">
        <v>0.5</v>
      </c>
      <c r="K157" s="7">
        <v>0.5</v>
      </c>
      <c r="L157" s="6" t="s">
        <v>357</v>
      </c>
      <c r="M157" s="1" t="str">
        <f t="shared" si="4"/>
        <v>3/1/2026</v>
      </c>
    </row>
    <row r="158">
      <c r="A158" s="6" t="s">
        <v>356</v>
      </c>
      <c r="B158" s="1" t="s">
        <v>103</v>
      </c>
      <c r="C158" s="1" t="s">
        <v>254</v>
      </c>
      <c r="D158" s="1" t="str">
        <f t="shared" si="1"/>
        <v>Michael Wagner</v>
      </c>
      <c r="E158" s="1">
        <v>8.03044336E8</v>
      </c>
      <c r="F158" s="1" t="str">
        <f t="shared" si="5"/>
        <v>803044336OVR</v>
      </c>
      <c r="G158" s="2">
        <v>46023.0</v>
      </c>
      <c r="H158" s="1" t="s">
        <v>198</v>
      </c>
      <c r="I158" s="7"/>
      <c r="J158" s="7">
        <v>2.0</v>
      </c>
      <c r="K158" s="7">
        <v>2.0</v>
      </c>
      <c r="L158" s="6" t="s">
        <v>357</v>
      </c>
      <c r="M158" s="1" t="str">
        <f t="shared" si="4"/>
        <v>4/1/2026</v>
      </c>
    </row>
    <row r="159">
      <c r="A159" s="6" t="s">
        <v>356</v>
      </c>
      <c r="B159" s="1" t="s">
        <v>103</v>
      </c>
      <c r="C159" s="1" t="s">
        <v>104</v>
      </c>
      <c r="D159" s="1" t="str">
        <f t="shared" si="1"/>
        <v>Michael Kiehl</v>
      </c>
      <c r="E159" s="1">
        <v>8.02492983E8</v>
      </c>
      <c r="F159" s="1" t="str">
        <f t="shared" si="5"/>
        <v>802492983OVR</v>
      </c>
      <c r="G159" s="2">
        <v>46023.0</v>
      </c>
      <c r="H159" s="1" t="s">
        <v>198</v>
      </c>
      <c r="I159" s="7"/>
      <c r="J159" s="7">
        <v>2.0</v>
      </c>
      <c r="K159" s="7">
        <v>2.0</v>
      </c>
      <c r="L159" s="6" t="s">
        <v>357</v>
      </c>
      <c r="M159" s="1" t="str">
        <f t="shared" si="4"/>
        <v>4/1/2026</v>
      </c>
    </row>
    <row r="160">
      <c r="A160" s="6" t="s">
        <v>356</v>
      </c>
      <c r="B160" s="1" t="s">
        <v>255</v>
      </c>
      <c r="C160" s="1" t="s">
        <v>256</v>
      </c>
      <c r="D160" s="1" t="str">
        <f t="shared" si="1"/>
        <v>Michelle Eichman</v>
      </c>
      <c r="E160" s="1">
        <v>8.03086563E8</v>
      </c>
      <c r="F160" s="1" t="str">
        <f t="shared" si="5"/>
        <v>803086563OVR</v>
      </c>
      <c r="G160" s="2">
        <v>46023.0</v>
      </c>
      <c r="H160" s="1" t="s">
        <v>201</v>
      </c>
      <c r="I160" s="7"/>
      <c r="J160" s="7">
        <v>2.0</v>
      </c>
      <c r="K160" s="7">
        <v>2.0</v>
      </c>
      <c r="L160" s="6" t="s">
        <v>357</v>
      </c>
      <c r="M160" s="1" t="str">
        <f t="shared" si="4"/>
        <v>3/1/2026</v>
      </c>
    </row>
    <row r="161">
      <c r="A161" s="6" t="s">
        <v>356</v>
      </c>
      <c r="B161" s="1" t="s">
        <v>105</v>
      </c>
      <c r="C161" s="1" t="s">
        <v>257</v>
      </c>
      <c r="D161" s="1" t="str">
        <f t="shared" si="1"/>
        <v>Patricia Mudgett</v>
      </c>
      <c r="E161" s="1">
        <v>8.0307042E8</v>
      </c>
      <c r="F161" s="1" t="str">
        <f t="shared" si="5"/>
        <v>803070420OVR</v>
      </c>
      <c r="G161" s="2">
        <v>46023.0</v>
      </c>
      <c r="H161" s="1" t="s">
        <v>198</v>
      </c>
      <c r="I161" s="7"/>
      <c r="J161" s="7">
        <v>2.0</v>
      </c>
      <c r="K161" s="7">
        <v>2.0</v>
      </c>
      <c r="L161" s="6" t="s">
        <v>357</v>
      </c>
      <c r="M161" s="1" t="str">
        <f t="shared" si="4"/>
        <v>4/1/2026</v>
      </c>
    </row>
    <row r="162">
      <c r="A162" s="6" t="s">
        <v>356</v>
      </c>
      <c r="B162" s="1" t="s">
        <v>105</v>
      </c>
      <c r="C162" s="1" t="s">
        <v>106</v>
      </c>
      <c r="D162" s="1" t="str">
        <f t="shared" si="1"/>
        <v>Patricia C Graver</v>
      </c>
      <c r="E162" s="1">
        <v>8.03080963E8</v>
      </c>
      <c r="F162" s="1" t="str">
        <f t="shared" si="5"/>
        <v>803080963OVR</v>
      </c>
      <c r="G162" s="2">
        <v>46023.0</v>
      </c>
      <c r="H162" s="1" t="s">
        <v>198</v>
      </c>
      <c r="I162" s="7"/>
      <c r="J162" s="7">
        <v>2.0</v>
      </c>
      <c r="K162" s="7">
        <v>2.0</v>
      </c>
      <c r="L162" s="6" t="s">
        <v>357</v>
      </c>
      <c r="M162" s="1" t="str">
        <f t="shared" si="4"/>
        <v>4/1/2026</v>
      </c>
    </row>
    <row r="163">
      <c r="A163" s="6" t="s">
        <v>356</v>
      </c>
      <c r="B163" s="1" t="s">
        <v>258</v>
      </c>
      <c r="C163" s="1" t="s">
        <v>259</v>
      </c>
      <c r="D163" s="1" t="str">
        <f t="shared" si="1"/>
        <v>Patrick Bodmer</v>
      </c>
      <c r="E163" s="1">
        <v>8.02568134E8</v>
      </c>
      <c r="F163" s="1" t="str">
        <f t="shared" si="5"/>
        <v>802568134OVR</v>
      </c>
      <c r="G163" s="2">
        <v>46023.0</v>
      </c>
      <c r="H163" s="1" t="s">
        <v>201</v>
      </c>
      <c r="I163" s="7"/>
      <c r="J163" s="7">
        <v>2.0</v>
      </c>
      <c r="K163" s="7">
        <v>2.0</v>
      </c>
      <c r="L163" s="6" t="s">
        <v>357</v>
      </c>
      <c r="M163" s="1" t="str">
        <f t="shared" si="4"/>
        <v>3/1/2026</v>
      </c>
    </row>
    <row r="164">
      <c r="A164" s="6" t="s">
        <v>356</v>
      </c>
      <c r="B164" s="1" t="s">
        <v>107</v>
      </c>
      <c r="C164" s="1" t="s">
        <v>108</v>
      </c>
      <c r="D164" s="1" t="str">
        <f t="shared" si="1"/>
        <v>Rebecca Parise</v>
      </c>
      <c r="E164" s="1">
        <v>8.03050668E8</v>
      </c>
      <c r="F164" s="1" t="str">
        <f t="shared" si="5"/>
        <v>803050668OVR</v>
      </c>
      <c r="G164" s="2">
        <v>46023.0</v>
      </c>
      <c r="H164" s="1" t="s">
        <v>201</v>
      </c>
      <c r="I164" s="7"/>
      <c r="J164" s="7">
        <v>2.0</v>
      </c>
      <c r="K164" s="7">
        <v>2.0</v>
      </c>
      <c r="L164" s="6" t="s">
        <v>357</v>
      </c>
      <c r="M164" s="1" t="str">
        <f t="shared" si="4"/>
        <v>3/1/2026</v>
      </c>
    </row>
    <row r="165">
      <c r="A165" s="6" t="s">
        <v>356</v>
      </c>
      <c r="B165" s="1" t="s">
        <v>107</v>
      </c>
      <c r="C165" s="1" t="s">
        <v>108</v>
      </c>
      <c r="D165" s="1" t="str">
        <f t="shared" si="1"/>
        <v>Rebecca Parise</v>
      </c>
      <c r="E165" s="1">
        <v>8.03050668E8</v>
      </c>
      <c r="F165" s="1" t="str">
        <f t="shared" si="5"/>
        <v>803050668OVR</v>
      </c>
      <c r="G165" s="2">
        <v>46023.0</v>
      </c>
      <c r="H165" s="1" t="s">
        <v>198</v>
      </c>
      <c r="I165" s="7"/>
      <c r="J165" s="7">
        <v>2.0</v>
      </c>
      <c r="K165" s="7">
        <v>2.0</v>
      </c>
      <c r="L165" s="6" t="s">
        <v>357</v>
      </c>
      <c r="M165" s="1" t="str">
        <f t="shared" si="4"/>
        <v>4/1/2026</v>
      </c>
    </row>
    <row r="166">
      <c r="A166" s="6" t="s">
        <v>356</v>
      </c>
      <c r="B166" s="1" t="s">
        <v>107</v>
      </c>
      <c r="C166" s="1" t="s">
        <v>260</v>
      </c>
      <c r="D166" s="1" t="str">
        <f t="shared" si="1"/>
        <v>Rebecca Lowry</v>
      </c>
      <c r="E166" s="1">
        <v>8.02710622E8</v>
      </c>
      <c r="F166" s="1" t="str">
        <f t="shared" si="5"/>
        <v>802710622OVR</v>
      </c>
      <c r="G166" s="2">
        <v>46054.0</v>
      </c>
      <c r="H166" s="1" t="s">
        <v>201</v>
      </c>
      <c r="I166" s="7"/>
      <c r="J166" s="7">
        <v>0.5</v>
      </c>
      <c r="K166" s="7">
        <v>0.5</v>
      </c>
      <c r="L166" s="6" t="s">
        <v>357</v>
      </c>
      <c r="M166" s="1" t="str">
        <f t="shared" si="4"/>
        <v>3/1/2026</v>
      </c>
    </row>
    <row r="167">
      <c r="A167" s="6" t="s">
        <v>356</v>
      </c>
      <c r="B167" s="1" t="s">
        <v>109</v>
      </c>
      <c r="C167" s="1" t="s">
        <v>110</v>
      </c>
      <c r="D167" s="1" t="str">
        <f t="shared" si="1"/>
        <v>Richard Stern</v>
      </c>
      <c r="E167" s="1">
        <v>8.02597589E8</v>
      </c>
      <c r="F167" s="1" t="str">
        <f t="shared" si="5"/>
        <v>802597589OVR</v>
      </c>
      <c r="G167" s="2">
        <v>46023.0</v>
      </c>
      <c r="H167" s="1" t="s">
        <v>201</v>
      </c>
      <c r="I167" s="7"/>
      <c r="J167" s="7">
        <v>2.0</v>
      </c>
      <c r="K167" s="7">
        <v>2.0</v>
      </c>
      <c r="L167" s="6" t="s">
        <v>357</v>
      </c>
      <c r="M167" s="1" t="str">
        <f t="shared" si="4"/>
        <v>3/1/2026</v>
      </c>
    </row>
    <row r="168">
      <c r="A168" s="6" t="s">
        <v>356</v>
      </c>
      <c r="B168" s="1" t="s">
        <v>111</v>
      </c>
      <c r="C168" s="1" t="s">
        <v>112</v>
      </c>
      <c r="D168" s="1" t="str">
        <f t="shared" si="1"/>
        <v>Rita Smith</v>
      </c>
      <c r="E168" s="1">
        <v>8.02552042E8</v>
      </c>
      <c r="F168" s="1" t="str">
        <f t="shared" si="5"/>
        <v>802552042OVR</v>
      </c>
      <c r="G168" s="2">
        <v>46023.0</v>
      </c>
      <c r="H168" s="1" t="s">
        <v>201</v>
      </c>
      <c r="I168" s="7"/>
      <c r="J168" s="7">
        <v>2.0</v>
      </c>
      <c r="K168" s="7">
        <v>2.0</v>
      </c>
      <c r="L168" s="6" t="s">
        <v>357</v>
      </c>
      <c r="M168" s="1" t="str">
        <f t="shared" si="4"/>
        <v>3/1/2026</v>
      </c>
    </row>
    <row r="169">
      <c r="A169" s="6" t="s">
        <v>356</v>
      </c>
      <c r="B169" s="1" t="s">
        <v>261</v>
      </c>
      <c r="C169" s="1" t="s">
        <v>216</v>
      </c>
      <c r="D169" s="1" t="str">
        <f t="shared" si="1"/>
        <v>Ryan Haldeman</v>
      </c>
      <c r="E169" s="1">
        <v>8.02025795E8</v>
      </c>
      <c r="F169" s="1" t="str">
        <f t="shared" si="5"/>
        <v>802025795OVR</v>
      </c>
      <c r="G169" s="2">
        <v>46023.0</v>
      </c>
      <c r="H169" s="1" t="s">
        <v>201</v>
      </c>
      <c r="I169" s="7"/>
      <c r="J169" s="7">
        <v>0.5</v>
      </c>
      <c r="K169" s="7">
        <v>0.5</v>
      </c>
      <c r="L169" s="6" t="s">
        <v>357</v>
      </c>
      <c r="M169" s="1" t="str">
        <f t="shared" si="4"/>
        <v>3/1/2026</v>
      </c>
    </row>
    <row r="170">
      <c r="A170" s="6" t="s">
        <v>356</v>
      </c>
      <c r="B170" s="1" t="s">
        <v>262</v>
      </c>
      <c r="C170" s="1" t="s">
        <v>263</v>
      </c>
      <c r="D170" s="1" t="str">
        <f t="shared" si="1"/>
        <v>Sarah Barrows</v>
      </c>
      <c r="E170" s="1">
        <v>8.02090721E8</v>
      </c>
      <c r="F170" s="1" t="str">
        <f t="shared" si="5"/>
        <v>802090721OVR</v>
      </c>
      <c r="G170" s="2">
        <v>46023.0</v>
      </c>
      <c r="H170" s="1" t="s">
        <v>201</v>
      </c>
      <c r="I170" s="7"/>
      <c r="J170" s="7">
        <v>0.5</v>
      </c>
      <c r="K170" s="7">
        <v>0.5</v>
      </c>
      <c r="L170" s="6" t="s">
        <v>357</v>
      </c>
      <c r="M170" s="1" t="str">
        <f t="shared" si="4"/>
        <v>3/1/2026</v>
      </c>
    </row>
    <row r="171">
      <c r="A171" s="6" t="s">
        <v>356</v>
      </c>
      <c r="B171" s="1" t="s">
        <v>264</v>
      </c>
      <c r="C171" s="1" t="s">
        <v>265</v>
      </c>
      <c r="D171" s="1" t="str">
        <f t="shared" si="1"/>
        <v>Schirl A Warner</v>
      </c>
      <c r="E171" s="1">
        <v>8.02974437E8</v>
      </c>
      <c r="F171" s="1" t="str">
        <f t="shared" si="5"/>
        <v>802974437OVR</v>
      </c>
      <c r="G171" s="2">
        <v>46023.0</v>
      </c>
      <c r="H171" s="1" t="s">
        <v>198</v>
      </c>
      <c r="I171" s="7"/>
      <c r="J171" s="7">
        <v>0.5</v>
      </c>
      <c r="K171" s="7">
        <v>0.5</v>
      </c>
      <c r="L171" s="6" t="s">
        <v>357</v>
      </c>
      <c r="M171" s="1" t="str">
        <f t="shared" si="4"/>
        <v>4/1/2026</v>
      </c>
    </row>
    <row r="172">
      <c r="A172" s="6" t="s">
        <v>356</v>
      </c>
      <c r="B172" s="1" t="s">
        <v>113</v>
      </c>
      <c r="C172" s="1" t="s">
        <v>114</v>
      </c>
      <c r="D172" s="1" t="str">
        <f t="shared" si="1"/>
        <v>Steve Long</v>
      </c>
      <c r="E172" s="1">
        <v>8.02540674E8</v>
      </c>
      <c r="F172" s="1" t="str">
        <f t="shared" si="5"/>
        <v>802540674OVR</v>
      </c>
      <c r="G172" s="2">
        <v>46023.0</v>
      </c>
      <c r="H172" s="1" t="s">
        <v>201</v>
      </c>
      <c r="I172" s="7"/>
      <c r="J172" s="7">
        <v>2.0</v>
      </c>
      <c r="K172" s="7">
        <v>2.0</v>
      </c>
      <c r="L172" s="6" t="s">
        <v>357</v>
      </c>
      <c r="M172" s="1" t="str">
        <f t="shared" si="4"/>
        <v>3/1/2026</v>
      </c>
    </row>
    <row r="173">
      <c r="A173" s="6" t="s">
        <v>356</v>
      </c>
      <c r="B173" s="1" t="s">
        <v>115</v>
      </c>
      <c r="C173" s="1" t="s">
        <v>116</v>
      </c>
      <c r="D173" s="1" t="str">
        <f t="shared" si="1"/>
        <v>Suzanne Nafus</v>
      </c>
      <c r="E173" s="1">
        <v>8.02777578E8</v>
      </c>
      <c r="F173" s="1" t="str">
        <f t="shared" si="5"/>
        <v>802777578OVR</v>
      </c>
      <c r="G173" s="2">
        <v>46023.0</v>
      </c>
      <c r="H173" s="1" t="s">
        <v>201</v>
      </c>
      <c r="I173" s="7"/>
      <c r="J173" s="7">
        <v>2.0</v>
      </c>
      <c r="K173" s="7">
        <v>2.0</v>
      </c>
      <c r="L173" s="6" t="s">
        <v>357</v>
      </c>
      <c r="M173" s="1" t="str">
        <f t="shared" si="4"/>
        <v>3/1/2026</v>
      </c>
    </row>
    <row r="174">
      <c r="A174" s="6" t="s">
        <v>356</v>
      </c>
      <c r="B174" s="1" t="s">
        <v>115</v>
      </c>
      <c r="C174" s="1" t="s">
        <v>266</v>
      </c>
      <c r="D174" s="1" t="str">
        <f t="shared" si="1"/>
        <v>Suzanne Sipe</v>
      </c>
      <c r="E174" s="1">
        <v>8.02281215E8</v>
      </c>
      <c r="F174" s="1" t="str">
        <f t="shared" si="5"/>
        <v>802281215OVR</v>
      </c>
      <c r="G174" s="2">
        <v>46023.0</v>
      </c>
      <c r="H174" s="1" t="s">
        <v>198</v>
      </c>
      <c r="I174" s="7"/>
      <c r="J174" s="7">
        <v>0.5</v>
      </c>
      <c r="K174" s="7">
        <v>0.5</v>
      </c>
      <c r="L174" s="6" t="s">
        <v>357</v>
      </c>
      <c r="M174" s="1" t="str">
        <f t="shared" si="4"/>
        <v>4/1/2026</v>
      </c>
    </row>
    <row r="175">
      <c r="A175" s="6" t="s">
        <v>356</v>
      </c>
      <c r="B175" s="1" t="s">
        <v>115</v>
      </c>
      <c r="C175" s="1" t="s">
        <v>266</v>
      </c>
      <c r="D175" s="1" t="str">
        <f t="shared" si="1"/>
        <v>Suzanne Sipe</v>
      </c>
      <c r="E175" s="1">
        <v>8.02281215E8</v>
      </c>
      <c r="F175" s="1" t="str">
        <f t="shared" si="5"/>
        <v>802281215OVR</v>
      </c>
      <c r="G175" s="2">
        <v>46023.0</v>
      </c>
      <c r="H175" s="1" t="s">
        <v>201</v>
      </c>
      <c r="I175" s="7"/>
      <c r="J175" s="7">
        <v>0.5</v>
      </c>
      <c r="K175" s="7">
        <v>0.5</v>
      </c>
      <c r="L175" s="6" t="s">
        <v>357</v>
      </c>
      <c r="M175" s="1" t="str">
        <f t="shared" si="4"/>
        <v>3/1/2026</v>
      </c>
    </row>
    <row r="176">
      <c r="A176" s="6" t="s">
        <v>356</v>
      </c>
      <c r="B176" s="1" t="s">
        <v>117</v>
      </c>
      <c r="C176" s="1" t="s">
        <v>118</v>
      </c>
      <c r="D176" s="1" t="str">
        <f t="shared" si="1"/>
        <v>Tanya Dean</v>
      </c>
      <c r="E176" s="1">
        <v>8.0306365E8</v>
      </c>
      <c r="F176" s="1" t="str">
        <f t="shared" si="5"/>
        <v>803063650OVR</v>
      </c>
      <c r="G176" s="2">
        <v>46023.0</v>
      </c>
      <c r="H176" s="1" t="s">
        <v>201</v>
      </c>
      <c r="I176" s="7"/>
      <c r="J176" s="7">
        <v>2.0</v>
      </c>
      <c r="K176" s="7">
        <v>2.0</v>
      </c>
      <c r="L176" s="6" t="s">
        <v>357</v>
      </c>
      <c r="M176" s="1" t="str">
        <f t="shared" si="4"/>
        <v>3/1/2026</v>
      </c>
    </row>
    <row r="177">
      <c r="A177" s="6" t="s">
        <v>356</v>
      </c>
      <c r="B177" s="1" t="s">
        <v>119</v>
      </c>
      <c r="C177" s="1" t="s">
        <v>120</v>
      </c>
      <c r="D177" s="1" t="str">
        <f t="shared" si="1"/>
        <v>Tiffany Melisauskas</v>
      </c>
      <c r="E177" s="1">
        <v>8.02683072E8</v>
      </c>
      <c r="F177" s="1" t="str">
        <f t="shared" si="5"/>
        <v>802683072OVR</v>
      </c>
      <c r="G177" s="2">
        <v>46023.0</v>
      </c>
      <c r="H177" s="1" t="s">
        <v>205</v>
      </c>
      <c r="I177" s="7"/>
      <c r="J177" s="7">
        <v>2.0</v>
      </c>
      <c r="K177" s="7">
        <v>2.0</v>
      </c>
      <c r="L177" s="6" t="s">
        <v>357</v>
      </c>
      <c r="M177" s="1" t="str">
        <f t="shared" si="4"/>
        <v>2/1/2026</v>
      </c>
    </row>
    <row r="178">
      <c r="A178" s="6" t="s">
        <v>356</v>
      </c>
      <c r="B178" s="1" t="s">
        <v>119</v>
      </c>
      <c r="C178" s="1" t="s">
        <v>120</v>
      </c>
      <c r="D178" s="1" t="str">
        <f t="shared" si="1"/>
        <v>Tiffany Melisauskas</v>
      </c>
      <c r="E178" s="1">
        <v>8.02683072E8</v>
      </c>
      <c r="F178" s="1" t="str">
        <f t="shared" si="5"/>
        <v>802683072OVR</v>
      </c>
      <c r="G178" s="2">
        <v>46023.0</v>
      </c>
      <c r="H178" s="1" t="s">
        <v>201</v>
      </c>
      <c r="I178" s="7"/>
      <c r="J178" s="7">
        <v>2.0</v>
      </c>
      <c r="K178" s="7">
        <v>2.0</v>
      </c>
      <c r="L178" s="6" t="s">
        <v>357</v>
      </c>
      <c r="M178" s="1" t="str">
        <f t="shared" si="4"/>
        <v>3/1/2026</v>
      </c>
    </row>
    <row r="179">
      <c r="A179" s="6" t="s">
        <v>356</v>
      </c>
      <c r="B179" s="1" t="s">
        <v>267</v>
      </c>
      <c r="C179" s="1" t="s">
        <v>268</v>
      </c>
      <c r="D179" s="1" t="str">
        <f t="shared" si="1"/>
        <v>Tracy Haidar</v>
      </c>
      <c r="E179" s="1">
        <v>8.03061924E8</v>
      </c>
      <c r="F179" s="1" t="str">
        <f t="shared" si="5"/>
        <v>803061924OVR</v>
      </c>
      <c r="G179" s="2">
        <v>46023.0</v>
      </c>
      <c r="H179" s="1" t="s">
        <v>201</v>
      </c>
      <c r="I179" s="7"/>
      <c r="J179" s="7">
        <v>2.0</v>
      </c>
      <c r="K179" s="7">
        <v>2.0</v>
      </c>
      <c r="L179" s="6" t="s">
        <v>357</v>
      </c>
      <c r="M179" s="1" t="str">
        <f t="shared" si="4"/>
        <v>3/1/2026</v>
      </c>
    </row>
    <row r="180">
      <c r="A180" s="6" t="s">
        <v>356</v>
      </c>
      <c r="B180" s="1" t="s">
        <v>267</v>
      </c>
      <c r="C180" s="1" t="s">
        <v>269</v>
      </c>
      <c r="D180" s="1" t="str">
        <f t="shared" si="1"/>
        <v>Tracy A Miloro</v>
      </c>
      <c r="E180" s="1">
        <v>8.0244552E8</v>
      </c>
      <c r="F180" s="1" t="str">
        <f t="shared" si="5"/>
        <v>802445520OVR</v>
      </c>
      <c r="G180" s="2">
        <v>46023.0</v>
      </c>
      <c r="H180" s="1" t="s">
        <v>198</v>
      </c>
      <c r="I180" s="7"/>
      <c r="J180" s="7">
        <v>2.0</v>
      </c>
      <c r="K180" s="7">
        <v>2.0</v>
      </c>
      <c r="L180" s="6" t="s">
        <v>357</v>
      </c>
      <c r="M180" s="1" t="str">
        <f t="shared" si="4"/>
        <v>4/1/2026</v>
      </c>
    </row>
    <row r="181">
      <c r="A181" s="6" t="s">
        <v>356</v>
      </c>
      <c r="B181" s="1" t="s">
        <v>122</v>
      </c>
      <c r="C181" s="1" t="s">
        <v>123</v>
      </c>
      <c r="D181" s="1" t="str">
        <f t="shared" si="1"/>
        <v>Trudy Brown</v>
      </c>
      <c r="E181" s="1">
        <v>8.03038832E8</v>
      </c>
      <c r="F181" s="1" t="str">
        <f t="shared" si="5"/>
        <v>803038832OVR</v>
      </c>
      <c r="G181" s="2">
        <v>46023.0</v>
      </c>
      <c r="H181" s="1" t="s">
        <v>201</v>
      </c>
      <c r="I181" s="7"/>
      <c r="J181" s="7">
        <v>2.0</v>
      </c>
      <c r="K181" s="7">
        <v>2.0</v>
      </c>
      <c r="L181" s="6" t="s">
        <v>357</v>
      </c>
      <c r="M181" s="1" t="str">
        <f t="shared" si="4"/>
        <v>3/1/2026</v>
      </c>
    </row>
    <row r="182">
      <c r="A182" s="6" t="s">
        <v>356</v>
      </c>
      <c r="B182" s="1" t="s">
        <v>169</v>
      </c>
      <c r="C182" s="1" t="s">
        <v>270</v>
      </c>
      <c r="D182" s="1" t="str">
        <f t="shared" si="1"/>
        <v>Jason Snyder</v>
      </c>
      <c r="E182" s="1">
        <v>8.02816046E8</v>
      </c>
      <c r="F182" s="1" t="str">
        <f t="shared" si="5"/>
        <v>802816046OVR</v>
      </c>
      <c r="G182" s="2">
        <v>45658.0</v>
      </c>
      <c r="H182" s="1" t="s">
        <v>234</v>
      </c>
      <c r="I182" s="7"/>
      <c r="J182" s="7">
        <v>0.5</v>
      </c>
      <c r="K182" s="7">
        <v>0.5</v>
      </c>
      <c r="L182" s="6" t="s">
        <v>357</v>
      </c>
      <c r="M182" s="1" t="str">
        <f t="shared" si="4"/>
        <v>12/1/2025</v>
      </c>
    </row>
    <row r="183">
      <c r="A183" s="6" t="s">
        <v>356</v>
      </c>
      <c r="B183" s="1" t="s">
        <v>124</v>
      </c>
      <c r="C183" s="1" t="s">
        <v>125</v>
      </c>
      <c r="D183" s="1" t="str">
        <f t="shared" si="1"/>
        <v>Alison Sommer</v>
      </c>
      <c r="E183" s="1">
        <v>8.0311454E8</v>
      </c>
      <c r="F183" s="1" t="str">
        <f t="shared" si="5"/>
        <v>803114540OVR</v>
      </c>
      <c r="G183" s="2">
        <v>46023.0</v>
      </c>
      <c r="H183" s="1" t="s">
        <v>271</v>
      </c>
      <c r="I183" s="7"/>
      <c r="J183" s="7">
        <v>2.67</v>
      </c>
      <c r="K183" s="7">
        <v>2.67</v>
      </c>
      <c r="L183" s="6" t="s">
        <v>357</v>
      </c>
      <c r="M183" s="1" t="str">
        <f t="shared" si="4"/>
        <v>3/1/2026</v>
      </c>
    </row>
    <row r="184">
      <c r="A184" s="6" t="s">
        <v>356</v>
      </c>
      <c r="B184" s="1" t="s">
        <v>272</v>
      </c>
      <c r="C184" s="1" t="s">
        <v>273</v>
      </c>
      <c r="D184" s="1" t="str">
        <f t="shared" si="1"/>
        <v>Brianna L Wolfe</v>
      </c>
      <c r="E184" s="1">
        <v>8.03122177E8</v>
      </c>
      <c r="F184" s="1" t="str">
        <f t="shared" si="5"/>
        <v>803122177OVR</v>
      </c>
      <c r="G184" s="2">
        <v>46023.0</v>
      </c>
      <c r="H184" s="1" t="s">
        <v>271</v>
      </c>
      <c r="I184" s="7"/>
      <c r="J184" s="7">
        <v>2.67</v>
      </c>
      <c r="K184" s="7">
        <v>2.67</v>
      </c>
      <c r="L184" s="6" t="s">
        <v>357</v>
      </c>
      <c r="M184" s="1" t="str">
        <f t="shared" si="4"/>
        <v>3/1/2026</v>
      </c>
    </row>
    <row r="185">
      <c r="A185" s="6" t="s">
        <v>356</v>
      </c>
      <c r="B185" s="1" t="s">
        <v>128</v>
      </c>
      <c r="C185" s="1" t="s">
        <v>129</v>
      </c>
      <c r="D185" s="1" t="str">
        <f t="shared" si="1"/>
        <v>Christopher Luther</v>
      </c>
      <c r="E185" s="1">
        <v>8.03117914E8</v>
      </c>
      <c r="F185" s="1" t="str">
        <f t="shared" si="5"/>
        <v>803117914OVR</v>
      </c>
      <c r="G185" s="2">
        <v>46023.0</v>
      </c>
      <c r="H185" s="1" t="s">
        <v>271</v>
      </c>
      <c r="I185" s="7"/>
      <c r="J185" s="7">
        <v>2.67</v>
      </c>
      <c r="K185" s="7">
        <v>2.67</v>
      </c>
      <c r="L185" s="6" t="s">
        <v>357</v>
      </c>
      <c r="M185" s="1" t="str">
        <f t="shared" si="4"/>
        <v>3/1/2026</v>
      </c>
    </row>
    <row r="186">
      <c r="A186" s="6" t="s">
        <v>356</v>
      </c>
      <c r="B186" s="1" t="s">
        <v>130</v>
      </c>
      <c r="C186" s="1" t="s">
        <v>131</v>
      </c>
      <c r="D186" s="1" t="str">
        <f t="shared" si="1"/>
        <v>Craig Berkheimer</v>
      </c>
      <c r="E186" s="1">
        <v>8.03112589E8</v>
      </c>
      <c r="F186" s="1" t="str">
        <f t="shared" si="5"/>
        <v>803112589OVR</v>
      </c>
      <c r="G186" s="2">
        <v>46023.0</v>
      </c>
      <c r="H186" s="1" t="s">
        <v>271</v>
      </c>
      <c r="I186" s="7"/>
      <c r="J186" s="7">
        <v>2.67</v>
      </c>
      <c r="K186" s="7">
        <v>2.67</v>
      </c>
      <c r="L186" s="6" t="s">
        <v>357</v>
      </c>
      <c r="M186" s="1" t="str">
        <f t="shared" si="4"/>
        <v>3/1/2026</v>
      </c>
    </row>
    <row r="187">
      <c r="A187" s="6" t="s">
        <v>356</v>
      </c>
      <c r="B187" s="1" t="s">
        <v>132</v>
      </c>
      <c r="C187" s="1" t="s">
        <v>133</v>
      </c>
      <c r="D187" s="1" t="str">
        <f t="shared" si="1"/>
        <v>Cynthia Sheaffer</v>
      </c>
      <c r="E187" s="1">
        <v>8.03095503E8</v>
      </c>
      <c r="F187" s="1" t="str">
        <f t="shared" si="5"/>
        <v>803095503OVR</v>
      </c>
      <c r="G187" s="2">
        <v>46023.0</v>
      </c>
      <c r="H187" s="1" t="s">
        <v>274</v>
      </c>
      <c r="I187" s="7"/>
      <c r="J187" s="7">
        <v>2.67</v>
      </c>
      <c r="K187" s="7">
        <v>2.67</v>
      </c>
      <c r="L187" s="6" t="s">
        <v>357</v>
      </c>
      <c r="M187" s="1" t="str">
        <f t="shared" si="4"/>
        <v>4/1/2026</v>
      </c>
    </row>
    <row r="188">
      <c r="A188" s="6" t="s">
        <v>356</v>
      </c>
      <c r="B188" s="1" t="s">
        <v>135</v>
      </c>
      <c r="C188" s="1" t="s">
        <v>136</v>
      </c>
      <c r="D188" s="1" t="str">
        <f t="shared" si="1"/>
        <v>Dalia N Gertmonaite</v>
      </c>
      <c r="E188" s="1">
        <v>8.03096452E8</v>
      </c>
      <c r="F188" s="1" t="str">
        <f t="shared" si="5"/>
        <v>803096452OVR</v>
      </c>
      <c r="G188" s="2">
        <v>46023.0</v>
      </c>
      <c r="H188" s="1" t="s">
        <v>271</v>
      </c>
      <c r="I188" s="7"/>
      <c r="J188" s="7">
        <v>2.67</v>
      </c>
      <c r="K188" s="7">
        <v>2.67</v>
      </c>
      <c r="L188" s="6" t="s">
        <v>357</v>
      </c>
      <c r="M188" s="1" t="str">
        <f t="shared" si="4"/>
        <v>3/1/2026</v>
      </c>
    </row>
    <row r="189">
      <c r="A189" s="6" t="s">
        <v>356</v>
      </c>
      <c r="B189" s="1" t="s">
        <v>137</v>
      </c>
      <c r="C189" s="1" t="s">
        <v>138</v>
      </c>
      <c r="D189" s="1" t="str">
        <f t="shared" si="1"/>
        <v>David W Witmoyer</v>
      </c>
      <c r="E189" s="1">
        <v>8.03124115E8</v>
      </c>
      <c r="F189" s="1" t="str">
        <f t="shared" si="5"/>
        <v>803124115OVR</v>
      </c>
      <c r="G189" s="2">
        <v>46023.0</v>
      </c>
      <c r="H189" s="1" t="s">
        <v>271</v>
      </c>
      <c r="I189" s="7"/>
      <c r="J189" s="7">
        <v>2.67</v>
      </c>
      <c r="K189" s="7">
        <v>2.67</v>
      </c>
      <c r="L189" s="6" t="s">
        <v>357</v>
      </c>
      <c r="M189" s="1" t="str">
        <f t="shared" si="4"/>
        <v>3/1/2026</v>
      </c>
    </row>
    <row r="190">
      <c r="A190" s="6" t="s">
        <v>356</v>
      </c>
      <c r="B190" s="1" t="s">
        <v>166</v>
      </c>
      <c r="C190" s="1" t="s">
        <v>275</v>
      </c>
      <c r="D190" s="1" t="str">
        <f t="shared" si="1"/>
        <v>James Huntington</v>
      </c>
      <c r="E190" s="1">
        <v>8.03121227E8</v>
      </c>
      <c r="F190" s="1" t="str">
        <f t="shared" si="5"/>
        <v>803121227OVR</v>
      </c>
      <c r="G190" s="2">
        <v>46023.0</v>
      </c>
      <c r="H190" s="1" t="s">
        <v>271</v>
      </c>
      <c r="I190" s="7"/>
      <c r="J190" s="7">
        <v>0.67</v>
      </c>
      <c r="K190" s="7">
        <v>0.67</v>
      </c>
      <c r="L190" s="6" t="s">
        <v>357</v>
      </c>
      <c r="M190" s="1" t="str">
        <f t="shared" si="4"/>
        <v>3/1/2026</v>
      </c>
    </row>
    <row r="191">
      <c r="A191" s="6" t="s">
        <v>356</v>
      </c>
      <c r="B191" s="1" t="s">
        <v>140</v>
      </c>
      <c r="C191" s="1" t="s">
        <v>141</v>
      </c>
      <c r="D191" s="1" t="str">
        <f t="shared" si="1"/>
        <v>Jill Druckenmiller</v>
      </c>
      <c r="E191" s="1">
        <v>8.0296641E8</v>
      </c>
      <c r="F191" s="1" t="str">
        <f t="shared" si="5"/>
        <v>802966410OVR</v>
      </c>
      <c r="G191" s="2">
        <v>46023.0</v>
      </c>
      <c r="H191" s="1" t="s">
        <v>271</v>
      </c>
      <c r="I191" s="7"/>
      <c r="J191" s="7">
        <v>2.67</v>
      </c>
      <c r="K191" s="7">
        <v>2.67</v>
      </c>
      <c r="L191" s="6" t="s">
        <v>357</v>
      </c>
      <c r="M191" s="1" t="str">
        <f t="shared" si="4"/>
        <v>3/1/2026</v>
      </c>
    </row>
    <row r="192">
      <c r="A192" s="6" t="s">
        <v>356</v>
      </c>
      <c r="B192" s="1" t="s">
        <v>276</v>
      </c>
      <c r="C192" s="1" t="s">
        <v>277</v>
      </c>
      <c r="D192" s="1" t="str">
        <f t="shared" si="1"/>
        <v>Paige Magnelli</v>
      </c>
      <c r="E192" s="1">
        <v>8.03125855E8</v>
      </c>
      <c r="F192" s="1" t="str">
        <f t="shared" si="5"/>
        <v>803125855OVR</v>
      </c>
      <c r="G192" s="2">
        <v>46023.0</v>
      </c>
      <c r="H192" s="1" t="s">
        <v>274</v>
      </c>
      <c r="I192" s="7"/>
      <c r="J192" s="7">
        <v>0.67</v>
      </c>
      <c r="K192" s="7">
        <v>0.67</v>
      </c>
      <c r="L192" s="6" t="s">
        <v>357</v>
      </c>
      <c r="M192" s="1" t="str">
        <f t="shared" si="4"/>
        <v>4/1/2026</v>
      </c>
    </row>
    <row r="193">
      <c r="A193" s="6" t="s">
        <v>356</v>
      </c>
      <c r="B193" s="1" t="s">
        <v>278</v>
      </c>
      <c r="C193" s="1" t="s">
        <v>279</v>
      </c>
      <c r="D193" s="1" t="str">
        <f t="shared" si="1"/>
        <v>Rhonda Kerstetter</v>
      </c>
      <c r="E193" s="1">
        <v>8.0312296E8</v>
      </c>
      <c r="F193" s="1" t="str">
        <f t="shared" si="5"/>
        <v>803122960OVR</v>
      </c>
      <c r="G193" s="2">
        <v>46023.0</v>
      </c>
      <c r="H193" s="1" t="s">
        <v>271</v>
      </c>
      <c r="I193" s="7"/>
      <c r="J193" s="7">
        <v>2.67</v>
      </c>
      <c r="K193" s="7">
        <v>2.67</v>
      </c>
      <c r="L193" s="6" t="s">
        <v>357</v>
      </c>
      <c r="M193" s="1" t="str">
        <f t="shared" si="4"/>
        <v>3/1/2026</v>
      </c>
    </row>
    <row r="194">
      <c r="A194" s="6" t="s">
        <v>356</v>
      </c>
      <c r="B194" s="1" t="s">
        <v>278</v>
      </c>
      <c r="C194" s="1" t="s">
        <v>279</v>
      </c>
      <c r="D194" s="1" t="str">
        <f t="shared" si="1"/>
        <v>Rhonda Kerstetter</v>
      </c>
      <c r="E194" s="1">
        <v>8.0312296E8</v>
      </c>
      <c r="F194" s="1" t="str">
        <f t="shared" si="5"/>
        <v>803122960OVR</v>
      </c>
      <c r="G194" s="2">
        <v>46023.0</v>
      </c>
      <c r="H194" s="1" t="s">
        <v>274</v>
      </c>
      <c r="I194" s="7"/>
      <c r="J194" s="7">
        <v>2.67</v>
      </c>
      <c r="K194" s="7">
        <v>2.67</v>
      </c>
      <c r="L194" s="6" t="s">
        <v>357</v>
      </c>
      <c r="M194" s="1" t="str">
        <f t="shared" si="4"/>
        <v>4/1/2026</v>
      </c>
    </row>
    <row r="195">
      <c r="A195" s="6" t="s">
        <v>356</v>
      </c>
      <c r="B195" s="1" t="s">
        <v>280</v>
      </c>
      <c r="C195" s="1" t="s">
        <v>281</v>
      </c>
      <c r="D195" s="1" t="str">
        <f t="shared" si="1"/>
        <v>Tammy Mccarthy</v>
      </c>
      <c r="E195" s="1">
        <v>8.03098171E8</v>
      </c>
      <c r="F195" s="1" t="str">
        <f t="shared" si="5"/>
        <v>803098171OVR</v>
      </c>
      <c r="G195" s="2">
        <v>46023.0</v>
      </c>
      <c r="H195" s="1" t="s">
        <v>274</v>
      </c>
      <c r="I195" s="7"/>
      <c r="J195" s="7">
        <v>0.67</v>
      </c>
      <c r="K195" s="7">
        <v>0.67</v>
      </c>
      <c r="L195" s="6" t="s">
        <v>357</v>
      </c>
      <c r="M195" s="1" t="str">
        <f t="shared" si="4"/>
        <v>4/1/2026</v>
      </c>
    </row>
    <row r="196">
      <c r="A196" s="6" t="s">
        <v>356</v>
      </c>
      <c r="B196" s="1" t="s">
        <v>282</v>
      </c>
      <c r="C196" s="1" t="s">
        <v>283</v>
      </c>
      <c r="D196" s="1" t="str">
        <f t="shared" si="1"/>
        <v>Valentina Ruiz</v>
      </c>
      <c r="E196" s="1">
        <v>8.03141261E8</v>
      </c>
      <c r="F196" s="1" t="str">
        <f t="shared" si="5"/>
        <v>803141261OVR</v>
      </c>
      <c r="G196" s="2">
        <v>46054.0</v>
      </c>
      <c r="H196" s="1" t="s">
        <v>271</v>
      </c>
      <c r="I196" s="7"/>
      <c r="J196" s="7">
        <v>0.67</v>
      </c>
      <c r="K196" s="7">
        <v>0.67</v>
      </c>
      <c r="L196" s="6" t="s">
        <v>357</v>
      </c>
      <c r="M196" s="1" t="str">
        <f t="shared" si="4"/>
        <v>3/1/2026</v>
      </c>
    </row>
    <row r="197">
      <c r="A197" s="6" t="s">
        <v>356</v>
      </c>
      <c r="B197" s="1" t="s">
        <v>142</v>
      </c>
      <c r="C197" s="1" t="s">
        <v>143</v>
      </c>
      <c r="D197" s="1" t="str">
        <f t="shared" si="1"/>
        <v>Valerie Soto</v>
      </c>
      <c r="E197" s="1">
        <v>8.03098189E8</v>
      </c>
      <c r="F197" s="1" t="str">
        <f t="shared" si="5"/>
        <v>803098189OVR</v>
      </c>
      <c r="G197" s="2">
        <v>46023.0</v>
      </c>
      <c r="H197" s="1" t="s">
        <v>271</v>
      </c>
      <c r="I197" s="7"/>
      <c r="J197" s="7">
        <v>2.67</v>
      </c>
      <c r="K197" s="7">
        <v>2.67</v>
      </c>
      <c r="L197" s="6" t="s">
        <v>357</v>
      </c>
      <c r="M197" s="1" t="str">
        <f t="shared" si="4"/>
        <v>3/1/2026</v>
      </c>
    </row>
    <row r="198">
      <c r="A198" s="6" t="s">
        <v>356</v>
      </c>
      <c r="B198" s="1" t="s">
        <v>284</v>
      </c>
      <c r="C198" s="1" t="s">
        <v>285</v>
      </c>
      <c r="D198" s="1" t="str">
        <f t="shared" si="1"/>
        <v>Wyatt L Osterlund</v>
      </c>
      <c r="E198" s="1">
        <v>8.03101497E8</v>
      </c>
      <c r="F198" s="1" t="str">
        <f t="shared" si="5"/>
        <v>803101497OVR</v>
      </c>
      <c r="G198" s="2">
        <v>46023.0</v>
      </c>
      <c r="H198" s="1" t="s">
        <v>271</v>
      </c>
      <c r="I198" s="7"/>
      <c r="J198" s="7">
        <v>0.67</v>
      </c>
      <c r="K198" s="7">
        <v>0.67</v>
      </c>
      <c r="L198" s="6" t="s">
        <v>357</v>
      </c>
      <c r="M198" s="1" t="str">
        <f t="shared" si="4"/>
        <v>3/1/2026</v>
      </c>
    </row>
    <row r="199">
      <c r="A199" s="6" t="s">
        <v>356</v>
      </c>
      <c r="B199" s="1" t="s">
        <v>284</v>
      </c>
      <c r="C199" s="1" t="s">
        <v>285</v>
      </c>
      <c r="D199" s="1" t="str">
        <f t="shared" si="1"/>
        <v>Wyatt L Osterlund</v>
      </c>
      <c r="E199" s="1">
        <v>8.03101497E8</v>
      </c>
      <c r="F199" s="1" t="str">
        <f t="shared" si="5"/>
        <v>803101497OVR</v>
      </c>
      <c r="G199" s="2">
        <v>46023.0</v>
      </c>
      <c r="H199" s="1" t="s">
        <v>274</v>
      </c>
      <c r="I199" s="7"/>
      <c r="J199" s="7">
        <v>0.67</v>
      </c>
      <c r="K199" s="7">
        <v>0.67</v>
      </c>
      <c r="L199" s="6" t="s">
        <v>357</v>
      </c>
      <c r="M199" s="1" t="str">
        <f t="shared" si="4"/>
        <v>4/1/2026</v>
      </c>
    </row>
    <row r="200">
      <c r="A200" s="6" t="s">
        <v>356</v>
      </c>
      <c r="B200" s="1" t="s">
        <v>144</v>
      </c>
      <c r="C200" s="1" t="s">
        <v>145</v>
      </c>
      <c r="D200" s="1" t="str">
        <f t="shared" si="1"/>
        <v>Zachary Phillips</v>
      </c>
      <c r="E200" s="1">
        <v>8.03135405E8</v>
      </c>
      <c r="F200" s="1" t="str">
        <f t="shared" si="5"/>
        <v>803135405OVR</v>
      </c>
      <c r="G200" s="2">
        <v>46023.0</v>
      </c>
      <c r="H200" s="1" t="s">
        <v>274</v>
      </c>
      <c r="I200" s="7"/>
      <c r="J200" s="7">
        <v>2.67</v>
      </c>
      <c r="K200" s="7">
        <v>2.67</v>
      </c>
      <c r="L200" s="6" t="s">
        <v>357</v>
      </c>
      <c r="M200" s="1" t="str">
        <f t="shared" si="4"/>
        <v>4/1/2026</v>
      </c>
    </row>
    <row r="201">
      <c r="A201" s="6" t="s">
        <v>356</v>
      </c>
      <c r="B201" s="1" t="s">
        <v>144</v>
      </c>
      <c r="C201" s="1" t="s">
        <v>145</v>
      </c>
      <c r="D201" s="1" t="str">
        <f t="shared" si="1"/>
        <v>Zachary Phillips</v>
      </c>
      <c r="E201" s="1">
        <v>8.03135405E8</v>
      </c>
      <c r="F201" s="1" t="str">
        <f t="shared" si="5"/>
        <v>803135405OVR</v>
      </c>
      <c r="G201" s="2">
        <v>46023.0</v>
      </c>
      <c r="H201" s="1" t="s">
        <v>271</v>
      </c>
      <c r="I201" s="7"/>
      <c r="J201" s="7">
        <v>2.67</v>
      </c>
      <c r="K201" s="7">
        <v>2.67</v>
      </c>
      <c r="L201" s="6" t="s">
        <v>357</v>
      </c>
      <c r="M201" s="1" t="str">
        <f t="shared" si="4"/>
        <v>3/1/2026</v>
      </c>
    </row>
    <row r="202">
      <c r="A202" s="6" t="s">
        <v>356</v>
      </c>
      <c r="B202" s="1" t="s">
        <v>146</v>
      </c>
      <c r="C202" s="1" t="s">
        <v>147</v>
      </c>
      <c r="D202" s="1" t="str">
        <f t="shared" si="1"/>
        <v>Sandy Mertz</v>
      </c>
      <c r="E202" s="1">
        <v>8.03147431E8</v>
      </c>
      <c r="F202" s="1" t="str">
        <f t="shared" si="5"/>
        <v>803147431OVR</v>
      </c>
      <c r="G202" s="2">
        <v>46082.0</v>
      </c>
      <c r="H202" s="1" t="s">
        <v>271</v>
      </c>
      <c r="I202" s="7"/>
      <c r="J202" s="7">
        <v>2.67</v>
      </c>
      <c r="K202" s="7">
        <v>2.67</v>
      </c>
      <c r="L202" s="6" t="s">
        <v>357</v>
      </c>
      <c r="M202" s="1" t="str">
        <f t="shared" si="4"/>
        <v>3/1/2026</v>
      </c>
    </row>
    <row r="203">
      <c r="A203" s="6" t="s">
        <v>356</v>
      </c>
      <c r="B203" s="1" t="s">
        <v>286</v>
      </c>
      <c r="C203" s="1" t="s">
        <v>287</v>
      </c>
      <c r="D203" s="1" t="str">
        <f t="shared" si="1"/>
        <v>Kelly Rowe</v>
      </c>
      <c r="E203" s="1">
        <v>8.03049287E8</v>
      </c>
      <c r="F203" s="1" t="str">
        <f t="shared" si="5"/>
        <v>803049287OVR</v>
      </c>
      <c r="G203" s="2">
        <v>45809.0</v>
      </c>
      <c r="H203" s="1" t="s">
        <v>288</v>
      </c>
      <c r="I203" s="7"/>
      <c r="J203" s="7">
        <v>0.67</v>
      </c>
      <c r="K203" s="7">
        <v>0.67</v>
      </c>
      <c r="L203" s="6" t="s">
        <v>357</v>
      </c>
      <c r="M203" s="1" t="str">
        <f t="shared" si="4"/>
        <v>12/1/2025</v>
      </c>
    </row>
    <row r="204">
      <c r="A204" s="6" t="s">
        <v>356</v>
      </c>
      <c r="B204" s="1" t="s">
        <v>151</v>
      </c>
      <c r="C204" s="1" t="s">
        <v>152</v>
      </c>
      <c r="D204" s="1" t="str">
        <f t="shared" si="1"/>
        <v>Bradley Lyon</v>
      </c>
      <c r="E204" s="1">
        <v>8.02624955E8</v>
      </c>
      <c r="F204" s="1" t="str">
        <f t="shared" si="5"/>
        <v>802624955OVR</v>
      </c>
      <c r="G204" s="2">
        <v>46023.0</v>
      </c>
      <c r="H204" s="1" t="s">
        <v>289</v>
      </c>
      <c r="I204" s="7"/>
      <c r="J204" s="7">
        <v>4.0</v>
      </c>
      <c r="K204" s="7">
        <v>4.0</v>
      </c>
      <c r="L204" s="6" t="s">
        <v>357</v>
      </c>
      <c r="M204" s="1" t="str">
        <f t="shared" si="4"/>
        <v>3/1/2026</v>
      </c>
    </row>
    <row r="205">
      <c r="A205" s="6" t="s">
        <v>356</v>
      </c>
      <c r="B205" s="1" t="s">
        <v>56</v>
      </c>
      <c r="C205" s="1" t="s">
        <v>290</v>
      </c>
      <c r="D205" s="1" t="str">
        <f t="shared" si="1"/>
        <v>Brian Keister</v>
      </c>
      <c r="E205" s="1">
        <v>8.02778367E8</v>
      </c>
      <c r="F205" s="1" t="str">
        <f t="shared" si="5"/>
        <v>802778367OVR</v>
      </c>
      <c r="G205" s="2">
        <v>46023.0</v>
      </c>
      <c r="H205" s="1" t="s">
        <v>289</v>
      </c>
      <c r="I205" s="7"/>
      <c r="J205" s="7">
        <v>4.0</v>
      </c>
      <c r="K205" s="7">
        <v>4.0</v>
      </c>
      <c r="L205" s="6" t="s">
        <v>357</v>
      </c>
      <c r="M205" s="1" t="str">
        <f t="shared" si="4"/>
        <v>3/1/2026</v>
      </c>
    </row>
    <row r="206">
      <c r="A206" s="6" t="s">
        <v>356</v>
      </c>
      <c r="B206" s="1" t="s">
        <v>291</v>
      </c>
      <c r="C206" s="1" t="s">
        <v>292</v>
      </c>
      <c r="D206" s="1" t="str">
        <f t="shared" si="1"/>
        <v>Bryan Haberstroh</v>
      </c>
      <c r="E206" s="1">
        <v>8.03002591E8</v>
      </c>
      <c r="F206" s="1" t="str">
        <f t="shared" si="5"/>
        <v>803002591OVR</v>
      </c>
      <c r="G206" s="2">
        <v>46023.0</v>
      </c>
      <c r="H206" s="1" t="s">
        <v>289</v>
      </c>
      <c r="I206" s="7"/>
      <c r="J206" s="7">
        <v>4.0</v>
      </c>
      <c r="K206" s="7">
        <v>4.0</v>
      </c>
      <c r="L206" s="6" t="s">
        <v>357</v>
      </c>
      <c r="M206" s="1" t="str">
        <f t="shared" si="4"/>
        <v>3/1/2026</v>
      </c>
    </row>
    <row r="207">
      <c r="A207" s="6" t="s">
        <v>356</v>
      </c>
      <c r="B207" s="1" t="s">
        <v>293</v>
      </c>
      <c r="C207" s="1" t="s">
        <v>294</v>
      </c>
      <c r="D207" s="1" t="str">
        <f t="shared" si="1"/>
        <v>Charles Freeman</v>
      </c>
      <c r="E207" s="1">
        <v>8.02960692E8</v>
      </c>
      <c r="F207" s="1" t="str">
        <f t="shared" si="5"/>
        <v>802960692OVR</v>
      </c>
      <c r="G207" s="2">
        <v>45658.0</v>
      </c>
      <c r="H207" s="1" t="s">
        <v>295</v>
      </c>
      <c r="I207" s="7"/>
      <c r="J207" s="7">
        <v>4.0</v>
      </c>
      <c r="K207" s="7">
        <v>4.0</v>
      </c>
      <c r="L207" s="6" t="s">
        <v>357</v>
      </c>
      <c r="M207" s="1" t="str">
        <f t="shared" si="4"/>
        <v>12/1/2025</v>
      </c>
    </row>
    <row r="208">
      <c r="A208" s="6" t="s">
        <v>356</v>
      </c>
      <c r="B208" s="1" t="s">
        <v>154</v>
      </c>
      <c r="C208" s="1" t="s">
        <v>155</v>
      </c>
      <c r="D208" s="1" t="str">
        <f t="shared" si="1"/>
        <v>Chris Schmidt</v>
      </c>
      <c r="E208" s="1">
        <v>8.02532346E8</v>
      </c>
      <c r="F208" s="1" t="str">
        <f t="shared" si="5"/>
        <v>802532346OVR</v>
      </c>
      <c r="G208" s="2">
        <v>46023.0</v>
      </c>
      <c r="H208" s="1" t="s">
        <v>289</v>
      </c>
      <c r="I208" s="7"/>
      <c r="J208" s="7">
        <v>4.0</v>
      </c>
      <c r="K208" s="7">
        <v>4.0</v>
      </c>
      <c r="L208" s="6" t="s">
        <v>357</v>
      </c>
      <c r="M208" s="1" t="str">
        <f t="shared" si="4"/>
        <v>3/1/2026</v>
      </c>
    </row>
    <row r="209">
      <c r="A209" s="6" t="s">
        <v>356</v>
      </c>
      <c r="B209" s="1" t="s">
        <v>137</v>
      </c>
      <c r="C209" s="1" t="s">
        <v>156</v>
      </c>
      <c r="D209" s="1" t="str">
        <f t="shared" si="1"/>
        <v>David Carr</v>
      </c>
      <c r="E209" s="1">
        <v>8.02301278E8</v>
      </c>
      <c r="F209" s="1" t="str">
        <f t="shared" si="5"/>
        <v>802301278OVR</v>
      </c>
      <c r="G209" s="2">
        <v>46023.0</v>
      </c>
      <c r="H209" s="1" t="s">
        <v>296</v>
      </c>
      <c r="I209" s="7"/>
      <c r="J209" s="7">
        <v>4.0</v>
      </c>
      <c r="K209" s="7">
        <v>4.0</v>
      </c>
      <c r="L209" s="6" t="s">
        <v>357</v>
      </c>
      <c r="M209" s="1" t="str">
        <f t="shared" si="4"/>
        <v>4/1/2026</v>
      </c>
    </row>
    <row r="210">
      <c r="A210" s="6" t="s">
        <v>356</v>
      </c>
      <c r="B210" s="1" t="s">
        <v>137</v>
      </c>
      <c r="C210" s="1" t="s">
        <v>156</v>
      </c>
      <c r="D210" s="1" t="str">
        <f t="shared" si="1"/>
        <v>David Carr</v>
      </c>
      <c r="E210" s="1">
        <v>8.02301278E8</v>
      </c>
      <c r="F210" s="1" t="str">
        <f t="shared" si="5"/>
        <v>802301278OVR</v>
      </c>
      <c r="G210" s="2">
        <v>46023.0</v>
      </c>
      <c r="H210" s="1" t="s">
        <v>289</v>
      </c>
      <c r="I210" s="7"/>
      <c r="J210" s="7">
        <v>4.0</v>
      </c>
      <c r="K210" s="7">
        <v>4.0</v>
      </c>
      <c r="L210" s="6" t="s">
        <v>357</v>
      </c>
      <c r="M210" s="1" t="str">
        <f t="shared" si="4"/>
        <v>3/1/2026</v>
      </c>
    </row>
    <row r="211">
      <c r="A211" s="6" t="s">
        <v>356</v>
      </c>
      <c r="B211" s="1" t="s">
        <v>158</v>
      </c>
      <c r="C211" s="1" t="s">
        <v>159</v>
      </c>
      <c r="D211" s="1" t="str">
        <f t="shared" si="1"/>
        <v>Elizabeth Ervin</v>
      </c>
      <c r="E211" s="1">
        <v>8.02417758E8</v>
      </c>
      <c r="F211" s="1" t="str">
        <f t="shared" si="5"/>
        <v>802417758OVR</v>
      </c>
      <c r="G211" s="2">
        <v>46023.0</v>
      </c>
      <c r="H211" s="1" t="s">
        <v>289</v>
      </c>
      <c r="I211" s="7"/>
      <c r="J211" s="7">
        <v>4.0</v>
      </c>
      <c r="K211" s="7">
        <v>4.0</v>
      </c>
      <c r="L211" s="6" t="s">
        <v>357</v>
      </c>
      <c r="M211" s="1" t="str">
        <f t="shared" si="4"/>
        <v>3/1/2026</v>
      </c>
    </row>
    <row r="212">
      <c r="A212" s="6" t="s">
        <v>356</v>
      </c>
      <c r="B212" s="1" t="s">
        <v>160</v>
      </c>
      <c r="C212" s="1" t="s">
        <v>161</v>
      </c>
      <c r="D212" s="1" t="str">
        <f t="shared" si="1"/>
        <v>Giovanna Dimaio</v>
      </c>
      <c r="E212" s="1">
        <v>8.02534788E8</v>
      </c>
      <c r="F212" s="1" t="str">
        <f t="shared" si="5"/>
        <v>802534788OVR</v>
      </c>
      <c r="G212" s="2">
        <v>46023.0</v>
      </c>
      <c r="H212" s="1" t="s">
        <v>289</v>
      </c>
      <c r="I212" s="7"/>
      <c r="J212" s="7">
        <v>4.0</v>
      </c>
      <c r="K212" s="7">
        <v>4.0</v>
      </c>
      <c r="L212" s="6" t="s">
        <v>357</v>
      </c>
      <c r="M212" s="1" t="str">
        <f t="shared" si="4"/>
        <v>3/1/2026</v>
      </c>
    </row>
    <row r="213">
      <c r="A213" s="6" t="s">
        <v>356</v>
      </c>
      <c r="B213" s="1" t="s">
        <v>162</v>
      </c>
      <c r="C213" s="1" t="s">
        <v>163</v>
      </c>
      <c r="D213" s="1" t="str">
        <f t="shared" si="1"/>
        <v>Gretchen Flanley</v>
      </c>
      <c r="E213" s="1">
        <v>8.01998355E8</v>
      </c>
      <c r="F213" s="1" t="str">
        <f t="shared" si="5"/>
        <v>801998355OVR</v>
      </c>
      <c r="G213" s="2">
        <v>46023.0</v>
      </c>
      <c r="H213" s="1" t="s">
        <v>289</v>
      </c>
      <c r="I213" s="7"/>
      <c r="J213" s="7">
        <v>4.0</v>
      </c>
      <c r="K213" s="7">
        <v>4.0</v>
      </c>
      <c r="L213" s="6" t="s">
        <v>357</v>
      </c>
      <c r="M213" s="1" t="str">
        <f t="shared" si="4"/>
        <v>3/1/2026</v>
      </c>
    </row>
    <row r="214">
      <c r="A214" s="6" t="s">
        <v>356</v>
      </c>
      <c r="B214" s="1" t="s">
        <v>164</v>
      </c>
      <c r="C214" s="1" t="s">
        <v>165</v>
      </c>
      <c r="D214" s="1" t="str">
        <f t="shared" si="1"/>
        <v>Jamal Rafraf</v>
      </c>
      <c r="E214" s="1">
        <v>8.02341284E8</v>
      </c>
      <c r="F214" s="1" t="str">
        <f t="shared" si="5"/>
        <v>802341284OVR</v>
      </c>
      <c r="G214" s="2">
        <v>46023.0</v>
      </c>
      <c r="H214" s="1" t="s">
        <v>289</v>
      </c>
      <c r="I214" s="7"/>
      <c r="J214" s="7">
        <v>4.0</v>
      </c>
      <c r="K214" s="7">
        <v>4.0</v>
      </c>
      <c r="L214" s="6" t="s">
        <v>357</v>
      </c>
      <c r="M214" s="1" t="str">
        <f t="shared" si="4"/>
        <v>3/1/2026</v>
      </c>
    </row>
    <row r="215">
      <c r="A215" s="6" t="s">
        <v>356</v>
      </c>
      <c r="B215" s="1" t="s">
        <v>166</v>
      </c>
      <c r="C215" s="1" t="s">
        <v>167</v>
      </c>
      <c r="D215" s="1" t="str">
        <f t="shared" si="1"/>
        <v>James Heckenberger</v>
      </c>
      <c r="E215" s="1">
        <v>8.02807514E8</v>
      </c>
      <c r="F215" s="1" t="str">
        <f t="shared" si="5"/>
        <v>802807514OVR</v>
      </c>
      <c r="G215" s="2">
        <v>46023.0</v>
      </c>
      <c r="H215" s="1" t="s">
        <v>289</v>
      </c>
      <c r="I215" s="7"/>
      <c r="J215" s="7">
        <v>4.0</v>
      </c>
      <c r="K215" s="7">
        <v>4.0</v>
      </c>
      <c r="L215" s="6" t="s">
        <v>357</v>
      </c>
      <c r="M215" s="1" t="str">
        <f t="shared" si="4"/>
        <v>3/1/2026</v>
      </c>
    </row>
    <row r="216">
      <c r="A216" s="6" t="s">
        <v>356</v>
      </c>
      <c r="B216" s="1" t="s">
        <v>166</v>
      </c>
      <c r="C216" s="1" t="s">
        <v>167</v>
      </c>
      <c r="D216" s="1" t="str">
        <f t="shared" si="1"/>
        <v>James Heckenberger</v>
      </c>
      <c r="E216" s="1">
        <v>8.02807514E8</v>
      </c>
      <c r="F216" s="1" t="str">
        <f t="shared" si="5"/>
        <v>802807514OVR</v>
      </c>
      <c r="G216" s="2">
        <v>46023.0</v>
      </c>
      <c r="H216" s="1" t="s">
        <v>297</v>
      </c>
      <c r="I216" s="7"/>
      <c r="J216" s="7">
        <v>4.0</v>
      </c>
      <c r="K216" s="7">
        <v>4.0</v>
      </c>
      <c r="L216" s="6" t="s">
        <v>357</v>
      </c>
      <c r="M216" s="1" t="str">
        <f t="shared" si="4"/>
        <v>2/1/2026</v>
      </c>
    </row>
    <row r="217">
      <c r="A217" s="6" t="s">
        <v>356</v>
      </c>
      <c r="B217" s="1" t="s">
        <v>298</v>
      </c>
      <c r="C217" s="1" t="s">
        <v>299</v>
      </c>
      <c r="D217" s="1" t="str">
        <f t="shared" si="1"/>
        <v>Jared Ebersole</v>
      </c>
      <c r="E217" s="1">
        <v>8.03014973E8</v>
      </c>
      <c r="F217" s="1" t="str">
        <f t="shared" si="5"/>
        <v>803014973OVR</v>
      </c>
      <c r="G217" s="2">
        <v>46023.0</v>
      </c>
      <c r="H217" s="1" t="s">
        <v>289</v>
      </c>
      <c r="I217" s="7"/>
      <c r="J217" s="7">
        <v>4.0</v>
      </c>
      <c r="K217" s="7">
        <v>4.0</v>
      </c>
      <c r="L217" s="6" t="s">
        <v>357</v>
      </c>
      <c r="M217" s="1" t="str">
        <f t="shared" si="4"/>
        <v>3/1/2026</v>
      </c>
    </row>
    <row r="218">
      <c r="A218" s="6" t="s">
        <v>356</v>
      </c>
      <c r="B218" s="1" t="s">
        <v>169</v>
      </c>
      <c r="C218" s="1" t="s">
        <v>170</v>
      </c>
      <c r="D218" s="1" t="str">
        <f t="shared" si="1"/>
        <v>Jason Mcmillen</v>
      </c>
      <c r="E218" s="1">
        <v>8.02332852E8</v>
      </c>
      <c r="F218" s="1" t="str">
        <f t="shared" si="5"/>
        <v>802332852OVR</v>
      </c>
      <c r="G218" s="2">
        <v>46023.0</v>
      </c>
      <c r="H218" s="1" t="s">
        <v>289</v>
      </c>
      <c r="I218" s="7"/>
      <c r="J218" s="7">
        <v>4.0</v>
      </c>
      <c r="K218" s="7">
        <v>4.0</v>
      </c>
      <c r="L218" s="6" t="s">
        <v>357</v>
      </c>
      <c r="M218" s="1" t="str">
        <f t="shared" si="4"/>
        <v>3/1/2026</v>
      </c>
    </row>
    <row r="219">
      <c r="A219" s="6" t="s">
        <v>356</v>
      </c>
      <c r="B219" s="1" t="s">
        <v>300</v>
      </c>
      <c r="C219" s="1" t="s">
        <v>21</v>
      </c>
      <c r="D219" s="1" t="str">
        <f t="shared" si="1"/>
        <v>Jeffrey Good</v>
      </c>
      <c r="E219" s="1">
        <v>8.02652442E8</v>
      </c>
      <c r="F219" s="1" t="str">
        <f t="shared" si="5"/>
        <v>802652442OVR</v>
      </c>
      <c r="G219" s="2">
        <v>46023.0</v>
      </c>
      <c r="H219" s="1" t="s">
        <v>289</v>
      </c>
      <c r="I219" s="7"/>
      <c r="J219" s="7">
        <v>4.0</v>
      </c>
      <c r="K219" s="7">
        <v>4.0</v>
      </c>
      <c r="L219" s="6" t="s">
        <v>357</v>
      </c>
      <c r="M219" s="1" t="str">
        <f t="shared" si="4"/>
        <v>3/1/2026</v>
      </c>
    </row>
    <row r="220">
      <c r="A220" s="6" t="s">
        <v>356</v>
      </c>
      <c r="B220" s="1" t="s">
        <v>31</v>
      </c>
      <c r="C220" s="1" t="s">
        <v>301</v>
      </c>
      <c r="D220" s="1" t="str">
        <f t="shared" si="1"/>
        <v>Jennifer E Osterlund</v>
      </c>
      <c r="E220" s="1">
        <v>8.02509952E8</v>
      </c>
      <c r="F220" s="1" t="str">
        <f t="shared" si="5"/>
        <v>802509952OVR</v>
      </c>
      <c r="G220" s="2">
        <v>46054.0</v>
      </c>
      <c r="H220" s="1" t="s">
        <v>296</v>
      </c>
      <c r="I220" s="7"/>
      <c r="J220" s="7">
        <v>1.0</v>
      </c>
      <c r="K220" s="7">
        <v>1.0</v>
      </c>
      <c r="L220" s="6" t="s">
        <v>357</v>
      </c>
      <c r="M220" s="1" t="str">
        <f t="shared" si="4"/>
        <v>4/1/2026</v>
      </c>
    </row>
    <row r="221">
      <c r="A221" s="6" t="s">
        <v>356</v>
      </c>
      <c r="B221" s="1" t="s">
        <v>171</v>
      </c>
      <c r="C221" s="1" t="s">
        <v>172</v>
      </c>
      <c r="D221" s="1" t="str">
        <f t="shared" si="1"/>
        <v>Junell Kirchner</v>
      </c>
      <c r="E221" s="1">
        <v>8.03016096E8</v>
      </c>
      <c r="F221" s="1" t="str">
        <f t="shared" si="5"/>
        <v>803016096OVR</v>
      </c>
      <c r="G221" s="2">
        <v>46023.0</v>
      </c>
      <c r="H221" s="1" t="s">
        <v>289</v>
      </c>
      <c r="I221" s="7"/>
      <c r="J221" s="7">
        <v>4.0</v>
      </c>
      <c r="K221" s="7">
        <v>4.0</v>
      </c>
      <c r="L221" s="6" t="s">
        <v>357</v>
      </c>
      <c r="M221" s="1" t="str">
        <f t="shared" si="4"/>
        <v>3/1/2026</v>
      </c>
    </row>
    <row r="222">
      <c r="A222" s="6" t="s">
        <v>356</v>
      </c>
      <c r="B222" s="1" t="s">
        <v>92</v>
      </c>
      <c r="C222" s="1" t="s">
        <v>173</v>
      </c>
      <c r="D222" s="1" t="str">
        <f t="shared" si="1"/>
        <v>Karen Ritter</v>
      </c>
      <c r="E222" s="1">
        <v>8.0201604E8</v>
      </c>
      <c r="F222" s="1" t="str">
        <f t="shared" si="5"/>
        <v>802016040OVR</v>
      </c>
      <c r="G222" s="2">
        <v>46023.0</v>
      </c>
      <c r="H222" s="1" t="s">
        <v>289</v>
      </c>
      <c r="I222" s="7"/>
      <c r="J222" s="7">
        <v>4.0</v>
      </c>
      <c r="K222" s="7">
        <v>4.0</v>
      </c>
      <c r="L222" s="6" t="s">
        <v>357</v>
      </c>
      <c r="M222" s="1" t="str">
        <f t="shared" si="4"/>
        <v>3/1/2026</v>
      </c>
    </row>
    <row r="223">
      <c r="A223" s="6" t="s">
        <v>356</v>
      </c>
      <c r="B223" s="1" t="s">
        <v>302</v>
      </c>
      <c r="C223" s="1" t="s">
        <v>303</v>
      </c>
      <c r="D223" s="1" t="str">
        <f t="shared" si="1"/>
        <v>Lee Vaught</v>
      </c>
      <c r="E223" s="1">
        <v>8.02872526E8</v>
      </c>
      <c r="F223" s="1" t="str">
        <f t="shared" si="5"/>
        <v>802872526OVR</v>
      </c>
      <c r="G223" s="2">
        <v>46023.0</v>
      </c>
      <c r="H223" s="1" t="s">
        <v>289</v>
      </c>
      <c r="I223" s="7"/>
      <c r="J223" s="7">
        <v>1.0</v>
      </c>
      <c r="K223" s="7">
        <v>1.0</v>
      </c>
      <c r="L223" s="6" t="s">
        <v>357</v>
      </c>
      <c r="M223" s="1" t="str">
        <f t="shared" si="4"/>
        <v>3/1/2026</v>
      </c>
    </row>
    <row r="224">
      <c r="A224" s="6" t="s">
        <v>356</v>
      </c>
      <c r="B224" s="1" t="s">
        <v>174</v>
      </c>
      <c r="C224" s="1" t="s">
        <v>175</v>
      </c>
      <c r="D224" s="1" t="str">
        <f t="shared" si="1"/>
        <v>Mark Gutshall</v>
      </c>
      <c r="E224" s="1">
        <v>8.0278478E8</v>
      </c>
      <c r="F224" s="1" t="str">
        <f t="shared" si="5"/>
        <v>802784780OVR</v>
      </c>
      <c r="G224" s="2">
        <v>46023.0</v>
      </c>
      <c r="H224" s="1" t="s">
        <v>296</v>
      </c>
      <c r="I224" s="7"/>
      <c r="J224" s="7">
        <v>4.0</v>
      </c>
      <c r="K224" s="7">
        <v>4.0</v>
      </c>
      <c r="L224" s="6" t="s">
        <v>357</v>
      </c>
      <c r="M224" s="1" t="str">
        <f t="shared" si="4"/>
        <v>4/1/2026</v>
      </c>
    </row>
    <row r="225">
      <c r="A225" s="6" t="s">
        <v>356</v>
      </c>
      <c r="B225" s="1" t="s">
        <v>103</v>
      </c>
      <c r="C225" s="1" t="s">
        <v>177</v>
      </c>
      <c r="D225" s="1" t="str">
        <f t="shared" si="1"/>
        <v>Michael Gwin</v>
      </c>
      <c r="E225" s="1">
        <v>8.02327643E8</v>
      </c>
      <c r="F225" s="1" t="str">
        <f t="shared" si="5"/>
        <v>802327643OVR</v>
      </c>
      <c r="G225" s="2">
        <v>46023.0</v>
      </c>
      <c r="H225" s="1" t="s">
        <v>289</v>
      </c>
      <c r="I225" s="7"/>
      <c r="J225" s="7">
        <v>4.0</v>
      </c>
      <c r="K225" s="7">
        <v>4.0</v>
      </c>
      <c r="L225" s="6" t="s">
        <v>357</v>
      </c>
      <c r="M225" s="1" t="str">
        <f t="shared" si="4"/>
        <v>3/1/2026</v>
      </c>
    </row>
    <row r="226">
      <c r="A226" s="6" t="s">
        <v>356</v>
      </c>
      <c r="B226" s="1" t="s">
        <v>103</v>
      </c>
      <c r="C226" s="1" t="s">
        <v>176</v>
      </c>
      <c r="D226" s="1" t="str">
        <f t="shared" si="1"/>
        <v>Michael Giorgio</v>
      </c>
      <c r="E226" s="1">
        <v>8.02385143E8</v>
      </c>
      <c r="F226" s="1" t="str">
        <f t="shared" si="5"/>
        <v>802385143OVR</v>
      </c>
      <c r="G226" s="2">
        <v>46023.0</v>
      </c>
      <c r="H226" s="1" t="s">
        <v>289</v>
      </c>
      <c r="I226" s="7"/>
      <c r="J226" s="7">
        <v>4.0</v>
      </c>
      <c r="K226" s="7">
        <v>4.0</v>
      </c>
      <c r="L226" s="6" t="s">
        <v>357</v>
      </c>
      <c r="M226" s="1" t="str">
        <f t="shared" si="4"/>
        <v>3/1/2026</v>
      </c>
    </row>
    <row r="227">
      <c r="A227" s="6" t="s">
        <v>356</v>
      </c>
      <c r="B227" s="1" t="s">
        <v>304</v>
      </c>
      <c r="C227" s="1" t="s">
        <v>305</v>
      </c>
      <c r="D227" s="1" t="str">
        <f t="shared" si="1"/>
        <v>Miranda Stroik</v>
      </c>
      <c r="E227" s="1">
        <v>8.02985513E8</v>
      </c>
      <c r="F227" s="1" t="str">
        <f t="shared" si="5"/>
        <v>802985513OVR</v>
      </c>
      <c r="G227" s="2">
        <v>46023.0</v>
      </c>
      <c r="H227" s="1" t="s">
        <v>289</v>
      </c>
      <c r="I227" s="7"/>
      <c r="J227" s="7">
        <v>1.0</v>
      </c>
      <c r="K227" s="7">
        <v>1.0</v>
      </c>
      <c r="L227" s="6" t="s">
        <v>357</v>
      </c>
      <c r="M227" s="1" t="str">
        <f t="shared" si="4"/>
        <v>3/1/2026</v>
      </c>
    </row>
    <row r="228">
      <c r="A228" s="6" t="s">
        <v>356</v>
      </c>
      <c r="B228" s="1" t="s">
        <v>306</v>
      </c>
      <c r="C228" s="1" t="s">
        <v>203</v>
      </c>
      <c r="D228" s="1" t="str">
        <f t="shared" si="1"/>
        <v>Robert Shaffer</v>
      </c>
      <c r="E228" s="1">
        <v>8.0297451E8</v>
      </c>
      <c r="F228" s="1" t="str">
        <f t="shared" si="5"/>
        <v>802974510OVR</v>
      </c>
      <c r="G228" s="2">
        <v>46023.0</v>
      </c>
      <c r="H228" s="1" t="s">
        <v>296</v>
      </c>
      <c r="I228" s="7"/>
      <c r="J228" s="7">
        <v>4.0</v>
      </c>
      <c r="K228" s="7">
        <v>4.0</v>
      </c>
      <c r="L228" s="6" t="s">
        <v>357</v>
      </c>
      <c r="M228" s="1" t="str">
        <f t="shared" si="4"/>
        <v>4/1/2026</v>
      </c>
    </row>
    <row r="229">
      <c r="A229" s="6" t="s">
        <v>356</v>
      </c>
      <c r="B229" s="1" t="s">
        <v>307</v>
      </c>
      <c r="C229" s="1" t="s">
        <v>133</v>
      </c>
      <c r="D229" s="1" t="str">
        <f t="shared" si="1"/>
        <v>Ronda Sheaffer</v>
      </c>
      <c r="E229" s="1">
        <v>8.0275951E8</v>
      </c>
      <c r="F229" s="1" t="str">
        <f t="shared" si="5"/>
        <v>802759510OVR</v>
      </c>
      <c r="G229" s="2">
        <v>46023.0</v>
      </c>
      <c r="H229" s="1" t="s">
        <v>289</v>
      </c>
      <c r="I229" s="7"/>
      <c r="J229" s="7">
        <v>1.0</v>
      </c>
      <c r="K229" s="7">
        <v>1.0</v>
      </c>
      <c r="L229" s="6" t="s">
        <v>357</v>
      </c>
      <c r="M229" s="1" t="str">
        <f t="shared" si="4"/>
        <v>3/1/2026</v>
      </c>
    </row>
    <row r="230">
      <c r="A230" s="6" t="s">
        <v>356</v>
      </c>
      <c r="B230" s="1" t="s">
        <v>178</v>
      </c>
      <c r="C230" s="1" t="s">
        <v>179</v>
      </c>
      <c r="D230" s="1" t="str">
        <f t="shared" si="1"/>
        <v>Tom R Schlickbernd</v>
      </c>
      <c r="E230" s="1">
        <v>8.03085222E8</v>
      </c>
      <c r="F230" s="1" t="str">
        <f t="shared" si="5"/>
        <v>803085222OVR</v>
      </c>
      <c r="G230" s="2">
        <v>46023.0</v>
      </c>
      <c r="H230" s="1" t="s">
        <v>289</v>
      </c>
      <c r="I230" s="7"/>
      <c r="J230" s="7">
        <v>4.0</v>
      </c>
      <c r="K230" s="7">
        <v>4.0</v>
      </c>
      <c r="L230" s="6" t="s">
        <v>357</v>
      </c>
      <c r="M230" s="1" t="str">
        <f t="shared" si="4"/>
        <v>3/1/2026</v>
      </c>
    </row>
    <row r="231">
      <c r="A231" s="6" t="s">
        <v>356</v>
      </c>
      <c r="B231" s="1" t="s">
        <v>180</v>
      </c>
      <c r="C231" s="1" t="s">
        <v>181</v>
      </c>
      <c r="D231" s="1" t="str">
        <f t="shared" si="1"/>
        <v>Vera Arnold</v>
      </c>
      <c r="E231" s="1">
        <v>8.02293839E8</v>
      </c>
      <c r="F231" s="1" t="str">
        <f t="shared" si="5"/>
        <v>802293839OVR</v>
      </c>
      <c r="G231" s="2">
        <v>46023.0</v>
      </c>
      <c r="H231" s="1" t="s">
        <v>289</v>
      </c>
      <c r="I231" s="7"/>
      <c r="J231" s="7">
        <v>4.0</v>
      </c>
      <c r="K231" s="7">
        <v>4.0</v>
      </c>
      <c r="L231" s="6" t="s">
        <v>357</v>
      </c>
      <c r="M231" s="1" t="str">
        <f t="shared" si="4"/>
        <v>3/1/2026</v>
      </c>
    </row>
    <row r="232">
      <c r="A232" s="6" t="s">
        <v>356</v>
      </c>
      <c r="B232" s="1" t="s">
        <v>308</v>
      </c>
      <c r="C232" s="1" t="s">
        <v>112</v>
      </c>
      <c r="D232" s="1" t="str">
        <f t="shared" si="1"/>
        <v>Andre Smith</v>
      </c>
      <c r="E232" s="1">
        <v>8.03142746E8</v>
      </c>
      <c r="F232" s="1" t="str">
        <f t="shared" si="5"/>
        <v>803142746OVR</v>
      </c>
      <c r="G232" s="2">
        <v>46054.0</v>
      </c>
      <c r="H232" s="1" t="s">
        <v>309</v>
      </c>
      <c r="I232" s="7"/>
      <c r="J232" s="7">
        <v>5.34</v>
      </c>
      <c r="K232" s="7">
        <v>5.34</v>
      </c>
      <c r="L232" s="6" t="s">
        <v>357</v>
      </c>
      <c r="M232" s="1" t="str">
        <f t="shared" si="4"/>
        <v>3/1/2026</v>
      </c>
    </row>
    <row r="233">
      <c r="A233" s="6" t="s">
        <v>356</v>
      </c>
      <c r="B233" s="1" t="s">
        <v>182</v>
      </c>
      <c r="C233" s="1" t="s">
        <v>183</v>
      </c>
      <c r="D233" s="1" t="str">
        <f t="shared" si="1"/>
        <v>Andrew Stella</v>
      </c>
      <c r="E233" s="1">
        <v>8.03100155E8</v>
      </c>
      <c r="F233" s="1" t="str">
        <f t="shared" si="5"/>
        <v>803100155OVR</v>
      </c>
      <c r="G233" s="2">
        <v>46023.0</v>
      </c>
      <c r="H233" s="1" t="s">
        <v>310</v>
      </c>
      <c r="I233" s="7"/>
      <c r="J233" s="7">
        <v>5.34</v>
      </c>
      <c r="K233" s="7">
        <v>5.34</v>
      </c>
      <c r="L233" s="6" t="s">
        <v>357</v>
      </c>
      <c r="M233" s="1" t="str">
        <f t="shared" si="4"/>
        <v>4/1/2026</v>
      </c>
    </row>
    <row r="234">
      <c r="A234" s="6" t="s">
        <v>356</v>
      </c>
      <c r="B234" s="1" t="s">
        <v>185</v>
      </c>
      <c r="C234" s="1" t="s">
        <v>186</v>
      </c>
      <c r="D234" s="1" t="str">
        <f t="shared" si="1"/>
        <v>Caroline Ongoro</v>
      </c>
      <c r="E234" s="1">
        <v>8.03107563E8</v>
      </c>
      <c r="F234" s="1" t="str">
        <f t="shared" si="5"/>
        <v>803107563OVR</v>
      </c>
      <c r="G234" s="2">
        <v>46023.0</v>
      </c>
      <c r="H234" s="1" t="s">
        <v>309</v>
      </c>
      <c r="I234" s="7"/>
      <c r="J234" s="7">
        <v>5.34</v>
      </c>
      <c r="K234" s="7">
        <v>5.34</v>
      </c>
      <c r="L234" s="6" t="s">
        <v>357</v>
      </c>
      <c r="M234" s="1" t="str">
        <f t="shared" si="4"/>
        <v>3/1/2026</v>
      </c>
    </row>
    <row r="235">
      <c r="A235" s="6" t="s">
        <v>356</v>
      </c>
      <c r="B235" s="1" t="s">
        <v>312</v>
      </c>
      <c r="C235" s="1" t="s">
        <v>313</v>
      </c>
      <c r="D235" s="1" t="str">
        <f t="shared" si="1"/>
        <v>Deresha L Shannon</v>
      </c>
      <c r="E235" s="1">
        <v>8.03100181E8</v>
      </c>
      <c r="F235" s="1" t="str">
        <f t="shared" si="5"/>
        <v>803100181OVR</v>
      </c>
      <c r="G235" s="2">
        <v>46023.0</v>
      </c>
      <c r="H235" s="1" t="s">
        <v>314</v>
      </c>
      <c r="I235" s="7"/>
      <c r="J235" s="7">
        <v>5.34</v>
      </c>
      <c r="K235" s="7">
        <v>5.34</v>
      </c>
      <c r="L235" s="6" t="s">
        <v>357</v>
      </c>
      <c r="M235" s="1" t="str">
        <f t="shared" si="4"/>
        <v>1/1/2026</v>
      </c>
    </row>
    <row r="236">
      <c r="A236" s="6" t="s">
        <v>356</v>
      </c>
      <c r="B236" s="1" t="s">
        <v>315</v>
      </c>
      <c r="C236" s="1" t="s">
        <v>254</v>
      </c>
      <c r="D236" s="1" t="str">
        <f t="shared" si="1"/>
        <v>Fiora Wagner</v>
      </c>
      <c r="E236" s="1">
        <v>8.03112462E8</v>
      </c>
      <c r="F236" s="1" t="str">
        <f t="shared" si="5"/>
        <v>803112462OVR</v>
      </c>
      <c r="G236" s="2">
        <v>46082.0</v>
      </c>
      <c r="H236" s="1" t="s">
        <v>309</v>
      </c>
      <c r="I236" s="7"/>
      <c r="J236" s="7">
        <v>1.34</v>
      </c>
      <c r="K236" s="7">
        <v>1.34</v>
      </c>
      <c r="L236" s="6" t="s">
        <v>357</v>
      </c>
      <c r="M236" s="1" t="str">
        <f t="shared" si="4"/>
        <v>3/1/2026</v>
      </c>
    </row>
    <row r="237">
      <c r="A237" s="6" t="s">
        <v>356</v>
      </c>
      <c r="B237" s="1" t="s">
        <v>315</v>
      </c>
      <c r="C237" s="1" t="s">
        <v>254</v>
      </c>
      <c r="D237" s="1" t="str">
        <f t="shared" si="1"/>
        <v>Fiora Wagner</v>
      </c>
      <c r="E237" s="1">
        <v>8.03112462E8</v>
      </c>
      <c r="F237" s="1" t="str">
        <f t="shared" si="5"/>
        <v>803112462OVR</v>
      </c>
      <c r="G237" s="2">
        <v>46082.0</v>
      </c>
      <c r="H237" s="1" t="s">
        <v>310</v>
      </c>
      <c r="I237" s="7"/>
      <c r="J237" s="7">
        <v>1.34</v>
      </c>
      <c r="K237" s="7">
        <v>1.34</v>
      </c>
      <c r="L237" s="6" t="s">
        <v>357</v>
      </c>
      <c r="M237" s="1" t="str">
        <f t="shared" si="4"/>
        <v>4/1/2026</v>
      </c>
    </row>
    <row r="238">
      <c r="A238" s="6" t="s">
        <v>356</v>
      </c>
      <c r="B238" s="1" t="s">
        <v>169</v>
      </c>
      <c r="C238" s="1" t="s">
        <v>316</v>
      </c>
      <c r="D238" s="1" t="str">
        <f t="shared" si="1"/>
        <v>Jason D Palmer</v>
      </c>
      <c r="E238" s="1">
        <v>8.0265924E8</v>
      </c>
      <c r="F238" s="1" t="str">
        <f t="shared" si="5"/>
        <v>802659240OVR</v>
      </c>
      <c r="G238" s="2">
        <v>46054.0</v>
      </c>
      <c r="H238" s="1" t="s">
        <v>309</v>
      </c>
      <c r="I238" s="7"/>
      <c r="J238" s="7">
        <v>5.34</v>
      </c>
      <c r="K238" s="7">
        <v>5.34</v>
      </c>
      <c r="L238" s="6" t="s">
        <v>357</v>
      </c>
      <c r="M238" s="1" t="str">
        <f t="shared" si="4"/>
        <v>3/1/2026</v>
      </c>
    </row>
    <row r="239">
      <c r="A239" s="6" t="s">
        <v>356</v>
      </c>
      <c r="B239" s="1" t="s">
        <v>169</v>
      </c>
      <c r="C239" s="1" t="s">
        <v>318</v>
      </c>
      <c r="D239" s="1" t="str">
        <f t="shared" si="1"/>
        <v>Jason Shaben</v>
      </c>
      <c r="E239" s="1">
        <v>8.03123597E8</v>
      </c>
      <c r="F239" s="1" t="str">
        <f t="shared" si="5"/>
        <v>803123597OVR</v>
      </c>
      <c r="G239" s="2">
        <v>46023.0</v>
      </c>
      <c r="H239" s="1" t="s">
        <v>309</v>
      </c>
      <c r="I239" s="7"/>
      <c r="J239" s="7">
        <v>5.34</v>
      </c>
      <c r="K239" s="7">
        <v>5.34</v>
      </c>
      <c r="L239" s="6" t="s">
        <v>357</v>
      </c>
      <c r="M239" s="1" t="str">
        <f t="shared" si="4"/>
        <v>3/1/2026</v>
      </c>
    </row>
    <row r="240">
      <c r="A240" s="6" t="s">
        <v>356</v>
      </c>
      <c r="B240" s="1" t="s">
        <v>188</v>
      </c>
      <c r="C240" s="1" t="s">
        <v>189</v>
      </c>
      <c r="D240" s="1" t="str">
        <f t="shared" si="1"/>
        <v>Marc Friedman</v>
      </c>
      <c r="E240" s="1">
        <v>8.03104059E8</v>
      </c>
      <c r="F240" s="1" t="str">
        <f t="shared" si="5"/>
        <v>803104059OVR</v>
      </c>
      <c r="G240" s="2">
        <v>46023.0</v>
      </c>
      <c r="H240" s="1" t="s">
        <v>309</v>
      </c>
      <c r="I240" s="7"/>
      <c r="J240" s="7">
        <v>5.34</v>
      </c>
      <c r="K240" s="7">
        <v>5.34</v>
      </c>
      <c r="L240" s="6" t="s">
        <v>357</v>
      </c>
      <c r="M240" s="1" t="str">
        <f t="shared" si="4"/>
        <v>3/1/2026</v>
      </c>
    </row>
    <row r="241">
      <c r="A241" s="6" t="s">
        <v>356</v>
      </c>
      <c r="B241" s="1" t="s">
        <v>319</v>
      </c>
      <c r="C241" s="1" t="s">
        <v>320</v>
      </c>
      <c r="D241" s="1" t="str">
        <f t="shared" si="1"/>
        <v>Wayne W Glass Jr</v>
      </c>
      <c r="E241" s="1">
        <v>8.03116554E8</v>
      </c>
      <c r="F241" s="1" t="str">
        <f t="shared" si="5"/>
        <v>803116554OVR</v>
      </c>
      <c r="G241" s="2">
        <v>46023.0</v>
      </c>
      <c r="H241" s="1" t="s">
        <v>309</v>
      </c>
      <c r="I241" s="7"/>
      <c r="J241" s="7">
        <v>5.34</v>
      </c>
      <c r="K241" s="7">
        <v>5.34</v>
      </c>
      <c r="L241" s="6" t="s">
        <v>357</v>
      </c>
      <c r="M241" s="1" t="str">
        <f t="shared" si="4"/>
        <v>3/1/2026</v>
      </c>
    </row>
    <row r="242">
      <c r="A242" s="6" t="s">
        <v>356</v>
      </c>
      <c r="B242" s="1" t="s">
        <v>190</v>
      </c>
      <c r="C242" s="1" t="s">
        <v>191</v>
      </c>
      <c r="D242" s="1" t="str">
        <f t="shared" si="1"/>
        <v>Dwight D Walbert</v>
      </c>
      <c r="E242" s="1">
        <v>8.03152334E8</v>
      </c>
      <c r="F242" s="1" t="str">
        <f t="shared" si="5"/>
        <v>803152334OVR</v>
      </c>
      <c r="G242" s="2">
        <v>46082.0</v>
      </c>
      <c r="H242" s="1" t="s">
        <v>310</v>
      </c>
      <c r="I242" s="7"/>
      <c r="J242" s="7">
        <v>5.34</v>
      </c>
      <c r="K242" s="7">
        <v>5.34</v>
      </c>
      <c r="L242" s="6" t="s">
        <v>357</v>
      </c>
      <c r="M242" s="1" t="str">
        <f t="shared" si="4"/>
        <v>4/1/2026</v>
      </c>
    </row>
    <row r="243">
      <c r="A243" s="6" t="s">
        <v>356</v>
      </c>
      <c r="B243" s="1" t="s">
        <v>151</v>
      </c>
      <c r="C243" s="1" t="s">
        <v>321</v>
      </c>
      <c r="D243" s="1" t="str">
        <f t="shared" si="1"/>
        <v>Bradley Shirk</v>
      </c>
      <c r="E243" s="1">
        <v>8.0261775E8</v>
      </c>
      <c r="F243" s="1" t="str">
        <f t="shared" si="5"/>
        <v>802617750OVR</v>
      </c>
      <c r="G243" s="2">
        <v>46023.0</v>
      </c>
      <c r="H243" s="1" t="s">
        <v>322</v>
      </c>
      <c r="I243" s="7"/>
      <c r="J243" s="7">
        <v>1.5</v>
      </c>
      <c r="K243" s="7">
        <v>1.5</v>
      </c>
      <c r="L243" s="6" t="s">
        <v>357</v>
      </c>
      <c r="M243" s="1" t="str">
        <f t="shared" si="4"/>
        <v>3/1/2026</v>
      </c>
    </row>
    <row r="244">
      <c r="A244" s="6" t="s">
        <v>356</v>
      </c>
      <c r="B244" s="1" t="s">
        <v>323</v>
      </c>
      <c r="C244" s="1" t="s">
        <v>324</v>
      </c>
      <c r="D244" s="1" t="str">
        <f t="shared" si="1"/>
        <v>Melanie L Hoerner</v>
      </c>
      <c r="E244" s="1">
        <v>8.03033617E8</v>
      </c>
      <c r="F244" s="1" t="str">
        <f t="shared" si="5"/>
        <v>803033617OVR</v>
      </c>
      <c r="G244" s="2">
        <v>46023.0</v>
      </c>
      <c r="H244" s="1" t="s">
        <v>325</v>
      </c>
      <c r="I244" s="7"/>
      <c r="J244" s="7">
        <v>1.5</v>
      </c>
      <c r="K244" s="7">
        <v>1.5</v>
      </c>
      <c r="L244" s="6" t="s">
        <v>357</v>
      </c>
      <c r="M244" s="1" t="str">
        <f t="shared" si="4"/>
        <v>4/1/2026</v>
      </c>
    </row>
    <row r="245">
      <c r="A245" s="6" t="s">
        <v>356</v>
      </c>
      <c r="B245" s="1" t="s">
        <v>148</v>
      </c>
      <c r="C245" s="1" t="s">
        <v>149</v>
      </c>
      <c r="D245" s="1" t="str">
        <f t="shared" si="1"/>
        <v>Misty Stillman</v>
      </c>
      <c r="E245" s="1">
        <v>8.02020387E8</v>
      </c>
      <c r="F245" s="1" t="str">
        <f t="shared" si="5"/>
        <v>802020387OVR</v>
      </c>
      <c r="G245" s="2">
        <v>46023.0</v>
      </c>
      <c r="H245" s="1" t="s">
        <v>325</v>
      </c>
      <c r="I245" s="7"/>
      <c r="J245" s="7">
        <v>6.0</v>
      </c>
      <c r="K245" s="7">
        <v>6.0</v>
      </c>
      <c r="L245" s="6" t="s">
        <v>357</v>
      </c>
      <c r="M245" s="1" t="str">
        <f t="shared" si="4"/>
        <v>4/1/2026</v>
      </c>
    </row>
    <row r="246">
      <c r="A246" s="6" t="s">
        <v>356</v>
      </c>
      <c r="B246" s="1" t="s">
        <v>326</v>
      </c>
      <c r="C246" s="1" t="s">
        <v>327</v>
      </c>
      <c r="D246" s="1" t="str">
        <f t="shared" si="1"/>
        <v>Ashley Daley</v>
      </c>
      <c r="E246" s="1">
        <v>8.02969249E8</v>
      </c>
      <c r="F246" s="1" t="str">
        <f t="shared" si="5"/>
        <v>802969249OVR</v>
      </c>
      <c r="G246" s="2">
        <v>46023.0</v>
      </c>
      <c r="H246" s="1" t="s">
        <v>328</v>
      </c>
      <c r="I246" s="7"/>
      <c r="J246" s="7">
        <v>2.0</v>
      </c>
      <c r="K246" s="7">
        <v>2.0</v>
      </c>
      <c r="L246" s="6" t="s">
        <v>357</v>
      </c>
      <c r="M246" s="1" t="str">
        <f t="shared" si="4"/>
        <v>3/1/2026</v>
      </c>
    </row>
    <row r="247">
      <c r="A247" s="6" t="s">
        <v>356</v>
      </c>
      <c r="B247" s="1" t="s">
        <v>329</v>
      </c>
      <c r="C247" s="1" t="s">
        <v>330</v>
      </c>
      <c r="D247" s="1" t="str">
        <f t="shared" si="1"/>
        <v>Matthew H Daniels</v>
      </c>
      <c r="E247" s="1">
        <v>8.02563989E8</v>
      </c>
      <c r="F247" s="1" t="str">
        <f t="shared" si="5"/>
        <v>802563989OVR</v>
      </c>
      <c r="G247" s="2">
        <v>46023.0</v>
      </c>
      <c r="H247" s="1" t="s">
        <v>328</v>
      </c>
      <c r="I247" s="7"/>
      <c r="J247" s="7">
        <v>2.0</v>
      </c>
      <c r="K247" s="7">
        <v>2.0</v>
      </c>
      <c r="L247" s="6" t="s">
        <v>357</v>
      </c>
      <c r="M247" s="1" t="str">
        <f t="shared" si="4"/>
        <v>3/1/2026</v>
      </c>
    </row>
    <row r="248">
      <c r="A248" s="6" t="s">
        <v>356</v>
      </c>
      <c r="B248" s="1" t="s">
        <v>192</v>
      </c>
      <c r="C248" s="1" t="s">
        <v>193</v>
      </c>
      <c r="D248" s="1" t="str">
        <f t="shared" si="1"/>
        <v>Tyler Penland</v>
      </c>
      <c r="E248" s="1">
        <v>8.02999435E8</v>
      </c>
      <c r="F248" s="1" t="str">
        <f t="shared" si="5"/>
        <v>802999435OVR</v>
      </c>
      <c r="G248" s="2">
        <v>46023.0</v>
      </c>
      <c r="H248" s="1" t="s">
        <v>331</v>
      </c>
      <c r="I248" s="7"/>
      <c r="J248" s="7">
        <v>8.0</v>
      </c>
      <c r="K248" s="7">
        <v>8.0</v>
      </c>
      <c r="L248" s="6" t="s">
        <v>357</v>
      </c>
      <c r="M248" s="1" t="str">
        <f t="shared" si="4"/>
        <v>4/1/2026</v>
      </c>
    </row>
    <row r="249">
      <c r="A249" s="6" t="s">
        <v>356</v>
      </c>
      <c r="B249" s="1" t="s">
        <v>169</v>
      </c>
      <c r="C249" s="1" t="s">
        <v>332</v>
      </c>
      <c r="D249" s="1" t="str">
        <f t="shared" si="1"/>
        <v>Jason Evans</v>
      </c>
      <c r="E249" s="1">
        <v>8.0283914E8</v>
      </c>
      <c r="F249" s="1" t="str">
        <f t="shared" si="5"/>
        <v>802839140OVR</v>
      </c>
      <c r="G249" s="2">
        <v>46023.0</v>
      </c>
      <c r="H249" s="1" t="s">
        <v>333</v>
      </c>
      <c r="I249" s="7"/>
      <c r="J249" s="7">
        <v>10.0</v>
      </c>
      <c r="K249" s="7">
        <v>10.0</v>
      </c>
      <c r="L249" s="6" t="s">
        <v>357</v>
      </c>
      <c r="M249" s="1" t="str">
        <f t="shared" si="4"/>
        <v>3/1/2026</v>
      </c>
    </row>
    <row r="250">
      <c r="A250" s="6" t="s">
        <v>356</v>
      </c>
      <c r="B250" s="1" t="s">
        <v>195</v>
      </c>
      <c r="C250" s="1" t="s">
        <v>196</v>
      </c>
      <c r="D250" s="1" t="str">
        <f t="shared" si="1"/>
        <v>Lauren Horn</v>
      </c>
      <c r="E250" s="1">
        <v>8.03094359E8</v>
      </c>
      <c r="F250" s="1" t="str">
        <f t="shared" si="5"/>
        <v>803094359OVR</v>
      </c>
      <c r="G250" s="2">
        <v>46023.0</v>
      </c>
      <c r="H250" s="1" t="s">
        <v>333</v>
      </c>
      <c r="I250" s="7"/>
      <c r="J250" s="7">
        <v>10.0</v>
      </c>
      <c r="K250" s="7">
        <v>10.0</v>
      </c>
      <c r="L250" s="6" t="s">
        <v>357</v>
      </c>
      <c r="M250" s="1" t="str">
        <f t="shared" si="4"/>
        <v>3/1/2026</v>
      </c>
    </row>
    <row r="251">
      <c r="A251" s="6" t="s">
        <v>356</v>
      </c>
      <c r="B251" s="1" t="s">
        <v>24</v>
      </c>
      <c r="C251" s="1" t="s">
        <v>334</v>
      </c>
      <c r="D251" s="1" t="str">
        <f t="shared" si="1"/>
        <v>Nicholas Cross</v>
      </c>
      <c r="E251" s="1">
        <v>8.02523721E8</v>
      </c>
      <c r="F251" s="1" t="str">
        <f t="shared" si="5"/>
        <v>802523721OVR</v>
      </c>
      <c r="G251" s="2">
        <v>46023.0</v>
      </c>
      <c r="H251" s="1" t="s">
        <v>333</v>
      </c>
      <c r="I251" s="7"/>
      <c r="J251" s="7">
        <v>2.5</v>
      </c>
      <c r="K251" s="7">
        <v>2.5</v>
      </c>
      <c r="L251" s="6" t="s">
        <v>357</v>
      </c>
      <c r="M251" s="1" t="str">
        <f t="shared" si="4"/>
        <v>3/1/2026</v>
      </c>
    </row>
    <row r="252">
      <c r="A252" s="6" t="s">
        <v>356</v>
      </c>
      <c r="B252" s="1" t="s">
        <v>335</v>
      </c>
      <c r="C252" s="1" t="s">
        <v>336</v>
      </c>
      <c r="D252" s="1" t="str">
        <f t="shared" si="1"/>
        <v>Adam Ross</v>
      </c>
      <c r="E252" s="1">
        <v>8.03098221E8</v>
      </c>
      <c r="F252" s="1" t="str">
        <f t="shared" si="5"/>
        <v>803098221OVR</v>
      </c>
      <c r="G252" s="2">
        <v>46023.0</v>
      </c>
      <c r="H252" s="1" t="s">
        <v>337</v>
      </c>
      <c r="I252" s="7"/>
      <c r="J252" s="7">
        <v>10.68</v>
      </c>
      <c r="K252" s="7">
        <v>10.68</v>
      </c>
      <c r="L252" s="6" t="s">
        <v>357</v>
      </c>
      <c r="M252" s="1" t="str">
        <f t="shared" si="4"/>
        <v>3/1/2026</v>
      </c>
    </row>
    <row r="253">
      <c r="A253" s="1" t="s">
        <v>338</v>
      </c>
      <c r="B253" s="1" t="s">
        <v>339</v>
      </c>
      <c r="C253" s="1" t="s">
        <v>340</v>
      </c>
      <c r="D253" s="1" t="str">
        <f t="shared" si="1"/>
        <v>Grace F Oguntoye</v>
      </c>
      <c r="E253" s="1">
        <v>8.0315654E8</v>
      </c>
      <c r="F253" s="1">
        <v>8.0315654E8</v>
      </c>
      <c r="G253" s="2">
        <v>46082.0</v>
      </c>
      <c r="H253" s="1" t="s">
        <v>126</v>
      </c>
      <c r="I253" s="7"/>
      <c r="J253" s="7">
        <v>22.0</v>
      </c>
      <c r="K253" s="6">
        <v>1.0</v>
      </c>
      <c r="L253" s="6" t="s">
        <v>351</v>
      </c>
      <c r="M253" s="1" t="str">
        <f t="shared" si="4"/>
        <v>3/1/2026</v>
      </c>
    </row>
    <row r="254">
      <c r="A254" s="6" t="s">
        <v>356</v>
      </c>
      <c r="B254" s="1" t="s">
        <v>339</v>
      </c>
      <c r="C254" s="1" t="s">
        <v>340</v>
      </c>
      <c r="D254" s="1" t="str">
        <f t="shared" si="1"/>
        <v>Grace F Oguntoye</v>
      </c>
      <c r="E254" s="1">
        <v>8.0315654E8</v>
      </c>
      <c r="F254" s="1" t="str">
        <f t="shared" ref="F254:F257" si="6">concat(E254,"OVR")</f>
        <v>803156540OVR</v>
      </c>
      <c r="G254" s="2">
        <v>46082.0</v>
      </c>
      <c r="H254" s="1" t="s">
        <v>271</v>
      </c>
      <c r="I254" s="7"/>
      <c r="J254" s="7">
        <v>2.67</v>
      </c>
      <c r="K254" s="7">
        <v>2.67</v>
      </c>
      <c r="L254" s="6" t="s">
        <v>357</v>
      </c>
      <c r="M254" s="1" t="str">
        <f t="shared" si="4"/>
        <v>3/1/2026</v>
      </c>
    </row>
    <row r="255">
      <c r="A255" s="6" t="s">
        <v>356</v>
      </c>
      <c r="B255" s="1" t="s">
        <v>261</v>
      </c>
      <c r="C255" s="1" t="s">
        <v>341</v>
      </c>
      <c r="D255" s="1" t="str">
        <f t="shared" si="1"/>
        <v>Ryan Lomago</v>
      </c>
      <c r="E255" s="1">
        <v>8.03080969E8</v>
      </c>
      <c r="F255" s="1" t="str">
        <f t="shared" si="6"/>
        <v>803080969OVR</v>
      </c>
      <c r="G255" s="2">
        <v>46023.0</v>
      </c>
      <c r="H255" s="1" t="s">
        <v>337</v>
      </c>
      <c r="I255" s="7"/>
      <c r="J255" s="7">
        <v>2.68</v>
      </c>
      <c r="K255" s="7">
        <v>2.68</v>
      </c>
      <c r="L255" s="6" t="s">
        <v>357</v>
      </c>
      <c r="M255" s="1" t="str">
        <f t="shared" si="4"/>
        <v>3/1/2026</v>
      </c>
    </row>
    <row r="256">
      <c r="A256" s="6" t="s">
        <v>356</v>
      </c>
      <c r="B256" s="1" t="s">
        <v>261</v>
      </c>
      <c r="C256" s="1" t="s">
        <v>341</v>
      </c>
      <c r="D256" s="1" t="str">
        <f t="shared" si="1"/>
        <v>Ryan Lomago</v>
      </c>
      <c r="E256" s="1">
        <v>8.03080969E8</v>
      </c>
      <c r="F256" s="1" t="str">
        <f t="shared" si="6"/>
        <v>803080969OVR</v>
      </c>
      <c r="G256" s="2">
        <v>46023.0</v>
      </c>
      <c r="H256" s="1" t="s">
        <v>342</v>
      </c>
      <c r="I256" s="7"/>
      <c r="J256" s="7">
        <v>2.68</v>
      </c>
      <c r="K256" s="7">
        <v>2.68</v>
      </c>
      <c r="L256" s="6" t="s">
        <v>357</v>
      </c>
      <c r="M256" s="1" t="str">
        <f t="shared" si="4"/>
        <v>4/1/2026</v>
      </c>
    </row>
    <row r="257">
      <c r="A257" s="6" t="s">
        <v>356</v>
      </c>
      <c r="B257" s="1" t="s">
        <v>343</v>
      </c>
      <c r="C257" s="1" t="s">
        <v>344</v>
      </c>
      <c r="D257" s="1" t="str">
        <f t="shared" si="1"/>
        <v>Julian A Santos</v>
      </c>
      <c r="E257" s="1">
        <v>8.02994463E8</v>
      </c>
      <c r="F257" s="1" t="str">
        <f t="shared" si="6"/>
        <v>802994463OVR</v>
      </c>
      <c r="G257" s="2">
        <v>45658.0</v>
      </c>
      <c r="H257" s="1" t="s">
        <v>345</v>
      </c>
      <c r="I257" s="7"/>
      <c r="J257" s="7">
        <v>2.68</v>
      </c>
      <c r="K257" s="7">
        <v>2.68</v>
      </c>
      <c r="L257" s="6" t="s">
        <v>357</v>
      </c>
      <c r="M257" s="1" t="str">
        <f t="shared" si="4"/>
        <v>12/1/2025</v>
      </c>
    </row>
    <row r="258">
      <c r="I258" s="5"/>
      <c r="J258" s="5"/>
    </row>
    <row r="259">
      <c r="I259" s="5"/>
      <c r="J259" s="5"/>
    </row>
    <row r="260">
      <c r="I260" s="5"/>
      <c r="J260" s="5"/>
    </row>
    <row r="261">
      <c r="I261" s="5"/>
      <c r="J261" s="5"/>
    </row>
    <row r="262">
      <c r="I262" s="5"/>
      <c r="J262" s="5"/>
    </row>
    <row r="263">
      <c r="I263" s="5"/>
      <c r="J263" s="5"/>
    </row>
    <row r="264">
      <c r="I264" s="5"/>
      <c r="J264" s="5"/>
    </row>
    <row r="265">
      <c r="I265" s="5"/>
      <c r="J265" s="5"/>
    </row>
    <row r="266">
      <c r="I266" s="5"/>
      <c r="J266" s="5"/>
    </row>
    <row r="267">
      <c r="I267" s="5"/>
      <c r="J267" s="5"/>
    </row>
    <row r="268">
      <c r="I268" s="5"/>
      <c r="J268" s="5"/>
    </row>
    <row r="269">
      <c r="I269" s="5"/>
      <c r="J269" s="5"/>
    </row>
    <row r="270">
      <c r="I270" s="5"/>
      <c r="J270" s="5"/>
    </row>
    <row r="271">
      <c r="I271" s="5"/>
      <c r="J271" s="5"/>
    </row>
    <row r="272">
      <c r="I272" s="5"/>
      <c r="J272" s="5"/>
    </row>
    <row r="273">
      <c r="I273" s="5"/>
      <c r="J273" s="5"/>
    </row>
    <row r="274">
      <c r="I274" s="5"/>
      <c r="J274" s="5"/>
    </row>
    <row r="275">
      <c r="I275" s="5"/>
      <c r="J275" s="5"/>
    </row>
    <row r="276">
      <c r="I276" s="5"/>
      <c r="J276" s="5"/>
    </row>
    <row r="277">
      <c r="I277" s="5"/>
      <c r="J277" s="5"/>
    </row>
    <row r="278">
      <c r="I278" s="5"/>
      <c r="J278" s="5"/>
    </row>
    <row r="279">
      <c r="I279" s="5"/>
      <c r="J279" s="5"/>
    </row>
    <row r="280">
      <c r="I280" s="5"/>
      <c r="J280" s="5"/>
    </row>
    <row r="281">
      <c r="I281" s="5"/>
      <c r="J281" s="5"/>
    </row>
    <row r="282">
      <c r="I282" s="5"/>
      <c r="J282" s="5"/>
    </row>
    <row r="283">
      <c r="I283" s="5"/>
      <c r="J283" s="5"/>
    </row>
    <row r="284">
      <c r="I284" s="5"/>
      <c r="J284" s="5"/>
    </row>
    <row r="285">
      <c r="I285" s="5"/>
      <c r="J285" s="5"/>
    </row>
    <row r="286">
      <c r="I286" s="5"/>
      <c r="J286" s="5"/>
    </row>
    <row r="287">
      <c r="I287" s="5"/>
      <c r="J287" s="5"/>
    </row>
    <row r="288">
      <c r="I288" s="5"/>
      <c r="J288" s="5"/>
    </row>
    <row r="289">
      <c r="I289" s="5"/>
      <c r="J289" s="5"/>
    </row>
    <row r="290">
      <c r="I290" s="5"/>
      <c r="J290" s="5"/>
    </row>
    <row r="291">
      <c r="I291" s="5"/>
      <c r="J291" s="5"/>
    </row>
    <row r="292">
      <c r="I292" s="5"/>
      <c r="J292" s="5"/>
    </row>
    <row r="293">
      <c r="I293" s="5"/>
      <c r="J293" s="5"/>
    </row>
    <row r="294">
      <c r="I294" s="5"/>
      <c r="J294" s="5"/>
    </row>
    <row r="295">
      <c r="I295" s="5"/>
      <c r="J295" s="5"/>
    </row>
    <row r="296">
      <c r="I296" s="5"/>
      <c r="J296" s="5"/>
    </row>
    <row r="297">
      <c r="I297" s="5"/>
      <c r="J297" s="5"/>
    </row>
    <row r="298">
      <c r="I298" s="5"/>
      <c r="J298" s="5"/>
    </row>
    <row r="299">
      <c r="I299" s="5"/>
      <c r="J299" s="5"/>
    </row>
    <row r="300">
      <c r="I300" s="5"/>
      <c r="J300" s="5"/>
    </row>
    <row r="301">
      <c r="I301" s="5"/>
      <c r="J301" s="5"/>
    </row>
    <row r="302">
      <c r="I302" s="5"/>
      <c r="J302" s="5"/>
    </row>
    <row r="303">
      <c r="I303" s="5"/>
      <c r="J303" s="5"/>
    </row>
    <row r="304">
      <c r="I304" s="5"/>
      <c r="J304" s="5"/>
    </row>
    <row r="305">
      <c r="I305" s="5"/>
      <c r="J305" s="5"/>
    </row>
    <row r="306">
      <c r="I306" s="5"/>
      <c r="J306" s="5"/>
    </row>
    <row r="307">
      <c r="I307" s="5"/>
      <c r="J307" s="5"/>
    </row>
    <row r="308">
      <c r="I308" s="5"/>
      <c r="J308" s="5"/>
    </row>
    <row r="309">
      <c r="I309" s="5"/>
      <c r="J309" s="5"/>
    </row>
    <row r="310">
      <c r="I310" s="5"/>
      <c r="J310" s="5"/>
    </row>
    <row r="311">
      <c r="I311" s="5"/>
      <c r="J311" s="5"/>
    </row>
    <row r="312">
      <c r="I312" s="5"/>
      <c r="J312" s="5"/>
    </row>
    <row r="313">
      <c r="I313" s="5"/>
      <c r="J313" s="5"/>
    </row>
    <row r="314">
      <c r="I314" s="5"/>
      <c r="J314" s="5"/>
    </row>
    <row r="315">
      <c r="I315" s="5"/>
      <c r="J315" s="5"/>
    </row>
    <row r="316">
      <c r="I316" s="5"/>
      <c r="J316" s="5"/>
    </row>
    <row r="317">
      <c r="I317" s="5"/>
      <c r="J317" s="5"/>
    </row>
    <row r="318">
      <c r="I318" s="5"/>
      <c r="J318" s="5"/>
    </row>
    <row r="319">
      <c r="I319" s="5"/>
      <c r="J319" s="5"/>
    </row>
    <row r="320">
      <c r="I320" s="5"/>
      <c r="J320" s="5"/>
    </row>
    <row r="321">
      <c r="I321" s="5"/>
      <c r="J321" s="5"/>
    </row>
    <row r="322">
      <c r="I322" s="5"/>
      <c r="J322" s="5"/>
    </row>
    <row r="323">
      <c r="I323" s="5"/>
      <c r="J323" s="5"/>
    </row>
    <row r="324">
      <c r="I324" s="5"/>
      <c r="J324" s="5"/>
    </row>
    <row r="325">
      <c r="I325" s="5"/>
      <c r="J325" s="5"/>
    </row>
    <row r="326">
      <c r="I326" s="5"/>
      <c r="J326" s="5"/>
    </row>
    <row r="327">
      <c r="I327" s="5"/>
      <c r="J327" s="5"/>
    </row>
    <row r="328">
      <c r="I328" s="5"/>
      <c r="J328" s="5"/>
    </row>
    <row r="329">
      <c r="I329" s="5"/>
      <c r="J329" s="5"/>
    </row>
    <row r="330">
      <c r="I330" s="5"/>
      <c r="J330" s="5"/>
    </row>
    <row r="331">
      <c r="I331" s="5"/>
      <c r="J331" s="5"/>
    </row>
    <row r="332">
      <c r="I332" s="5"/>
      <c r="J332" s="5"/>
    </row>
    <row r="333">
      <c r="I333" s="5"/>
      <c r="J333" s="5"/>
    </row>
    <row r="334">
      <c r="I334" s="5"/>
      <c r="J334" s="5"/>
    </row>
    <row r="335">
      <c r="I335" s="5"/>
      <c r="J335" s="5"/>
    </row>
    <row r="336">
      <c r="I336" s="5"/>
      <c r="J336" s="5"/>
    </row>
    <row r="337">
      <c r="I337" s="5"/>
      <c r="J337" s="5"/>
    </row>
    <row r="338">
      <c r="I338" s="5"/>
      <c r="J338" s="5"/>
    </row>
    <row r="339">
      <c r="I339" s="5"/>
      <c r="J339" s="5"/>
    </row>
    <row r="340">
      <c r="I340" s="5"/>
      <c r="J340" s="5"/>
    </row>
    <row r="341">
      <c r="I341" s="5"/>
      <c r="J341" s="5"/>
    </row>
    <row r="342">
      <c r="I342" s="5"/>
      <c r="J342" s="5"/>
    </row>
    <row r="343">
      <c r="I343" s="5"/>
      <c r="J343" s="5"/>
    </row>
    <row r="344">
      <c r="I344" s="5"/>
      <c r="J344" s="5"/>
    </row>
    <row r="345">
      <c r="I345" s="5"/>
      <c r="J345" s="5"/>
    </row>
    <row r="346">
      <c r="I346" s="5"/>
      <c r="J346" s="5"/>
    </row>
    <row r="347">
      <c r="I347" s="5"/>
      <c r="J347" s="5"/>
    </row>
    <row r="348">
      <c r="I348" s="5"/>
      <c r="J348" s="5"/>
    </row>
    <row r="349">
      <c r="I349" s="5"/>
      <c r="J349" s="5"/>
    </row>
    <row r="350">
      <c r="I350" s="5"/>
      <c r="J350" s="5"/>
    </row>
    <row r="351">
      <c r="I351" s="5"/>
      <c r="J351" s="5"/>
    </row>
    <row r="352">
      <c r="I352" s="5"/>
      <c r="J352" s="5"/>
    </row>
    <row r="353">
      <c r="I353" s="5"/>
      <c r="J353" s="5"/>
    </row>
    <row r="354">
      <c r="I354" s="5"/>
      <c r="J354" s="5"/>
    </row>
    <row r="355">
      <c r="I355" s="5"/>
      <c r="J355" s="5"/>
    </row>
    <row r="356">
      <c r="I356" s="5"/>
      <c r="J356" s="5"/>
    </row>
    <row r="357">
      <c r="I357" s="5"/>
      <c r="J357" s="5"/>
    </row>
    <row r="358">
      <c r="I358" s="5"/>
      <c r="J358" s="5"/>
    </row>
    <row r="359">
      <c r="I359" s="5"/>
      <c r="J359" s="5"/>
    </row>
    <row r="360">
      <c r="I360" s="5"/>
      <c r="J360" s="5"/>
    </row>
    <row r="361">
      <c r="I361" s="5"/>
      <c r="J361" s="5"/>
    </row>
    <row r="362">
      <c r="I362" s="5"/>
      <c r="J362" s="5"/>
    </row>
    <row r="363">
      <c r="I363" s="5"/>
      <c r="J363" s="5"/>
    </row>
    <row r="364">
      <c r="I364" s="5"/>
      <c r="J364" s="5"/>
    </row>
    <row r="365">
      <c r="I365" s="5"/>
      <c r="J365" s="5"/>
    </row>
    <row r="366">
      <c r="I366" s="5"/>
      <c r="J366" s="5"/>
    </row>
    <row r="367">
      <c r="I367" s="5"/>
      <c r="J367" s="5"/>
    </row>
    <row r="368">
      <c r="I368" s="5"/>
      <c r="J368" s="5"/>
    </row>
    <row r="369">
      <c r="I369" s="5"/>
      <c r="J369" s="5"/>
    </row>
    <row r="370">
      <c r="I370" s="5"/>
      <c r="J370" s="5"/>
    </row>
    <row r="371">
      <c r="I371" s="5"/>
      <c r="J371" s="5"/>
    </row>
    <row r="372">
      <c r="I372" s="5"/>
      <c r="J372" s="5"/>
    </row>
    <row r="373">
      <c r="I373" s="5"/>
      <c r="J373" s="5"/>
    </row>
    <row r="374">
      <c r="I374" s="5"/>
      <c r="J374" s="5"/>
    </row>
    <row r="375">
      <c r="I375" s="5"/>
      <c r="J375" s="5"/>
    </row>
    <row r="376">
      <c r="I376" s="5"/>
      <c r="J376" s="5"/>
    </row>
    <row r="377">
      <c r="I377" s="5"/>
      <c r="J377" s="5"/>
    </row>
    <row r="378">
      <c r="I378" s="5"/>
      <c r="J378" s="5"/>
    </row>
    <row r="379">
      <c r="I379" s="5"/>
      <c r="J379" s="5"/>
    </row>
    <row r="380">
      <c r="I380" s="5"/>
      <c r="J380" s="5"/>
    </row>
    <row r="381">
      <c r="I381" s="5"/>
      <c r="J381" s="5"/>
    </row>
    <row r="382">
      <c r="I382" s="5"/>
      <c r="J382" s="5"/>
    </row>
    <row r="383">
      <c r="I383" s="5"/>
      <c r="J383" s="5"/>
    </row>
    <row r="384">
      <c r="I384" s="5"/>
      <c r="J384" s="5"/>
    </row>
    <row r="385">
      <c r="I385" s="5"/>
      <c r="J385" s="5"/>
    </row>
    <row r="386">
      <c r="I386" s="5"/>
      <c r="J386" s="5"/>
    </row>
    <row r="387">
      <c r="I387" s="5"/>
      <c r="J387" s="5"/>
    </row>
    <row r="388">
      <c r="I388" s="5"/>
      <c r="J388" s="5"/>
    </row>
    <row r="389">
      <c r="I389" s="5"/>
      <c r="J389" s="5"/>
    </row>
    <row r="390">
      <c r="I390" s="5"/>
      <c r="J390" s="5"/>
    </row>
    <row r="391">
      <c r="I391" s="5"/>
      <c r="J391" s="5"/>
    </row>
    <row r="392">
      <c r="I392" s="5"/>
      <c r="J392" s="5"/>
    </row>
    <row r="393">
      <c r="I393" s="5"/>
      <c r="J393" s="5"/>
    </row>
    <row r="394">
      <c r="I394" s="5"/>
      <c r="J394" s="5"/>
    </row>
    <row r="395">
      <c r="I395" s="5"/>
      <c r="J395" s="5"/>
    </row>
    <row r="396">
      <c r="I396" s="5"/>
      <c r="J396" s="5"/>
    </row>
    <row r="397">
      <c r="I397" s="5"/>
      <c r="J397" s="5"/>
    </row>
    <row r="398">
      <c r="I398" s="5"/>
      <c r="J398" s="5"/>
    </row>
    <row r="399">
      <c r="I399" s="5"/>
      <c r="J399" s="5"/>
    </row>
    <row r="400">
      <c r="I400" s="5"/>
      <c r="J400" s="5"/>
    </row>
    <row r="401">
      <c r="I401" s="5"/>
      <c r="J401" s="5"/>
    </row>
    <row r="402">
      <c r="I402" s="5"/>
      <c r="J402" s="5"/>
    </row>
    <row r="403">
      <c r="I403" s="5"/>
      <c r="J403" s="5"/>
    </row>
    <row r="404">
      <c r="I404" s="5"/>
      <c r="J404" s="5"/>
    </row>
    <row r="405">
      <c r="I405" s="5"/>
      <c r="J405" s="5"/>
    </row>
    <row r="406">
      <c r="I406" s="5"/>
      <c r="J406" s="5"/>
    </row>
    <row r="407">
      <c r="I407" s="5"/>
      <c r="J407" s="5"/>
    </row>
    <row r="408">
      <c r="I408" s="5"/>
      <c r="J408" s="5"/>
    </row>
    <row r="409">
      <c r="I409" s="5"/>
      <c r="J409" s="5"/>
    </row>
    <row r="410">
      <c r="I410" s="5"/>
      <c r="J410" s="5"/>
    </row>
    <row r="411">
      <c r="I411" s="5"/>
      <c r="J411" s="5"/>
    </row>
    <row r="412">
      <c r="I412" s="5"/>
      <c r="J412" s="5"/>
    </row>
    <row r="413">
      <c r="I413" s="5"/>
      <c r="J413" s="5"/>
    </row>
    <row r="414">
      <c r="I414" s="5"/>
      <c r="J414" s="5"/>
    </row>
    <row r="415">
      <c r="I415" s="5"/>
      <c r="J415" s="5"/>
    </row>
    <row r="416">
      <c r="I416" s="5"/>
      <c r="J416" s="5"/>
    </row>
    <row r="417">
      <c r="I417" s="5"/>
      <c r="J417" s="5"/>
    </row>
    <row r="418">
      <c r="I418" s="5"/>
      <c r="J418" s="5"/>
    </row>
    <row r="419">
      <c r="I419" s="5"/>
      <c r="J419" s="5"/>
    </row>
    <row r="420">
      <c r="I420" s="5"/>
      <c r="J420" s="5"/>
    </row>
    <row r="421">
      <c r="I421" s="5"/>
      <c r="J421" s="5"/>
    </row>
    <row r="422">
      <c r="I422" s="5"/>
      <c r="J422" s="5"/>
    </row>
    <row r="423">
      <c r="I423" s="5"/>
      <c r="J423" s="5"/>
    </row>
    <row r="424">
      <c r="I424" s="5"/>
      <c r="J424" s="5"/>
    </row>
    <row r="425">
      <c r="I425" s="5"/>
      <c r="J425" s="5"/>
    </row>
    <row r="426">
      <c r="I426" s="5"/>
      <c r="J426" s="5"/>
    </row>
    <row r="427">
      <c r="I427" s="5"/>
      <c r="J427" s="5"/>
    </row>
    <row r="428">
      <c r="I428" s="5"/>
      <c r="J428" s="5"/>
    </row>
    <row r="429">
      <c r="I429" s="5"/>
      <c r="J429" s="5"/>
    </row>
    <row r="430">
      <c r="I430" s="5"/>
      <c r="J430" s="5"/>
    </row>
    <row r="431">
      <c r="I431" s="5"/>
      <c r="J431" s="5"/>
    </row>
    <row r="432">
      <c r="I432" s="5"/>
      <c r="J432" s="5"/>
    </row>
    <row r="433">
      <c r="I433" s="5"/>
      <c r="J433" s="5"/>
    </row>
    <row r="434">
      <c r="I434" s="5"/>
      <c r="J434" s="5"/>
    </row>
    <row r="435">
      <c r="I435" s="5"/>
      <c r="J435" s="5"/>
    </row>
    <row r="436">
      <c r="I436" s="5"/>
      <c r="J436" s="5"/>
    </row>
    <row r="437">
      <c r="I437" s="5"/>
      <c r="J437" s="5"/>
    </row>
    <row r="438">
      <c r="I438" s="5"/>
      <c r="J438" s="5"/>
    </row>
    <row r="439">
      <c r="I439" s="5"/>
      <c r="J439" s="5"/>
    </row>
    <row r="440">
      <c r="I440" s="5"/>
      <c r="J440" s="5"/>
    </row>
    <row r="441">
      <c r="I441" s="5"/>
      <c r="J441" s="5"/>
    </row>
    <row r="442">
      <c r="I442" s="5"/>
      <c r="J442" s="5"/>
    </row>
    <row r="443">
      <c r="I443" s="5"/>
      <c r="J443" s="5"/>
    </row>
    <row r="444">
      <c r="I444" s="5"/>
      <c r="J444" s="5"/>
    </row>
    <row r="445">
      <c r="I445" s="5"/>
      <c r="J445" s="5"/>
    </row>
    <row r="446">
      <c r="I446" s="5"/>
      <c r="J446" s="5"/>
    </row>
    <row r="447">
      <c r="I447" s="5"/>
      <c r="J447" s="5"/>
    </row>
    <row r="448">
      <c r="I448" s="5"/>
      <c r="J448" s="5"/>
    </row>
    <row r="449">
      <c r="I449" s="5"/>
      <c r="J449" s="5"/>
    </row>
    <row r="450">
      <c r="I450" s="5"/>
      <c r="J450" s="5"/>
    </row>
    <row r="451">
      <c r="I451" s="5"/>
      <c r="J451" s="5"/>
    </row>
    <row r="452">
      <c r="I452" s="5"/>
      <c r="J452" s="5"/>
    </row>
    <row r="453">
      <c r="I453" s="5"/>
      <c r="J453" s="5"/>
    </row>
    <row r="454">
      <c r="I454" s="5"/>
      <c r="J454" s="5"/>
    </row>
    <row r="455">
      <c r="I455" s="5"/>
      <c r="J455" s="5"/>
    </row>
    <row r="456">
      <c r="I456" s="5"/>
      <c r="J456" s="5"/>
    </row>
    <row r="457">
      <c r="I457" s="5"/>
      <c r="J457" s="5"/>
    </row>
    <row r="458">
      <c r="I458" s="5"/>
      <c r="J458" s="5"/>
    </row>
    <row r="459">
      <c r="I459" s="5"/>
      <c r="J459" s="5"/>
    </row>
    <row r="460">
      <c r="I460" s="5"/>
      <c r="J460" s="5"/>
    </row>
    <row r="461">
      <c r="I461" s="5"/>
      <c r="J461" s="5"/>
    </row>
    <row r="462">
      <c r="I462" s="5"/>
      <c r="J462" s="5"/>
    </row>
    <row r="463">
      <c r="I463" s="5"/>
      <c r="J463" s="5"/>
    </row>
    <row r="464">
      <c r="I464" s="5"/>
      <c r="J464" s="5"/>
    </row>
    <row r="465">
      <c r="I465" s="5"/>
      <c r="J465" s="5"/>
    </row>
    <row r="466">
      <c r="I466" s="5"/>
      <c r="J466" s="5"/>
    </row>
    <row r="467">
      <c r="I467" s="5"/>
      <c r="J467" s="5"/>
    </row>
    <row r="468">
      <c r="I468" s="5"/>
      <c r="J468" s="5"/>
    </row>
    <row r="469">
      <c r="I469" s="5"/>
      <c r="J469" s="5"/>
    </row>
    <row r="470">
      <c r="I470" s="5"/>
      <c r="J470" s="5"/>
    </row>
    <row r="471">
      <c r="I471" s="5"/>
      <c r="J471" s="5"/>
    </row>
    <row r="472">
      <c r="I472" s="5"/>
      <c r="J472" s="5"/>
    </row>
    <row r="473">
      <c r="I473" s="5"/>
      <c r="J473" s="5"/>
    </row>
    <row r="474">
      <c r="I474" s="5"/>
      <c r="J474" s="5"/>
    </row>
    <row r="475">
      <c r="I475" s="5"/>
      <c r="J475" s="5"/>
    </row>
    <row r="476">
      <c r="I476" s="5"/>
      <c r="J476" s="5"/>
    </row>
    <row r="477">
      <c r="I477" s="5"/>
      <c r="J477" s="5"/>
    </row>
    <row r="478">
      <c r="I478" s="5"/>
      <c r="J478" s="5"/>
    </row>
    <row r="479">
      <c r="I479" s="5"/>
      <c r="J479" s="5"/>
    </row>
    <row r="480">
      <c r="I480" s="5"/>
      <c r="J480" s="5"/>
    </row>
    <row r="481">
      <c r="I481" s="5"/>
      <c r="J481" s="5"/>
    </row>
    <row r="482">
      <c r="I482" s="5"/>
      <c r="J482" s="5"/>
    </row>
    <row r="483">
      <c r="I483" s="5"/>
      <c r="J483" s="5"/>
    </row>
    <row r="484">
      <c r="I484" s="5"/>
      <c r="J484" s="5"/>
    </row>
    <row r="485">
      <c r="I485" s="5"/>
      <c r="J485" s="5"/>
    </row>
    <row r="486">
      <c r="I486" s="5"/>
      <c r="J486" s="5"/>
    </row>
    <row r="487">
      <c r="I487" s="5"/>
      <c r="J487" s="5"/>
    </row>
    <row r="488">
      <c r="I488" s="5"/>
      <c r="J488" s="5"/>
    </row>
    <row r="489">
      <c r="I489" s="5"/>
      <c r="J489" s="5"/>
    </row>
    <row r="490">
      <c r="I490" s="5"/>
      <c r="J490" s="5"/>
    </row>
    <row r="491">
      <c r="I491" s="5"/>
      <c r="J491" s="5"/>
    </row>
    <row r="492">
      <c r="I492" s="5"/>
      <c r="J492" s="5"/>
    </row>
    <row r="493">
      <c r="I493" s="5"/>
      <c r="J493" s="5"/>
    </row>
    <row r="494">
      <c r="I494" s="5"/>
      <c r="J494" s="5"/>
    </row>
    <row r="495">
      <c r="I495" s="5"/>
      <c r="J495" s="5"/>
    </row>
    <row r="496">
      <c r="I496" s="5"/>
      <c r="J496" s="5"/>
    </row>
    <row r="497">
      <c r="I497" s="5"/>
      <c r="J497" s="5"/>
    </row>
    <row r="498">
      <c r="I498" s="5"/>
      <c r="J498" s="5"/>
    </row>
    <row r="499">
      <c r="I499" s="5"/>
      <c r="J499" s="5"/>
    </row>
    <row r="500">
      <c r="I500" s="5"/>
      <c r="J500" s="5"/>
    </row>
    <row r="501">
      <c r="I501" s="5"/>
      <c r="J501" s="5"/>
    </row>
    <row r="502">
      <c r="I502" s="5"/>
      <c r="J502" s="5"/>
    </row>
    <row r="503">
      <c r="I503" s="5"/>
      <c r="J503" s="5"/>
    </row>
    <row r="504">
      <c r="I504" s="5"/>
      <c r="J504" s="5"/>
    </row>
    <row r="505">
      <c r="I505" s="5"/>
      <c r="J505" s="5"/>
    </row>
    <row r="506">
      <c r="I506" s="5"/>
      <c r="J506" s="5"/>
    </row>
    <row r="507">
      <c r="I507" s="5"/>
      <c r="J507" s="5"/>
    </row>
    <row r="508">
      <c r="I508" s="5"/>
      <c r="J508" s="5"/>
    </row>
    <row r="509">
      <c r="I509" s="5"/>
      <c r="J509" s="5"/>
    </row>
    <row r="510">
      <c r="I510" s="5"/>
      <c r="J510" s="5"/>
    </row>
    <row r="511">
      <c r="I511" s="5"/>
      <c r="J511" s="5"/>
    </row>
    <row r="512">
      <c r="I512" s="5"/>
      <c r="J512" s="5"/>
    </row>
    <row r="513">
      <c r="I513" s="5"/>
      <c r="J513" s="5"/>
    </row>
    <row r="514">
      <c r="I514" s="5"/>
      <c r="J514" s="5"/>
    </row>
    <row r="515">
      <c r="I515" s="5"/>
      <c r="J515" s="5"/>
    </row>
    <row r="516">
      <c r="I516" s="5"/>
      <c r="J516" s="5"/>
    </row>
    <row r="517">
      <c r="I517" s="5"/>
      <c r="J517" s="5"/>
    </row>
    <row r="518">
      <c r="I518" s="5"/>
      <c r="J518" s="5"/>
    </row>
    <row r="519">
      <c r="I519" s="5"/>
      <c r="J519" s="5"/>
    </row>
    <row r="520">
      <c r="I520" s="5"/>
      <c r="J520" s="5"/>
    </row>
    <row r="521">
      <c r="I521" s="5"/>
      <c r="J521" s="5"/>
    </row>
    <row r="522">
      <c r="I522" s="5"/>
      <c r="J522" s="5"/>
    </row>
    <row r="523">
      <c r="I523" s="5"/>
      <c r="J523" s="5"/>
    </row>
    <row r="524">
      <c r="I524" s="5"/>
      <c r="J524" s="5"/>
    </row>
    <row r="525">
      <c r="I525" s="5"/>
      <c r="J525" s="5"/>
    </row>
    <row r="526">
      <c r="I526" s="5"/>
      <c r="J526" s="5"/>
    </row>
    <row r="527">
      <c r="I527" s="5"/>
      <c r="J527" s="5"/>
    </row>
    <row r="528">
      <c r="I528" s="5"/>
      <c r="J528" s="5"/>
    </row>
    <row r="529">
      <c r="I529" s="5"/>
      <c r="J529" s="5"/>
    </row>
    <row r="530">
      <c r="I530" s="5"/>
      <c r="J530" s="5"/>
    </row>
    <row r="531">
      <c r="I531" s="5"/>
      <c r="J531" s="5"/>
    </row>
    <row r="532">
      <c r="I532" s="5"/>
      <c r="J532" s="5"/>
    </row>
    <row r="533">
      <c r="I533" s="5"/>
      <c r="J533" s="5"/>
    </row>
    <row r="534">
      <c r="I534" s="5"/>
      <c r="J534" s="5"/>
    </row>
    <row r="535">
      <c r="I535" s="5"/>
      <c r="J535" s="5"/>
    </row>
    <row r="536">
      <c r="I536" s="5"/>
      <c r="J536" s="5"/>
    </row>
    <row r="537">
      <c r="I537" s="5"/>
      <c r="J537" s="5"/>
    </row>
    <row r="538">
      <c r="I538" s="5"/>
      <c r="J538" s="5"/>
    </row>
    <row r="539">
      <c r="I539" s="5"/>
      <c r="J539" s="5"/>
    </row>
    <row r="540">
      <c r="I540" s="5"/>
      <c r="J540" s="5"/>
    </row>
    <row r="541">
      <c r="I541" s="5"/>
      <c r="J541" s="5"/>
    </row>
    <row r="542">
      <c r="I542" s="5"/>
      <c r="J542" s="5"/>
    </row>
    <row r="543">
      <c r="I543" s="5"/>
      <c r="J543" s="5"/>
    </row>
    <row r="544">
      <c r="I544" s="5"/>
      <c r="J544" s="5"/>
    </row>
    <row r="545">
      <c r="I545" s="5"/>
      <c r="J545" s="5"/>
    </row>
    <row r="546">
      <c r="I546" s="5"/>
      <c r="J546" s="5"/>
    </row>
    <row r="547">
      <c r="I547" s="5"/>
      <c r="J547" s="5"/>
    </row>
    <row r="548">
      <c r="I548" s="5"/>
      <c r="J548" s="5"/>
    </row>
    <row r="549">
      <c r="I549" s="5"/>
      <c r="J549" s="5"/>
    </row>
    <row r="550">
      <c r="I550" s="5"/>
      <c r="J550" s="5"/>
    </row>
    <row r="551">
      <c r="I551" s="5"/>
      <c r="J551" s="5"/>
    </row>
    <row r="552">
      <c r="I552" s="5"/>
      <c r="J552" s="5"/>
    </row>
    <row r="553">
      <c r="I553" s="5"/>
      <c r="J553" s="5"/>
    </row>
    <row r="554">
      <c r="I554" s="5"/>
      <c r="J554" s="5"/>
    </row>
    <row r="555">
      <c r="I555" s="5"/>
      <c r="J555" s="5"/>
    </row>
    <row r="556">
      <c r="I556" s="5"/>
      <c r="J556" s="5"/>
    </row>
    <row r="557">
      <c r="I557" s="5"/>
      <c r="J557" s="5"/>
    </row>
    <row r="558">
      <c r="I558" s="5"/>
      <c r="J558" s="5"/>
    </row>
    <row r="559">
      <c r="I559" s="5"/>
      <c r="J559" s="5"/>
    </row>
    <row r="560">
      <c r="I560" s="5"/>
      <c r="J560" s="5"/>
    </row>
    <row r="561">
      <c r="I561" s="5"/>
      <c r="J561" s="5"/>
    </row>
    <row r="562">
      <c r="I562" s="5"/>
      <c r="J562" s="5"/>
    </row>
    <row r="563">
      <c r="I563" s="5"/>
      <c r="J563" s="5"/>
    </row>
    <row r="564">
      <c r="I564" s="5"/>
      <c r="J564" s="5"/>
    </row>
    <row r="565">
      <c r="I565" s="5"/>
      <c r="J565" s="5"/>
    </row>
    <row r="566">
      <c r="I566" s="5"/>
      <c r="J566" s="5"/>
    </row>
    <row r="567">
      <c r="I567" s="5"/>
      <c r="J567" s="5"/>
    </row>
    <row r="568">
      <c r="I568" s="5"/>
      <c r="J568" s="5"/>
    </row>
    <row r="569">
      <c r="I569" s="5"/>
      <c r="J569" s="5"/>
    </row>
    <row r="570">
      <c r="I570" s="5"/>
      <c r="J570" s="5"/>
    </row>
    <row r="571">
      <c r="I571" s="5"/>
      <c r="J571" s="5"/>
    </row>
    <row r="572">
      <c r="I572" s="5"/>
      <c r="J572" s="5"/>
    </row>
    <row r="573">
      <c r="I573" s="5"/>
      <c r="J573" s="5"/>
    </row>
    <row r="574">
      <c r="I574" s="5"/>
      <c r="J574" s="5"/>
    </row>
    <row r="575">
      <c r="I575" s="5"/>
      <c r="J575" s="5"/>
    </row>
    <row r="576">
      <c r="I576" s="5"/>
      <c r="J576" s="5"/>
    </row>
    <row r="577">
      <c r="I577" s="5"/>
      <c r="J577" s="5"/>
    </row>
    <row r="578">
      <c r="I578" s="5"/>
      <c r="J578" s="5"/>
    </row>
    <row r="579">
      <c r="I579" s="5"/>
      <c r="J579" s="5"/>
    </row>
    <row r="580">
      <c r="I580" s="5"/>
      <c r="J580" s="5"/>
    </row>
    <row r="581">
      <c r="I581" s="5"/>
      <c r="J581" s="5"/>
    </row>
    <row r="582">
      <c r="I582" s="5"/>
      <c r="J582" s="5"/>
    </row>
    <row r="583">
      <c r="I583" s="5"/>
      <c r="J583" s="5"/>
    </row>
    <row r="584">
      <c r="I584" s="5"/>
      <c r="J584" s="5"/>
    </row>
    <row r="585">
      <c r="I585" s="5"/>
      <c r="J585" s="5"/>
    </row>
    <row r="586">
      <c r="I586" s="5"/>
      <c r="J586" s="5"/>
    </row>
    <row r="587">
      <c r="I587" s="5"/>
      <c r="J587" s="5"/>
    </row>
    <row r="588">
      <c r="I588" s="5"/>
      <c r="J588" s="5"/>
    </row>
    <row r="589">
      <c r="I589" s="5"/>
      <c r="J589" s="5"/>
    </row>
    <row r="590">
      <c r="I590" s="5"/>
      <c r="J590" s="5"/>
    </row>
    <row r="591">
      <c r="I591" s="5"/>
      <c r="J591" s="5"/>
    </row>
    <row r="592">
      <c r="I592" s="5"/>
      <c r="J592" s="5"/>
    </row>
    <row r="593">
      <c r="I593" s="5"/>
      <c r="J593" s="5"/>
    </row>
    <row r="594">
      <c r="I594" s="5"/>
      <c r="J594" s="5"/>
    </row>
    <row r="595">
      <c r="I595" s="5"/>
      <c r="J595" s="5"/>
    </row>
    <row r="596">
      <c r="I596" s="5"/>
      <c r="J596" s="5"/>
    </row>
    <row r="597">
      <c r="I597" s="5"/>
      <c r="J597" s="5"/>
    </row>
    <row r="598">
      <c r="I598" s="5"/>
      <c r="J598" s="5"/>
    </row>
    <row r="599">
      <c r="I599" s="5"/>
      <c r="J599" s="5"/>
    </row>
    <row r="600">
      <c r="I600" s="5"/>
      <c r="J600" s="5"/>
    </row>
    <row r="601">
      <c r="I601" s="5"/>
      <c r="J601" s="5"/>
    </row>
    <row r="602">
      <c r="I602" s="5"/>
      <c r="J602" s="5"/>
    </row>
    <row r="603">
      <c r="I603" s="5"/>
      <c r="J603" s="5"/>
    </row>
    <row r="604">
      <c r="I604" s="5"/>
      <c r="J604" s="5"/>
    </row>
    <row r="605">
      <c r="I605" s="5"/>
      <c r="J605" s="5"/>
    </row>
    <row r="606">
      <c r="I606" s="5"/>
      <c r="J606" s="5"/>
    </row>
    <row r="607">
      <c r="I607" s="5"/>
      <c r="J607" s="5"/>
    </row>
    <row r="608">
      <c r="I608" s="5"/>
      <c r="J608" s="5"/>
    </row>
    <row r="609">
      <c r="I609" s="5"/>
      <c r="J609" s="5"/>
    </row>
    <row r="610">
      <c r="I610" s="5"/>
      <c r="J610" s="5"/>
    </row>
    <row r="611">
      <c r="I611" s="5"/>
      <c r="J611" s="5"/>
    </row>
    <row r="612">
      <c r="I612" s="5"/>
      <c r="J612" s="5"/>
    </row>
    <row r="613">
      <c r="I613" s="5"/>
      <c r="J613" s="5"/>
    </row>
    <row r="614">
      <c r="I614" s="5"/>
      <c r="J614" s="5"/>
    </row>
    <row r="615">
      <c r="I615" s="5"/>
      <c r="J615" s="5"/>
    </row>
    <row r="616">
      <c r="I616" s="5"/>
      <c r="J616" s="5"/>
    </row>
    <row r="617">
      <c r="I617" s="5"/>
      <c r="J617" s="5"/>
    </row>
    <row r="618">
      <c r="I618" s="5"/>
      <c r="J618" s="5"/>
    </row>
    <row r="619">
      <c r="I619" s="5"/>
      <c r="J619" s="5"/>
    </row>
    <row r="620">
      <c r="I620" s="5"/>
      <c r="J620" s="5"/>
    </row>
    <row r="621">
      <c r="I621" s="5"/>
      <c r="J621" s="5"/>
    </row>
    <row r="622">
      <c r="I622" s="5"/>
      <c r="J622" s="5"/>
    </row>
    <row r="623">
      <c r="I623" s="5"/>
      <c r="J623" s="5"/>
    </row>
    <row r="624">
      <c r="I624" s="5"/>
      <c r="J624" s="5"/>
    </row>
    <row r="625">
      <c r="I625" s="5"/>
      <c r="J625" s="5"/>
    </row>
    <row r="626">
      <c r="I626" s="5"/>
      <c r="J626" s="5"/>
    </row>
    <row r="627">
      <c r="I627" s="5"/>
      <c r="J627" s="5"/>
    </row>
    <row r="628">
      <c r="I628" s="5"/>
      <c r="J628" s="5"/>
    </row>
    <row r="629">
      <c r="I629" s="5"/>
      <c r="J629" s="5"/>
    </row>
    <row r="630">
      <c r="I630" s="5"/>
      <c r="J630" s="5"/>
    </row>
    <row r="631">
      <c r="I631" s="5"/>
      <c r="J631" s="5"/>
    </row>
    <row r="632">
      <c r="I632" s="5"/>
      <c r="J632" s="5"/>
    </row>
    <row r="633">
      <c r="I633" s="5"/>
      <c r="J633" s="5"/>
    </row>
    <row r="634">
      <c r="I634" s="5"/>
      <c r="J634" s="5"/>
    </row>
    <row r="635">
      <c r="I635" s="5"/>
      <c r="J635" s="5"/>
    </row>
    <row r="636">
      <c r="I636" s="5"/>
      <c r="J636" s="5"/>
    </row>
    <row r="637">
      <c r="I637" s="5"/>
      <c r="J637" s="5"/>
    </row>
    <row r="638">
      <c r="I638" s="5"/>
      <c r="J638" s="5"/>
    </row>
    <row r="639">
      <c r="I639" s="5"/>
      <c r="J639" s="5"/>
    </row>
    <row r="640">
      <c r="I640" s="5"/>
      <c r="J640" s="5"/>
    </row>
    <row r="641">
      <c r="I641" s="5"/>
      <c r="J641" s="5"/>
    </row>
    <row r="642">
      <c r="I642" s="5"/>
      <c r="J642" s="5"/>
    </row>
    <row r="643">
      <c r="I643" s="5"/>
      <c r="J643" s="5"/>
    </row>
    <row r="644">
      <c r="I644" s="5"/>
      <c r="J644" s="5"/>
    </row>
    <row r="645">
      <c r="I645" s="5"/>
      <c r="J645" s="5"/>
    </row>
    <row r="646">
      <c r="I646" s="5"/>
      <c r="J646" s="5"/>
    </row>
    <row r="647">
      <c r="I647" s="5"/>
      <c r="J647" s="5"/>
    </row>
    <row r="648">
      <c r="I648" s="5"/>
      <c r="J648" s="5"/>
    </row>
    <row r="649">
      <c r="I649" s="5"/>
      <c r="J649" s="5"/>
    </row>
    <row r="650">
      <c r="I650" s="5"/>
      <c r="J650" s="5"/>
    </row>
    <row r="651">
      <c r="I651" s="5"/>
      <c r="J651" s="5"/>
    </row>
    <row r="652">
      <c r="I652" s="5"/>
      <c r="J652" s="5"/>
    </row>
    <row r="653">
      <c r="I653" s="5"/>
      <c r="J653" s="5"/>
    </row>
    <row r="654">
      <c r="I654" s="5"/>
      <c r="J654" s="5"/>
    </row>
    <row r="655">
      <c r="I655" s="5"/>
      <c r="J655" s="5"/>
    </row>
    <row r="656">
      <c r="I656" s="5"/>
      <c r="J656" s="5"/>
    </row>
    <row r="657">
      <c r="I657" s="5"/>
      <c r="J657" s="5"/>
    </row>
    <row r="658">
      <c r="I658" s="5"/>
      <c r="J658" s="5"/>
    </row>
    <row r="659">
      <c r="I659" s="5"/>
      <c r="J659" s="5"/>
    </row>
    <row r="660">
      <c r="I660" s="5"/>
      <c r="J660" s="5"/>
    </row>
    <row r="661">
      <c r="I661" s="5"/>
      <c r="J661" s="5"/>
    </row>
    <row r="662">
      <c r="I662" s="5"/>
      <c r="J662" s="5"/>
    </row>
    <row r="663">
      <c r="I663" s="5"/>
      <c r="J663" s="5"/>
    </row>
    <row r="664">
      <c r="I664" s="5"/>
      <c r="J664" s="5"/>
    </row>
    <row r="665">
      <c r="I665" s="5"/>
      <c r="J665" s="5"/>
    </row>
    <row r="666">
      <c r="I666" s="5"/>
      <c r="J666" s="5"/>
    </row>
    <row r="667">
      <c r="I667" s="5"/>
      <c r="J667" s="5"/>
    </row>
    <row r="668">
      <c r="I668" s="5"/>
      <c r="J668" s="5"/>
    </row>
    <row r="669">
      <c r="I669" s="5"/>
      <c r="J669" s="5"/>
    </row>
    <row r="670">
      <c r="I670" s="5"/>
      <c r="J670" s="5"/>
    </row>
    <row r="671">
      <c r="I671" s="5"/>
      <c r="J671" s="5"/>
    </row>
    <row r="672">
      <c r="I672" s="5"/>
      <c r="J672" s="5"/>
    </row>
    <row r="673">
      <c r="I673" s="5"/>
      <c r="J673" s="5"/>
    </row>
    <row r="674">
      <c r="I674" s="5"/>
      <c r="J674" s="5"/>
    </row>
    <row r="675">
      <c r="I675" s="5"/>
      <c r="J675" s="5"/>
    </row>
    <row r="676">
      <c r="I676" s="5"/>
      <c r="J676" s="5"/>
    </row>
    <row r="677">
      <c r="I677" s="5"/>
      <c r="J677" s="5"/>
    </row>
    <row r="678">
      <c r="I678" s="5"/>
      <c r="J678" s="5"/>
    </row>
    <row r="679">
      <c r="I679" s="5"/>
      <c r="J679" s="5"/>
    </row>
    <row r="680">
      <c r="I680" s="5"/>
      <c r="J680" s="5"/>
    </row>
    <row r="681">
      <c r="I681" s="5"/>
      <c r="J681" s="5"/>
    </row>
    <row r="682">
      <c r="I682" s="5"/>
      <c r="J682" s="5"/>
    </row>
    <row r="683">
      <c r="I683" s="5"/>
      <c r="J683" s="5"/>
    </row>
    <row r="684">
      <c r="I684" s="5"/>
      <c r="J684" s="5"/>
    </row>
    <row r="685">
      <c r="I685" s="5"/>
      <c r="J685" s="5"/>
    </row>
    <row r="686">
      <c r="I686" s="5"/>
      <c r="J686" s="5"/>
    </row>
    <row r="687">
      <c r="I687" s="5"/>
      <c r="J687" s="5"/>
    </row>
    <row r="688">
      <c r="I688" s="5"/>
      <c r="J688" s="5"/>
    </row>
    <row r="689">
      <c r="I689" s="5"/>
      <c r="J689" s="5"/>
    </row>
    <row r="690">
      <c r="I690" s="5"/>
      <c r="J690" s="5"/>
    </row>
    <row r="691">
      <c r="I691" s="5"/>
      <c r="J691" s="5"/>
    </row>
    <row r="692">
      <c r="I692" s="5"/>
      <c r="J692" s="5"/>
    </row>
    <row r="693">
      <c r="I693" s="5"/>
      <c r="J693" s="5"/>
    </row>
    <row r="694">
      <c r="I694" s="5"/>
      <c r="J694" s="5"/>
    </row>
    <row r="695">
      <c r="I695" s="5"/>
      <c r="J695" s="5"/>
    </row>
    <row r="696">
      <c r="I696" s="5"/>
      <c r="J696" s="5"/>
    </row>
    <row r="697">
      <c r="I697" s="5"/>
      <c r="J697" s="5"/>
    </row>
    <row r="698">
      <c r="I698" s="5"/>
      <c r="J698" s="5"/>
    </row>
    <row r="699">
      <c r="I699" s="5"/>
      <c r="J699" s="5"/>
    </row>
    <row r="700">
      <c r="I700" s="5"/>
      <c r="J700" s="5"/>
    </row>
    <row r="701">
      <c r="I701" s="5"/>
      <c r="J701" s="5"/>
    </row>
    <row r="702">
      <c r="I702" s="5"/>
      <c r="J702" s="5"/>
    </row>
    <row r="703">
      <c r="I703" s="5"/>
      <c r="J703" s="5"/>
    </row>
    <row r="704">
      <c r="I704" s="5"/>
      <c r="J704" s="5"/>
    </row>
    <row r="705">
      <c r="I705" s="5"/>
      <c r="J705" s="5"/>
    </row>
    <row r="706">
      <c r="I706" s="5"/>
      <c r="J706" s="5"/>
    </row>
    <row r="707">
      <c r="I707" s="5"/>
      <c r="J707" s="5"/>
    </row>
    <row r="708">
      <c r="I708" s="5"/>
      <c r="J708" s="5"/>
    </row>
    <row r="709">
      <c r="I709" s="5"/>
      <c r="J709" s="5"/>
    </row>
    <row r="710">
      <c r="I710" s="5"/>
      <c r="J710" s="5"/>
    </row>
    <row r="711">
      <c r="I711" s="5"/>
      <c r="J711" s="5"/>
    </row>
    <row r="712">
      <c r="I712" s="5"/>
      <c r="J712" s="5"/>
    </row>
    <row r="713">
      <c r="I713" s="5"/>
      <c r="J713" s="5"/>
    </row>
    <row r="714">
      <c r="I714" s="5"/>
      <c r="J714" s="5"/>
    </row>
    <row r="715">
      <c r="I715" s="5"/>
      <c r="J715" s="5"/>
    </row>
    <row r="716">
      <c r="I716" s="5"/>
      <c r="J716" s="5"/>
    </row>
    <row r="717">
      <c r="I717" s="5"/>
      <c r="J717" s="5"/>
    </row>
    <row r="718">
      <c r="I718" s="5"/>
      <c r="J718" s="5"/>
    </row>
    <row r="719">
      <c r="I719" s="5"/>
      <c r="J719" s="5"/>
    </row>
    <row r="720">
      <c r="I720" s="5"/>
      <c r="J720" s="5"/>
    </row>
    <row r="721">
      <c r="I721" s="5"/>
      <c r="J721" s="5"/>
    </row>
    <row r="722">
      <c r="I722" s="5"/>
      <c r="J722" s="5"/>
    </row>
    <row r="723">
      <c r="I723" s="5"/>
      <c r="J723" s="5"/>
    </row>
    <row r="724">
      <c r="I724" s="5"/>
      <c r="J724" s="5"/>
    </row>
    <row r="725">
      <c r="I725" s="5"/>
      <c r="J725" s="5"/>
    </row>
    <row r="726">
      <c r="I726" s="5"/>
      <c r="J726" s="5"/>
    </row>
    <row r="727">
      <c r="I727" s="5"/>
      <c r="J727" s="5"/>
    </row>
    <row r="728">
      <c r="I728" s="5"/>
      <c r="J728" s="5"/>
    </row>
    <row r="729">
      <c r="I729" s="5"/>
      <c r="J729" s="5"/>
    </row>
    <row r="730">
      <c r="I730" s="5"/>
      <c r="J730" s="5"/>
    </row>
    <row r="731">
      <c r="I731" s="5"/>
      <c r="J731" s="5"/>
    </row>
    <row r="732">
      <c r="I732" s="5"/>
      <c r="J732" s="5"/>
    </row>
    <row r="733">
      <c r="I733" s="5"/>
      <c r="J733" s="5"/>
    </row>
    <row r="734">
      <c r="I734" s="5"/>
      <c r="J734" s="5"/>
    </row>
    <row r="735">
      <c r="I735" s="5"/>
      <c r="J735" s="5"/>
    </row>
    <row r="736">
      <c r="I736" s="5"/>
      <c r="J736" s="5"/>
    </row>
    <row r="737">
      <c r="I737" s="5"/>
      <c r="J737" s="5"/>
    </row>
    <row r="738">
      <c r="I738" s="5"/>
      <c r="J738" s="5"/>
    </row>
    <row r="739">
      <c r="I739" s="5"/>
      <c r="J739" s="5"/>
    </row>
    <row r="740">
      <c r="I740" s="5"/>
      <c r="J740" s="5"/>
    </row>
    <row r="741">
      <c r="I741" s="5"/>
      <c r="J741" s="5"/>
    </row>
    <row r="742">
      <c r="I742" s="5"/>
      <c r="J742" s="5"/>
    </row>
    <row r="743">
      <c r="I743" s="5"/>
      <c r="J743" s="5"/>
    </row>
    <row r="744">
      <c r="I744" s="5"/>
      <c r="J744" s="5"/>
    </row>
    <row r="745">
      <c r="I745" s="5"/>
      <c r="J745" s="5"/>
    </row>
    <row r="746">
      <c r="I746" s="5"/>
      <c r="J746" s="5"/>
    </row>
    <row r="747">
      <c r="I747" s="5"/>
      <c r="J747" s="5"/>
    </row>
    <row r="748">
      <c r="I748" s="5"/>
      <c r="J748" s="5"/>
    </row>
    <row r="749">
      <c r="I749" s="5"/>
      <c r="J749" s="5"/>
    </row>
    <row r="750">
      <c r="I750" s="5"/>
      <c r="J750" s="5"/>
    </row>
    <row r="751">
      <c r="I751" s="5"/>
      <c r="J751" s="5"/>
    </row>
    <row r="752">
      <c r="I752" s="5"/>
      <c r="J752" s="5"/>
    </row>
    <row r="753">
      <c r="I753" s="5"/>
      <c r="J753" s="5"/>
    </row>
    <row r="754">
      <c r="I754" s="5"/>
      <c r="J754" s="5"/>
    </row>
    <row r="755">
      <c r="I755" s="5"/>
      <c r="J755" s="5"/>
    </row>
    <row r="756">
      <c r="I756" s="5"/>
      <c r="J756" s="5"/>
    </row>
    <row r="757">
      <c r="I757" s="5"/>
      <c r="J757" s="5"/>
    </row>
    <row r="758">
      <c r="I758" s="5"/>
      <c r="J758" s="5"/>
    </row>
    <row r="759">
      <c r="I759" s="5"/>
      <c r="J759" s="5"/>
    </row>
    <row r="760">
      <c r="I760" s="5"/>
      <c r="J760" s="5"/>
    </row>
    <row r="761">
      <c r="I761" s="5"/>
      <c r="J761" s="5"/>
    </row>
    <row r="762">
      <c r="I762" s="5"/>
      <c r="J762" s="5"/>
    </row>
    <row r="763">
      <c r="I763" s="5"/>
      <c r="J763" s="5"/>
    </row>
    <row r="764">
      <c r="I764" s="5"/>
      <c r="J764" s="5"/>
    </row>
    <row r="765">
      <c r="I765" s="5"/>
      <c r="J765" s="5"/>
    </row>
    <row r="766">
      <c r="I766" s="5"/>
      <c r="J766" s="5"/>
    </row>
    <row r="767">
      <c r="I767" s="5"/>
      <c r="J767" s="5"/>
    </row>
    <row r="768">
      <c r="I768" s="5"/>
      <c r="J768" s="5"/>
    </row>
    <row r="769">
      <c r="I769" s="5"/>
      <c r="J769" s="5"/>
    </row>
    <row r="770">
      <c r="I770" s="5"/>
      <c r="J770" s="5"/>
    </row>
    <row r="771">
      <c r="I771" s="5"/>
      <c r="J771" s="5"/>
    </row>
    <row r="772">
      <c r="I772" s="5"/>
      <c r="J772" s="5"/>
    </row>
    <row r="773">
      <c r="I773" s="5"/>
      <c r="J773" s="5"/>
    </row>
    <row r="774">
      <c r="I774" s="5"/>
      <c r="J774" s="5"/>
    </row>
    <row r="775">
      <c r="I775" s="5"/>
      <c r="J775" s="5"/>
    </row>
    <row r="776">
      <c r="I776" s="5"/>
      <c r="J776" s="5"/>
    </row>
    <row r="777">
      <c r="I777" s="5"/>
      <c r="J777" s="5"/>
    </row>
    <row r="778">
      <c r="I778" s="5"/>
      <c r="J778" s="5"/>
    </row>
    <row r="779">
      <c r="I779" s="5"/>
      <c r="J779" s="5"/>
    </row>
    <row r="780">
      <c r="I780" s="5"/>
      <c r="J780" s="5"/>
    </row>
    <row r="781">
      <c r="I781" s="5"/>
      <c r="J781" s="5"/>
    </row>
    <row r="782">
      <c r="I782" s="5"/>
      <c r="J782" s="5"/>
    </row>
    <row r="783">
      <c r="I783" s="5"/>
      <c r="J783" s="5"/>
    </row>
    <row r="784">
      <c r="I784" s="5"/>
      <c r="J784" s="5"/>
    </row>
    <row r="785">
      <c r="I785" s="5"/>
      <c r="J785" s="5"/>
    </row>
    <row r="786">
      <c r="I786" s="5"/>
      <c r="J786" s="5"/>
    </row>
    <row r="787">
      <c r="I787" s="5"/>
      <c r="J787" s="5"/>
    </row>
    <row r="788">
      <c r="I788" s="5"/>
      <c r="J788" s="5"/>
    </row>
    <row r="789">
      <c r="I789" s="5"/>
      <c r="J789" s="5"/>
    </row>
    <row r="790">
      <c r="I790" s="5"/>
      <c r="J790" s="5"/>
    </row>
    <row r="791">
      <c r="I791" s="5"/>
      <c r="J791" s="5"/>
    </row>
    <row r="792">
      <c r="I792" s="5"/>
      <c r="J792" s="5"/>
    </row>
    <row r="793">
      <c r="I793" s="5"/>
      <c r="J793" s="5"/>
    </row>
    <row r="794">
      <c r="I794" s="5"/>
      <c r="J794" s="5"/>
    </row>
    <row r="795">
      <c r="I795" s="5"/>
      <c r="J795" s="5"/>
    </row>
    <row r="796">
      <c r="I796" s="5"/>
      <c r="J796" s="5"/>
    </row>
    <row r="797">
      <c r="I797" s="5"/>
      <c r="J797" s="5"/>
    </row>
    <row r="798">
      <c r="I798" s="5"/>
      <c r="J798" s="5"/>
    </row>
    <row r="799">
      <c r="I799" s="5"/>
      <c r="J799" s="5"/>
    </row>
    <row r="800">
      <c r="I800" s="5"/>
      <c r="J800" s="5"/>
    </row>
    <row r="801">
      <c r="I801" s="5"/>
      <c r="J801" s="5"/>
    </row>
    <row r="802">
      <c r="I802" s="5"/>
      <c r="J802" s="5"/>
    </row>
    <row r="803">
      <c r="I803" s="5"/>
      <c r="J803" s="5"/>
    </row>
    <row r="804">
      <c r="I804" s="5"/>
      <c r="J804" s="5"/>
    </row>
    <row r="805">
      <c r="I805" s="5"/>
      <c r="J805" s="5"/>
    </row>
    <row r="806">
      <c r="I806" s="5"/>
      <c r="J806" s="5"/>
    </row>
    <row r="807">
      <c r="I807" s="5"/>
      <c r="J807" s="5"/>
    </row>
    <row r="808">
      <c r="I808" s="5"/>
      <c r="J808" s="5"/>
    </row>
    <row r="809">
      <c r="I809" s="5"/>
      <c r="J809" s="5"/>
    </row>
    <row r="810">
      <c r="I810" s="5"/>
      <c r="J810" s="5"/>
    </row>
    <row r="811">
      <c r="I811" s="5"/>
      <c r="J811" s="5"/>
    </row>
    <row r="812">
      <c r="I812" s="5"/>
      <c r="J812" s="5"/>
    </row>
    <row r="813">
      <c r="I813" s="5"/>
      <c r="J813" s="5"/>
    </row>
    <row r="814">
      <c r="I814" s="5"/>
      <c r="J814" s="5"/>
    </row>
    <row r="815">
      <c r="I815" s="5"/>
      <c r="J815" s="5"/>
    </row>
    <row r="816">
      <c r="I816" s="5"/>
      <c r="J816" s="5"/>
    </row>
    <row r="817">
      <c r="I817" s="5"/>
      <c r="J817" s="5"/>
    </row>
    <row r="818">
      <c r="I818" s="5"/>
      <c r="J818" s="5"/>
    </row>
    <row r="819">
      <c r="I819" s="5"/>
      <c r="J819" s="5"/>
    </row>
    <row r="820">
      <c r="I820" s="5"/>
      <c r="J820" s="5"/>
    </row>
    <row r="821">
      <c r="I821" s="5"/>
      <c r="J821" s="5"/>
    </row>
    <row r="822">
      <c r="I822" s="5"/>
      <c r="J822" s="5"/>
    </row>
    <row r="823">
      <c r="I823" s="5"/>
      <c r="J823" s="5"/>
    </row>
    <row r="824">
      <c r="I824" s="5"/>
      <c r="J824" s="5"/>
    </row>
    <row r="825">
      <c r="I825" s="5"/>
      <c r="J825" s="5"/>
    </row>
    <row r="826">
      <c r="I826" s="5"/>
      <c r="J826" s="5"/>
    </row>
    <row r="827">
      <c r="I827" s="5"/>
      <c r="J827" s="5"/>
    </row>
    <row r="828">
      <c r="I828" s="5"/>
      <c r="J828" s="5"/>
    </row>
    <row r="829">
      <c r="I829" s="5"/>
      <c r="J829" s="5"/>
    </row>
    <row r="830">
      <c r="I830" s="5"/>
      <c r="J830" s="5"/>
    </row>
    <row r="831">
      <c r="I831" s="5"/>
      <c r="J831" s="5"/>
    </row>
    <row r="832">
      <c r="I832" s="5"/>
      <c r="J832" s="5"/>
    </row>
    <row r="833">
      <c r="I833" s="5"/>
      <c r="J833" s="5"/>
    </row>
    <row r="834">
      <c r="I834" s="5"/>
      <c r="J834" s="5"/>
    </row>
    <row r="835">
      <c r="I835" s="5"/>
      <c r="J835" s="5"/>
    </row>
    <row r="836">
      <c r="I836" s="5"/>
      <c r="J836" s="5"/>
    </row>
    <row r="837">
      <c r="I837" s="5"/>
      <c r="J837" s="5"/>
    </row>
    <row r="838">
      <c r="I838" s="5"/>
      <c r="J838" s="5"/>
    </row>
    <row r="839">
      <c r="I839" s="5"/>
      <c r="J839" s="5"/>
    </row>
    <row r="840">
      <c r="I840" s="5"/>
      <c r="J840" s="5"/>
    </row>
    <row r="841">
      <c r="I841" s="5"/>
      <c r="J841" s="5"/>
    </row>
    <row r="842">
      <c r="I842" s="5"/>
      <c r="J842" s="5"/>
    </row>
    <row r="843">
      <c r="I843" s="5"/>
      <c r="J843" s="5"/>
    </row>
    <row r="844">
      <c r="I844" s="5"/>
      <c r="J844" s="5"/>
    </row>
    <row r="845">
      <c r="I845" s="5"/>
      <c r="J845" s="5"/>
    </row>
    <row r="846">
      <c r="I846" s="5"/>
      <c r="J846" s="5"/>
    </row>
    <row r="847">
      <c r="I847" s="5"/>
      <c r="J847" s="5"/>
    </row>
    <row r="848">
      <c r="I848" s="5"/>
      <c r="J848" s="5"/>
    </row>
    <row r="849">
      <c r="I849" s="5"/>
      <c r="J849" s="5"/>
    </row>
    <row r="850">
      <c r="I850" s="5"/>
      <c r="J850" s="5"/>
    </row>
    <row r="851">
      <c r="I851" s="5"/>
      <c r="J851" s="5"/>
    </row>
    <row r="852">
      <c r="I852" s="5"/>
      <c r="J852" s="5"/>
    </row>
    <row r="853">
      <c r="I853" s="5"/>
      <c r="J853" s="5"/>
    </row>
    <row r="854">
      <c r="I854" s="5"/>
      <c r="J854" s="5"/>
    </row>
    <row r="855">
      <c r="I855" s="5"/>
      <c r="J855" s="5"/>
    </row>
    <row r="856">
      <c r="I856" s="5"/>
      <c r="J856" s="5"/>
    </row>
    <row r="857">
      <c r="I857" s="5"/>
      <c r="J857" s="5"/>
    </row>
    <row r="858">
      <c r="I858" s="5"/>
      <c r="J858" s="5"/>
    </row>
    <row r="859">
      <c r="I859" s="5"/>
      <c r="J859" s="5"/>
    </row>
    <row r="860">
      <c r="I860" s="5"/>
      <c r="J860" s="5"/>
    </row>
    <row r="861">
      <c r="I861" s="5"/>
      <c r="J861" s="5"/>
    </row>
    <row r="862">
      <c r="I862" s="5"/>
      <c r="J862" s="5"/>
    </row>
    <row r="863">
      <c r="I863" s="5"/>
      <c r="J863" s="5"/>
    </row>
    <row r="864">
      <c r="I864" s="5"/>
      <c r="J864" s="5"/>
    </row>
    <row r="865">
      <c r="I865" s="5"/>
      <c r="J865" s="5"/>
    </row>
    <row r="866">
      <c r="I866" s="5"/>
      <c r="J866" s="5"/>
    </row>
    <row r="867">
      <c r="I867" s="5"/>
      <c r="J867" s="5"/>
    </row>
    <row r="868">
      <c r="I868" s="5"/>
      <c r="J868" s="5"/>
    </row>
    <row r="869">
      <c r="I869" s="5"/>
      <c r="J869" s="5"/>
    </row>
    <row r="870">
      <c r="I870" s="5"/>
      <c r="J870" s="5"/>
    </row>
    <row r="871">
      <c r="I871" s="5"/>
      <c r="J871" s="5"/>
    </row>
    <row r="872">
      <c r="I872" s="5"/>
      <c r="J872" s="5"/>
    </row>
    <row r="873">
      <c r="I873" s="5"/>
      <c r="J873" s="5"/>
    </row>
    <row r="874">
      <c r="I874" s="5"/>
      <c r="J874" s="5"/>
    </row>
    <row r="875">
      <c r="I875" s="5"/>
      <c r="J875" s="5"/>
    </row>
    <row r="876">
      <c r="I876" s="5"/>
      <c r="J876" s="5"/>
    </row>
    <row r="877">
      <c r="I877" s="5"/>
      <c r="J877" s="5"/>
    </row>
    <row r="878">
      <c r="I878" s="5"/>
      <c r="J878" s="5"/>
    </row>
    <row r="879">
      <c r="I879" s="5"/>
      <c r="J879" s="5"/>
    </row>
    <row r="880">
      <c r="I880" s="5"/>
      <c r="J880" s="5"/>
    </row>
    <row r="881">
      <c r="I881" s="5"/>
      <c r="J881" s="5"/>
    </row>
    <row r="882">
      <c r="I882" s="5"/>
      <c r="J882" s="5"/>
    </row>
    <row r="883">
      <c r="I883" s="5"/>
      <c r="J883" s="5"/>
    </row>
    <row r="884">
      <c r="I884" s="5"/>
      <c r="J884" s="5"/>
    </row>
    <row r="885">
      <c r="I885" s="5"/>
      <c r="J885" s="5"/>
    </row>
    <row r="886">
      <c r="I886" s="5"/>
      <c r="J886" s="5"/>
    </row>
    <row r="887">
      <c r="I887" s="5"/>
      <c r="J887" s="5"/>
    </row>
    <row r="888">
      <c r="I888" s="5"/>
      <c r="J888" s="5"/>
    </row>
    <row r="889">
      <c r="I889" s="5"/>
      <c r="J889" s="5"/>
    </row>
    <row r="890">
      <c r="I890" s="5"/>
      <c r="J890" s="5"/>
    </row>
    <row r="891">
      <c r="I891" s="5"/>
      <c r="J891" s="5"/>
    </row>
    <row r="892">
      <c r="I892" s="5"/>
      <c r="J892" s="5"/>
    </row>
    <row r="893">
      <c r="I893" s="5"/>
      <c r="J893" s="5"/>
    </row>
    <row r="894">
      <c r="I894" s="5"/>
      <c r="J894" s="5"/>
    </row>
    <row r="895">
      <c r="I895" s="5"/>
      <c r="J895" s="5"/>
    </row>
    <row r="896">
      <c r="I896" s="5"/>
      <c r="J896" s="5"/>
    </row>
    <row r="897">
      <c r="I897" s="5"/>
      <c r="J897" s="5"/>
    </row>
    <row r="898">
      <c r="I898" s="5"/>
      <c r="J898" s="5"/>
    </row>
    <row r="899">
      <c r="I899" s="5"/>
      <c r="J899" s="5"/>
    </row>
    <row r="900">
      <c r="I900" s="5"/>
      <c r="J900" s="5"/>
    </row>
    <row r="901">
      <c r="I901" s="5"/>
      <c r="J901" s="5"/>
    </row>
    <row r="902">
      <c r="I902" s="5"/>
      <c r="J902" s="5"/>
    </row>
    <row r="903">
      <c r="I903" s="5"/>
      <c r="J903" s="5"/>
    </row>
    <row r="904">
      <c r="I904" s="5"/>
      <c r="J904" s="5"/>
    </row>
    <row r="905">
      <c r="I905" s="5"/>
      <c r="J905" s="5"/>
    </row>
    <row r="906">
      <c r="I906" s="5"/>
      <c r="J906" s="5"/>
    </row>
    <row r="907">
      <c r="I907" s="5"/>
      <c r="J907" s="5"/>
    </row>
    <row r="908">
      <c r="I908" s="5"/>
      <c r="J908" s="5"/>
    </row>
    <row r="909">
      <c r="I909" s="5"/>
      <c r="J909" s="5"/>
    </row>
    <row r="910">
      <c r="I910" s="5"/>
      <c r="J910" s="5"/>
    </row>
    <row r="911">
      <c r="I911" s="5"/>
      <c r="J911" s="5"/>
    </row>
    <row r="912">
      <c r="I912" s="5"/>
      <c r="J912" s="5"/>
    </row>
    <row r="913">
      <c r="I913" s="5"/>
      <c r="J913" s="5"/>
    </row>
    <row r="914">
      <c r="I914" s="5"/>
      <c r="J914" s="5"/>
    </row>
    <row r="915">
      <c r="I915" s="5"/>
      <c r="J915" s="5"/>
    </row>
    <row r="916">
      <c r="I916" s="5"/>
      <c r="J916" s="5"/>
    </row>
    <row r="917">
      <c r="I917" s="5"/>
      <c r="J917" s="5"/>
    </row>
    <row r="918">
      <c r="I918" s="5"/>
      <c r="J918" s="5"/>
    </row>
    <row r="919">
      <c r="I919" s="5"/>
      <c r="J919" s="5"/>
    </row>
    <row r="920">
      <c r="I920" s="5"/>
      <c r="J920" s="5"/>
    </row>
    <row r="921">
      <c r="I921" s="5"/>
      <c r="J921" s="5"/>
    </row>
    <row r="922">
      <c r="I922" s="5"/>
      <c r="J922" s="5"/>
    </row>
    <row r="923">
      <c r="I923" s="5"/>
      <c r="J923" s="5"/>
    </row>
    <row r="924">
      <c r="I924" s="5"/>
      <c r="J924" s="5"/>
    </row>
    <row r="925">
      <c r="I925" s="5"/>
      <c r="J925" s="5"/>
    </row>
    <row r="926">
      <c r="I926" s="5"/>
      <c r="J926" s="5"/>
    </row>
    <row r="927">
      <c r="I927" s="5"/>
      <c r="J927" s="5"/>
    </row>
    <row r="928">
      <c r="I928" s="5"/>
      <c r="J928" s="5"/>
    </row>
    <row r="929">
      <c r="I929" s="5"/>
      <c r="J929" s="5"/>
    </row>
    <row r="930">
      <c r="I930" s="5"/>
      <c r="J930" s="5"/>
    </row>
    <row r="931">
      <c r="I931" s="5"/>
      <c r="J931" s="5"/>
    </row>
    <row r="932">
      <c r="I932" s="5"/>
      <c r="J932" s="5"/>
    </row>
    <row r="933">
      <c r="I933" s="5"/>
      <c r="J933" s="5"/>
    </row>
    <row r="934">
      <c r="I934" s="5"/>
      <c r="J934" s="5"/>
    </row>
    <row r="935">
      <c r="I935" s="5"/>
      <c r="J935" s="5"/>
    </row>
    <row r="936">
      <c r="I936" s="5"/>
      <c r="J936" s="5"/>
    </row>
    <row r="937">
      <c r="I937" s="5"/>
      <c r="J937" s="5"/>
    </row>
    <row r="938">
      <c r="I938" s="5"/>
      <c r="J938" s="5"/>
    </row>
    <row r="939">
      <c r="I939" s="5"/>
      <c r="J939" s="5"/>
    </row>
    <row r="940">
      <c r="I940" s="5"/>
      <c r="J940" s="5"/>
    </row>
    <row r="941">
      <c r="I941" s="5"/>
      <c r="J941" s="5"/>
    </row>
    <row r="942">
      <c r="I942" s="5"/>
      <c r="J942" s="5"/>
    </row>
    <row r="943">
      <c r="I943" s="5"/>
      <c r="J943" s="5"/>
    </row>
    <row r="944">
      <c r="I944" s="5"/>
      <c r="J944" s="5"/>
    </row>
    <row r="945">
      <c r="I945" s="5"/>
      <c r="J945" s="5"/>
    </row>
    <row r="946">
      <c r="I946" s="5"/>
      <c r="J946" s="5"/>
    </row>
    <row r="947">
      <c r="I947" s="5"/>
      <c r="J947" s="5"/>
    </row>
    <row r="948">
      <c r="I948" s="5"/>
      <c r="J948" s="5"/>
    </row>
    <row r="949">
      <c r="I949" s="5"/>
      <c r="J949" s="5"/>
    </row>
    <row r="950">
      <c r="I950" s="5"/>
      <c r="J950" s="5"/>
    </row>
    <row r="951">
      <c r="I951" s="5"/>
      <c r="J951" s="5"/>
    </row>
    <row r="952">
      <c r="I952" s="5"/>
      <c r="J952" s="5"/>
    </row>
    <row r="953">
      <c r="I953" s="5"/>
      <c r="J953" s="5"/>
    </row>
    <row r="954">
      <c r="I954" s="5"/>
      <c r="J954" s="5"/>
    </row>
    <row r="955">
      <c r="I955" s="5"/>
      <c r="J955" s="5"/>
    </row>
    <row r="956">
      <c r="I956" s="5"/>
      <c r="J956" s="5"/>
    </row>
    <row r="957">
      <c r="I957" s="5"/>
      <c r="J957" s="5"/>
    </row>
    <row r="958">
      <c r="I958" s="5"/>
      <c r="J958" s="5"/>
    </row>
    <row r="959">
      <c r="I959" s="5"/>
      <c r="J959" s="5"/>
    </row>
    <row r="960">
      <c r="I960" s="5"/>
      <c r="J960" s="5"/>
    </row>
    <row r="961">
      <c r="I961" s="5"/>
      <c r="J961" s="5"/>
    </row>
    <row r="962">
      <c r="I962" s="5"/>
      <c r="J962" s="5"/>
    </row>
    <row r="963">
      <c r="I963" s="5"/>
      <c r="J963" s="5"/>
    </row>
    <row r="964">
      <c r="I964" s="5"/>
      <c r="J964" s="5"/>
    </row>
    <row r="965">
      <c r="I965" s="5"/>
      <c r="J965" s="5"/>
    </row>
    <row r="966">
      <c r="I966" s="5"/>
      <c r="J966" s="5"/>
    </row>
    <row r="967">
      <c r="I967" s="5"/>
      <c r="J967" s="5"/>
    </row>
    <row r="968">
      <c r="I968" s="5"/>
      <c r="J968" s="5"/>
    </row>
    <row r="969">
      <c r="I969" s="5"/>
      <c r="J969" s="5"/>
    </row>
    <row r="970">
      <c r="I970" s="5"/>
      <c r="J970" s="5"/>
    </row>
    <row r="971">
      <c r="I971" s="5"/>
      <c r="J971" s="5"/>
    </row>
    <row r="972">
      <c r="I972" s="5"/>
      <c r="J972" s="5"/>
    </row>
    <row r="973">
      <c r="I973" s="5"/>
      <c r="J973" s="5"/>
    </row>
    <row r="974">
      <c r="I974" s="5"/>
      <c r="J974" s="5"/>
    </row>
    <row r="975">
      <c r="I975" s="5"/>
      <c r="J975" s="5"/>
    </row>
    <row r="976">
      <c r="I976" s="5"/>
      <c r="J976" s="5"/>
    </row>
    <row r="977">
      <c r="I977" s="5"/>
      <c r="J977" s="5"/>
    </row>
    <row r="978">
      <c r="I978" s="5"/>
      <c r="J978" s="5"/>
    </row>
    <row r="979">
      <c r="I979" s="5"/>
      <c r="J979" s="5"/>
    </row>
    <row r="980">
      <c r="I980" s="5"/>
      <c r="J980" s="5"/>
    </row>
    <row r="981">
      <c r="I981" s="5"/>
      <c r="J981" s="5"/>
    </row>
    <row r="982">
      <c r="I982" s="5"/>
      <c r="J982" s="5"/>
    </row>
    <row r="983">
      <c r="I983" s="5"/>
      <c r="J983" s="5"/>
    </row>
    <row r="984">
      <c r="I984" s="5"/>
      <c r="J984" s="5"/>
    </row>
    <row r="985">
      <c r="I985" s="5"/>
      <c r="J985" s="5"/>
    </row>
    <row r="986">
      <c r="I986" s="5"/>
      <c r="J986" s="5"/>
    </row>
    <row r="987">
      <c r="I987" s="5"/>
      <c r="J987" s="5"/>
    </row>
    <row r="988">
      <c r="I988" s="5"/>
      <c r="J988" s="5"/>
    </row>
    <row r="989">
      <c r="I989" s="5"/>
      <c r="J989" s="5"/>
    </row>
    <row r="990">
      <c r="I990" s="5"/>
      <c r="J990" s="5"/>
    </row>
    <row r="991">
      <c r="I991" s="5"/>
      <c r="J991" s="5"/>
    </row>
    <row r="992">
      <c r="I992" s="5"/>
      <c r="J992" s="5"/>
    </row>
    <row r="993">
      <c r="I993" s="5"/>
      <c r="J993" s="5"/>
    </row>
    <row r="994">
      <c r="I994" s="5"/>
      <c r="J994" s="5"/>
    </row>
    <row r="995">
      <c r="I995" s="5"/>
      <c r="J995" s="5"/>
    </row>
    <row r="996">
      <c r="I996" s="5"/>
      <c r="J996" s="5"/>
    </row>
    <row r="997">
      <c r="I997" s="5"/>
      <c r="J997" s="5"/>
    </row>
    <row r="998">
      <c r="I998" s="5"/>
      <c r="J998" s="5"/>
    </row>
    <row r="999">
      <c r="I999" s="5"/>
      <c r="J999" s="5"/>
    </row>
    <row r="1000">
      <c r="I1000" s="5"/>
      <c r="J1000" s="5"/>
    </row>
  </sheetData>
  <autoFilter ref="$A$1:$Y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2026-04-17T14:34:40Z</dcterms:created>
  <dc:creator>paras69</dc:creator>
</cp:coreProperties>
</file>