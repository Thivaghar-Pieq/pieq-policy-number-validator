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0UaAmgeaVu3cQTqj2mSSY+EO7f/ogUpoVQZ+gejCB5s="/>
    </ext>
  </extLst>
</workbook>
</file>

<file path=xl/sharedStrings.xml><?xml version="1.0" encoding="utf-8"?>
<sst xmlns="http://schemas.openxmlformats.org/spreadsheetml/2006/main" count="665" uniqueCount="105">
  <si>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</si>
  <si>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</si>
  <si>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</si>
  <si>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</si>
  <si>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</si>
  <si>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</si>
  <si>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</si>
  <si>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</si>
  <si>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</si>
  <si>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</si>
  <si>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</si>
  <si>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</si>
  <si>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</si>
  <si>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Comm Amt</t>
  </si>
  <si>
    <t>CycleYear</t>
  </si>
  <si>
    <t>Comm or Override</t>
  </si>
  <si>
    <t>New/Renewal</t>
  </si>
  <si>
    <t>DatePaid</t>
  </si>
  <si>
    <t>AdjDesc</t>
  </si>
  <si>
    <t>brokerhistoryNo</t>
  </si>
  <si>
    <t>Brian Brennan</t>
  </si>
  <si>
    <t>PPOIJB44</t>
  </si>
  <si>
    <t>PPI000GQ</t>
  </si>
  <si>
    <t>Aguglia, Scott</t>
  </si>
  <si>
    <t>Financial Protection Services Corp</t>
  </si>
  <si>
    <t>Innovative Financial Group</t>
  </si>
  <si>
    <t>Commission</t>
  </si>
  <si>
    <t>Renewal</t>
  </si>
  <si>
    <t>Robert Glass</t>
  </si>
  <si>
    <t>Tiffany Ritter</t>
  </si>
  <si>
    <t>PPOIJB24</t>
  </si>
  <si>
    <t>PPI000GB</t>
  </si>
  <si>
    <t>Long, Patricia M</t>
  </si>
  <si>
    <t>Dalvinder K Matharu</t>
  </si>
  <si>
    <t>Marybeth Riter</t>
  </si>
  <si>
    <t>Suzanne Nafus</t>
  </si>
  <si>
    <t>Valerie Soto</t>
  </si>
  <si>
    <t>Kayden S Walschburger</t>
  </si>
  <si>
    <t>PPOIJB28</t>
  </si>
  <si>
    <t>PPI000GF</t>
  </si>
  <si>
    <t>Rosella G Moll</t>
  </si>
  <si>
    <t>PPOIJC24</t>
  </si>
  <si>
    <t>PPI000IU</t>
  </si>
  <si>
    <t>Jaclyn N Bristel</t>
  </si>
  <si>
    <t>PPOIJB40</t>
  </si>
  <si>
    <t>PPI000J5</t>
  </si>
  <si>
    <t>Carol J Tegyi</t>
  </si>
  <si>
    <t>PPOIJB32</t>
  </si>
  <si>
    <t>PPI000GJ</t>
  </si>
  <si>
    <t>Derek Jackson</t>
  </si>
  <si>
    <t>Donna J Steffy</t>
  </si>
  <si>
    <t>Rita L Smith</t>
  </si>
  <si>
    <t>Leila N Ojeil</t>
  </si>
  <si>
    <t>Rebecca J Parise</t>
  </si>
  <si>
    <t>New</t>
  </si>
  <si>
    <t>Alesha M Baughman</t>
  </si>
  <si>
    <t>Karen L Ritter</t>
  </si>
  <si>
    <t>Karl Sheaffer</t>
  </si>
  <si>
    <t>James J Heckenberger</t>
  </si>
  <si>
    <t>Stacie A Bloomfield</t>
  </si>
  <si>
    <t>PPOIJC12</t>
  </si>
  <si>
    <t>PPI000IH</t>
  </si>
  <si>
    <t>Ryan C Hertzog</t>
  </si>
  <si>
    <t>Forrest H Graver</t>
  </si>
  <si>
    <t>PPQIJB75</t>
  </si>
  <si>
    <t>PPI000HH</t>
  </si>
  <si>
    <t>Brian Walschburger</t>
  </si>
  <si>
    <t>Jamal S Rafraf</t>
  </si>
  <si>
    <t>Randa Kattan</t>
  </si>
  <si>
    <t>Tyler J Penland</t>
  </si>
  <si>
    <t>Luse, Alison P</t>
  </si>
  <si>
    <t>Kevin Conklin</t>
  </si>
  <si>
    <t>Zachary Minium</t>
  </si>
  <si>
    <t>Bradley Lyon</t>
  </si>
  <si>
    <t>Gary Hartley</t>
  </si>
  <si>
    <t>Jody Minium</t>
  </si>
  <si>
    <t>Lorraine A Port</t>
  </si>
  <si>
    <t>John Gajewski</t>
  </si>
  <si>
    <t>Jeffrey Sensenig</t>
  </si>
  <si>
    <t>Jody Rudewicz</t>
  </si>
  <si>
    <t>Richter, Adam J</t>
  </si>
  <si>
    <t>Donna Ganzermiller</t>
  </si>
  <si>
    <t>Dennis E Berkebile</t>
  </si>
  <si>
    <t>Brian Antkowiak</t>
  </si>
  <si>
    <t>Taylor D Horn</t>
  </si>
  <si>
    <t>PPOIJB68</t>
  </si>
  <si>
    <t>PPI000HA</t>
  </si>
  <si>
    <t>Richter, Peter L</t>
  </si>
  <si>
    <t>Julie L Ressler</t>
  </si>
  <si>
    <t>Teipel, Gregory</t>
  </si>
  <si>
    <t>Kimberly Ney</t>
  </si>
  <si>
    <t>Trudy Brown</t>
  </si>
  <si>
    <t>Kiara Garcia De Jesus</t>
  </si>
  <si>
    <t>Zimmerman, Diana</t>
  </si>
  <si>
    <t>Informed Insurance Advisors LLC</t>
  </si>
  <si>
    <t>Rafael N Bueno Peralta</t>
  </si>
  <si>
    <t>PPOIJC08</t>
  </si>
  <si>
    <t>PPI000IE</t>
  </si>
  <si>
    <t>Hon C Au</t>
  </si>
  <si>
    <t>Vladimir Pena</t>
  </si>
  <si>
    <t>Capital Blue Cross ACA</t>
  </si>
  <si>
    <t>[PMPM=4]</t>
  </si>
  <si>
    <t>[PMPM=3]</t>
  </si>
  <si>
    <t>[PMPM=2]</t>
  </si>
  <si>
    <t>[PMPM=5]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</si>
</sst>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4" numFmtId="0" xfId="0" applyFont="1"/>
    <xf borderId="1" fillId="2" fontId="3" numFmtId="0" xfId="0" applyAlignment="1" applyBorder="1" applyFont="1">
      <alignment horizontal="right"/>
    </xf>
    <xf borderId="1" fillId="2" fontId="3" numFmtId="0" xfId="0" applyBorder="1" applyFont="1"/>
    <xf borderId="1" fillId="2" fontId="3" numFmtId="164" xfId="0" applyAlignment="1" applyBorder="1" applyFont="1" applyNumberFormat="1">
      <alignment horizontal="right"/>
    </xf>
    <xf borderId="1" fillId="2" fontId="2" numFmtId="0" xfId="0" applyBorder="1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ht="15.75" customHeight="1">
      <c r="A2" s="4">
        <v>8.02422752E8</v>
      </c>
      <c r="B2" s="5" t="s">
        <v>20</v>
      </c>
      <c r="C2" s="5" t="s">
        <v>21</v>
      </c>
      <c r="D2" s="5" t="s">
        <v>22</v>
      </c>
      <c r="E2" s="4">
        <v>2.0200101E7</v>
      </c>
      <c r="F2" s="4">
        <v>2.0250101E7</v>
      </c>
      <c r="G2" s="4">
        <v>202506.0</v>
      </c>
      <c r="H2" s="4">
        <v>8971826.0</v>
      </c>
      <c r="I2" s="5" t="s">
        <v>23</v>
      </c>
      <c r="J2" s="5" t="s">
        <v>24</v>
      </c>
      <c r="K2" s="4">
        <v>1.8973608E7</v>
      </c>
      <c r="L2" s="5" t="s">
        <v>25</v>
      </c>
      <c r="M2" s="4">
        <v>202507.0</v>
      </c>
      <c r="N2" s="6">
        <v>18.0</v>
      </c>
      <c r="O2" s="4">
        <v>0.0</v>
      </c>
      <c r="P2" s="5" t="s">
        <v>26</v>
      </c>
      <c r="Q2" s="5" t="s">
        <v>27</v>
      </c>
      <c r="R2" s="4">
        <v>2.0250708E7</v>
      </c>
      <c r="S2" s="3"/>
      <c r="T2" s="4">
        <v>1.751999658738E16</v>
      </c>
      <c r="U2" s="3"/>
      <c r="V2" s="3"/>
      <c r="W2" s="3"/>
      <c r="X2" s="3"/>
      <c r="Y2" s="3"/>
      <c r="Z2" s="3"/>
    </row>
    <row r="3" ht="15.75" customHeight="1">
      <c r="A3" s="4">
        <v>8.01981035E8</v>
      </c>
      <c r="B3" s="5" t="s">
        <v>28</v>
      </c>
      <c r="C3" s="5" t="s">
        <v>21</v>
      </c>
      <c r="D3" s="5" t="s">
        <v>22</v>
      </c>
      <c r="E3" s="4">
        <v>2.0170101E7</v>
      </c>
      <c r="F3" s="4">
        <v>2.0250101E7</v>
      </c>
      <c r="G3" s="4">
        <v>202507.0</v>
      </c>
      <c r="H3" s="4">
        <v>8971826.0</v>
      </c>
      <c r="I3" s="5" t="s">
        <v>23</v>
      </c>
      <c r="J3" s="5" t="s">
        <v>24</v>
      </c>
      <c r="K3" s="4">
        <v>1.8973608E7</v>
      </c>
      <c r="L3" s="5" t="s">
        <v>25</v>
      </c>
      <c r="M3" s="4">
        <v>202507.0</v>
      </c>
      <c r="N3" s="6">
        <v>36.0</v>
      </c>
      <c r="O3" s="4">
        <v>0.0</v>
      </c>
      <c r="P3" s="5" t="s">
        <v>26</v>
      </c>
      <c r="Q3" s="5" t="s">
        <v>27</v>
      </c>
      <c r="R3" s="4">
        <v>2.0250708E7</v>
      </c>
      <c r="S3" s="3"/>
      <c r="T3" s="4">
        <v>1.751999656934E16</v>
      </c>
      <c r="U3" s="3"/>
      <c r="V3" s="3"/>
      <c r="W3" s="3"/>
      <c r="X3" s="3"/>
      <c r="Y3" s="3"/>
      <c r="Z3" s="3"/>
    </row>
    <row r="4" ht="15.75" customHeight="1">
      <c r="A4" s="4">
        <v>8.02765299E8</v>
      </c>
      <c r="B4" s="5" t="s">
        <v>29</v>
      </c>
      <c r="C4" s="5" t="s">
        <v>30</v>
      </c>
      <c r="D4" s="5" t="s">
        <v>31</v>
      </c>
      <c r="E4" s="4">
        <v>2.0230101E7</v>
      </c>
      <c r="F4" s="4">
        <v>2.0250101E7</v>
      </c>
      <c r="G4" s="4">
        <v>202507.0</v>
      </c>
      <c r="H4" s="4">
        <v>1.879474E7</v>
      </c>
      <c r="I4" s="5" t="s">
        <v>32</v>
      </c>
      <c r="J4" s="5" t="s">
        <v>24</v>
      </c>
      <c r="K4" s="4">
        <v>1.8973608E7</v>
      </c>
      <c r="L4" s="5" t="s">
        <v>25</v>
      </c>
      <c r="M4" s="4">
        <v>202507.0</v>
      </c>
      <c r="N4" s="6">
        <v>18.0</v>
      </c>
      <c r="O4" s="4">
        <v>0.0</v>
      </c>
      <c r="P4" s="5" t="s">
        <v>26</v>
      </c>
      <c r="Q4" s="5" t="s">
        <v>27</v>
      </c>
      <c r="R4" s="4">
        <v>2.0250708E7</v>
      </c>
      <c r="S4" s="3"/>
      <c r="T4" s="4">
        <v>1.75199968567E16</v>
      </c>
      <c r="U4" s="3"/>
      <c r="V4" s="3"/>
      <c r="W4" s="3"/>
      <c r="X4" s="3"/>
      <c r="Y4" s="3"/>
      <c r="Z4" s="3"/>
    </row>
    <row r="5" ht="15.75" customHeight="1">
      <c r="A5" s="4">
        <v>8.02515557E8</v>
      </c>
      <c r="B5" s="5" t="s">
        <v>33</v>
      </c>
      <c r="C5" s="5" t="s">
        <v>21</v>
      </c>
      <c r="D5" s="5" t="s">
        <v>22</v>
      </c>
      <c r="E5" s="4">
        <v>2.0210101E7</v>
      </c>
      <c r="F5" s="4">
        <v>2.0250101E7</v>
      </c>
      <c r="G5" s="4">
        <v>202507.0</v>
      </c>
      <c r="H5" s="4">
        <v>1.879474E7</v>
      </c>
      <c r="I5" s="5" t="s">
        <v>32</v>
      </c>
      <c r="J5" s="5" t="s">
        <v>24</v>
      </c>
      <c r="K5" s="4">
        <v>1.8973608E7</v>
      </c>
      <c r="L5" s="5" t="s">
        <v>25</v>
      </c>
      <c r="M5" s="4">
        <v>202507.0</v>
      </c>
      <c r="N5" s="6">
        <v>18.0</v>
      </c>
      <c r="O5" s="4">
        <v>0.0</v>
      </c>
      <c r="P5" s="5" t="s">
        <v>26</v>
      </c>
      <c r="Q5" s="5" t="s">
        <v>27</v>
      </c>
      <c r="R5" s="4">
        <v>2.0250708E7</v>
      </c>
      <c r="S5" s="3"/>
      <c r="T5" s="4">
        <v>1.751999587403E16</v>
      </c>
      <c r="U5" s="3"/>
      <c r="V5" s="3"/>
      <c r="W5" s="3"/>
      <c r="X5" s="3"/>
      <c r="Y5" s="3"/>
      <c r="Z5" s="3"/>
    </row>
    <row r="6" ht="15.75" customHeight="1">
      <c r="A6" s="4">
        <v>8.02902756E8</v>
      </c>
      <c r="B6" s="5" t="s">
        <v>34</v>
      </c>
      <c r="C6" s="5" t="s">
        <v>21</v>
      </c>
      <c r="D6" s="5" t="s">
        <v>22</v>
      </c>
      <c r="E6" s="4">
        <v>2.0240301E7</v>
      </c>
      <c r="F6" s="4">
        <v>2.0250101E7</v>
      </c>
      <c r="G6" s="4">
        <v>202507.0</v>
      </c>
      <c r="H6" s="4">
        <v>1.879474E7</v>
      </c>
      <c r="I6" s="5" t="s">
        <v>32</v>
      </c>
      <c r="J6" s="5" t="s">
        <v>24</v>
      </c>
      <c r="K6" s="4">
        <v>1.8973608E7</v>
      </c>
      <c r="L6" s="5" t="s">
        <v>25</v>
      </c>
      <c r="M6" s="4">
        <v>202507.0</v>
      </c>
      <c r="N6" s="6">
        <v>18.0</v>
      </c>
      <c r="O6" s="4">
        <v>0.0</v>
      </c>
      <c r="P6" s="5" t="s">
        <v>26</v>
      </c>
      <c r="Q6" s="5" t="s">
        <v>27</v>
      </c>
      <c r="R6" s="4">
        <v>2.0250708E7</v>
      </c>
      <c r="S6" s="3"/>
      <c r="T6" s="4">
        <v>1.751999658595E16</v>
      </c>
      <c r="U6" s="3"/>
      <c r="V6" s="3"/>
      <c r="W6" s="3"/>
      <c r="X6" s="3"/>
      <c r="Y6" s="3"/>
      <c r="Z6" s="3"/>
    </row>
    <row r="7" ht="15.75" customHeight="1">
      <c r="A7" s="4">
        <v>8.02777578E8</v>
      </c>
      <c r="B7" s="5" t="s">
        <v>35</v>
      </c>
      <c r="C7" s="5" t="s">
        <v>21</v>
      </c>
      <c r="D7" s="5" t="s">
        <v>22</v>
      </c>
      <c r="E7" s="4">
        <v>2.0230201E7</v>
      </c>
      <c r="F7" s="4">
        <v>2.0250101E7</v>
      </c>
      <c r="G7" s="4">
        <v>202507.0</v>
      </c>
      <c r="H7" s="4">
        <v>1.879474E7</v>
      </c>
      <c r="I7" s="5" t="s">
        <v>32</v>
      </c>
      <c r="J7" s="5" t="s">
        <v>24</v>
      </c>
      <c r="K7" s="4">
        <v>1.8973608E7</v>
      </c>
      <c r="L7" s="5" t="s">
        <v>25</v>
      </c>
      <c r="M7" s="4">
        <v>202507.0</v>
      </c>
      <c r="N7" s="6">
        <v>18.0</v>
      </c>
      <c r="O7" s="4">
        <v>0.0</v>
      </c>
      <c r="P7" s="5" t="s">
        <v>26</v>
      </c>
      <c r="Q7" s="5" t="s">
        <v>27</v>
      </c>
      <c r="R7" s="4">
        <v>2.0250708E7</v>
      </c>
      <c r="S7" s="3"/>
      <c r="T7" s="4">
        <v>1.751999694009E16</v>
      </c>
      <c r="U7" s="3"/>
      <c r="V7" s="3"/>
      <c r="W7" s="3"/>
      <c r="X7" s="3"/>
      <c r="Y7" s="3"/>
      <c r="Z7" s="3"/>
    </row>
    <row r="8" ht="15.75" customHeight="1">
      <c r="A8" s="4">
        <v>8.02000786E8</v>
      </c>
      <c r="B8" s="5" t="s">
        <v>36</v>
      </c>
      <c r="C8" s="5" t="s">
        <v>21</v>
      </c>
      <c r="D8" s="5" t="s">
        <v>22</v>
      </c>
      <c r="E8" s="4">
        <v>2.0170101E7</v>
      </c>
      <c r="F8" s="4">
        <v>2.0250101E7</v>
      </c>
      <c r="G8" s="4">
        <v>202507.0</v>
      </c>
      <c r="H8" s="4">
        <v>1.879474E7</v>
      </c>
      <c r="I8" s="5" t="s">
        <v>32</v>
      </c>
      <c r="J8" s="5" t="s">
        <v>24</v>
      </c>
      <c r="K8" s="4">
        <v>1.8973608E7</v>
      </c>
      <c r="L8" s="5" t="s">
        <v>25</v>
      </c>
      <c r="M8" s="4">
        <v>202507.0</v>
      </c>
      <c r="N8" s="6">
        <v>18.0</v>
      </c>
      <c r="O8" s="4">
        <v>0.0</v>
      </c>
      <c r="P8" s="5" t="s">
        <v>26</v>
      </c>
      <c r="Q8" s="5" t="s">
        <v>27</v>
      </c>
      <c r="R8" s="4">
        <v>2.0250708E7</v>
      </c>
      <c r="S8" s="3"/>
      <c r="T8" s="4">
        <v>1.751999604177E16</v>
      </c>
      <c r="U8" s="3"/>
      <c r="V8" s="3"/>
      <c r="W8" s="3"/>
      <c r="X8" s="3"/>
      <c r="Y8" s="3"/>
      <c r="Z8" s="3"/>
    </row>
    <row r="9" ht="15.75" customHeight="1">
      <c r="A9" s="4">
        <v>8.02629066E8</v>
      </c>
      <c r="B9" s="5" t="s">
        <v>37</v>
      </c>
      <c r="C9" s="5" t="s">
        <v>38</v>
      </c>
      <c r="D9" s="5" t="s">
        <v>39</v>
      </c>
      <c r="E9" s="4">
        <v>2.0220101E7</v>
      </c>
      <c r="F9" s="4">
        <v>2.0250101E7</v>
      </c>
      <c r="G9" s="4">
        <v>202506.0</v>
      </c>
      <c r="H9" s="4">
        <v>1.879474E7</v>
      </c>
      <c r="I9" s="5" t="s">
        <v>32</v>
      </c>
      <c r="J9" s="5" t="s">
        <v>24</v>
      </c>
      <c r="K9" s="4">
        <v>1.8973608E7</v>
      </c>
      <c r="L9" s="5" t="s">
        <v>25</v>
      </c>
      <c r="M9" s="4">
        <v>202507.0</v>
      </c>
      <c r="N9" s="6">
        <v>18.0</v>
      </c>
      <c r="O9" s="4">
        <v>0.0</v>
      </c>
      <c r="P9" s="5" t="s">
        <v>26</v>
      </c>
      <c r="Q9" s="5" t="s">
        <v>27</v>
      </c>
      <c r="R9" s="4">
        <v>2.0250708E7</v>
      </c>
      <c r="S9" s="3"/>
      <c r="T9" s="4">
        <v>1.75199961716E16</v>
      </c>
      <c r="U9" s="3"/>
      <c r="V9" s="3"/>
      <c r="W9" s="3"/>
      <c r="X9" s="3"/>
      <c r="Y9" s="3"/>
      <c r="Z9" s="3"/>
    </row>
    <row r="10" ht="15.75" customHeight="1">
      <c r="A10" s="4">
        <v>8.02401885E8</v>
      </c>
      <c r="B10" s="5" t="s">
        <v>40</v>
      </c>
      <c r="C10" s="5" t="s">
        <v>41</v>
      </c>
      <c r="D10" s="5" t="s">
        <v>42</v>
      </c>
      <c r="E10" s="4">
        <v>2.0200101E7</v>
      </c>
      <c r="F10" s="4">
        <v>2.0250101E7</v>
      </c>
      <c r="G10" s="4">
        <v>202507.0</v>
      </c>
      <c r="H10" s="4">
        <v>1.879474E7</v>
      </c>
      <c r="I10" s="5" t="s">
        <v>32</v>
      </c>
      <c r="J10" s="5" t="s">
        <v>24</v>
      </c>
      <c r="K10" s="4">
        <v>1.8973608E7</v>
      </c>
      <c r="L10" s="5" t="s">
        <v>25</v>
      </c>
      <c r="M10" s="4">
        <v>202507.0</v>
      </c>
      <c r="N10" s="6">
        <v>18.0</v>
      </c>
      <c r="O10" s="4">
        <v>0.0</v>
      </c>
      <c r="P10" s="5" t="s">
        <v>26</v>
      </c>
      <c r="Q10" s="5" t="s">
        <v>27</v>
      </c>
      <c r="R10" s="4">
        <v>2.0250708E7</v>
      </c>
      <c r="S10" s="3"/>
      <c r="T10" s="4">
        <v>1.751999673171E16</v>
      </c>
      <c r="U10" s="3"/>
      <c r="V10" s="3"/>
      <c r="W10" s="3"/>
      <c r="X10" s="3"/>
      <c r="Y10" s="3"/>
      <c r="Z10" s="3"/>
    </row>
    <row r="11" ht="15.75" customHeight="1">
      <c r="A11" s="4">
        <v>8.02504907E8</v>
      </c>
      <c r="B11" s="5" t="s">
        <v>43</v>
      </c>
      <c r="C11" s="5" t="s">
        <v>44</v>
      </c>
      <c r="D11" s="5" t="s">
        <v>45</v>
      </c>
      <c r="E11" s="4">
        <v>2.0210101E7</v>
      </c>
      <c r="F11" s="4">
        <v>2.0250101E7</v>
      </c>
      <c r="G11" s="4">
        <v>202507.0</v>
      </c>
      <c r="H11" s="4">
        <v>1.879474E7</v>
      </c>
      <c r="I11" s="5" t="s">
        <v>32</v>
      </c>
      <c r="J11" s="5" t="s">
        <v>24</v>
      </c>
      <c r="K11" s="4">
        <v>1.8973608E7</v>
      </c>
      <c r="L11" s="5" t="s">
        <v>25</v>
      </c>
      <c r="M11" s="4">
        <v>202507.0</v>
      </c>
      <c r="N11" s="6">
        <v>18.0</v>
      </c>
      <c r="O11" s="4">
        <v>0.0</v>
      </c>
      <c r="P11" s="5" t="s">
        <v>26</v>
      </c>
      <c r="Q11" s="5" t="s">
        <v>27</v>
      </c>
      <c r="R11" s="4">
        <v>2.0250708E7</v>
      </c>
      <c r="S11" s="3"/>
      <c r="T11" s="4">
        <v>1.751999578795E16</v>
      </c>
      <c r="U11" s="3"/>
      <c r="V11" s="3"/>
      <c r="W11" s="3"/>
      <c r="X11" s="3"/>
      <c r="Y11" s="3"/>
      <c r="Z11" s="3"/>
    </row>
    <row r="12" ht="15.75" customHeight="1">
      <c r="A12" s="4">
        <v>8.02833363E8</v>
      </c>
      <c r="B12" s="5" t="s">
        <v>46</v>
      </c>
      <c r="C12" s="5" t="s">
        <v>47</v>
      </c>
      <c r="D12" s="5" t="s">
        <v>48</v>
      </c>
      <c r="E12" s="4">
        <v>2.0231001E7</v>
      </c>
      <c r="F12" s="4">
        <v>2.0250101E7</v>
      </c>
      <c r="G12" s="4">
        <v>202506.0</v>
      </c>
      <c r="H12" s="4">
        <v>1.879474E7</v>
      </c>
      <c r="I12" s="5" t="s">
        <v>32</v>
      </c>
      <c r="J12" s="5" t="s">
        <v>24</v>
      </c>
      <c r="K12" s="4">
        <v>1.8973608E7</v>
      </c>
      <c r="L12" s="5" t="s">
        <v>25</v>
      </c>
      <c r="M12" s="4">
        <v>202507.0</v>
      </c>
      <c r="N12" s="6">
        <v>18.0</v>
      </c>
      <c r="O12" s="4">
        <v>0.0</v>
      </c>
      <c r="P12" s="5" t="s">
        <v>26</v>
      </c>
      <c r="Q12" s="5" t="s">
        <v>27</v>
      </c>
      <c r="R12" s="4">
        <v>2.0250708E7</v>
      </c>
      <c r="S12" s="3"/>
      <c r="T12" s="4">
        <v>1.751999597945E16</v>
      </c>
      <c r="U12" s="3"/>
      <c r="V12" s="3"/>
      <c r="W12" s="3"/>
      <c r="X12" s="3"/>
      <c r="Y12" s="3"/>
      <c r="Z12" s="3"/>
    </row>
    <row r="13" ht="15.75" customHeight="1">
      <c r="A13" s="4">
        <v>8.027944E8</v>
      </c>
      <c r="B13" s="5" t="s">
        <v>49</v>
      </c>
      <c r="C13" s="5" t="s">
        <v>21</v>
      </c>
      <c r="D13" s="5" t="s">
        <v>22</v>
      </c>
      <c r="E13" s="4">
        <v>2.0230401E7</v>
      </c>
      <c r="F13" s="4">
        <v>2.0250101E7</v>
      </c>
      <c r="G13" s="4">
        <v>202507.0</v>
      </c>
      <c r="H13" s="4">
        <v>1.879474E7</v>
      </c>
      <c r="I13" s="5" t="s">
        <v>32</v>
      </c>
      <c r="J13" s="5" t="s">
        <v>24</v>
      </c>
      <c r="K13" s="4">
        <v>1.8973608E7</v>
      </c>
      <c r="L13" s="5" t="s">
        <v>25</v>
      </c>
      <c r="M13" s="4">
        <v>202507.0</v>
      </c>
      <c r="N13" s="6">
        <v>18.0</v>
      </c>
      <c r="O13" s="4">
        <v>0.0</v>
      </c>
      <c r="P13" s="5" t="s">
        <v>26</v>
      </c>
      <c r="Q13" s="5" t="s">
        <v>27</v>
      </c>
      <c r="R13" s="4">
        <v>2.0250708E7</v>
      </c>
      <c r="S13" s="3"/>
      <c r="T13" s="4">
        <v>1.751999573677E16</v>
      </c>
      <c r="U13" s="3"/>
      <c r="V13" s="3"/>
      <c r="W13" s="3"/>
      <c r="X13" s="3"/>
      <c r="Y13" s="3"/>
      <c r="Z13" s="3"/>
    </row>
    <row r="14" ht="15.75" customHeight="1">
      <c r="A14" s="4">
        <v>8.02629573E8</v>
      </c>
      <c r="B14" s="5" t="s">
        <v>50</v>
      </c>
      <c r="C14" s="5" t="s">
        <v>21</v>
      </c>
      <c r="D14" s="5" t="s">
        <v>22</v>
      </c>
      <c r="E14" s="4">
        <v>2.0220101E7</v>
      </c>
      <c r="F14" s="4">
        <v>2.0250101E7</v>
      </c>
      <c r="G14" s="4">
        <v>202507.0</v>
      </c>
      <c r="H14" s="4">
        <v>1.879474E7</v>
      </c>
      <c r="I14" s="5" t="s">
        <v>32</v>
      </c>
      <c r="J14" s="5" t="s">
        <v>24</v>
      </c>
      <c r="K14" s="4">
        <v>1.8973608E7</v>
      </c>
      <c r="L14" s="5" t="s">
        <v>25</v>
      </c>
      <c r="M14" s="4">
        <v>202507.0</v>
      </c>
      <c r="N14" s="6">
        <v>18.0</v>
      </c>
      <c r="O14" s="4">
        <v>0.0</v>
      </c>
      <c r="P14" s="5" t="s">
        <v>26</v>
      </c>
      <c r="Q14" s="5" t="s">
        <v>27</v>
      </c>
      <c r="R14" s="4">
        <v>2.0250708E7</v>
      </c>
      <c r="S14" s="3"/>
      <c r="T14" s="4">
        <v>1.751999617431E16</v>
      </c>
      <c r="U14" s="3"/>
      <c r="V14" s="3"/>
      <c r="W14" s="3"/>
      <c r="X14" s="3"/>
      <c r="Y14" s="3"/>
      <c r="Z14" s="3"/>
    </row>
    <row r="15" ht="15.75" customHeight="1">
      <c r="A15" s="4">
        <v>8.02552042E8</v>
      </c>
      <c r="B15" s="5" t="s">
        <v>51</v>
      </c>
      <c r="C15" s="5" t="s">
        <v>21</v>
      </c>
      <c r="D15" s="5" t="s">
        <v>22</v>
      </c>
      <c r="E15" s="4">
        <v>2.0210301E7</v>
      </c>
      <c r="F15" s="4">
        <v>2.0250101E7</v>
      </c>
      <c r="G15" s="4">
        <v>202507.0</v>
      </c>
      <c r="H15" s="4">
        <v>1.879474E7</v>
      </c>
      <c r="I15" s="5" t="s">
        <v>32</v>
      </c>
      <c r="J15" s="5" t="s">
        <v>24</v>
      </c>
      <c r="K15" s="4">
        <v>1.8973608E7</v>
      </c>
      <c r="L15" s="5" t="s">
        <v>25</v>
      </c>
      <c r="M15" s="4">
        <v>202507.0</v>
      </c>
      <c r="N15" s="6">
        <v>18.0</v>
      </c>
      <c r="O15" s="4">
        <v>0.0</v>
      </c>
      <c r="P15" s="5" t="s">
        <v>26</v>
      </c>
      <c r="Q15" s="5" t="s">
        <v>27</v>
      </c>
      <c r="R15" s="4">
        <v>2.0250708E7</v>
      </c>
      <c r="S15" s="3"/>
      <c r="T15" s="4">
        <v>1.751999594725E16</v>
      </c>
      <c r="U15" s="3"/>
      <c r="V15" s="3"/>
      <c r="W15" s="3"/>
      <c r="X15" s="3"/>
      <c r="Y15" s="3"/>
      <c r="Z15" s="3"/>
    </row>
    <row r="16" ht="15.75" customHeight="1">
      <c r="A16" s="4">
        <v>8.02917167E8</v>
      </c>
      <c r="B16" s="5" t="s">
        <v>52</v>
      </c>
      <c r="C16" s="5" t="s">
        <v>30</v>
      </c>
      <c r="D16" s="5" t="s">
        <v>31</v>
      </c>
      <c r="E16" s="4">
        <v>2.0240501E7</v>
      </c>
      <c r="F16" s="4">
        <v>2.0250101E7</v>
      </c>
      <c r="G16" s="4">
        <v>202506.0</v>
      </c>
      <c r="H16" s="4">
        <v>1.879474E7</v>
      </c>
      <c r="I16" s="5" t="s">
        <v>32</v>
      </c>
      <c r="J16" s="5" t="s">
        <v>24</v>
      </c>
      <c r="K16" s="4">
        <v>1.8973608E7</v>
      </c>
      <c r="L16" s="5" t="s">
        <v>25</v>
      </c>
      <c r="M16" s="4">
        <v>202507.0</v>
      </c>
      <c r="N16" s="6">
        <v>18.0</v>
      </c>
      <c r="O16" s="4">
        <v>0.0</v>
      </c>
      <c r="P16" s="5" t="s">
        <v>26</v>
      </c>
      <c r="Q16" s="5" t="s">
        <v>27</v>
      </c>
      <c r="R16" s="4">
        <v>2.0250708E7</v>
      </c>
      <c r="S16" s="3"/>
      <c r="T16" s="4">
        <v>1.751999674405E16</v>
      </c>
      <c r="U16" s="3"/>
      <c r="V16" s="3"/>
      <c r="W16" s="3"/>
      <c r="X16" s="3"/>
      <c r="Y16" s="3"/>
      <c r="Z16" s="3"/>
    </row>
    <row r="17" ht="15.75" customHeight="1">
      <c r="A17" s="4">
        <v>8.03050668E8</v>
      </c>
      <c r="B17" s="5" t="s">
        <v>53</v>
      </c>
      <c r="C17" s="5" t="s">
        <v>21</v>
      </c>
      <c r="D17" s="5" t="s">
        <v>22</v>
      </c>
      <c r="E17" s="4">
        <v>2.0250601E7</v>
      </c>
      <c r="F17" s="4">
        <v>2.0250601E7</v>
      </c>
      <c r="G17" s="4">
        <v>202507.0</v>
      </c>
      <c r="H17" s="4">
        <v>1.879474E7</v>
      </c>
      <c r="I17" s="5" t="s">
        <v>32</v>
      </c>
      <c r="J17" s="5" t="s">
        <v>24</v>
      </c>
      <c r="K17" s="4">
        <v>1.8973608E7</v>
      </c>
      <c r="L17" s="5" t="s">
        <v>25</v>
      </c>
      <c r="M17" s="4">
        <v>202507.0</v>
      </c>
      <c r="N17" s="6">
        <v>22.0</v>
      </c>
      <c r="O17" s="4">
        <v>0.0</v>
      </c>
      <c r="P17" s="5" t="s">
        <v>26</v>
      </c>
      <c r="Q17" s="5" t="s">
        <v>54</v>
      </c>
      <c r="R17" s="4">
        <v>2.0250708E7</v>
      </c>
      <c r="S17" s="3"/>
      <c r="T17" s="4">
        <v>1.751999681589E16</v>
      </c>
      <c r="U17" s="3"/>
      <c r="V17" s="3"/>
      <c r="W17" s="3"/>
      <c r="X17" s="3"/>
      <c r="Y17" s="3"/>
      <c r="Z17" s="3"/>
    </row>
    <row r="18" ht="15.75" customHeight="1">
      <c r="A18" s="4">
        <v>8.03044035E8</v>
      </c>
      <c r="B18" s="5" t="s">
        <v>55</v>
      </c>
      <c r="C18" s="5" t="s">
        <v>21</v>
      </c>
      <c r="D18" s="5" t="s">
        <v>22</v>
      </c>
      <c r="E18" s="4">
        <v>2.0250601E7</v>
      </c>
      <c r="F18" s="4">
        <v>2.0250601E7</v>
      </c>
      <c r="G18" s="4">
        <v>202507.0</v>
      </c>
      <c r="H18" s="4">
        <v>1.879474E7</v>
      </c>
      <c r="I18" s="5" t="s">
        <v>32</v>
      </c>
      <c r="J18" s="5" t="s">
        <v>24</v>
      </c>
      <c r="K18" s="4">
        <v>1.8973608E7</v>
      </c>
      <c r="L18" s="5" t="s">
        <v>25</v>
      </c>
      <c r="M18" s="4">
        <v>202507.0</v>
      </c>
      <c r="N18" s="6">
        <v>22.0</v>
      </c>
      <c r="O18" s="4">
        <v>0.0</v>
      </c>
      <c r="P18" s="5" t="s">
        <v>26</v>
      </c>
      <c r="Q18" s="5" t="s">
        <v>54</v>
      </c>
      <c r="R18" s="4">
        <v>2.0250708E7</v>
      </c>
      <c r="S18" s="3"/>
      <c r="T18" s="4">
        <v>1.751999675403E16</v>
      </c>
      <c r="U18" s="3"/>
      <c r="V18" s="3"/>
      <c r="W18" s="3"/>
      <c r="X18" s="3"/>
      <c r="Y18" s="3"/>
      <c r="Z18" s="3"/>
    </row>
    <row r="19" ht="15.75" customHeight="1">
      <c r="A19" s="4">
        <v>8.0201604E8</v>
      </c>
      <c r="B19" s="5" t="s">
        <v>56</v>
      </c>
      <c r="C19" s="5" t="s">
        <v>21</v>
      </c>
      <c r="D19" s="5" t="s">
        <v>22</v>
      </c>
      <c r="E19" s="4">
        <v>2.0170101E7</v>
      </c>
      <c r="F19" s="4">
        <v>2.0250101E7</v>
      </c>
      <c r="G19" s="4">
        <v>202507.0</v>
      </c>
      <c r="H19" s="4">
        <v>1.879474E7</v>
      </c>
      <c r="I19" s="5" t="s">
        <v>32</v>
      </c>
      <c r="J19" s="5" t="s">
        <v>24</v>
      </c>
      <c r="K19" s="4">
        <v>1.8973608E7</v>
      </c>
      <c r="L19" s="5" t="s">
        <v>25</v>
      </c>
      <c r="M19" s="4">
        <v>202507.0</v>
      </c>
      <c r="N19" s="6">
        <v>36.0</v>
      </c>
      <c r="O19" s="4">
        <v>0.0</v>
      </c>
      <c r="P19" s="5" t="s">
        <v>26</v>
      </c>
      <c r="Q19" s="5" t="s">
        <v>27</v>
      </c>
      <c r="R19" s="4">
        <v>2.0250708E7</v>
      </c>
      <c r="S19" s="3"/>
      <c r="T19" s="4">
        <v>1.751999614001E16</v>
      </c>
      <c r="U19" s="3"/>
      <c r="V19" s="3"/>
      <c r="W19" s="3"/>
      <c r="X19" s="3"/>
      <c r="Y19" s="3"/>
      <c r="Z19" s="3"/>
    </row>
    <row r="20" ht="15.75" customHeight="1">
      <c r="A20" s="4">
        <v>8.01942897E8</v>
      </c>
      <c r="B20" s="5" t="s">
        <v>57</v>
      </c>
      <c r="C20" s="5" t="s">
        <v>21</v>
      </c>
      <c r="D20" s="5" t="s">
        <v>22</v>
      </c>
      <c r="E20" s="4">
        <v>2.0170101E7</v>
      </c>
      <c r="F20" s="4">
        <v>2.0250101E7</v>
      </c>
      <c r="G20" s="4">
        <v>202507.0</v>
      </c>
      <c r="H20" s="4">
        <v>1.879474E7</v>
      </c>
      <c r="I20" s="5" t="s">
        <v>32</v>
      </c>
      <c r="J20" s="5" t="s">
        <v>24</v>
      </c>
      <c r="K20" s="4">
        <v>1.8973608E7</v>
      </c>
      <c r="L20" s="5" t="s">
        <v>25</v>
      </c>
      <c r="M20" s="4">
        <v>202507.0</v>
      </c>
      <c r="N20" s="6">
        <v>36.0</v>
      </c>
      <c r="O20" s="4">
        <v>0.0</v>
      </c>
      <c r="P20" s="5" t="s">
        <v>26</v>
      </c>
      <c r="Q20" s="5" t="s">
        <v>27</v>
      </c>
      <c r="R20" s="4">
        <v>2.0250708E7</v>
      </c>
      <c r="S20" s="3"/>
      <c r="T20" s="4">
        <v>1.751999618772E16</v>
      </c>
      <c r="U20" s="3"/>
      <c r="V20" s="3"/>
      <c r="W20" s="3"/>
      <c r="X20" s="3"/>
      <c r="Y20" s="3"/>
      <c r="Z20" s="3"/>
    </row>
    <row r="21" ht="15.75" customHeight="1">
      <c r="A21" s="4">
        <v>8.02807514E8</v>
      </c>
      <c r="B21" s="5" t="s">
        <v>58</v>
      </c>
      <c r="C21" s="5" t="s">
        <v>21</v>
      </c>
      <c r="D21" s="5" t="s">
        <v>22</v>
      </c>
      <c r="E21" s="4">
        <v>2.0230701E7</v>
      </c>
      <c r="F21" s="4">
        <v>2.0250101E7</v>
      </c>
      <c r="G21" s="4">
        <v>202507.0</v>
      </c>
      <c r="H21" s="4">
        <v>1.879474E7</v>
      </c>
      <c r="I21" s="5" t="s">
        <v>32</v>
      </c>
      <c r="J21" s="5" t="s">
        <v>24</v>
      </c>
      <c r="K21" s="4">
        <v>1.8973608E7</v>
      </c>
      <c r="L21" s="5" t="s">
        <v>25</v>
      </c>
      <c r="M21" s="4">
        <v>202507.0</v>
      </c>
      <c r="N21" s="6">
        <v>36.0</v>
      </c>
      <c r="O21" s="4">
        <v>0.0</v>
      </c>
      <c r="P21" s="5" t="s">
        <v>26</v>
      </c>
      <c r="Q21" s="5" t="s">
        <v>27</v>
      </c>
      <c r="R21" s="4">
        <v>2.0250708E7</v>
      </c>
      <c r="S21" s="3"/>
      <c r="T21" s="4">
        <v>1.75199957929E16</v>
      </c>
      <c r="U21" s="3"/>
      <c r="V21" s="3"/>
      <c r="W21" s="3"/>
      <c r="X21" s="3"/>
      <c r="Y21" s="3"/>
      <c r="Z21" s="3"/>
    </row>
    <row r="22" ht="15.75" customHeight="1">
      <c r="A22" s="4">
        <v>8.02501295E8</v>
      </c>
      <c r="B22" s="5" t="s">
        <v>59</v>
      </c>
      <c r="C22" s="5" t="s">
        <v>60</v>
      </c>
      <c r="D22" s="5" t="s">
        <v>61</v>
      </c>
      <c r="E22" s="4">
        <v>2.0210101E7</v>
      </c>
      <c r="F22" s="4">
        <v>2.0250101E7</v>
      </c>
      <c r="G22" s="4">
        <v>202506.0</v>
      </c>
      <c r="H22" s="4">
        <v>1.879474E7</v>
      </c>
      <c r="I22" s="5" t="s">
        <v>32</v>
      </c>
      <c r="J22" s="5" t="s">
        <v>24</v>
      </c>
      <c r="K22" s="4">
        <v>1.8973608E7</v>
      </c>
      <c r="L22" s="5" t="s">
        <v>25</v>
      </c>
      <c r="M22" s="4">
        <v>202507.0</v>
      </c>
      <c r="N22" s="6">
        <v>36.0</v>
      </c>
      <c r="O22" s="4">
        <v>0.0</v>
      </c>
      <c r="P22" s="5" t="s">
        <v>26</v>
      </c>
      <c r="Q22" s="5" t="s">
        <v>27</v>
      </c>
      <c r="R22" s="4">
        <v>2.0250708E7</v>
      </c>
      <c r="S22" s="3"/>
      <c r="T22" s="4">
        <v>1.751999577979E16</v>
      </c>
      <c r="U22" s="3"/>
      <c r="V22" s="3"/>
      <c r="W22" s="3"/>
      <c r="X22" s="3"/>
      <c r="Y22" s="3"/>
      <c r="Z22" s="3"/>
    </row>
    <row r="23" ht="15.75" customHeight="1">
      <c r="A23" s="4">
        <v>8.02651099E8</v>
      </c>
      <c r="B23" s="5" t="s">
        <v>62</v>
      </c>
      <c r="C23" s="5" t="s">
        <v>30</v>
      </c>
      <c r="D23" s="5" t="s">
        <v>31</v>
      </c>
      <c r="E23" s="4">
        <v>2.0220101E7</v>
      </c>
      <c r="F23" s="4">
        <v>2.0250201E7</v>
      </c>
      <c r="G23" s="4">
        <v>202506.0</v>
      </c>
      <c r="H23" s="4">
        <v>1.879474E7</v>
      </c>
      <c r="I23" s="5" t="s">
        <v>32</v>
      </c>
      <c r="J23" s="5" t="s">
        <v>24</v>
      </c>
      <c r="K23" s="4">
        <v>1.8973608E7</v>
      </c>
      <c r="L23" s="5" t="s">
        <v>25</v>
      </c>
      <c r="M23" s="4">
        <v>202507.0</v>
      </c>
      <c r="N23" s="6">
        <v>36.0</v>
      </c>
      <c r="O23" s="4">
        <v>0.0</v>
      </c>
      <c r="P23" s="5" t="s">
        <v>26</v>
      </c>
      <c r="Q23" s="5" t="s">
        <v>27</v>
      </c>
      <c r="R23" s="4">
        <v>2.0250708E7</v>
      </c>
      <c r="S23" s="3"/>
      <c r="T23" s="4">
        <v>1.751999628524E16</v>
      </c>
      <c r="U23" s="3"/>
      <c r="V23" s="3"/>
      <c r="W23" s="3"/>
      <c r="X23" s="3"/>
      <c r="Y23" s="3"/>
      <c r="Z23" s="3"/>
    </row>
    <row r="24" ht="15.75" customHeight="1">
      <c r="A24" s="4">
        <v>8.02879845E8</v>
      </c>
      <c r="B24" s="5" t="s">
        <v>63</v>
      </c>
      <c r="C24" s="5" t="s">
        <v>64</v>
      </c>
      <c r="D24" s="5" t="s">
        <v>65</v>
      </c>
      <c r="E24" s="4">
        <v>2.0240201E7</v>
      </c>
      <c r="F24" s="4">
        <v>2.0250101E7</v>
      </c>
      <c r="G24" s="4">
        <v>202507.0</v>
      </c>
      <c r="H24" s="4">
        <v>1.879474E7</v>
      </c>
      <c r="I24" s="5" t="s">
        <v>32</v>
      </c>
      <c r="J24" s="5" t="s">
        <v>24</v>
      </c>
      <c r="K24" s="4">
        <v>1.8973608E7</v>
      </c>
      <c r="L24" s="5" t="s">
        <v>25</v>
      </c>
      <c r="M24" s="4">
        <v>202507.0</v>
      </c>
      <c r="N24" s="6">
        <v>36.0</v>
      </c>
      <c r="O24" s="4">
        <v>0.0</v>
      </c>
      <c r="P24" s="5" t="s">
        <v>26</v>
      </c>
      <c r="Q24" s="5" t="s">
        <v>27</v>
      </c>
      <c r="R24" s="4">
        <v>2.0250708E7</v>
      </c>
      <c r="S24" s="3"/>
      <c r="T24" s="4">
        <v>1.751999637788E16</v>
      </c>
      <c r="U24" s="3"/>
      <c r="V24" s="3"/>
      <c r="W24" s="3"/>
      <c r="X24" s="3"/>
      <c r="Y24" s="3"/>
      <c r="Z24" s="3"/>
    </row>
    <row r="25" ht="15.75" customHeight="1">
      <c r="A25" s="4">
        <v>8.02629089E8</v>
      </c>
      <c r="B25" s="5" t="s">
        <v>66</v>
      </c>
      <c r="C25" s="5" t="s">
        <v>38</v>
      </c>
      <c r="D25" s="5" t="s">
        <v>39</v>
      </c>
      <c r="E25" s="4">
        <v>2.0220101E7</v>
      </c>
      <c r="F25" s="4">
        <v>2.0250101E7</v>
      </c>
      <c r="G25" s="4">
        <v>202506.0</v>
      </c>
      <c r="H25" s="4">
        <v>1.879474E7</v>
      </c>
      <c r="I25" s="5" t="s">
        <v>32</v>
      </c>
      <c r="J25" s="5" t="s">
        <v>24</v>
      </c>
      <c r="K25" s="4">
        <v>1.8973608E7</v>
      </c>
      <c r="L25" s="5" t="s">
        <v>25</v>
      </c>
      <c r="M25" s="4">
        <v>202507.0</v>
      </c>
      <c r="N25" s="6">
        <v>36.0</v>
      </c>
      <c r="O25" s="4">
        <v>0.0</v>
      </c>
      <c r="P25" s="5" t="s">
        <v>26</v>
      </c>
      <c r="Q25" s="5" t="s">
        <v>27</v>
      </c>
      <c r="R25" s="4">
        <v>2.0250708E7</v>
      </c>
      <c r="S25" s="3"/>
      <c r="T25" s="4">
        <v>1.751999617191E16</v>
      </c>
      <c r="U25" s="3"/>
      <c r="V25" s="3"/>
      <c r="W25" s="3"/>
      <c r="X25" s="3"/>
      <c r="Y25" s="3"/>
      <c r="Z25" s="3"/>
    </row>
    <row r="26" ht="15.75" customHeight="1">
      <c r="A26" s="4">
        <v>8.02341284E8</v>
      </c>
      <c r="B26" s="5" t="s">
        <v>67</v>
      </c>
      <c r="C26" s="5" t="s">
        <v>21</v>
      </c>
      <c r="D26" s="5" t="s">
        <v>22</v>
      </c>
      <c r="E26" s="4">
        <v>2.0190401E7</v>
      </c>
      <c r="F26" s="4">
        <v>2.0250101E7</v>
      </c>
      <c r="G26" s="4">
        <v>202506.0</v>
      </c>
      <c r="H26" s="4">
        <v>1.879474E7</v>
      </c>
      <c r="I26" s="5" t="s">
        <v>32</v>
      </c>
      <c r="J26" s="5" t="s">
        <v>24</v>
      </c>
      <c r="K26" s="4">
        <v>1.8973608E7</v>
      </c>
      <c r="L26" s="5" t="s">
        <v>25</v>
      </c>
      <c r="M26" s="4">
        <v>202507.0</v>
      </c>
      <c r="N26" s="6">
        <v>36.0</v>
      </c>
      <c r="O26" s="4">
        <v>0.0</v>
      </c>
      <c r="P26" s="5" t="s">
        <v>26</v>
      </c>
      <c r="Q26" s="5" t="s">
        <v>27</v>
      </c>
      <c r="R26" s="4">
        <v>2.0250708E7</v>
      </c>
      <c r="S26" s="3"/>
      <c r="T26" s="4">
        <v>1.751999671329E16</v>
      </c>
      <c r="U26" s="3"/>
      <c r="V26" s="3"/>
      <c r="W26" s="3"/>
      <c r="X26" s="3"/>
      <c r="Y26" s="3"/>
      <c r="Z26" s="3"/>
    </row>
    <row r="27" ht="15.75" customHeight="1">
      <c r="A27" s="4">
        <v>8.02999165E8</v>
      </c>
      <c r="B27" s="5" t="s">
        <v>68</v>
      </c>
      <c r="C27" s="5" t="s">
        <v>41</v>
      </c>
      <c r="D27" s="5" t="s">
        <v>42</v>
      </c>
      <c r="E27" s="4">
        <v>2.0250101E7</v>
      </c>
      <c r="F27" s="4">
        <v>2.0250101E7</v>
      </c>
      <c r="G27" s="4">
        <v>202503.0</v>
      </c>
      <c r="H27" s="4">
        <v>1.879474E7</v>
      </c>
      <c r="I27" s="5" t="s">
        <v>32</v>
      </c>
      <c r="J27" s="5" t="s">
        <v>24</v>
      </c>
      <c r="K27" s="4">
        <v>1.8973608E7</v>
      </c>
      <c r="L27" s="5" t="s">
        <v>25</v>
      </c>
      <c r="M27" s="4">
        <v>202507.0</v>
      </c>
      <c r="N27" s="6">
        <v>110.0</v>
      </c>
      <c r="O27" s="4">
        <v>0.0</v>
      </c>
      <c r="P27" s="5" t="s">
        <v>26</v>
      </c>
      <c r="Q27" s="5" t="s">
        <v>54</v>
      </c>
      <c r="R27" s="4">
        <v>2.0250708E7</v>
      </c>
      <c r="S27" s="3"/>
      <c r="T27" s="4">
        <v>1.751999634108E16</v>
      </c>
      <c r="U27" s="3"/>
      <c r="V27" s="3"/>
      <c r="W27" s="3"/>
      <c r="X27" s="3"/>
      <c r="Y27" s="3"/>
      <c r="Z27" s="3"/>
    </row>
    <row r="28" ht="15.75" customHeight="1">
      <c r="A28" s="4">
        <v>8.02999435E8</v>
      </c>
      <c r="B28" s="5" t="s">
        <v>69</v>
      </c>
      <c r="C28" s="5" t="s">
        <v>21</v>
      </c>
      <c r="D28" s="5" t="s">
        <v>22</v>
      </c>
      <c r="E28" s="4">
        <v>2.0250101E7</v>
      </c>
      <c r="F28" s="4">
        <v>2.0250101E7</v>
      </c>
      <c r="G28" s="4">
        <v>202506.0</v>
      </c>
      <c r="H28" s="4">
        <v>9254978.0</v>
      </c>
      <c r="I28" s="5" t="s">
        <v>70</v>
      </c>
      <c r="J28" s="5" t="s">
        <v>24</v>
      </c>
      <c r="K28" s="4">
        <v>1.8973608E7</v>
      </c>
      <c r="L28" s="5" t="s">
        <v>25</v>
      </c>
      <c r="M28" s="4">
        <v>202507.0</v>
      </c>
      <c r="N28" s="6">
        <v>-88.0</v>
      </c>
      <c r="O28" s="4">
        <v>0.0</v>
      </c>
      <c r="P28" s="5" t="s">
        <v>26</v>
      </c>
      <c r="Q28" s="5" t="s">
        <v>54</v>
      </c>
      <c r="R28" s="4">
        <v>2.0250708E7</v>
      </c>
      <c r="S28" s="3"/>
      <c r="T28" s="4">
        <v>1.75199965043E16</v>
      </c>
      <c r="U28" s="3"/>
      <c r="V28" s="3"/>
      <c r="W28" s="3"/>
      <c r="X28" s="3"/>
      <c r="Y28" s="3"/>
      <c r="Z28" s="3"/>
    </row>
    <row r="29" ht="15.75" customHeight="1">
      <c r="A29" s="4">
        <v>8.02766776E8</v>
      </c>
      <c r="B29" s="5" t="s">
        <v>71</v>
      </c>
      <c r="C29" s="5" t="s">
        <v>47</v>
      </c>
      <c r="D29" s="5" t="s">
        <v>48</v>
      </c>
      <c r="E29" s="4">
        <v>2.0230101E7</v>
      </c>
      <c r="F29" s="4">
        <v>2.0250101E7</v>
      </c>
      <c r="G29" s="4">
        <v>202506.0</v>
      </c>
      <c r="H29" s="4">
        <v>9254978.0</v>
      </c>
      <c r="I29" s="5" t="s">
        <v>70</v>
      </c>
      <c r="J29" s="5" t="s">
        <v>24</v>
      </c>
      <c r="K29" s="4">
        <v>1.8973608E7</v>
      </c>
      <c r="L29" s="5" t="s">
        <v>25</v>
      </c>
      <c r="M29" s="4">
        <v>202507.0</v>
      </c>
      <c r="N29" s="6">
        <v>-72.0</v>
      </c>
      <c r="O29" s="4">
        <v>0.0</v>
      </c>
      <c r="P29" s="5" t="s">
        <v>26</v>
      </c>
      <c r="Q29" s="5" t="s">
        <v>27</v>
      </c>
      <c r="R29" s="4">
        <v>2.0250708E7</v>
      </c>
      <c r="S29" s="3"/>
      <c r="T29" s="4">
        <v>1.751999688127E16</v>
      </c>
      <c r="U29" s="3"/>
      <c r="V29" s="3"/>
      <c r="W29" s="3"/>
      <c r="X29" s="3"/>
      <c r="Y29" s="3"/>
      <c r="Z29" s="3"/>
    </row>
    <row r="30" ht="15.75" customHeight="1">
      <c r="A30" s="4">
        <v>8.02566347E8</v>
      </c>
      <c r="B30" s="5" t="s">
        <v>72</v>
      </c>
      <c r="C30" s="5" t="s">
        <v>30</v>
      </c>
      <c r="D30" s="5" t="s">
        <v>31</v>
      </c>
      <c r="E30" s="4">
        <v>2.0210501E7</v>
      </c>
      <c r="F30" s="4">
        <v>2.0250101E7</v>
      </c>
      <c r="G30" s="4">
        <v>202506.0</v>
      </c>
      <c r="H30" s="4">
        <v>9254978.0</v>
      </c>
      <c r="I30" s="5" t="s">
        <v>70</v>
      </c>
      <c r="J30" s="5" t="s">
        <v>24</v>
      </c>
      <c r="K30" s="4">
        <v>1.8973608E7</v>
      </c>
      <c r="L30" s="5" t="s">
        <v>25</v>
      </c>
      <c r="M30" s="4">
        <v>202507.0</v>
      </c>
      <c r="N30" s="6">
        <v>-54.0</v>
      </c>
      <c r="O30" s="4">
        <v>0.0</v>
      </c>
      <c r="P30" s="5" t="s">
        <v>26</v>
      </c>
      <c r="Q30" s="5" t="s">
        <v>27</v>
      </c>
      <c r="R30" s="4">
        <v>2.0250708E7</v>
      </c>
      <c r="S30" s="3"/>
      <c r="T30" s="4">
        <v>1.751999597234E16</v>
      </c>
      <c r="U30" s="3"/>
      <c r="V30" s="3"/>
      <c r="W30" s="3"/>
      <c r="X30" s="3"/>
      <c r="Y30" s="3"/>
      <c r="Z30" s="3"/>
    </row>
    <row r="31" ht="15.75" customHeight="1">
      <c r="A31" s="4">
        <v>8.02624955E8</v>
      </c>
      <c r="B31" s="5" t="s">
        <v>73</v>
      </c>
      <c r="C31" s="5" t="s">
        <v>21</v>
      </c>
      <c r="D31" s="5" t="s">
        <v>22</v>
      </c>
      <c r="E31" s="4">
        <v>2.0220101E7</v>
      </c>
      <c r="F31" s="4">
        <v>2.0250101E7</v>
      </c>
      <c r="G31" s="4">
        <v>202506.0</v>
      </c>
      <c r="H31" s="4">
        <v>9254978.0</v>
      </c>
      <c r="I31" s="5" t="s">
        <v>70</v>
      </c>
      <c r="J31" s="5" t="s">
        <v>24</v>
      </c>
      <c r="K31" s="4">
        <v>1.8973608E7</v>
      </c>
      <c r="L31" s="5" t="s">
        <v>25</v>
      </c>
      <c r="M31" s="4">
        <v>202507.0</v>
      </c>
      <c r="N31" s="6">
        <v>-36.0</v>
      </c>
      <c r="O31" s="4">
        <v>0.0</v>
      </c>
      <c r="P31" s="5" t="s">
        <v>26</v>
      </c>
      <c r="Q31" s="5" t="s">
        <v>27</v>
      </c>
      <c r="R31" s="4">
        <v>2.0250708E7</v>
      </c>
      <c r="S31" s="3"/>
      <c r="T31" s="4">
        <v>1.751999614889E16</v>
      </c>
      <c r="U31" s="3"/>
      <c r="V31" s="3"/>
      <c r="W31" s="3"/>
      <c r="X31" s="3"/>
      <c r="Y31" s="3"/>
      <c r="Z31" s="3"/>
    </row>
    <row r="32" ht="15.75" customHeight="1">
      <c r="A32" s="4">
        <v>8.02645242E8</v>
      </c>
      <c r="B32" s="5" t="s">
        <v>74</v>
      </c>
      <c r="C32" s="5" t="s">
        <v>47</v>
      </c>
      <c r="D32" s="5" t="s">
        <v>48</v>
      </c>
      <c r="E32" s="4">
        <v>2.0220101E7</v>
      </c>
      <c r="F32" s="4">
        <v>2.0250101E7</v>
      </c>
      <c r="G32" s="4">
        <v>202506.0</v>
      </c>
      <c r="H32" s="4">
        <v>9254978.0</v>
      </c>
      <c r="I32" s="5" t="s">
        <v>70</v>
      </c>
      <c r="J32" s="5" t="s">
        <v>24</v>
      </c>
      <c r="K32" s="4">
        <v>1.8973608E7</v>
      </c>
      <c r="L32" s="5" t="s">
        <v>25</v>
      </c>
      <c r="M32" s="4">
        <v>202507.0</v>
      </c>
      <c r="N32" s="6">
        <v>-36.0</v>
      </c>
      <c r="O32" s="4">
        <v>0.0</v>
      </c>
      <c r="P32" s="5" t="s">
        <v>26</v>
      </c>
      <c r="Q32" s="5" t="s">
        <v>27</v>
      </c>
      <c r="R32" s="4">
        <v>2.0250708E7</v>
      </c>
      <c r="S32" s="3"/>
      <c r="T32" s="4">
        <v>1.751999624098E16</v>
      </c>
      <c r="U32" s="3"/>
      <c r="V32" s="3"/>
      <c r="W32" s="3"/>
      <c r="X32" s="3"/>
      <c r="Y32" s="3"/>
      <c r="Z32" s="3"/>
    </row>
    <row r="33" ht="15.75" customHeight="1">
      <c r="A33" s="4">
        <v>8.0269002E8</v>
      </c>
      <c r="B33" s="5" t="s">
        <v>75</v>
      </c>
      <c r="C33" s="5" t="s">
        <v>47</v>
      </c>
      <c r="D33" s="5" t="s">
        <v>48</v>
      </c>
      <c r="E33" s="4">
        <v>2.0220501E7</v>
      </c>
      <c r="F33" s="4">
        <v>2.0250101E7</v>
      </c>
      <c r="G33" s="4">
        <v>202506.0</v>
      </c>
      <c r="H33" s="4">
        <v>9254978.0</v>
      </c>
      <c r="I33" s="5" t="s">
        <v>70</v>
      </c>
      <c r="J33" s="5" t="s">
        <v>24</v>
      </c>
      <c r="K33" s="4">
        <v>1.8973608E7</v>
      </c>
      <c r="L33" s="5" t="s">
        <v>25</v>
      </c>
      <c r="M33" s="4">
        <v>202507.0</v>
      </c>
      <c r="N33" s="6">
        <v>-18.0</v>
      </c>
      <c r="O33" s="4">
        <v>0.0</v>
      </c>
      <c r="P33" s="5" t="s">
        <v>26</v>
      </c>
      <c r="Q33" s="5" t="s">
        <v>27</v>
      </c>
      <c r="R33" s="4">
        <v>2.0250708E7</v>
      </c>
      <c r="S33" s="3"/>
      <c r="T33" s="4">
        <v>1.751999640801E16</v>
      </c>
      <c r="U33" s="3"/>
      <c r="V33" s="3"/>
      <c r="W33" s="3"/>
      <c r="X33" s="3"/>
      <c r="Y33" s="3"/>
      <c r="Z33" s="3"/>
    </row>
    <row r="34" ht="15.75" customHeight="1">
      <c r="A34" s="4">
        <v>8.02742865E8</v>
      </c>
      <c r="B34" s="5" t="s">
        <v>76</v>
      </c>
      <c r="C34" s="5" t="s">
        <v>30</v>
      </c>
      <c r="D34" s="5" t="s">
        <v>31</v>
      </c>
      <c r="E34" s="4">
        <v>2.0221101E7</v>
      </c>
      <c r="F34" s="4">
        <v>2.0250101E7</v>
      </c>
      <c r="G34" s="4">
        <v>202506.0</v>
      </c>
      <c r="H34" s="4">
        <v>9254978.0</v>
      </c>
      <c r="I34" s="5" t="s">
        <v>70</v>
      </c>
      <c r="J34" s="5" t="s">
        <v>24</v>
      </c>
      <c r="K34" s="4">
        <v>1.8973608E7</v>
      </c>
      <c r="L34" s="5" t="s">
        <v>25</v>
      </c>
      <c r="M34" s="4">
        <v>202507.0</v>
      </c>
      <c r="N34" s="6">
        <v>-18.0</v>
      </c>
      <c r="O34" s="4">
        <v>0.0</v>
      </c>
      <c r="P34" s="5" t="s">
        <v>26</v>
      </c>
      <c r="Q34" s="5" t="s">
        <v>27</v>
      </c>
      <c r="R34" s="4">
        <v>2.0250708E7</v>
      </c>
      <c r="S34" s="3"/>
      <c r="T34" s="4">
        <v>1.751999670508E16</v>
      </c>
      <c r="U34" s="3"/>
      <c r="V34" s="3"/>
      <c r="W34" s="3"/>
      <c r="X34" s="3"/>
      <c r="Y34" s="3"/>
      <c r="Z34" s="3"/>
    </row>
    <row r="35" ht="15.75" customHeight="1">
      <c r="A35" s="4">
        <v>8.02758903E8</v>
      </c>
      <c r="B35" s="5" t="s">
        <v>77</v>
      </c>
      <c r="C35" s="5" t="s">
        <v>47</v>
      </c>
      <c r="D35" s="5" t="s">
        <v>48</v>
      </c>
      <c r="E35" s="4">
        <v>2.0230101E7</v>
      </c>
      <c r="F35" s="4">
        <v>2.0250101E7</v>
      </c>
      <c r="G35" s="4">
        <v>202506.0</v>
      </c>
      <c r="H35" s="4">
        <v>9254978.0</v>
      </c>
      <c r="I35" s="5" t="s">
        <v>70</v>
      </c>
      <c r="J35" s="5" t="s">
        <v>24</v>
      </c>
      <c r="K35" s="4">
        <v>1.8973608E7</v>
      </c>
      <c r="L35" s="5" t="s">
        <v>25</v>
      </c>
      <c r="M35" s="4">
        <v>202507.0</v>
      </c>
      <c r="N35" s="6">
        <v>-18.0</v>
      </c>
      <c r="O35" s="4">
        <v>0.0</v>
      </c>
      <c r="P35" s="5" t="s">
        <v>26</v>
      </c>
      <c r="Q35" s="5" t="s">
        <v>27</v>
      </c>
      <c r="R35" s="4">
        <v>2.0250708E7</v>
      </c>
      <c r="S35" s="3"/>
      <c r="T35" s="4">
        <v>1.751999682557E16</v>
      </c>
      <c r="U35" s="3"/>
      <c r="V35" s="3"/>
      <c r="W35" s="3"/>
      <c r="X35" s="3"/>
      <c r="Y35" s="3"/>
      <c r="Z35" s="3"/>
    </row>
    <row r="36" ht="15.75" customHeight="1">
      <c r="A36" s="4">
        <v>8.02766143E8</v>
      </c>
      <c r="B36" s="5" t="s">
        <v>78</v>
      </c>
      <c r="C36" s="5" t="s">
        <v>47</v>
      </c>
      <c r="D36" s="5" t="s">
        <v>48</v>
      </c>
      <c r="E36" s="4">
        <v>2.0230101E7</v>
      </c>
      <c r="F36" s="4">
        <v>2.0250101E7</v>
      </c>
      <c r="G36" s="4">
        <v>202506.0</v>
      </c>
      <c r="H36" s="4">
        <v>9254978.0</v>
      </c>
      <c r="I36" s="5" t="s">
        <v>70</v>
      </c>
      <c r="J36" s="5" t="s">
        <v>24</v>
      </c>
      <c r="K36" s="4">
        <v>1.8973608E7</v>
      </c>
      <c r="L36" s="5" t="s">
        <v>25</v>
      </c>
      <c r="M36" s="4">
        <v>202507.0</v>
      </c>
      <c r="N36" s="6">
        <v>-18.0</v>
      </c>
      <c r="O36" s="4">
        <v>0.0</v>
      </c>
      <c r="P36" s="5" t="s">
        <v>26</v>
      </c>
      <c r="Q36" s="5" t="s">
        <v>27</v>
      </c>
      <c r="R36" s="4">
        <v>2.0250708E7</v>
      </c>
      <c r="S36" s="3"/>
      <c r="T36" s="4">
        <v>1.751999687083E16</v>
      </c>
      <c r="U36" s="3"/>
      <c r="V36" s="3"/>
      <c r="W36" s="3"/>
      <c r="X36" s="3"/>
      <c r="Y36" s="3"/>
      <c r="Z36" s="3"/>
    </row>
    <row r="37" ht="15.75" customHeight="1">
      <c r="A37" s="4">
        <v>8.027053E8</v>
      </c>
      <c r="B37" s="5" t="s">
        <v>79</v>
      </c>
      <c r="C37" s="5" t="s">
        <v>47</v>
      </c>
      <c r="D37" s="5" t="s">
        <v>48</v>
      </c>
      <c r="E37" s="4">
        <v>2.0220701E7</v>
      </c>
      <c r="F37" s="4">
        <v>2.0250101E7</v>
      </c>
      <c r="G37" s="4">
        <v>202506.0</v>
      </c>
      <c r="H37" s="4">
        <v>9079571.0</v>
      </c>
      <c r="I37" s="5" t="s">
        <v>80</v>
      </c>
      <c r="J37" s="5" t="s">
        <v>24</v>
      </c>
      <c r="K37" s="4">
        <v>1.8973608E7</v>
      </c>
      <c r="L37" s="5" t="s">
        <v>25</v>
      </c>
      <c r="M37" s="4">
        <v>202507.0</v>
      </c>
      <c r="N37" s="6">
        <v>18.0</v>
      </c>
      <c r="O37" s="4">
        <v>0.0</v>
      </c>
      <c r="P37" s="5" t="s">
        <v>26</v>
      </c>
      <c r="Q37" s="5" t="s">
        <v>27</v>
      </c>
      <c r="R37" s="4">
        <v>2.0250708E7</v>
      </c>
      <c r="S37" s="3"/>
      <c r="T37" s="4">
        <v>1.751999645757E16</v>
      </c>
      <c r="U37" s="3"/>
      <c r="V37" s="3"/>
      <c r="W37" s="3"/>
      <c r="X37" s="3"/>
      <c r="Y37" s="3"/>
      <c r="Z37" s="3"/>
    </row>
    <row r="38" ht="15.75" customHeight="1">
      <c r="A38" s="4">
        <v>8.02071259E8</v>
      </c>
      <c r="B38" s="5" t="s">
        <v>81</v>
      </c>
      <c r="C38" s="5" t="s">
        <v>44</v>
      </c>
      <c r="D38" s="5" t="s">
        <v>45</v>
      </c>
      <c r="E38" s="4">
        <v>2.0170701E7</v>
      </c>
      <c r="F38" s="4">
        <v>2.0250101E7</v>
      </c>
      <c r="G38" s="4">
        <v>202507.0</v>
      </c>
      <c r="H38" s="4">
        <v>9079571.0</v>
      </c>
      <c r="I38" s="5" t="s">
        <v>80</v>
      </c>
      <c r="J38" s="5" t="s">
        <v>24</v>
      </c>
      <c r="K38" s="4">
        <v>1.8973608E7</v>
      </c>
      <c r="L38" s="5" t="s">
        <v>25</v>
      </c>
      <c r="M38" s="4">
        <v>202507.0</v>
      </c>
      <c r="N38" s="6">
        <v>18.0</v>
      </c>
      <c r="O38" s="4">
        <v>0.0</v>
      </c>
      <c r="P38" s="5" t="s">
        <v>26</v>
      </c>
      <c r="Q38" s="5" t="s">
        <v>27</v>
      </c>
      <c r="R38" s="4">
        <v>2.0250708E7</v>
      </c>
      <c r="S38" s="3"/>
      <c r="T38" s="4">
        <v>1.751999613837E16</v>
      </c>
      <c r="U38" s="3"/>
      <c r="V38" s="3"/>
      <c r="W38" s="3"/>
      <c r="X38" s="3"/>
      <c r="Y38" s="3"/>
      <c r="Z38" s="3"/>
    </row>
    <row r="39" ht="15.75" customHeight="1">
      <c r="A39" s="4">
        <v>8.02715093E8</v>
      </c>
      <c r="B39" s="5" t="s">
        <v>82</v>
      </c>
      <c r="C39" s="5" t="s">
        <v>64</v>
      </c>
      <c r="D39" s="5" t="s">
        <v>65</v>
      </c>
      <c r="E39" s="4">
        <v>2.0220801E7</v>
      </c>
      <c r="F39" s="4">
        <v>2.0250101E7</v>
      </c>
      <c r="G39" s="4">
        <v>202507.0</v>
      </c>
      <c r="H39" s="4">
        <v>9079571.0</v>
      </c>
      <c r="I39" s="5" t="s">
        <v>80</v>
      </c>
      <c r="J39" s="5" t="s">
        <v>24</v>
      </c>
      <c r="K39" s="4">
        <v>1.8973608E7</v>
      </c>
      <c r="L39" s="5" t="s">
        <v>25</v>
      </c>
      <c r="M39" s="4">
        <v>202507.0</v>
      </c>
      <c r="N39" s="6">
        <v>54.0</v>
      </c>
      <c r="O39" s="4">
        <v>0.0</v>
      </c>
      <c r="P39" s="5" t="s">
        <v>26</v>
      </c>
      <c r="Q39" s="5" t="s">
        <v>27</v>
      </c>
      <c r="R39" s="4">
        <v>2.0250708E7</v>
      </c>
      <c r="S39" s="3"/>
      <c r="T39" s="4">
        <v>1.751999649243E16</v>
      </c>
      <c r="U39" s="3"/>
      <c r="V39" s="3"/>
      <c r="W39" s="3"/>
      <c r="X39" s="3"/>
      <c r="Y39" s="3"/>
      <c r="Z39" s="3"/>
    </row>
    <row r="40" ht="15.75" customHeight="1">
      <c r="A40" s="4">
        <v>8.02183108E8</v>
      </c>
      <c r="B40" s="5" t="s">
        <v>83</v>
      </c>
      <c r="C40" s="5" t="s">
        <v>41</v>
      </c>
      <c r="D40" s="5" t="s">
        <v>42</v>
      </c>
      <c r="E40" s="4">
        <v>2.0180201E7</v>
      </c>
      <c r="F40" s="4">
        <v>2.0250101E7</v>
      </c>
      <c r="G40" s="4">
        <v>202507.0</v>
      </c>
      <c r="H40" s="4">
        <v>9079571.0</v>
      </c>
      <c r="I40" s="5" t="s">
        <v>80</v>
      </c>
      <c r="J40" s="5" t="s">
        <v>24</v>
      </c>
      <c r="K40" s="4">
        <v>1.8973608E7</v>
      </c>
      <c r="L40" s="5" t="s">
        <v>25</v>
      </c>
      <c r="M40" s="4">
        <v>202507.0</v>
      </c>
      <c r="N40" s="6">
        <v>90.0</v>
      </c>
      <c r="O40" s="4">
        <v>0.0</v>
      </c>
      <c r="P40" s="5" t="s">
        <v>26</v>
      </c>
      <c r="Q40" s="5" t="s">
        <v>27</v>
      </c>
      <c r="R40" s="4">
        <v>2.0250708E7</v>
      </c>
      <c r="S40" s="3"/>
      <c r="T40" s="4">
        <v>1.751999628674E16</v>
      </c>
      <c r="U40" s="3"/>
      <c r="V40" s="3"/>
      <c r="W40" s="3"/>
      <c r="X40" s="3"/>
      <c r="Y40" s="3"/>
      <c r="Z40" s="3"/>
    </row>
    <row r="41" ht="15.75" customHeight="1">
      <c r="A41" s="4">
        <v>8.02726965E8</v>
      </c>
      <c r="B41" s="5" t="s">
        <v>84</v>
      </c>
      <c r="C41" s="5" t="s">
        <v>85</v>
      </c>
      <c r="D41" s="5" t="s">
        <v>86</v>
      </c>
      <c r="E41" s="4">
        <v>2.0220901E7</v>
      </c>
      <c r="F41" s="4">
        <v>2.0250101E7</v>
      </c>
      <c r="G41" s="4">
        <v>202506.0</v>
      </c>
      <c r="H41" s="4">
        <v>1.6509456E7</v>
      </c>
      <c r="I41" s="5" t="s">
        <v>87</v>
      </c>
      <c r="J41" s="5" t="s">
        <v>24</v>
      </c>
      <c r="K41" s="4">
        <v>1.8973608E7</v>
      </c>
      <c r="L41" s="5" t="s">
        <v>25</v>
      </c>
      <c r="M41" s="4">
        <v>202507.0</v>
      </c>
      <c r="N41" s="6">
        <v>54.0</v>
      </c>
      <c r="O41" s="4">
        <v>0.0</v>
      </c>
      <c r="P41" s="5" t="s">
        <v>26</v>
      </c>
      <c r="Q41" s="5" t="s">
        <v>27</v>
      </c>
      <c r="R41" s="4">
        <v>2.0250708E7</v>
      </c>
      <c r="S41" s="3"/>
      <c r="T41" s="4">
        <v>1.751999653402E16</v>
      </c>
      <c r="U41" s="3"/>
      <c r="V41" s="3"/>
      <c r="W41" s="3"/>
      <c r="X41" s="3"/>
      <c r="Y41" s="3"/>
      <c r="Z41" s="3"/>
    </row>
    <row r="42" ht="15.75" customHeight="1">
      <c r="A42" s="4">
        <v>8.0251256E8</v>
      </c>
      <c r="B42" s="5" t="s">
        <v>88</v>
      </c>
      <c r="C42" s="5" t="s">
        <v>85</v>
      </c>
      <c r="D42" s="5" t="s">
        <v>86</v>
      </c>
      <c r="E42" s="4">
        <v>2.0210101E7</v>
      </c>
      <c r="F42" s="4">
        <v>2.0250101E7</v>
      </c>
      <c r="G42" s="4">
        <v>202507.0</v>
      </c>
      <c r="H42" s="4">
        <v>8307933.0</v>
      </c>
      <c r="I42" s="5" t="s">
        <v>89</v>
      </c>
      <c r="J42" s="5" t="s">
        <v>24</v>
      </c>
      <c r="K42" s="4">
        <v>1.8973608E7</v>
      </c>
      <c r="L42" s="5" t="s">
        <v>25</v>
      </c>
      <c r="M42" s="4">
        <v>202507.0</v>
      </c>
      <c r="N42" s="6">
        <v>18.0</v>
      </c>
      <c r="O42" s="4">
        <v>0.0</v>
      </c>
      <c r="P42" s="5" t="s">
        <v>26</v>
      </c>
      <c r="Q42" s="5" t="s">
        <v>27</v>
      </c>
      <c r="R42" s="4">
        <v>2.0250708E7</v>
      </c>
      <c r="S42" s="3"/>
      <c r="T42" s="4">
        <v>1.751999654976E16</v>
      </c>
      <c r="U42" s="3"/>
      <c r="V42" s="3"/>
      <c r="W42" s="3"/>
      <c r="X42" s="3"/>
      <c r="Y42" s="3"/>
      <c r="Z42" s="3"/>
    </row>
    <row r="43" ht="15.75" customHeight="1">
      <c r="A43" s="4">
        <v>8.02400239E8</v>
      </c>
      <c r="B43" s="5" t="s">
        <v>90</v>
      </c>
      <c r="C43" s="5" t="s">
        <v>38</v>
      </c>
      <c r="D43" s="5" t="s">
        <v>39</v>
      </c>
      <c r="E43" s="4">
        <v>2.0200101E7</v>
      </c>
      <c r="F43" s="4">
        <v>2.0250101E7</v>
      </c>
      <c r="G43" s="4">
        <v>202506.0</v>
      </c>
      <c r="H43" s="4">
        <v>8307933.0</v>
      </c>
      <c r="I43" s="5" t="s">
        <v>89</v>
      </c>
      <c r="J43" s="5" t="s">
        <v>24</v>
      </c>
      <c r="K43" s="4">
        <v>1.8973608E7</v>
      </c>
      <c r="L43" s="5" t="s">
        <v>25</v>
      </c>
      <c r="M43" s="4">
        <v>202507.0</v>
      </c>
      <c r="N43" s="6">
        <v>18.0</v>
      </c>
      <c r="O43" s="4">
        <v>0.0</v>
      </c>
      <c r="P43" s="5" t="s">
        <v>26</v>
      </c>
      <c r="Q43" s="5" t="s">
        <v>27</v>
      </c>
      <c r="R43" s="4">
        <v>2.0250708E7</v>
      </c>
      <c r="S43" s="3"/>
      <c r="T43" s="4">
        <v>1.75199965487E16</v>
      </c>
      <c r="U43" s="3"/>
      <c r="V43" s="3"/>
      <c r="W43" s="3"/>
      <c r="X43" s="3"/>
      <c r="Y43" s="3"/>
      <c r="Z43" s="3"/>
    </row>
    <row r="44" ht="15.75" customHeight="1">
      <c r="A44" s="4">
        <v>8.03038832E8</v>
      </c>
      <c r="B44" s="5" t="s">
        <v>91</v>
      </c>
      <c r="C44" s="5" t="s">
        <v>21</v>
      </c>
      <c r="D44" s="5" t="s">
        <v>22</v>
      </c>
      <c r="E44" s="4">
        <v>2.0250501E7</v>
      </c>
      <c r="F44" s="4">
        <v>2.0250501E7</v>
      </c>
      <c r="G44" s="4">
        <v>202507.0</v>
      </c>
      <c r="H44" s="4">
        <v>8307933.0</v>
      </c>
      <c r="I44" s="5" t="s">
        <v>89</v>
      </c>
      <c r="J44" s="5" t="s">
        <v>24</v>
      </c>
      <c r="K44" s="4">
        <v>1.8973608E7</v>
      </c>
      <c r="L44" s="5" t="s">
        <v>25</v>
      </c>
      <c r="M44" s="4">
        <v>202507.0</v>
      </c>
      <c r="N44" s="6">
        <v>44.0</v>
      </c>
      <c r="O44" s="4">
        <v>0.0</v>
      </c>
      <c r="P44" s="5" t="s">
        <v>26</v>
      </c>
      <c r="Q44" s="5" t="s">
        <v>54</v>
      </c>
      <c r="R44" s="4">
        <v>2.0250708E7</v>
      </c>
      <c r="S44" s="3"/>
      <c r="T44" s="4">
        <v>1.751999669982E16</v>
      </c>
      <c r="U44" s="3"/>
      <c r="V44" s="3"/>
      <c r="W44" s="3"/>
      <c r="X44" s="3"/>
      <c r="Y44" s="3"/>
      <c r="Z44" s="3"/>
    </row>
    <row r="45" ht="15.75" customHeight="1">
      <c r="A45" s="4">
        <v>8.03044048E8</v>
      </c>
      <c r="B45" s="5" t="s">
        <v>92</v>
      </c>
      <c r="C45" s="5" t="s">
        <v>30</v>
      </c>
      <c r="D45" s="5" t="s">
        <v>31</v>
      </c>
      <c r="E45" s="4">
        <v>2.0250601E7</v>
      </c>
      <c r="F45" s="4">
        <v>2.0250601E7</v>
      </c>
      <c r="G45" s="4">
        <v>202507.0</v>
      </c>
      <c r="H45" s="4">
        <v>1.7640026E7</v>
      </c>
      <c r="I45" s="5" t="s">
        <v>93</v>
      </c>
      <c r="J45" s="5" t="s">
        <v>94</v>
      </c>
      <c r="K45" s="4">
        <v>1.8973608E7</v>
      </c>
      <c r="L45" s="5" t="s">
        <v>25</v>
      </c>
      <c r="M45" s="4">
        <v>202507.0</v>
      </c>
      <c r="N45" s="6">
        <v>22.0</v>
      </c>
      <c r="O45" s="4">
        <v>0.0</v>
      </c>
      <c r="P45" s="5" t="s">
        <v>26</v>
      </c>
      <c r="Q45" s="5" t="s">
        <v>54</v>
      </c>
      <c r="R45" s="4">
        <v>2.0250708E7</v>
      </c>
      <c r="S45" s="3"/>
      <c r="T45" s="4">
        <v>1.751999675411E16</v>
      </c>
      <c r="U45" s="3"/>
      <c r="V45" s="3"/>
      <c r="W45" s="3"/>
      <c r="X45" s="3"/>
      <c r="Y45" s="3"/>
      <c r="Z45" s="3"/>
    </row>
    <row r="46" ht="15.75" customHeight="1">
      <c r="A46" s="4">
        <v>8.03042208E8</v>
      </c>
      <c r="B46" s="5" t="s">
        <v>95</v>
      </c>
      <c r="C46" s="5" t="s">
        <v>96</v>
      </c>
      <c r="D46" s="5" t="s">
        <v>97</v>
      </c>
      <c r="E46" s="4">
        <v>2.0250501E7</v>
      </c>
      <c r="F46" s="4">
        <v>2.0250501E7</v>
      </c>
      <c r="G46" s="4">
        <v>202507.0</v>
      </c>
      <c r="H46" s="4">
        <v>1.7640026E7</v>
      </c>
      <c r="I46" s="5" t="s">
        <v>93</v>
      </c>
      <c r="J46" s="5" t="s">
        <v>94</v>
      </c>
      <c r="K46" s="4">
        <v>1.8973608E7</v>
      </c>
      <c r="L46" s="5" t="s">
        <v>25</v>
      </c>
      <c r="M46" s="4">
        <v>202507.0</v>
      </c>
      <c r="N46" s="6">
        <v>44.0</v>
      </c>
      <c r="O46" s="4">
        <v>0.0</v>
      </c>
      <c r="P46" s="5" t="s">
        <v>26</v>
      </c>
      <c r="Q46" s="5" t="s">
        <v>54</v>
      </c>
      <c r="R46" s="4">
        <v>2.0250708E7</v>
      </c>
      <c r="S46" s="3"/>
      <c r="T46" s="4">
        <v>1.751999672827E16</v>
      </c>
      <c r="U46" s="3"/>
      <c r="V46" s="3"/>
      <c r="W46" s="3"/>
      <c r="X46" s="3"/>
      <c r="Y46" s="3"/>
      <c r="Z46" s="3"/>
    </row>
    <row r="47" ht="15.75" customHeight="1">
      <c r="A47" s="4">
        <v>8.0212589E8</v>
      </c>
      <c r="B47" s="5" t="s">
        <v>98</v>
      </c>
      <c r="C47" s="5" t="s">
        <v>64</v>
      </c>
      <c r="D47" s="5" t="s">
        <v>65</v>
      </c>
      <c r="E47" s="4">
        <v>2.0180101E7</v>
      </c>
      <c r="F47" s="4">
        <v>2.0250101E7</v>
      </c>
      <c r="G47" s="4">
        <v>202507.0</v>
      </c>
      <c r="H47" s="4">
        <v>1.7640026E7</v>
      </c>
      <c r="I47" s="5" t="s">
        <v>93</v>
      </c>
      <c r="J47" s="5" t="s">
        <v>94</v>
      </c>
      <c r="K47" s="4">
        <v>1.8973608E7</v>
      </c>
      <c r="L47" s="5" t="s">
        <v>25</v>
      </c>
      <c r="M47" s="4">
        <v>202507.0</v>
      </c>
      <c r="N47" s="6">
        <v>54.0</v>
      </c>
      <c r="O47" s="4">
        <v>0.0</v>
      </c>
      <c r="P47" s="5" t="s">
        <v>26</v>
      </c>
      <c r="Q47" s="5" t="s">
        <v>27</v>
      </c>
      <c r="R47" s="4">
        <v>2.0250708E7</v>
      </c>
      <c r="S47" s="3"/>
      <c r="T47" s="4">
        <v>1.751999657859E16</v>
      </c>
      <c r="U47" s="3"/>
      <c r="V47" s="3"/>
      <c r="W47" s="3"/>
      <c r="X47" s="3"/>
      <c r="Y47" s="3"/>
      <c r="Z47" s="3"/>
    </row>
    <row r="48" ht="15.75" customHeight="1">
      <c r="A48" s="4">
        <v>8.02999312E8</v>
      </c>
      <c r="B48" s="5" t="s">
        <v>99</v>
      </c>
      <c r="C48" s="5" t="s">
        <v>41</v>
      </c>
      <c r="D48" s="5" t="s">
        <v>42</v>
      </c>
      <c r="E48" s="4">
        <v>2.0250101E7</v>
      </c>
      <c r="F48" s="4">
        <v>2.0250101E7</v>
      </c>
      <c r="G48" s="4">
        <v>202507.0</v>
      </c>
      <c r="H48" s="4">
        <v>1.7640026E7</v>
      </c>
      <c r="I48" s="5" t="s">
        <v>93</v>
      </c>
      <c r="J48" s="5" t="s">
        <v>94</v>
      </c>
      <c r="K48" s="4">
        <v>1.8973608E7</v>
      </c>
      <c r="L48" s="5" t="s">
        <v>25</v>
      </c>
      <c r="M48" s="4">
        <v>202507.0</v>
      </c>
      <c r="N48" s="6">
        <v>88.0</v>
      </c>
      <c r="O48" s="4">
        <v>0.0</v>
      </c>
      <c r="P48" s="5" t="s">
        <v>26</v>
      </c>
      <c r="Q48" s="5" t="s">
        <v>54</v>
      </c>
      <c r="R48" s="4">
        <v>2.0250708E7</v>
      </c>
      <c r="S48" s="3"/>
      <c r="T48" s="4">
        <v>1.751999665084E16</v>
      </c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7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8">
        <f>SUM(N2:N49)</f>
        <v>894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7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7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7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7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7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7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7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7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7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7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7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7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7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7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7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7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7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7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7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7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7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7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7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7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7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7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7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7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7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7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7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7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7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7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7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7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7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7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7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7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7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7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7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7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7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7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7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7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7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7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7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7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7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7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7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7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7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7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7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7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7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7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7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7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7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7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7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7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7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7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7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7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7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7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7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7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7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7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7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7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7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7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7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7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7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7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7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7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7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7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7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7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7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7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7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7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7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7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7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7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7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7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7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7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7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7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7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7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7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7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7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7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7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7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7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7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7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7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7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7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7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7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7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7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7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7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7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7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7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7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7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7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7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7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7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7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7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7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7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7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7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7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7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7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7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7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7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7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7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7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7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7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7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7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7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7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7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7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7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7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7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7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7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7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7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7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7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7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7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7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7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7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7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7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7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7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7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7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7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7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7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7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7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7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7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7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7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7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7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7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7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7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7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7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7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7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4.0"/>
    <col customWidth="1" min="8" max="8" width="19.0"/>
    <col customWidth="1" min="9" max="9" width="30.13"/>
    <col customWidth="1" min="14" max="14" width="21.13"/>
  </cols>
  <sheetData>
    <row r="1" ht="15.75" customHeight="1">
      <c r="A1" s="1" t="s">
        <v>0</v>
      </c>
      <c r="B1" s="1" t="s">
        <v>1</v>
      </c>
      <c r="C1" s="1" t="s">
        <v>4</v>
      </c>
      <c r="D1" s="1"/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2" t="s">
        <v>13</v>
      </c>
      <c r="N1" s="3"/>
      <c r="O1" s="3"/>
      <c r="P1" s="3"/>
      <c r="Q1" s="3"/>
      <c r="R1" s="3"/>
    </row>
    <row r="2" ht="15.75" customHeight="1">
      <c r="A2" s="4">
        <v>8.02999435E8</v>
      </c>
      <c r="B2" s="5" t="s">
        <v>69</v>
      </c>
      <c r="C2" s="4">
        <v>2.0250101E7</v>
      </c>
      <c r="D2" s="4" t="str">
        <f t="shared" ref="D2:D48" si="1">TEXT(DATE(LEFT(C2,4), MID(C2,5,2), RIGHT(C2,2)), "M/d/yyyy")</f>
        <v>1/1/2025</v>
      </c>
      <c r="E2" s="4">
        <v>2.0250101E7</v>
      </c>
      <c r="F2" s="4">
        <v>202506.0</v>
      </c>
      <c r="G2" s="4">
        <v>9254978.0</v>
      </c>
      <c r="H2" s="5" t="s">
        <v>70</v>
      </c>
      <c r="I2" s="5" t="s">
        <v>24</v>
      </c>
      <c r="J2" s="4">
        <v>1.8973608E7</v>
      </c>
      <c r="K2" s="5" t="s">
        <v>25</v>
      </c>
      <c r="L2" s="4">
        <v>202507.0</v>
      </c>
      <c r="M2" s="6">
        <v>-88.0</v>
      </c>
      <c r="N2" s="3" t="s">
        <v>100</v>
      </c>
      <c r="O2" s="3" t="s">
        <v>101</v>
      </c>
      <c r="P2" s="3"/>
      <c r="Q2" s="3"/>
      <c r="R2" s="3"/>
    </row>
    <row r="3" ht="15.75" customHeight="1">
      <c r="A3" s="4">
        <v>8.02766776E8</v>
      </c>
      <c r="B3" s="5" t="s">
        <v>71</v>
      </c>
      <c r="C3" s="4">
        <v>2.0230101E7</v>
      </c>
      <c r="D3" s="4" t="str">
        <f t="shared" si="1"/>
        <v>1/1/2023</v>
      </c>
      <c r="E3" s="4">
        <v>2.0250101E7</v>
      </c>
      <c r="F3" s="4">
        <v>202506.0</v>
      </c>
      <c r="G3" s="4">
        <v>9254978.0</v>
      </c>
      <c r="H3" s="5" t="s">
        <v>70</v>
      </c>
      <c r="I3" s="5" t="s">
        <v>24</v>
      </c>
      <c r="J3" s="4">
        <v>1.8973608E7</v>
      </c>
      <c r="K3" s="5" t="s">
        <v>25</v>
      </c>
      <c r="L3" s="4">
        <v>202507.0</v>
      </c>
      <c r="M3" s="6">
        <v>-72.0</v>
      </c>
      <c r="N3" s="3" t="s">
        <v>100</v>
      </c>
      <c r="O3" s="3" t="s">
        <v>101</v>
      </c>
      <c r="P3" s="3">
        <f>72/18</f>
        <v>4</v>
      </c>
      <c r="Q3" s="3"/>
      <c r="R3" s="3"/>
    </row>
    <row r="4" ht="15.75" customHeight="1">
      <c r="A4" s="4">
        <v>8.02566347E8</v>
      </c>
      <c r="B4" s="5" t="s">
        <v>72</v>
      </c>
      <c r="C4" s="4">
        <v>2.0210501E7</v>
      </c>
      <c r="D4" s="4" t="str">
        <f t="shared" si="1"/>
        <v>5/1/2021</v>
      </c>
      <c r="E4" s="4">
        <v>2.0250101E7</v>
      </c>
      <c r="F4" s="4">
        <v>202506.0</v>
      </c>
      <c r="G4" s="4">
        <v>9254978.0</v>
      </c>
      <c r="H4" s="5" t="s">
        <v>70</v>
      </c>
      <c r="I4" s="5" t="s">
        <v>24</v>
      </c>
      <c r="J4" s="4">
        <v>1.8973608E7</v>
      </c>
      <c r="K4" s="5" t="s">
        <v>25</v>
      </c>
      <c r="L4" s="4">
        <v>202507.0</v>
      </c>
      <c r="M4" s="6">
        <v>-54.0</v>
      </c>
      <c r="N4" s="3" t="s">
        <v>100</v>
      </c>
      <c r="O4" s="3" t="s">
        <v>102</v>
      </c>
      <c r="P4" s="3"/>
      <c r="Q4" s="3"/>
      <c r="R4" s="3"/>
    </row>
    <row r="5" ht="15.75" customHeight="1">
      <c r="A5" s="4">
        <v>8.02624955E8</v>
      </c>
      <c r="B5" s="5" t="s">
        <v>73</v>
      </c>
      <c r="C5" s="4">
        <v>2.0220101E7</v>
      </c>
      <c r="D5" s="4" t="str">
        <f t="shared" si="1"/>
        <v>1/1/2022</v>
      </c>
      <c r="E5" s="4">
        <v>2.0250101E7</v>
      </c>
      <c r="F5" s="4">
        <v>202506.0</v>
      </c>
      <c r="G5" s="4">
        <v>9254978.0</v>
      </c>
      <c r="H5" s="5" t="s">
        <v>70</v>
      </c>
      <c r="I5" s="5" t="s">
        <v>24</v>
      </c>
      <c r="J5" s="4">
        <v>1.8973608E7</v>
      </c>
      <c r="K5" s="5" t="s">
        <v>25</v>
      </c>
      <c r="L5" s="4">
        <v>202507.0</v>
      </c>
      <c r="M5" s="6">
        <v>-36.0</v>
      </c>
      <c r="N5" s="3" t="s">
        <v>100</v>
      </c>
      <c r="O5" s="3" t="s">
        <v>103</v>
      </c>
      <c r="P5" s="3"/>
      <c r="Q5" s="3"/>
      <c r="R5" s="3"/>
    </row>
    <row r="6" ht="15.75" customHeight="1">
      <c r="A6" s="4">
        <v>8.02645242E8</v>
      </c>
      <c r="B6" s="5" t="s">
        <v>74</v>
      </c>
      <c r="C6" s="4">
        <v>2.0220101E7</v>
      </c>
      <c r="D6" s="4" t="str">
        <f t="shared" si="1"/>
        <v>1/1/2022</v>
      </c>
      <c r="E6" s="4">
        <v>2.0250101E7</v>
      </c>
      <c r="F6" s="4">
        <v>202506.0</v>
      </c>
      <c r="G6" s="4">
        <v>9254978.0</v>
      </c>
      <c r="H6" s="5" t="s">
        <v>70</v>
      </c>
      <c r="I6" s="5" t="s">
        <v>24</v>
      </c>
      <c r="J6" s="4">
        <v>1.8973608E7</v>
      </c>
      <c r="K6" s="5" t="s">
        <v>25</v>
      </c>
      <c r="L6" s="4">
        <v>202507.0</v>
      </c>
      <c r="M6" s="6">
        <v>-36.0</v>
      </c>
      <c r="N6" s="3" t="s">
        <v>100</v>
      </c>
      <c r="O6" s="3" t="s">
        <v>103</v>
      </c>
      <c r="P6" s="3"/>
      <c r="Q6" s="3"/>
      <c r="R6" s="3"/>
    </row>
    <row r="7" ht="15.75" customHeight="1">
      <c r="A7" s="4">
        <v>8.0269002E8</v>
      </c>
      <c r="B7" s="5" t="s">
        <v>75</v>
      </c>
      <c r="C7" s="4">
        <v>2.0220501E7</v>
      </c>
      <c r="D7" s="4" t="str">
        <f t="shared" si="1"/>
        <v>5/1/2022</v>
      </c>
      <c r="E7" s="4">
        <v>2.0250101E7</v>
      </c>
      <c r="F7" s="4">
        <v>202506.0</v>
      </c>
      <c r="G7" s="4">
        <v>9254978.0</v>
      </c>
      <c r="H7" s="5" t="s">
        <v>70</v>
      </c>
      <c r="I7" s="5" t="s">
        <v>24</v>
      </c>
      <c r="J7" s="4">
        <v>1.8973608E7</v>
      </c>
      <c r="K7" s="5" t="s">
        <v>25</v>
      </c>
      <c r="L7" s="4">
        <v>202507.0</v>
      </c>
      <c r="M7" s="6">
        <v>-18.0</v>
      </c>
      <c r="N7" s="3" t="s">
        <v>100</v>
      </c>
      <c r="O7" s="3"/>
      <c r="P7" s="3"/>
      <c r="Q7" s="3"/>
      <c r="R7" s="3"/>
    </row>
    <row r="8" ht="15.75" customHeight="1">
      <c r="A8" s="4">
        <v>8.02742865E8</v>
      </c>
      <c r="B8" s="5" t="s">
        <v>76</v>
      </c>
      <c r="C8" s="4">
        <v>2.0221101E7</v>
      </c>
      <c r="D8" s="4" t="str">
        <f t="shared" si="1"/>
        <v>11/1/2022</v>
      </c>
      <c r="E8" s="4">
        <v>2.0250101E7</v>
      </c>
      <c r="F8" s="4">
        <v>202506.0</v>
      </c>
      <c r="G8" s="4">
        <v>9254978.0</v>
      </c>
      <c r="H8" s="5" t="s">
        <v>70</v>
      </c>
      <c r="I8" s="5" t="s">
        <v>24</v>
      </c>
      <c r="J8" s="4">
        <v>1.8973608E7</v>
      </c>
      <c r="K8" s="5" t="s">
        <v>25</v>
      </c>
      <c r="L8" s="4">
        <v>202507.0</v>
      </c>
      <c r="M8" s="6">
        <v>-18.0</v>
      </c>
      <c r="N8" s="3" t="s">
        <v>100</v>
      </c>
      <c r="O8" s="3"/>
      <c r="P8" s="3"/>
      <c r="Q8" s="3"/>
      <c r="R8" s="3"/>
    </row>
    <row r="9" ht="15.75" customHeight="1">
      <c r="A9" s="4">
        <v>8.02758903E8</v>
      </c>
      <c r="B9" s="5" t="s">
        <v>77</v>
      </c>
      <c r="C9" s="4">
        <v>2.0230101E7</v>
      </c>
      <c r="D9" s="4" t="str">
        <f t="shared" si="1"/>
        <v>1/1/2023</v>
      </c>
      <c r="E9" s="4">
        <v>2.0250101E7</v>
      </c>
      <c r="F9" s="4">
        <v>202506.0</v>
      </c>
      <c r="G9" s="4">
        <v>9254978.0</v>
      </c>
      <c r="H9" s="5" t="s">
        <v>70</v>
      </c>
      <c r="I9" s="5" t="s">
        <v>24</v>
      </c>
      <c r="J9" s="4">
        <v>1.8973608E7</v>
      </c>
      <c r="K9" s="5" t="s">
        <v>25</v>
      </c>
      <c r="L9" s="4">
        <v>202507.0</v>
      </c>
      <c r="M9" s="6">
        <v>-18.0</v>
      </c>
      <c r="N9" s="3" t="s">
        <v>100</v>
      </c>
      <c r="O9" s="3"/>
      <c r="P9" s="3"/>
      <c r="Q9" s="3"/>
      <c r="R9" s="3"/>
    </row>
    <row r="10" ht="15.75" customHeight="1">
      <c r="A10" s="4">
        <v>8.02766143E8</v>
      </c>
      <c r="B10" s="5" t="s">
        <v>78</v>
      </c>
      <c r="C10" s="4">
        <v>2.0230101E7</v>
      </c>
      <c r="D10" s="4" t="str">
        <f t="shared" si="1"/>
        <v>1/1/2023</v>
      </c>
      <c r="E10" s="4">
        <v>2.0250101E7</v>
      </c>
      <c r="F10" s="4">
        <v>202506.0</v>
      </c>
      <c r="G10" s="4">
        <v>9254978.0</v>
      </c>
      <c r="H10" s="5" t="s">
        <v>70</v>
      </c>
      <c r="I10" s="5" t="s">
        <v>24</v>
      </c>
      <c r="J10" s="4">
        <v>1.8973608E7</v>
      </c>
      <c r="K10" s="5" t="s">
        <v>25</v>
      </c>
      <c r="L10" s="4">
        <v>202507.0</v>
      </c>
      <c r="M10" s="6">
        <v>-18.0</v>
      </c>
      <c r="N10" s="3" t="s">
        <v>100</v>
      </c>
      <c r="O10" s="3"/>
      <c r="P10" s="3"/>
      <c r="Q10" s="3"/>
      <c r="R10" s="3"/>
    </row>
    <row r="11" ht="15.75" customHeight="1">
      <c r="A11" s="4">
        <v>8.02422752E8</v>
      </c>
      <c r="B11" s="5" t="s">
        <v>20</v>
      </c>
      <c r="C11" s="4">
        <v>2.0200101E7</v>
      </c>
      <c r="D11" s="4" t="str">
        <f t="shared" si="1"/>
        <v>1/1/2020</v>
      </c>
      <c r="E11" s="4">
        <v>2.0250101E7</v>
      </c>
      <c r="F11" s="4">
        <v>202506.0</v>
      </c>
      <c r="G11" s="4">
        <v>8971826.0</v>
      </c>
      <c r="H11" s="5" t="s">
        <v>23</v>
      </c>
      <c r="I11" s="5" t="s">
        <v>24</v>
      </c>
      <c r="J11" s="4">
        <v>1.8973608E7</v>
      </c>
      <c r="K11" s="5" t="s">
        <v>25</v>
      </c>
      <c r="L11" s="4">
        <v>202507.0</v>
      </c>
      <c r="M11" s="6">
        <v>18.0</v>
      </c>
      <c r="N11" s="3" t="s">
        <v>100</v>
      </c>
      <c r="O11" s="3"/>
      <c r="P11" s="3"/>
      <c r="Q11" s="3"/>
      <c r="R11" s="3"/>
    </row>
    <row r="12" ht="15.75" customHeight="1">
      <c r="A12" s="4">
        <v>8.02765299E8</v>
      </c>
      <c r="B12" s="5" t="s">
        <v>29</v>
      </c>
      <c r="C12" s="4">
        <v>2.0230101E7</v>
      </c>
      <c r="D12" s="4" t="str">
        <f t="shared" si="1"/>
        <v>1/1/2023</v>
      </c>
      <c r="E12" s="4">
        <v>2.0250101E7</v>
      </c>
      <c r="F12" s="4">
        <v>202507.0</v>
      </c>
      <c r="G12" s="4">
        <v>1.879474E7</v>
      </c>
      <c r="H12" s="5" t="s">
        <v>32</v>
      </c>
      <c r="I12" s="5" t="s">
        <v>24</v>
      </c>
      <c r="J12" s="4">
        <v>1.8973608E7</v>
      </c>
      <c r="K12" s="5" t="s">
        <v>25</v>
      </c>
      <c r="L12" s="4">
        <v>202507.0</v>
      </c>
      <c r="M12" s="6">
        <v>18.0</v>
      </c>
      <c r="N12" s="3" t="s">
        <v>100</v>
      </c>
      <c r="O12" s="3"/>
      <c r="P12" s="3"/>
      <c r="Q12" s="3"/>
      <c r="R12" s="3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4">
        <v>8.02515557E8</v>
      </c>
      <c r="B13" s="5" t="s">
        <v>33</v>
      </c>
      <c r="C13" s="4">
        <v>2.0210101E7</v>
      </c>
      <c r="D13" s="4" t="str">
        <f t="shared" si="1"/>
        <v>1/1/2021</v>
      </c>
      <c r="E13" s="4">
        <v>2.0250101E7</v>
      </c>
      <c r="F13" s="4">
        <v>202507.0</v>
      </c>
      <c r="G13" s="4">
        <v>1.879474E7</v>
      </c>
      <c r="H13" s="5" t="s">
        <v>32</v>
      </c>
      <c r="I13" s="5" t="s">
        <v>24</v>
      </c>
      <c r="J13" s="4">
        <v>1.8973608E7</v>
      </c>
      <c r="K13" s="5" t="s">
        <v>25</v>
      </c>
      <c r="L13" s="4">
        <v>202507.0</v>
      </c>
      <c r="M13" s="6">
        <v>18.0</v>
      </c>
      <c r="N13" s="3" t="s">
        <v>100</v>
      </c>
      <c r="O13" s="3"/>
      <c r="P13" s="3"/>
      <c r="Q13" s="3"/>
      <c r="R13" s="3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>
      <c r="A14" s="4">
        <v>8.02902756E8</v>
      </c>
      <c r="B14" s="5" t="s">
        <v>34</v>
      </c>
      <c r="C14" s="4">
        <v>2.0240301E7</v>
      </c>
      <c r="D14" s="4" t="str">
        <f t="shared" si="1"/>
        <v>3/1/2024</v>
      </c>
      <c r="E14" s="4">
        <v>2.0250101E7</v>
      </c>
      <c r="F14" s="4">
        <v>202507.0</v>
      </c>
      <c r="G14" s="4">
        <v>1.879474E7</v>
      </c>
      <c r="H14" s="5" t="s">
        <v>32</v>
      </c>
      <c r="I14" s="5" t="s">
        <v>24</v>
      </c>
      <c r="J14" s="4">
        <v>1.8973608E7</v>
      </c>
      <c r="K14" s="5" t="s">
        <v>25</v>
      </c>
      <c r="L14" s="4">
        <v>202507.0</v>
      </c>
      <c r="M14" s="6">
        <v>18.0</v>
      </c>
      <c r="N14" s="3" t="s">
        <v>100</v>
      </c>
      <c r="O14" s="3"/>
      <c r="P14" s="3"/>
      <c r="Q14" s="3"/>
      <c r="R14" s="3"/>
      <c r="S14" s="9"/>
      <c r="T14" s="9"/>
      <c r="U14" s="9"/>
      <c r="V14" s="9"/>
      <c r="W14" s="9"/>
      <c r="X14" s="9"/>
      <c r="Y14" s="9"/>
      <c r="Z14" s="9"/>
      <c r="AA14" s="9"/>
    </row>
    <row r="15" ht="15.75" customHeight="1">
      <c r="A15" s="4">
        <v>8.02777578E8</v>
      </c>
      <c r="B15" s="5" t="s">
        <v>35</v>
      </c>
      <c r="C15" s="4">
        <v>2.0230201E7</v>
      </c>
      <c r="D15" s="4" t="str">
        <f t="shared" si="1"/>
        <v>2/1/2023</v>
      </c>
      <c r="E15" s="4">
        <v>2.0250101E7</v>
      </c>
      <c r="F15" s="4">
        <v>202507.0</v>
      </c>
      <c r="G15" s="4">
        <v>1.879474E7</v>
      </c>
      <c r="H15" s="5" t="s">
        <v>32</v>
      </c>
      <c r="I15" s="5" t="s">
        <v>24</v>
      </c>
      <c r="J15" s="4">
        <v>1.8973608E7</v>
      </c>
      <c r="K15" s="5" t="s">
        <v>25</v>
      </c>
      <c r="L15" s="4">
        <v>202507.0</v>
      </c>
      <c r="M15" s="6">
        <v>18.0</v>
      </c>
      <c r="N15" s="3" t="s">
        <v>100</v>
      </c>
      <c r="O15" s="3"/>
      <c r="P15" s="3"/>
      <c r="Q15" s="3"/>
      <c r="R15" s="3"/>
      <c r="S15" s="9"/>
      <c r="T15" s="9"/>
      <c r="U15" s="9"/>
      <c r="V15" s="9"/>
      <c r="W15" s="9"/>
      <c r="X15" s="9"/>
      <c r="Y15" s="9"/>
      <c r="Z15" s="9"/>
      <c r="AA15" s="9"/>
    </row>
    <row r="16" ht="15.75" customHeight="1">
      <c r="A16" s="4">
        <v>8.02000786E8</v>
      </c>
      <c r="B16" s="5" t="s">
        <v>36</v>
      </c>
      <c r="C16" s="4">
        <v>2.0170101E7</v>
      </c>
      <c r="D16" s="4" t="str">
        <f t="shared" si="1"/>
        <v>1/1/2017</v>
      </c>
      <c r="E16" s="4">
        <v>2.0250101E7</v>
      </c>
      <c r="F16" s="4">
        <v>202507.0</v>
      </c>
      <c r="G16" s="4">
        <v>1.879474E7</v>
      </c>
      <c r="H16" s="5" t="s">
        <v>32</v>
      </c>
      <c r="I16" s="5" t="s">
        <v>24</v>
      </c>
      <c r="J16" s="4">
        <v>1.8973608E7</v>
      </c>
      <c r="K16" s="5" t="s">
        <v>25</v>
      </c>
      <c r="L16" s="4">
        <v>202507.0</v>
      </c>
      <c r="M16" s="6">
        <v>18.0</v>
      </c>
      <c r="N16" s="3" t="s">
        <v>100</v>
      </c>
      <c r="O16" s="3"/>
      <c r="P16" s="3"/>
      <c r="Q16" s="3"/>
      <c r="R16" s="3"/>
      <c r="S16" s="9"/>
      <c r="T16" s="9"/>
      <c r="U16" s="9"/>
      <c r="V16" s="9"/>
      <c r="W16" s="9"/>
      <c r="X16" s="9"/>
      <c r="Y16" s="9"/>
      <c r="Z16" s="9"/>
      <c r="AA16" s="9"/>
    </row>
    <row r="17" ht="15.75" customHeight="1">
      <c r="A17" s="4">
        <v>8.02629066E8</v>
      </c>
      <c r="B17" s="5" t="s">
        <v>37</v>
      </c>
      <c r="C17" s="4">
        <v>2.0220101E7</v>
      </c>
      <c r="D17" s="4" t="str">
        <f t="shared" si="1"/>
        <v>1/1/2022</v>
      </c>
      <c r="E17" s="4">
        <v>2.0250101E7</v>
      </c>
      <c r="F17" s="4">
        <v>202506.0</v>
      </c>
      <c r="G17" s="4">
        <v>1.879474E7</v>
      </c>
      <c r="H17" s="5" t="s">
        <v>32</v>
      </c>
      <c r="I17" s="5" t="s">
        <v>24</v>
      </c>
      <c r="J17" s="4">
        <v>1.8973608E7</v>
      </c>
      <c r="K17" s="5" t="s">
        <v>25</v>
      </c>
      <c r="L17" s="4">
        <v>202507.0</v>
      </c>
      <c r="M17" s="6">
        <v>18.0</v>
      </c>
      <c r="N17" s="3" t="s">
        <v>100</v>
      </c>
      <c r="O17" s="3"/>
      <c r="P17" s="3"/>
      <c r="Q17" s="3"/>
      <c r="R17" s="3"/>
      <c r="S17" s="9"/>
      <c r="T17" s="9"/>
      <c r="U17" s="9"/>
      <c r="V17" s="9"/>
      <c r="W17" s="9"/>
      <c r="X17" s="9"/>
      <c r="Y17" s="9"/>
      <c r="Z17" s="9"/>
      <c r="AA17" s="9"/>
    </row>
    <row r="18" ht="15.75" customHeight="1">
      <c r="A18" s="4">
        <v>8.02401885E8</v>
      </c>
      <c r="B18" s="5" t="s">
        <v>40</v>
      </c>
      <c r="C18" s="4">
        <v>2.0200101E7</v>
      </c>
      <c r="D18" s="4" t="str">
        <f t="shared" si="1"/>
        <v>1/1/2020</v>
      </c>
      <c r="E18" s="4">
        <v>2.0250101E7</v>
      </c>
      <c r="F18" s="4">
        <v>202507.0</v>
      </c>
      <c r="G18" s="4">
        <v>1.879474E7</v>
      </c>
      <c r="H18" s="5" t="s">
        <v>32</v>
      </c>
      <c r="I18" s="5" t="s">
        <v>24</v>
      </c>
      <c r="J18" s="4">
        <v>1.8973608E7</v>
      </c>
      <c r="K18" s="5" t="s">
        <v>25</v>
      </c>
      <c r="L18" s="4">
        <v>202507.0</v>
      </c>
      <c r="M18" s="6">
        <v>18.0</v>
      </c>
      <c r="N18" s="3" t="s">
        <v>100</v>
      </c>
      <c r="O18" s="3"/>
      <c r="P18" s="3"/>
      <c r="Q18" s="3"/>
      <c r="R18" s="3"/>
      <c r="S18" s="9"/>
      <c r="T18" s="9"/>
      <c r="U18" s="9"/>
      <c r="V18" s="9"/>
      <c r="W18" s="9"/>
      <c r="X18" s="9"/>
      <c r="Y18" s="9"/>
      <c r="Z18" s="9"/>
      <c r="AA18" s="9"/>
    </row>
    <row r="19" ht="15.75" customHeight="1">
      <c r="A19" s="4">
        <v>8.02504907E8</v>
      </c>
      <c r="B19" s="5" t="s">
        <v>43</v>
      </c>
      <c r="C19" s="4">
        <v>2.0210101E7</v>
      </c>
      <c r="D19" s="4" t="str">
        <f t="shared" si="1"/>
        <v>1/1/2021</v>
      </c>
      <c r="E19" s="4">
        <v>2.0250101E7</v>
      </c>
      <c r="F19" s="4">
        <v>202507.0</v>
      </c>
      <c r="G19" s="4">
        <v>1.879474E7</v>
      </c>
      <c r="H19" s="5" t="s">
        <v>32</v>
      </c>
      <c r="I19" s="5" t="s">
        <v>24</v>
      </c>
      <c r="J19" s="4">
        <v>1.8973608E7</v>
      </c>
      <c r="K19" s="5" t="s">
        <v>25</v>
      </c>
      <c r="L19" s="4">
        <v>202507.0</v>
      </c>
      <c r="M19" s="6">
        <v>18.0</v>
      </c>
      <c r="N19" s="3" t="s">
        <v>100</v>
      </c>
      <c r="O19" s="3"/>
      <c r="P19" s="3"/>
      <c r="Q19" s="3"/>
      <c r="R19" s="3"/>
      <c r="S19" s="9"/>
      <c r="T19" s="9"/>
      <c r="U19" s="9"/>
      <c r="V19" s="9"/>
      <c r="W19" s="9"/>
      <c r="X19" s="9"/>
      <c r="Y19" s="9"/>
      <c r="Z19" s="9"/>
      <c r="AA19" s="9"/>
    </row>
    <row r="20" ht="15.75" customHeight="1">
      <c r="A20" s="4">
        <v>8.02833363E8</v>
      </c>
      <c r="B20" s="5" t="s">
        <v>46</v>
      </c>
      <c r="C20" s="4">
        <v>2.0231001E7</v>
      </c>
      <c r="D20" s="4" t="str">
        <f t="shared" si="1"/>
        <v>10/1/2023</v>
      </c>
      <c r="E20" s="4">
        <v>2.0250101E7</v>
      </c>
      <c r="F20" s="4">
        <v>202506.0</v>
      </c>
      <c r="G20" s="4">
        <v>1.879474E7</v>
      </c>
      <c r="H20" s="5" t="s">
        <v>32</v>
      </c>
      <c r="I20" s="5" t="s">
        <v>24</v>
      </c>
      <c r="J20" s="4">
        <v>1.8973608E7</v>
      </c>
      <c r="K20" s="5" t="s">
        <v>25</v>
      </c>
      <c r="L20" s="4">
        <v>202507.0</v>
      </c>
      <c r="M20" s="6">
        <v>18.0</v>
      </c>
      <c r="N20" s="3" t="s">
        <v>100</v>
      </c>
      <c r="O20" s="3"/>
      <c r="P20" s="3"/>
      <c r="Q20" s="3"/>
      <c r="R20" s="3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4">
        <v>8.027944E8</v>
      </c>
      <c r="B21" s="5" t="s">
        <v>49</v>
      </c>
      <c r="C21" s="4">
        <v>2.0230401E7</v>
      </c>
      <c r="D21" s="4" t="str">
        <f t="shared" si="1"/>
        <v>4/1/2023</v>
      </c>
      <c r="E21" s="4">
        <v>2.0250101E7</v>
      </c>
      <c r="F21" s="4">
        <v>202507.0</v>
      </c>
      <c r="G21" s="4">
        <v>1.879474E7</v>
      </c>
      <c r="H21" s="5" t="s">
        <v>32</v>
      </c>
      <c r="I21" s="5" t="s">
        <v>24</v>
      </c>
      <c r="J21" s="4">
        <v>1.8973608E7</v>
      </c>
      <c r="K21" s="5" t="s">
        <v>25</v>
      </c>
      <c r="L21" s="4">
        <v>202507.0</v>
      </c>
      <c r="M21" s="6">
        <v>18.0</v>
      </c>
      <c r="N21" s="3" t="s">
        <v>100</v>
      </c>
      <c r="O21" s="3"/>
      <c r="P21" s="3"/>
      <c r="Q21" s="3"/>
      <c r="R21" s="3"/>
      <c r="S21" s="9"/>
      <c r="T21" s="9"/>
      <c r="U21" s="9"/>
      <c r="V21" s="9"/>
      <c r="W21" s="9"/>
      <c r="X21" s="9"/>
      <c r="Y21" s="9"/>
      <c r="Z21" s="9"/>
      <c r="AA21" s="9"/>
    </row>
    <row r="22" ht="15.75" customHeight="1">
      <c r="A22" s="4">
        <v>8.02629573E8</v>
      </c>
      <c r="B22" s="5" t="s">
        <v>50</v>
      </c>
      <c r="C22" s="4">
        <v>2.0220101E7</v>
      </c>
      <c r="D22" s="4" t="str">
        <f t="shared" si="1"/>
        <v>1/1/2022</v>
      </c>
      <c r="E22" s="4">
        <v>2.0250101E7</v>
      </c>
      <c r="F22" s="4">
        <v>202507.0</v>
      </c>
      <c r="G22" s="4">
        <v>1.879474E7</v>
      </c>
      <c r="H22" s="5" t="s">
        <v>32</v>
      </c>
      <c r="I22" s="5" t="s">
        <v>24</v>
      </c>
      <c r="J22" s="4">
        <v>1.8973608E7</v>
      </c>
      <c r="K22" s="5" t="s">
        <v>25</v>
      </c>
      <c r="L22" s="4">
        <v>202507.0</v>
      </c>
      <c r="M22" s="6">
        <v>18.0</v>
      </c>
      <c r="N22" s="3" t="s">
        <v>100</v>
      </c>
      <c r="O22" s="3"/>
      <c r="P22" s="3"/>
      <c r="Q22" s="3"/>
      <c r="R22" s="3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4">
        <v>8.02552042E8</v>
      </c>
      <c r="B23" s="5" t="s">
        <v>51</v>
      </c>
      <c r="C23" s="4">
        <v>2.0210301E7</v>
      </c>
      <c r="D23" s="4" t="str">
        <f t="shared" si="1"/>
        <v>3/1/2021</v>
      </c>
      <c r="E23" s="4">
        <v>2.0250101E7</v>
      </c>
      <c r="F23" s="4">
        <v>202507.0</v>
      </c>
      <c r="G23" s="4">
        <v>1.879474E7</v>
      </c>
      <c r="H23" s="5" t="s">
        <v>32</v>
      </c>
      <c r="I23" s="5" t="s">
        <v>24</v>
      </c>
      <c r="J23" s="4">
        <v>1.8973608E7</v>
      </c>
      <c r="K23" s="5" t="s">
        <v>25</v>
      </c>
      <c r="L23" s="4">
        <v>202507.0</v>
      </c>
      <c r="M23" s="6">
        <v>18.0</v>
      </c>
      <c r="N23" s="3" t="s">
        <v>100</v>
      </c>
      <c r="O23" s="3"/>
      <c r="P23" s="3"/>
      <c r="Q23" s="3"/>
      <c r="R23" s="3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4">
        <v>8.02917167E8</v>
      </c>
      <c r="B24" s="5" t="s">
        <v>52</v>
      </c>
      <c r="C24" s="4">
        <v>2.0240501E7</v>
      </c>
      <c r="D24" s="4" t="str">
        <f t="shared" si="1"/>
        <v>5/1/2024</v>
      </c>
      <c r="E24" s="4">
        <v>2.0250101E7</v>
      </c>
      <c r="F24" s="4">
        <v>202506.0</v>
      </c>
      <c r="G24" s="4">
        <v>1.879474E7</v>
      </c>
      <c r="H24" s="5" t="s">
        <v>32</v>
      </c>
      <c r="I24" s="5" t="s">
        <v>24</v>
      </c>
      <c r="J24" s="4">
        <v>1.8973608E7</v>
      </c>
      <c r="K24" s="5" t="s">
        <v>25</v>
      </c>
      <c r="L24" s="4">
        <v>202507.0</v>
      </c>
      <c r="M24" s="6">
        <v>18.0</v>
      </c>
      <c r="N24" s="3" t="s">
        <v>100</v>
      </c>
      <c r="O24" s="3"/>
      <c r="P24" s="3"/>
      <c r="Q24" s="3"/>
      <c r="R24" s="3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4">
        <v>8.027053E8</v>
      </c>
      <c r="B25" s="5" t="s">
        <v>79</v>
      </c>
      <c r="C25" s="4">
        <v>2.0220701E7</v>
      </c>
      <c r="D25" s="4" t="str">
        <f t="shared" si="1"/>
        <v>7/1/2022</v>
      </c>
      <c r="E25" s="4">
        <v>2.0250101E7</v>
      </c>
      <c r="F25" s="4">
        <v>202506.0</v>
      </c>
      <c r="G25" s="4">
        <v>9079571.0</v>
      </c>
      <c r="H25" s="5" t="s">
        <v>80</v>
      </c>
      <c r="I25" s="5" t="s">
        <v>24</v>
      </c>
      <c r="J25" s="4">
        <v>1.8973608E7</v>
      </c>
      <c r="K25" s="5" t="s">
        <v>25</v>
      </c>
      <c r="L25" s="4">
        <v>202507.0</v>
      </c>
      <c r="M25" s="6">
        <v>18.0</v>
      </c>
      <c r="N25" s="3" t="s">
        <v>100</v>
      </c>
      <c r="O25" s="3"/>
      <c r="P25" s="3"/>
      <c r="Q25" s="3"/>
      <c r="R25" s="3"/>
    </row>
    <row r="26" ht="15.75" customHeight="1">
      <c r="A26" s="4">
        <v>8.02071259E8</v>
      </c>
      <c r="B26" s="5" t="s">
        <v>81</v>
      </c>
      <c r="C26" s="4">
        <v>2.0170701E7</v>
      </c>
      <c r="D26" s="4" t="str">
        <f t="shared" si="1"/>
        <v>7/1/2017</v>
      </c>
      <c r="E26" s="4">
        <v>2.0250101E7</v>
      </c>
      <c r="F26" s="4">
        <v>202507.0</v>
      </c>
      <c r="G26" s="4">
        <v>9079571.0</v>
      </c>
      <c r="H26" s="5" t="s">
        <v>80</v>
      </c>
      <c r="I26" s="5" t="s">
        <v>24</v>
      </c>
      <c r="J26" s="4">
        <v>1.8973608E7</v>
      </c>
      <c r="K26" s="5" t="s">
        <v>25</v>
      </c>
      <c r="L26" s="4">
        <v>202507.0</v>
      </c>
      <c r="M26" s="6">
        <v>18.0</v>
      </c>
      <c r="N26" s="3" t="s">
        <v>100</v>
      </c>
      <c r="O26" s="3"/>
      <c r="P26" s="3"/>
      <c r="Q26" s="3"/>
      <c r="R26" s="3"/>
    </row>
    <row r="27" ht="15.75" customHeight="1">
      <c r="A27" s="4">
        <v>8.0251256E8</v>
      </c>
      <c r="B27" s="5" t="s">
        <v>88</v>
      </c>
      <c r="C27" s="4">
        <v>2.0210101E7</v>
      </c>
      <c r="D27" s="4" t="str">
        <f t="shared" si="1"/>
        <v>1/1/2021</v>
      </c>
      <c r="E27" s="4">
        <v>2.0250101E7</v>
      </c>
      <c r="F27" s="4">
        <v>202507.0</v>
      </c>
      <c r="G27" s="4">
        <v>8307933.0</v>
      </c>
      <c r="H27" s="5" t="s">
        <v>89</v>
      </c>
      <c r="I27" s="5" t="s">
        <v>24</v>
      </c>
      <c r="J27" s="4">
        <v>1.8973608E7</v>
      </c>
      <c r="K27" s="5" t="s">
        <v>25</v>
      </c>
      <c r="L27" s="4">
        <v>202507.0</v>
      </c>
      <c r="M27" s="6">
        <v>18.0</v>
      </c>
      <c r="N27" s="3" t="s">
        <v>100</v>
      </c>
      <c r="O27" s="3"/>
      <c r="P27" s="3"/>
      <c r="Q27" s="3"/>
      <c r="R27" s="3"/>
    </row>
    <row r="28" ht="15.75" customHeight="1">
      <c r="A28" s="4">
        <v>8.02400239E8</v>
      </c>
      <c r="B28" s="5" t="s">
        <v>90</v>
      </c>
      <c r="C28" s="4">
        <v>2.0200101E7</v>
      </c>
      <c r="D28" s="4" t="str">
        <f t="shared" si="1"/>
        <v>1/1/2020</v>
      </c>
      <c r="E28" s="4">
        <v>2.0250101E7</v>
      </c>
      <c r="F28" s="4">
        <v>202506.0</v>
      </c>
      <c r="G28" s="4">
        <v>8307933.0</v>
      </c>
      <c r="H28" s="5" t="s">
        <v>89</v>
      </c>
      <c r="I28" s="5" t="s">
        <v>24</v>
      </c>
      <c r="J28" s="4">
        <v>1.8973608E7</v>
      </c>
      <c r="K28" s="5" t="s">
        <v>25</v>
      </c>
      <c r="L28" s="4">
        <v>202507.0</v>
      </c>
      <c r="M28" s="6">
        <v>18.0</v>
      </c>
      <c r="N28" s="3" t="s">
        <v>100</v>
      </c>
      <c r="O28" s="3"/>
      <c r="P28" s="3"/>
      <c r="Q28" s="3"/>
      <c r="R28" s="3"/>
    </row>
    <row r="29" ht="15.75" customHeight="1">
      <c r="A29" s="10">
        <v>8.03050668E8</v>
      </c>
      <c r="B29" s="11" t="s">
        <v>53</v>
      </c>
      <c r="C29" s="10">
        <v>2.0250601E7</v>
      </c>
      <c r="D29" s="4" t="str">
        <f t="shared" si="1"/>
        <v>6/1/2025</v>
      </c>
      <c r="E29" s="10">
        <v>2.0250601E7</v>
      </c>
      <c r="F29" s="10">
        <v>202507.0</v>
      </c>
      <c r="G29" s="10">
        <v>1.879474E7</v>
      </c>
      <c r="H29" s="11" t="s">
        <v>32</v>
      </c>
      <c r="I29" s="11" t="s">
        <v>24</v>
      </c>
      <c r="J29" s="10">
        <v>1.8973608E7</v>
      </c>
      <c r="K29" s="11" t="s">
        <v>25</v>
      </c>
      <c r="L29" s="10">
        <v>202507.0</v>
      </c>
      <c r="M29" s="12">
        <v>22.0</v>
      </c>
      <c r="N29" s="3" t="s">
        <v>100</v>
      </c>
      <c r="O29" s="13"/>
      <c r="P29" s="13"/>
      <c r="Q29" s="13"/>
      <c r="R29" s="13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0">
        <v>8.03044035E8</v>
      </c>
      <c r="B30" s="11" t="s">
        <v>55</v>
      </c>
      <c r="C30" s="10">
        <v>2.0250601E7</v>
      </c>
      <c r="D30" s="4" t="str">
        <f t="shared" si="1"/>
        <v>6/1/2025</v>
      </c>
      <c r="E30" s="10">
        <v>2.0250601E7</v>
      </c>
      <c r="F30" s="10">
        <v>202507.0</v>
      </c>
      <c r="G30" s="10">
        <v>1.879474E7</v>
      </c>
      <c r="H30" s="11" t="s">
        <v>32</v>
      </c>
      <c r="I30" s="11" t="s">
        <v>24</v>
      </c>
      <c r="J30" s="10">
        <v>1.8973608E7</v>
      </c>
      <c r="K30" s="11" t="s">
        <v>25</v>
      </c>
      <c r="L30" s="10">
        <v>202507.0</v>
      </c>
      <c r="M30" s="12">
        <v>22.0</v>
      </c>
      <c r="N30" s="3" t="s">
        <v>100</v>
      </c>
      <c r="O30" s="13"/>
      <c r="P30" s="13"/>
      <c r="Q30" s="13"/>
      <c r="R30" s="13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4">
        <v>8.03044048E8</v>
      </c>
      <c r="B31" s="5" t="s">
        <v>92</v>
      </c>
      <c r="C31" s="4">
        <v>2.0250601E7</v>
      </c>
      <c r="D31" s="4" t="str">
        <f t="shared" si="1"/>
        <v>6/1/2025</v>
      </c>
      <c r="E31" s="4">
        <v>2.0250601E7</v>
      </c>
      <c r="F31" s="4">
        <v>202507.0</v>
      </c>
      <c r="G31" s="4">
        <v>1.7640026E7</v>
      </c>
      <c r="H31" s="5" t="s">
        <v>93</v>
      </c>
      <c r="I31" s="5" t="s">
        <v>94</v>
      </c>
      <c r="J31" s="4">
        <v>1.8973608E7</v>
      </c>
      <c r="K31" s="5" t="s">
        <v>25</v>
      </c>
      <c r="L31" s="4">
        <v>202507.0</v>
      </c>
      <c r="M31" s="6">
        <v>22.0</v>
      </c>
      <c r="N31" s="3" t="s">
        <v>100</v>
      </c>
      <c r="O31" s="3"/>
      <c r="P31" s="3"/>
      <c r="Q31" s="3"/>
      <c r="R31" s="3"/>
    </row>
    <row r="32" ht="15.75" customHeight="1">
      <c r="A32" s="4">
        <v>8.01981035E8</v>
      </c>
      <c r="B32" s="5" t="s">
        <v>28</v>
      </c>
      <c r="C32" s="4">
        <v>2.0170101E7</v>
      </c>
      <c r="D32" s="4" t="str">
        <f t="shared" si="1"/>
        <v>1/1/2017</v>
      </c>
      <c r="E32" s="4">
        <v>2.0250101E7</v>
      </c>
      <c r="F32" s="4">
        <v>202507.0</v>
      </c>
      <c r="G32" s="4">
        <v>8971826.0</v>
      </c>
      <c r="H32" s="5" t="s">
        <v>23</v>
      </c>
      <c r="I32" s="5" t="s">
        <v>24</v>
      </c>
      <c r="J32" s="4">
        <v>1.8973608E7</v>
      </c>
      <c r="K32" s="5" t="s">
        <v>25</v>
      </c>
      <c r="L32" s="4">
        <v>202507.0</v>
      </c>
      <c r="M32" s="6">
        <v>36.0</v>
      </c>
      <c r="N32" s="3" t="s">
        <v>100</v>
      </c>
      <c r="O32" s="3" t="s">
        <v>103</v>
      </c>
      <c r="P32" s="3"/>
      <c r="Q32" s="3"/>
      <c r="R32" s="3"/>
    </row>
    <row r="33" ht="15.75" customHeight="1">
      <c r="A33" s="4">
        <v>8.0201604E8</v>
      </c>
      <c r="B33" s="5" t="s">
        <v>56</v>
      </c>
      <c r="C33" s="4">
        <v>2.0170101E7</v>
      </c>
      <c r="D33" s="4" t="str">
        <f t="shared" si="1"/>
        <v>1/1/2017</v>
      </c>
      <c r="E33" s="4">
        <v>2.0250101E7</v>
      </c>
      <c r="F33" s="4">
        <v>202507.0</v>
      </c>
      <c r="G33" s="4">
        <v>1.879474E7</v>
      </c>
      <c r="H33" s="5" t="s">
        <v>32</v>
      </c>
      <c r="I33" s="5" t="s">
        <v>24</v>
      </c>
      <c r="J33" s="4">
        <v>1.8973608E7</v>
      </c>
      <c r="K33" s="5" t="s">
        <v>25</v>
      </c>
      <c r="L33" s="4">
        <v>202507.0</v>
      </c>
      <c r="M33" s="6">
        <v>36.0</v>
      </c>
      <c r="N33" s="3" t="s">
        <v>100</v>
      </c>
      <c r="O33" s="3" t="s">
        <v>103</v>
      </c>
      <c r="P33" s="3"/>
      <c r="Q33" s="3"/>
      <c r="R33" s="3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4">
        <v>8.01942897E8</v>
      </c>
      <c r="B34" s="5" t="s">
        <v>57</v>
      </c>
      <c r="C34" s="4">
        <v>2.0170101E7</v>
      </c>
      <c r="D34" s="4" t="str">
        <f t="shared" si="1"/>
        <v>1/1/2017</v>
      </c>
      <c r="E34" s="4">
        <v>2.0250101E7</v>
      </c>
      <c r="F34" s="4">
        <v>202507.0</v>
      </c>
      <c r="G34" s="4">
        <v>1.879474E7</v>
      </c>
      <c r="H34" s="5" t="s">
        <v>32</v>
      </c>
      <c r="I34" s="5" t="s">
        <v>24</v>
      </c>
      <c r="J34" s="4">
        <v>1.8973608E7</v>
      </c>
      <c r="K34" s="5" t="s">
        <v>25</v>
      </c>
      <c r="L34" s="4">
        <v>202507.0</v>
      </c>
      <c r="M34" s="6">
        <v>36.0</v>
      </c>
      <c r="N34" s="3" t="s">
        <v>100</v>
      </c>
      <c r="O34" s="3" t="s">
        <v>103</v>
      </c>
      <c r="P34" s="3"/>
      <c r="Q34" s="3"/>
      <c r="R34" s="3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4">
        <v>8.02807514E8</v>
      </c>
      <c r="B35" s="5" t="s">
        <v>58</v>
      </c>
      <c r="C35" s="4">
        <v>2.0230701E7</v>
      </c>
      <c r="D35" s="4" t="str">
        <f t="shared" si="1"/>
        <v>7/1/2023</v>
      </c>
      <c r="E35" s="4">
        <v>2.0250101E7</v>
      </c>
      <c r="F35" s="4">
        <v>202507.0</v>
      </c>
      <c r="G35" s="4">
        <v>1.879474E7</v>
      </c>
      <c r="H35" s="5" t="s">
        <v>32</v>
      </c>
      <c r="I35" s="5" t="s">
        <v>24</v>
      </c>
      <c r="J35" s="4">
        <v>1.8973608E7</v>
      </c>
      <c r="K35" s="5" t="s">
        <v>25</v>
      </c>
      <c r="L35" s="4">
        <v>202507.0</v>
      </c>
      <c r="M35" s="6">
        <v>36.0</v>
      </c>
      <c r="N35" s="3" t="s">
        <v>100</v>
      </c>
      <c r="O35" s="3" t="s">
        <v>103</v>
      </c>
      <c r="P35" s="3"/>
      <c r="Q35" s="3"/>
      <c r="R35" s="3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4">
        <v>8.02501295E8</v>
      </c>
      <c r="B36" s="5" t="s">
        <v>59</v>
      </c>
      <c r="C36" s="4">
        <v>2.0210101E7</v>
      </c>
      <c r="D36" s="4" t="str">
        <f t="shared" si="1"/>
        <v>1/1/2021</v>
      </c>
      <c r="E36" s="4">
        <v>2.0250101E7</v>
      </c>
      <c r="F36" s="4">
        <v>202506.0</v>
      </c>
      <c r="G36" s="4">
        <v>1.879474E7</v>
      </c>
      <c r="H36" s="5" t="s">
        <v>32</v>
      </c>
      <c r="I36" s="5" t="s">
        <v>24</v>
      </c>
      <c r="J36" s="4">
        <v>1.8973608E7</v>
      </c>
      <c r="K36" s="5" t="s">
        <v>25</v>
      </c>
      <c r="L36" s="4">
        <v>202507.0</v>
      </c>
      <c r="M36" s="6">
        <v>36.0</v>
      </c>
      <c r="N36" s="3" t="s">
        <v>100</v>
      </c>
      <c r="O36" s="3" t="s">
        <v>103</v>
      </c>
      <c r="P36" s="3"/>
      <c r="Q36" s="3"/>
      <c r="R36" s="3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4">
        <v>8.02651099E8</v>
      </c>
      <c r="B37" s="5" t="s">
        <v>62</v>
      </c>
      <c r="C37" s="4">
        <v>2.0220101E7</v>
      </c>
      <c r="D37" s="4" t="str">
        <f t="shared" si="1"/>
        <v>1/1/2022</v>
      </c>
      <c r="E37" s="4">
        <v>2.0250201E7</v>
      </c>
      <c r="F37" s="4">
        <v>202506.0</v>
      </c>
      <c r="G37" s="4">
        <v>1.879474E7</v>
      </c>
      <c r="H37" s="5" t="s">
        <v>32</v>
      </c>
      <c r="I37" s="5" t="s">
        <v>24</v>
      </c>
      <c r="J37" s="4">
        <v>1.8973608E7</v>
      </c>
      <c r="K37" s="5" t="s">
        <v>25</v>
      </c>
      <c r="L37" s="4">
        <v>202507.0</v>
      </c>
      <c r="M37" s="6">
        <v>36.0</v>
      </c>
      <c r="N37" s="3" t="s">
        <v>100</v>
      </c>
      <c r="O37" s="3" t="s">
        <v>103</v>
      </c>
      <c r="P37" s="3"/>
      <c r="Q37" s="3"/>
      <c r="R37" s="3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4">
        <v>8.02879845E8</v>
      </c>
      <c r="B38" s="5" t="s">
        <v>63</v>
      </c>
      <c r="C38" s="4">
        <v>2.0240201E7</v>
      </c>
      <c r="D38" s="4" t="str">
        <f t="shared" si="1"/>
        <v>2/1/2024</v>
      </c>
      <c r="E38" s="4">
        <v>2.0250101E7</v>
      </c>
      <c r="F38" s="4">
        <v>202507.0</v>
      </c>
      <c r="G38" s="4">
        <v>1.879474E7</v>
      </c>
      <c r="H38" s="5" t="s">
        <v>32</v>
      </c>
      <c r="I38" s="5" t="s">
        <v>24</v>
      </c>
      <c r="J38" s="4">
        <v>1.8973608E7</v>
      </c>
      <c r="K38" s="5" t="s">
        <v>25</v>
      </c>
      <c r="L38" s="4">
        <v>202507.0</v>
      </c>
      <c r="M38" s="6">
        <v>36.0</v>
      </c>
      <c r="N38" s="3" t="s">
        <v>100</v>
      </c>
      <c r="O38" s="3" t="s">
        <v>103</v>
      </c>
      <c r="P38" s="3"/>
      <c r="Q38" s="3"/>
      <c r="R38" s="3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4">
        <v>8.02629089E8</v>
      </c>
      <c r="B39" s="5" t="s">
        <v>66</v>
      </c>
      <c r="C39" s="4">
        <v>2.0220101E7</v>
      </c>
      <c r="D39" s="4" t="str">
        <f t="shared" si="1"/>
        <v>1/1/2022</v>
      </c>
      <c r="E39" s="4">
        <v>2.0250101E7</v>
      </c>
      <c r="F39" s="4">
        <v>202506.0</v>
      </c>
      <c r="G39" s="4">
        <v>1.879474E7</v>
      </c>
      <c r="H39" s="5" t="s">
        <v>32</v>
      </c>
      <c r="I39" s="5" t="s">
        <v>24</v>
      </c>
      <c r="J39" s="4">
        <v>1.8973608E7</v>
      </c>
      <c r="K39" s="5" t="s">
        <v>25</v>
      </c>
      <c r="L39" s="4">
        <v>202507.0</v>
      </c>
      <c r="M39" s="6">
        <v>36.0</v>
      </c>
      <c r="N39" s="3" t="s">
        <v>100</v>
      </c>
      <c r="O39" s="3" t="s">
        <v>103</v>
      </c>
      <c r="P39" s="3"/>
      <c r="Q39" s="3"/>
      <c r="R39" s="3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4">
        <v>8.02341284E8</v>
      </c>
      <c r="B40" s="5" t="s">
        <v>67</v>
      </c>
      <c r="C40" s="4">
        <v>2.0190401E7</v>
      </c>
      <c r="D40" s="4" t="str">
        <f t="shared" si="1"/>
        <v>4/1/2019</v>
      </c>
      <c r="E40" s="4">
        <v>2.0250101E7</v>
      </c>
      <c r="F40" s="4">
        <v>202506.0</v>
      </c>
      <c r="G40" s="4">
        <v>1.879474E7</v>
      </c>
      <c r="H40" s="5" t="s">
        <v>32</v>
      </c>
      <c r="I40" s="5" t="s">
        <v>24</v>
      </c>
      <c r="J40" s="4">
        <v>1.8973608E7</v>
      </c>
      <c r="K40" s="5" t="s">
        <v>25</v>
      </c>
      <c r="L40" s="4">
        <v>202507.0</v>
      </c>
      <c r="M40" s="6">
        <v>36.0</v>
      </c>
      <c r="N40" s="3" t="s">
        <v>100</v>
      </c>
      <c r="O40" s="3" t="s">
        <v>103</v>
      </c>
      <c r="P40" s="3"/>
      <c r="Q40" s="3"/>
      <c r="R40" s="3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4">
        <v>8.03038832E8</v>
      </c>
      <c r="B41" s="5" t="s">
        <v>91</v>
      </c>
      <c r="C41" s="4">
        <v>2.0250501E7</v>
      </c>
      <c r="D41" s="4" t="str">
        <f t="shared" si="1"/>
        <v>5/1/2025</v>
      </c>
      <c r="E41" s="4">
        <v>2.0250501E7</v>
      </c>
      <c r="F41" s="4">
        <v>202507.0</v>
      </c>
      <c r="G41" s="4">
        <v>8307933.0</v>
      </c>
      <c r="H41" s="5" t="s">
        <v>89</v>
      </c>
      <c r="I41" s="5" t="s">
        <v>24</v>
      </c>
      <c r="J41" s="4">
        <v>1.8973608E7</v>
      </c>
      <c r="K41" s="5" t="s">
        <v>25</v>
      </c>
      <c r="L41" s="4">
        <v>202507.0</v>
      </c>
      <c r="M41" s="6">
        <v>44.0</v>
      </c>
      <c r="N41" s="3" t="s">
        <v>100</v>
      </c>
      <c r="O41" s="3" t="s">
        <v>103</v>
      </c>
      <c r="P41" s="3"/>
      <c r="Q41" s="3"/>
      <c r="R41" s="3"/>
    </row>
    <row r="42" ht="12.75" customHeight="1">
      <c r="A42" s="4">
        <v>8.03042208E8</v>
      </c>
      <c r="B42" s="5" t="s">
        <v>95</v>
      </c>
      <c r="C42" s="4">
        <v>2.0250501E7</v>
      </c>
      <c r="D42" s="4" t="str">
        <f t="shared" si="1"/>
        <v>5/1/2025</v>
      </c>
      <c r="E42" s="4">
        <v>2.0250501E7</v>
      </c>
      <c r="F42" s="4">
        <v>202507.0</v>
      </c>
      <c r="G42" s="4">
        <v>1.7640026E7</v>
      </c>
      <c r="H42" s="5" t="s">
        <v>93</v>
      </c>
      <c r="I42" s="5" t="s">
        <v>94</v>
      </c>
      <c r="J42" s="4">
        <v>1.8973608E7</v>
      </c>
      <c r="K42" s="5" t="s">
        <v>25</v>
      </c>
      <c r="L42" s="4">
        <v>202507.0</v>
      </c>
      <c r="M42" s="6">
        <v>44.0</v>
      </c>
      <c r="N42" s="3" t="s">
        <v>100</v>
      </c>
      <c r="O42" s="3" t="s">
        <v>103</v>
      </c>
      <c r="P42" s="3"/>
      <c r="Q42" s="3"/>
      <c r="R42" s="3"/>
    </row>
    <row r="43" ht="12.75" customHeight="1">
      <c r="A43" s="4">
        <v>8.02715093E8</v>
      </c>
      <c r="B43" s="5" t="s">
        <v>82</v>
      </c>
      <c r="C43" s="4">
        <v>2.0220801E7</v>
      </c>
      <c r="D43" s="4" t="str">
        <f t="shared" si="1"/>
        <v>8/1/2022</v>
      </c>
      <c r="E43" s="4">
        <v>2.0250101E7</v>
      </c>
      <c r="F43" s="4">
        <v>202507.0</v>
      </c>
      <c r="G43" s="4">
        <v>9079571.0</v>
      </c>
      <c r="H43" s="5" t="s">
        <v>80</v>
      </c>
      <c r="I43" s="5" t="s">
        <v>24</v>
      </c>
      <c r="J43" s="4">
        <v>1.8973608E7</v>
      </c>
      <c r="K43" s="5" t="s">
        <v>25</v>
      </c>
      <c r="L43" s="4">
        <v>202507.0</v>
      </c>
      <c r="M43" s="6">
        <v>54.0</v>
      </c>
      <c r="N43" s="3" t="s">
        <v>100</v>
      </c>
      <c r="O43" s="3" t="s">
        <v>102</v>
      </c>
      <c r="P43" s="3"/>
      <c r="Q43" s="3"/>
      <c r="R43" s="3"/>
    </row>
    <row r="44" ht="12.75" customHeight="1">
      <c r="A44" s="4">
        <v>8.02726965E8</v>
      </c>
      <c r="B44" s="5" t="s">
        <v>84</v>
      </c>
      <c r="C44" s="4">
        <v>2.0220901E7</v>
      </c>
      <c r="D44" s="4" t="str">
        <f t="shared" si="1"/>
        <v>9/1/2022</v>
      </c>
      <c r="E44" s="4">
        <v>2.0250101E7</v>
      </c>
      <c r="F44" s="4">
        <v>202506.0</v>
      </c>
      <c r="G44" s="4">
        <v>1.6509456E7</v>
      </c>
      <c r="H44" s="5" t="s">
        <v>87</v>
      </c>
      <c r="I44" s="5" t="s">
        <v>24</v>
      </c>
      <c r="J44" s="4">
        <v>1.8973608E7</v>
      </c>
      <c r="K44" s="5" t="s">
        <v>25</v>
      </c>
      <c r="L44" s="4">
        <v>202507.0</v>
      </c>
      <c r="M44" s="6">
        <v>54.0</v>
      </c>
      <c r="N44" s="3" t="s">
        <v>100</v>
      </c>
      <c r="O44" s="3" t="s">
        <v>102</v>
      </c>
      <c r="P44" s="3"/>
      <c r="Q44" s="3"/>
      <c r="R44" s="3"/>
    </row>
    <row r="45" ht="12.75" customHeight="1">
      <c r="A45" s="4">
        <v>8.0212589E8</v>
      </c>
      <c r="B45" s="5" t="s">
        <v>98</v>
      </c>
      <c r="C45" s="4">
        <v>2.0180101E7</v>
      </c>
      <c r="D45" s="4" t="str">
        <f t="shared" si="1"/>
        <v>1/1/2018</v>
      </c>
      <c r="E45" s="4">
        <v>2.0250101E7</v>
      </c>
      <c r="F45" s="4">
        <v>202507.0</v>
      </c>
      <c r="G45" s="4">
        <v>1.7640026E7</v>
      </c>
      <c r="H45" s="5" t="s">
        <v>93</v>
      </c>
      <c r="I45" s="5" t="s">
        <v>94</v>
      </c>
      <c r="J45" s="4">
        <v>1.8973608E7</v>
      </c>
      <c r="K45" s="5" t="s">
        <v>25</v>
      </c>
      <c r="L45" s="4">
        <v>202507.0</v>
      </c>
      <c r="M45" s="6">
        <v>54.0</v>
      </c>
      <c r="N45" s="3" t="s">
        <v>100</v>
      </c>
      <c r="O45" s="3" t="s">
        <v>102</v>
      </c>
      <c r="P45" s="3"/>
      <c r="Q45" s="3"/>
      <c r="R45" s="3"/>
    </row>
    <row r="46" ht="12.75" customHeight="1">
      <c r="A46" s="4">
        <v>8.02999312E8</v>
      </c>
      <c r="B46" s="5" t="s">
        <v>99</v>
      </c>
      <c r="C46" s="4">
        <v>2.0250101E7</v>
      </c>
      <c r="D46" s="4" t="str">
        <f t="shared" si="1"/>
        <v>1/1/2025</v>
      </c>
      <c r="E46" s="4">
        <v>2.0250101E7</v>
      </c>
      <c r="F46" s="4">
        <v>202507.0</v>
      </c>
      <c r="G46" s="4">
        <v>1.7640026E7</v>
      </c>
      <c r="H46" s="5" t="s">
        <v>93</v>
      </c>
      <c r="I46" s="5" t="s">
        <v>94</v>
      </c>
      <c r="J46" s="4">
        <v>1.8973608E7</v>
      </c>
      <c r="K46" s="5" t="s">
        <v>25</v>
      </c>
      <c r="L46" s="4">
        <v>202507.0</v>
      </c>
      <c r="M46" s="6">
        <v>88.0</v>
      </c>
      <c r="N46" s="3" t="s">
        <v>100</v>
      </c>
      <c r="O46" s="3" t="s">
        <v>101</v>
      </c>
      <c r="P46" s="3"/>
      <c r="Q46" s="3"/>
      <c r="R46" s="3"/>
    </row>
    <row r="47" ht="12.75" customHeight="1">
      <c r="A47" s="4">
        <v>8.02183108E8</v>
      </c>
      <c r="B47" s="5" t="s">
        <v>83</v>
      </c>
      <c r="C47" s="4">
        <v>2.0180201E7</v>
      </c>
      <c r="D47" s="4" t="str">
        <f t="shared" si="1"/>
        <v>2/1/2018</v>
      </c>
      <c r="E47" s="4">
        <v>2.0250101E7</v>
      </c>
      <c r="F47" s="4">
        <v>202507.0</v>
      </c>
      <c r="G47" s="4">
        <v>9079571.0</v>
      </c>
      <c r="H47" s="5" t="s">
        <v>80</v>
      </c>
      <c r="I47" s="5" t="s">
        <v>24</v>
      </c>
      <c r="J47" s="4">
        <v>1.8973608E7</v>
      </c>
      <c r="K47" s="5" t="s">
        <v>25</v>
      </c>
      <c r="L47" s="4">
        <v>202507.0</v>
      </c>
      <c r="M47" s="6">
        <v>90.0</v>
      </c>
      <c r="N47" s="3" t="s">
        <v>100</v>
      </c>
      <c r="O47" s="3" t="s">
        <v>104</v>
      </c>
      <c r="P47" s="3"/>
      <c r="Q47" s="3"/>
      <c r="R47" s="3"/>
    </row>
    <row r="48" ht="12.75" customHeight="1">
      <c r="A48" s="10">
        <v>8.02999165E8</v>
      </c>
      <c r="B48" s="11" t="s">
        <v>68</v>
      </c>
      <c r="C48" s="10">
        <v>2.0250101E7</v>
      </c>
      <c r="D48" s="4" t="str">
        <f t="shared" si="1"/>
        <v>1/1/2025</v>
      </c>
      <c r="E48" s="10">
        <v>2.0250101E7</v>
      </c>
      <c r="F48" s="10">
        <v>202503.0</v>
      </c>
      <c r="G48" s="10">
        <v>1.879474E7</v>
      </c>
      <c r="H48" s="11" t="s">
        <v>32</v>
      </c>
      <c r="I48" s="11" t="s">
        <v>24</v>
      </c>
      <c r="J48" s="10">
        <v>1.8973608E7</v>
      </c>
      <c r="K48" s="11" t="s">
        <v>25</v>
      </c>
      <c r="L48" s="10">
        <v>202507.0</v>
      </c>
      <c r="M48" s="12">
        <v>110.0</v>
      </c>
      <c r="N48" s="3" t="s">
        <v>100</v>
      </c>
      <c r="O48" s="3" t="s">
        <v>104</v>
      </c>
      <c r="P48" s="13"/>
      <c r="Q48" s="13"/>
      <c r="R48" s="13"/>
      <c r="S48" s="14"/>
      <c r="T48" s="14"/>
      <c r="U48" s="14"/>
      <c r="V48" s="14"/>
      <c r="W48" s="14"/>
      <c r="X48" s="14"/>
      <c r="Y48" s="14"/>
      <c r="Z48" s="14"/>
      <c r="AA48" s="14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7"/>
      <c r="N49" s="3"/>
      <c r="O49" s="3"/>
      <c r="P49" s="3"/>
      <c r="Q49" s="3"/>
      <c r="R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7"/>
      <c r="N50" s="3"/>
      <c r="O50" s="3"/>
      <c r="P50" s="3"/>
      <c r="Q50" s="3"/>
      <c r="R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7"/>
      <c r="N51" s="3"/>
      <c r="O51" s="3"/>
      <c r="P51" s="3"/>
      <c r="Q51" s="3"/>
      <c r="R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7"/>
      <c r="N52" s="3"/>
      <c r="O52" s="3"/>
      <c r="P52" s="3"/>
      <c r="Q52" s="3"/>
      <c r="R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7"/>
      <c r="N53" s="3"/>
      <c r="O53" s="3"/>
      <c r="P53" s="3"/>
      <c r="Q53" s="3"/>
      <c r="R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7"/>
      <c r="N54" s="3"/>
      <c r="O54" s="3"/>
      <c r="P54" s="3"/>
      <c r="Q54" s="3"/>
      <c r="R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7"/>
      <c r="N55" s="3"/>
      <c r="O55" s="3"/>
      <c r="P55" s="3"/>
      <c r="Q55" s="3"/>
      <c r="R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7"/>
      <c r="N56" s="3"/>
      <c r="O56" s="3"/>
      <c r="P56" s="3"/>
      <c r="Q56" s="3"/>
      <c r="R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7"/>
      <c r="N57" s="3"/>
      <c r="O57" s="3"/>
      <c r="P57" s="3"/>
      <c r="Q57" s="3"/>
      <c r="R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7"/>
      <c r="N58" s="3"/>
      <c r="O58" s="3"/>
      <c r="P58" s="3"/>
      <c r="Q58" s="3"/>
      <c r="R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7"/>
      <c r="N59" s="3"/>
      <c r="O59" s="3"/>
      <c r="P59" s="3"/>
      <c r="Q59" s="3"/>
      <c r="R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7"/>
      <c r="N60" s="3"/>
      <c r="O60" s="3"/>
      <c r="P60" s="3"/>
      <c r="Q60" s="3"/>
      <c r="R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7"/>
      <c r="N61" s="3"/>
      <c r="O61" s="3"/>
      <c r="P61" s="3"/>
      <c r="Q61" s="3"/>
      <c r="R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7"/>
      <c r="N62" s="3"/>
      <c r="O62" s="3"/>
      <c r="P62" s="3"/>
      <c r="Q62" s="3"/>
      <c r="R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7"/>
      <c r="N63" s="3"/>
      <c r="O63" s="3"/>
      <c r="P63" s="3"/>
      <c r="Q63" s="3"/>
      <c r="R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7"/>
      <c r="N64" s="3"/>
      <c r="O64" s="3"/>
      <c r="P64" s="3"/>
      <c r="Q64" s="3"/>
      <c r="R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7"/>
      <c r="N65" s="3"/>
      <c r="O65" s="3"/>
      <c r="P65" s="3"/>
      <c r="Q65" s="3"/>
      <c r="R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7"/>
      <c r="N66" s="3"/>
      <c r="O66" s="3"/>
      <c r="P66" s="3"/>
      <c r="Q66" s="3"/>
      <c r="R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7"/>
      <c r="N67" s="3"/>
      <c r="O67" s="3"/>
      <c r="P67" s="3"/>
      <c r="Q67" s="3"/>
      <c r="R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7"/>
      <c r="N68" s="3"/>
      <c r="O68" s="3"/>
      <c r="P68" s="3"/>
      <c r="Q68" s="3"/>
      <c r="R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7"/>
      <c r="N69" s="3"/>
      <c r="O69" s="3"/>
      <c r="P69" s="3"/>
      <c r="Q69" s="3"/>
      <c r="R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7"/>
      <c r="N70" s="3"/>
      <c r="O70" s="3"/>
      <c r="P70" s="3"/>
      <c r="Q70" s="3"/>
      <c r="R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7"/>
      <c r="N71" s="3"/>
      <c r="O71" s="3"/>
      <c r="P71" s="3"/>
      <c r="Q71" s="3"/>
      <c r="R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7"/>
      <c r="N72" s="3"/>
      <c r="O72" s="3"/>
      <c r="P72" s="3"/>
      <c r="Q72" s="3"/>
      <c r="R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7"/>
      <c r="N73" s="3"/>
      <c r="O73" s="3"/>
      <c r="P73" s="3"/>
      <c r="Q73" s="3"/>
      <c r="R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7"/>
      <c r="N74" s="3"/>
      <c r="O74" s="3"/>
      <c r="P74" s="3"/>
      <c r="Q74" s="3"/>
      <c r="R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7"/>
      <c r="N75" s="3"/>
      <c r="O75" s="3"/>
      <c r="P75" s="3"/>
      <c r="Q75" s="3"/>
      <c r="R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7"/>
      <c r="N76" s="3"/>
      <c r="O76" s="3"/>
      <c r="P76" s="3"/>
      <c r="Q76" s="3"/>
      <c r="R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7"/>
      <c r="N77" s="3"/>
      <c r="O77" s="3"/>
      <c r="P77" s="3"/>
      <c r="Q77" s="3"/>
      <c r="R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7"/>
      <c r="N78" s="3"/>
      <c r="O78" s="3"/>
      <c r="P78" s="3"/>
      <c r="Q78" s="3"/>
      <c r="R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7"/>
      <c r="N79" s="3"/>
      <c r="O79" s="3"/>
      <c r="P79" s="3"/>
      <c r="Q79" s="3"/>
      <c r="R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7"/>
      <c r="N80" s="3"/>
      <c r="O80" s="3"/>
      <c r="P80" s="3"/>
      <c r="Q80" s="3"/>
      <c r="R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7"/>
      <c r="N81" s="3"/>
      <c r="O81" s="3"/>
      <c r="P81" s="3"/>
      <c r="Q81" s="3"/>
      <c r="R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7"/>
      <c r="N82" s="3"/>
      <c r="O82" s="3"/>
      <c r="P82" s="3"/>
      <c r="Q82" s="3"/>
      <c r="R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7"/>
      <c r="N83" s="3"/>
      <c r="O83" s="3"/>
      <c r="P83" s="3"/>
      <c r="Q83" s="3"/>
      <c r="R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7"/>
      <c r="N84" s="3"/>
      <c r="O84" s="3"/>
      <c r="P84" s="3"/>
      <c r="Q84" s="3"/>
      <c r="R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7"/>
      <c r="N85" s="3"/>
      <c r="O85" s="3"/>
      <c r="P85" s="3"/>
      <c r="Q85" s="3"/>
      <c r="R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7"/>
      <c r="N86" s="3"/>
      <c r="O86" s="3"/>
      <c r="P86" s="3"/>
      <c r="Q86" s="3"/>
      <c r="R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7"/>
      <c r="N87" s="3"/>
      <c r="O87" s="3"/>
      <c r="P87" s="3"/>
      <c r="Q87" s="3"/>
      <c r="R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7"/>
      <c r="N88" s="3"/>
      <c r="O88" s="3"/>
      <c r="P88" s="3"/>
      <c r="Q88" s="3"/>
      <c r="R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7"/>
      <c r="N89" s="3"/>
      <c r="O89" s="3"/>
      <c r="P89" s="3"/>
      <c r="Q89" s="3"/>
      <c r="R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7"/>
      <c r="N90" s="3"/>
      <c r="O90" s="3"/>
      <c r="P90" s="3"/>
      <c r="Q90" s="3"/>
      <c r="R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7"/>
      <c r="N91" s="3"/>
      <c r="O91" s="3"/>
      <c r="P91" s="3"/>
      <c r="Q91" s="3"/>
      <c r="R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7"/>
      <c r="N92" s="3"/>
      <c r="O92" s="3"/>
      <c r="P92" s="3"/>
      <c r="Q92" s="3"/>
      <c r="R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7"/>
      <c r="N93" s="3"/>
      <c r="O93" s="3"/>
      <c r="P93" s="3"/>
      <c r="Q93" s="3"/>
      <c r="R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7"/>
      <c r="N94" s="3"/>
      <c r="O94" s="3"/>
      <c r="P94" s="3"/>
      <c r="Q94" s="3"/>
      <c r="R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7"/>
      <c r="N95" s="3"/>
      <c r="O95" s="3"/>
      <c r="P95" s="3"/>
      <c r="Q95" s="3"/>
      <c r="R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7"/>
      <c r="N96" s="3"/>
      <c r="O96" s="3"/>
      <c r="P96" s="3"/>
      <c r="Q96" s="3"/>
      <c r="R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7"/>
      <c r="N97" s="3"/>
      <c r="O97" s="3"/>
      <c r="P97" s="3"/>
      <c r="Q97" s="3"/>
      <c r="R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7"/>
      <c r="N98" s="3"/>
      <c r="O98" s="3"/>
      <c r="P98" s="3"/>
      <c r="Q98" s="3"/>
      <c r="R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7"/>
      <c r="N99" s="3"/>
      <c r="O99" s="3"/>
      <c r="P99" s="3"/>
      <c r="Q99" s="3"/>
      <c r="R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7"/>
      <c r="N100" s="3"/>
      <c r="O100" s="3"/>
      <c r="P100" s="3"/>
      <c r="Q100" s="3"/>
      <c r="R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7"/>
      <c r="N101" s="3"/>
      <c r="O101" s="3"/>
      <c r="P101" s="3"/>
      <c r="Q101" s="3"/>
      <c r="R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7"/>
      <c r="N102" s="3"/>
      <c r="O102" s="3"/>
      <c r="P102" s="3"/>
      <c r="Q102" s="3"/>
      <c r="R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7"/>
      <c r="N103" s="3"/>
      <c r="O103" s="3"/>
      <c r="P103" s="3"/>
      <c r="Q103" s="3"/>
      <c r="R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7"/>
      <c r="N104" s="3"/>
      <c r="O104" s="3"/>
      <c r="P104" s="3"/>
      <c r="Q104" s="3"/>
      <c r="R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7"/>
      <c r="N105" s="3"/>
      <c r="O105" s="3"/>
      <c r="P105" s="3"/>
      <c r="Q105" s="3"/>
      <c r="R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7"/>
      <c r="N106" s="3"/>
      <c r="O106" s="3"/>
      <c r="P106" s="3"/>
      <c r="Q106" s="3"/>
      <c r="R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7"/>
      <c r="N107" s="3"/>
      <c r="O107" s="3"/>
      <c r="P107" s="3"/>
      <c r="Q107" s="3"/>
      <c r="R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7"/>
      <c r="N108" s="3"/>
      <c r="O108" s="3"/>
      <c r="P108" s="3"/>
      <c r="Q108" s="3"/>
      <c r="R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7"/>
      <c r="N109" s="3"/>
      <c r="O109" s="3"/>
      <c r="P109" s="3"/>
      <c r="Q109" s="3"/>
      <c r="R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7"/>
      <c r="N110" s="3"/>
      <c r="O110" s="3"/>
      <c r="P110" s="3"/>
      <c r="Q110" s="3"/>
      <c r="R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7"/>
      <c r="N111" s="3"/>
      <c r="O111" s="3"/>
      <c r="P111" s="3"/>
      <c r="Q111" s="3"/>
      <c r="R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7"/>
      <c r="N112" s="3"/>
      <c r="O112" s="3"/>
      <c r="P112" s="3"/>
      <c r="Q112" s="3"/>
      <c r="R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7"/>
      <c r="N113" s="3"/>
      <c r="O113" s="3"/>
      <c r="P113" s="3"/>
      <c r="Q113" s="3"/>
      <c r="R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7"/>
      <c r="N114" s="3"/>
      <c r="O114" s="3"/>
      <c r="P114" s="3"/>
      <c r="Q114" s="3"/>
      <c r="R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7"/>
      <c r="N115" s="3"/>
      <c r="O115" s="3"/>
      <c r="P115" s="3"/>
      <c r="Q115" s="3"/>
      <c r="R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7"/>
      <c r="N116" s="3"/>
      <c r="O116" s="3"/>
      <c r="P116" s="3"/>
      <c r="Q116" s="3"/>
      <c r="R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7"/>
      <c r="N117" s="3"/>
      <c r="O117" s="3"/>
      <c r="P117" s="3"/>
      <c r="Q117" s="3"/>
      <c r="R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7"/>
      <c r="N118" s="3"/>
      <c r="O118" s="3"/>
      <c r="P118" s="3"/>
      <c r="Q118" s="3"/>
      <c r="R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7"/>
      <c r="N119" s="3"/>
      <c r="O119" s="3"/>
      <c r="P119" s="3"/>
      <c r="Q119" s="3"/>
      <c r="R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7"/>
      <c r="N120" s="3"/>
      <c r="O120" s="3"/>
      <c r="P120" s="3"/>
      <c r="Q120" s="3"/>
      <c r="R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7"/>
      <c r="N121" s="3"/>
      <c r="O121" s="3"/>
      <c r="P121" s="3"/>
      <c r="Q121" s="3"/>
      <c r="R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7"/>
      <c r="N122" s="3"/>
      <c r="O122" s="3"/>
      <c r="P122" s="3"/>
      <c r="Q122" s="3"/>
      <c r="R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7"/>
      <c r="N123" s="3"/>
      <c r="O123" s="3"/>
      <c r="P123" s="3"/>
      <c r="Q123" s="3"/>
      <c r="R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7"/>
      <c r="N124" s="3"/>
      <c r="O124" s="3"/>
      <c r="P124" s="3"/>
      <c r="Q124" s="3"/>
      <c r="R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7"/>
      <c r="N125" s="3"/>
      <c r="O125" s="3"/>
      <c r="P125" s="3"/>
      <c r="Q125" s="3"/>
      <c r="R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7"/>
      <c r="N126" s="3"/>
      <c r="O126" s="3"/>
      <c r="P126" s="3"/>
      <c r="Q126" s="3"/>
      <c r="R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7"/>
      <c r="N127" s="3"/>
      <c r="O127" s="3"/>
      <c r="P127" s="3"/>
      <c r="Q127" s="3"/>
      <c r="R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7"/>
      <c r="N128" s="3"/>
      <c r="O128" s="3"/>
      <c r="P128" s="3"/>
      <c r="Q128" s="3"/>
      <c r="R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7"/>
      <c r="N129" s="3"/>
      <c r="O129" s="3"/>
      <c r="P129" s="3"/>
      <c r="Q129" s="3"/>
      <c r="R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7"/>
      <c r="N130" s="3"/>
      <c r="O130" s="3"/>
      <c r="P130" s="3"/>
      <c r="Q130" s="3"/>
      <c r="R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7"/>
      <c r="N131" s="3"/>
      <c r="O131" s="3"/>
      <c r="P131" s="3"/>
      <c r="Q131" s="3"/>
      <c r="R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7"/>
      <c r="N132" s="3"/>
      <c r="O132" s="3"/>
      <c r="P132" s="3"/>
      <c r="Q132" s="3"/>
      <c r="R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7"/>
      <c r="N133" s="3"/>
      <c r="O133" s="3"/>
      <c r="P133" s="3"/>
      <c r="Q133" s="3"/>
      <c r="R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7"/>
      <c r="N134" s="3"/>
      <c r="O134" s="3"/>
      <c r="P134" s="3"/>
      <c r="Q134" s="3"/>
      <c r="R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7"/>
      <c r="N135" s="3"/>
      <c r="O135" s="3"/>
      <c r="P135" s="3"/>
      <c r="Q135" s="3"/>
      <c r="R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7"/>
      <c r="N136" s="3"/>
      <c r="O136" s="3"/>
      <c r="P136" s="3"/>
      <c r="Q136" s="3"/>
      <c r="R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7"/>
      <c r="N137" s="3"/>
      <c r="O137" s="3"/>
      <c r="P137" s="3"/>
      <c r="Q137" s="3"/>
      <c r="R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7"/>
      <c r="N138" s="3"/>
      <c r="O138" s="3"/>
      <c r="P138" s="3"/>
      <c r="Q138" s="3"/>
      <c r="R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7"/>
      <c r="N139" s="3"/>
      <c r="O139" s="3"/>
      <c r="P139" s="3"/>
      <c r="Q139" s="3"/>
      <c r="R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7"/>
      <c r="N140" s="3"/>
      <c r="O140" s="3"/>
      <c r="P140" s="3"/>
      <c r="Q140" s="3"/>
      <c r="R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7"/>
      <c r="N141" s="3"/>
      <c r="O141" s="3"/>
      <c r="P141" s="3"/>
      <c r="Q141" s="3"/>
      <c r="R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7"/>
      <c r="N142" s="3"/>
      <c r="O142" s="3"/>
      <c r="P142" s="3"/>
      <c r="Q142" s="3"/>
      <c r="R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7"/>
      <c r="N143" s="3"/>
      <c r="O143" s="3"/>
      <c r="P143" s="3"/>
      <c r="Q143" s="3"/>
      <c r="R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7"/>
      <c r="N144" s="3"/>
      <c r="O144" s="3"/>
      <c r="P144" s="3"/>
      <c r="Q144" s="3"/>
      <c r="R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7"/>
      <c r="N145" s="3"/>
      <c r="O145" s="3"/>
      <c r="P145" s="3"/>
      <c r="Q145" s="3"/>
      <c r="R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7"/>
      <c r="N146" s="3"/>
      <c r="O146" s="3"/>
      <c r="P146" s="3"/>
      <c r="Q146" s="3"/>
      <c r="R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7"/>
      <c r="N147" s="3"/>
      <c r="O147" s="3"/>
      <c r="P147" s="3"/>
      <c r="Q147" s="3"/>
      <c r="R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7"/>
      <c r="N148" s="3"/>
      <c r="O148" s="3"/>
      <c r="P148" s="3"/>
      <c r="Q148" s="3"/>
      <c r="R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7"/>
      <c r="N149" s="3"/>
      <c r="O149" s="3"/>
      <c r="P149" s="3"/>
      <c r="Q149" s="3"/>
      <c r="R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7"/>
      <c r="N150" s="3"/>
      <c r="O150" s="3"/>
      <c r="P150" s="3"/>
      <c r="Q150" s="3"/>
      <c r="R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7"/>
      <c r="N151" s="3"/>
      <c r="O151" s="3"/>
      <c r="P151" s="3"/>
      <c r="Q151" s="3"/>
      <c r="R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7"/>
      <c r="N152" s="3"/>
      <c r="O152" s="3"/>
      <c r="P152" s="3"/>
      <c r="Q152" s="3"/>
      <c r="R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7"/>
      <c r="N153" s="3"/>
      <c r="O153" s="3"/>
      <c r="P153" s="3"/>
      <c r="Q153" s="3"/>
      <c r="R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7"/>
      <c r="N154" s="3"/>
      <c r="O154" s="3"/>
      <c r="P154" s="3"/>
      <c r="Q154" s="3"/>
      <c r="R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7"/>
      <c r="N155" s="3"/>
      <c r="O155" s="3"/>
      <c r="P155" s="3"/>
      <c r="Q155" s="3"/>
      <c r="R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7"/>
      <c r="N156" s="3"/>
      <c r="O156" s="3"/>
      <c r="P156" s="3"/>
      <c r="Q156" s="3"/>
      <c r="R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7"/>
      <c r="N157" s="3"/>
      <c r="O157" s="3"/>
      <c r="P157" s="3"/>
      <c r="Q157" s="3"/>
      <c r="R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7"/>
      <c r="N158" s="3"/>
      <c r="O158" s="3"/>
      <c r="P158" s="3"/>
      <c r="Q158" s="3"/>
      <c r="R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7"/>
      <c r="N159" s="3"/>
      <c r="O159" s="3"/>
      <c r="P159" s="3"/>
      <c r="Q159" s="3"/>
      <c r="R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7"/>
      <c r="N160" s="3"/>
      <c r="O160" s="3"/>
      <c r="P160" s="3"/>
      <c r="Q160" s="3"/>
      <c r="R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7"/>
      <c r="N161" s="3"/>
      <c r="O161" s="3"/>
      <c r="P161" s="3"/>
      <c r="Q161" s="3"/>
      <c r="R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7"/>
      <c r="N162" s="3"/>
      <c r="O162" s="3"/>
      <c r="P162" s="3"/>
      <c r="Q162" s="3"/>
      <c r="R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7"/>
      <c r="N163" s="3"/>
      <c r="O163" s="3"/>
      <c r="P163" s="3"/>
      <c r="Q163" s="3"/>
      <c r="R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7"/>
      <c r="N164" s="3"/>
      <c r="O164" s="3"/>
      <c r="P164" s="3"/>
      <c r="Q164" s="3"/>
      <c r="R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7"/>
      <c r="N165" s="3"/>
      <c r="O165" s="3"/>
      <c r="P165" s="3"/>
      <c r="Q165" s="3"/>
      <c r="R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7"/>
      <c r="N166" s="3"/>
      <c r="O166" s="3"/>
      <c r="P166" s="3"/>
      <c r="Q166" s="3"/>
      <c r="R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7"/>
      <c r="N167" s="3"/>
      <c r="O167" s="3"/>
      <c r="P167" s="3"/>
      <c r="Q167" s="3"/>
      <c r="R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7"/>
      <c r="N168" s="3"/>
      <c r="O168" s="3"/>
      <c r="P168" s="3"/>
      <c r="Q168" s="3"/>
      <c r="R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7"/>
      <c r="N169" s="3"/>
      <c r="O169" s="3"/>
      <c r="P169" s="3"/>
      <c r="Q169" s="3"/>
      <c r="R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7"/>
      <c r="N170" s="3"/>
      <c r="O170" s="3"/>
      <c r="P170" s="3"/>
      <c r="Q170" s="3"/>
      <c r="R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7"/>
      <c r="N171" s="3"/>
      <c r="O171" s="3"/>
      <c r="P171" s="3"/>
      <c r="Q171" s="3"/>
      <c r="R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7"/>
      <c r="N172" s="3"/>
      <c r="O172" s="3"/>
      <c r="P172" s="3"/>
      <c r="Q172" s="3"/>
      <c r="R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7"/>
      <c r="N173" s="3"/>
      <c r="O173" s="3"/>
      <c r="P173" s="3"/>
      <c r="Q173" s="3"/>
      <c r="R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7"/>
      <c r="N174" s="3"/>
      <c r="O174" s="3"/>
      <c r="P174" s="3"/>
      <c r="Q174" s="3"/>
      <c r="R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7"/>
      <c r="N175" s="3"/>
      <c r="O175" s="3"/>
      <c r="P175" s="3"/>
      <c r="Q175" s="3"/>
      <c r="R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7"/>
      <c r="N176" s="3"/>
      <c r="O176" s="3"/>
      <c r="P176" s="3"/>
      <c r="Q176" s="3"/>
      <c r="R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7"/>
      <c r="N177" s="3"/>
      <c r="O177" s="3"/>
      <c r="P177" s="3"/>
      <c r="Q177" s="3"/>
      <c r="R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7"/>
      <c r="N178" s="3"/>
      <c r="O178" s="3"/>
      <c r="P178" s="3"/>
      <c r="Q178" s="3"/>
      <c r="R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7"/>
      <c r="N179" s="3"/>
      <c r="O179" s="3"/>
      <c r="P179" s="3"/>
      <c r="Q179" s="3"/>
      <c r="R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7"/>
      <c r="N180" s="3"/>
      <c r="O180" s="3"/>
      <c r="P180" s="3"/>
      <c r="Q180" s="3"/>
      <c r="R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7"/>
      <c r="N181" s="3"/>
      <c r="O181" s="3"/>
      <c r="P181" s="3"/>
      <c r="Q181" s="3"/>
      <c r="R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7"/>
      <c r="N182" s="3"/>
      <c r="O182" s="3"/>
      <c r="P182" s="3"/>
      <c r="Q182" s="3"/>
      <c r="R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7"/>
      <c r="N183" s="3"/>
      <c r="O183" s="3"/>
      <c r="P183" s="3"/>
      <c r="Q183" s="3"/>
      <c r="R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7"/>
      <c r="N184" s="3"/>
      <c r="O184" s="3"/>
      <c r="P184" s="3"/>
      <c r="Q184" s="3"/>
      <c r="R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7"/>
      <c r="N185" s="3"/>
      <c r="O185" s="3"/>
      <c r="P185" s="3"/>
      <c r="Q185" s="3"/>
      <c r="R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7"/>
      <c r="N186" s="3"/>
      <c r="O186" s="3"/>
      <c r="P186" s="3"/>
      <c r="Q186" s="3"/>
      <c r="R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7"/>
      <c r="N187" s="3"/>
      <c r="O187" s="3"/>
      <c r="P187" s="3"/>
      <c r="Q187" s="3"/>
      <c r="R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7"/>
      <c r="N188" s="3"/>
      <c r="O188" s="3"/>
      <c r="P188" s="3"/>
      <c r="Q188" s="3"/>
      <c r="R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7"/>
      <c r="N189" s="3"/>
      <c r="O189" s="3"/>
      <c r="P189" s="3"/>
      <c r="Q189" s="3"/>
      <c r="R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7"/>
      <c r="N190" s="3"/>
      <c r="O190" s="3"/>
      <c r="P190" s="3"/>
      <c r="Q190" s="3"/>
      <c r="R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7"/>
      <c r="N191" s="3"/>
      <c r="O191" s="3"/>
      <c r="P191" s="3"/>
      <c r="Q191" s="3"/>
      <c r="R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7"/>
      <c r="N192" s="3"/>
      <c r="O192" s="3"/>
      <c r="P192" s="3"/>
      <c r="Q192" s="3"/>
      <c r="R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7"/>
      <c r="N193" s="3"/>
      <c r="O193" s="3"/>
      <c r="P193" s="3"/>
      <c r="Q193" s="3"/>
      <c r="R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7"/>
      <c r="N194" s="3"/>
      <c r="O194" s="3"/>
      <c r="P194" s="3"/>
      <c r="Q194" s="3"/>
      <c r="R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7"/>
      <c r="N195" s="3"/>
      <c r="O195" s="3"/>
      <c r="P195" s="3"/>
      <c r="Q195" s="3"/>
      <c r="R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7"/>
      <c r="N196" s="3"/>
      <c r="O196" s="3"/>
      <c r="P196" s="3"/>
      <c r="Q196" s="3"/>
      <c r="R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7"/>
      <c r="N197" s="3"/>
      <c r="O197" s="3"/>
      <c r="P197" s="3"/>
      <c r="Q197" s="3"/>
      <c r="R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7"/>
      <c r="N198" s="3"/>
      <c r="O198" s="3"/>
      <c r="P198" s="3"/>
      <c r="Q198" s="3"/>
      <c r="R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7"/>
      <c r="N199" s="3"/>
      <c r="O199" s="3"/>
      <c r="P199" s="3"/>
      <c r="Q199" s="3"/>
      <c r="R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7"/>
      <c r="N200" s="3"/>
      <c r="O200" s="3"/>
      <c r="P200" s="3"/>
      <c r="Q200" s="3"/>
      <c r="R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7"/>
      <c r="N201" s="3"/>
      <c r="O201" s="3"/>
      <c r="P201" s="3"/>
      <c r="Q201" s="3"/>
      <c r="R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7"/>
      <c r="N202" s="3"/>
      <c r="O202" s="3"/>
      <c r="P202" s="3"/>
      <c r="Q202" s="3"/>
      <c r="R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7"/>
      <c r="N203" s="3"/>
      <c r="O203" s="3"/>
      <c r="P203" s="3"/>
      <c r="Q203" s="3"/>
      <c r="R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7"/>
      <c r="N204" s="3"/>
      <c r="O204" s="3"/>
      <c r="P204" s="3"/>
      <c r="Q204" s="3"/>
      <c r="R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7"/>
      <c r="N205" s="3"/>
      <c r="O205" s="3"/>
      <c r="P205" s="3"/>
      <c r="Q205" s="3"/>
      <c r="R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7"/>
      <c r="N206" s="3"/>
      <c r="O206" s="3"/>
      <c r="P206" s="3"/>
      <c r="Q206" s="3"/>
      <c r="R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7"/>
      <c r="N207" s="3"/>
      <c r="O207" s="3"/>
      <c r="P207" s="3"/>
      <c r="Q207" s="3"/>
      <c r="R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7"/>
      <c r="N208" s="3"/>
      <c r="O208" s="3"/>
      <c r="P208" s="3"/>
      <c r="Q208" s="3"/>
      <c r="R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7"/>
      <c r="N209" s="3"/>
      <c r="O209" s="3"/>
      <c r="P209" s="3"/>
      <c r="Q209" s="3"/>
      <c r="R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7"/>
      <c r="N210" s="3"/>
      <c r="O210" s="3"/>
      <c r="P210" s="3"/>
      <c r="Q210" s="3"/>
      <c r="R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7"/>
      <c r="N211" s="3"/>
      <c r="O211" s="3"/>
      <c r="P211" s="3"/>
      <c r="Q211" s="3"/>
      <c r="R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7"/>
      <c r="N212" s="3"/>
      <c r="O212" s="3"/>
      <c r="P212" s="3"/>
      <c r="Q212" s="3"/>
      <c r="R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7"/>
      <c r="N213" s="3"/>
      <c r="O213" s="3"/>
      <c r="P213" s="3"/>
      <c r="Q213" s="3"/>
      <c r="R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7"/>
      <c r="N214" s="3"/>
      <c r="O214" s="3"/>
      <c r="P214" s="3"/>
      <c r="Q214" s="3"/>
      <c r="R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7"/>
      <c r="N215" s="3"/>
      <c r="O215" s="3"/>
      <c r="P215" s="3"/>
      <c r="Q215" s="3"/>
      <c r="R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7"/>
      <c r="N216" s="3"/>
      <c r="O216" s="3"/>
      <c r="P216" s="3"/>
      <c r="Q216" s="3"/>
      <c r="R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7"/>
      <c r="N217" s="3"/>
      <c r="O217" s="3"/>
      <c r="P217" s="3"/>
      <c r="Q217" s="3"/>
      <c r="R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7"/>
      <c r="N218" s="3"/>
      <c r="O218" s="3"/>
      <c r="P218" s="3"/>
      <c r="Q218" s="3"/>
      <c r="R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7"/>
      <c r="N219" s="3"/>
      <c r="O219" s="3"/>
      <c r="P219" s="3"/>
      <c r="Q219" s="3"/>
      <c r="R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7"/>
      <c r="N220" s="3"/>
      <c r="O220" s="3"/>
      <c r="P220" s="3"/>
      <c r="Q220" s="3"/>
      <c r="R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7"/>
      <c r="N221" s="3"/>
      <c r="O221" s="3"/>
      <c r="P221" s="3"/>
      <c r="Q221" s="3"/>
      <c r="R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7"/>
      <c r="N222" s="3"/>
      <c r="O222" s="3"/>
      <c r="P222" s="3"/>
      <c r="Q222" s="3"/>
      <c r="R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7"/>
      <c r="N223" s="3"/>
      <c r="O223" s="3"/>
      <c r="P223" s="3"/>
      <c r="Q223" s="3"/>
      <c r="R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7"/>
      <c r="N224" s="3"/>
      <c r="O224" s="3"/>
      <c r="P224" s="3"/>
      <c r="Q224" s="3"/>
      <c r="R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7"/>
      <c r="N225" s="3"/>
      <c r="O225" s="3"/>
      <c r="P225" s="3"/>
      <c r="Q225" s="3"/>
      <c r="R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7"/>
      <c r="N226" s="3"/>
      <c r="O226" s="3"/>
      <c r="P226" s="3"/>
      <c r="Q226" s="3"/>
      <c r="R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7"/>
      <c r="N227" s="3"/>
      <c r="O227" s="3"/>
      <c r="P227" s="3"/>
      <c r="Q227" s="3"/>
      <c r="R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7"/>
      <c r="N228" s="3"/>
      <c r="O228" s="3"/>
      <c r="P228" s="3"/>
      <c r="Q228" s="3"/>
      <c r="R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7"/>
      <c r="N229" s="3"/>
      <c r="O229" s="3"/>
      <c r="P229" s="3"/>
      <c r="Q229" s="3"/>
      <c r="R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7"/>
      <c r="N230" s="3"/>
      <c r="O230" s="3"/>
      <c r="P230" s="3"/>
      <c r="Q230" s="3"/>
      <c r="R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7"/>
      <c r="N231" s="3"/>
      <c r="O231" s="3"/>
      <c r="P231" s="3"/>
      <c r="Q231" s="3"/>
      <c r="R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7"/>
      <c r="N232" s="3"/>
      <c r="O232" s="3"/>
      <c r="P232" s="3"/>
      <c r="Q232" s="3"/>
      <c r="R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7"/>
      <c r="N233" s="3"/>
      <c r="O233" s="3"/>
      <c r="P233" s="3"/>
      <c r="Q233" s="3"/>
      <c r="R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7"/>
      <c r="N234" s="3"/>
      <c r="O234" s="3"/>
      <c r="P234" s="3"/>
      <c r="Q234" s="3"/>
      <c r="R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7"/>
      <c r="N235" s="3"/>
      <c r="O235" s="3"/>
      <c r="P235" s="3"/>
      <c r="Q235" s="3"/>
      <c r="R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7"/>
      <c r="N236" s="3"/>
      <c r="O236" s="3"/>
      <c r="P236" s="3"/>
      <c r="Q236" s="3"/>
      <c r="R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7"/>
      <c r="N237" s="3"/>
      <c r="O237" s="3"/>
      <c r="P237" s="3"/>
      <c r="Q237" s="3"/>
      <c r="R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7"/>
      <c r="N238" s="3"/>
      <c r="O238" s="3"/>
      <c r="P238" s="3"/>
      <c r="Q238" s="3"/>
      <c r="R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7"/>
      <c r="N239" s="3"/>
      <c r="O239" s="3"/>
      <c r="P239" s="3"/>
      <c r="Q239" s="3"/>
      <c r="R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7"/>
      <c r="N240" s="3"/>
      <c r="O240" s="3"/>
      <c r="P240" s="3"/>
      <c r="Q240" s="3"/>
      <c r="R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7"/>
      <c r="N241" s="3"/>
      <c r="O241" s="3"/>
      <c r="P241" s="3"/>
      <c r="Q241" s="3"/>
      <c r="R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7"/>
      <c r="N242" s="3"/>
      <c r="O242" s="3"/>
      <c r="P242" s="3"/>
      <c r="Q242" s="3"/>
      <c r="R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7"/>
      <c r="N243" s="3"/>
      <c r="O243" s="3"/>
      <c r="P243" s="3"/>
      <c r="Q243" s="3"/>
      <c r="R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7"/>
      <c r="N244" s="3"/>
      <c r="O244" s="3"/>
      <c r="P244" s="3"/>
      <c r="Q244" s="3"/>
      <c r="R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7"/>
      <c r="N245" s="3"/>
      <c r="O245" s="3"/>
      <c r="P245" s="3"/>
      <c r="Q245" s="3"/>
      <c r="R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7"/>
      <c r="N246" s="3"/>
      <c r="O246" s="3"/>
      <c r="P246" s="3"/>
      <c r="Q246" s="3"/>
      <c r="R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7"/>
      <c r="N247" s="3"/>
      <c r="O247" s="3"/>
      <c r="P247" s="3"/>
      <c r="Q247" s="3"/>
      <c r="R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7"/>
      <c r="N248" s="3"/>
      <c r="O248" s="3"/>
      <c r="P248" s="3"/>
      <c r="Q248" s="3"/>
      <c r="R248" s="3"/>
    </row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2025-07-28T17:54:39Z</dcterms:created>
  <dc:creator>Loula Irene Cabel</dc:creator>
</cp:coreProperties>
</file>